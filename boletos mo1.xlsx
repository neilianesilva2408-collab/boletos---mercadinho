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name="Report" sheetId="1" state="visible" r:id="rId1"/>
    <sheet name="Mercadorias Revenda" sheetId="2" state="visible" r:id="rId2"/>
    <sheet name="Resumo Mensal" sheetId="3" state="visible" r:id="rId3"/>
    <sheet name="Resumo Grupos" sheetId="4" state="visible" r:id="rId4"/>
    <sheet name="Resumo Classificação" sheetId="5" state="visible" r:id="rId5"/>
    <sheet name="Resumo Diário" sheetId="6" state="visible" r:id="rId6"/>
    <sheet name="Venda Anual (Base)" sheetId="7" state="visible" r:id="rId7"/>
    <sheet name="Resultado" sheetId="8" state="visible" r:id="rId8"/>
    <sheet name="Notas Fiscais (Rel 19)" sheetId="9" state="visible" r:id="rId9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0"/>
    <numFmt numFmtId="165" formatCode="dd/mm/yyyy"/>
    <numFmt numFmtId="166" formatCode="yyyy\-mm\-dd\ h:mm:ss"/>
    <numFmt numFmtId="167" formatCode="d/m/yyyy"/>
    <numFmt numFmtId="168" formatCode="mmm/yyyy"/>
    <numFmt numFmtId="169" formatCode="0.0%"/>
    <numFmt numFmtId="170" formatCode="&quot;R$ &quot;#,##0.00"/>
    <numFmt numFmtId="171" formatCode="&quot;R$&quot; #,##0.00"/>
  </numFmts>
  <fonts count="21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color rgb="FF000000"/>
      <sz val="4"/>
    </font>
    <font>
      <name val="Arial"/>
      <charset val="1"/>
      <family val="0"/>
      <color rgb="FF000000"/>
      <sz val="7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00"/>
      <sz val="1"/>
    </font>
    <font>
      <name val="Arial"/>
      <charset val="1"/>
      <family val="0"/>
      <color rgb="FF000000"/>
      <sz val="8"/>
    </font>
    <font>
      <name val="Arial"/>
      <charset val="1"/>
      <family val="0"/>
      <color rgb="FF000000"/>
      <sz val="2"/>
    </font>
    <font>
      <name val="Cambria"/>
      <charset val="1"/>
      <family val="0"/>
      <b val="1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4"/>
    </font>
    <font>
      <name val="Arial"/>
      <charset val="1"/>
      <family val="2"/>
      <i val="1"/>
      <color rgb="FF7F7F7F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i val="1"/>
      <color rgb="FF80808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b val="1"/>
      <color rgb="00FFFFFF"/>
      <sz val="11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  <fill>
      <patternFill patternType="solid">
        <fgColor rgb="001F4E78"/>
        <bgColor rgb="001F4E78"/>
      </patternFill>
    </fill>
    <fill>
      <patternFill patternType="solid">
        <fgColor rgb="00D9E8F5"/>
        <bgColor rgb="00D9E8F5"/>
      </patternFill>
    </fill>
    <fill>
      <patternFill patternType="solid">
        <fgColor rgb="00FFFFFF"/>
        <bgColor rgb="00FFFFFF"/>
      </patternFill>
    </fill>
    <fill>
      <patternFill patternType="solid">
        <fgColor rgb="00C0C0C0"/>
        <bgColor rgb="00C0C0C0"/>
      </patternFill>
    </fill>
  </fills>
  <borders count="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medium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70" fontId="11" fillId="7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19" fillId="8" borderId="4" applyAlignment="1" pivotButton="0" quotePrefix="0" xfId="0">
      <alignment horizontal="center" vertical="center" wrapText="1"/>
    </xf>
    <xf numFmtId="2" fontId="0" fillId="9" borderId="4" applyAlignment="1" pivotButton="0" quotePrefix="0" xfId="0">
      <alignment horizontal="right" vertical="center"/>
    </xf>
    <xf numFmtId="0" fontId="0" fillId="9" borderId="4" applyAlignment="1" pivotButton="0" quotePrefix="0" xfId="0">
      <alignment horizontal="center" vertical="center"/>
    </xf>
    <xf numFmtId="171" fontId="0" fillId="9" borderId="4" applyAlignment="1" pivotButton="0" quotePrefix="0" xfId="0">
      <alignment horizontal="right" vertical="center"/>
    </xf>
    <xf numFmtId="2" fontId="0" fillId="10" borderId="4" applyAlignment="1" pivotButton="0" quotePrefix="0" xfId="0">
      <alignment horizontal="right" vertical="center"/>
    </xf>
    <xf numFmtId="0" fontId="0" fillId="10" borderId="4" applyAlignment="1" pivotButton="0" quotePrefix="0" xfId="0">
      <alignment horizontal="center" vertical="center"/>
    </xf>
    <xf numFmtId="171" fontId="0" fillId="10" borderId="4" applyAlignment="1" pivotButton="0" quotePrefix="0" xfId="0">
      <alignment horizontal="right" vertical="center"/>
    </xf>
    <xf numFmtId="49" fontId="12" fillId="0" borderId="0" applyAlignment="1" pivotButton="0" quotePrefix="0" xfId="0">
      <alignment horizontal="general" vertical="bottom"/>
    </xf>
    <xf numFmtId="2" fontId="12" fillId="9" borderId="4" applyAlignment="1" pivotButton="0" quotePrefix="0" xfId="0">
      <alignment horizontal="right" vertical="center"/>
    </xf>
    <xf numFmtId="4" fontId="20" fillId="11" borderId="4" applyAlignment="1" pivotButton="0" quotePrefix="0" xfId="0">
      <alignment horizontal="right" vertical="center"/>
    </xf>
    <xf numFmtId="0" fontId="20" fillId="11" borderId="4" applyAlignment="1" pivotButton="0" quotePrefix="0" xfId="0">
      <alignment horizontal="right" vertical="center"/>
    </xf>
    <xf numFmtId="171" fontId="20" fillId="11" borderId="4" applyAlignment="1" pivotButton="0" quotePrefix="0" xfId="0">
      <alignment horizontal="right" vertical="center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70" fontId="11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A2714"/>
  <sheetViews>
    <sheetView showFormulas="0" showGridLines="1" showRowColHeaders="1" showZeros="1" rightToLeft="0" tabSelected="0" showOutlineSymbols="1" defaultGridColor="1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2.75" customHeight="0" zeroHeight="0" outlineLevelRow="0"/>
  <cols>
    <col width="3.67" customWidth="1" style="59" min="1" max="1"/>
    <col width="5.56" customWidth="1" style="59" min="2" max="3"/>
    <col width="3.67" customWidth="1" style="59" min="4" max="4"/>
    <col width="9.210000000000001" customWidth="1" style="59" min="5" max="5"/>
    <col width="3.67" customWidth="1" style="59" min="6" max="6"/>
    <col width="9.210000000000001" customWidth="1" style="59" min="7" max="7"/>
    <col width="5.56" customWidth="1" style="59" min="8" max="8"/>
    <col width="9.210000000000001" customWidth="1" style="59" min="9" max="9"/>
    <col width="1.67" customWidth="1" style="59" min="10" max="10"/>
    <col width="2" customWidth="1" style="59" min="11" max="11"/>
    <col width="3.67" customWidth="1" style="59" min="12" max="13"/>
    <col width="2.56" customWidth="1" style="59" min="14" max="14"/>
    <col width="3" customWidth="1" style="59" min="15" max="15"/>
    <col width="3.67" customWidth="1" style="59" min="16" max="16"/>
    <col width="9.44" customWidth="1" style="59" min="17" max="18"/>
    <col width="5.56" customWidth="1" style="59" min="19" max="19"/>
    <col width="9.44" customWidth="1" style="59" min="20" max="20"/>
    <col width="4.88" customWidth="1" style="59" min="21" max="21"/>
    <col width="0.78" customWidth="1" style="59" min="22" max="22"/>
    <col width="5.66" customWidth="1" style="59" min="23" max="23"/>
    <col width="8" customWidth="1" style="59" min="25" max="25"/>
  </cols>
  <sheetData>
    <row r="1" ht="13.5" customHeight="1" s="60">
      <c r="A1" s="61" t="inlineStr">
        <is>
          <t>10491 - Contas a Pagar - Merc. Oliveira</t>
        </is>
      </c>
      <c r="Z1" s="59" t="inlineStr">
        <is>
          <t>Grupo (aux)</t>
        </is>
      </c>
      <c r="AA1" s="59" t="inlineStr">
        <is>
          <t>Entra no fluxo (aux)</t>
        </is>
      </c>
    </row>
    <row r="2" ht="4.5" customHeight="1" s="60">
      <c r="A2" s="62" t="n"/>
    </row>
    <row r="3" ht="9" customHeight="1" s="60">
      <c r="A3" s="63" t="inlineStr">
        <is>
          <t>Loja:  Multi-valor 1</t>
        </is>
      </c>
    </row>
    <row r="4" ht="9" customHeight="1" s="60">
      <c r="A4" s="63" t="inlineStr">
        <is>
          <t>Data Inicial:  Igual a 01/06/2026</t>
        </is>
      </c>
    </row>
    <row r="5" ht="9" customHeight="1" s="60">
      <c r="A5" s="63" t="inlineStr">
        <is>
          <t>Data Final:  Igual a 31/10/2026</t>
        </is>
      </c>
    </row>
    <row r="6" ht="9" customHeight="1" s="60">
      <c r="A6" s="64" t="inlineStr">
        <is>
          <t>Versão 1</t>
        </is>
      </c>
    </row>
    <row r="7" ht="9" customHeight="1" s="60">
      <c r="A7" s="65" t="inlineStr">
        <is>
          <t>Financeiro/Contas a Pagar</t>
        </is>
      </c>
      <c r="O7" s="64" t="inlineStr">
        <is>
          <t>18/08/2026 12:30:43</t>
        </is>
      </c>
    </row>
    <row r="8" ht="48" customHeight="1" s="60">
      <c r="A8" s="66" t="inlineStr">
        <is>
          <t>Loja</t>
        </is>
      </c>
      <c r="B8" s="67" t="inlineStr">
        <is>
          <t>Data de Lançamento</t>
        </is>
      </c>
      <c r="C8" s="67" t="inlineStr">
        <is>
          <t>Data Vencimento</t>
        </is>
      </c>
      <c r="D8" s="66" t="inlineStr">
        <is>
          <t>Cod. Forn.</t>
        </is>
      </c>
      <c r="E8" s="67" t="inlineStr">
        <is>
          <t>Fornecedor</t>
        </is>
      </c>
      <c r="F8" s="66" t="inlineStr">
        <is>
          <t>Cód. Pgto</t>
        </is>
      </c>
      <c r="G8" s="67" t="inlineStr">
        <is>
          <t>Forma Pgto</t>
        </is>
      </c>
      <c r="H8" s="66" t="inlineStr">
        <is>
          <t>Conta Pagar</t>
        </is>
      </c>
      <c r="I8" s="67" t="inlineStr">
        <is>
          <t>Conta Cont. Pagar</t>
        </is>
      </c>
      <c r="J8" s="66" t="inlineStr">
        <is>
          <t>ID Planilha</t>
        </is>
      </c>
      <c r="K8" s="68" t="n"/>
      <c r="L8" s="66" t="inlineStr">
        <is>
          <t>Título</t>
        </is>
      </c>
      <c r="M8" s="67" t="inlineStr">
        <is>
          <t>Dígito</t>
        </is>
      </c>
      <c r="N8" s="67" t="inlineStr">
        <is>
          <t>Origem Mov.</t>
        </is>
      </c>
      <c r="O8" s="68" t="n"/>
      <c r="P8" s="66" t="inlineStr">
        <is>
          <t>Cód. Usuario</t>
        </is>
      </c>
      <c r="Q8" s="67" t="inlineStr">
        <is>
          <t>Usuário</t>
        </is>
      </c>
      <c r="R8" s="67" t="inlineStr">
        <is>
          <t>Tipo Despesa</t>
        </is>
      </c>
      <c r="S8" s="66" t="inlineStr">
        <is>
          <t>Contra Partida</t>
        </is>
      </c>
      <c r="T8" s="67" t="inlineStr">
        <is>
          <t>CC Contra Partida</t>
        </is>
      </c>
      <c r="U8" s="66" t="inlineStr">
        <is>
          <t>Valor Título</t>
        </is>
      </c>
      <c r="V8" s="68" t="n"/>
      <c r="W8" s="66" t="inlineStr">
        <is>
          <t>Valor Pago</t>
        </is>
      </c>
      <c r="X8" s="67" t="inlineStr">
        <is>
          <t>Observação</t>
        </is>
      </c>
      <c r="Y8" s="68" t="n"/>
      <c r="Z8" s="59" t="inlineStr">
        <is>
          <t>Grupo (aux)</t>
        </is>
      </c>
      <c r="AA8" s="59" t="inlineStr">
        <is>
          <t>Entra no fluxo diario?</t>
        </is>
      </c>
    </row>
    <row r="9" ht="1.5" customHeight="1" s="60">
      <c r="A9" s="69" t="n"/>
    </row>
    <row r="10" ht="36.75" customHeight="1" s="60">
      <c r="A10" s="70" t="n">
        <v>1</v>
      </c>
      <c r="B10" s="71" t="n">
        <v>46156</v>
      </c>
      <c r="C10" s="71" t="n">
        <v>46174</v>
      </c>
      <c r="D10" s="70" t="n">
        <v>1666</v>
      </c>
      <c r="E10" s="72" t="inlineStr">
        <is>
          <t>SOUZA CRUZ LTDA.</t>
        </is>
      </c>
      <c r="F10" s="70" t="n">
        <v>24</v>
      </c>
      <c r="G10" s="72" t="inlineStr">
        <is>
          <t>Compra a Prazo - Boletos</t>
        </is>
      </c>
      <c r="H10" s="70" t="n">
        <v>2110101</v>
      </c>
      <c r="I10" s="72" t="inlineStr">
        <is>
          <t>FORNECEDORES DE MERCADORIA</t>
        </is>
      </c>
      <c r="J10" s="70" t="n">
        <v>1098588</v>
      </c>
      <c r="L10" s="70" t="n">
        <v>559545</v>
      </c>
      <c r="M10" s="72" t="inlineStr">
        <is>
          <t>02</t>
        </is>
      </c>
      <c r="N10" s="72" t="inlineStr">
        <is>
          <t>NFE</t>
        </is>
      </c>
      <c r="P10" s="70" t="n">
        <v>103</v>
      </c>
      <c r="Q10" s="72" t="inlineStr">
        <is>
          <t>MILKA FRANCIS</t>
        </is>
      </c>
      <c r="R10" s="72" t="inlineStr">
        <is>
          <t>ESTOQUE DE MERCADORIAS</t>
        </is>
      </c>
      <c r="S10" s="70" t="n">
        <v>1130101</v>
      </c>
      <c r="T10" s="72" t="inlineStr">
        <is>
          <t>MERCADORIAS P/REVENDA</t>
        </is>
      </c>
      <c r="U10" s="73" t="n">
        <v>5071.57</v>
      </c>
      <c r="W10" s="73" t="n">
        <v>0</v>
      </c>
      <c r="X10" s="72" t="inlineStr">
        <is>
          <t>NF 559546-02 MILKA</t>
        </is>
      </c>
      <c r="Z10" s="59">
        <f>IF($T10="","",IFERROR(INDEX('Resumo Grupos'!$AC$3:$AC$200,MATCH($T10,'Resumo Grupos'!$AB$3:$AB$200,0)),"n/d"))</f>
        <v/>
      </c>
      <c r="AA10" s="59">
        <f>IF($T10="","",IF(COUNTIF('Resumo Grupos'!$AE$3:$AE$40,$T10)&gt;0,"NAO","SIM"))</f>
        <v/>
      </c>
    </row>
    <row r="11" ht="45.75" customHeight="1" s="60">
      <c r="A11" s="70" t="n">
        <v>1</v>
      </c>
      <c r="B11" s="71" t="n">
        <v>46155</v>
      </c>
      <c r="C11" s="71" t="n">
        <v>46174</v>
      </c>
      <c r="D11" s="70" t="n">
        <v>1667</v>
      </c>
      <c r="E11" s="72" t="inlineStr">
        <is>
          <t>FENNIX BRASIL DISTRIBUIDORA DE PRODUTOS</t>
        </is>
      </c>
      <c r="F11" s="70" t="n">
        <v>24</v>
      </c>
      <c r="G11" s="72" t="inlineStr">
        <is>
          <t>Compra a Prazo - Boletos</t>
        </is>
      </c>
      <c r="H11" s="70" t="n">
        <v>2110101</v>
      </c>
      <c r="I11" s="72" t="inlineStr">
        <is>
          <t>FORNECEDORES DE MERCADORIA</t>
        </is>
      </c>
      <c r="J11" s="70" t="n">
        <v>1092390</v>
      </c>
      <c r="L11" s="70" t="n">
        <v>458058</v>
      </c>
      <c r="M11" s="72" t="inlineStr">
        <is>
          <t>01</t>
        </is>
      </c>
      <c r="N11" s="72" t="inlineStr">
        <is>
          <t>AVU</t>
        </is>
      </c>
      <c r="P11" s="70" t="n">
        <v>103</v>
      </c>
      <c r="Q11" s="72" t="inlineStr">
        <is>
          <t>MILKA FRANCIS</t>
        </is>
      </c>
      <c r="R11" s="72" t="inlineStr">
        <is>
          <t>ESTOQUE DE MERCADORIAS</t>
        </is>
      </c>
      <c r="S11" s="70" t="n">
        <v>1130101</v>
      </c>
      <c r="T11" s="72" t="inlineStr">
        <is>
          <t>MERCADORIAS P/REVENDA</t>
        </is>
      </c>
      <c r="U11" s="73" t="n">
        <v>2191</v>
      </c>
      <c r="W11" s="73" t="n">
        <v>0</v>
      </c>
      <c r="X11" s="72" t="inlineStr">
        <is>
          <t>NF 393190 C/ TARIFA INCLUSA - MILKA</t>
        </is>
      </c>
      <c r="Z11" s="59">
        <f>IF($T11="","",IFERROR(INDEX('Resumo Grupos'!$AC$3:$AC$200,MATCH($T11,'Resumo Grupos'!$AB$3:$AB$200,0)),"n/d"))</f>
        <v/>
      </c>
      <c r="AA11" s="59">
        <f>IF($T11="","",IF(COUNTIF('Resumo Grupos'!$AE$3:$AE$40,$T11)&gt;0,"NAO","SIM"))</f>
        <v/>
      </c>
    </row>
    <row r="12" ht="54.75" customHeight="1" s="60">
      <c r="A12" s="70" t="n">
        <v>1</v>
      </c>
      <c r="B12" s="71" t="n">
        <v>46142</v>
      </c>
      <c r="C12" s="71" t="n">
        <v>46174</v>
      </c>
      <c r="D12" s="70" t="n">
        <v>1637</v>
      </c>
      <c r="E12" s="72" t="inlineStr">
        <is>
          <t>ATACADAO S.A.</t>
        </is>
      </c>
      <c r="F12" s="70" t="n">
        <v>24</v>
      </c>
      <c r="G12" s="72" t="inlineStr">
        <is>
          <t>Compra a Prazo - Boletos</t>
        </is>
      </c>
      <c r="H12" s="70" t="n">
        <v>2110101</v>
      </c>
      <c r="I12" s="72" t="inlineStr">
        <is>
          <t>FORNECEDORES DE MERCADORIA</t>
        </is>
      </c>
      <c r="J12" s="70" t="n">
        <v>1028944</v>
      </c>
      <c r="L12" s="70" t="n">
        <v>1867423</v>
      </c>
      <c r="M12" s="72" t="inlineStr">
        <is>
          <t>01</t>
        </is>
      </c>
      <c r="N12" s="72" t="inlineStr">
        <is>
          <t>NFE</t>
        </is>
      </c>
      <c r="P12" s="70" t="n">
        <v>103</v>
      </c>
      <c r="Q12" s="72" t="inlineStr">
        <is>
          <t>MILKA FRANCIS</t>
        </is>
      </c>
      <c r="R12" s="72" t="inlineStr">
        <is>
          <t>ESTOQUE DE MERCADORIAS</t>
        </is>
      </c>
      <c r="S12" s="70" t="n">
        <v>1130101</v>
      </c>
      <c r="T12" s="72" t="inlineStr">
        <is>
          <t>MERCADORIAS P/REVENDA</t>
        </is>
      </c>
      <c r="U12" s="73" t="n">
        <v>1079.16</v>
      </c>
      <c r="W12" s="73" t="n">
        <v>0</v>
      </c>
      <c r="X12" s="72" t="inlineStr">
        <is>
          <t>NF 1867423 - MILKA</t>
        </is>
      </c>
      <c r="Z12" s="59">
        <f>IF($T12="","",IFERROR(INDEX('Resumo Grupos'!$AC$3:$AC$200,MATCH($T12,'Resumo Grupos'!$AB$3:$AB$200,0)),"n/d"))</f>
        <v/>
      </c>
      <c r="AA12" s="59">
        <f>IF($T12="","",IF(COUNTIF('Resumo Grupos'!$AE$3:$AE$40,$T12)&gt;0,"NAO","SIM"))</f>
        <v/>
      </c>
    </row>
    <row r="13" ht="54.75" customHeight="1" s="60">
      <c r="A13" s="70" t="n">
        <v>1</v>
      </c>
      <c r="B13" s="71" t="n">
        <v>46149</v>
      </c>
      <c r="C13" s="71" t="n">
        <v>46174</v>
      </c>
      <c r="D13" s="70" t="n">
        <v>1637</v>
      </c>
      <c r="E13" s="72" t="inlineStr">
        <is>
          <t>ATACADAO S.A.</t>
        </is>
      </c>
      <c r="F13" s="70" t="n">
        <v>24</v>
      </c>
      <c r="G13" s="72" t="inlineStr">
        <is>
          <t>Compra a Prazo - Boletos</t>
        </is>
      </c>
      <c r="H13" s="70" t="n">
        <v>2110101</v>
      </c>
      <c r="I13" s="72" t="inlineStr">
        <is>
          <t>FORNECEDORES DE MERCADORIA</t>
        </is>
      </c>
      <c r="J13" s="70" t="n">
        <v>1061284</v>
      </c>
      <c r="L13" s="70" t="n">
        <v>1869851</v>
      </c>
      <c r="M13" s="72" t="inlineStr">
        <is>
          <t>01</t>
        </is>
      </c>
      <c r="N13" s="72" t="inlineStr">
        <is>
          <t>NFE</t>
        </is>
      </c>
      <c r="P13" s="70" t="n">
        <v>103</v>
      </c>
      <c r="Q13" s="72" t="inlineStr">
        <is>
          <t>MILKA FRANCIS</t>
        </is>
      </c>
      <c r="R13" s="72" t="inlineStr">
        <is>
          <t>ESTOQUE DE MERCADORIAS</t>
        </is>
      </c>
      <c r="S13" s="70" t="n">
        <v>1130101</v>
      </c>
      <c r="T13" s="72" t="inlineStr">
        <is>
          <t>MERCADORIAS P/REVENDA</t>
        </is>
      </c>
      <c r="U13" s="73" t="n">
        <v>1287</v>
      </c>
      <c r="W13" s="73" t="n">
        <v>0</v>
      </c>
      <c r="X13" s="72" t="inlineStr">
        <is>
          <t>NF 1869851 - MILKA</t>
        </is>
      </c>
      <c r="Z13" s="59">
        <f>IF($T13="","",IFERROR(INDEX('Resumo Grupos'!$AC$3:$AC$200,MATCH($T13,'Resumo Grupos'!$AB$3:$AB$200,0)),"n/d"))</f>
        <v/>
      </c>
      <c r="AA13" s="59">
        <f>IF($T13="","",IF(COUNTIF('Resumo Grupos'!$AE$3:$AE$40,$T13)&gt;0,"NAO","SIM"))</f>
        <v/>
      </c>
    </row>
    <row r="14" ht="36.75" customHeight="1" s="60">
      <c r="A14" s="70" t="n">
        <v>1</v>
      </c>
      <c r="B14" s="71" t="n">
        <v>46149</v>
      </c>
      <c r="C14" s="71" t="n">
        <v>46174</v>
      </c>
      <c r="D14" s="70" t="n">
        <v>1637</v>
      </c>
      <c r="E14" s="72" t="inlineStr">
        <is>
          <t>ATACADAO S.A.</t>
        </is>
      </c>
      <c r="F14" s="70" t="n">
        <v>24</v>
      </c>
      <c r="G14" s="72" t="inlineStr">
        <is>
          <t>Compra a Prazo - Boletos</t>
        </is>
      </c>
      <c r="H14" s="70" t="n">
        <v>2110101</v>
      </c>
      <c r="I14" s="72" t="inlineStr">
        <is>
          <t>FORNECEDORES DE MERCADORIA</t>
        </is>
      </c>
      <c r="J14" s="70" t="n">
        <v>1062247</v>
      </c>
      <c r="L14" s="70" t="n">
        <v>1868133</v>
      </c>
      <c r="M14" s="72" t="inlineStr">
        <is>
          <t>01</t>
        </is>
      </c>
      <c r="N14" s="72" t="inlineStr">
        <is>
          <t>NFE</t>
        </is>
      </c>
      <c r="P14" s="70" t="n">
        <v>103</v>
      </c>
      <c r="Q14" s="72" t="inlineStr">
        <is>
          <t>MILKA FRANCIS</t>
        </is>
      </c>
      <c r="R14" s="72" t="inlineStr">
        <is>
          <t>ESTOQUE DE MERCADORIAS</t>
        </is>
      </c>
      <c r="S14" s="70" t="n">
        <v>1130101</v>
      </c>
      <c r="T14" s="72" t="inlineStr">
        <is>
          <t>MERCADORIAS P/REVENDA</t>
        </is>
      </c>
      <c r="U14" s="73" t="n">
        <v>1253.52</v>
      </c>
      <c r="W14" s="73" t="n">
        <v>0</v>
      </c>
      <c r="X14" s="72" t="inlineStr">
        <is>
          <t>NF 1868133 - MILKA</t>
        </is>
      </c>
      <c r="Z14" s="59">
        <f>IF($T14="","",IFERROR(INDEX('Resumo Grupos'!$AC$3:$AC$200,MATCH($T14,'Resumo Grupos'!$AB$3:$AB$200,0)),"n/d"))</f>
        <v/>
      </c>
      <c r="AA14" s="59">
        <f>IF($T14="","",IF(COUNTIF('Resumo Grupos'!$AE$3:$AE$40,$T14)&gt;0,"NAO","SIM"))</f>
        <v/>
      </c>
    </row>
    <row r="15" ht="36.75" customHeight="1" s="60">
      <c r="A15" s="70" t="n">
        <v>1</v>
      </c>
      <c r="B15" s="71" t="n">
        <v>46149</v>
      </c>
      <c r="C15" s="71" t="n">
        <v>46174</v>
      </c>
      <c r="D15" s="70" t="n">
        <v>1637</v>
      </c>
      <c r="E15" s="72" t="inlineStr">
        <is>
          <t>ATACADAO S.A.</t>
        </is>
      </c>
      <c r="F15" s="70" t="n">
        <v>24</v>
      </c>
      <c r="G15" s="72" t="inlineStr">
        <is>
          <t>Compra a Prazo - Boletos</t>
        </is>
      </c>
      <c r="H15" s="70" t="n">
        <v>2110101</v>
      </c>
      <c r="I15" s="72" t="inlineStr">
        <is>
          <t>FORNECEDORES DE MERCADORIA</t>
        </is>
      </c>
      <c r="J15" s="70" t="n">
        <v>1062264</v>
      </c>
      <c r="L15" s="70" t="n">
        <v>1868134</v>
      </c>
      <c r="M15" s="72" t="inlineStr">
        <is>
          <t>01</t>
        </is>
      </c>
      <c r="N15" s="72" t="inlineStr">
        <is>
          <t>NFE</t>
        </is>
      </c>
      <c r="P15" s="70" t="n">
        <v>103</v>
      </c>
      <c r="Q15" s="72" t="inlineStr">
        <is>
          <t>MILKA FRANCIS</t>
        </is>
      </c>
      <c r="R15" s="72" t="inlineStr">
        <is>
          <t>ESTOQUE DE MERCADORIAS</t>
        </is>
      </c>
      <c r="S15" s="70" t="n">
        <v>1130101</v>
      </c>
      <c r="T15" s="72" t="inlineStr">
        <is>
          <t>MERCADORIAS P/REVENDA</t>
        </is>
      </c>
      <c r="U15" s="73" t="n">
        <v>3803.25</v>
      </c>
      <c r="W15" s="73" t="n">
        <v>0</v>
      </c>
      <c r="X15" s="72" t="inlineStr">
        <is>
          <t>NF 1868134 - MILKA</t>
        </is>
      </c>
      <c r="Z15" s="59">
        <f>IF($T15="","",IFERROR(INDEX('Resumo Grupos'!$AC$3:$AC$200,MATCH($T15,'Resumo Grupos'!$AB$3:$AB$200,0)),"n/d"))</f>
        <v/>
      </c>
      <c r="AA15" s="59">
        <f>IF($T15="","",IF(COUNTIF('Resumo Grupos'!$AE$3:$AE$40,$T15)&gt;0,"NAO","SIM"))</f>
        <v/>
      </c>
    </row>
    <row r="16" ht="36.75" customHeight="1" s="60">
      <c r="A16" s="70" t="n">
        <v>1</v>
      </c>
      <c r="B16" s="71" t="n">
        <v>46153</v>
      </c>
      <c r="C16" s="71" t="n">
        <v>46174</v>
      </c>
      <c r="D16" s="70" t="n">
        <v>1626</v>
      </c>
      <c r="E16" s="72" t="inlineStr">
        <is>
          <t>FENNIX BRASIL DISTRIBUIDORA DE PRODUTOS</t>
        </is>
      </c>
      <c r="F16" s="70" t="n">
        <v>24</v>
      </c>
      <c r="G16" s="72" t="inlineStr">
        <is>
          <t>Compra a Prazo - Boletos</t>
        </is>
      </c>
      <c r="H16" s="70" t="n">
        <v>2110101</v>
      </c>
      <c r="I16" s="72" t="inlineStr">
        <is>
          <t>FORNECEDORES DE MERCADORIA</t>
        </is>
      </c>
      <c r="J16" s="70" t="n">
        <v>1084269</v>
      </c>
      <c r="L16" s="70" t="n">
        <v>454910</v>
      </c>
      <c r="M16" s="72" t="inlineStr">
        <is>
          <t>02</t>
        </is>
      </c>
      <c r="N16" s="72" t="inlineStr">
        <is>
          <t>AVU</t>
        </is>
      </c>
      <c r="P16" s="70" t="n">
        <v>103</v>
      </c>
      <c r="Q16" s="72" t="inlineStr">
        <is>
          <t>MILKA FRANCIS</t>
        </is>
      </c>
      <c r="R16" s="72" t="inlineStr">
        <is>
          <t>ESTOQUE DE MERCADORIAS</t>
        </is>
      </c>
      <c r="S16" s="70" t="n">
        <v>1130101</v>
      </c>
      <c r="T16" s="72" t="inlineStr">
        <is>
          <t>MERCADORIAS P/REVENDA</t>
        </is>
      </c>
      <c r="U16" s="73" t="n">
        <v>1424.06</v>
      </c>
      <c r="W16" s="73" t="n">
        <v>0</v>
      </c>
      <c r="X16" s="72" t="inlineStr">
        <is>
          <t>NF 304894 -2 MILKA</t>
        </is>
      </c>
      <c r="Z16" s="59">
        <f>IF($T16="","",IFERROR(INDEX('Resumo Grupos'!$AC$3:$AC$200,MATCH($T16,'Resumo Grupos'!$AB$3:$AB$200,0)),"n/d"))</f>
        <v/>
      </c>
      <c r="AA16" s="59">
        <f>IF($T16="","",IF(COUNTIF('Resumo Grupos'!$AE$3:$AE$40,$T16)&gt;0,"NAO","SIM"))</f>
        <v/>
      </c>
    </row>
    <row r="17" ht="36.75" customHeight="1" s="60">
      <c r="A17" s="70" t="n">
        <v>1</v>
      </c>
      <c r="B17" s="71" t="n">
        <v>46153</v>
      </c>
      <c r="C17" s="71" t="n">
        <v>46174</v>
      </c>
      <c r="D17" s="70" t="n">
        <v>1667</v>
      </c>
      <c r="E17" s="72" t="inlineStr">
        <is>
          <t>FENNIX BRASIL DISTRIBUIDORA DE PRODUTOS</t>
        </is>
      </c>
      <c r="F17" s="70" t="n">
        <v>24</v>
      </c>
      <c r="G17" s="72" t="inlineStr">
        <is>
          <t>Compra a Prazo - Boletos</t>
        </is>
      </c>
      <c r="H17" s="70" t="n">
        <v>2110101</v>
      </c>
      <c r="I17" s="72" t="inlineStr">
        <is>
          <t>FORNECEDORES DE MERCADORIA</t>
        </is>
      </c>
      <c r="J17" s="70" t="n">
        <v>1084365</v>
      </c>
      <c r="L17" s="70" t="n">
        <v>454934</v>
      </c>
      <c r="M17" s="72" t="inlineStr">
        <is>
          <t>01</t>
        </is>
      </c>
      <c r="N17" s="72" t="inlineStr">
        <is>
          <t>AVU</t>
        </is>
      </c>
      <c r="P17" s="70" t="n">
        <v>103</v>
      </c>
      <c r="Q17" s="72" t="inlineStr">
        <is>
          <t>MILKA FRANCIS</t>
        </is>
      </c>
      <c r="R17" s="72" t="inlineStr">
        <is>
          <t>ESTOQUE DE MERCADORIAS</t>
        </is>
      </c>
      <c r="S17" s="70" t="n">
        <v>1130101</v>
      </c>
      <c r="T17" s="72" t="inlineStr">
        <is>
          <t>MERCADORIAS P/REVENDA</t>
        </is>
      </c>
      <c r="U17" s="73" t="n">
        <v>2210.98</v>
      </c>
      <c r="W17" s="73" t="n">
        <v>0</v>
      </c>
      <c r="X17" s="72" t="inlineStr">
        <is>
          <t>NF 393189 C/ TARIFA INCLUSA - MILKA</t>
        </is>
      </c>
      <c r="Z17" s="59">
        <f>IF($T17="","",IFERROR(INDEX('Resumo Grupos'!$AC$3:$AC$200,MATCH($T17,'Resumo Grupos'!$AB$3:$AB$200,0)),"n/d"))</f>
        <v/>
      </c>
      <c r="AA17" s="59">
        <f>IF($T17="","",IF(COUNTIF('Resumo Grupos'!$AE$3:$AE$40,$T17)&gt;0,"NAO","SIM"))</f>
        <v/>
      </c>
    </row>
    <row r="18" ht="36.75" customHeight="1" s="60">
      <c r="A18" s="70" t="n">
        <v>1</v>
      </c>
      <c r="B18" s="71" t="n">
        <v>46153</v>
      </c>
      <c r="C18" s="71" t="n">
        <v>46174</v>
      </c>
      <c r="D18" s="70" t="n">
        <v>1608</v>
      </c>
      <c r="E18" s="72" t="inlineStr">
        <is>
          <t>DISTRIBUIDORA LOPES LTDA</t>
        </is>
      </c>
      <c r="F18" s="70" t="n">
        <v>24</v>
      </c>
      <c r="G18" s="72" t="inlineStr">
        <is>
          <t>Compra a Prazo - Boletos</t>
        </is>
      </c>
      <c r="H18" s="70" t="n">
        <v>2110101</v>
      </c>
      <c r="I18" s="72" t="inlineStr">
        <is>
          <t>FORNECEDORES DE MERCADORIA</t>
        </is>
      </c>
      <c r="J18" s="70" t="n">
        <v>1085321</v>
      </c>
      <c r="L18" s="70" t="n">
        <v>1651895</v>
      </c>
      <c r="M18" s="72" t="inlineStr">
        <is>
          <t>01</t>
        </is>
      </c>
      <c r="N18" s="72" t="inlineStr">
        <is>
          <t>NFE</t>
        </is>
      </c>
      <c r="P18" s="70" t="n">
        <v>103</v>
      </c>
      <c r="Q18" s="72" t="inlineStr">
        <is>
          <t>MILKA FRANCIS</t>
        </is>
      </c>
      <c r="R18" s="72" t="inlineStr">
        <is>
          <t>ESTOQUE DE MERCADORIAS</t>
        </is>
      </c>
      <c r="S18" s="70" t="n">
        <v>1130101</v>
      </c>
      <c r="T18" s="72" t="inlineStr">
        <is>
          <t>MERCADORIAS P/REVENDA</t>
        </is>
      </c>
      <c r="U18" s="73" t="n">
        <v>1171.71</v>
      </c>
      <c r="W18" s="73" t="n">
        <v>0</v>
      </c>
      <c r="X18" s="72" t="inlineStr">
        <is>
          <t>NF 1651895-1 MILKA</t>
        </is>
      </c>
      <c r="Z18" s="59">
        <f>IF($T18="","",IFERROR(INDEX('Resumo Grupos'!$AC$3:$AC$200,MATCH($T18,'Resumo Grupos'!$AB$3:$AB$200,0)),"n/d"))</f>
        <v/>
      </c>
      <c r="AA18" s="59">
        <f>IF($T18="","",IF(COUNTIF('Resumo Grupos'!$AE$3:$AE$40,$T18)&gt;0,"NAO","SIM"))</f>
        <v/>
      </c>
    </row>
    <row r="19" ht="45.75" customHeight="1" s="60">
      <c r="A19" s="70" t="n">
        <v>1</v>
      </c>
      <c r="B19" s="71" t="n">
        <v>46157</v>
      </c>
      <c r="C19" s="71" t="n">
        <v>46174</v>
      </c>
      <c r="D19" s="70" t="n">
        <v>1637</v>
      </c>
      <c r="E19" s="72" t="inlineStr">
        <is>
          <t>ATACADAO S.A.</t>
        </is>
      </c>
      <c r="F19" s="70" t="n">
        <v>24</v>
      </c>
      <c r="G19" s="72" t="inlineStr">
        <is>
          <t>Compra a Prazo - Boletos</t>
        </is>
      </c>
      <c r="H19" s="70" t="n">
        <v>2110101</v>
      </c>
      <c r="I19" s="72" t="inlineStr">
        <is>
          <t>FORNECEDORES DE MERCADORIA</t>
        </is>
      </c>
      <c r="J19" s="70" t="n">
        <v>1102327</v>
      </c>
      <c r="L19" s="70" t="n">
        <v>1875690</v>
      </c>
      <c r="M19" s="72" t="inlineStr">
        <is>
          <t>01</t>
        </is>
      </c>
      <c r="N19" s="72" t="inlineStr">
        <is>
          <t>NFE</t>
        </is>
      </c>
      <c r="P19" s="70" t="n">
        <v>103</v>
      </c>
      <c r="Q19" s="72" t="inlineStr">
        <is>
          <t>MILKA FRANCIS</t>
        </is>
      </c>
      <c r="R19" s="72" t="inlineStr">
        <is>
          <t>ESTOQUE DE MERCADORIAS</t>
        </is>
      </c>
      <c r="S19" s="70" t="n">
        <v>1130101</v>
      </c>
      <c r="T19" s="72" t="inlineStr">
        <is>
          <t>MERCADORIAS P/REVENDA</t>
        </is>
      </c>
      <c r="U19" s="73" t="n">
        <v>2644.71</v>
      </c>
      <c r="W19" s="73" t="n">
        <v>0</v>
      </c>
      <c r="X19" s="72" t="inlineStr">
        <is>
          <t>NF 1875690 - MILKA</t>
        </is>
      </c>
      <c r="Z19" s="59">
        <f>IF($T19="","",IFERROR(INDEX('Resumo Grupos'!$AC$3:$AC$200,MATCH($T19,'Resumo Grupos'!$AB$3:$AB$200,0)),"n/d"))</f>
        <v/>
      </c>
      <c r="AA19" s="59">
        <f>IF($T19="","",IF(COUNTIF('Resumo Grupos'!$AE$3:$AE$40,$T19)&gt;0,"NAO","SIM"))</f>
        <v/>
      </c>
    </row>
    <row r="20" ht="45.75" customHeight="1" s="60">
      <c r="A20" s="70" t="n">
        <v>1</v>
      </c>
      <c r="B20" s="71" t="n">
        <v>46161</v>
      </c>
      <c r="C20" s="71" t="n">
        <v>46174</v>
      </c>
      <c r="D20" s="70" t="n">
        <v>1659</v>
      </c>
      <c r="E20" s="72" t="inlineStr">
        <is>
          <t>ADRIANA DISTRIBUIDORA DE PRODUTOS ALIMEN</t>
        </is>
      </c>
      <c r="F20" s="70" t="n">
        <v>24</v>
      </c>
      <c r="G20" s="72" t="inlineStr">
        <is>
          <t>Compra a Prazo - Boletos</t>
        </is>
      </c>
      <c r="H20" s="70" t="n">
        <v>2110101</v>
      </c>
      <c r="I20" s="72" t="inlineStr">
        <is>
          <t>FORNECEDORES DE MERCADORIA</t>
        </is>
      </c>
      <c r="J20" s="70" t="n">
        <v>1121828</v>
      </c>
      <c r="L20" s="70" t="n">
        <v>872189</v>
      </c>
      <c r="M20" s="72" t="inlineStr">
        <is>
          <t>01</t>
        </is>
      </c>
      <c r="N20" s="72" t="inlineStr">
        <is>
          <t>NFE</t>
        </is>
      </c>
      <c r="P20" s="70" t="n">
        <v>103</v>
      </c>
      <c r="Q20" s="72" t="inlineStr">
        <is>
          <t>MILKA FRANCIS</t>
        </is>
      </c>
      <c r="R20" s="72" t="inlineStr">
        <is>
          <t>ESTOQUE DE MERCADORIAS</t>
        </is>
      </c>
      <c r="S20" s="70" t="n">
        <v>1130101</v>
      </c>
      <c r="T20" s="72" t="inlineStr">
        <is>
          <t>MERCADORIAS P/REVENDA</t>
        </is>
      </c>
      <c r="U20" s="73" t="n">
        <v>872.55</v>
      </c>
      <c r="W20" s="73" t="n">
        <v>0</v>
      </c>
      <c r="X20" s="72" t="inlineStr">
        <is>
          <t>NF 872189-1 MILKA</t>
        </is>
      </c>
      <c r="Z20" s="59">
        <f>IF($T20="","",IFERROR(INDEX('Resumo Grupos'!$AC$3:$AC$200,MATCH($T20,'Resumo Grupos'!$AB$3:$AB$200,0)),"n/d"))</f>
        <v/>
      </c>
      <c r="AA20" s="59">
        <f>IF($T20="","",IF(COUNTIF('Resumo Grupos'!$AE$3:$AE$40,$T20)&gt;0,"NAO","SIM"))</f>
        <v/>
      </c>
    </row>
    <row r="21" ht="45.75" customHeight="1" s="60">
      <c r="A21" s="70" t="n">
        <v>1</v>
      </c>
      <c r="B21" s="71" t="n">
        <v>46162</v>
      </c>
      <c r="C21" s="71" t="n">
        <v>46174</v>
      </c>
      <c r="D21" s="70" t="n">
        <v>1637</v>
      </c>
      <c r="E21" s="72" t="inlineStr">
        <is>
          <t>ATACADAO S.A.</t>
        </is>
      </c>
      <c r="F21" s="70" t="n">
        <v>24</v>
      </c>
      <c r="G21" s="72" t="inlineStr">
        <is>
          <t>Compra a Prazo - Boletos</t>
        </is>
      </c>
      <c r="H21" s="70" t="n">
        <v>2110101</v>
      </c>
      <c r="I21" s="72" t="inlineStr">
        <is>
          <t>FORNECEDORES DE MERCADORIA</t>
        </is>
      </c>
      <c r="J21" s="70" t="n">
        <v>1128001</v>
      </c>
      <c r="L21" s="70" t="n">
        <v>1880852</v>
      </c>
      <c r="M21" s="72" t="inlineStr">
        <is>
          <t>01</t>
        </is>
      </c>
      <c r="N21" s="72" t="inlineStr">
        <is>
          <t>NFE</t>
        </is>
      </c>
      <c r="P21" s="70" t="n">
        <v>103</v>
      </c>
      <c r="Q21" s="72" t="inlineStr">
        <is>
          <t>MILKA FRANCIS</t>
        </is>
      </c>
      <c r="R21" s="72" t="inlineStr">
        <is>
          <t>ESTOQUE DE MERCADORIAS</t>
        </is>
      </c>
      <c r="S21" s="70" t="n">
        <v>1130101</v>
      </c>
      <c r="T21" s="72" t="inlineStr">
        <is>
          <t>MERCADORIAS P/REVENDA</t>
        </is>
      </c>
      <c r="U21" s="73" t="n">
        <v>977.47</v>
      </c>
      <c r="W21" s="73" t="n">
        <v>0</v>
      </c>
      <c r="X21" s="72" t="inlineStr">
        <is>
          <t>NF 1880852 - MILKA</t>
        </is>
      </c>
      <c r="Z21" s="59">
        <f>IF($T21="","",IFERROR(INDEX('Resumo Grupos'!$AC$3:$AC$200,MATCH($T21,'Resumo Grupos'!$AB$3:$AB$200,0)),"n/d"))</f>
        <v/>
      </c>
      <c r="AA21" s="59">
        <f>IF($T21="","",IF(COUNTIF('Resumo Grupos'!$AE$3:$AE$40,$T21)&gt;0,"NAO","SIM"))</f>
        <v/>
      </c>
    </row>
    <row r="22" ht="36.75" customHeight="1" s="60">
      <c r="A22" s="70" t="n">
        <v>1</v>
      </c>
      <c r="B22" s="71" t="n">
        <v>46164</v>
      </c>
      <c r="C22" s="71" t="n">
        <v>46174</v>
      </c>
      <c r="D22" s="70" t="n">
        <v>1668</v>
      </c>
      <c r="E22" s="72" t="inlineStr">
        <is>
          <t>NATUREZA COMERCIO DE DESCARTAVEIS LTDA</t>
        </is>
      </c>
      <c r="F22" s="70" t="n">
        <v>24</v>
      </c>
      <c r="G22" s="72" t="inlineStr">
        <is>
          <t>Compra a Prazo - Boletos</t>
        </is>
      </c>
      <c r="H22" s="70" t="n">
        <v>2110101</v>
      </c>
      <c r="I22" s="72" t="inlineStr">
        <is>
          <t>FORNECEDORES DE MERCADORIA</t>
        </is>
      </c>
      <c r="J22" s="70" t="n">
        <v>1135926</v>
      </c>
      <c r="L22" s="70" t="n">
        <v>719719</v>
      </c>
      <c r="M22" s="72" t="inlineStr">
        <is>
          <t>01</t>
        </is>
      </c>
      <c r="N22" s="72" t="inlineStr">
        <is>
          <t>NFE</t>
        </is>
      </c>
      <c r="P22" s="70" t="n">
        <v>103</v>
      </c>
      <c r="Q22" s="72" t="inlineStr">
        <is>
          <t>MILKA FRANCIS</t>
        </is>
      </c>
      <c r="R22" s="72" t="inlineStr">
        <is>
          <t>ESTOQUE DE MERCADORIAS</t>
        </is>
      </c>
      <c r="S22" s="70" t="n">
        <v>1130101</v>
      </c>
      <c r="T22" s="72" t="inlineStr">
        <is>
          <t>MERCADORIAS P/REVENDA</t>
        </is>
      </c>
      <c r="U22" s="73" t="n">
        <v>309.9</v>
      </c>
      <c r="W22" s="73" t="n">
        <v>0</v>
      </c>
      <c r="X22" s="72" t="inlineStr">
        <is>
          <t>NF 719719 - MILKA</t>
        </is>
      </c>
      <c r="Z22" s="59">
        <f>IF($T22="","",IFERROR(INDEX('Resumo Grupos'!$AC$3:$AC$200,MATCH($T22,'Resumo Grupos'!$AB$3:$AB$200,0)),"n/d"))</f>
        <v/>
      </c>
      <c r="AA22" s="59">
        <f>IF($T22="","",IF(COUNTIF('Resumo Grupos'!$AE$3:$AE$40,$T22)&gt;0,"NAO","SIM"))</f>
        <v/>
      </c>
    </row>
    <row r="23" ht="45.75" customHeight="1" s="60">
      <c r="A23" s="70" t="n">
        <v>1</v>
      </c>
      <c r="B23" s="71" t="n">
        <v>46164</v>
      </c>
      <c r="C23" s="71" t="n">
        <v>46174</v>
      </c>
      <c r="D23" s="70" t="n">
        <v>1668</v>
      </c>
      <c r="E23" s="72" t="inlineStr">
        <is>
          <t>NATUREZA COMERCIO DE DESCARTAVEIS LTDA</t>
        </is>
      </c>
      <c r="F23" s="70" t="n">
        <v>24</v>
      </c>
      <c r="G23" s="72" t="inlineStr">
        <is>
          <t>Compra a Prazo - Boletos</t>
        </is>
      </c>
      <c r="H23" s="70" t="n">
        <v>2110102</v>
      </c>
      <c r="I23" s="72" t="inlineStr">
        <is>
          <t>OUTROS FORNECEDORES</t>
        </is>
      </c>
      <c r="J23" s="70" t="n">
        <v>1135929</v>
      </c>
      <c r="L23" s="70" t="n">
        <v>719718</v>
      </c>
      <c r="M23" s="72" t="inlineStr">
        <is>
          <t>01</t>
        </is>
      </c>
      <c r="N23" s="72" t="inlineStr">
        <is>
          <t>NFE</t>
        </is>
      </c>
      <c r="P23" s="70" t="n">
        <v>103</v>
      </c>
      <c r="Q23" s="72" t="inlineStr">
        <is>
          <t>MILKA FRANCIS</t>
        </is>
      </c>
      <c r="R23" s="72" t="inlineStr">
        <is>
          <t>DESPESAS OPERACIONAIS</t>
        </is>
      </c>
      <c r="S23" s="70" t="n">
        <v>4210204</v>
      </c>
      <c r="T23" s="72" t="inlineStr">
        <is>
          <t>MATERIAL DE CONSUMO</t>
        </is>
      </c>
      <c r="U23" s="73" t="n">
        <v>645.6799999999999</v>
      </c>
      <c r="W23" s="73" t="n">
        <v>0</v>
      </c>
      <c r="X23" s="72" t="inlineStr">
        <is>
          <t>NF 719718 - MILKA</t>
        </is>
      </c>
      <c r="Z23" s="59">
        <f>IF($T23="","",IFERROR(INDEX('Resumo Grupos'!$AC$3:$AC$200,MATCH($T23,'Resumo Grupos'!$AB$3:$AB$200,0)),"n/d"))</f>
        <v/>
      </c>
      <c r="AA23" s="59">
        <f>IF($T23="","",IF(COUNTIF('Resumo Grupos'!$AE$3:$AE$40,$T23)&gt;0,"NAO","SIM"))</f>
        <v/>
      </c>
    </row>
    <row r="24" ht="45.75" customHeight="1" s="60">
      <c r="A24" s="70" t="n">
        <v>1</v>
      </c>
      <c r="B24" s="71" t="n">
        <v>46164</v>
      </c>
      <c r="C24" s="71" t="n">
        <v>46174</v>
      </c>
      <c r="D24" s="70" t="n">
        <v>1626</v>
      </c>
      <c r="E24" s="72" t="inlineStr">
        <is>
          <t>FENNIX BRASIL DISTRIBUIDORA DE PRODUTOS</t>
        </is>
      </c>
      <c r="F24" s="70" t="n">
        <v>24</v>
      </c>
      <c r="G24" s="72" t="inlineStr">
        <is>
          <t>Compra a Prazo - Boletos</t>
        </is>
      </c>
      <c r="H24" s="70" t="n">
        <v>2110101</v>
      </c>
      <c r="I24" s="72" t="inlineStr">
        <is>
          <t>FORNECEDORES DE MERCADORIA</t>
        </is>
      </c>
      <c r="J24" s="70" t="n">
        <v>1136194</v>
      </c>
      <c r="L24" s="70" t="n">
        <v>474578</v>
      </c>
      <c r="M24" s="72" t="inlineStr">
        <is>
          <t>01</t>
        </is>
      </c>
      <c r="N24" s="72" t="inlineStr">
        <is>
          <t>AVU</t>
        </is>
      </c>
      <c r="P24" s="70" t="n">
        <v>103</v>
      </c>
      <c r="Q24" s="72" t="inlineStr">
        <is>
          <t>MILKA FRANCIS</t>
        </is>
      </c>
      <c r="R24" s="72" t="inlineStr">
        <is>
          <t>ESTOQUE DE MERCADORIAS</t>
        </is>
      </c>
      <c r="S24" s="70" t="n">
        <v>1130101</v>
      </c>
      <c r="T24" s="72" t="inlineStr">
        <is>
          <t>MERCADORIAS P/REVENDA</t>
        </is>
      </c>
      <c r="U24" s="73" t="n">
        <v>1172.3</v>
      </c>
      <c r="W24" s="73" t="n">
        <v>0</v>
      </c>
      <c r="X24" s="72" t="inlineStr">
        <is>
          <t>NF 305708-1 C/TARIFA INCLUSA - MILKA</t>
        </is>
      </c>
      <c r="Z24" s="59">
        <f>IF($T24="","",IFERROR(INDEX('Resumo Grupos'!$AC$3:$AC$200,MATCH($T24,'Resumo Grupos'!$AB$3:$AB$200,0)),"n/d"))</f>
        <v/>
      </c>
      <c r="AA24" s="59">
        <f>IF($T24="","",IF(COUNTIF('Resumo Grupos'!$AE$3:$AE$40,$T24)&gt;0,"NAO","SIM"))</f>
        <v/>
      </c>
    </row>
    <row r="25" ht="45.75" customHeight="1" s="60">
      <c r="A25" s="70" t="n">
        <v>1</v>
      </c>
      <c r="B25" s="71" t="n">
        <v>46168</v>
      </c>
      <c r="C25" s="71" t="n">
        <v>46174</v>
      </c>
      <c r="D25" s="70" t="n">
        <v>1609</v>
      </c>
      <c r="E25" s="72" t="inlineStr">
        <is>
          <t>H. L. DO NASCIMENTO</t>
        </is>
      </c>
      <c r="F25" s="70" t="n">
        <v>24</v>
      </c>
      <c r="G25" s="72" t="inlineStr">
        <is>
          <t>Compra a Prazo - Boletos</t>
        </is>
      </c>
      <c r="H25" s="70" t="n">
        <v>2110101</v>
      </c>
      <c r="I25" s="72" t="inlineStr">
        <is>
          <t>FORNECEDORES DE MERCADORIA</t>
        </is>
      </c>
      <c r="J25" s="70" t="n">
        <v>1155857</v>
      </c>
      <c r="L25" s="70" t="n">
        <v>5581</v>
      </c>
      <c r="M25" s="72" t="inlineStr">
        <is>
          <t>01</t>
        </is>
      </c>
      <c r="N25" s="72" t="inlineStr">
        <is>
          <t>NFE</t>
        </is>
      </c>
      <c r="P25" s="70" t="n">
        <v>103</v>
      </c>
      <c r="Q25" s="72" t="inlineStr">
        <is>
          <t>MILKA FRANCIS</t>
        </is>
      </c>
      <c r="R25" s="72" t="inlineStr">
        <is>
          <t>ESTOQUE DE MERCADORIAS</t>
        </is>
      </c>
      <c r="S25" s="70" t="n">
        <v>1130101</v>
      </c>
      <c r="T25" s="72" t="inlineStr">
        <is>
          <t>MERCADORIAS P/REVENDA</t>
        </is>
      </c>
      <c r="U25" s="73" t="n">
        <v>487.3</v>
      </c>
      <c r="W25" s="73" t="n">
        <v>0</v>
      </c>
      <c r="X25" s="72" t="inlineStr">
        <is>
          <t>NF 5581 - MILKA</t>
        </is>
      </c>
      <c r="Z25" s="59">
        <f>IF($T25="","",IFERROR(INDEX('Resumo Grupos'!$AC$3:$AC$200,MATCH($T25,'Resumo Grupos'!$AB$3:$AB$200,0)),"n/d"))</f>
        <v/>
      </c>
      <c r="AA25" s="59">
        <f>IF($T25="","",IF(COUNTIF('Resumo Grupos'!$AE$3:$AE$40,$T25)&gt;0,"NAO","SIM"))</f>
        <v/>
      </c>
    </row>
    <row r="26" ht="45.75" customHeight="1" s="60">
      <c r="A26" s="70" t="n">
        <v>1</v>
      </c>
      <c r="B26" s="71" t="n">
        <v>46168</v>
      </c>
      <c r="C26" s="71" t="n">
        <v>46174</v>
      </c>
      <c r="D26" s="70" t="n">
        <v>1614</v>
      </c>
      <c r="E26" s="72" t="inlineStr">
        <is>
          <t>C. R. PARENTE ABREU</t>
        </is>
      </c>
      <c r="F26" s="70" t="n">
        <v>24</v>
      </c>
      <c r="G26" s="72" t="inlineStr">
        <is>
          <t>Compra a Prazo - Boletos</t>
        </is>
      </c>
      <c r="H26" s="70" t="n">
        <v>2110101</v>
      </c>
      <c r="I26" s="72" t="inlineStr">
        <is>
          <t>FORNECEDORES DE MERCADORIA</t>
        </is>
      </c>
      <c r="J26" s="70" t="n">
        <v>1156239</v>
      </c>
      <c r="L26" s="70" t="n">
        <v>11180</v>
      </c>
      <c r="M26" s="72" t="inlineStr">
        <is>
          <t>02</t>
        </is>
      </c>
      <c r="N26" s="72" t="inlineStr">
        <is>
          <t>NFE</t>
        </is>
      </c>
      <c r="P26" s="70" t="n">
        <v>103</v>
      </c>
      <c r="Q26" s="72" t="inlineStr">
        <is>
          <t>MILKA FRANCIS</t>
        </is>
      </c>
      <c r="R26" s="72" t="inlineStr">
        <is>
          <t>ESTOQUE DE MERCADORIAS</t>
        </is>
      </c>
      <c r="S26" s="70" t="n">
        <v>1130101</v>
      </c>
      <c r="T26" s="72" t="inlineStr">
        <is>
          <t>MERCADORIAS P/REVENDA</t>
        </is>
      </c>
      <c r="U26" s="73" t="n">
        <v>269.04</v>
      </c>
      <c r="W26" s="73" t="n">
        <v>0</v>
      </c>
      <c r="X26" s="72" t="inlineStr">
        <is>
          <t>NF 11180-2 MILKA</t>
        </is>
      </c>
      <c r="Z26" s="59">
        <f>IF($T26="","",IFERROR(INDEX('Resumo Grupos'!$AC$3:$AC$200,MATCH($T26,'Resumo Grupos'!$AB$3:$AB$200,0)),"n/d"))</f>
        <v/>
      </c>
      <c r="AA26" s="59">
        <f>IF($T26="","",IF(COUNTIF('Resumo Grupos'!$AE$3:$AE$40,$T26)&gt;0,"NAO","SIM"))</f>
        <v/>
      </c>
    </row>
    <row r="27" ht="45.75" customHeight="1" s="60">
      <c r="A27" s="70" t="n">
        <v>1</v>
      </c>
      <c r="B27" s="71" t="n">
        <v>46169</v>
      </c>
      <c r="C27" s="71" t="n">
        <v>46174</v>
      </c>
      <c r="D27" s="70" t="n">
        <v>1636</v>
      </c>
      <c r="E27" s="72" t="inlineStr">
        <is>
          <t>DUNORTE DISTRIBUIDORA DE PRODUTOS DE CONSUMO LTDA</t>
        </is>
      </c>
      <c r="F27" s="70" t="n">
        <v>24</v>
      </c>
      <c r="G27" s="72" t="inlineStr">
        <is>
          <t>Compra a Prazo - Boletos</t>
        </is>
      </c>
      <c r="H27" s="70" t="n">
        <v>2110101</v>
      </c>
      <c r="I27" s="72" t="inlineStr">
        <is>
          <t>FORNECEDORES DE MERCADORIA</t>
        </is>
      </c>
      <c r="J27" s="70" t="n">
        <v>1161081</v>
      </c>
      <c r="L27" s="70" t="n">
        <v>484463</v>
      </c>
      <c r="M27" s="72" t="inlineStr">
        <is>
          <t>01</t>
        </is>
      </c>
      <c r="N27" s="72" t="inlineStr">
        <is>
          <t>AVU</t>
        </is>
      </c>
      <c r="P27" s="70" t="n">
        <v>103</v>
      </c>
      <c r="Q27" s="72" t="inlineStr">
        <is>
          <t>MILKA FRANCIS</t>
        </is>
      </c>
      <c r="R27" s="72" t="inlineStr">
        <is>
          <t>ESTOQUE DE MERCADORIAS</t>
        </is>
      </c>
      <c r="S27" s="70" t="n">
        <v>1130101</v>
      </c>
      <c r="T27" s="72" t="inlineStr">
        <is>
          <t>MERCADORIAS P/REVENDA</t>
        </is>
      </c>
      <c r="U27" s="73" t="n">
        <v>2761.81</v>
      </c>
      <c r="W27" s="73" t="n">
        <v>0</v>
      </c>
      <c r="X27" s="72" t="inlineStr">
        <is>
          <t>NF 3189024 -1 MILKA</t>
        </is>
      </c>
      <c r="Z27" s="59">
        <f>IF($T27="","",IFERROR(INDEX('Resumo Grupos'!$AC$3:$AC$200,MATCH($T27,'Resumo Grupos'!$AB$3:$AB$200,0)),"n/d"))</f>
        <v/>
      </c>
      <c r="AA27" s="59">
        <f>IF($T27="","",IF(COUNTIF('Resumo Grupos'!$AE$3:$AE$40,$T27)&gt;0,"NAO","SIM"))</f>
        <v/>
      </c>
    </row>
    <row r="28" ht="45.75" customHeight="1" s="60">
      <c r="A28" s="70" t="n">
        <v>1</v>
      </c>
      <c r="B28" s="71" t="n">
        <v>46170</v>
      </c>
      <c r="C28" s="71" t="n">
        <v>46174</v>
      </c>
      <c r="D28" s="70" t="n">
        <v>33</v>
      </c>
      <c r="E28" s="72" t="inlineStr">
        <is>
          <t>RENATO DE O AZEVEDO E CIA LTDA - EPP</t>
        </is>
      </c>
      <c r="F28" s="70" t="n">
        <v>34</v>
      </c>
      <c r="G28" s="72" t="inlineStr">
        <is>
          <t>Transferencia Pix</t>
        </is>
      </c>
      <c r="H28" s="70" t="n">
        <v>2110101</v>
      </c>
      <c r="I28" s="72" t="inlineStr">
        <is>
          <t>FORNECEDORES DE MERCADORIA</t>
        </is>
      </c>
      <c r="J28" s="70" t="n">
        <v>1167114</v>
      </c>
      <c r="L28" s="70" t="n">
        <v>5049</v>
      </c>
      <c r="M28" s="72" t="inlineStr">
        <is>
          <t>01</t>
        </is>
      </c>
      <c r="N28" s="72" t="inlineStr">
        <is>
          <t>NFE</t>
        </is>
      </c>
      <c r="P28" s="70" t="n">
        <v>103</v>
      </c>
      <c r="Q28" s="72" t="inlineStr">
        <is>
          <t>MILKA FRANCIS</t>
        </is>
      </c>
      <c r="R28" s="72" t="inlineStr">
        <is>
          <t>ESTOQUE DE MERCADORIAS</t>
        </is>
      </c>
      <c r="S28" s="70" t="n">
        <v>1130101</v>
      </c>
      <c r="T28" s="72" t="inlineStr">
        <is>
          <t>MERCADORIAS P/REVENDA</t>
        </is>
      </c>
      <c r="U28" s="73" t="n">
        <v>500</v>
      </c>
      <c r="W28" s="73" t="n">
        <v>0</v>
      </c>
      <c r="X28" s="72" t="inlineStr">
        <is>
          <t>FARINHA 3 IRMAOS /PGTO PRA JOSE</t>
        </is>
      </c>
      <c r="Z28" s="59">
        <f>IF($T28="","",IFERROR(INDEX('Resumo Grupos'!$AC$3:$AC$200,MATCH($T28,'Resumo Grupos'!$AB$3:$AB$200,0)),"n/d"))</f>
        <v/>
      </c>
      <c r="AA28" s="59">
        <f>IF($T28="","",IF(COUNTIF('Resumo Grupos'!$AE$3:$AE$40,$T28)&gt;0,"NAO","SIM"))</f>
        <v/>
      </c>
    </row>
    <row r="29" ht="45.75" customHeight="1" s="60">
      <c r="A29" s="70" t="n">
        <v>1</v>
      </c>
      <c r="B29" s="71" t="n">
        <v>46170</v>
      </c>
      <c r="C29" s="71" t="n">
        <v>46174</v>
      </c>
      <c r="D29" s="70" t="n">
        <v>1614</v>
      </c>
      <c r="E29" s="72" t="inlineStr">
        <is>
          <t>C. R. PARENTE ABREU</t>
        </is>
      </c>
      <c r="F29" s="70" t="n">
        <v>24</v>
      </c>
      <c r="G29" s="72" t="inlineStr">
        <is>
          <t>Compra a Prazo - Boletos</t>
        </is>
      </c>
      <c r="H29" s="70" t="n">
        <v>2110101</v>
      </c>
      <c r="I29" s="72" t="inlineStr">
        <is>
          <t>FORNECEDORES DE MERCADORIA</t>
        </is>
      </c>
      <c r="J29" s="70" t="n">
        <v>1167858</v>
      </c>
      <c r="L29" s="70" t="n">
        <v>11196</v>
      </c>
      <c r="M29" s="72" t="inlineStr">
        <is>
          <t>01</t>
        </is>
      </c>
      <c r="N29" s="72" t="inlineStr">
        <is>
          <t>NFE</t>
        </is>
      </c>
      <c r="P29" s="70" t="n">
        <v>103</v>
      </c>
      <c r="Q29" s="72" t="inlineStr">
        <is>
          <t>MILKA FRANCIS</t>
        </is>
      </c>
      <c r="R29" s="72" t="inlineStr">
        <is>
          <t>ESTOQUE DE MERCADORIAS</t>
        </is>
      </c>
      <c r="S29" s="70" t="n">
        <v>1130101</v>
      </c>
      <c r="T29" s="72" t="inlineStr">
        <is>
          <t>MERCADORIAS P/REVENDA</t>
        </is>
      </c>
      <c r="U29" s="73" t="n">
        <v>358.54</v>
      </c>
      <c r="W29" s="73" t="n">
        <v>0</v>
      </c>
      <c r="X29" s="72" t="inlineStr">
        <is>
          <t>NF 11196 - 1 MILKA</t>
        </is>
      </c>
      <c r="Z29" s="59">
        <f>IF($T29="","",IFERROR(INDEX('Resumo Grupos'!$AC$3:$AC$200,MATCH($T29,'Resumo Grupos'!$AB$3:$AB$200,0)),"n/d"))</f>
        <v/>
      </c>
      <c r="AA29" s="59">
        <f>IF($T29="","",IF(COUNTIF('Resumo Grupos'!$AE$3:$AE$40,$T29)&gt;0,"NAO","SIM"))</f>
        <v/>
      </c>
    </row>
    <row r="30" ht="45.75" customHeight="1" s="60">
      <c r="A30" s="70" t="n">
        <v>1</v>
      </c>
      <c r="B30" s="71" t="n">
        <v>46170</v>
      </c>
      <c r="C30" s="71" t="n">
        <v>46174</v>
      </c>
      <c r="D30" s="70" t="n">
        <v>1899</v>
      </c>
      <c r="E30" s="72" t="inlineStr">
        <is>
          <t>PANIFICADORA E CONFEITARIA REAL MADRI LTDA</t>
        </is>
      </c>
      <c r="F30" s="70" t="n">
        <v>24</v>
      </c>
      <c r="G30" s="72" t="inlineStr">
        <is>
          <t>Compra a Prazo - Boletos</t>
        </is>
      </c>
      <c r="H30" s="70" t="n">
        <v>2110101</v>
      </c>
      <c r="I30" s="72" t="inlineStr">
        <is>
          <t>FORNECEDORES DE MERCADORIA</t>
        </is>
      </c>
      <c r="J30" s="70" t="n">
        <v>1168381</v>
      </c>
      <c r="L30" s="70" t="n">
        <v>635</v>
      </c>
      <c r="M30" s="72" t="inlineStr">
        <is>
          <t>01</t>
        </is>
      </c>
      <c r="N30" s="72" t="inlineStr">
        <is>
          <t>NFE</t>
        </is>
      </c>
      <c r="P30" s="70" t="n">
        <v>103</v>
      </c>
      <c r="Q30" s="72" t="inlineStr">
        <is>
          <t>MILKA FRANCIS</t>
        </is>
      </c>
      <c r="R30" s="72" t="inlineStr">
        <is>
          <t>ESTOQUE DE MERCADORIAS</t>
        </is>
      </c>
      <c r="S30" s="70" t="n">
        <v>1130101</v>
      </c>
      <c r="T30" s="72" t="inlineStr">
        <is>
          <t>MERCADORIAS P/REVENDA</t>
        </is>
      </c>
      <c r="U30" s="73" t="n">
        <v>1120</v>
      </c>
      <c r="W30" s="73" t="n">
        <v>0</v>
      </c>
      <c r="X30" s="72" t="inlineStr">
        <is>
          <t>NF 635 - MILKA</t>
        </is>
      </c>
      <c r="Z30" s="59">
        <f>IF($T30="","",IFERROR(INDEX('Resumo Grupos'!$AC$3:$AC$200,MATCH($T30,'Resumo Grupos'!$AB$3:$AB$200,0)),"n/d"))</f>
        <v/>
      </c>
      <c r="AA30" s="59">
        <f>IF($T30="","",IF(COUNTIF('Resumo Grupos'!$AE$3:$AE$40,$T30)&gt;0,"NAO","SIM"))</f>
        <v/>
      </c>
    </row>
    <row r="31" ht="45.75" customHeight="1" s="60">
      <c r="A31" s="70" t="n">
        <v>1</v>
      </c>
      <c r="B31" s="71" t="n">
        <v>46170</v>
      </c>
      <c r="C31" s="71" t="n">
        <v>46174</v>
      </c>
      <c r="D31" s="70" t="n">
        <v>1650</v>
      </c>
      <c r="E31" s="72" t="inlineStr">
        <is>
          <t>FRUTAL INDUSTRIA E COMERCIO LTDA</t>
        </is>
      </c>
      <c r="F31" s="70" t="n">
        <v>24</v>
      </c>
      <c r="G31" s="72" t="inlineStr">
        <is>
          <t>Compra a Prazo - Boletos</t>
        </is>
      </c>
      <c r="H31" s="70" t="n">
        <v>2110101</v>
      </c>
      <c r="I31" s="72" t="inlineStr">
        <is>
          <t>FORNECEDORES DE MERCADORIA</t>
        </is>
      </c>
      <c r="J31" s="70" t="n">
        <v>1168412</v>
      </c>
      <c r="L31" s="70" t="n">
        <v>221837</v>
      </c>
      <c r="M31" s="72" t="inlineStr">
        <is>
          <t>01</t>
        </is>
      </c>
      <c r="N31" s="72" t="inlineStr">
        <is>
          <t>NFE</t>
        </is>
      </c>
      <c r="P31" s="70" t="n">
        <v>103</v>
      </c>
      <c r="Q31" s="72" t="inlineStr">
        <is>
          <t>MILKA FRANCIS</t>
        </is>
      </c>
      <c r="R31" s="72" t="inlineStr">
        <is>
          <t>ESTOQUE DE MERCADORIAS</t>
        </is>
      </c>
      <c r="S31" s="70" t="n">
        <v>1130101</v>
      </c>
      <c r="T31" s="72" t="inlineStr">
        <is>
          <t>MERCADORIAS P/REVENDA</t>
        </is>
      </c>
      <c r="U31" s="73" t="n">
        <v>506.44</v>
      </c>
      <c r="W31" s="73" t="n">
        <v>0</v>
      </c>
      <c r="X31" s="72" t="inlineStr">
        <is>
          <t>NF 221837 - MILKA</t>
        </is>
      </c>
      <c r="Z31" s="59">
        <f>IF($T31="","",IFERROR(INDEX('Resumo Grupos'!$AC$3:$AC$200,MATCH($T31,'Resumo Grupos'!$AB$3:$AB$200,0)),"n/d"))</f>
        <v/>
      </c>
      <c r="AA31" s="59">
        <f>IF($T31="","",IF(COUNTIF('Resumo Grupos'!$AE$3:$AE$40,$T31)&gt;0,"NAO","SIM"))</f>
        <v/>
      </c>
    </row>
    <row r="32" ht="45.75" customHeight="1" s="60">
      <c r="A32" s="70" t="n">
        <v>1</v>
      </c>
      <c r="B32" s="71" t="n">
        <v>46170</v>
      </c>
      <c r="C32" s="71" t="n">
        <v>46174</v>
      </c>
      <c r="D32" s="70" t="n">
        <v>1631</v>
      </c>
      <c r="E32" s="72" t="inlineStr">
        <is>
          <t>T. M. L. DA SILVA LTDA</t>
        </is>
      </c>
      <c r="F32" s="70" t="n">
        <v>24</v>
      </c>
      <c r="G32" s="72" t="inlineStr">
        <is>
          <t>Compra a Prazo - Boletos</t>
        </is>
      </c>
      <c r="H32" s="70" t="n">
        <v>2110101</v>
      </c>
      <c r="I32" s="72" t="inlineStr">
        <is>
          <t>FORNECEDORES DE MERCADORIA</t>
        </is>
      </c>
      <c r="J32" s="70" t="n">
        <v>1168428</v>
      </c>
      <c r="L32" s="70" t="n">
        <v>14951</v>
      </c>
      <c r="M32" s="72" t="inlineStr">
        <is>
          <t>01</t>
        </is>
      </c>
      <c r="N32" s="72" t="inlineStr">
        <is>
          <t>NFE</t>
        </is>
      </c>
      <c r="P32" s="70" t="n">
        <v>103</v>
      </c>
      <c r="Q32" s="72" t="inlineStr">
        <is>
          <t>MILKA FRANCIS</t>
        </is>
      </c>
      <c r="R32" s="72" t="inlineStr">
        <is>
          <t>ESTOQUE DE MERCADORIAS</t>
        </is>
      </c>
      <c r="S32" s="70" t="n">
        <v>1130101</v>
      </c>
      <c r="T32" s="72" t="inlineStr">
        <is>
          <t>MERCADORIAS P/REVENDA</t>
        </is>
      </c>
      <c r="U32" s="73" t="n">
        <v>658.96</v>
      </c>
      <c r="W32" s="73" t="n">
        <v>0</v>
      </c>
      <c r="X32" s="72" t="inlineStr">
        <is>
          <t>NF 14951 - MILKA</t>
        </is>
      </c>
      <c r="Z32" s="59">
        <f>IF($T32="","",IFERROR(INDEX('Resumo Grupos'!$AC$3:$AC$200,MATCH($T32,'Resumo Grupos'!$AB$3:$AB$200,0)),"n/d"))</f>
        <v/>
      </c>
      <c r="AA32" s="59">
        <f>IF($T32="","",IF(COUNTIF('Resumo Grupos'!$AE$3:$AE$40,$T32)&gt;0,"NAO","SIM"))</f>
        <v/>
      </c>
    </row>
    <row r="33" ht="45.75" customHeight="1" s="60">
      <c r="A33" s="70" t="n">
        <v>1</v>
      </c>
      <c r="B33" s="71" t="n">
        <v>46171</v>
      </c>
      <c r="C33" s="71" t="n">
        <v>46174</v>
      </c>
      <c r="D33" s="70" t="n">
        <v>1675</v>
      </c>
      <c r="E33" s="72" t="inlineStr">
        <is>
          <t>MARQUES &amp; MELO LTDA - FILIAL</t>
        </is>
      </c>
      <c r="F33" s="70" t="n">
        <v>24</v>
      </c>
      <c r="G33" s="72" t="inlineStr">
        <is>
          <t>Compra a Prazo - Boletos</t>
        </is>
      </c>
      <c r="H33" s="70" t="n">
        <v>2110101</v>
      </c>
      <c r="I33" s="72" t="inlineStr">
        <is>
          <t>FORNECEDORES DE MERCADORIA</t>
        </is>
      </c>
      <c r="J33" s="70" t="n">
        <v>1170944</v>
      </c>
      <c r="L33" s="70" t="n">
        <v>490451</v>
      </c>
      <c r="M33" s="72" t="inlineStr">
        <is>
          <t>01</t>
        </is>
      </c>
      <c r="N33" s="72" t="inlineStr">
        <is>
          <t>NFE</t>
        </is>
      </c>
      <c r="P33" s="70" t="n">
        <v>103</v>
      </c>
      <c r="Q33" s="72" t="inlineStr">
        <is>
          <t>MILKA FRANCIS</t>
        </is>
      </c>
      <c r="R33" s="72" t="inlineStr">
        <is>
          <t>ESTOQUE DE MERCADORIAS</t>
        </is>
      </c>
      <c r="S33" s="70" t="n">
        <v>1130101</v>
      </c>
      <c r="T33" s="72" t="inlineStr">
        <is>
          <t>MERCADORIAS P/REVENDA</t>
        </is>
      </c>
      <c r="U33" s="73" t="n">
        <v>1518.18</v>
      </c>
      <c r="W33" s="73" t="n">
        <v>0</v>
      </c>
      <c r="X33" s="72" t="inlineStr">
        <is>
          <t>NF 490451-01 MILKA</t>
        </is>
      </c>
      <c r="Z33" s="59">
        <f>IF($T33="","",IFERROR(INDEX('Resumo Grupos'!$AC$3:$AC$200,MATCH($T33,'Resumo Grupos'!$AB$3:$AB$200,0)),"n/d"))</f>
        <v/>
      </c>
      <c r="AA33" s="59">
        <f>IF($T33="","",IF(COUNTIF('Resumo Grupos'!$AE$3:$AE$40,$T33)&gt;0,"NAO","SIM"))</f>
        <v/>
      </c>
    </row>
    <row r="34" ht="45.75" customHeight="1" s="60">
      <c r="A34" s="70" t="n">
        <v>1</v>
      </c>
      <c r="B34" s="71" t="n">
        <v>46174</v>
      </c>
      <c r="C34" s="71" t="n">
        <v>46174</v>
      </c>
      <c r="D34" s="70" t="n">
        <v>1137</v>
      </c>
      <c r="E34" s="72" t="inlineStr">
        <is>
          <t xml:space="preserve">FOLHA DE PAGAMENTO </t>
        </is>
      </c>
      <c r="F34" s="70" t="n">
        <v>34</v>
      </c>
      <c r="G34" s="72" t="inlineStr">
        <is>
          <t>Transferencia Pix</t>
        </is>
      </c>
      <c r="H34" s="70" t="n">
        <v>2110405</v>
      </c>
      <c r="I34" s="72" t="inlineStr">
        <is>
          <t>CONTAS A PAGAR</t>
        </is>
      </c>
      <c r="J34" s="70" t="n">
        <v>1188553</v>
      </c>
      <c r="L34" s="70" t="n">
        <v>494729</v>
      </c>
      <c r="M34" s="72" t="inlineStr">
        <is>
          <t>01</t>
        </is>
      </c>
      <c r="N34" s="72" t="inlineStr">
        <is>
          <t>AVU</t>
        </is>
      </c>
      <c r="P34" s="70" t="n">
        <v>101</v>
      </c>
      <c r="Q34" s="72" t="inlineStr">
        <is>
          <t>KEILA LIMA</t>
        </is>
      </c>
      <c r="R34" s="72" t="inlineStr">
        <is>
          <t>DESPESAS COM PESSOAL</t>
        </is>
      </c>
      <c r="S34" s="70" t="n">
        <v>4210309</v>
      </c>
      <c r="T34" s="72" t="inlineStr">
        <is>
          <t>VALE TRANSPORTE</t>
        </is>
      </c>
      <c r="U34" s="73" t="n">
        <v>480</v>
      </c>
      <c r="W34" s="73" t="n">
        <v>0</v>
      </c>
      <c r="X34" s="72" t="inlineStr">
        <is>
          <t>VALE TRANS ESCR - KEILA</t>
        </is>
      </c>
      <c r="Z34" s="59">
        <f>IF($T34="","",IFERROR(INDEX('Resumo Grupos'!$AC$3:$AC$200,MATCH($T34,'Resumo Grupos'!$AB$3:$AB$200,0)),"n/d"))</f>
        <v/>
      </c>
      <c r="AA34" s="59">
        <f>IF($T34="","",IF(COUNTIF('Resumo Grupos'!$AE$3:$AE$40,$T34)&gt;0,"NAO","SIM"))</f>
        <v/>
      </c>
    </row>
    <row r="35" ht="45.75" customHeight="1" s="60">
      <c r="A35" s="70" t="n">
        <v>1</v>
      </c>
      <c r="B35" s="71" t="n">
        <v>46174</v>
      </c>
      <c r="C35" s="71" t="n">
        <v>46174</v>
      </c>
      <c r="D35" s="70" t="n">
        <v>518</v>
      </c>
      <c r="E35" s="72" t="inlineStr">
        <is>
          <t>KATIA LIMA</t>
        </is>
      </c>
      <c r="F35" s="70" t="n">
        <v>34</v>
      </c>
      <c r="G35" s="72" t="inlineStr">
        <is>
          <t>Transferencia Pix</t>
        </is>
      </c>
      <c r="H35" s="70" t="n">
        <v>2110405</v>
      </c>
      <c r="I35" s="72" t="inlineStr">
        <is>
          <t>CONTAS A PAGAR</t>
        </is>
      </c>
      <c r="J35" s="70" t="n">
        <v>1188805</v>
      </c>
      <c r="L35" s="70" t="n">
        <v>494837</v>
      </c>
      <c r="M35" s="72" t="inlineStr">
        <is>
          <t>01</t>
        </is>
      </c>
      <c r="N35" s="72" t="inlineStr">
        <is>
          <t>AVU</t>
        </is>
      </c>
      <c r="P35" s="70" t="n">
        <v>101</v>
      </c>
      <c r="Q35" s="72" t="inlineStr">
        <is>
          <t>KEILA LIMA</t>
        </is>
      </c>
      <c r="R35" s="72" t="inlineStr">
        <is>
          <t>DESPESAS COM PESSOAL</t>
        </is>
      </c>
      <c r="S35" s="70" t="n">
        <v>4210309</v>
      </c>
      <c r="T35" s="72" t="inlineStr">
        <is>
          <t>VALE TRANSPORTE</t>
        </is>
      </c>
      <c r="U35" s="73" t="n">
        <v>260</v>
      </c>
      <c r="W35" s="73" t="n">
        <v>0</v>
      </c>
      <c r="X35" s="72" t="inlineStr">
        <is>
          <t>VT 06/26  COZINHEIRA - KEILA</t>
        </is>
      </c>
      <c r="Z35" s="59">
        <f>IF($T35="","",IFERROR(INDEX('Resumo Grupos'!$AC$3:$AC$200,MATCH($T35,'Resumo Grupos'!$AB$3:$AB$200,0)),"n/d"))</f>
        <v/>
      </c>
      <c r="AA35" s="59">
        <f>IF($T35="","",IF(COUNTIF('Resumo Grupos'!$AE$3:$AE$40,$T35)&gt;0,"NAO","SIM"))</f>
        <v/>
      </c>
    </row>
    <row r="36" ht="45.75" customHeight="1" s="60">
      <c r="A36" s="70" t="n">
        <v>1</v>
      </c>
      <c r="B36" s="71" t="n">
        <v>46174</v>
      </c>
      <c r="C36" s="71" t="n">
        <v>46174</v>
      </c>
      <c r="D36" s="70" t="n">
        <v>16</v>
      </c>
      <c r="E36" s="72" t="inlineStr">
        <is>
          <t>RENATO DE OLIVEIRA AZEVEDO</t>
        </is>
      </c>
      <c r="F36" s="70" t="n">
        <v>34</v>
      </c>
      <c r="G36" s="72" t="inlineStr">
        <is>
          <t>Transferencia Pix</t>
        </is>
      </c>
      <c r="H36" s="70" t="n">
        <v>2110405</v>
      </c>
      <c r="I36" s="72" t="inlineStr">
        <is>
          <t>CONTAS A PAGAR</t>
        </is>
      </c>
      <c r="J36" s="70" t="n">
        <v>1188822</v>
      </c>
      <c r="L36" s="70" t="n">
        <v>494846</v>
      </c>
      <c r="M36" s="72" t="inlineStr">
        <is>
          <t>01</t>
        </is>
      </c>
      <c r="N36" s="72" t="inlineStr">
        <is>
          <t>AVU</t>
        </is>
      </c>
      <c r="P36" s="70" t="n">
        <v>101</v>
      </c>
      <c r="Q36" s="72" t="inlineStr">
        <is>
          <t>KEILA LIMA</t>
        </is>
      </c>
      <c r="R36" s="72" t="inlineStr">
        <is>
          <t>DESPESAS NAO OPERACIONAIS</t>
        </is>
      </c>
      <c r="S36" s="70" t="n">
        <v>4220199</v>
      </c>
      <c r="T36" s="72" t="inlineStr">
        <is>
          <t>PAGAMENTOS OUTROS NAO OPERACIONAIS</t>
        </is>
      </c>
      <c r="U36" s="73" t="n">
        <v>2490</v>
      </c>
      <c r="W36" s="73" t="n">
        <v>0</v>
      </c>
      <c r="X36" s="72" t="inlineStr">
        <is>
          <t>PL RENATO ESCOLA E MATERIAL MARIA - KEILA</t>
        </is>
      </c>
      <c r="Z36" s="59">
        <f>IF($T36="","",IFERROR(INDEX('Resumo Grupos'!$AC$3:$AC$200,MATCH($T36,'Resumo Grupos'!$AB$3:$AB$200,0)),"n/d"))</f>
        <v/>
      </c>
      <c r="AA36" s="59">
        <f>IF($T36="","",IF(COUNTIF('Resumo Grupos'!$AE$3:$AE$40,$T36)&gt;0,"NAO","SIM"))</f>
        <v/>
      </c>
    </row>
    <row r="37" ht="45.75" customHeight="1" s="60">
      <c r="A37" s="70" t="n">
        <v>1</v>
      </c>
      <c r="B37" s="71" t="n">
        <v>46174</v>
      </c>
      <c r="C37" s="71" t="n">
        <v>46174</v>
      </c>
      <c r="D37" s="70" t="n">
        <v>17</v>
      </c>
      <c r="E37" s="72" t="inlineStr">
        <is>
          <t>NEYLIANE SILVA DE OLIVEIRA</t>
        </is>
      </c>
      <c r="F37" s="70" t="n">
        <v>34</v>
      </c>
      <c r="G37" s="72" t="inlineStr">
        <is>
          <t>Transferencia Pix</t>
        </is>
      </c>
      <c r="H37" s="70" t="n">
        <v>2110405</v>
      </c>
      <c r="I37" s="72" t="inlineStr">
        <is>
          <t>CONTAS A PAGAR</t>
        </is>
      </c>
      <c r="J37" s="70" t="n">
        <v>1188859</v>
      </c>
      <c r="L37" s="70" t="n">
        <v>494866</v>
      </c>
      <c r="M37" s="72" t="inlineStr">
        <is>
          <t>01</t>
        </is>
      </c>
      <c r="N37" s="72" t="inlineStr">
        <is>
          <t>AVU</t>
        </is>
      </c>
      <c r="P37" s="70" t="n">
        <v>101</v>
      </c>
      <c r="Q37" s="72" t="inlineStr">
        <is>
          <t>KEILA LIMA</t>
        </is>
      </c>
      <c r="R37" s="72" t="inlineStr">
        <is>
          <t>DESPESAS NAO OPERACIONAIS</t>
        </is>
      </c>
      <c r="S37" s="70" t="n">
        <v>4220199</v>
      </c>
      <c r="T37" s="72" t="inlineStr">
        <is>
          <t>PAGAMENTOS OUTROS NAO OPERACIONAIS</t>
        </is>
      </c>
      <c r="U37" s="73" t="n">
        <v>13000</v>
      </c>
      <c r="W37" s="73" t="n">
        <v>0</v>
      </c>
      <c r="X37" s="72" t="inlineStr">
        <is>
          <t>PL NEILA CARTAO BRAD</t>
        </is>
      </c>
      <c r="Z37" s="59">
        <f>IF($T37="","",IFERROR(INDEX('Resumo Grupos'!$AC$3:$AC$200,MATCH($T37,'Resumo Grupos'!$AB$3:$AB$200,0)),"n/d"))</f>
        <v/>
      </c>
      <c r="AA37" s="59">
        <f>IF($T37="","",IF(COUNTIF('Resumo Grupos'!$AE$3:$AE$40,$T37)&gt;0,"NAO","SIM"))</f>
        <v/>
      </c>
    </row>
    <row r="38" ht="45.75" customHeight="1" s="60">
      <c r="A38" s="70" t="n">
        <v>1</v>
      </c>
      <c r="B38" s="71" t="n">
        <v>46174</v>
      </c>
      <c r="C38" s="71" t="n">
        <v>46174</v>
      </c>
      <c r="D38" s="70" t="n">
        <v>1137</v>
      </c>
      <c r="E38" s="72" t="inlineStr">
        <is>
          <t xml:space="preserve">FOLHA DE PAGAMENTO </t>
        </is>
      </c>
      <c r="F38" s="70" t="n">
        <v>34</v>
      </c>
      <c r="G38" s="72" t="inlineStr">
        <is>
          <t>Transferencia Pix</t>
        </is>
      </c>
      <c r="H38" s="70" t="n">
        <v>2110405</v>
      </c>
      <c r="I38" s="72" t="inlineStr">
        <is>
          <t>CONTAS A PAGAR</t>
        </is>
      </c>
      <c r="J38" s="70" t="n">
        <v>1188945</v>
      </c>
      <c r="L38" s="70" t="n">
        <v>494916</v>
      </c>
      <c r="M38" s="72" t="inlineStr">
        <is>
          <t>01</t>
        </is>
      </c>
      <c r="N38" s="72" t="inlineStr">
        <is>
          <t>AVU</t>
        </is>
      </c>
      <c r="P38" s="70" t="n">
        <v>101</v>
      </c>
      <c r="Q38" s="72" t="inlineStr">
        <is>
          <t>KEILA LIMA</t>
        </is>
      </c>
      <c r="R38" s="72" t="inlineStr">
        <is>
          <t>DESPESAS COM PESSOAL</t>
        </is>
      </c>
      <c r="S38" s="70" t="n">
        <v>4210309</v>
      </c>
      <c r="T38" s="72" t="inlineStr">
        <is>
          <t>VALE TRANSPORTE</t>
        </is>
      </c>
      <c r="U38" s="73" t="n">
        <v>1560</v>
      </c>
      <c r="W38" s="73" t="n">
        <v>0</v>
      </c>
      <c r="X38" s="72" t="inlineStr">
        <is>
          <t>VALE TRANSPORTE LOJA 06/26 - KEILA</t>
        </is>
      </c>
      <c r="Z38" s="59">
        <f>IF($T38="","",IFERROR(INDEX('Resumo Grupos'!$AC$3:$AC$200,MATCH($T38,'Resumo Grupos'!$AB$3:$AB$200,0)),"n/d"))</f>
        <v/>
      </c>
      <c r="AA38" s="59">
        <f>IF($T38="","",IF(COUNTIF('Resumo Grupos'!$AE$3:$AE$40,$T38)&gt;0,"NAO","SIM"))</f>
        <v/>
      </c>
    </row>
    <row r="39" ht="36.75" customHeight="1" s="60">
      <c r="A39" s="70" t="n">
        <v>1</v>
      </c>
      <c r="B39" s="71" t="n">
        <v>46174</v>
      </c>
      <c r="C39" s="71" t="n">
        <v>46174</v>
      </c>
      <c r="D39" s="70" t="n">
        <v>978</v>
      </c>
      <c r="E39" s="72" t="inlineStr">
        <is>
          <t>GELO DANGELO FABRICACAO DE GELO LTDA</t>
        </is>
      </c>
      <c r="F39" s="70" t="n">
        <v>13</v>
      </c>
      <c r="G39" s="72" t="inlineStr">
        <is>
          <t>Compra a Vista</t>
        </is>
      </c>
      <c r="H39" s="70" t="n">
        <v>2110101</v>
      </c>
      <c r="I39" s="72" t="inlineStr">
        <is>
          <t>FORNECEDORES DE MERCADORIA</t>
        </is>
      </c>
      <c r="J39" s="70" t="n">
        <v>1189172</v>
      </c>
      <c r="L39" s="70" t="n">
        <v>234</v>
      </c>
      <c r="M39" s="72" t="inlineStr">
        <is>
          <t>01</t>
        </is>
      </c>
      <c r="N39" s="72" t="inlineStr">
        <is>
          <t>NFE</t>
        </is>
      </c>
      <c r="P39" s="70" t="n">
        <v>104</v>
      </c>
      <c r="Q39" s="72" t="inlineStr">
        <is>
          <t>DEBORA COSTA</t>
        </is>
      </c>
      <c r="R39" s="72" t="inlineStr">
        <is>
          <t>ESTOQUE DE MERCADORIAS</t>
        </is>
      </c>
      <c r="S39" s="70" t="n">
        <v>1130101</v>
      </c>
      <c r="T39" s="72" t="inlineStr">
        <is>
          <t>MERCADORIAS P/REVENDA</t>
        </is>
      </c>
      <c r="U39" s="73" t="n">
        <v>405.5</v>
      </c>
      <c r="W39" s="73" t="n">
        <v>0</v>
      </c>
      <c r="X39" s="72" t="inlineStr">
        <is>
          <t>NF 234 - DEBORA</t>
        </is>
      </c>
      <c r="Z39" s="59">
        <f>IF($T39="","",IFERROR(INDEX('Resumo Grupos'!$AC$3:$AC$200,MATCH($T39,'Resumo Grupos'!$AB$3:$AB$200,0)),"n/d"))</f>
        <v/>
      </c>
      <c r="AA39" s="59">
        <f>IF($T39="","",IF(COUNTIF('Resumo Grupos'!$AE$3:$AE$40,$T39)&gt;0,"NAO","SIM"))</f>
        <v/>
      </c>
    </row>
    <row r="40" ht="45.75" customHeight="1" s="60">
      <c r="A40" s="70" t="n">
        <v>1</v>
      </c>
      <c r="B40" s="71" t="n">
        <v>46174</v>
      </c>
      <c r="C40" s="71" t="n">
        <v>46174</v>
      </c>
      <c r="D40" s="70" t="n">
        <v>33</v>
      </c>
      <c r="E40" s="72" t="inlineStr">
        <is>
          <t>RENATO DE O AZEVEDO E CIA LTDA - EPP</t>
        </is>
      </c>
      <c r="F40" s="70" t="n">
        <v>13</v>
      </c>
      <c r="G40" s="72" t="inlineStr">
        <is>
          <t>Compra a Vista</t>
        </is>
      </c>
      <c r="H40" s="70" t="n">
        <v>2110101</v>
      </c>
      <c r="I40" s="72" t="inlineStr">
        <is>
          <t>FORNECEDORES DE MERCADORIA</t>
        </is>
      </c>
      <c r="J40" s="70" t="n">
        <v>1189238</v>
      </c>
      <c r="L40" s="70" t="n">
        <v>5068</v>
      </c>
      <c r="M40" s="72" t="inlineStr">
        <is>
          <t>01</t>
        </is>
      </c>
      <c r="N40" s="72" t="inlineStr">
        <is>
          <t>NFE</t>
        </is>
      </c>
      <c r="P40" s="70" t="n">
        <v>104</v>
      </c>
      <c r="Q40" s="72" t="inlineStr">
        <is>
          <t>DEBORA COSTA</t>
        </is>
      </c>
      <c r="R40" s="72" t="inlineStr">
        <is>
          <t>ESTOQUE DE MERCADORIAS</t>
        </is>
      </c>
      <c r="S40" s="70" t="n">
        <v>1130101</v>
      </c>
      <c r="T40" s="72" t="inlineStr">
        <is>
          <t>MERCADORIAS P/REVENDA</t>
        </is>
      </c>
      <c r="U40" s="73" t="n">
        <v>260</v>
      </c>
      <c r="W40" s="73" t="n">
        <v>0</v>
      </c>
      <c r="X40" s="72" t="inlineStr">
        <is>
          <t>ACAI DE ANORI - DEBORA</t>
        </is>
      </c>
      <c r="Z40" s="59">
        <f>IF($T40="","",IFERROR(INDEX('Resumo Grupos'!$AC$3:$AC$200,MATCH($T40,'Resumo Grupos'!$AB$3:$AB$200,0)),"n/d"))</f>
        <v/>
      </c>
      <c r="AA40" s="59">
        <f>IF($T40="","",IF(COUNTIF('Resumo Grupos'!$AE$3:$AE$40,$T40)&gt;0,"NAO","SIM"))</f>
        <v/>
      </c>
    </row>
    <row r="41" ht="45.75" customHeight="1" s="60">
      <c r="A41" s="70" t="n">
        <v>1</v>
      </c>
      <c r="B41" s="71" t="n">
        <v>46174</v>
      </c>
      <c r="C41" s="71" t="n">
        <v>46174</v>
      </c>
      <c r="D41" s="70" t="n">
        <v>1038</v>
      </c>
      <c r="E41" s="72" t="inlineStr">
        <is>
          <t>MANOEL TEXEIRA DE SOUZA RESTAURANTE</t>
        </is>
      </c>
      <c r="F41" s="70" t="n">
        <v>13</v>
      </c>
      <c r="G41" s="72" t="inlineStr">
        <is>
          <t>Compra a Vista</t>
        </is>
      </c>
      <c r="H41" s="70" t="n">
        <v>2110101</v>
      </c>
      <c r="I41" s="72" t="inlineStr">
        <is>
          <t>FORNECEDORES DE MERCADORIA</t>
        </is>
      </c>
      <c r="J41" s="70" t="n">
        <v>1194085</v>
      </c>
      <c r="L41" s="70" t="n">
        <v>5924</v>
      </c>
      <c r="M41" s="72" t="inlineStr">
        <is>
          <t>01</t>
        </is>
      </c>
      <c r="N41" s="72" t="inlineStr">
        <is>
          <t>NFE</t>
        </is>
      </c>
      <c r="P41" s="70" t="n">
        <v>104</v>
      </c>
      <c r="Q41" s="72" t="inlineStr">
        <is>
          <t>DEBORA COSTA</t>
        </is>
      </c>
      <c r="R41" s="72" t="inlineStr">
        <is>
          <t>ESTOQUE DE MERCADORIAS</t>
        </is>
      </c>
      <c r="S41" s="70" t="n">
        <v>1130101</v>
      </c>
      <c r="T41" s="72" t="inlineStr">
        <is>
          <t>MERCADORIAS P/REVENDA</t>
        </is>
      </c>
      <c r="U41" s="73" t="n">
        <v>280</v>
      </c>
      <c r="W41" s="73" t="n">
        <v>0</v>
      </c>
      <c r="X41" s="72" t="inlineStr">
        <is>
          <t>NF 5924 - DEBORA</t>
        </is>
      </c>
      <c r="Z41" s="59">
        <f>IF($T41="","",IFERROR(INDEX('Resumo Grupos'!$AC$3:$AC$200,MATCH($T41,'Resumo Grupos'!$AB$3:$AB$200,0)),"n/d"))</f>
        <v/>
      </c>
      <c r="AA41" s="59">
        <f>IF($T41="","",IF(COUNTIF('Resumo Grupos'!$AE$3:$AE$40,$T41)&gt;0,"NAO","SIM"))</f>
        <v/>
      </c>
    </row>
    <row r="42" ht="45.75" customHeight="1" s="60">
      <c r="A42" s="70" t="n">
        <v>1</v>
      </c>
      <c r="B42" s="71" t="n">
        <v>46174</v>
      </c>
      <c r="C42" s="71" t="n">
        <v>46174</v>
      </c>
      <c r="D42" s="70" t="n">
        <v>1830</v>
      </c>
      <c r="E42" s="72" t="inlineStr">
        <is>
          <t>NL SERVICOS MEDICOS LTDA</t>
        </is>
      </c>
      <c r="F42" s="70" t="n">
        <v>24</v>
      </c>
      <c r="G42" s="72" t="inlineStr">
        <is>
          <t>Compra a Prazo - Boletos</t>
        </is>
      </c>
      <c r="H42" s="70" t="n">
        <v>2110405</v>
      </c>
      <c r="I42" s="72" t="inlineStr">
        <is>
          <t>CONTAS A PAGAR</t>
        </is>
      </c>
      <c r="J42" s="70" t="n">
        <v>1571563</v>
      </c>
      <c r="L42" s="70" t="n">
        <v>642341</v>
      </c>
      <c r="M42" s="72" t="inlineStr">
        <is>
          <t>01</t>
        </is>
      </c>
      <c r="N42" s="72" t="inlineStr">
        <is>
          <t>AVU</t>
        </is>
      </c>
      <c r="P42" s="70" t="n">
        <v>101</v>
      </c>
      <c r="Q42" s="72" t="inlineStr">
        <is>
          <t>KEILA LIMA</t>
        </is>
      </c>
      <c r="R42" s="72" t="inlineStr">
        <is>
          <t>DESPESAS NAO OPERACIONAIS</t>
        </is>
      </c>
      <c r="S42" s="70" t="n">
        <v>4220199</v>
      </c>
      <c r="T42" s="72" t="inlineStr">
        <is>
          <t>PAGAMENTOS OUTROS NAO OPERACIONAIS</t>
        </is>
      </c>
      <c r="U42" s="73" t="n">
        <v>501</v>
      </c>
      <c r="W42" s="73" t="n">
        <v>0</v>
      </c>
      <c r="X42" s="72" t="inlineStr">
        <is>
          <t>OUTROS - ASOS LOJAS RATEIO NAO SOMAR</t>
        </is>
      </c>
      <c r="Z42" s="59">
        <f>IF($T42="","",IFERROR(INDEX('Resumo Grupos'!$AC$3:$AC$200,MATCH($T42,'Resumo Grupos'!$AB$3:$AB$200,0)),"n/d"))</f>
        <v/>
      </c>
      <c r="AA42" s="59">
        <f>IF($T42="","",IF(COUNTIF('Resumo Grupos'!$AE$3:$AE$40,$T42)&gt;0,"NAO","SIM"))</f>
        <v/>
      </c>
    </row>
    <row r="43" ht="45.75" customHeight="1" s="60">
      <c r="A43" s="70" t="n">
        <v>1</v>
      </c>
      <c r="B43" s="71" t="n">
        <v>46174</v>
      </c>
      <c r="C43" s="71" t="n">
        <v>46174</v>
      </c>
      <c r="D43" s="70" t="n">
        <v>515</v>
      </c>
      <c r="E43" s="72" t="inlineStr">
        <is>
          <t>ITAU SA</t>
        </is>
      </c>
      <c r="F43" s="70" t="n">
        <v>34</v>
      </c>
      <c r="G43" s="72" t="inlineStr">
        <is>
          <t>Transferencia Pix</t>
        </is>
      </c>
      <c r="H43" s="70" t="n">
        <v>2110405</v>
      </c>
      <c r="I43" s="72" t="inlineStr">
        <is>
          <t>CONTAS A PAGAR</t>
        </is>
      </c>
      <c r="J43" s="70" t="n">
        <v>1567823</v>
      </c>
      <c r="L43" s="70" t="n">
        <v>640817</v>
      </c>
      <c r="M43" s="72" t="inlineStr">
        <is>
          <t>01</t>
        </is>
      </c>
      <c r="N43" s="72" t="inlineStr">
        <is>
          <t>AVU</t>
        </is>
      </c>
      <c r="P43" s="70" t="n">
        <v>102</v>
      </c>
      <c r="Q43" s="72" t="inlineStr">
        <is>
          <t>ANDREZA ANDRADE</t>
        </is>
      </c>
      <c r="R43" s="72" t="inlineStr">
        <is>
          <t>DESPESAS FINANCEIRAS</t>
        </is>
      </c>
      <c r="S43" s="70" t="n">
        <v>4210508</v>
      </c>
      <c r="T43" s="72" t="inlineStr">
        <is>
          <t>CAPITALIZACAO BANCO</t>
        </is>
      </c>
      <c r="U43" s="73" t="n">
        <v>153.13</v>
      </c>
      <c r="W43" s="73" t="n">
        <v>0</v>
      </c>
      <c r="X43" s="72" t="inlineStr">
        <is>
          <t>DESPESA CAP 58/60ITAU 1-ANDREZA</t>
        </is>
      </c>
      <c r="Z43" s="59">
        <f>IF($T43="","",IFERROR(INDEX('Resumo Grupos'!$AC$3:$AC$200,MATCH($T43,'Resumo Grupos'!$AB$3:$AB$200,0)),"n/d"))</f>
        <v/>
      </c>
      <c r="AA43" s="59">
        <f>IF($T43="","",IF(COUNTIF('Resumo Grupos'!$AE$3:$AE$40,$T43)&gt;0,"NAO","SIM"))</f>
        <v/>
      </c>
    </row>
    <row r="44" ht="45.75" customHeight="1" s="60">
      <c r="A44" s="70" t="n">
        <v>1</v>
      </c>
      <c r="B44" s="71" t="n">
        <v>46174</v>
      </c>
      <c r="C44" s="71" t="n">
        <v>46174</v>
      </c>
      <c r="D44" s="70" t="n">
        <v>1442</v>
      </c>
      <c r="E44" s="72" t="inlineStr">
        <is>
          <t>RUTHER ROGER</t>
        </is>
      </c>
      <c r="F44" s="70" t="n">
        <v>34</v>
      </c>
      <c r="G44" s="72" t="inlineStr">
        <is>
          <t>Transferencia Pix</t>
        </is>
      </c>
      <c r="H44" s="70" t="n">
        <v>2110405</v>
      </c>
      <c r="I44" s="72" t="inlineStr">
        <is>
          <t>CONTAS A PAGAR</t>
        </is>
      </c>
      <c r="J44" s="70" t="n">
        <v>1567871</v>
      </c>
      <c r="L44" s="70" t="n">
        <v>640824</v>
      </c>
      <c r="M44" s="72" t="inlineStr">
        <is>
          <t>01</t>
        </is>
      </c>
      <c r="N44" s="72" t="inlineStr">
        <is>
          <t>AVU</t>
        </is>
      </c>
      <c r="P44" s="70" t="n">
        <v>102</v>
      </c>
      <c r="Q44" s="72" t="inlineStr">
        <is>
          <t>ANDREZA ANDRADE</t>
        </is>
      </c>
      <c r="R44" s="72" t="inlineStr">
        <is>
          <t>DESPESAS NAO OPERACIONAIS</t>
        </is>
      </c>
      <c r="S44" s="70" t="n">
        <v>4220199</v>
      </c>
      <c r="T44" s="72" t="inlineStr">
        <is>
          <t>PAGAMENTOS OUTROS NAO OPERACIONAIS</t>
        </is>
      </c>
      <c r="U44" s="73" t="n">
        <v>2500</v>
      </c>
      <c r="W44" s="73" t="n">
        <v>0</v>
      </c>
      <c r="X44" s="72" t="inlineStr">
        <is>
          <t>COBERTURA DE CONTA DINHEIRO DO DIA MO3 -ANDREZA</t>
        </is>
      </c>
      <c r="Z44" s="59">
        <f>IF($T44="","",IFERROR(INDEX('Resumo Grupos'!$AC$3:$AC$200,MATCH($T44,'Resumo Grupos'!$AB$3:$AB$200,0)),"n/d"))</f>
        <v/>
      </c>
      <c r="AA44" s="59">
        <f>IF($T44="","",IF(COUNTIF('Resumo Grupos'!$AE$3:$AE$40,$T44)&gt;0,"NAO","SIM"))</f>
        <v/>
      </c>
    </row>
    <row r="45" ht="45.75" customHeight="1" s="60">
      <c r="A45" s="70" t="n">
        <v>1</v>
      </c>
      <c r="B45" s="71" t="n">
        <v>46174</v>
      </c>
      <c r="C45" s="71" t="n">
        <v>46174</v>
      </c>
      <c r="D45" s="70" t="n">
        <v>717</v>
      </c>
      <c r="E45" s="72" t="inlineStr">
        <is>
          <t>FORNECEDOR AVULSO</t>
        </is>
      </c>
      <c r="F45" s="70" t="n">
        <v>34</v>
      </c>
      <c r="G45" s="72" t="inlineStr">
        <is>
          <t>Transferencia Pix</t>
        </is>
      </c>
      <c r="H45" s="70" t="n">
        <v>2110405</v>
      </c>
      <c r="I45" s="72" t="inlineStr">
        <is>
          <t>CONTAS A PAGAR</t>
        </is>
      </c>
      <c r="J45" s="70" t="n">
        <v>1567938</v>
      </c>
      <c r="L45" s="70" t="n">
        <v>640826</v>
      </c>
      <c r="M45" s="72" t="inlineStr">
        <is>
          <t>01</t>
        </is>
      </c>
      <c r="N45" s="72" t="inlineStr">
        <is>
          <t>AVU</t>
        </is>
      </c>
      <c r="P45" s="70" t="n">
        <v>102</v>
      </c>
      <c r="Q45" s="72" t="inlineStr">
        <is>
          <t>ANDREZA ANDRADE</t>
        </is>
      </c>
      <c r="R45" s="72" t="inlineStr">
        <is>
          <t>DESPESAS NAO OPERACIONAIS</t>
        </is>
      </c>
      <c r="S45" s="70" t="n">
        <v>4220199</v>
      </c>
      <c r="T45" s="72" t="inlineStr">
        <is>
          <t>PAGAMENTOS OUTROS NAO OPERACIONAIS</t>
        </is>
      </c>
      <c r="U45" s="73" t="n">
        <v>500</v>
      </c>
      <c r="W45" s="73" t="n">
        <v>0</v>
      </c>
      <c r="X45" s="72" t="inlineStr">
        <is>
          <t>DINHEIRO TROCADO PIX PARA GELBER DAMASCENO -ANDREZA</t>
        </is>
      </c>
      <c r="Z45" s="59">
        <f>IF($T45="","",IFERROR(INDEX('Resumo Grupos'!$AC$3:$AC$200,MATCH($T45,'Resumo Grupos'!$AB$3:$AB$200,0)),"n/d"))</f>
        <v/>
      </c>
      <c r="AA45" s="59">
        <f>IF($T45="","",IF(COUNTIF('Resumo Grupos'!$AE$3:$AE$40,$T45)&gt;0,"NAO","SIM"))</f>
        <v/>
      </c>
    </row>
    <row r="46" ht="36.75" customHeight="1" s="60">
      <c r="A46" s="70" t="n">
        <v>1</v>
      </c>
      <c r="B46" s="71" t="n">
        <v>46174</v>
      </c>
      <c r="C46" s="71" t="n">
        <v>46174</v>
      </c>
      <c r="D46" s="70" t="n">
        <v>814</v>
      </c>
      <c r="E46" s="72" t="inlineStr">
        <is>
          <t>ILDETE BACELAR SOARES/MERC BOM JESUS</t>
        </is>
      </c>
      <c r="F46" s="70" t="n">
        <v>34</v>
      </c>
      <c r="G46" s="72" t="inlineStr">
        <is>
          <t>Transferencia Pix</t>
        </is>
      </c>
      <c r="H46" s="70" t="n">
        <v>2110405</v>
      </c>
      <c r="I46" s="72" t="inlineStr">
        <is>
          <t>CONTAS A PAGAR</t>
        </is>
      </c>
      <c r="J46" s="70" t="n">
        <v>1567953</v>
      </c>
      <c r="L46" s="70" t="n">
        <v>640834</v>
      </c>
      <c r="M46" s="72" t="inlineStr">
        <is>
          <t>01</t>
        </is>
      </c>
      <c r="N46" s="72" t="inlineStr">
        <is>
          <t>AVU</t>
        </is>
      </c>
      <c r="P46" s="70" t="n">
        <v>102</v>
      </c>
      <c r="Q46" s="72" t="inlineStr">
        <is>
          <t>ANDREZA ANDRADE</t>
        </is>
      </c>
      <c r="R46" s="72" t="inlineStr">
        <is>
          <t>DESPESAS OPERACIONAIS</t>
        </is>
      </c>
      <c r="S46" s="70" t="n">
        <v>4210223</v>
      </c>
      <c r="T46" s="72" t="inlineStr">
        <is>
          <t>GAS LOJA</t>
        </is>
      </c>
      <c r="U46" s="73" t="n">
        <v>600</v>
      </c>
      <c r="W46" s="73" t="n">
        <v>0</v>
      </c>
      <c r="X46" s="72" t="inlineStr">
        <is>
          <t xml:space="preserve">DESPESA GAS P-COZINHA PIX P-  ANDERSON CAMPOS </t>
        </is>
      </c>
      <c r="Z46" s="59">
        <f>IF($T46="","",IFERROR(INDEX('Resumo Grupos'!$AC$3:$AC$200,MATCH($T46,'Resumo Grupos'!$AB$3:$AB$200,0)),"n/d"))</f>
        <v/>
      </c>
      <c r="AA46" s="59">
        <f>IF($T46="","",IF(COUNTIF('Resumo Grupos'!$AE$3:$AE$40,$T46)&gt;0,"NAO","SIM"))</f>
        <v/>
      </c>
    </row>
    <row r="47" ht="45.75" customHeight="1" s="60">
      <c r="A47" s="70" t="n">
        <v>1</v>
      </c>
      <c r="B47" s="71" t="n">
        <v>46174</v>
      </c>
      <c r="C47" s="71" t="n">
        <v>46174</v>
      </c>
      <c r="D47" s="70" t="n">
        <v>717</v>
      </c>
      <c r="E47" s="72" t="inlineStr">
        <is>
          <t>FORNECEDOR AVULSO</t>
        </is>
      </c>
      <c r="F47" s="70" t="n">
        <v>34</v>
      </c>
      <c r="G47" s="72" t="inlineStr">
        <is>
          <t>Transferencia Pix</t>
        </is>
      </c>
      <c r="H47" s="70" t="n">
        <v>2110405</v>
      </c>
      <c r="I47" s="72" t="inlineStr">
        <is>
          <t>CONTAS A PAGAR</t>
        </is>
      </c>
      <c r="J47" s="70" t="n">
        <v>1567961</v>
      </c>
      <c r="L47" s="70" t="n">
        <v>640837</v>
      </c>
      <c r="M47" s="72" t="inlineStr">
        <is>
          <t>01</t>
        </is>
      </c>
      <c r="N47" s="72" t="inlineStr">
        <is>
          <t>AVU</t>
        </is>
      </c>
      <c r="P47" s="70" t="n">
        <v>102</v>
      </c>
      <c r="Q47" s="72" t="inlineStr">
        <is>
          <t>ANDREZA ANDRADE</t>
        </is>
      </c>
      <c r="R47" s="72" t="inlineStr">
        <is>
          <t>DESPESAS NAO OPERACIONAIS</t>
        </is>
      </c>
      <c r="S47" s="70" t="n">
        <v>4220199</v>
      </c>
      <c r="T47" s="72" t="inlineStr">
        <is>
          <t>PAGAMENTOS OUTROS NAO OPERACIONAIS</t>
        </is>
      </c>
      <c r="U47" s="73" t="n">
        <v>70</v>
      </c>
      <c r="W47" s="73" t="n">
        <v>0</v>
      </c>
      <c r="X47" s="72" t="inlineStr">
        <is>
          <t>DINHEIRO TROCADO PIX PARA GELBER DAMASCENO  -ANDREZA</t>
        </is>
      </c>
      <c r="Z47" s="59">
        <f>IF($T47="","",IFERROR(INDEX('Resumo Grupos'!$AC$3:$AC$200,MATCH($T47,'Resumo Grupos'!$AB$3:$AB$200,0)),"n/d"))</f>
        <v/>
      </c>
      <c r="AA47" s="59">
        <f>IF($T47="","",IF(COUNTIF('Resumo Grupos'!$AE$3:$AE$40,$T47)&gt;0,"NAO","SIM"))</f>
        <v/>
      </c>
    </row>
    <row r="48" ht="45.75" customHeight="1" s="60">
      <c r="A48" s="70" t="n">
        <v>1</v>
      </c>
      <c r="B48" s="71" t="n">
        <v>46174</v>
      </c>
      <c r="C48" s="71" t="n">
        <v>46174</v>
      </c>
      <c r="D48" s="70" t="n">
        <v>814</v>
      </c>
      <c r="E48" s="72" t="inlineStr">
        <is>
          <t>ILDETE BACELAR SOARES/MERC BOM JESUS</t>
        </is>
      </c>
      <c r="F48" s="70" t="n">
        <v>34</v>
      </c>
      <c r="G48" s="72" t="inlineStr">
        <is>
          <t>Transferencia Pix</t>
        </is>
      </c>
      <c r="H48" s="70" t="n">
        <v>2110405</v>
      </c>
      <c r="I48" s="72" t="inlineStr">
        <is>
          <t>CONTAS A PAGAR</t>
        </is>
      </c>
      <c r="J48" s="70" t="n">
        <v>1567970</v>
      </c>
      <c r="L48" s="70" t="n">
        <v>640841</v>
      </c>
      <c r="M48" s="72" t="inlineStr">
        <is>
          <t>01</t>
        </is>
      </c>
      <c r="N48" s="72" t="inlineStr">
        <is>
          <t>AVU</t>
        </is>
      </c>
      <c r="P48" s="70" t="n">
        <v>102</v>
      </c>
      <c r="Q48" s="72" t="inlineStr">
        <is>
          <t>ANDREZA ANDRADE</t>
        </is>
      </c>
      <c r="R48" s="72" t="inlineStr">
        <is>
          <t>DESPESAS OPERACIONAIS</t>
        </is>
      </c>
      <c r="S48" s="70" t="n">
        <v>4210223</v>
      </c>
      <c r="T48" s="72" t="inlineStr">
        <is>
          <t>GAS LOJA</t>
        </is>
      </c>
      <c r="U48" s="73" t="n">
        <v>261</v>
      </c>
      <c r="W48" s="73" t="n">
        <v>0</v>
      </c>
      <c r="X48" s="72" t="inlineStr">
        <is>
          <t>DESPESA GAS P-COZINHA DIFERENÇA PIX-ANDERSON CAMPOS-ANDREZ</t>
        </is>
      </c>
      <c r="Z48" s="59">
        <f>IF($T48="","",IFERROR(INDEX('Resumo Grupos'!$AC$3:$AC$200,MATCH($T48,'Resumo Grupos'!$AB$3:$AB$200,0)),"n/d"))</f>
        <v/>
      </c>
      <c r="AA48" s="59">
        <f>IF($T48="","",IF(COUNTIF('Resumo Grupos'!$AE$3:$AE$40,$T48)&gt;0,"NAO","SIM"))</f>
        <v/>
      </c>
    </row>
    <row r="49" ht="45.75" customHeight="1" s="60">
      <c r="A49" s="70" t="n">
        <v>1</v>
      </c>
      <c r="B49" s="71" t="n">
        <v>46174</v>
      </c>
      <c r="C49" s="71" t="n">
        <v>46174</v>
      </c>
      <c r="D49" s="70" t="n">
        <v>1830</v>
      </c>
      <c r="E49" s="72" t="inlineStr">
        <is>
          <t>NL SERVICOS MEDICOS LTDA</t>
        </is>
      </c>
      <c r="F49" s="70" t="n">
        <v>24</v>
      </c>
      <c r="G49" s="72" t="inlineStr">
        <is>
          <t>Compra a Prazo - Boletos</t>
        </is>
      </c>
      <c r="H49" s="70" t="n">
        <v>2110405</v>
      </c>
      <c r="I49" s="72" t="inlineStr">
        <is>
          <t>CONTAS A PAGAR</t>
        </is>
      </c>
      <c r="J49" s="70" t="n">
        <v>1567997</v>
      </c>
      <c r="L49" s="70" t="n">
        <v>640849</v>
      </c>
      <c r="M49" s="72" t="inlineStr">
        <is>
          <t>01</t>
        </is>
      </c>
      <c r="N49" s="72" t="inlineStr">
        <is>
          <t>AVU</t>
        </is>
      </c>
      <c r="P49" s="70" t="n">
        <v>102</v>
      </c>
      <c r="Q49" s="72" t="inlineStr">
        <is>
          <t>ANDREZA ANDRADE</t>
        </is>
      </c>
      <c r="R49" s="72" t="inlineStr">
        <is>
          <t>DESPESAS COM PESSOAL</t>
        </is>
      </c>
      <c r="S49" s="70" t="n">
        <v>4210313</v>
      </c>
      <c r="T49" s="72" t="inlineStr">
        <is>
          <t>MEDICINA DO TRABALHO</t>
        </is>
      </c>
      <c r="U49" s="73" t="n">
        <v>97</v>
      </c>
      <c r="W49" s="73" t="n">
        <v>0</v>
      </c>
      <c r="X49" s="72" t="inlineStr">
        <is>
          <t>ASOS MEDICO FUNCIONARIO MO1-ANDREZA</t>
        </is>
      </c>
      <c r="Z49" s="59">
        <f>IF($T49="","",IFERROR(INDEX('Resumo Grupos'!$AC$3:$AC$200,MATCH($T49,'Resumo Grupos'!$AB$3:$AB$200,0)),"n/d"))</f>
        <v/>
      </c>
      <c r="AA49" s="59">
        <f>IF($T49="","",IF(COUNTIF('Resumo Grupos'!$AE$3:$AE$40,$T49)&gt;0,"NAO","SIM"))</f>
        <v/>
      </c>
    </row>
    <row r="50" ht="45.75" customHeight="1" s="60">
      <c r="A50" s="70" t="n">
        <v>1</v>
      </c>
      <c r="B50" s="71" t="n">
        <v>46174</v>
      </c>
      <c r="C50" s="71" t="n">
        <v>46174</v>
      </c>
      <c r="D50" s="70" t="n">
        <v>1792</v>
      </c>
      <c r="E50" s="72" t="inlineStr">
        <is>
          <t>CAMPOS E LIMA GESTAO EMPRESARIAL</t>
        </is>
      </c>
      <c r="F50" s="70" t="n">
        <v>24</v>
      </c>
      <c r="G50" s="72" t="inlineStr">
        <is>
          <t>Compra a Prazo - Boletos</t>
        </is>
      </c>
      <c r="H50" s="70" t="n">
        <v>2110405</v>
      </c>
      <c r="I50" s="72" t="inlineStr">
        <is>
          <t>CONTAS A PAGAR</t>
        </is>
      </c>
      <c r="J50" s="70" t="n">
        <v>1571451</v>
      </c>
      <c r="L50" s="70" t="n">
        <v>642308</v>
      </c>
      <c r="M50" s="72" t="inlineStr">
        <is>
          <t>01</t>
        </is>
      </c>
      <c r="N50" s="72" t="inlineStr">
        <is>
          <t>AVU</t>
        </is>
      </c>
      <c r="P50" s="70" t="n">
        <v>101</v>
      </c>
      <c r="Q50" s="72" t="inlineStr">
        <is>
          <t>KEILA LIMA</t>
        </is>
      </c>
      <c r="R50" s="72" t="inlineStr">
        <is>
          <t>BENS INTANGIVEIS</t>
        </is>
      </c>
      <c r="S50" s="70" t="n">
        <v>1240203</v>
      </c>
      <c r="T50" s="72" t="inlineStr">
        <is>
          <t>SISTEMAS APLICATIVOS</t>
        </is>
      </c>
      <c r="U50" s="73" t="n">
        <v>486.45</v>
      </c>
      <c r="W50" s="73" t="n">
        <v>0</v>
      </c>
      <c r="X50" s="72" t="inlineStr">
        <is>
          <t>MENS SISTEMA VAREJO  MO1 - KEILA</t>
        </is>
      </c>
      <c r="Z50" s="59">
        <f>IF($T50="","",IFERROR(INDEX('Resumo Grupos'!$AC$3:$AC$200,MATCH($T50,'Resumo Grupos'!$AB$3:$AB$200,0)),"n/d"))</f>
        <v/>
      </c>
      <c r="AA50" s="59">
        <f>IF($T50="","",IF(COUNTIF('Resumo Grupos'!$AE$3:$AE$40,$T50)&gt;0,"NAO","SIM"))</f>
        <v/>
      </c>
    </row>
    <row r="51" ht="45.75" customHeight="1" s="60">
      <c r="A51" s="70" t="n">
        <v>1</v>
      </c>
      <c r="B51" s="71" t="n">
        <v>46174</v>
      </c>
      <c r="C51" s="71" t="n">
        <v>46174</v>
      </c>
      <c r="D51" s="70" t="n">
        <v>17</v>
      </c>
      <c r="E51" s="72" t="inlineStr">
        <is>
          <t>NEYLIANE SILVA DE OLIVEIRA</t>
        </is>
      </c>
      <c r="F51" s="70" t="n">
        <v>34</v>
      </c>
      <c r="G51" s="72" t="inlineStr">
        <is>
          <t>Transferencia Pix</t>
        </is>
      </c>
      <c r="H51" s="70" t="n">
        <v>2110405</v>
      </c>
      <c r="I51" s="72" t="inlineStr">
        <is>
          <t>CONTAS A PAGAR</t>
        </is>
      </c>
      <c r="J51" s="70" t="n">
        <v>1571502</v>
      </c>
      <c r="L51" s="70" t="n">
        <v>642322</v>
      </c>
      <c r="M51" s="72" t="inlineStr">
        <is>
          <t>01</t>
        </is>
      </c>
      <c r="N51" s="72" t="inlineStr">
        <is>
          <t>AVU</t>
        </is>
      </c>
      <c r="P51" s="70" t="n">
        <v>101</v>
      </c>
      <c r="Q51" s="72" t="inlineStr">
        <is>
          <t>KEILA LIMA</t>
        </is>
      </c>
      <c r="R51" s="72" t="inlineStr">
        <is>
          <t>DESPESAS NAO OPERACIONAIS</t>
        </is>
      </c>
      <c r="S51" s="70" t="n">
        <v>4220199</v>
      </c>
      <c r="T51" s="72" t="inlineStr">
        <is>
          <t>PAGAMENTOS OUTROS NAO OPERACIONAIS</t>
        </is>
      </c>
      <c r="U51" s="73" t="n">
        <v>210</v>
      </c>
      <c r="W51" s="73" t="n">
        <v>0</v>
      </c>
      <c r="X51" s="72" t="inlineStr">
        <is>
          <t>PL NEILA E RENATO MO1 VT ARLETE</t>
        </is>
      </c>
      <c r="Z51" s="59">
        <f>IF($T51="","",IFERROR(INDEX('Resumo Grupos'!$AC$3:$AC$200,MATCH($T51,'Resumo Grupos'!$AB$3:$AB$200,0)),"n/d"))</f>
        <v/>
      </c>
      <c r="AA51" s="59">
        <f>IF($T51="","",IF(COUNTIF('Resumo Grupos'!$AE$3:$AE$40,$T51)&gt;0,"NAO","SIM"))</f>
        <v/>
      </c>
    </row>
    <row r="52" ht="45.75" customHeight="1" s="60">
      <c r="A52" s="70" t="n">
        <v>1</v>
      </c>
      <c r="B52" s="71" t="n">
        <v>46114</v>
      </c>
      <c r="C52" s="71" t="n">
        <v>46175</v>
      </c>
      <c r="D52" s="70" t="n">
        <v>1460</v>
      </c>
      <c r="E52" s="72" t="inlineStr">
        <is>
          <t>CISS CONTABIL SERVIÇOS</t>
        </is>
      </c>
      <c r="F52" s="70" t="n">
        <v>24</v>
      </c>
      <c r="G52" s="72" t="inlineStr">
        <is>
          <t>Compra a Prazo - Boletos</t>
        </is>
      </c>
      <c r="H52" s="70" t="n">
        <v>2110405</v>
      </c>
      <c r="I52" s="72" t="inlineStr">
        <is>
          <t>CONTAS A PAGAR</t>
        </is>
      </c>
      <c r="J52" s="70" t="n">
        <v>920174</v>
      </c>
      <c r="L52" s="70" t="n">
        <v>391878</v>
      </c>
      <c r="M52" s="72" t="inlineStr">
        <is>
          <t>03</t>
        </is>
      </c>
      <c r="N52" s="72" t="inlineStr">
        <is>
          <t>AVU</t>
        </is>
      </c>
      <c r="P52" s="70" t="n">
        <v>101</v>
      </c>
      <c r="Q52" s="72" t="inlineStr">
        <is>
          <t>KEILA LIMA</t>
        </is>
      </c>
      <c r="R52" s="72" t="inlineStr">
        <is>
          <t>DESPESAS NAO OPERACIONAIS</t>
        </is>
      </c>
      <c r="S52" s="70" t="n">
        <v>4220199</v>
      </c>
      <c r="T52" s="72" t="inlineStr">
        <is>
          <t>PAGAMENTOS OUTROS NAO OPERACIONAIS</t>
        </is>
      </c>
      <c r="U52" s="73" t="n">
        <v>711.6900000000001</v>
      </c>
      <c r="W52" s="73" t="n">
        <v>0</v>
      </c>
      <c r="X52" s="72" t="inlineStr">
        <is>
          <t xml:space="preserve">MENS CISS LOJAS IMPLANTACAO MO1 </t>
        </is>
      </c>
      <c r="Z52" s="59">
        <f>IF($T52="","",IFERROR(INDEX('Resumo Grupos'!$AC$3:$AC$200,MATCH($T52,'Resumo Grupos'!$AB$3:$AB$200,0)),"n/d"))</f>
        <v/>
      </c>
      <c r="AA52" s="59">
        <f>IF($T52="","",IF(COUNTIF('Resumo Grupos'!$AE$3:$AE$40,$T52)&gt;0,"NAO","SIM"))</f>
        <v/>
      </c>
    </row>
    <row r="53" ht="54.75" customHeight="1" s="60">
      <c r="A53" s="70" t="n">
        <v>1</v>
      </c>
      <c r="B53" s="71" t="n">
        <v>46155</v>
      </c>
      <c r="C53" s="71" t="n">
        <v>46175</v>
      </c>
      <c r="D53" s="70" t="n">
        <v>1107</v>
      </c>
      <c r="E53" s="72" t="inlineStr">
        <is>
          <t>OESA COMERCIO E REPRESENTACOES S/A</t>
        </is>
      </c>
      <c r="F53" s="70" t="n">
        <v>24</v>
      </c>
      <c r="G53" s="72" t="inlineStr">
        <is>
          <t>Compra a Prazo - Boletos</t>
        </is>
      </c>
      <c r="H53" s="70" t="n">
        <v>2110101</v>
      </c>
      <c r="I53" s="72" t="inlineStr">
        <is>
          <t>FORNECEDORES DE MERCADORIA</t>
        </is>
      </c>
      <c r="J53" s="70" t="n">
        <v>1092319</v>
      </c>
      <c r="L53" s="70" t="n">
        <v>401029</v>
      </c>
      <c r="M53" s="72" t="inlineStr">
        <is>
          <t>01</t>
        </is>
      </c>
      <c r="N53" s="72" t="inlineStr">
        <is>
          <t>NFE</t>
        </is>
      </c>
      <c r="P53" s="70" t="n">
        <v>103</v>
      </c>
      <c r="Q53" s="72" t="inlineStr">
        <is>
          <t>MILKA FRANCIS</t>
        </is>
      </c>
      <c r="R53" s="72" t="inlineStr">
        <is>
          <t>ESTOQUE DE MERCADORIAS</t>
        </is>
      </c>
      <c r="S53" s="70" t="n">
        <v>1130101</v>
      </c>
      <c r="T53" s="72" t="inlineStr">
        <is>
          <t>MERCADORIAS P/REVENDA</t>
        </is>
      </c>
      <c r="U53" s="73" t="n">
        <v>2467.24</v>
      </c>
      <c r="W53" s="73" t="n">
        <v>0</v>
      </c>
      <c r="X53" s="72" t="inlineStr">
        <is>
          <t>NF401029 -1 MILKA</t>
        </is>
      </c>
      <c r="Z53" s="59">
        <f>IF($T53="","",IFERROR(INDEX('Resumo Grupos'!$AC$3:$AC$200,MATCH($T53,'Resumo Grupos'!$AB$3:$AB$200,0)),"n/d"))</f>
        <v/>
      </c>
      <c r="AA53" s="59">
        <f>IF($T53="","",IF(COUNTIF('Resumo Grupos'!$AE$3:$AE$40,$T53)&gt;0,"NAO","SIM"))</f>
        <v/>
      </c>
    </row>
    <row r="54" ht="45.75" customHeight="1" s="60">
      <c r="A54" s="70" t="n">
        <v>1</v>
      </c>
      <c r="B54" s="71" t="n">
        <v>46142</v>
      </c>
      <c r="C54" s="71" t="n">
        <v>46175</v>
      </c>
      <c r="D54" s="70" t="n">
        <v>957</v>
      </c>
      <c r="E54" s="72" t="inlineStr">
        <is>
          <t>FUNNY PET DISTRIBUIDORA DE ALIMENTOS PAR</t>
        </is>
      </c>
      <c r="F54" s="70" t="n">
        <v>24</v>
      </c>
      <c r="G54" s="72" t="inlineStr">
        <is>
          <t>Compra a Prazo - Boletos</t>
        </is>
      </c>
      <c r="H54" s="70" t="n">
        <v>2110101</v>
      </c>
      <c r="I54" s="72" t="inlineStr">
        <is>
          <t>FORNECEDORES DE MERCADORIA</t>
        </is>
      </c>
      <c r="J54" s="70" t="n">
        <v>1029489</v>
      </c>
      <c r="L54" s="70" t="n">
        <v>19342</v>
      </c>
      <c r="M54" s="72" t="inlineStr">
        <is>
          <t>03</t>
        </is>
      </c>
      <c r="N54" s="72" t="inlineStr">
        <is>
          <t>NFE</t>
        </is>
      </c>
      <c r="P54" s="70" t="n">
        <v>103</v>
      </c>
      <c r="Q54" s="72" t="inlineStr">
        <is>
          <t>MILKA FRANCIS</t>
        </is>
      </c>
      <c r="R54" s="72" t="inlineStr">
        <is>
          <t>ESTOQUE DE MERCADORIAS</t>
        </is>
      </c>
      <c r="S54" s="70" t="n">
        <v>1130101</v>
      </c>
      <c r="T54" s="72" t="inlineStr">
        <is>
          <t>MERCADORIAS P/REVENDA</t>
        </is>
      </c>
      <c r="U54" s="73" t="n">
        <v>1287.25</v>
      </c>
      <c r="W54" s="73" t="n">
        <v>0</v>
      </c>
      <c r="X54" s="72" t="inlineStr">
        <is>
          <t>NF19342-3 MILKA</t>
        </is>
      </c>
      <c r="Z54" s="59">
        <f>IF($T54="","",IFERROR(INDEX('Resumo Grupos'!$AC$3:$AC$200,MATCH($T54,'Resumo Grupos'!$AB$3:$AB$200,0)),"n/d"))</f>
        <v/>
      </c>
      <c r="AA54" s="59">
        <f>IF($T54="","",IF(COUNTIF('Resumo Grupos'!$AE$3:$AE$40,$T54)&gt;0,"NAO","SIM"))</f>
        <v/>
      </c>
    </row>
    <row r="55" ht="45.75" customHeight="1" s="60">
      <c r="A55" s="70" t="n">
        <v>1</v>
      </c>
      <c r="B55" s="71" t="n">
        <v>46154</v>
      </c>
      <c r="C55" s="71" t="n">
        <v>46175</v>
      </c>
      <c r="D55" s="70" t="n">
        <v>1718</v>
      </c>
      <c r="E55" s="72" t="inlineStr">
        <is>
          <t>DISTRIBUIDORA FARIAS LTDA.</t>
        </is>
      </c>
      <c r="F55" s="70" t="n">
        <v>24</v>
      </c>
      <c r="G55" s="72" t="inlineStr">
        <is>
          <t>Compra a Prazo - Boletos</t>
        </is>
      </c>
      <c r="H55" s="70" t="n">
        <v>2110101</v>
      </c>
      <c r="I55" s="72" t="inlineStr">
        <is>
          <t>FORNECEDORES DE MERCADORIA</t>
        </is>
      </c>
      <c r="J55" s="70" t="n">
        <v>1088631</v>
      </c>
      <c r="L55" s="70" t="n">
        <v>666624</v>
      </c>
      <c r="M55" s="72" t="inlineStr">
        <is>
          <t>01</t>
        </is>
      </c>
      <c r="N55" s="72" t="inlineStr">
        <is>
          <t>NFE</t>
        </is>
      </c>
      <c r="P55" s="70" t="n">
        <v>103</v>
      </c>
      <c r="Q55" s="72" t="inlineStr">
        <is>
          <t>MILKA FRANCIS</t>
        </is>
      </c>
      <c r="R55" s="72" t="inlineStr">
        <is>
          <t>ESTOQUE DE MERCADORIAS</t>
        </is>
      </c>
      <c r="S55" s="70" t="n">
        <v>1130101</v>
      </c>
      <c r="T55" s="72" t="inlineStr">
        <is>
          <t>MERCADORIAS P/REVENDA</t>
        </is>
      </c>
      <c r="U55" s="73" t="n">
        <v>1495.04</v>
      </c>
      <c r="W55" s="73" t="n">
        <v>0</v>
      </c>
      <c r="X55" s="72" t="inlineStr">
        <is>
          <t>NF 666624 - MILKA</t>
        </is>
      </c>
      <c r="Z55" s="59">
        <f>IF($T55="","",IFERROR(INDEX('Resumo Grupos'!$AC$3:$AC$200,MATCH($T55,'Resumo Grupos'!$AB$3:$AB$200,0)),"n/d"))</f>
        <v/>
      </c>
      <c r="AA55" s="59">
        <f>IF($T55="","",IF(COUNTIF('Resumo Grupos'!$AE$3:$AE$40,$T55)&gt;0,"NAO","SIM"))</f>
        <v/>
      </c>
    </row>
    <row r="56" ht="45.75" customHeight="1" s="60">
      <c r="A56" s="70" t="n">
        <v>1</v>
      </c>
      <c r="B56" s="71" t="n">
        <v>46156</v>
      </c>
      <c r="C56" s="71" t="n">
        <v>46175</v>
      </c>
      <c r="D56" s="70" t="n">
        <v>1635</v>
      </c>
      <c r="E56" s="72" t="inlineStr">
        <is>
          <t>BONNA VITTA INDUSTRIA E COMERCIO LTDA.</t>
        </is>
      </c>
      <c r="F56" s="70" t="n">
        <v>24</v>
      </c>
      <c r="G56" s="72" t="inlineStr">
        <is>
          <t>Compra a Prazo - Boletos</t>
        </is>
      </c>
      <c r="H56" s="70" t="n">
        <v>2110101</v>
      </c>
      <c r="I56" s="72" t="inlineStr">
        <is>
          <t>FORNECEDORES DE MERCADORIA</t>
        </is>
      </c>
      <c r="J56" s="70" t="n">
        <v>1098066</v>
      </c>
      <c r="L56" s="70" t="n">
        <v>515970</v>
      </c>
      <c r="M56" s="72" t="inlineStr">
        <is>
          <t>01</t>
        </is>
      </c>
      <c r="N56" s="72" t="inlineStr">
        <is>
          <t>NFE</t>
        </is>
      </c>
      <c r="P56" s="70" t="n">
        <v>103</v>
      </c>
      <c r="Q56" s="72" t="inlineStr">
        <is>
          <t>MILKA FRANCIS</t>
        </is>
      </c>
      <c r="R56" s="72" t="inlineStr">
        <is>
          <t>ESTOQUE DE MERCADORIAS</t>
        </is>
      </c>
      <c r="S56" s="70" t="n">
        <v>1130101</v>
      </c>
      <c r="T56" s="72" t="inlineStr">
        <is>
          <t>MERCADORIAS P/REVENDA</t>
        </is>
      </c>
      <c r="U56" s="73" t="n">
        <v>1154.04</v>
      </c>
      <c r="W56" s="73" t="n">
        <v>0</v>
      </c>
      <c r="X56" s="72" t="inlineStr">
        <is>
          <t>NF 515970 - MILKA</t>
        </is>
      </c>
      <c r="Z56" s="59">
        <f>IF($T56="","",IFERROR(INDEX('Resumo Grupos'!$AC$3:$AC$200,MATCH($T56,'Resumo Grupos'!$AB$3:$AB$200,0)),"n/d"))</f>
        <v/>
      </c>
      <c r="AA56" s="59">
        <f>IF($T56="","",IF(COUNTIF('Resumo Grupos'!$AE$3:$AE$40,$T56)&gt;0,"NAO","SIM"))</f>
        <v/>
      </c>
    </row>
    <row r="57" ht="45.75" customHeight="1" s="60">
      <c r="A57" s="70" t="n">
        <v>1</v>
      </c>
      <c r="B57" s="71" t="n">
        <v>46156</v>
      </c>
      <c r="C57" s="71" t="n">
        <v>46175</v>
      </c>
      <c r="D57" s="70" t="n">
        <v>1324</v>
      </c>
      <c r="E57" s="72" t="inlineStr">
        <is>
          <t>FC COMERCIO VAREJISTA DE OUTROS PRODUTOS</t>
        </is>
      </c>
      <c r="F57" s="70" t="n">
        <v>24</v>
      </c>
      <c r="G57" s="72" t="inlineStr">
        <is>
          <t>Compra a Prazo - Boletos</t>
        </is>
      </c>
      <c r="H57" s="70" t="n">
        <v>2110101</v>
      </c>
      <c r="I57" s="72" t="inlineStr">
        <is>
          <t>FORNECEDORES DE MERCADORIA</t>
        </is>
      </c>
      <c r="J57" s="70" t="n">
        <v>1098276</v>
      </c>
      <c r="L57" s="70" t="n">
        <v>18</v>
      </c>
      <c r="M57" s="72" t="inlineStr">
        <is>
          <t>01</t>
        </is>
      </c>
      <c r="N57" s="72" t="inlineStr">
        <is>
          <t>NFE</t>
        </is>
      </c>
      <c r="P57" s="70" t="n">
        <v>103</v>
      </c>
      <c r="Q57" s="72" t="inlineStr">
        <is>
          <t>MILKA FRANCIS</t>
        </is>
      </c>
      <c r="R57" s="72" t="inlineStr">
        <is>
          <t>ESTOQUE DE MERCADORIAS</t>
        </is>
      </c>
      <c r="S57" s="70" t="n">
        <v>1130101</v>
      </c>
      <c r="T57" s="72" t="inlineStr">
        <is>
          <t>MERCADORIAS P/REVENDA</t>
        </is>
      </c>
      <c r="U57" s="73" t="n">
        <v>560</v>
      </c>
      <c r="W57" s="73" t="n">
        <v>0</v>
      </c>
      <c r="X57" s="72" t="inlineStr">
        <is>
          <t>NF 18 - MILKA</t>
        </is>
      </c>
      <c r="Z57" s="59">
        <f>IF($T57="","",IFERROR(INDEX('Resumo Grupos'!$AC$3:$AC$200,MATCH($T57,'Resumo Grupos'!$AB$3:$AB$200,0)),"n/d"))</f>
        <v/>
      </c>
      <c r="AA57" s="59">
        <f>IF($T57="","",IF(COUNTIF('Resumo Grupos'!$AE$3:$AE$40,$T57)&gt;0,"NAO","SIM"))</f>
        <v/>
      </c>
    </row>
    <row r="58" ht="45.75" customHeight="1" s="60">
      <c r="A58" s="70" t="n">
        <v>1</v>
      </c>
      <c r="B58" s="71" t="n">
        <v>46157</v>
      </c>
      <c r="C58" s="71" t="n">
        <v>46175</v>
      </c>
      <c r="D58" s="70" t="n">
        <v>1461</v>
      </c>
      <c r="E58" s="72" t="inlineStr">
        <is>
          <t>TRIPLASTIK VAREJO</t>
        </is>
      </c>
      <c r="F58" s="70" t="n">
        <v>24</v>
      </c>
      <c r="G58" s="72" t="inlineStr">
        <is>
          <t>Compra a Prazo - Boletos</t>
        </is>
      </c>
      <c r="H58" s="70" t="n">
        <v>2110102</v>
      </c>
      <c r="I58" s="72" t="inlineStr">
        <is>
          <t>OUTROS FORNECEDORES</t>
        </is>
      </c>
      <c r="J58" s="70" t="n">
        <v>1101681</v>
      </c>
      <c r="L58" s="70" t="n">
        <v>3100</v>
      </c>
      <c r="M58" s="72" t="inlineStr">
        <is>
          <t>01</t>
        </is>
      </c>
      <c r="N58" s="72" t="inlineStr">
        <is>
          <t>NFE</t>
        </is>
      </c>
      <c r="P58" s="70" t="n">
        <v>103</v>
      </c>
      <c r="Q58" s="72" t="inlineStr">
        <is>
          <t>MILKA FRANCIS</t>
        </is>
      </c>
      <c r="R58" s="72" t="inlineStr">
        <is>
          <t>DESPESAS OPERACIONAIS</t>
        </is>
      </c>
      <c r="S58" s="70" t="n">
        <v>4210204</v>
      </c>
      <c r="T58" s="72" t="inlineStr">
        <is>
          <t>MATERIAL DE CONSUMO</t>
        </is>
      </c>
      <c r="U58" s="73" t="n">
        <v>1147.64</v>
      </c>
      <c r="W58" s="73" t="n">
        <v>0</v>
      </c>
      <c r="X58" s="72" t="inlineStr">
        <is>
          <t>NF 3100 - MILKA</t>
        </is>
      </c>
      <c r="Z58" s="59">
        <f>IF($T58="","",IFERROR(INDEX('Resumo Grupos'!$AC$3:$AC$200,MATCH($T58,'Resumo Grupos'!$AB$3:$AB$200,0)),"n/d"))</f>
        <v/>
      </c>
      <c r="AA58" s="59">
        <f>IF($T58="","",IF(COUNTIF('Resumo Grupos'!$AE$3:$AE$40,$T58)&gt;0,"NAO","SIM"))</f>
        <v/>
      </c>
    </row>
    <row r="59" ht="45.75" customHeight="1" s="60">
      <c r="A59" s="70" t="n">
        <v>1</v>
      </c>
      <c r="B59" s="71" t="n">
        <v>46163</v>
      </c>
      <c r="C59" s="71" t="n">
        <v>46175</v>
      </c>
      <c r="D59" s="70" t="n">
        <v>10073</v>
      </c>
      <c r="E59" s="72" t="inlineStr">
        <is>
          <t>CACAU NORTE DISTRIBUIDORA DE PRODUTOS ALIMENTICIOS LTDA</t>
        </is>
      </c>
      <c r="F59" s="70" t="n">
        <v>24</v>
      </c>
      <c r="G59" s="72" t="inlineStr">
        <is>
          <t>Compra a Prazo - Boletos</t>
        </is>
      </c>
      <c r="H59" s="70" t="n">
        <v>2110101</v>
      </c>
      <c r="I59" s="72" t="inlineStr">
        <is>
          <t>FORNECEDORES DE MERCADORIA</t>
        </is>
      </c>
      <c r="J59" s="70" t="n">
        <v>1132313</v>
      </c>
      <c r="L59" s="70" t="n">
        <v>113</v>
      </c>
      <c r="M59" s="72" t="inlineStr">
        <is>
          <t>01</t>
        </is>
      </c>
      <c r="N59" s="72" t="inlineStr">
        <is>
          <t>NFE</t>
        </is>
      </c>
      <c r="P59" s="70" t="n">
        <v>103</v>
      </c>
      <c r="Q59" s="72" t="inlineStr">
        <is>
          <t>MILKA FRANCIS</t>
        </is>
      </c>
      <c r="R59" s="72" t="inlineStr">
        <is>
          <t>ESTOQUE DE MERCADORIAS</t>
        </is>
      </c>
      <c r="S59" s="70" t="n">
        <v>1130101</v>
      </c>
      <c r="T59" s="72" t="inlineStr">
        <is>
          <t>MERCADORIAS P/REVENDA</t>
        </is>
      </c>
      <c r="U59" s="73" t="n">
        <v>370.86</v>
      </c>
      <c r="W59" s="73" t="n">
        <v>0</v>
      </c>
      <c r="X59" s="72" t="inlineStr">
        <is>
          <t>NF 113 - MILKA</t>
        </is>
      </c>
      <c r="Z59" s="59">
        <f>IF($T59="","",IFERROR(INDEX('Resumo Grupos'!$AC$3:$AC$200,MATCH($T59,'Resumo Grupos'!$AB$3:$AB$200,0)),"n/d"))</f>
        <v/>
      </c>
      <c r="AA59" s="59">
        <f>IF($T59="","",IF(COUNTIF('Resumo Grupos'!$AE$3:$AE$40,$T59)&gt;0,"NAO","SIM"))</f>
        <v/>
      </c>
    </row>
    <row r="60" ht="45.75" customHeight="1" s="60">
      <c r="A60" s="70" t="n">
        <v>1</v>
      </c>
      <c r="B60" s="71" t="n">
        <v>46164</v>
      </c>
      <c r="C60" s="71" t="n">
        <v>46175</v>
      </c>
      <c r="D60" s="70" t="n">
        <v>1114</v>
      </c>
      <c r="E60" s="72" t="inlineStr">
        <is>
          <t>NT INDUSTRIA E COMERCIO DE PANIFICACAO L</t>
        </is>
      </c>
      <c r="F60" s="70" t="n">
        <v>24</v>
      </c>
      <c r="G60" s="72" t="inlineStr">
        <is>
          <t>Compra a Prazo - Boletos</t>
        </is>
      </c>
      <c r="H60" s="70" t="n">
        <v>2110101</v>
      </c>
      <c r="I60" s="72" t="inlineStr">
        <is>
          <t>FORNECEDORES DE MERCADORIA</t>
        </is>
      </c>
      <c r="J60" s="70" t="n">
        <v>1135947</v>
      </c>
      <c r="L60" s="70" t="n">
        <v>36155</v>
      </c>
      <c r="M60" s="72" t="inlineStr">
        <is>
          <t>01</t>
        </is>
      </c>
      <c r="N60" s="72" t="inlineStr">
        <is>
          <t>NFE</t>
        </is>
      </c>
      <c r="P60" s="70" t="n">
        <v>103</v>
      </c>
      <c r="Q60" s="72" t="inlineStr">
        <is>
          <t>MILKA FRANCIS</t>
        </is>
      </c>
      <c r="R60" s="72" t="inlineStr">
        <is>
          <t>ESTOQUE DE MERCADORIAS</t>
        </is>
      </c>
      <c r="S60" s="70" t="n">
        <v>1130101</v>
      </c>
      <c r="T60" s="72" t="inlineStr">
        <is>
          <t>MERCADORIAS P/REVENDA</t>
        </is>
      </c>
      <c r="U60" s="73" t="n">
        <v>4162.67</v>
      </c>
      <c r="W60" s="73" t="n">
        <v>0</v>
      </c>
      <c r="X60" s="72" t="inlineStr">
        <is>
          <t>NF 36155 - MILKA</t>
        </is>
      </c>
      <c r="Z60" s="59">
        <f>IF($T60="","",IFERROR(INDEX('Resumo Grupos'!$AC$3:$AC$200,MATCH($T60,'Resumo Grupos'!$AB$3:$AB$200,0)),"n/d"))</f>
        <v/>
      </c>
      <c r="AA60" s="59">
        <f>IF($T60="","",IF(COUNTIF('Resumo Grupos'!$AE$3:$AE$40,$T60)&gt;0,"NAO","SIM"))</f>
        <v/>
      </c>
    </row>
    <row r="61" ht="45.75" customHeight="1" s="60">
      <c r="A61" s="70" t="n">
        <v>1</v>
      </c>
      <c r="B61" s="71" t="n">
        <v>46164</v>
      </c>
      <c r="C61" s="71" t="n">
        <v>46175</v>
      </c>
      <c r="D61" s="70" t="n">
        <v>1672</v>
      </c>
      <c r="E61" s="72" t="inlineStr">
        <is>
          <t>MARE DISTRIBUIDORA DE BEBIDAS E DE PRODUTOS ALIMENTICIOS LTDA</t>
        </is>
      </c>
      <c r="F61" s="70" t="n">
        <v>24</v>
      </c>
      <c r="G61" s="72" t="inlineStr">
        <is>
          <t>Compra a Prazo - Boletos</t>
        </is>
      </c>
      <c r="H61" s="70" t="n">
        <v>2110101</v>
      </c>
      <c r="I61" s="72" t="inlineStr">
        <is>
          <t>FORNECEDORES DE MERCADORIA</t>
        </is>
      </c>
      <c r="J61" s="70" t="n">
        <v>1137108</v>
      </c>
      <c r="L61" s="70" t="n">
        <v>1348909</v>
      </c>
      <c r="M61" s="72" t="inlineStr">
        <is>
          <t>01</t>
        </is>
      </c>
      <c r="N61" s="72" t="inlineStr">
        <is>
          <t>NFE</t>
        </is>
      </c>
      <c r="P61" s="70" t="n">
        <v>103</v>
      </c>
      <c r="Q61" s="72" t="inlineStr">
        <is>
          <t>MILKA FRANCIS</t>
        </is>
      </c>
      <c r="R61" s="72" t="inlineStr">
        <is>
          <t>ESTOQUE DE MERCADORIAS</t>
        </is>
      </c>
      <c r="S61" s="70" t="n">
        <v>1130101</v>
      </c>
      <c r="T61" s="72" t="inlineStr">
        <is>
          <t>MERCADORIAS P/REVENDA</t>
        </is>
      </c>
      <c r="U61" s="73" t="n">
        <v>2953.25</v>
      </c>
      <c r="W61" s="73" t="n">
        <v>0</v>
      </c>
      <c r="X61" s="72" t="inlineStr">
        <is>
          <t>NF 1348909 - MILKA</t>
        </is>
      </c>
      <c r="Z61" s="59">
        <f>IF($T61="","",IFERROR(INDEX('Resumo Grupos'!$AC$3:$AC$200,MATCH($T61,'Resumo Grupos'!$AB$3:$AB$200,0)),"n/d"))</f>
        <v/>
      </c>
      <c r="AA61" s="59">
        <f>IF($T61="","",IF(COUNTIF('Resumo Grupos'!$AE$3:$AE$40,$T61)&gt;0,"NAO","SIM"))</f>
        <v/>
      </c>
    </row>
    <row r="62" ht="45.75" customHeight="1" s="60">
      <c r="A62" s="70" t="n">
        <v>1</v>
      </c>
      <c r="B62" s="71" t="n">
        <v>46165</v>
      </c>
      <c r="C62" s="71" t="n">
        <v>46175</v>
      </c>
      <c r="D62" s="70" t="n">
        <v>1705</v>
      </c>
      <c r="E62" s="72" t="inlineStr">
        <is>
          <t>BRASIL NORTE BEBIDAS S/A</t>
        </is>
      </c>
      <c r="F62" s="70" t="n">
        <v>24</v>
      </c>
      <c r="G62" s="72" t="inlineStr">
        <is>
          <t>Compra a Prazo - Boletos</t>
        </is>
      </c>
      <c r="H62" s="70" t="n">
        <v>2110101</v>
      </c>
      <c r="I62" s="72" t="inlineStr">
        <is>
          <t>FORNECEDORES DE MERCADORIA</t>
        </is>
      </c>
      <c r="J62" s="70" t="n">
        <v>1141279</v>
      </c>
      <c r="L62" s="70" t="n">
        <v>1119761</v>
      </c>
      <c r="M62" s="72" t="inlineStr">
        <is>
          <t>01</t>
        </is>
      </c>
      <c r="N62" s="72" t="inlineStr">
        <is>
          <t>NFE</t>
        </is>
      </c>
      <c r="P62" s="70" t="n">
        <v>103</v>
      </c>
      <c r="Q62" s="72" t="inlineStr">
        <is>
          <t>MILKA FRANCIS</t>
        </is>
      </c>
      <c r="R62" s="72" t="inlineStr">
        <is>
          <t>ESTOQUE DE MERCADORIAS</t>
        </is>
      </c>
      <c r="S62" s="70" t="n">
        <v>1130101</v>
      </c>
      <c r="T62" s="72" t="inlineStr">
        <is>
          <t>MERCADORIAS P/REVENDA</t>
        </is>
      </c>
      <c r="U62" s="73" t="n">
        <v>3107.15</v>
      </c>
      <c r="W62" s="73" t="n">
        <v>0</v>
      </c>
      <c r="X62" s="72" t="inlineStr">
        <is>
          <t>NF 1119761 - MILKA</t>
        </is>
      </c>
      <c r="Z62" s="59">
        <f>IF($T62="","",IFERROR(INDEX('Resumo Grupos'!$AC$3:$AC$200,MATCH($T62,'Resumo Grupos'!$AB$3:$AB$200,0)),"n/d"))</f>
        <v/>
      </c>
      <c r="AA62" s="59">
        <f>IF($T62="","",IF(COUNTIF('Resumo Grupos'!$AE$3:$AE$40,$T62)&gt;0,"NAO","SIM"))</f>
        <v/>
      </c>
    </row>
    <row r="63" ht="45.75" customHeight="1" s="60">
      <c r="A63" s="70" t="n">
        <v>1</v>
      </c>
      <c r="B63" s="71" t="n">
        <v>46165</v>
      </c>
      <c r="C63" s="71" t="n">
        <v>46175</v>
      </c>
      <c r="D63" s="70" t="n">
        <v>1705</v>
      </c>
      <c r="E63" s="72" t="inlineStr">
        <is>
          <t>BRASIL NORTE BEBIDAS S/A</t>
        </is>
      </c>
      <c r="F63" s="70" t="n">
        <v>24</v>
      </c>
      <c r="G63" s="72" t="inlineStr">
        <is>
          <t>Compra a Prazo - Boletos</t>
        </is>
      </c>
      <c r="H63" s="70" t="n">
        <v>2110101</v>
      </c>
      <c r="I63" s="72" t="inlineStr">
        <is>
          <t>FORNECEDORES DE MERCADORIA</t>
        </is>
      </c>
      <c r="J63" s="70" t="n">
        <v>1141309</v>
      </c>
      <c r="L63" s="70" t="n">
        <v>1828663</v>
      </c>
      <c r="M63" s="72" t="inlineStr">
        <is>
          <t>01</t>
        </is>
      </c>
      <c r="N63" s="72" t="inlineStr">
        <is>
          <t>NFE</t>
        </is>
      </c>
      <c r="P63" s="70" t="n">
        <v>103</v>
      </c>
      <c r="Q63" s="72" t="inlineStr">
        <is>
          <t>MILKA FRANCIS</t>
        </is>
      </c>
      <c r="R63" s="72" t="inlineStr">
        <is>
          <t>ESTOQUE DE MERCADORIAS</t>
        </is>
      </c>
      <c r="S63" s="70" t="n">
        <v>1130101</v>
      </c>
      <c r="T63" s="72" t="inlineStr">
        <is>
          <t>MERCADORIAS P/REVENDA</t>
        </is>
      </c>
      <c r="U63" s="73" t="n">
        <v>4136.12</v>
      </c>
      <c r="W63" s="73" t="n">
        <v>0</v>
      </c>
      <c r="X63" s="72" t="inlineStr">
        <is>
          <t>NF 1828663 - MILKA</t>
        </is>
      </c>
      <c r="Z63" s="59">
        <f>IF($T63="","",IFERROR(INDEX('Resumo Grupos'!$AC$3:$AC$200,MATCH($T63,'Resumo Grupos'!$AB$3:$AB$200,0)),"n/d"))</f>
        <v/>
      </c>
      <c r="AA63" s="59">
        <f>IF($T63="","",IF(COUNTIF('Resumo Grupos'!$AE$3:$AE$40,$T63)&gt;0,"NAO","SIM"))</f>
        <v/>
      </c>
    </row>
    <row r="64" ht="45.75" customHeight="1" s="60">
      <c r="A64" s="70" t="n">
        <v>1</v>
      </c>
      <c r="B64" s="71" t="n">
        <v>46165</v>
      </c>
      <c r="C64" s="71" t="n">
        <v>46175</v>
      </c>
      <c r="D64" s="70" t="n">
        <v>1705</v>
      </c>
      <c r="E64" s="72" t="inlineStr">
        <is>
          <t>BRASIL NORTE BEBIDAS S/A</t>
        </is>
      </c>
      <c r="F64" s="70" t="n">
        <v>24</v>
      </c>
      <c r="G64" s="72" t="inlineStr">
        <is>
          <t>Compra a Prazo - Boletos</t>
        </is>
      </c>
      <c r="H64" s="70" t="n">
        <v>2110101</v>
      </c>
      <c r="I64" s="72" t="inlineStr">
        <is>
          <t>FORNECEDORES DE MERCADORIA</t>
        </is>
      </c>
      <c r="J64" s="70" t="n">
        <v>1141346</v>
      </c>
      <c r="L64" s="70" t="n">
        <v>1835789</v>
      </c>
      <c r="M64" s="72" t="inlineStr">
        <is>
          <t>01</t>
        </is>
      </c>
      <c r="N64" s="72" t="inlineStr">
        <is>
          <t>NFE</t>
        </is>
      </c>
      <c r="P64" s="70" t="n">
        <v>103</v>
      </c>
      <c r="Q64" s="72" t="inlineStr">
        <is>
          <t>MILKA FRANCIS</t>
        </is>
      </c>
      <c r="R64" s="72" t="inlineStr">
        <is>
          <t>ESTOQUE DE MERCADORIAS</t>
        </is>
      </c>
      <c r="S64" s="70" t="n">
        <v>1130101</v>
      </c>
      <c r="T64" s="72" t="inlineStr">
        <is>
          <t>MERCADORIAS P/REVENDA</t>
        </is>
      </c>
      <c r="U64" s="73" t="n">
        <v>7497.62</v>
      </c>
      <c r="W64" s="73" t="n">
        <v>0</v>
      </c>
      <c r="X64" s="72" t="inlineStr">
        <is>
          <t>NF 1835789 - MILKA</t>
        </is>
      </c>
      <c r="Z64" s="59">
        <f>IF($T64="","",IFERROR(INDEX('Resumo Grupos'!$AC$3:$AC$200,MATCH($T64,'Resumo Grupos'!$AB$3:$AB$200,0)),"n/d"))</f>
        <v/>
      </c>
      <c r="AA64" s="59">
        <f>IF($T64="","",IF(COUNTIF('Resumo Grupos'!$AE$3:$AE$40,$T64)&gt;0,"NAO","SIM"))</f>
        <v/>
      </c>
    </row>
    <row r="65" ht="45.75" customHeight="1" s="60">
      <c r="A65" s="70" t="n">
        <v>1</v>
      </c>
      <c r="B65" s="71" t="n">
        <v>46165</v>
      </c>
      <c r="C65" s="71" t="n">
        <v>46175</v>
      </c>
      <c r="D65" s="70" t="n">
        <v>1705</v>
      </c>
      <c r="E65" s="72" t="inlineStr">
        <is>
          <t>BRASIL NORTE BEBIDAS S/A</t>
        </is>
      </c>
      <c r="F65" s="70" t="n">
        <v>24</v>
      </c>
      <c r="G65" s="72" t="inlineStr">
        <is>
          <t>Compra a Prazo - Boletos</t>
        </is>
      </c>
      <c r="H65" s="70" t="n">
        <v>2110101</v>
      </c>
      <c r="I65" s="72" t="inlineStr">
        <is>
          <t>FORNECEDORES DE MERCADORIA</t>
        </is>
      </c>
      <c r="J65" s="70" t="n">
        <v>1141373</v>
      </c>
      <c r="L65" s="70" t="n">
        <v>1125870</v>
      </c>
      <c r="M65" s="72" t="inlineStr">
        <is>
          <t>01</t>
        </is>
      </c>
      <c r="N65" s="72" t="inlineStr">
        <is>
          <t>NFE</t>
        </is>
      </c>
      <c r="P65" s="70" t="n">
        <v>103</v>
      </c>
      <c r="Q65" s="72" t="inlineStr">
        <is>
          <t>MILKA FRANCIS</t>
        </is>
      </c>
      <c r="R65" s="72" t="inlineStr">
        <is>
          <t>ESTOQUE DE MERCADORIAS</t>
        </is>
      </c>
      <c r="S65" s="70" t="n">
        <v>1130101</v>
      </c>
      <c r="T65" s="72" t="inlineStr">
        <is>
          <t>MERCADORIAS P/REVENDA</t>
        </is>
      </c>
      <c r="U65" s="73" t="n">
        <v>2438.48</v>
      </c>
      <c r="W65" s="73" t="n">
        <v>0</v>
      </c>
      <c r="X65" s="72" t="inlineStr">
        <is>
          <t>NF 1125870 - MILKA</t>
        </is>
      </c>
      <c r="Z65" s="59">
        <f>IF($T65="","",IFERROR(INDEX('Resumo Grupos'!$AC$3:$AC$200,MATCH($T65,'Resumo Grupos'!$AB$3:$AB$200,0)),"n/d"))</f>
        <v/>
      </c>
      <c r="AA65" s="59">
        <f>IF($T65="","",IF(COUNTIF('Resumo Grupos'!$AE$3:$AE$40,$T65)&gt;0,"NAO","SIM"))</f>
        <v/>
      </c>
    </row>
    <row r="66" ht="45.75" customHeight="1" s="60">
      <c r="A66" s="70" t="n">
        <v>1</v>
      </c>
      <c r="B66" s="71" t="n">
        <v>46165</v>
      </c>
      <c r="C66" s="71" t="n">
        <v>46175</v>
      </c>
      <c r="D66" s="70" t="n">
        <v>1708</v>
      </c>
      <c r="E66" s="72" t="inlineStr">
        <is>
          <t>SUPER CANCUN COMERCIO DE PRODUTOS ALIMEN</t>
        </is>
      </c>
      <c r="F66" s="70" t="n">
        <v>24</v>
      </c>
      <c r="G66" s="72" t="inlineStr">
        <is>
          <t>Compra a Prazo - Boletos</t>
        </is>
      </c>
      <c r="H66" s="70" t="n">
        <v>2110101</v>
      </c>
      <c r="I66" s="72" t="inlineStr">
        <is>
          <t>FORNECEDORES DE MERCADORIA</t>
        </is>
      </c>
      <c r="J66" s="70" t="n">
        <v>1142142</v>
      </c>
      <c r="L66" s="70" t="n">
        <v>259091</v>
      </c>
      <c r="M66" s="72" t="inlineStr">
        <is>
          <t>01</t>
        </is>
      </c>
      <c r="N66" s="72" t="inlineStr">
        <is>
          <t>NFE</t>
        </is>
      </c>
      <c r="P66" s="70" t="n">
        <v>103</v>
      </c>
      <c r="Q66" s="72" t="inlineStr">
        <is>
          <t>MILKA FRANCIS</t>
        </is>
      </c>
      <c r="R66" s="72" t="inlineStr">
        <is>
          <t>ESTOQUE DE MERCADORIAS</t>
        </is>
      </c>
      <c r="S66" s="70" t="n">
        <v>1130101</v>
      </c>
      <c r="T66" s="72" t="inlineStr">
        <is>
          <t>MERCADORIAS P/REVENDA</t>
        </is>
      </c>
      <c r="U66" s="73" t="n">
        <v>381.98</v>
      </c>
      <c r="W66" s="73" t="n">
        <v>0</v>
      </c>
      <c r="X66" s="72" t="inlineStr">
        <is>
          <t>NF 250091 -1 MILKA</t>
        </is>
      </c>
      <c r="Z66" s="59">
        <f>IF($T66="","",IFERROR(INDEX('Resumo Grupos'!$AC$3:$AC$200,MATCH($T66,'Resumo Grupos'!$AB$3:$AB$200,0)),"n/d"))</f>
        <v/>
      </c>
      <c r="AA66" s="59">
        <f>IF($T66="","",IF(COUNTIF('Resumo Grupos'!$AE$3:$AE$40,$T66)&gt;0,"NAO","SIM"))</f>
        <v/>
      </c>
    </row>
    <row r="67" ht="36.75" customHeight="1" s="60">
      <c r="A67" s="70" t="n">
        <v>1</v>
      </c>
      <c r="B67" s="71" t="n">
        <v>46169</v>
      </c>
      <c r="C67" s="71" t="n">
        <v>46175</v>
      </c>
      <c r="D67" s="70" t="n">
        <v>1363</v>
      </c>
      <c r="E67" s="72" t="inlineStr">
        <is>
          <t>JAB COMERCIO DE PRODUTOS ALIMENTICIOS LT</t>
        </is>
      </c>
      <c r="F67" s="70" t="n">
        <v>24</v>
      </c>
      <c r="G67" s="72" t="inlineStr">
        <is>
          <t>Compra a Prazo - Boletos</t>
        </is>
      </c>
      <c r="H67" s="70" t="n">
        <v>2110101</v>
      </c>
      <c r="I67" s="72" t="inlineStr">
        <is>
          <t>FORNECEDORES DE MERCADORIA</t>
        </is>
      </c>
      <c r="J67" s="70" t="n">
        <v>1160794</v>
      </c>
      <c r="L67" s="70" t="n">
        <v>3254</v>
      </c>
      <c r="M67" s="72" t="inlineStr">
        <is>
          <t>01</t>
        </is>
      </c>
      <c r="N67" s="72" t="inlineStr">
        <is>
          <t>NFE</t>
        </is>
      </c>
      <c r="P67" s="70" t="n">
        <v>103</v>
      </c>
      <c r="Q67" s="72" t="inlineStr">
        <is>
          <t>MILKA FRANCIS</t>
        </is>
      </c>
      <c r="R67" s="72" t="inlineStr">
        <is>
          <t>ESTOQUE DE MERCADORIAS</t>
        </is>
      </c>
      <c r="S67" s="70" t="n">
        <v>1130101</v>
      </c>
      <c r="T67" s="72" t="inlineStr">
        <is>
          <t>MERCADORIAS P/REVENDA</t>
        </is>
      </c>
      <c r="U67" s="73" t="n">
        <v>266</v>
      </c>
      <c r="W67" s="73" t="n">
        <v>0</v>
      </c>
      <c r="X67" s="72" t="inlineStr">
        <is>
          <t>NF 3254 SANTOPAO - MILKA</t>
        </is>
      </c>
      <c r="Z67" s="59">
        <f>IF($T67="","",IFERROR(INDEX('Resumo Grupos'!$AC$3:$AC$200,MATCH($T67,'Resumo Grupos'!$AB$3:$AB$200,0)),"n/d"))</f>
        <v/>
      </c>
      <c r="AA67" s="59">
        <f>IF($T67="","",IF(COUNTIF('Resumo Grupos'!$AE$3:$AE$40,$T67)&gt;0,"NAO","SIM"))</f>
        <v/>
      </c>
    </row>
    <row r="68" ht="36.75" customHeight="1" s="60">
      <c r="A68" s="70" t="n">
        <v>1</v>
      </c>
      <c r="B68" s="71" t="n">
        <v>46169</v>
      </c>
      <c r="C68" s="71" t="n">
        <v>46175</v>
      </c>
      <c r="D68" s="70" t="n">
        <v>754</v>
      </c>
      <c r="E68" s="72" t="inlineStr">
        <is>
          <t>SILVA E SANTOS FRIGORIFICO LTDA</t>
        </is>
      </c>
      <c r="F68" s="70" t="n">
        <v>24</v>
      </c>
      <c r="G68" s="72" t="inlineStr">
        <is>
          <t>Compra a Prazo - Boletos</t>
        </is>
      </c>
      <c r="H68" s="70" t="n">
        <v>2110101</v>
      </c>
      <c r="I68" s="72" t="inlineStr">
        <is>
          <t>FORNECEDORES DE MERCADORIA</t>
        </is>
      </c>
      <c r="J68" s="70" t="n">
        <v>1163088</v>
      </c>
      <c r="L68" s="70" t="n">
        <v>30630</v>
      </c>
      <c r="M68" s="72" t="inlineStr">
        <is>
          <t>01</t>
        </is>
      </c>
      <c r="N68" s="72" t="inlineStr">
        <is>
          <t>NFE</t>
        </is>
      </c>
      <c r="P68" s="70" t="n">
        <v>103</v>
      </c>
      <c r="Q68" s="72" t="inlineStr">
        <is>
          <t>MILKA FRANCIS</t>
        </is>
      </c>
      <c r="R68" s="72" t="inlineStr">
        <is>
          <t>ESTOQUE DE MERCADORIAS</t>
        </is>
      </c>
      <c r="S68" s="70" t="n">
        <v>1130101</v>
      </c>
      <c r="T68" s="72" t="inlineStr">
        <is>
          <t>MERCADORIAS P/REVENDA</t>
        </is>
      </c>
      <c r="U68" s="73" t="n">
        <v>3638.4</v>
      </c>
      <c r="W68" s="73" t="n">
        <v>0</v>
      </c>
      <c r="X68" s="72" t="inlineStr">
        <is>
          <t>NF30630 - MILKA</t>
        </is>
      </c>
      <c r="Z68" s="59">
        <f>IF($T68="","",IFERROR(INDEX('Resumo Grupos'!$AC$3:$AC$200,MATCH($T68,'Resumo Grupos'!$AB$3:$AB$200,0)),"n/d"))</f>
        <v/>
      </c>
      <c r="AA68" s="59">
        <f>IF($T68="","",IF(COUNTIF('Resumo Grupos'!$AE$3:$AE$40,$T68)&gt;0,"NAO","SIM"))</f>
        <v/>
      </c>
    </row>
    <row r="69" ht="36.75" customHeight="1" s="60">
      <c r="A69" s="70" t="n">
        <v>1</v>
      </c>
      <c r="B69" s="71" t="n">
        <v>46170</v>
      </c>
      <c r="C69" s="71" t="n">
        <v>46175</v>
      </c>
      <c r="D69" s="70" t="n">
        <v>1642</v>
      </c>
      <c r="E69" s="72" t="inlineStr">
        <is>
          <t>BROTHERS  INDUSTRIA DE ALIMENTOS LTDA</t>
        </is>
      </c>
      <c r="F69" s="70" t="n">
        <v>24</v>
      </c>
      <c r="G69" s="72" t="inlineStr">
        <is>
          <t>Compra a Prazo - Boletos</t>
        </is>
      </c>
      <c r="H69" s="70" t="n">
        <v>2110101</v>
      </c>
      <c r="I69" s="72" t="inlineStr">
        <is>
          <t>FORNECEDORES DE MERCADORIA</t>
        </is>
      </c>
      <c r="J69" s="70" t="n">
        <v>1168440</v>
      </c>
      <c r="L69" s="70" t="n">
        <v>1023904</v>
      </c>
      <c r="M69" s="72" t="inlineStr">
        <is>
          <t>01</t>
        </is>
      </c>
      <c r="N69" s="72" t="inlineStr">
        <is>
          <t>NFE</t>
        </is>
      </c>
      <c r="P69" s="70" t="n">
        <v>103</v>
      </c>
      <c r="Q69" s="72" t="inlineStr">
        <is>
          <t>MILKA FRANCIS</t>
        </is>
      </c>
      <c r="R69" s="72" t="inlineStr">
        <is>
          <t>ESTOQUE DE MERCADORIAS</t>
        </is>
      </c>
      <c r="S69" s="70" t="n">
        <v>1130101</v>
      </c>
      <c r="T69" s="72" t="inlineStr">
        <is>
          <t>MERCADORIAS P/REVENDA</t>
        </is>
      </c>
      <c r="U69" s="73" t="n">
        <v>694.2</v>
      </c>
      <c r="W69" s="73" t="n">
        <v>0</v>
      </c>
      <c r="X69" s="72" t="inlineStr">
        <is>
          <t>NF 1023604- MILKA</t>
        </is>
      </c>
      <c r="Z69" s="59">
        <f>IF($T69="","",IFERROR(INDEX('Resumo Grupos'!$AC$3:$AC$200,MATCH($T69,'Resumo Grupos'!$AB$3:$AB$200,0)),"n/d"))</f>
        <v/>
      </c>
      <c r="AA69" s="59">
        <f>IF($T69="","",IF(COUNTIF('Resumo Grupos'!$AE$3:$AE$40,$T69)&gt;0,"NAO","SIM"))</f>
        <v/>
      </c>
    </row>
    <row r="70" ht="36.75" customHeight="1" s="60">
      <c r="A70" s="70" t="n">
        <v>1</v>
      </c>
      <c r="B70" s="71" t="n">
        <v>46172</v>
      </c>
      <c r="C70" s="71" t="n">
        <v>46175</v>
      </c>
      <c r="D70" s="70" t="n">
        <v>642</v>
      </c>
      <c r="E70" s="72" t="inlineStr">
        <is>
          <t>ADICSO FABIAN GONZALEZ MONTILLA 70302186</t>
        </is>
      </c>
      <c r="F70" s="70" t="n">
        <v>24</v>
      </c>
      <c r="G70" s="72" t="inlineStr">
        <is>
          <t>Compra a Prazo - Boletos</t>
        </is>
      </c>
      <c r="H70" s="70" t="n">
        <v>2110101</v>
      </c>
      <c r="I70" s="72" t="inlineStr">
        <is>
          <t>FORNECEDORES DE MERCADORIA</t>
        </is>
      </c>
      <c r="J70" s="70" t="n">
        <v>1176950</v>
      </c>
      <c r="L70" s="70" t="n">
        <v>477</v>
      </c>
      <c r="M70" s="72" t="inlineStr">
        <is>
          <t>01</t>
        </is>
      </c>
      <c r="N70" s="72" t="inlineStr">
        <is>
          <t>NFE</t>
        </is>
      </c>
      <c r="P70" s="70" t="n">
        <v>103</v>
      </c>
      <c r="Q70" s="72" t="inlineStr">
        <is>
          <t>MILKA FRANCIS</t>
        </is>
      </c>
      <c r="R70" s="72" t="inlineStr">
        <is>
          <t>ESTOQUE DE MERCADORIAS</t>
        </is>
      </c>
      <c r="S70" s="70" t="n">
        <v>1130101</v>
      </c>
      <c r="T70" s="72" t="inlineStr">
        <is>
          <t>MERCADORIAS P/REVENDA</t>
        </is>
      </c>
      <c r="U70" s="73" t="n">
        <v>936</v>
      </c>
      <c r="W70" s="73" t="n">
        <v>0</v>
      </c>
      <c r="X70" s="72" t="inlineStr">
        <is>
          <t>NF 477 BLOOM - MILKA</t>
        </is>
      </c>
      <c r="Z70" s="59">
        <f>IF($T70="","",IFERROR(INDEX('Resumo Grupos'!$AC$3:$AC$200,MATCH($T70,'Resumo Grupos'!$AB$3:$AB$200,0)),"n/d"))</f>
        <v/>
      </c>
      <c r="AA70" s="59">
        <f>IF($T70="","",IF(COUNTIF('Resumo Grupos'!$AE$3:$AE$40,$T70)&gt;0,"NAO","SIM"))</f>
        <v/>
      </c>
    </row>
    <row r="71" ht="36.75" customHeight="1" s="60">
      <c r="A71" s="70" t="n">
        <v>1</v>
      </c>
      <c r="B71" s="71" t="n">
        <v>46175</v>
      </c>
      <c r="C71" s="71" t="n">
        <v>46175</v>
      </c>
      <c r="D71" s="70" t="n">
        <v>1899</v>
      </c>
      <c r="E71" s="72" t="inlineStr">
        <is>
          <t>PANIFICADORA E CONFEITARIA REAL MADRI LTDA</t>
        </is>
      </c>
      <c r="F71" s="70" t="n">
        <v>24</v>
      </c>
      <c r="G71" s="72" t="inlineStr">
        <is>
          <t>Compra a Prazo - Boletos</t>
        </is>
      </c>
      <c r="H71" s="70" t="n">
        <v>2110101</v>
      </c>
      <c r="I71" s="72" t="inlineStr">
        <is>
          <t>FORNECEDORES DE MERCADORIA</t>
        </is>
      </c>
      <c r="J71" s="70" t="n">
        <v>1191319</v>
      </c>
      <c r="L71" s="70" t="n">
        <v>644</v>
      </c>
      <c r="M71" s="72" t="inlineStr">
        <is>
          <t>01</t>
        </is>
      </c>
      <c r="N71" s="72" t="inlineStr">
        <is>
          <t>NFE</t>
        </is>
      </c>
      <c r="P71" s="70" t="n">
        <v>103</v>
      </c>
      <c r="Q71" s="72" t="inlineStr">
        <is>
          <t>MILKA FRANCIS</t>
        </is>
      </c>
      <c r="R71" s="72" t="inlineStr">
        <is>
          <t>ESTOQUE DE MERCADORIAS</t>
        </is>
      </c>
      <c r="S71" s="70" t="n">
        <v>1130101</v>
      </c>
      <c r="T71" s="72" t="inlineStr">
        <is>
          <t>MERCADORIAS P/REVENDA</t>
        </is>
      </c>
      <c r="U71" s="73" t="n">
        <v>394.75</v>
      </c>
      <c r="W71" s="73" t="n">
        <v>0</v>
      </c>
      <c r="X71" s="72" t="inlineStr">
        <is>
          <t>NF 644 - MILKA</t>
        </is>
      </c>
      <c r="Z71" s="59">
        <f>IF($T71="","",IFERROR(INDEX('Resumo Grupos'!$AC$3:$AC$200,MATCH($T71,'Resumo Grupos'!$AB$3:$AB$200,0)),"n/d"))</f>
        <v/>
      </c>
      <c r="AA71" s="59">
        <f>IF($T71="","",IF(COUNTIF('Resumo Grupos'!$AE$3:$AE$40,$T71)&gt;0,"NAO","SIM"))</f>
        <v/>
      </c>
    </row>
    <row r="72" ht="18.75" customHeight="1" s="60">
      <c r="A72" s="70" t="n">
        <v>1</v>
      </c>
      <c r="B72" s="71" t="n">
        <v>46175</v>
      </c>
      <c r="C72" s="71" t="n">
        <v>46175</v>
      </c>
      <c r="D72" s="70" t="n">
        <v>49</v>
      </c>
      <c r="E72" s="72" t="inlineStr">
        <is>
          <t>AZEVEDO E SILVA LTDA</t>
        </is>
      </c>
      <c r="F72" s="70" t="n">
        <v>34</v>
      </c>
      <c r="G72" s="72" t="inlineStr">
        <is>
          <t>Transferencia Pix</t>
        </is>
      </c>
      <c r="H72" s="70" t="n">
        <v>2110405</v>
      </c>
      <c r="I72" s="72" t="inlineStr">
        <is>
          <t>CONTAS A PAGAR</t>
        </is>
      </c>
      <c r="J72" s="70" t="n">
        <v>1192279</v>
      </c>
      <c r="L72" s="70" t="n">
        <v>496258</v>
      </c>
      <c r="M72" s="72" t="inlineStr">
        <is>
          <t>01</t>
        </is>
      </c>
      <c r="N72" s="72" t="inlineStr">
        <is>
          <t>AVU</t>
        </is>
      </c>
      <c r="P72" s="70" t="n">
        <v>101</v>
      </c>
      <c r="Q72" s="72" t="inlineStr">
        <is>
          <t>KEILA LIMA</t>
        </is>
      </c>
      <c r="R72" s="72" t="inlineStr">
        <is>
          <t>EMPRESTIMOS BANCARIOS</t>
        </is>
      </c>
      <c r="S72" s="70" t="n">
        <v>2110901</v>
      </c>
      <c r="T72" s="72" t="inlineStr">
        <is>
          <t>EMPRESTIMOS BANCARIOS A PAGAR</t>
        </is>
      </c>
      <c r="U72" s="73" t="n">
        <v>16511.84</v>
      </c>
      <c r="W72" s="73" t="n">
        <v>0</v>
      </c>
      <c r="X72" s="72" t="inlineStr">
        <is>
          <t>PARC EMPRESTIMO MO1 PARTE PAGAR P MO5 BB- KEILA</t>
        </is>
      </c>
      <c r="Z72" s="59">
        <f>IF($T72="","",IFERROR(INDEX('Resumo Grupos'!$AC$3:$AC$200,MATCH($T72,'Resumo Grupos'!$AB$3:$AB$200,0)),"n/d"))</f>
        <v/>
      </c>
      <c r="AA72" s="59">
        <f>IF($T72="","",IF(COUNTIF('Resumo Grupos'!$AE$3:$AE$40,$T72)&gt;0,"NAO","SIM"))</f>
        <v/>
      </c>
    </row>
    <row r="73" ht="18.75" customHeight="1" s="60">
      <c r="A73" s="70" t="n">
        <v>1</v>
      </c>
      <c r="B73" s="71" t="n">
        <v>46175</v>
      </c>
      <c r="C73" s="71" t="n">
        <v>46175</v>
      </c>
      <c r="D73" s="70" t="n">
        <v>1037</v>
      </c>
      <c r="E73" s="72" t="inlineStr">
        <is>
          <t>FEIRA</t>
        </is>
      </c>
      <c r="F73" s="70" t="n">
        <v>34</v>
      </c>
      <c r="G73" s="72" t="inlineStr">
        <is>
          <t>Transferencia Pix</t>
        </is>
      </c>
      <c r="H73" s="70" t="n">
        <v>2110405</v>
      </c>
      <c r="I73" s="72" t="inlineStr">
        <is>
          <t>CONTAS A PAGAR</t>
        </is>
      </c>
      <c r="J73" s="70" t="n">
        <v>1192980</v>
      </c>
      <c r="L73" s="70" t="n">
        <v>496421</v>
      </c>
      <c r="M73" s="72" t="inlineStr">
        <is>
          <t>01</t>
        </is>
      </c>
      <c r="N73" s="72" t="inlineStr">
        <is>
          <t>AVU</t>
        </is>
      </c>
      <c r="P73" s="70" t="n">
        <v>101</v>
      </c>
      <c r="Q73" s="72" t="inlineStr">
        <is>
          <t>KEILA LIMA</t>
        </is>
      </c>
      <c r="R73" s="72" t="inlineStr">
        <is>
          <t>DESPESAS NAO OPERACIONAIS</t>
        </is>
      </c>
      <c r="S73" s="70" t="n">
        <v>4220199</v>
      </c>
      <c r="T73" s="72" t="inlineStr">
        <is>
          <t>PAGAMENTOS OUTROS NAO OPERACIONAIS</t>
        </is>
      </c>
      <c r="U73" s="73" t="n">
        <v>1252</v>
      </c>
      <c r="W73" s="73" t="n">
        <v>0</v>
      </c>
      <c r="X73" s="72" t="inlineStr">
        <is>
          <t xml:space="preserve">FEIRA DO DIA 15/05 NAO SOMAR </t>
        </is>
      </c>
      <c r="Z73" s="59">
        <f>IF($T73="","",IFERROR(INDEX('Resumo Grupos'!$AC$3:$AC$200,MATCH($T73,'Resumo Grupos'!$AB$3:$AB$200,0)),"n/d"))</f>
        <v/>
      </c>
      <c r="AA73" s="59">
        <f>IF($T73="","",IF(COUNTIF('Resumo Grupos'!$AE$3:$AE$40,$T73)&gt;0,"NAO","SIM"))</f>
        <v/>
      </c>
    </row>
    <row r="74" ht="45.75" customHeight="1" s="60">
      <c r="A74" s="70" t="n">
        <v>1</v>
      </c>
      <c r="B74" s="71" t="n">
        <v>46175</v>
      </c>
      <c r="C74" s="71" t="n">
        <v>46175</v>
      </c>
      <c r="D74" s="70" t="n">
        <v>1037</v>
      </c>
      <c r="E74" s="72" t="inlineStr">
        <is>
          <t>FEIRA</t>
        </is>
      </c>
      <c r="F74" s="70" t="n">
        <v>11</v>
      </c>
      <c r="G74" s="72" t="inlineStr">
        <is>
          <t>Dinheiro Cx Geral</t>
        </is>
      </c>
      <c r="H74" s="70" t="n">
        <v>2110405</v>
      </c>
      <c r="I74" s="72" t="inlineStr">
        <is>
          <t>CONTAS A PAGAR</t>
        </is>
      </c>
      <c r="J74" s="70" t="n">
        <v>1193007</v>
      </c>
      <c r="L74" s="70" t="n">
        <v>496426</v>
      </c>
      <c r="M74" s="72" t="inlineStr">
        <is>
          <t>01</t>
        </is>
      </c>
      <c r="N74" s="72" t="inlineStr">
        <is>
          <t>AVU</t>
        </is>
      </c>
      <c r="P74" s="70" t="n">
        <v>101</v>
      </c>
      <c r="Q74" s="72" t="inlineStr">
        <is>
          <t>KEILA LIMA</t>
        </is>
      </c>
      <c r="R74" s="72" t="inlineStr">
        <is>
          <t>DESPESAS NAO OPERACIONAIS</t>
        </is>
      </c>
      <c r="S74" s="70" t="n">
        <v>4220199</v>
      </c>
      <c r="T74" s="72" t="inlineStr">
        <is>
          <t>PAGAMENTOS OUTROS NAO OPERACIONAIS</t>
        </is>
      </c>
      <c r="U74" s="73" t="n">
        <v>1350</v>
      </c>
      <c r="W74" s="73" t="n">
        <v>0</v>
      </c>
      <c r="X74" s="72" t="inlineStr">
        <is>
          <t>FEIRA LOJAS POTE MO1 - KEILA</t>
        </is>
      </c>
      <c r="Z74" s="59">
        <f>IF($T74="","",IFERROR(INDEX('Resumo Grupos'!$AC$3:$AC$200,MATCH($T74,'Resumo Grupos'!$AB$3:$AB$200,0)),"n/d"))</f>
        <v/>
      </c>
      <c r="AA74" s="59">
        <f>IF($T74="","",IF(COUNTIF('Resumo Grupos'!$AE$3:$AE$40,$T74)&gt;0,"NAO","SIM"))</f>
        <v/>
      </c>
    </row>
    <row r="75" ht="27.75" customHeight="1" s="60">
      <c r="A75" s="70" t="n">
        <v>1</v>
      </c>
      <c r="B75" s="71" t="n">
        <v>46175</v>
      </c>
      <c r="C75" s="71" t="n">
        <v>46175</v>
      </c>
      <c r="D75" s="70" t="n">
        <v>33</v>
      </c>
      <c r="E75" s="72" t="inlineStr">
        <is>
          <t>RENATO DE O AZEVEDO E CIA LTDA - EPP</t>
        </is>
      </c>
      <c r="F75" s="70" t="n">
        <v>34</v>
      </c>
      <c r="G75" s="72" t="inlineStr">
        <is>
          <t>Transferencia Pix</t>
        </is>
      </c>
      <c r="H75" s="70" t="n">
        <v>2110101</v>
      </c>
      <c r="I75" s="72" t="inlineStr">
        <is>
          <t>FORNECEDORES DE MERCADORIA</t>
        </is>
      </c>
      <c r="J75" s="70" t="n">
        <v>1193247</v>
      </c>
      <c r="L75" s="70" t="n">
        <v>5071</v>
      </c>
      <c r="M75" s="72" t="inlineStr">
        <is>
          <t>01</t>
        </is>
      </c>
      <c r="N75" s="72" t="inlineStr">
        <is>
          <t>NFE</t>
        </is>
      </c>
      <c r="P75" s="70" t="n">
        <v>104</v>
      </c>
      <c r="Q75" s="72" t="inlineStr">
        <is>
          <t>DEBORA COSTA</t>
        </is>
      </c>
      <c r="R75" s="72" t="inlineStr">
        <is>
          <t>ESTOQUE DE MERCADORIAS</t>
        </is>
      </c>
      <c r="S75" s="70" t="n">
        <v>1130101</v>
      </c>
      <c r="T75" s="72" t="inlineStr">
        <is>
          <t>MERCADORIAS P/REVENDA</t>
        </is>
      </c>
      <c r="U75" s="73" t="n">
        <v>3006.01</v>
      </c>
      <c r="W75" s="73" t="n">
        <v>0</v>
      </c>
      <c r="X75" s="72" t="inlineStr">
        <is>
          <t>FEIRA SR RENATO - DEBORA</t>
        </is>
      </c>
      <c r="Z75" s="59">
        <f>IF($T75="","",IFERROR(INDEX('Resumo Grupos'!$AC$3:$AC$200,MATCH($T75,'Resumo Grupos'!$AB$3:$AB$200,0)),"n/d"))</f>
        <v/>
      </c>
      <c r="AA75" s="59">
        <f>IF($T75="","",IF(COUNTIF('Resumo Grupos'!$AE$3:$AE$40,$T75)&gt;0,"NAO","SIM"))</f>
        <v/>
      </c>
    </row>
    <row r="76" ht="36.75" customHeight="1" s="60">
      <c r="A76" s="70" t="n">
        <v>1</v>
      </c>
      <c r="B76" s="71" t="n">
        <v>46175</v>
      </c>
      <c r="C76" s="71" t="n">
        <v>46175</v>
      </c>
      <c r="D76" s="70" t="n">
        <v>33</v>
      </c>
      <c r="E76" s="72" t="inlineStr">
        <is>
          <t>RENATO DE O AZEVEDO E CIA LTDA - EPP</t>
        </is>
      </c>
      <c r="F76" s="70" t="n">
        <v>34</v>
      </c>
      <c r="G76" s="72" t="inlineStr">
        <is>
          <t>Transferencia Pix</t>
        </is>
      </c>
      <c r="H76" s="70" t="n">
        <v>2110101</v>
      </c>
      <c r="I76" s="72" t="inlineStr">
        <is>
          <t>FORNECEDORES DE MERCADORIA</t>
        </is>
      </c>
      <c r="J76" s="70" t="n">
        <v>1193289</v>
      </c>
      <c r="L76" s="70" t="n">
        <v>5072</v>
      </c>
      <c r="M76" s="72" t="inlineStr">
        <is>
          <t>01</t>
        </is>
      </c>
      <c r="N76" s="72" t="inlineStr">
        <is>
          <t>NFE</t>
        </is>
      </c>
      <c r="P76" s="70" t="n">
        <v>104</v>
      </c>
      <c r="Q76" s="72" t="inlineStr">
        <is>
          <t>DEBORA COSTA</t>
        </is>
      </c>
      <c r="R76" s="72" t="inlineStr">
        <is>
          <t>ESTOQUE DE MERCADORIAS</t>
        </is>
      </c>
      <c r="S76" s="70" t="n">
        <v>1130101</v>
      </c>
      <c r="T76" s="72" t="inlineStr">
        <is>
          <t>MERCADORIAS P/REVENDA</t>
        </is>
      </c>
      <c r="U76" s="73" t="n">
        <v>3006.01</v>
      </c>
      <c r="W76" s="73" t="n">
        <v>0</v>
      </c>
      <c r="X76" s="72" t="inlineStr">
        <is>
          <t>FEIRA SR RENATO - DEBORA</t>
        </is>
      </c>
      <c r="Z76" s="59">
        <f>IF($T76="","",IFERROR(INDEX('Resumo Grupos'!$AC$3:$AC$200,MATCH($T76,'Resumo Grupos'!$AB$3:$AB$200,0)),"n/d"))</f>
        <v/>
      </c>
      <c r="AA76" s="59">
        <f>IF($T76="","",IF(COUNTIF('Resumo Grupos'!$AE$3:$AE$40,$T76)&gt;0,"NAO","SIM"))</f>
        <v/>
      </c>
    </row>
    <row r="77" ht="36.75" customHeight="1" s="60">
      <c r="A77" s="70" t="n">
        <v>1</v>
      </c>
      <c r="B77" s="71" t="n">
        <v>46175</v>
      </c>
      <c r="C77" s="71" t="n">
        <v>46175</v>
      </c>
      <c r="D77" s="70" t="n">
        <v>33</v>
      </c>
      <c r="E77" s="72" t="inlineStr">
        <is>
          <t>RENATO DE O AZEVEDO E CIA LTDA - EPP</t>
        </is>
      </c>
      <c r="F77" s="70" t="n">
        <v>34</v>
      </c>
      <c r="G77" s="72" t="inlineStr">
        <is>
          <t>Transferencia Pix</t>
        </is>
      </c>
      <c r="H77" s="70" t="n">
        <v>2110101</v>
      </c>
      <c r="I77" s="72" t="inlineStr">
        <is>
          <t>FORNECEDORES DE MERCADORIA</t>
        </is>
      </c>
      <c r="J77" s="70" t="n">
        <v>1193390</v>
      </c>
      <c r="L77" s="70" t="n">
        <v>496523</v>
      </c>
      <c r="M77" s="72" t="inlineStr">
        <is>
          <t>01</t>
        </is>
      </c>
      <c r="N77" s="72" t="inlineStr">
        <is>
          <t>AVU</t>
        </is>
      </c>
      <c r="P77" s="70" t="n">
        <v>104</v>
      </c>
      <c r="Q77" s="72" t="inlineStr">
        <is>
          <t>DEBORA COSTA</t>
        </is>
      </c>
      <c r="R77" s="72" t="inlineStr">
        <is>
          <t>ESTOQUE DE MERCADORIAS</t>
        </is>
      </c>
      <c r="S77" s="70" t="n">
        <v>1130101</v>
      </c>
      <c r="T77" s="72" t="inlineStr">
        <is>
          <t>MERCADORIAS P/REVENDA</t>
        </is>
      </c>
      <c r="U77" s="73" t="n">
        <v>165</v>
      </c>
      <c r="W77" s="73" t="n">
        <v>0</v>
      </c>
      <c r="X77" s="72" t="inlineStr">
        <is>
          <t>QUEIJO COALHO - FEIRA SR RENATO</t>
        </is>
      </c>
      <c r="Z77" s="59">
        <f>IF($T77="","",IFERROR(INDEX('Resumo Grupos'!$AC$3:$AC$200,MATCH($T77,'Resumo Grupos'!$AB$3:$AB$200,0)),"n/d"))</f>
        <v/>
      </c>
      <c r="AA77" s="59">
        <f>IF($T77="","",IF(COUNTIF('Resumo Grupos'!$AE$3:$AE$40,$T77)&gt;0,"NAO","SIM"))</f>
        <v/>
      </c>
    </row>
    <row r="78" ht="36.75" customHeight="1" s="60">
      <c r="A78" s="70" t="n">
        <v>1</v>
      </c>
      <c r="B78" s="71" t="n">
        <v>46175</v>
      </c>
      <c r="C78" s="71" t="n">
        <v>46175</v>
      </c>
      <c r="D78" s="70" t="n">
        <v>515</v>
      </c>
      <c r="E78" s="72" t="inlineStr">
        <is>
          <t>ITAU SA</t>
        </is>
      </c>
      <c r="F78" s="70" t="n">
        <v>34</v>
      </c>
      <c r="G78" s="72" t="inlineStr">
        <is>
          <t>Transferencia Pix</t>
        </is>
      </c>
      <c r="H78" s="70" t="n">
        <v>2110405</v>
      </c>
      <c r="I78" s="72" t="inlineStr">
        <is>
          <t>CONTAS A PAGAR</t>
        </is>
      </c>
      <c r="J78" s="70" t="n">
        <v>1543773</v>
      </c>
      <c r="L78" s="70" t="n">
        <v>631473</v>
      </c>
      <c r="M78" s="72" t="inlineStr">
        <is>
          <t>01</t>
        </is>
      </c>
      <c r="N78" s="72" t="inlineStr">
        <is>
          <t>AVU</t>
        </is>
      </c>
      <c r="P78" s="70" t="n">
        <v>102</v>
      </c>
      <c r="Q78" s="72" t="inlineStr">
        <is>
          <t>ANDREZA ANDRADE</t>
        </is>
      </c>
      <c r="R78" s="72" t="inlineStr">
        <is>
          <t>DESPESAS FINANCEIRAS</t>
        </is>
      </c>
      <c r="S78" s="70" t="n">
        <v>4210504</v>
      </c>
      <c r="T78" s="72" t="inlineStr">
        <is>
          <t>DESPESAS BANCARIAS</t>
        </is>
      </c>
      <c r="U78" s="73" t="n">
        <v>6.41</v>
      </c>
      <c r="W78" s="73" t="n">
        <v>0</v>
      </c>
      <c r="X78" s="72" t="inlineStr">
        <is>
          <t>TAR PIXQR LIQ MAQUININHA ITAU1N-ANDREA</t>
        </is>
      </c>
      <c r="Z78" s="59">
        <f>IF($T78="","",IFERROR(INDEX('Resumo Grupos'!$AC$3:$AC$200,MATCH($T78,'Resumo Grupos'!$AB$3:$AB$200,0)),"n/d"))</f>
        <v/>
      </c>
      <c r="AA78" s="59">
        <f>IF($T78="","",IF(COUNTIF('Resumo Grupos'!$AE$3:$AE$40,$T78)&gt;0,"NAO","SIM"))</f>
        <v/>
      </c>
    </row>
    <row r="79" ht="36.75" customHeight="1" s="60">
      <c r="A79" s="70" t="n">
        <v>1</v>
      </c>
      <c r="B79" s="71" t="n">
        <v>46175</v>
      </c>
      <c r="C79" s="71" t="n">
        <v>46175</v>
      </c>
      <c r="D79" s="70" t="n">
        <v>515</v>
      </c>
      <c r="E79" s="72" t="inlineStr">
        <is>
          <t>ITAU SA</t>
        </is>
      </c>
      <c r="F79" s="70" t="n">
        <v>34</v>
      </c>
      <c r="G79" s="72" t="inlineStr">
        <is>
          <t>Transferencia Pix</t>
        </is>
      </c>
      <c r="H79" s="70" t="n">
        <v>2110405</v>
      </c>
      <c r="I79" s="72" t="inlineStr">
        <is>
          <t>CONTAS A PAGAR</t>
        </is>
      </c>
      <c r="J79" s="70" t="n">
        <v>1543792</v>
      </c>
      <c r="L79" s="70" t="n">
        <v>631479</v>
      </c>
      <c r="M79" s="72" t="inlineStr">
        <is>
          <t>01</t>
        </is>
      </c>
      <c r="N79" s="72" t="inlineStr">
        <is>
          <t>AVU</t>
        </is>
      </c>
      <c r="P79" s="70" t="n">
        <v>102</v>
      </c>
      <c r="Q79" s="72" t="inlineStr">
        <is>
          <t>ANDREZA ANDRADE</t>
        </is>
      </c>
      <c r="R79" s="72" t="inlineStr">
        <is>
          <t>DESPESAS FINANCEIRAS</t>
        </is>
      </c>
      <c r="S79" s="70" t="n">
        <v>4210505</v>
      </c>
      <c r="T79" s="72" t="inlineStr">
        <is>
          <t>IOF - OPERACOES FINANCEIRAS</t>
        </is>
      </c>
      <c r="U79" s="73" t="n">
        <v>584.66</v>
      </c>
      <c r="W79" s="73" t="n">
        <v>0</v>
      </c>
      <c r="X79" s="72" t="inlineStr">
        <is>
          <t>DESPESA IOF 6083-63511-7C/C GARANTIDA ITAU 1NV-ANDREZA</t>
        </is>
      </c>
      <c r="Z79" s="59">
        <f>IF($T79="","",IFERROR(INDEX('Resumo Grupos'!$AC$3:$AC$200,MATCH($T79,'Resumo Grupos'!$AB$3:$AB$200,0)),"n/d"))</f>
        <v/>
      </c>
      <c r="AA79" s="59">
        <f>IF($T79="","",IF(COUNTIF('Resumo Grupos'!$AE$3:$AE$40,$T79)&gt;0,"NAO","SIM"))</f>
        <v/>
      </c>
    </row>
    <row r="80" ht="36.75" customHeight="1" s="60">
      <c r="A80" s="70" t="n">
        <v>1</v>
      </c>
      <c r="B80" s="71" t="n">
        <v>46175</v>
      </c>
      <c r="C80" s="71" t="n">
        <v>46175</v>
      </c>
      <c r="D80" s="70" t="n">
        <v>515</v>
      </c>
      <c r="E80" s="72" t="inlineStr">
        <is>
          <t>ITAU SA</t>
        </is>
      </c>
      <c r="F80" s="70" t="n">
        <v>34</v>
      </c>
      <c r="G80" s="72" t="inlineStr">
        <is>
          <t>Transferencia Pix</t>
        </is>
      </c>
      <c r="H80" s="70" t="n">
        <v>2110405</v>
      </c>
      <c r="I80" s="72" t="inlineStr">
        <is>
          <t>CONTAS A PAGAR</t>
        </is>
      </c>
      <c r="J80" s="70" t="n">
        <v>1543803</v>
      </c>
      <c r="L80" s="70" t="n">
        <v>631483</v>
      </c>
      <c r="M80" s="72" t="inlineStr">
        <is>
          <t>01</t>
        </is>
      </c>
      <c r="N80" s="72" t="inlineStr">
        <is>
          <t>AVU</t>
        </is>
      </c>
      <c r="P80" s="70" t="n">
        <v>102</v>
      </c>
      <c r="Q80" s="72" t="inlineStr">
        <is>
          <t>ANDREZA ANDRADE</t>
        </is>
      </c>
      <c r="R80" s="72" t="inlineStr">
        <is>
          <t>DESPESAS FINANCEIRAS</t>
        </is>
      </c>
      <c r="S80" s="70" t="n">
        <v>4210504</v>
      </c>
      <c r="T80" s="72" t="inlineStr">
        <is>
          <t>DESPESAS BANCARIAS</t>
        </is>
      </c>
      <c r="U80" s="73" t="n">
        <v>638.71</v>
      </c>
      <c r="W80" s="73" t="n">
        <v>0</v>
      </c>
      <c r="X80" s="72" t="inlineStr">
        <is>
          <t>DESPESA TAR PIX OGTO TRANSF ITAU 1NV-ANDREZA</t>
        </is>
      </c>
      <c r="Z80" s="59">
        <f>IF($T80="","",IFERROR(INDEX('Resumo Grupos'!$AC$3:$AC$200,MATCH($T80,'Resumo Grupos'!$AB$3:$AB$200,0)),"n/d"))</f>
        <v/>
      </c>
      <c r="AA80" s="59">
        <f>IF($T80="","",IF(COUNTIF('Resumo Grupos'!$AE$3:$AE$40,$T80)&gt;0,"NAO","SIM"))</f>
        <v/>
      </c>
    </row>
    <row r="81" ht="54.75" customHeight="1" s="60">
      <c r="A81" s="70" t="n">
        <v>1</v>
      </c>
      <c r="B81" s="71" t="n">
        <v>46175</v>
      </c>
      <c r="C81" s="71" t="n">
        <v>46175</v>
      </c>
      <c r="D81" s="70" t="n">
        <v>515</v>
      </c>
      <c r="E81" s="72" t="inlineStr">
        <is>
          <t>ITAU SA</t>
        </is>
      </c>
      <c r="F81" s="70" t="n">
        <v>34</v>
      </c>
      <c r="G81" s="72" t="inlineStr">
        <is>
          <t>Transferencia Pix</t>
        </is>
      </c>
      <c r="H81" s="70" t="n">
        <v>2110405</v>
      </c>
      <c r="I81" s="72" t="inlineStr">
        <is>
          <t>CONTAS A PAGAR</t>
        </is>
      </c>
      <c r="J81" s="70" t="n">
        <v>1543816</v>
      </c>
      <c r="L81" s="70" t="n">
        <v>631486</v>
      </c>
      <c r="M81" s="72" t="inlineStr">
        <is>
          <t>01</t>
        </is>
      </c>
      <c r="N81" s="72" t="inlineStr">
        <is>
          <t>AVU</t>
        </is>
      </c>
      <c r="P81" s="70" t="n">
        <v>102</v>
      </c>
      <c r="Q81" s="72" t="inlineStr">
        <is>
          <t>ANDREZA ANDRADE</t>
        </is>
      </c>
      <c r="R81" s="72" t="inlineStr">
        <is>
          <t>DESPESAS FINANCEIRAS</t>
        </is>
      </c>
      <c r="S81" s="70" t="n">
        <v>4210505</v>
      </c>
      <c r="T81" s="72" t="inlineStr">
        <is>
          <t>IOF - OPERACOES FINANCEIRAS</t>
        </is>
      </c>
      <c r="U81" s="73" t="n">
        <v>968.61</v>
      </c>
      <c r="W81" s="73" t="n">
        <v>0</v>
      </c>
      <c r="X81" s="72" t="inlineStr">
        <is>
          <t>DESPESA IOF ITAU 1NV-ANDREZA</t>
        </is>
      </c>
      <c r="Z81" s="59">
        <f>IF($T81="","",IFERROR(INDEX('Resumo Grupos'!$AC$3:$AC$200,MATCH($T81,'Resumo Grupos'!$AB$3:$AB$200,0)),"n/d"))</f>
        <v/>
      </c>
      <c r="AA81" s="59">
        <f>IF($T81="","",IF(COUNTIF('Resumo Grupos'!$AE$3:$AE$40,$T81)&gt;0,"NAO","SIM"))</f>
        <v/>
      </c>
    </row>
    <row r="82" ht="54.75" customHeight="1" s="60">
      <c r="A82" s="70" t="n">
        <v>1</v>
      </c>
      <c r="B82" s="71" t="n">
        <v>46175</v>
      </c>
      <c r="C82" s="71" t="n">
        <v>46175</v>
      </c>
      <c r="D82" s="70" t="n">
        <v>515</v>
      </c>
      <c r="E82" s="72" t="inlineStr">
        <is>
          <t>ITAU SA</t>
        </is>
      </c>
      <c r="F82" s="70" t="n">
        <v>34</v>
      </c>
      <c r="G82" s="72" t="inlineStr">
        <is>
          <t>Transferencia Pix</t>
        </is>
      </c>
      <c r="H82" s="70" t="n">
        <v>2110405</v>
      </c>
      <c r="I82" s="72" t="inlineStr">
        <is>
          <t>CONTAS A PAGAR</t>
        </is>
      </c>
      <c r="J82" s="70" t="n">
        <v>1543828</v>
      </c>
      <c r="L82" s="70" t="n">
        <v>631493</v>
      </c>
      <c r="M82" s="72" t="inlineStr">
        <is>
          <t>01</t>
        </is>
      </c>
      <c r="N82" s="72" t="inlineStr">
        <is>
          <t>AVU</t>
        </is>
      </c>
      <c r="P82" s="70" t="n">
        <v>102</v>
      </c>
      <c r="Q82" s="72" t="inlineStr">
        <is>
          <t>ANDREZA ANDRADE</t>
        </is>
      </c>
      <c r="R82" s="72" t="inlineStr">
        <is>
          <t>DESPESAS FINANCEIRAS</t>
        </is>
      </c>
      <c r="S82" s="70" t="n">
        <v>4210504</v>
      </c>
      <c r="T82" s="72" t="inlineStr">
        <is>
          <t>DESPESAS BANCARIAS</t>
        </is>
      </c>
      <c r="U82" s="73" t="n">
        <v>1848.65</v>
      </c>
      <c r="W82" s="73" t="n">
        <v>0</v>
      </c>
      <c r="X82" s="72" t="inlineStr">
        <is>
          <t>DESPESA TAR PIX QR CODE LIQUIDA -ANDREZA</t>
        </is>
      </c>
      <c r="Z82" s="59">
        <f>IF($T82="","",IFERROR(INDEX('Resumo Grupos'!$AC$3:$AC$200,MATCH($T82,'Resumo Grupos'!$AB$3:$AB$200,0)),"n/d"))</f>
        <v/>
      </c>
      <c r="AA82" s="59">
        <f>IF($T82="","",IF(COUNTIF('Resumo Grupos'!$AE$3:$AE$40,$T82)&gt;0,"NAO","SIM"))</f>
        <v/>
      </c>
    </row>
    <row r="83" ht="54.75" customHeight="1" s="60">
      <c r="A83" s="70" t="n">
        <v>1</v>
      </c>
      <c r="B83" s="71" t="n">
        <v>46175</v>
      </c>
      <c r="C83" s="71" t="n">
        <v>46175</v>
      </c>
      <c r="D83" s="70" t="n">
        <v>1037</v>
      </c>
      <c r="E83" s="72" t="inlineStr">
        <is>
          <t>FEIRA</t>
        </is>
      </c>
      <c r="F83" s="70" t="n">
        <v>34</v>
      </c>
      <c r="G83" s="72" t="inlineStr">
        <is>
          <t>Transferencia Pix</t>
        </is>
      </c>
      <c r="H83" s="70" t="n">
        <v>2110405</v>
      </c>
      <c r="I83" s="72" t="inlineStr">
        <is>
          <t>CONTAS A PAGAR</t>
        </is>
      </c>
      <c r="J83" s="70" t="n">
        <v>1571238</v>
      </c>
      <c r="L83" s="70" t="n">
        <v>642223</v>
      </c>
      <c r="M83" s="72" t="inlineStr">
        <is>
          <t>01</t>
        </is>
      </c>
      <c r="N83" s="72" t="inlineStr">
        <is>
          <t>AVU</t>
        </is>
      </c>
      <c r="P83" s="70" t="n">
        <v>101</v>
      </c>
      <c r="Q83" s="72" t="inlineStr">
        <is>
          <t>KEILA LIMA</t>
        </is>
      </c>
      <c r="R83" s="72" t="inlineStr">
        <is>
          <t>DESPESAS NAO OPERACIONAIS</t>
        </is>
      </c>
      <c r="S83" s="70" t="n">
        <v>4220199</v>
      </c>
      <c r="T83" s="72" t="inlineStr">
        <is>
          <t>PAGAMENTOS OUTROS NAO OPERACIONAIS</t>
        </is>
      </c>
      <c r="U83" s="73" t="n">
        <v>1134.01</v>
      </c>
      <c r="W83" s="73" t="n">
        <v>0</v>
      </c>
      <c r="X83" s="72" t="inlineStr">
        <is>
          <t>FEIRA LOJAS NAO SOMAR DIFERENCA  DO  DIA</t>
        </is>
      </c>
      <c r="Z83" s="59">
        <f>IF($T83="","",IFERROR(INDEX('Resumo Grupos'!$AC$3:$AC$200,MATCH($T83,'Resumo Grupos'!$AB$3:$AB$200,0)),"n/d"))</f>
        <v/>
      </c>
      <c r="AA83" s="59">
        <f>IF($T83="","",IF(COUNTIF('Resumo Grupos'!$AE$3:$AE$40,$T83)&gt;0,"NAO","SIM"))</f>
        <v/>
      </c>
    </row>
    <row r="84" ht="54.75" customHeight="1" s="60">
      <c r="A84" s="70" t="n">
        <v>1</v>
      </c>
      <c r="B84" s="71" t="n">
        <v>46105</v>
      </c>
      <c r="C84" s="71" t="n">
        <v>46176</v>
      </c>
      <c r="D84" s="70" t="n">
        <v>607</v>
      </c>
      <c r="E84" s="72" t="inlineStr">
        <is>
          <t>PRIME PET DISTRIBUIDORA LTDA</t>
        </is>
      </c>
      <c r="F84" s="70" t="n">
        <v>24</v>
      </c>
      <c r="G84" s="72" t="inlineStr">
        <is>
          <t>Compra a Prazo - Boletos</t>
        </is>
      </c>
      <c r="H84" s="70" t="n">
        <v>2110101</v>
      </c>
      <c r="I84" s="72" t="inlineStr">
        <is>
          <t>FORNECEDORES DE MERCADORIA</t>
        </is>
      </c>
      <c r="J84" s="70" t="n">
        <v>848141</v>
      </c>
      <c r="L84" s="70" t="n">
        <v>9409</v>
      </c>
      <c r="M84" s="72" t="inlineStr">
        <is>
          <t>08</t>
        </is>
      </c>
      <c r="N84" s="72" t="inlineStr">
        <is>
          <t>NFE</t>
        </is>
      </c>
      <c r="P84" s="70" t="n">
        <v>103</v>
      </c>
      <c r="Q84" s="72" t="inlineStr">
        <is>
          <t>MILKA FRANCIS</t>
        </is>
      </c>
      <c r="R84" s="72" t="inlineStr">
        <is>
          <t>ESTOQUE DE MERCADORIAS</t>
        </is>
      </c>
      <c r="S84" s="70" t="n">
        <v>1130101</v>
      </c>
      <c r="T84" s="72" t="inlineStr">
        <is>
          <t>MERCADORIAS P/REVENDA</t>
        </is>
      </c>
      <c r="U84" s="73" t="n">
        <v>2195.35</v>
      </c>
      <c r="W84" s="73" t="n">
        <v>0</v>
      </c>
      <c r="X84" s="72" t="inlineStr">
        <is>
          <t>NF 9409 - 08/10 MILKA</t>
        </is>
      </c>
      <c r="Z84" s="59">
        <f>IF($T84="","",IFERROR(INDEX('Resumo Grupos'!$AC$3:$AC$200,MATCH($T84,'Resumo Grupos'!$AB$3:$AB$200,0)),"n/d"))</f>
        <v/>
      </c>
      <c r="AA84" s="59">
        <f>IF($T84="","",IF(COUNTIF('Resumo Grupos'!$AE$3:$AE$40,$T84)&gt;0,"NAO","SIM"))</f>
        <v/>
      </c>
    </row>
    <row r="85" ht="36.75" customHeight="1" s="60">
      <c r="A85" s="70" t="n">
        <v>1</v>
      </c>
      <c r="B85" s="71" t="n">
        <v>46114</v>
      </c>
      <c r="C85" s="71" t="n">
        <v>46176</v>
      </c>
      <c r="D85" s="70" t="n">
        <v>639</v>
      </c>
      <c r="E85" s="72" t="inlineStr">
        <is>
          <t>EMOPS CONTROLE AMBIENTAL EIRELI</t>
        </is>
      </c>
      <c r="F85" s="70" t="n">
        <v>24</v>
      </c>
      <c r="G85" s="72" t="inlineStr">
        <is>
          <t>Compra a Prazo - Boletos</t>
        </is>
      </c>
      <c r="H85" s="70" t="n">
        <v>2110405</v>
      </c>
      <c r="I85" s="72" t="inlineStr">
        <is>
          <t>CONTAS A PAGAR</t>
        </is>
      </c>
      <c r="J85" s="70" t="n">
        <v>890477</v>
      </c>
      <c r="L85" s="70" t="n">
        <v>46881</v>
      </c>
      <c r="M85" s="72" t="inlineStr">
        <is>
          <t>02</t>
        </is>
      </c>
      <c r="N85" s="72" t="inlineStr">
        <is>
          <t>AVU</t>
        </is>
      </c>
      <c r="P85" s="70" t="n">
        <v>101</v>
      </c>
      <c r="Q85" s="72" t="inlineStr">
        <is>
          <t>KEILA LIMA</t>
        </is>
      </c>
      <c r="R85" s="72" t="inlineStr">
        <is>
          <t>DESPESAS OPERACIONAIS</t>
        </is>
      </c>
      <c r="S85" s="70" t="n">
        <v>4210216</v>
      </c>
      <c r="T85" s="72" t="inlineStr">
        <is>
          <t>DEDETIZACAO - LIMPEZA</t>
        </is>
      </c>
      <c r="U85" s="73" t="n">
        <v>419.97</v>
      </c>
      <c r="W85" s="73" t="n">
        <v>0</v>
      </c>
      <c r="X85" s="72" t="inlineStr">
        <is>
          <t>DEDETIZACAO MO1 - KEILA</t>
        </is>
      </c>
      <c r="Z85" s="59">
        <f>IF($T85="","",IFERROR(INDEX('Resumo Grupos'!$AC$3:$AC$200,MATCH($T85,'Resumo Grupos'!$AB$3:$AB$200,0)),"n/d"))</f>
        <v/>
      </c>
      <c r="AA85" s="59">
        <f>IF($T85="","",IF(COUNTIF('Resumo Grupos'!$AE$3:$AE$40,$T85)&gt;0,"NAO","SIM"))</f>
        <v/>
      </c>
    </row>
    <row r="86" ht="36.75" customHeight="1" s="60">
      <c r="A86" s="70" t="n">
        <v>1</v>
      </c>
      <c r="B86" s="71" t="n">
        <v>46149</v>
      </c>
      <c r="C86" s="71" t="n">
        <v>46176</v>
      </c>
      <c r="D86" s="70" t="n">
        <v>1608</v>
      </c>
      <c r="E86" s="72" t="inlineStr">
        <is>
          <t>DISTRIBUIDORA LOPES LTDA</t>
        </is>
      </c>
      <c r="F86" s="70" t="n">
        <v>24</v>
      </c>
      <c r="G86" s="72" t="inlineStr">
        <is>
          <t>Compra a Prazo - Boletos</t>
        </is>
      </c>
      <c r="H86" s="70" t="n">
        <v>2110101</v>
      </c>
      <c r="I86" s="72" t="inlineStr">
        <is>
          <t>FORNECEDORES DE MERCADORIA</t>
        </is>
      </c>
      <c r="J86" s="70" t="n">
        <v>1060740</v>
      </c>
      <c r="L86" s="70" t="n">
        <v>1649308</v>
      </c>
      <c r="M86" s="72" t="inlineStr">
        <is>
          <t>02</t>
        </is>
      </c>
      <c r="N86" s="72" t="inlineStr">
        <is>
          <t>NFE</t>
        </is>
      </c>
      <c r="P86" s="70" t="n">
        <v>103</v>
      </c>
      <c r="Q86" s="72" t="inlineStr">
        <is>
          <t>MILKA FRANCIS</t>
        </is>
      </c>
      <c r="R86" s="72" t="inlineStr">
        <is>
          <t>ESTOQUE DE MERCADORIAS</t>
        </is>
      </c>
      <c r="S86" s="70" t="n">
        <v>1130101</v>
      </c>
      <c r="T86" s="72" t="inlineStr">
        <is>
          <t>MERCADORIAS P/REVENDA</t>
        </is>
      </c>
      <c r="U86" s="73" t="n">
        <v>1885.65</v>
      </c>
      <c r="W86" s="73" t="n">
        <v>0</v>
      </c>
      <c r="X86" s="72" t="inlineStr">
        <is>
          <t>NF 1649308 - 2 MILKA</t>
        </is>
      </c>
      <c r="Z86" s="59">
        <f>IF($T86="","",IFERROR(INDEX('Resumo Grupos'!$AC$3:$AC$200,MATCH($T86,'Resumo Grupos'!$AB$3:$AB$200,0)),"n/d"))</f>
        <v/>
      </c>
      <c r="AA86" s="59">
        <f>IF($T86="","",IF(COUNTIF('Resumo Grupos'!$AE$3:$AE$40,$T86)&gt;0,"NAO","SIM"))</f>
        <v/>
      </c>
    </row>
    <row r="87" ht="72.75" customHeight="1" s="60">
      <c r="A87" s="70" t="n">
        <v>1</v>
      </c>
      <c r="B87" s="71" t="n">
        <v>46154</v>
      </c>
      <c r="C87" s="71" t="n">
        <v>46176</v>
      </c>
      <c r="D87" s="70" t="n">
        <v>10011</v>
      </c>
      <c r="E87" s="72" t="inlineStr">
        <is>
          <t>OPPORTUNITY ALIMENTOS PARA ANIMAIS LTDA</t>
        </is>
      </c>
      <c r="F87" s="70" t="n">
        <v>24</v>
      </c>
      <c r="G87" s="72" t="inlineStr">
        <is>
          <t>Compra a Prazo - Boletos</t>
        </is>
      </c>
      <c r="H87" s="70" t="n">
        <v>2110101</v>
      </c>
      <c r="I87" s="72" t="inlineStr">
        <is>
          <t>FORNECEDORES DE MERCADORIA</t>
        </is>
      </c>
      <c r="J87" s="70" t="n">
        <v>1088997</v>
      </c>
      <c r="L87" s="70" t="n">
        <v>33622</v>
      </c>
      <c r="M87" s="72" t="inlineStr">
        <is>
          <t>01</t>
        </is>
      </c>
      <c r="N87" s="72" t="inlineStr">
        <is>
          <t>NFE</t>
        </is>
      </c>
      <c r="P87" s="70" t="n">
        <v>103</v>
      </c>
      <c r="Q87" s="72" t="inlineStr">
        <is>
          <t>MILKA FRANCIS</t>
        </is>
      </c>
      <c r="R87" s="72" t="inlineStr">
        <is>
          <t>ESTOQUE DE MERCADORIAS</t>
        </is>
      </c>
      <c r="S87" s="70" t="n">
        <v>1130101</v>
      </c>
      <c r="T87" s="72" t="inlineStr">
        <is>
          <t>MERCADORIAS P/REVENDA</t>
        </is>
      </c>
      <c r="U87" s="73" t="n">
        <v>1326</v>
      </c>
      <c r="W87" s="73" t="n">
        <v>0</v>
      </c>
      <c r="X87" s="72" t="inlineStr">
        <is>
          <t>NF 33622 - 1 MILKA</t>
        </is>
      </c>
      <c r="Z87" s="59">
        <f>IF($T87="","",IFERROR(INDEX('Resumo Grupos'!$AC$3:$AC$200,MATCH($T87,'Resumo Grupos'!$AB$3:$AB$200,0)),"n/d"))</f>
        <v/>
      </c>
      <c r="AA87" s="59">
        <f>IF($T87="","",IF(COUNTIF('Resumo Grupos'!$AE$3:$AE$40,$T87)&gt;0,"NAO","SIM"))</f>
        <v/>
      </c>
    </row>
    <row r="88" ht="36.75" customHeight="1" s="60">
      <c r="A88" s="70" t="n">
        <v>1</v>
      </c>
      <c r="B88" s="71" t="n">
        <v>46156</v>
      </c>
      <c r="C88" s="71" t="n">
        <v>46176</v>
      </c>
      <c r="D88" s="70" t="n">
        <v>911</v>
      </c>
      <c r="E88" s="72" t="inlineStr">
        <is>
          <t>FEMAR IND E COM DE BEBIDAS LTDA</t>
        </is>
      </c>
      <c r="F88" s="70" t="n">
        <v>24</v>
      </c>
      <c r="G88" s="72" t="inlineStr">
        <is>
          <t>Compra a Prazo - Boletos</t>
        </is>
      </c>
      <c r="H88" s="70" t="n">
        <v>2110101</v>
      </c>
      <c r="I88" s="72" t="inlineStr">
        <is>
          <t>FORNECEDORES DE MERCADORIA</t>
        </is>
      </c>
      <c r="J88" s="70" t="n">
        <v>1097568</v>
      </c>
      <c r="L88" s="70" t="n">
        <v>49351</v>
      </c>
      <c r="M88" s="72" t="inlineStr">
        <is>
          <t>01</t>
        </is>
      </c>
      <c r="N88" s="72" t="inlineStr">
        <is>
          <t>NFE</t>
        </is>
      </c>
      <c r="P88" s="70" t="n">
        <v>103</v>
      </c>
      <c r="Q88" s="72" t="inlineStr">
        <is>
          <t>MILKA FRANCIS</t>
        </is>
      </c>
      <c r="R88" s="72" t="inlineStr">
        <is>
          <t>ESTOQUE DE MERCADORIAS</t>
        </is>
      </c>
      <c r="S88" s="70" t="n">
        <v>1130101</v>
      </c>
      <c r="T88" s="72" t="inlineStr">
        <is>
          <t>MERCADORIAS P/REVENDA</t>
        </is>
      </c>
      <c r="U88" s="73" t="n">
        <v>832.66</v>
      </c>
      <c r="W88" s="73" t="n">
        <v>0</v>
      </c>
      <c r="X88" s="72" t="inlineStr">
        <is>
          <t>NF 49351 - MILKA</t>
        </is>
      </c>
      <c r="Z88" s="59">
        <f>IF($T88="","",IFERROR(INDEX('Resumo Grupos'!$AC$3:$AC$200,MATCH($T88,'Resumo Grupos'!$AB$3:$AB$200,0)),"n/d"))</f>
        <v/>
      </c>
      <c r="AA88" s="59">
        <f>IF($T88="","",IF(COUNTIF('Resumo Grupos'!$AE$3:$AE$40,$T88)&gt;0,"NAO","SIM"))</f>
        <v/>
      </c>
    </row>
    <row r="89" ht="36.75" customHeight="1" s="60">
      <c r="A89" s="70" t="n">
        <v>1</v>
      </c>
      <c r="B89" s="71" t="n">
        <v>46156</v>
      </c>
      <c r="C89" s="71" t="n">
        <v>46176</v>
      </c>
      <c r="D89" s="70" t="n">
        <v>1612</v>
      </c>
      <c r="E89" s="72" t="inlineStr">
        <is>
          <t>EMPRESA BRASILEIRA DE DISTRIBUICAO LTDA</t>
        </is>
      </c>
      <c r="F89" s="70" t="n">
        <v>24</v>
      </c>
      <c r="G89" s="72" t="inlineStr">
        <is>
          <t>Compra a Prazo - Boletos</t>
        </is>
      </c>
      <c r="H89" s="70" t="n">
        <v>2110101</v>
      </c>
      <c r="I89" s="72" t="inlineStr">
        <is>
          <t>FORNECEDORES DE MERCADORIA</t>
        </is>
      </c>
      <c r="J89" s="70" t="n">
        <v>1097719</v>
      </c>
      <c r="L89" s="70" t="n">
        <v>2283727</v>
      </c>
      <c r="M89" s="72" t="inlineStr">
        <is>
          <t>01</t>
        </is>
      </c>
      <c r="N89" s="72" t="inlineStr">
        <is>
          <t>NFE</t>
        </is>
      </c>
      <c r="P89" s="70" t="n">
        <v>103</v>
      </c>
      <c r="Q89" s="72" t="inlineStr">
        <is>
          <t>MILKA FRANCIS</t>
        </is>
      </c>
      <c r="R89" s="72" t="inlineStr">
        <is>
          <t>ESTOQUE DE MERCADORIAS</t>
        </is>
      </c>
      <c r="S89" s="70" t="n">
        <v>1130101</v>
      </c>
      <c r="T89" s="72" t="inlineStr">
        <is>
          <t>MERCADORIAS P/REVENDA</t>
        </is>
      </c>
      <c r="U89" s="73" t="n">
        <v>1746.44</v>
      </c>
      <c r="W89" s="73" t="n">
        <v>0</v>
      </c>
      <c r="X89" s="72" t="inlineStr">
        <is>
          <t>NF 2283727 - MILKA</t>
        </is>
      </c>
      <c r="Z89" s="59">
        <f>IF($T89="","",IFERROR(INDEX('Resumo Grupos'!$AC$3:$AC$200,MATCH($T89,'Resumo Grupos'!$AB$3:$AB$200,0)),"n/d"))</f>
        <v/>
      </c>
      <c r="AA89" s="59">
        <f>IF($T89="","",IF(COUNTIF('Resumo Grupos'!$AE$3:$AE$40,$T89)&gt;0,"NAO","SIM"))</f>
        <v/>
      </c>
    </row>
    <row r="90" ht="36.75" customHeight="1" s="60">
      <c r="A90" s="70" t="n">
        <v>1</v>
      </c>
      <c r="B90" s="71" t="n">
        <v>46156</v>
      </c>
      <c r="C90" s="71" t="n">
        <v>46176</v>
      </c>
      <c r="D90" s="70" t="n">
        <v>1601</v>
      </c>
      <c r="E90" s="72" t="inlineStr">
        <is>
          <t>CB COMERCIO E DISTRIBUIDORA DE ALIMENTOS</t>
        </is>
      </c>
      <c r="F90" s="70" t="n">
        <v>24</v>
      </c>
      <c r="G90" s="72" t="inlineStr">
        <is>
          <t>Compra a Prazo - Boletos</t>
        </is>
      </c>
      <c r="H90" s="70" t="n">
        <v>2110101</v>
      </c>
      <c r="I90" s="72" t="inlineStr">
        <is>
          <t>FORNECEDORES DE MERCADORIA</t>
        </is>
      </c>
      <c r="J90" s="70" t="n">
        <v>1098503</v>
      </c>
      <c r="L90" s="70" t="n">
        <v>834106</v>
      </c>
      <c r="M90" s="72" t="inlineStr">
        <is>
          <t>02</t>
        </is>
      </c>
      <c r="N90" s="72" t="inlineStr">
        <is>
          <t>NFE</t>
        </is>
      </c>
      <c r="P90" s="70" t="n">
        <v>103</v>
      </c>
      <c r="Q90" s="72" t="inlineStr">
        <is>
          <t>MILKA FRANCIS</t>
        </is>
      </c>
      <c r="R90" s="72" t="inlineStr">
        <is>
          <t>ESTOQUE DE MERCADORIAS</t>
        </is>
      </c>
      <c r="S90" s="70" t="n">
        <v>1130101</v>
      </c>
      <c r="T90" s="72" t="inlineStr">
        <is>
          <t>MERCADORIAS P/REVENDA</t>
        </is>
      </c>
      <c r="U90" s="73" t="n">
        <v>1298.57</v>
      </c>
      <c r="W90" s="73" t="n">
        <v>0</v>
      </c>
      <c r="X90" s="72" t="inlineStr">
        <is>
          <t>927557-B/C NF834106 - MILKA</t>
        </is>
      </c>
      <c r="Z90" s="59">
        <f>IF($T90="","",IFERROR(INDEX('Resumo Grupos'!$AC$3:$AC$200,MATCH($T90,'Resumo Grupos'!$AB$3:$AB$200,0)),"n/d"))</f>
        <v/>
      </c>
      <c r="AA90" s="59">
        <f>IF($T90="","",IF(COUNTIF('Resumo Grupos'!$AE$3:$AE$40,$T90)&gt;0,"NAO","SIM"))</f>
        <v/>
      </c>
    </row>
    <row r="91" ht="36.75" customHeight="1" s="60">
      <c r="A91" s="70" t="n">
        <v>1</v>
      </c>
      <c r="B91" s="71" t="n">
        <v>46156</v>
      </c>
      <c r="C91" s="71" t="n">
        <v>46176</v>
      </c>
      <c r="D91" s="70" t="n">
        <v>1666</v>
      </c>
      <c r="E91" s="72" t="inlineStr">
        <is>
          <t>SOUZA CRUZ LTDA.</t>
        </is>
      </c>
      <c r="F91" s="70" t="n">
        <v>24</v>
      </c>
      <c r="G91" s="72" t="inlineStr">
        <is>
          <t>Compra a Prazo - Boletos</t>
        </is>
      </c>
      <c r="H91" s="70" t="n">
        <v>2110101</v>
      </c>
      <c r="I91" s="72" t="inlineStr">
        <is>
          <t>FORNECEDORES DE MERCADORIA</t>
        </is>
      </c>
      <c r="J91" s="70" t="n">
        <v>1098588</v>
      </c>
      <c r="L91" s="70" t="n">
        <v>559545</v>
      </c>
      <c r="M91" s="72" t="inlineStr">
        <is>
          <t>03</t>
        </is>
      </c>
      <c r="N91" s="72" t="inlineStr">
        <is>
          <t>NFE</t>
        </is>
      </c>
      <c r="P91" s="70" t="n">
        <v>103</v>
      </c>
      <c r="Q91" s="72" t="inlineStr">
        <is>
          <t>MILKA FRANCIS</t>
        </is>
      </c>
      <c r="R91" s="72" t="inlineStr">
        <is>
          <t>ESTOQUE DE MERCADORIAS</t>
        </is>
      </c>
      <c r="S91" s="70" t="n">
        <v>1130101</v>
      </c>
      <c r="T91" s="72" t="inlineStr">
        <is>
          <t>MERCADORIAS P/REVENDA</t>
        </is>
      </c>
      <c r="U91" s="73" t="n">
        <v>5225.25</v>
      </c>
      <c r="W91" s="73" t="n">
        <v>0</v>
      </c>
      <c r="X91" s="72" t="inlineStr">
        <is>
          <t>NF 559546-03 MILKA</t>
        </is>
      </c>
      <c r="Z91" s="59">
        <f>IF($T91="","",IFERROR(INDEX('Resumo Grupos'!$AC$3:$AC$200,MATCH($T91,'Resumo Grupos'!$AB$3:$AB$200,0)),"n/d"))</f>
        <v/>
      </c>
      <c r="AA91" s="59">
        <f>IF($T91="","",IF(COUNTIF('Resumo Grupos'!$AE$3:$AE$40,$T91)&gt;0,"NAO","SIM"))</f>
        <v/>
      </c>
    </row>
    <row r="92" ht="36.75" customHeight="1" s="60">
      <c r="A92" s="70" t="n">
        <v>1</v>
      </c>
      <c r="B92" s="71" t="n">
        <v>46157</v>
      </c>
      <c r="C92" s="71" t="n">
        <v>46176</v>
      </c>
      <c r="D92" s="70" t="n">
        <v>1636</v>
      </c>
      <c r="E92" s="72" t="inlineStr">
        <is>
          <t>DUNORTE DISTRIBUIDORA DE PRODUTOS DE CONSUMO LTDA</t>
        </is>
      </c>
      <c r="F92" s="70" t="n">
        <v>24</v>
      </c>
      <c r="G92" s="72" t="inlineStr">
        <is>
          <t>Compra a Prazo - Boletos</t>
        </is>
      </c>
      <c r="H92" s="70" t="n">
        <v>2110101</v>
      </c>
      <c r="I92" s="72" t="inlineStr">
        <is>
          <t>FORNECEDORES DE MERCADORIA</t>
        </is>
      </c>
      <c r="J92" s="70" t="n">
        <v>1102661</v>
      </c>
      <c r="L92" s="70" t="n">
        <v>461754</v>
      </c>
      <c r="M92" s="72" t="inlineStr">
        <is>
          <t>01</t>
        </is>
      </c>
      <c r="N92" s="72" t="inlineStr">
        <is>
          <t>AVU</t>
        </is>
      </c>
      <c r="P92" s="70" t="n">
        <v>103</v>
      </c>
      <c r="Q92" s="72" t="inlineStr">
        <is>
          <t>MILKA FRANCIS</t>
        </is>
      </c>
      <c r="R92" s="72" t="inlineStr">
        <is>
          <t>ESTOQUE DE MERCADORIAS</t>
        </is>
      </c>
      <c r="S92" s="70" t="n">
        <v>1130101</v>
      </c>
      <c r="T92" s="72" t="inlineStr">
        <is>
          <t>MERCADORIAS P/REVENDA</t>
        </is>
      </c>
      <c r="U92" s="73" t="n">
        <v>2458.1</v>
      </c>
      <c r="W92" s="73" t="n">
        <v>0</v>
      </c>
      <c r="X92" s="72" t="inlineStr">
        <is>
          <t>NF 3186740-1 MILKA</t>
        </is>
      </c>
      <c r="Z92" s="59">
        <f>IF($T92="","",IFERROR(INDEX('Resumo Grupos'!$AC$3:$AC$200,MATCH($T92,'Resumo Grupos'!$AB$3:$AB$200,0)),"n/d"))</f>
        <v/>
      </c>
      <c r="AA92" s="59">
        <f>IF($T92="","",IF(COUNTIF('Resumo Grupos'!$AE$3:$AE$40,$T92)&gt;0,"NAO","SIM"))</f>
        <v/>
      </c>
    </row>
    <row r="93" ht="36.75" customHeight="1" s="60">
      <c r="A93" s="70" t="n">
        <v>1</v>
      </c>
      <c r="B93" s="71" t="n">
        <v>46158</v>
      </c>
      <c r="C93" s="71" t="n">
        <v>46176</v>
      </c>
      <c r="D93" s="70" t="n">
        <v>1676</v>
      </c>
      <c r="E93" s="72" t="inlineStr">
        <is>
          <t>SL DISTRIBUIDORA COM. DE PROD. ALIMENTIC</t>
        </is>
      </c>
      <c r="F93" s="70" t="n">
        <v>24</v>
      </c>
      <c r="G93" s="72" t="inlineStr">
        <is>
          <t>Compra a Prazo - Boletos</t>
        </is>
      </c>
      <c r="H93" s="70" t="n">
        <v>2110101</v>
      </c>
      <c r="I93" s="72" t="inlineStr">
        <is>
          <t>FORNECEDORES DE MERCADORIA</t>
        </is>
      </c>
      <c r="J93" s="70" t="n">
        <v>1107103</v>
      </c>
      <c r="L93" s="70" t="n">
        <v>9878</v>
      </c>
      <c r="M93" s="72" t="inlineStr">
        <is>
          <t>01</t>
        </is>
      </c>
      <c r="N93" s="72" t="inlineStr">
        <is>
          <t>NFE</t>
        </is>
      </c>
      <c r="P93" s="70" t="n">
        <v>103</v>
      </c>
      <c r="Q93" s="72" t="inlineStr">
        <is>
          <t>MILKA FRANCIS</t>
        </is>
      </c>
      <c r="R93" s="72" t="inlineStr">
        <is>
          <t>ESTOQUE DE MERCADORIAS</t>
        </is>
      </c>
      <c r="S93" s="70" t="n">
        <v>1130101</v>
      </c>
      <c r="T93" s="72" t="inlineStr">
        <is>
          <t>MERCADORIAS P/REVENDA</t>
        </is>
      </c>
      <c r="U93" s="73" t="n">
        <v>993.36</v>
      </c>
      <c r="W93" s="73" t="n">
        <v>0</v>
      </c>
      <c r="X93" s="72" t="inlineStr">
        <is>
          <t>NF 9878 - MILKA</t>
        </is>
      </c>
      <c r="Z93" s="59">
        <f>IF($T93="","",IFERROR(INDEX('Resumo Grupos'!$AC$3:$AC$200,MATCH($T93,'Resumo Grupos'!$AB$3:$AB$200,0)),"n/d"))</f>
        <v/>
      </c>
      <c r="AA93" s="59">
        <f>IF($T93="","",IF(COUNTIF('Resumo Grupos'!$AE$3:$AE$40,$T93)&gt;0,"NAO","SIM"))</f>
        <v/>
      </c>
    </row>
    <row r="94" ht="36.75" customHeight="1" s="60">
      <c r="A94" s="70" t="n">
        <v>1</v>
      </c>
      <c r="B94" s="71" t="n">
        <v>46162</v>
      </c>
      <c r="C94" s="71" t="n">
        <v>46176</v>
      </c>
      <c r="D94" s="70" t="n">
        <v>10009</v>
      </c>
      <c r="E94" s="72" t="inlineStr">
        <is>
          <t>NESTLÉ BRASIL LTDA.</t>
        </is>
      </c>
      <c r="F94" s="70" t="n">
        <v>24</v>
      </c>
      <c r="G94" s="72" t="inlineStr">
        <is>
          <t>Compra a Prazo - Boletos</t>
        </is>
      </c>
      <c r="H94" s="70" t="n">
        <v>2110101</v>
      </c>
      <c r="I94" s="72" t="inlineStr">
        <is>
          <t>FORNECEDORES DE MERCADORIA</t>
        </is>
      </c>
      <c r="J94" s="70" t="n">
        <v>1127349</v>
      </c>
      <c r="L94" s="70" t="n">
        <v>1404002</v>
      </c>
      <c r="M94" s="72" t="inlineStr">
        <is>
          <t>01</t>
        </is>
      </c>
      <c r="N94" s="72" t="inlineStr">
        <is>
          <t>NFE</t>
        </is>
      </c>
      <c r="P94" s="70" t="n">
        <v>103</v>
      </c>
      <c r="Q94" s="72" t="inlineStr">
        <is>
          <t>MILKA FRANCIS</t>
        </is>
      </c>
      <c r="R94" s="72" t="inlineStr">
        <is>
          <t>ESTOQUE DE MERCADORIAS</t>
        </is>
      </c>
      <c r="S94" s="70" t="n">
        <v>1130101</v>
      </c>
      <c r="T94" s="72" t="inlineStr">
        <is>
          <t>MERCADORIAS P/REVENDA</t>
        </is>
      </c>
      <c r="U94" s="73" t="n">
        <v>1513.19</v>
      </c>
      <c r="W94" s="73" t="n">
        <v>0</v>
      </c>
      <c r="X94" s="72" t="inlineStr">
        <is>
          <t>NF 1404002 - MILKA</t>
        </is>
      </c>
      <c r="Z94" s="59">
        <f>IF($T94="","",IFERROR(INDEX('Resumo Grupos'!$AC$3:$AC$200,MATCH($T94,'Resumo Grupos'!$AB$3:$AB$200,0)),"n/d"))</f>
        <v/>
      </c>
      <c r="AA94" s="59">
        <f>IF($T94="","",IF(COUNTIF('Resumo Grupos'!$AE$3:$AE$40,$T94)&gt;0,"NAO","SIM"))</f>
        <v/>
      </c>
    </row>
    <row r="95" ht="36.75" customHeight="1" s="60">
      <c r="A95" s="70" t="n">
        <v>1</v>
      </c>
      <c r="B95" s="71" t="n">
        <v>46162</v>
      </c>
      <c r="C95" s="71" t="n">
        <v>46176</v>
      </c>
      <c r="D95" s="70" t="n">
        <v>10009</v>
      </c>
      <c r="E95" s="72" t="inlineStr">
        <is>
          <t>NESTLÉ BRASIL LTDA.</t>
        </is>
      </c>
      <c r="F95" s="70" t="n">
        <v>24</v>
      </c>
      <c r="G95" s="72" t="inlineStr">
        <is>
          <t>Compra a Prazo - Boletos</t>
        </is>
      </c>
      <c r="H95" s="70" t="n">
        <v>2110101</v>
      </c>
      <c r="I95" s="72" t="inlineStr">
        <is>
          <t>FORNECEDORES DE MERCADORIA</t>
        </is>
      </c>
      <c r="J95" s="70" t="n">
        <v>1127437</v>
      </c>
      <c r="L95" s="70" t="n">
        <v>1404506</v>
      </c>
      <c r="M95" s="72" t="inlineStr">
        <is>
          <t>03</t>
        </is>
      </c>
      <c r="N95" s="72" t="inlineStr">
        <is>
          <t>NFE</t>
        </is>
      </c>
      <c r="P95" s="70" t="n">
        <v>103</v>
      </c>
      <c r="Q95" s="72" t="inlineStr">
        <is>
          <t>MILKA FRANCIS</t>
        </is>
      </c>
      <c r="R95" s="72" t="inlineStr">
        <is>
          <t>ESTOQUE DE MERCADORIAS</t>
        </is>
      </c>
      <c r="S95" s="70" t="n">
        <v>1130101</v>
      </c>
      <c r="T95" s="72" t="inlineStr">
        <is>
          <t>MERCADORIAS P/REVENDA</t>
        </is>
      </c>
      <c r="U95" s="73" t="n">
        <v>2111.21</v>
      </c>
      <c r="W95" s="73" t="n">
        <v>0</v>
      </c>
      <c r="X95" s="72" t="inlineStr">
        <is>
          <t>NF 1404506 -03 MILKA</t>
        </is>
      </c>
      <c r="Z95" s="59">
        <f>IF($T95="","",IFERROR(INDEX('Resumo Grupos'!$AC$3:$AC$200,MATCH($T95,'Resumo Grupos'!$AB$3:$AB$200,0)),"n/d"))</f>
        <v/>
      </c>
      <c r="AA95" s="59">
        <f>IF($T95="","",IF(COUNTIF('Resumo Grupos'!$AE$3:$AE$40,$T95)&gt;0,"NAO","SIM"))</f>
        <v/>
      </c>
    </row>
    <row r="96" ht="45.75" customHeight="1" s="60">
      <c r="A96" s="70" t="n">
        <v>1</v>
      </c>
      <c r="B96" s="71" t="n">
        <v>46163</v>
      </c>
      <c r="C96" s="71" t="n">
        <v>46176</v>
      </c>
      <c r="D96" s="70" t="n">
        <v>10012</v>
      </c>
      <c r="E96" s="72" t="inlineStr">
        <is>
          <t>SB COMERCIO LTDA</t>
        </is>
      </c>
      <c r="F96" s="70" t="n">
        <v>24</v>
      </c>
      <c r="G96" s="72" t="inlineStr">
        <is>
          <t>Compra a Prazo - Boletos</t>
        </is>
      </c>
      <c r="H96" s="70" t="n">
        <v>2110101</v>
      </c>
      <c r="I96" s="72" t="inlineStr">
        <is>
          <t>FORNECEDORES DE MERCADORIA</t>
        </is>
      </c>
      <c r="J96" s="70" t="n">
        <v>1131679</v>
      </c>
      <c r="L96" s="70" t="n">
        <v>1952294</v>
      </c>
      <c r="M96" s="72" t="inlineStr">
        <is>
          <t>01</t>
        </is>
      </c>
      <c r="N96" s="72" t="inlineStr">
        <is>
          <t>NFE</t>
        </is>
      </c>
      <c r="P96" s="70" t="n">
        <v>103</v>
      </c>
      <c r="Q96" s="72" t="inlineStr">
        <is>
          <t>MILKA FRANCIS</t>
        </is>
      </c>
      <c r="R96" s="72" t="inlineStr">
        <is>
          <t>ESTOQUE DE MERCADORIAS</t>
        </is>
      </c>
      <c r="S96" s="70" t="n">
        <v>1130101</v>
      </c>
      <c r="T96" s="72" t="inlineStr">
        <is>
          <t>MERCADORIAS P/REVENDA</t>
        </is>
      </c>
      <c r="U96" s="73" t="n">
        <v>2899.4</v>
      </c>
      <c r="W96" s="73" t="n">
        <v>0</v>
      </c>
      <c r="X96" s="72" t="inlineStr">
        <is>
          <t>NF 1952294 -1 MILKA</t>
        </is>
      </c>
      <c r="Z96" s="59">
        <f>IF($T96="","",IFERROR(INDEX('Resumo Grupos'!$AC$3:$AC$200,MATCH($T96,'Resumo Grupos'!$AB$3:$AB$200,0)),"n/d"))</f>
        <v/>
      </c>
      <c r="AA96" s="59">
        <f>IF($T96="","",IF(COUNTIF('Resumo Grupos'!$AE$3:$AE$40,$T96)&gt;0,"NAO","SIM"))</f>
        <v/>
      </c>
    </row>
    <row r="97" ht="45.75" customHeight="1" s="60">
      <c r="A97" s="70" t="n">
        <v>1</v>
      </c>
      <c r="B97" s="71" t="n">
        <v>46164</v>
      </c>
      <c r="C97" s="71" t="n">
        <v>46176</v>
      </c>
      <c r="D97" s="70" t="n">
        <v>1611</v>
      </c>
      <c r="E97" s="72" t="inlineStr">
        <is>
          <t>MARTINS COM SERV DISTR SA</t>
        </is>
      </c>
      <c r="F97" s="70" t="n">
        <v>24</v>
      </c>
      <c r="G97" s="72" t="inlineStr">
        <is>
          <t>Compra a Prazo - Boletos</t>
        </is>
      </c>
      <c r="H97" s="70" t="n">
        <v>2110101</v>
      </c>
      <c r="I97" s="72" t="inlineStr">
        <is>
          <t>FORNECEDORES DE MERCADORIA</t>
        </is>
      </c>
      <c r="J97" s="70" t="n">
        <v>1136494</v>
      </c>
      <c r="L97" s="70" t="n">
        <v>474613</v>
      </c>
      <c r="M97" s="72" t="inlineStr">
        <is>
          <t>02</t>
        </is>
      </c>
      <c r="N97" s="72" t="inlineStr">
        <is>
          <t>AVU</t>
        </is>
      </c>
      <c r="P97" s="70" t="n">
        <v>103</v>
      </c>
      <c r="Q97" s="72" t="inlineStr">
        <is>
          <t>MILKA FRANCIS</t>
        </is>
      </c>
      <c r="R97" s="72" t="inlineStr">
        <is>
          <t>ESTOQUE DE MERCADORIAS</t>
        </is>
      </c>
      <c r="S97" s="70" t="n">
        <v>1130101</v>
      </c>
      <c r="T97" s="72" t="inlineStr">
        <is>
          <t>MERCADORIAS P/REVENDA</t>
        </is>
      </c>
      <c r="U97" s="73" t="n">
        <v>678.54</v>
      </c>
      <c r="W97" s="73" t="n">
        <v>0</v>
      </c>
      <c r="X97" s="72" t="inlineStr">
        <is>
          <t>NF 1762196 -02 C/TARIFA INCLUSA - MILKA</t>
        </is>
      </c>
      <c r="Z97" s="59">
        <f>IF($T97="","",IFERROR(INDEX('Resumo Grupos'!$AC$3:$AC$200,MATCH($T97,'Resumo Grupos'!$AB$3:$AB$200,0)),"n/d"))</f>
        <v/>
      </c>
      <c r="AA97" s="59">
        <f>IF($T97="","",IF(COUNTIF('Resumo Grupos'!$AE$3:$AE$40,$T97)&gt;0,"NAO","SIM"))</f>
        <v/>
      </c>
    </row>
    <row r="98" ht="45.75" customHeight="1" s="60">
      <c r="A98" s="70" t="n">
        <v>1</v>
      </c>
      <c r="B98" s="71" t="n">
        <v>46164</v>
      </c>
      <c r="C98" s="71" t="n">
        <v>46176</v>
      </c>
      <c r="D98" s="70" t="n">
        <v>1613</v>
      </c>
      <c r="E98" s="72" t="inlineStr">
        <is>
          <t>BRF S A</t>
        </is>
      </c>
      <c r="F98" s="70" t="n">
        <v>24</v>
      </c>
      <c r="G98" s="72" t="inlineStr">
        <is>
          <t>Compra a Prazo - Boletos</t>
        </is>
      </c>
      <c r="H98" s="70" t="n">
        <v>2110101</v>
      </c>
      <c r="I98" s="72" t="inlineStr">
        <is>
          <t>FORNECEDORES DE MERCADORIA</t>
        </is>
      </c>
      <c r="J98" s="70" t="n">
        <v>1137710</v>
      </c>
      <c r="L98" s="70" t="n">
        <v>1585743</v>
      </c>
      <c r="M98" s="72" t="inlineStr">
        <is>
          <t>02</t>
        </is>
      </c>
      <c r="N98" s="72" t="inlineStr">
        <is>
          <t>NFE</t>
        </is>
      </c>
      <c r="P98" s="70" t="n">
        <v>103</v>
      </c>
      <c r="Q98" s="72" t="inlineStr">
        <is>
          <t>MILKA FRANCIS</t>
        </is>
      </c>
      <c r="R98" s="72" t="inlineStr">
        <is>
          <t>ESTOQUE DE MERCADORIAS</t>
        </is>
      </c>
      <c r="S98" s="70" t="n">
        <v>1130101</v>
      </c>
      <c r="T98" s="72" t="inlineStr">
        <is>
          <t>MERCADORIAS P/REVENDA</t>
        </is>
      </c>
      <c r="U98" s="73" t="n">
        <v>2305.66</v>
      </c>
      <c r="W98" s="73" t="n">
        <v>0</v>
      </c>
      <c r="X98" s="72" t="inlineStr">
        <is>
          <t>NF 1585743 -02/02 MILKA</t>
        </is>
      </c>
      <c r="Z98" s="59">
        <f>IF($T98="","",IFERROR(INDEX('Resumo Grupos'!$AC$3:$AC$200,MATCH($T98,'Resumo Grupos'!$AB$3:$AB$200,0)),"n/d"))</f>
        <v/>
      </c>
      <c r="AA98" s="59">
        <f>IF($T98="","",IF(COUNTIF('Resumo Grupos'!$AE$3:$AE$40,$T98)&gt;0,"NAO","SIM"))</f>
        <v/>
      </c>
    </row>
    <row r="99" ht="27.75" customHeight="1" s="60">
      <c r="A99" s="70" t="n">
        <v>1</v>
      </c>
      <c r="B99" s="71" t="n">
        <v>46164</v>
      </c>
      <c r="C99" s="71" t="n">
        <v>46176</v>
      </c>
      <c r="D99" s="70" t="n">
        <v>1613</v>
      </c>
      <c r="E99" s="72" t="inlineStr">
        <is>
          <t>BRF S A</t>
        </is>
      </c>
      <c r="F99" s="70" t="n">
        <v>24</v>
      </c>
      <c r="G99" s="72" t="inlineStr">
        <is>
          <t>Compra a Prazo - Boletos</t>
        </is>
      </c>
      <c r="H99" s="70" t="n">
        <v>2110101</v>
      </c>
      <c r="I99" s="72" t="inlineStr">
        <is>
          <t>FORNECEDORES DE MERCADORIA</t>
        </is>
      </c>
      <c r="J99" s="70" t="n">
        <v>1137762</v>
      </c>
      <c r="L99" s="70" t="n">
        <v>1588698</v>
      </c>
      <c r="M99" s="72" t="inlineStr">
        <is>
          <t>02</t>
        </is>
      </c>
      <c r="N99" s="72" t="inlineStr">
        <is>
          <t>NFE</t>
        </is>
      </c>
      <c r="P99" s="70" t="n">
        <v>103</v>
      </c>
      <c r="Q99" s="72" t="inlineStr">
        <is>
          <t>MILKA FRANCIS</t>
        </is>
      </c>
      <c r="R99" s="72" t="inlineStr">
        <is>
          <t>ESTOQUE DE MERCADORIAS</t>
        </is>
      </c>
      <c r="S99" s="70" t="n">
        <v>1130101</v>
      </c>
      <c r="T99" s="72" t="inlineStr">
        <is>
          <t>MERCADORIAS P/REVENDA</t>
        </is>
      </c>
      <c r="U99" s="73" t="n">
        <v>1669.68</v>
      </c>
      <c r="W99" s="73" t="n">
        <v>0</v>
      </c>
      <c r="X99" s="72" t="inlineStr">
        <is>
          <t>NF 1588698 02/03 MILKA</t>
        </is>
      </c>
      <c r="Z99" s="59">
        <f>IF($T99="","",IFERROR(INDEX('Resumo Grupos'!$AC$3:$AC$200,MATCH($T99,'Resumo Grupos'!$AB$3:$AB$200,0)),"n/d"))</f>
        <v/>
      </c>
      <c r="AA99" s="59">
        <f>IF($T99="","",IF(COUNTIF('Resumo Grupos'!$AE$3:$AE$40,$T99)&gt;0,"NAO","SIM"))</f>
        <v/>
      </c>
    </row>
    <row r="100" ht="54.75" customHeight="1" s="60">
      <c r="A100" s="70" t="n">
        <v>1</v>
      </c>
      <c r="B100" s="71" t="n">
        <v>46170</v>
      </c>
      <c r="C100" s="71" t="n">
        <v>46176</v>
      </c>
      <c r="D100" s="70" t="n">
        <v>1625</v>
      </c>
      <c r="E100" s="72" t="inlineStr">
        <is>
          <t>MAXFRI DISTRIUIDORA LTDA</t>
        </is>
      </c>
      <c r="F100" s="70" t="n">
        <v>24</v>
      </c>
      <c r="G100" s="72" t="inlineStr">
        <is>
          <t>Compra a Prazo - Boletos</t>
        </is>
      </c>
      <c r="H100" s="70" t="n">
        <v>2110101</v>
      </c>
      <c r="I100" s="72" t="inlineStr">
        <is>
          <t>FORNECEDORES DE MERCADORIA</t>
        </is>
      </c>
      <c r="J100" s="70" t="n">
        <v>1166309</v>
      </c>
      <c r="L100" s="70" t="n">
        <v>14334</v>
      </c>
      <c r="M100" s="72" t="inlineStr">
        <is>
          <t>01</t>
        </is>
      </c>
      <c r="N100" s="72" t="inlineStr">
        <is>
          <t>NFE</t>
        </is>
      </c>
      <c r="P100" s="70" t="n">
        <v>103</v>
      </c>
      <c r="Q100" s="72" t="inlineStr">
        <is>
          <t>MILKA FRANCIS</t>
        </is>
      </c>
      <c r="R100" s="72" t="inlineStr">
        <is>
          <t>ESTOQUE DE MERCADORIAS</t>
        </is>
      </c>
      <c r="S100" s="70" t="n">
        <v>1130101</v>
      </c>
      <c r="T100" s="72" t="inlineStr">
        <is>
          <t>MERCADORIAS P/REVENDA</t>
        </is>
      </c>
      <c r="U100" s="73" t="n">
        <v>3947.2</v>
      </c>
      <c r="W100" s="73" t="n">
        <v>0</v>
      </c>
      <c r="X100" s="72" t="inlineStr">
        <is>
          <t>NF 14334 - MILKA</t>
        </is>
      </c>
      <c r="Z100" s="59">
        <f>IF($T100="","",IFERROR(INDEX('Resumo Grupos'!$AC$3:$AC$200,MATCH($T100,'Resumo Grupos'!$AB$3:$AB$200,0)),"n/d"))</f>
        <v/>
      </c>
      <c r="AA100" s="59">
        <f>IF($T100="","",IF(COUNTIF('Resumo Grupos'!$AE$3:$AE$40,$T100)&gt;0,"NAO","SIM"))</f>
        <v/>
      </c>
    </row>
    <row r="101" ht="27.75" customHeight="1" s="60">
      <c r="A101" s="70" t="n">
        <v>1</v>
      </c>
      <c r="B101" s="71" t="n">
        <v>46170</v>
      </c>
      <c r="C101" s="71" t="n">
        <v>46176</v>
      </c>
      <c r="D101" s="70" t="n">
        <v>1078</v>
      </c>
      <c r="E101" s="72" t="inlineStr">
        <is>
          <t>NATUREZA COMERCIO DE DESCARTAVEIS LTDA</t>
        </is>
      </c>
      <c r="F101" s="70" t="n">
        <v>24</v>
      </c>
      <c r="G101" s="72" t="inlineStr">
        <is>
          <t>Compra a Prazo - Boletos</t>
        </is>
      </c>
      <c r="H101" s="70" t="n">
        <v>2110101</v>
      </c>
      <c r="I101" s="72" t="inlineStr">
        <is>
          <t>FORNECEDORES DE MERCADORIA</t>
        </is>
      </c>
      <c r="J101" s="70" t="n">
        <v>1168251</v>
      </c>
      <c r="L101" s="70" t="n">
        <v>27274</v>
      </c>
      <c r="M101" s="72" t="inlineStr">
        <is>
          <t>01</t>
        </is>
      </c>
      <c r="N101" s="72" t="inlineStr">
        <is>
          <t>NFE</t>
        </is>
      </c>
      <c r="P101" s="70" t="n">
        <v>103</v>
      </c>
      <c r="Q101" s="72" t="inlineStr">
        <is>
          <t>MILKA FRANCIS</t>
        </is>
      </c>
      <c r="R101" s="72" t="inlineStr">
        <is>
          <t>ESTOQUE DE MERCADORIAS</t>
        </is>
      </c>
      <c r="S101" s="70" t="n">
        <v>1130101</v>
      </c>
      <c r="T101" s="72" t="inlineStr">
        <is>
          <t>MERCADORIAS P/REVENDA</t>
        </is>
      </c>
      <c r="U101" s="73" t="n">
        <v>105.47</v>
      </c>
      <c r="W101" s="73" t="n">
        <v>0</v>
      </c>
      <c r="X101" s="72" t="inlineStr">
        <is>
          <t>NF 27274-001/003 MILKA</t>
        </is>
      </c>
      <c r="Z101" s="59">
        <f>IF($T101="","",IFERROR(INDEX('Resumo Grupos'!$AC$3:$AC$200,MATCH($T101,'Resumo Grupos'!$AB$3:$AB$200,0)),"n/d"))</f>
        <v/>
      </c>
      <c r="AA101" s="59">
        <f>IF($T101="","",IF(COUNTIF('Resumo Grupos'!$AE$3:$AE$40,$T101)&gt;0,"NAO","SIM"))</f>
        <v/>
      </c>
    </row>
    <row r="102" ht="27.75" customHeight="1" s="60">
      <c r="A102" s="70" t="n">
        <v>1</v>
      </c>
      <c r="B102" s="71" t="n">
        <v>46170</v>
      </c>
      <c r="C102" s="71" t="n">
        <v>46176</v>
      </c>
      <c r="D102" s="70" t="n">
        <v>1899</v>
      </c>
      <c r="E102" s="72" t="inlineStr">
        <is>
          <t>PANIFICADORA E CONFEITARIA REAL MADRI LTDA</t>
        </is>
      </c>
      <c r="F102" s="70" t="n">
        <v>24</v>
      </c>
      <c r="G102" s="72" t="inlineStr">
        <is>
          <t>Compra a Prazo - Boletos</t>
        </is>
      </c>
      <c r="H102" s="70" t="n">
        <v>2110101</v>
      </c>
      <c r="I102" s="72" t="inlineStr">
        <is>
          <t>FORNECEDORES DE MERCADORIA</t>
        </is>
      </c>
      <c r="J102" s="70" t="n">
        <v>1168273</v>
      </c>
      <c r="L102" s="70" t="n">
        <v>638</v>
      </c>
      <c r="M102" s="72" t="inlineStr">
        <is>
          <t>01</t>
        </is>
      </c>
      <c r="N102" s="72" t="inlineStr">
        <is>
          <t>NFE</t>
        </is>
      </c>
      <c r="P102" s="70" t="n">
        <v>103</v>
      </c>
      <c r="Q102" s="72" t="inlineStr">
        <is>
          <t>MILKA FRANCIS</t>
        </is>
      </c>
      <c r="R102" s="72" t="inlineStr">
        <is>
          <t>ESTOQUE DE MERCADORIAS</t>
        </is>
      </c>
      <c r="S102" s="70" t="n">
        <v>1130101</v>
      </c>
      <c r="T102" s="72" t="inlineStr">
        <is>
          <t>MERCADORIAS P/REVENDA</t>
        </is>
      </c>
      <c r="U102" s="73" t="n">
        <v>1120</v>
      </c>
      <c r="W102" s="73" t="n">
        <v>0</v>
      </c>
      <c r="X102" s="72" t="inlineStr">
        <is>
          <t>NF 638 - MILKA</t>
        </is>
      </c>
      <c r="Z102" s="59">
        <f>IF($T102="","",IFERROR(INDEX('Resumo Grupos'!$AC$3:$AC$200,MATCH($T102,'Resumo Grupos'!$AB$3:$AB$200,0)),"n/d"))</f>
        <v/>
      </c>
      <c r="AA102" s="59">
        <f>IF($T102="","",IF(COUNTIF('Resumo Grupos'!$AE$3:$AE$40,$T102)&gt;0,"NAO","SIM"))</f>
        <v/>
      </c>
    </row>
    <row r="103" ht="36.75" customHeight="1" s="60">
      <c r="A103" s="70" t="n">
        <v>1</v>
      </c>
      <c r="B103" s="71" t="n">
        <v>46170</v>
      </c>
      <c r="C103" s="71" t="n">
        <v>46176</v>
      </c>
      <c r="D103" s="70" t="n">
        <v>1123</v>
      </c>
      <c r="E103" s="72" t="inlineStr">
        <is>
          <t>NORTELAC DISTRIBUIDORA DE FRIOS LTDA</t>
        </is>
      </c>
      <c r="F103" s="70" t="n">
        <v>24</v>
      </c>
      <c r="G103" s="72" t="inlineStr">
        <is>
          <t>Compra a Prazo - Boletos</t>
        </is>
      </c>
      <c r="H103" s="70" t="n">
        <v>2110101</v>
      </c>
      <c r="I103" s="72" t="inlineStr">
        <is>
          <t>FORNECEDORES DE MERCADORIA</t>
        </is>
      </c>
      <c r="J103" s="70" t="n">
        <v>1168309</v>
      </c>
      <c r="L103" s="70" t="n">
        <v>39894</v>
      </c>
      <c r="M103" s="72" t="inlineStr">
        <is>
          <t>01</t>
        </is>
      </c>
      <c r="N103" s="72" t="inlineStr">
        <is>
          <t>NFE</t>
        </is>
      </c>
      <c r="P103" s="70" t="n">
        <v>103</v>
      </c>
      <c r="Q103" s="72" t="inlineStr">
        <is>
          <t>MILKA FRANCIS</t>
        </is>
      </c>
      <c r="R103" s="72" t="inlineStr">
        <is>
          <t>ESTOQUE DE MERCADORIAS</t>
        </is>
      </c>
      <c r="S103" s="70" t="n">
        <v>1130101</v>
      </c>
      <c r="T103" s="72" t="inlineStr">
        <is>
          <t>MERCADORIAS P/REVENDA</t>
        </is>
      </c>
      <c r="U103" s="73" t="n">
        <v>2300</v>
      </c>
      <c r="W103" s="73" t="n">
        <v>0</v>
      </c>
      <c r="X103" s="72" t="inlineStr">
        <is>
          <t>NF 39894 - MILKA</t>
        </is>
      </c>
      <c r="Z103" s="59">
        <f>IF($T103="","",IFERROR(INDEX('Resumo Grupos'!$AC$3:$AC$200,MATCH($T103,'Resumo Grupos'!$AB$3:$AB$200,0)),"n/d"))</f>
        <v/>
      </c>
      <c r="AA103" s="59">
        <f>IF($T103="","",IF(COUNTIF('Resumo Grupos'!$AE$3:$AE$40,$T103)&gt;0,"NAO","SIM"))</f>
        <v/>
      </c>
    </row>
    <row r="104" ht="36.75" customHeight="1" s="60">
      <c r="A104" s="70" t="n">
        <v>1</v>
      </c>
      <c r="B104" s="71" t="n">
        <v>46170</v>
      </c>
      <c r="C104" s="71" t="n">
        <v>46176</v>
      </c>
      <c r="D104" s="70" t="n">
        <v>1819</v>
      </c>
      <c r="E104" s="72" t="inlineStr">
        <is>
          <t>LELE FABRICACAO DE MASSAS LTDA</t>
        </is>
      </c>
      <c r="F104" s="70" t="n">
        <v>24</v>
      </c>
      <c r="G104" s="72" t="inlineStr">
        <is>
          <t>Compra a Prazo - Boletos</t>
        </is>
      </c>
      <c r="H104" s="70" t="n">
        <v>2110101</v>
      </c>
      <c r="I104" s="72" t="inlineStr">
        <is>
          <t>FORNECEDORES DE MERCADORIA</t>
        </is>
      </c>
      <c r="J104" s="70" t="n">
        <v>1168339</v>
      </c>
      <c r="L104" s="70" t="n">
        <v>15721</v>
      </c>
      <c r="M104" s="72" t="inlineStr">
        <is>
          <t>01</t>
        </is>
      </c>
      <c r="N104" s="72" t="inlineStr">
        <is>
          <t>NFE</t>
        </is>
      </c>
      <c r="P104" s="70" t="n">
        <v>103</v>
      </c>
      <c r="Q104" s="72" t="inlineStr">
        <is>
          <t>MILKA FRANCIS</t>
        </is>
      </c>
      <c r="R104" s="72" t="inlineStr">
        <is>
          <t>ESTOQUE DE MERCADORIAS</t>
        </is>
      </c>
      <c r="S104" s="70" t="n">
        <v>1130101</v>
      </c>
      <c r="T104" s="72" t="inlineStr">
        <is>
          <t>MERCADORIAS P/REVENDA</t>
        </is>
      </c>
      <c r="U104" s="73" t="n">
        <v>304</v>
      </c>
      <c r="W104" s="73" t="n">
        <v>0</v>
      </c>
      <c r="X104" s="72" t="inlineStr">
        <is>
          <t>NF 15721 - MILKA</t>
        </is>
      </c>
      <c r="Z104" s="59">
        <f>IF($T104="","",IFERROR(INDEX('Resumo Grupos'!$AC$3:$AC$200,MATCH($T104,'Resumo Grupos'!$AB$3:$AB$200,0)),"n/d"))</f>
        <v/>
      </c>
      <c r="AA104" s="59">
        <f>IF($T104="","",IF(COUNTIF('Resumo Grupos'!$AE$3:$AE$40,$T104)&gt;0,"NAO","SIM"))</f>
        <v/>
      </c>
    </row>
    <row r="105" ht="36.75" customHeight="1" s="60">
      <c r="A105" s="70" t="n">
        <v>1</v>
      </c>
      <c r="B105" s="71" t="n">
        <v>46175</v>
      </c>
      <c r="C105" s="71" t="n">
        <v>46176</v>
      </c>
      <c r="D105" s="70" t="n">
        <v>1614</v>
      </c>
      <c r="E105" s="72" t="inlineStr">
        <is>
          <t>C. R. PARENTE ABREU</t>
        </is>
      </c>
      <c r="F105" s="70" t="n">
        <v>24</v>
      </c>
      <c r="G105" s="72" t="inlineStr">
        <is>
          <t>Compra a Prazo - Boletos</t>
        </is>
      </c>
      <c r="H105" s="70" t="n">
        <v>2110101</v>
      </c>
      <c r="I105" s="72" t="inlineStr">
        <is>
          <t>FORNECEDORES DE MERCADORIA</t>
        </is>
      </c>
      <c r="J105" s="70" t="n">
        <v>1191273</v>
      </c>
      <c r="L105" s="70" t="n">
        <v>11208</v>
      </c>
      <c r="M105" s="72" t="inlineStr">
        <is>
          <t>01</t>
        </is>
      </c>
      <c r="N105" s="72" t="inlineStr">
        <is>
          <t>NFE</t>
        </is>
      </c>
      <c r="P105" s="70" t="n">
        <v>103</v>
      </c>
      <c r="Q105" s="72" t="inlineStr">
        <is>
          <t>MILKA FRANCIS</t>
        </is>
      </c>
      <c r="R105" s="72" t="inlineStr">
        <is>
          <t>ESTOQUE DE MERCADORIAS</t>
        </is>
      </c>
      <c r="S105" s="70" t="n">
        <v>1130101</v>
      </c>
      <c r="T105" s="72" t="inlineStr">
        <is>
          <t>MERCADORIAS P/REVENDA</t>
        </is>
      </c>
      <c r="U105" s="73" t="n">
        <v>327.84</v>
      </c>
      <c r="W105" s="73" t="n">
        <v>0</v>
      </c>
      <c r="X105" s="72" t="inlineStr">
        <is>
          <t>NF 112008-1 MILKA</t>
        </is>
      </c>
      <c r="Z105" s="59">
        <f>IF($T105="","",IFERROR(INDEX('Resumo Grupos'!$AC$3:$AC$200,MATCH($T105,'Resumo Grupos'!$AB$3:$AB$200,0)),"n/d"))</f>
        <v/>
      </c>
      <c r="AA105" s="59">
        <f>IF($T105="","",IF(COUNTIF('Resumo Grupos'!$AE$3:$AE$40,$T105)&gt;0,"NAO","SIM"))</f>
        <v/>
      </c>
    </row>
    <row r="106" ht="36.75" customHeight="1" s="60">
      <c r="A106" s="70" t="n">
        <v>1</v>
      </c>
      <c r="B106" s="71" t="n">
        <v>46175</v>
      </c>
      <c r="C106" s="71" t="n">
        <v>46176</v>
      </c>
      <c r="D106" s="70" t="n">
        <v>33</v>
      </c>
      <c r="E106" s="72" t="inlineStr">
        <is>
          <t>RENATO DE O AZEVEDO E CIA LTDA - EPP</t>
        </is>
      </c>
      <c r="F106" s="70" t="n">
        <v>34</v>
      </c>
      <c r="G106" s="72" t="inlineStr">
        <is>
          <t>Transferencia Pix</t>
        </is>
      </c>
      <c r="H106" s="70" t="n">
        <v>2110101</v>
      </c>
      <c r="I106" s="72" t="inlineStr">
        <is>
          <t>FORNECEDORES DE MERCADORIA</t>
        </is>
      </c>
      <c r="J106" s="70" t="n">
        <v>1193916</v>
      </c>
      <c r="L106" s="70" t="n">
        <v>5075</v>
      </c>
      <c r="M106" s="72" t="inlineStr">
        <is>
          <t>01</t>
        </is>
      </c>
      <c r="N106" s="72" t="inlineStr">
        <is>
          <t>NFE</t>
        </is>
      </c>
      <c r="P106" s="70" t="n">
        <v>104</v>
      </c>
      <c r="Q106" s="72" t="inlineStr">
        <is>
          <t>DEBORA COSTA</t>
        </is>
      </c>
      <c r="R106" s="72" t="inlineStr">
        <is>
          <t>ESTOQUE DE MERCADORIAS</t>
        </is>
      </c>
      <c r="S106" s="70" t="n">
        <v>1130101</v>
      </c>
      <c r="T106" s="72" t="inlineStr">
        <is>
          <t>MERCADORIAS P/REVENDA</t>
        </is>
      </c>
      <c r="U106" s="73" t="n">
        <v>1394</v>
      </c>
      <c r="W106" s="73" t="n">
        <v>0</v>
      </c>
      <c r="X106" s="72" t="inlineStr">
        <is>
          <t>FEIRA CARLOS - DEBORA</t>
        </is>
      </c>
      <c r="Z106" s="59">
        <f>IF($T106="","",IFERROR(INDEX('Resumo Grupos'!$AC$3:$AC$200,MATCH($T106,'Resumo Grupos'!$AB$3:$AB$200,0)),"n/d"))</f>
        <v/>
      </c>
      <c r="AA106" s="59">
        <f>IF($T106="","",IF(COUNTIF('Resumo Grupos'!$AE$3:$AE$40,$T106)&gt;0,"NAO","SIM"))</f>
        <v/>
      </c>
    </row>
    <row r="107" ht="36.75" customHeight="1" s="60">
      <c r="A107" s="70" t="n">
        <v>1</v>
      </c>
      <c r="B107" s="71" t="n">
        <v>46175</v>
      </c>
      <c r="C107" s="71" t="n">
        <v>46176</v>
      </c>
      <c r="D107" s="70" t="n">
        <v>1615</v>
      </c>
      <c r="E107" s="72" t="inlineStr">
        <is>
          <t>COMERCIO E TRANSPORTE BRANDAO LTDA</t>
        </is>
      </c>
      <c r="F107" s="70" t="n">
        <v>34</v>
      </c>
      <c r="G107" s="72" t="inlineStr">
        <is>
          <t>Transferencia Pix</t>
        </is>
      </c>
      <c r="H107" s="70" t="n">
        <v>2110101</v>
      </c>
      <c r="I107" s="72" t="inlineStr">
        <is>
          <t>FORNECEDORES DE MERCADORIA</t>
        </is>
      </c>
      <c r="J107" s="70" t="n">
        <v>1193996</v>
      </c>
      <c r="L107" s="70" t="n">
        <v>14605</v>
      </c>
      <c r="M107" s="72" t="inlineStr">
        <is>
          <t>01</t>
        </is>
      </c>
      <c r="N107" s="72" t="inlineStr">
        <is>
          <t>NFE</t>
        </is>
      </c>
      <c r="P107" s="70" t="n">
        <v>104</v>
      </c>
      <c r="Q107" s="72" t="inlineStr">
        <is>
          <t>DEBORA COSTA</t>
        </is>
      </c>
      <c r="R107" s="72" t="inlineStr">
        <is>
          <t>ESTOQUE DE MERCADORIAS</t>
        </is>
      </c>
      <c r="S107" s="70" t="n">
        <v>1130101</v>
      </c>
      <c r="T107" s="72" t="inlineStr">
        <is>
          <t>MERCADORIAS P/REVENDA</t>
        </is>
      </c>
      <c r="U107" s="73" t="n">
        <v>400</v>
      </c>
      <c r="W107" s="73" t="n">
        <v>0</v>
      </c>
      <c r="X107" s="72" t="inlineStr">
        <is>
          <t>NF 14605 - DEBORA</t>
        </is>
      </c>
      <c r="Z107" s="59">
        <f>IF($T107="","",IFERROR(INDEX('Resumo Grupos'!$AC$3:$AC$200,MATCH($T107,'Resumo Grupos'!$AB$3:$AB$200,0)),"n/d"))</f>
        <v/>
      </c>
      <c r="AA107" s="59">
        <f>IF($T107="","",IF(COUNTIF('Resumo Grupos'!$AE$3:$AE$40,$T107)&gt;0,"NAO","SIM"))</f>
        <v/>
      </c>
    </row>
    <row r="108" ht="36.75" customHeight="1" s="60">
      <c r="A108" s="70" t="n">
        <v>1</v>
      </c>
      <c r="B108" s="71" t="n">
        <v>46175</v>
      </c>
      <c r="C108" s="71" t="n">
        <v>46176</v>
      </c>
      <c r="D108" s="70" t="n">
        <v>33</v>
      </c>
      <c r="E108" s="72" t="inlineStr">
        <is>
          <t>RENATO DE O AZEVEDO E CIA LTDA - EPP</t>
        </is>
      </c>
      <c r="F108" s="70" t="n">
        <v>34</v>
      </c>
      <c r="G108" s="72" t="inlineStr">
        <is>
          <t>Transferencia Pix</t>
        </is>
      </c>
      <c r="H108" s="70" t="n">
        <v>2110101</v>
      </c>
      <c r="I108" s="72" t="inlineStr">
        <is>
          <t>FORNECEDORES DE MERCADORIA</t>
        </is>
      </c>
      <c r="J108" s="70" t="n">
        <v>1194018</v>
      </c>
      <c r="L108" s="70" t="n">
        <v>496770</v>
      </c>
      <c r="M108" s="72" t="inlineStr">
        <is>
          <t>01</t>
        </is>
      </c>
      <c r="N108" s="72" t="inlineStr">
        <is>
          <t>AVU</t>
        </is>
      </c>
      <c r="P108" s="70" t="n">
        <v>104</v>
      </c>
      <c r="Q108" s="72" t="inlineStr">
        <is>
          <t>DEBORA COSTA</t>
        </is>
      </c>
      <c r="R108" s="72" t="inlineStr">
        <is>
          <t>ESTOQUE DE MERCADORIAS</t>
        </is>
      </c>
      <c r="S108" s="70" t="n">
        <v>1130101</v>
      </c>
      <c r="T108" s="72" t="inlineStr">
        <is>
          <t>MERCADORIAS P/REVENDA</t>
        </is>
      </c>
      <c r="U108" s="73" t="n">
        <v>70</v>
      </c>
      <c r="W108" s="73" t="n">
        <v>0</v>
      </c>
      <c r="X108" s="72" t="inlineStr">
        <is>
          <t>CAMARAO COM CASCA - FEIRA CARLOS</t>
        </is>
      </c>
      <c r="Z108" s="59">
        <f>IF($T108="","",IFERROR(INDEX('Resumo Grupos'!$AC$3:$AC$200,MATCH($T108,'Resumo Grupos'!$AB$3:$AB$200,0)),"n/d"))</f>
        <v/>
      </c>
      <c r="AA108" s="59">
        <f>IF($T108="","",IF(COUNTIF('Resumo Grupos'!$AE$3:$AE$40,$T108)&gt;0,"NAO","SIM"))</f>
        <v/>
      </c>
    </row>
    <row r="109" ht="36.75" customHeight="1" s="60">
      <c r="A109" s="70" t="n">
        <v>1</v>
      </c>
      <c r="B109" s="71" t="n">
        <v>46176</v>
      </c>
      <c r="C109" s="71" t="n">
        <v>46176</v>
      </c>
      <c r="D109" s="70" t="n">
        <v>1807</v>
      </c>
      <c r="E109" s="72" t="inlineStr">
        <is>
          <t>SEFAZ DAR</t>
        </is>
      </c>
      <c r="F109" s="70" t="n">
        <v>24</v>
      </c>
      <c r="G109" s="72" t="inlineStr">
        <is>
          <t>Compra a Prazo - Boletos</t>
        </is>
      </c>
      <c r="H109" s="70" t="n">
        <v>2110405</v>
      </c>
      <c r="I109" s="72" t="inlineStr">
        <is>
          <t>CONTAS A PAGAR</t>
        </is>
      </c>
      <c r="J109" s="70" t="n">
        <v>1197742</v>
      </c>
      <c r="L109" s="70" t="n">
        <v>526527466</v>
      </c>
      <c r="M109" s="72" t="inlineStr">
        <is>
          <t>01</t>
        </is>
      </c>
      <c r="N109" s="72" t="inlineStr">
        <is>
          <t>AVU</t>
        </is>
      </c>
      <c r="P109" s="70" t="n">
        <v>101</v>
      </c>
      <c r="Q109" s="72" t="inlineStr">
        <is>
          <t>KEILA LIMA</t>
        </is>
      </c>
      <c r="R109" s="72" t="inlineStr">
        <is>
          <t>DESPESAS A APROPRIAR</t>
        </is>
      </c>
      <c r="S109" s="70" t="n">
        <v>1140105</v>
      </c>
      <c r="T109" s="72" t="inlineStr">
        <is>
          <t>IMPOSTOS E TAXAS A APROPRIAR</t>
        </is>
      </c>
      <c r="U109" s="73" t="n">
        <v>50</v>
      </c>
      <c r="W109" s="73" t="n">
        <v>0</v>
      </c>
      <c r="X109" s="72" t="inlineStr">
        <is>
          <t>DESEMBARACO NF GETNET MO1 - KEILA</t>
        </is>
      </c>
      <c r="Z109" s="59">
        <f>IF($T109="","",IFERROR(INDEX('Resumo Grupos'!$AC$3:$AC$200,MATCH($T109,'Resumo Grupos'!$AB$3:$AB$200,0)),"n/d"))</f>
        <v/>
      </c>
      <c r="AA109" s="59">
        <f>IF($T109="","",IF(COUNTIF('Resumo Grupos'!$AE$3:$AE$40,$T109)&gt;0,"NAO","SIM"))</f>
        <v/>
      </c>
    </row>
    <row r="110" ht="36.75" customHeight="1" s="60">
      <c r="A110" s="70" t="n">
        <v>1</v>
      </c>
      <c r="B110" s="71" t="n">
        <v>46176</v>
      </c>
      <c r="C110" s="71" t="n">
        <v>46176</v>
      </c>
      <c r="D110" s="70" t="n">
        <v>1807</v>
      </c>
      <c r="E110" s="72" t="inlineStr">
        <is>
          <t>SEFAZ DAR</t>
        </is>
      </c>
      <c r="F110" s="70" t="n">
        <v>24</v>
      </c>
      <c r="G110" s="72" t="inlineStr">
        <is>
          <t>Compra a Prazo - Boletos</t>
        </is>
      </c>
      <c r="H110" s="70" t="n">
        <v>2110405</v>
      </c>
      <c r="I110" s="72" t="inlineStr">
        <is>
          <t>CONTAS A PAGAR</t>
        </is>
      </c>
      <c r="J110" s="70" t="n">
        <v>1197753</v>
      </c>
      <c r="L110" s="70" t="n">
        <v>498298</v>
      </c>
      <c r="M110" s="72" t="inlineStr">
        <is>
          <t>01</t>
        </is>
      </c>
      <c r="N110" s="72" t="inlineStr">
        <is>
          <t>AVU</t>
        </is>
      </c>
      <c r="P110" s="70" t="n">
        <v>101</v>
      </c>
      <c r="Q110" s="72" t="inlineStr">
        <is>
          <t>KEILA LIMA</t>
        </is>
      </c>
      <c r="R110" s="72" t="inlineStr">
        <is>
          <t>DESPESAS A APROPRIAR</t>
        </is>
      </c>
      <c r="S110" s="70" t="n">
        <v>1140105</v>
      </c>
      <c r="T110" s="72" t="inlineStr">
        <is>
          <t>IMPOSTOS E TAXAS A APROPRIAR</t>
        </is>
      </c>
      <c r="U110" s="73" t="n">
        <v>50</v>
      </c>
      <c r="W110" s="73" t="n">
        <v>0</v>
      </c>
      <c r="X110" s="72" t="inlineStr">
        <is>
          <t>DESEMBARACO NF GET MO1</t>
        </is>
      </c>
      <c r="Z110" s="59">
        <f>IF($T110="","",IFERROR(INDEX('Resumo Grupos'!$AC$3:$AC$200,MATCH($T110,'Resumo Grupos'!$AB$3:$AB$200,0)),"n/d"))</f>
        <v/>
      </c>
      <c r="AA110" s="59">
        <f>IF($T110="","",IF(COUNTIF('Resumo Grupos'!$AE$3:$AE$40,$T110)&gt;0,"NAO","SIM"))</f>
        <v/>
      </c>
    </row>
    <row r="111" ht="54.75" customHeight="1" s="60">
      <c r="A111" s="70" t="n">
        <v>1</v>
      </c>
      <c r="B111" s="71" t="n">
        <v>46176</v>
      </c>
      <c r="C111" s="71" t="n">
        <v>46176</v>
      </c>
      <c r="D111" s="70" t="n">
        <v>978</v>
      </c>
      <c r="E111" s="72" t="inlineStr">
        <is>
          <t>GELO DANGELO FABRICACAO DE GELO LTDA</t>
        </is>
      </c>
      <c r="F111" s="70" t="n">
        <v>13</v>
      </c>
      <c r="G111" s="72" t="inlineStr">
        <is>
          <t>Compra a Vista</t>
        </is>
      </c>
      <c r="H111" s="70" t="n">
        <v>2110101</v>
      </c>
      <c r="I111" s="72" t="inlineStr">
        <is>
          <t>FORNECEDORES DE MERCADORIA</t>
        </is>
      </c>
      <c r="J111" s="70" t="n">
        <v>1206718</v>
      </c>
      <c r="L111" s="70" t="n">
        <v>243</v>
      </c>
      <c r="M111" s="72" t="inlineStr">
        <is>
          <t>01</t>
        </is>
      </c>
      <c r="N111" s="72" t="inlineStr">
        <is>
          <t>NFE</t>
        </is>
      </c>
      <c r="P111" s="70" t="n">
        <v>104</v>
      </c>
      <c r="Q111" s="72" t="inlineStr">
        <is>
          <t>DEBORA COSTA</t>
        </is>
      </c>
      <c r="R111" s="72" t="inlineStr">
        <is>
          <t>ESTOQUE DE MERCADORIAS</t>
        </is>
      </c>
      <c r="S111" s="70" t="n">
        <v>1130101</v>
      </c>
      <c r="T111" s="72" t="inlineStr">
        <is>
          <t>MERCADORIAS P/REVENDA</t>
        </is>
      </c>
      <c r="U111" s="73" t="n">
        <v>370.5</v>
      </c>
      <c r="W111" s="73" t="n">
        <v>0</v>
      </c>
      <c r="X111" s="72" t="inlineStr">
        <is>
          <t>NF 243 - DEBORA</t>
        </is>
      </c>
      <c r="Z111" s="59">
        <f>IF($T111="","",IFERROR(INDEX('Resumo Grupos'!$AC$3:$AC$200,MATCH($T111,'Resumo Grupos'!$AB$3:$AB$200,0)),"n/d"))</f>
        <v/>
      </c>
      <c r="AA111" s="59">
        <f>IF($T111="","",IF(COUNTIF('Resumo Grupos'!$AE$3:$AE$40,$T111)&gt;0,"NAO","SIM"))</f>
        <v/>
      </c>
    </row>
    <row r="112" ht="36.75" customHeight="1" s="60">
      <c r="A112" s="70" t="n">
        <v>1</v>
      </c>
      <c r="B112" s="71" t="n">
        <v>46176</v>
      </c>
      <c r="C112" s="71" t="n">
        <v>46176</v>
      </c>
      <c r="D112" s="70" t="n">
        <v>1038</v>
      </c>
      <c r="E112" s="72" t="inlineStr">
        <is>
          <t>MANOEL TEXEIRA DE SOUZA RESTAURANTE</t>
        </is>
      </c>
      <c r="F112" s="70" t="n">
        <v>13</v>
      </c>
      <c r="G112" s="72" t="inlineStr">
        <is>
          <t>Compra a Vista</t>
        </is>
      </c>
      <c r="H112" s="70" t="n">
        <v>2110101</v>
      </c>
      <c r="I112" s="72" t="inlineStr">
        <is>
          <t>FORNECEDORES DE MERCADORIA</t>
        </is>
      </c>
      <c r="J112" s="70" t="n">
        <v>1228376</v>
      </c>
      <c r="L112" s="70" t="n">
        <v>5936</v>
      </c>
      <c r="M112" s="72" t="inlineStr">
        <is>
          <t>01</t>
        </is>
      </c>
      <c r="N112" s="72" t="inlineStr">
        <is>
          <t>NFE</t>
        </is>
      </c>
      <c r="P112" s="70" t="n">
        <v>104</v>
      </c>
      <c r="Q112" s="72" t="inlineStr">
        <is>
          <t>DEBORA COSTA</t>
        </is>
      </c>
      <c r="R112" s="72" t="inlineStr">
        <is>
          <t>ESTOQUE DE MERCADORIAS</t>
        </is>
      </c>
      <c r="S112" s="70" t="n">
        <v>1130101</v>
      </c>
      <c r="T112" s="72" t="inlineStr">
        <is>
          <t>MERCADORIAS P/REVENDA</t>
        </is>
      </c>
      <c r="U112" s="73" t="n">
        <v>720</v>
      </c>
      <c r="W112" s="73" t="n">
        <v>0</v>
      </c>
      <c r="X112" s="72" t="inlineStr">
        <is>
          <t>NF 5936 - DEBORA</t>
        </is>
      </c>
      <c r="Z112" s="59">
        <f>IF($T112="","",IFERROR(INDEX('Resumo Grupos'!$AC$3:$AC$200,MATCH($T112,'Resumo Grupos'!$AB$3:$AB$200,0)),"n/d"))</f>
        <v/>
      </c>
      <c r="AA112" s="59">
        <f>IF($T112="","",IF(COUNTIF('Resumo Grupos'!$AE$3:$AE$40,$T112)&gt;0,"NAO","SIM"))</f>
        <v/>
      </c>
    </row>
    <row r="113" ht="45.75" customHeight="1" s="60">
      <c r="A113" s="70" t="n">
        <v>1</v>
      </c>
      <c r="B113" s="71" t="n">
        <v>46239</v>
      </c>
      <c r="C113" s="71" t="n">
        <v>46176</v>
      </c>
      <c r="D113" s="70" t="n">
        <v>557</v>
      </c>
      <c r="E113" s="72" t="inlineStr">
        <is>
          <t xml:space="preserve">CONTA VIVO </t>
        </is>
      </c>
      <c r="F113" s="70" t="n">
        <v>34</v>
      </c>
      <c r="G113" s="72" t="inlineStr">
        <is>
          <t>Transferencia Pix</t>
        </is>
      </c>
      <c r="H113" s="70" t="n">
        <v>2110405</v>
      </c>
      <c r="I113" s="72" t="inlineStr">
        <is>
          <t>CONTAS A PAGAR</t>
        </is>
      </c>
      <c r="J113" s="70" t="n">
        <v>1122744</v>
      </c>
      <c r="L113" s="70" t="n">
        <v>469459</v>
      </c>
      <c r="M113" s="72" t="inlineStr">
        <is>
          <t>03</t>
        </is>
      </c>
      <c r="N113" s="72" t="inlineStr">
        <is>
          <t>AVU</t>
        </is>
      </c>
      <c r="P113" s="70" t="n">
        <v>102</v>
      </c>
      <c r="Q113" s="72" t="inlineStr">
        <is>
          <t>ANDREZA ANDRADE</t>
        </is>
      </c>
      <c r="R113" s="72" t="inlineStr">
        <is>
          <t>DESPESAS OPERACIONAIS</t>
        </is>
      </c>
      <c r="S113" s="70" t="n">
        <v>4210206</v>
      </c>
      <c r="T113" s="72" t="inlineStr">
        <is>
          <t>TELEFONE</t>
        </is>
      </c>
      <c r="U113" s="73" t="n">
        <v>258.62</v>
      </c>
      <c r="W113" s="73" t="n">
        <v>0</v>
      </c>
      <c r="X113" s="72" t="inlineStr">
        <is>
          <t>VIVO MO1 -ANDREZA</t>
        </is>
      </c>
      <c r="Z113" s="59">
        <f>IF($T113="","",IFERROR(INDEX('Resumo Grupos'!$AC$3:$AC$200,MATCH($T113,'Resumo Grupos'!$AB$3:$AB$200,0)),"n/d"))</f>
        <v/>
      </c>
      <c r="AA113" s="59">
        <f>IF($T113="","",IF(COUNTIF('Resumo Grupos'!$AE$3:$AE$40,$T113)&gt;0,"NAO","SIM"))</f>
        <v/>
      </c>
    </row>
    <row r="114" ht="36.75" customHeight="1" s="60">
      <c r="A114" s="70" t="n">
        <v>1</v>
      </c>
      <c r="B114" s="71" t="n">
        <v>46109</v>
      </c>
      <c r="C114" s="71" t="n">
        <v>46177</v>
      </c>
      <c r="D114" s="70" t="n">
        <v>957</v>
      </c>
      <c r="E114" s="72" t="inlineStr">
        <is>
          <t>FUNNY PET DISTRIBUIDORA DE ALIMENTOS PAR</t>
        </is>
      </c>
      <c r="F114" s="70" t="n">
        <v>24</v>
      </c>
      <c r="G114" s="72" t="inlineStr">
        <is>
          <t>Compra a Prazo - Boletos</t>
        </is>
      </c>
      <c r="H114" s="70" t="n">
        <v>2110101</v>
      </c>
      <c r="I114" s="72" t="inlineStr">
        <is>
          <t>FORNECEDORES DE MERCADORIA</t>
        </is>
      </c>
      <c r="J114" s="70" t="n">
        <v>866324</v>
      </c>
      <c r="L114" s="70" t="n">
        <v>18438</v>
      </c>
      <c r="M114" s="72" t="inlineStr">
        <is>
          <t>05</t>
        </is>
      </c>
      <c r="N114" s="72" t="inlineStr">
        <is>
          <t>NFE</t>
        </is>
      </c>
      <c r="P114" s="70" t="n">
        <v>103</v>
      </c>
      <c r="Q114" s="72" t="inlineStr">
        <is>
          <t>MILKA FRANCIS</t>
        </is>
      </c>
      <c r="R114" s="72" t="inlineStr">
        <is>
          <t>ESTOQUE DE MERCADORIAS</t>
        </is>
      </c>
      <c r="S114" s="70" t="n">
        <v>1130101</v>
      </c>
      <c r="T114" s="72" t="inlineStr">
        <is>
          <t>MERCADORIAS P/REVENDA</t>
        </is>
      </c>
      <c r="U114" s="73" t="n">
        <v>3286.21</v>
      </c>
      <c r="W114" s="73" t="n">
        <v>0</v>
      </c>
      <c r="X114" s="72" t="inlineStr">
        <is>
          <t>NF 18438-5 MILKA</t>
        </is>
      </c>
      <c r="Z114" s="59">
        <f>IF($T114="","",IFERROR(INDEX('Resumo Grupos'!$AC$3:$AC$200,MATCH($T114,'Resumo Grupos'!$AB$3:$AB$200,0)),"n/d"))</f>
        <v/>
      </c>
      <c r="AA114" s="59">
        <f>IF($T114="","",IF(COUNTIF('Resumo Grupos'!$AE$3:$AE$40,$T114)&gt;0,"NAO","SIM"))</f>
        <v/>
      </c>
    </row>
    <row r="115" ht="45.75" customHeight="1" s="60">
      <c r="A115" s="70" t="n">
        <v>1</v>
      </c>
      <c r="B115" s="71" t="n">
        <v>46118</v>
      </c>
      <c r="C115" s="71" t="n">
        <v>46177</v>
      </c>
      <c r="D115" s="70" t="n">
        <v>816</v>
      </c>
      <c r="E115" s="72" t="inlineStr">
        <is>
          <t>AUGUSTA - JUROS EMPRESTIMO</t>
        </is>
      </c>
      <c r="F115" s="70" t="n">
        <v>34</v>
      </c>
      <c r="G115" s="72" t="inlineStr">
        <is>
          <t>Transferencia Pix</t>
        </is>
      </c>
      <c r="H115" s="70" t="n">
        <v>2110405</v>
      </c>
      <c r="I115" s="72" t="inlineStr">
        <is>
          <t>CONTAS A PAGAR</t>
        </is>
      </c>
      <c r="J115" s="70" t="n">
        <v>911210</v>
      </c>
      <c r="L115" s="70" t="n">
        <v>388302</v>
      </c>
      <c r="M115" s="72" t="inlineStr">
        <is>
          <t>03</t>
        </is>
      </c>
      <c r="N115" s="72" t="inlineStr">
        <is>
          <t>AVU</t>
        </is>
      </c>
      <c r="P115" s="70" t="n">
        <v>101</v>
      </c>
      <c r="Q115" s="72" t="inlineStr">
        <is>
          <t>KEILA LIMA</t>
        </is>
      </c>
      <c r="R115" s="72" t="inlineStr">
        <is>
          <t>DESPESAS NAO OPERACIONAIS</t>
        </is>
      </c>
      <c r="S115" s="70" t="n">
        <v>4220199</v>
      </c>
      <c r="T115" s="72" t="inlineStr">
        <is>
          <t>PAGAMENTOS OUTROS NAO OPERACIONAIS</t>
        </is>
      </c>
      <c r="U115" s="73" t="n">
        <v>2000</v>
      </c>
      <c r="W115" s="73" t="n">
        <v>0</v>
      </c>
      <c r="X115" s="72" t="inlineStr">
        <is>
          <t xml:space="preserve">JUROS EMPRESTIMO AUGUSTA MO3 E MO4 </t>
        </is>
      </c>
      <c r="Z115" s="59">
        <f>IF($T115="","",IFERROR(INDEX('Resumo Grupos'!$AC$3:$AC$200,MATCH($T115,'Resumo Grupos'!$AB$3:$AB$200,0)),"n/d"))</f>
        <v/>
      </c>
      <c r="AA115" s="59">
        <f>IF($T115="","",IF(COUNTIF('Resumo Grupos'!$AE$3:$AE$40,$T115)&gt;0,"NAO","SIM"))</f>
        <v/>
      </c>
    </row>
    <row r="116" ht="36.75" customHeight="1" s="60">
      <c r="A116" s="70" t="n">
        <v>1</v>
      </c>
      <c r="B116" s="71" t="n">
        <v>46150</v>
      </c>
      <c r="C116" s="71" t="n">
        <v>46177</v>
      </c>
      <c r="D116" s="70" t="n">
        <v>1921</v>
      </c>
      <c r="E116" s="72" t="inlineStr">
        <is>
          <t>BF COMERCIO DE ALIMENTOS REPRESENTACAO L</t>
        </is>
      </c>
      <c r="F116" s="70" t="n">
        <v>24</v>
      </c>
      <c r="G116" s="72" t="inlineStr">
        <is>
          <t>Compra a Prazo - Boletos</t>
        </is>
      </c>
      <c r="H116" s="70" t="n">
        <v>2110101</v>
      </c>
      <c r="I116" s="72" t="inlineStr">
        <is>
          <t>FORNECEDORES DE MERCADORIA</t>
        </is>
      </c>
      <c r="J116" s="70" t="n">
        <v>1065307</v>
      </c>
      <c r="L116" s="70" t="n">
        <v>20661</v>
      </c>
      <c r="M116" s="72" t="inlineStr">
        <is>
          <t>01</t>
        </is>
      </c>
      <c r="N116" s="72" t="inlineStr">
        <is>
          <t>NFE</t>
        </is>
      </c>
      <c r="P116" s="70" t="n">
        <v>103</v>
      </c>
      <c r="Q116" s="72" t="inlineStr">
        <is>
          <t>MILKA FRANCIS</t>
        </is>
      </c>
      <c r="R116" s="72" t="inlineStr">
        <is>
          <t>ESTOQUE DE MERCADORIAS</t>
        </is>
      </c>
      <c r="S116" s="70" t="n">
        <v>1130101</v>
      </c>
      <c r="T116" s="72" t="inlineStr">
        <is>
          <t>MERCADORIAS P/REVENDA</t>
        </is>
      </c>
      <c r="U116" s="73" t="n">
        <v>1086.95</v>
      </c>
      <c r="W116" s="73" t="n">
        <v>0</v>
      </c>
      <c r="X116" s="72" t="inlineStr">
        <is>
          <t>NF 20661 - MILKA</t>
        </is>
      </c>
      <c r="Z116" s="59">
        <f>IF($T116="","",IFERROR(INDEX('Resumo Grupos'!$AC$3:$AC$200,MATCH($T116,'Resumo Grupos'!$AB$3:$AB$200,0)),"n/d"))</f>
        <v/>
      </c>
      <c r="AA116" s="59">
        <f>IF($T116="","",IF(COUNTIF('Resumo Grupos'!$AE$3:$AE$40,$T116)&gt;0,"NAO","SIM"))</f>
        <v/>
      </c>
    </row>
    <row r="117" ht="45.75" customHeight="1" s="60">
      <c r="A117" s="70" t="n">
        <v>1</v>
      </c>
      <c r="B117" s="71" t="n">
        <v>46156</v>
      </c>
      <c r="C117" s="71" t="n">
        <v>46177</v>
      </c>
      <c r="D117" s="70" t="n">
        <v>1665</v>
      </c>
      <c r="E117" s="72" t="inlineStr">
        <is>
          <t>H.V.M. XAVIER ALIMENTOS</t>
        </is>
      </c>
      <c r="F117" s="70" t="n">
        <v>24</v>
      </c>
      <c r="G117" s="72" t="inlineStr">
        <is>
          <t>Compra a Prazo - Boletos</t>
        </is>
      </c>
      <c r="H117" s="70" t="n">
        <v>2110101</v>
      </c>
      <c r="I117" s="72" t="inlineStr">
        <is>
          <t>FORNECEDORES DE MERCADORIA</t>
        </is>
      </c>
      <c r="J117" s="70" t="n">
        <v>1097658</v>
      </c>
      <c r="L117" s="70" t="n">
        <v>130776</v>
      </c>
      <c r="M117" s="72" t="inlineStr">
        <is>
          <t>01</t>
        </is>
      </c>
      <c r="N117" s="72" t="inlineStr">
        <is>
          <t>NFE</t>
        </is>
      </c>
      <c r="P117" s="70" t="n">
        <v>103</v>
      </c>
      <c r="Q117" s="72" t="inlineStr">
        <is>
          <t>MILKA FRANCIS</t>
        </is>
      </c>
      <c r="R117" s="72" t="inlineStr">
        <is>
          <t>ESTOQUE DE MERCADORIAS</t>
        </is>
      </c>
      <c r="S117" s="70" t="n">
        <v>1130101</v>
      </c>
      <c r="T117" s="72" t="inlineStr">
        <is>
          <t>MERCADORIAS P/REVENDA</t>
        </is>
      </c>
      <c r="U117" s="73" t="n">
        <v>751.8</v>
      </c>
      <c r="W117" s="73" t="n">
        <v>0</v>
      </c>
      <c r="X117" s="72" t="inlineStr">
        <is>
          <t>NF 130776 - MILKA</t>
        </is>
      </c>
      <c r="Z117" s="59">
        <f>IF($T117="","",IFERROR(INDEX('Resumo Grupos'!$AC$3:$AC$200,MATCH($T117,'Resumo Grupos'!$AB$3:$AB$200,0)),"n/d"))</f>
        <v/>
      </c>
      <c r="AA117" s="59">
        <f>IF($T117="","",IF(COUNTIF('Resumo Grupos'!$AE$3:$AE$40,$T117)&gt;0,"NAO","SIM"))</f>
        <v/>
      </c>
    </row>
    <row r="118" ht="36.75" customHeight="1" s="60">
      <c r="A118" s="70" t="n">
        <v>1</v>
      </c>
      <c r="B118" s="71" t="n">
        <v>46158</v>
      </c>
      <c r="C118" s="71" t="n">
        <v>46177</v>
      </c>
      <c r="D118" s="70" t="n">
        <v>1810</v>
      </c>
      <c r="E118" s="72" t="inlineStr">
        <is>
          <t>NJF INDUSTRIA E COMERCIO LTDA</t>
        </is>
      </c>
      <c r="F118" s="70" t="n">
        <v>24</v>
      </c>
      <c r="G118" s="72" t="inlineStr">
        <is>
          <t>Compra a Prazo - Boletos</t>
        </is>
      </c>
      <c r="H118" s="70" t="n">
        <v>2110101</v>
      </c>
      <c r="I118" s="72" t="inlineStr">
        <is>
          <t>FORNECEDORES DE MERCADORIA</t>
        </is>
      </c>
      <c r="J118" s="70" t="n">
        <v>1106927</v>
      </c>
      <c r="L118" s="70" t="n">
        <v>81794</v>
      </c>
      <c r="M118" s="72" t="inlineStr">
        <is>
          <t>02</t>
        </is>
      </c>
      <c r="N118" s="72" t="inlineStr">
        <is>
          <t>NFE</t>
        </is>
      </c>
      <c r="P118" s="70" t="n">
        <v>103</v>
      </c>
      <c r="Q118" s="72" t="inlineStr">
        <is>
          <t>MILKA FRANCIS</t>
        </is>
      </c>
      <c r="R118" s="72" t="inlineStr">
        <is>
          <t>ESTOQUE DE MERCADORIAS</t>
        </is>
      </c>
      <c r="S118" s="70" t="n">
        <v>1130101</v>
      </c>
      <c r="T118" s="72" t="inlineStr">
        <is>
          <t>MERCADORIAS P/REVENDA</t>
        </is>
      </c>
      <c r="U118" s="73" t="n">
        <v>1268</v>
      </c>
      <c r="W118" s="73" t="n">
        <v>0</v>
      </c>
      <c r="X118" s="72" t="inlineStr">
        <is>
          <t>NF 81794-2 MILKA</t>
        </is>
      </c>
      <c r="Z118" s="59">
        <f>IF($T118="","",IFERROR(INDEX('Resumo Grupos'!$AC$3:$AC$200,MATCH($T118,'Resumo Grupos'!$AB$3:$AB$200,0)),"n/d"))</f>
        <v/>
      </c>
      <c r="AA118" s="59">
        <f>IF($T118="","",IF(COUNTIF('Resumo Grupos'!$AE$3:$AE$40,$T118)&gt;0,"NAO","SIM"))</f>
        <v/>
      </c>
    </row>
    <row r="119" ht="63.75" customHeight="1" s="60">
      <c r="A119" s="70" t="n">
        <v>1</v>
      </c>
      <c r="B119" s="71" t="n">
        <v>46158</v>
      </c>
      <c r="C119" s="71" t="n">
        <v>46177</v>
      </c>
      <c r="D119" s="70" t="n">
        <v>1624</v>
      </c>
      <c r="E119" s="72" t="inlineStr">
        <is>
          <t>RISADINHA LTDA</t>
        </is>
      </c>
      <c r="F119" s="70" t="n">
        <v>24</v>
      </c>
      <c r="G119" s="72" t="inlineStr">
        <is>
          <t>Compra a Prazo - Boletos</t>
        </is>
      </c>
      <c r="H119" s="70" t="n">
        <v>2110101</v>
      </c>
      <c r="I119" s="72" t="inlineStr">
        <is>
          <t>FORNECEDORES DE MERCADORIA</t>
        </is>
      </c>
      <c r="J119" s="70" t="n">
        <v>1107368</v>
      </c>
      <c r="L119" s="70" t="n">
        <v>653787</v>
      </c>
      <c r="M119" s="72" t="inlineStr">
        <is>
          <t>01</t>
        </is>
      </c>
      <c r="N119" s="72" t="inlineStr">
        <is>
          <t>NFE</t>
        </is>
      </c>
      <c r="P119" s="70" t="n">
        <v>103</v>
      </c>
      <c r="Q119" s="72" t="inlineStr">
        <is>
          <t>MILKA FRANCIS</t>
        </is>
      </c>
      <c r="R119" s="72" t="inlineStr">
        <is>
          <t>ESTOQUE DE MERCADORIAS</t>
        </is>
      </c>
      <c r="S119" s="70" t="n">
        <v>1130101</v>
      </c>
      <c r="T119" s="72" t="inlineStr">
        <is>
          <t>MERCADORIAS P/REVENDA</t>
        </is>
      </c>
      <c r="U119" s="73" t="n">
        <v>2249.88</v>
      </c>
      <c r="W119" s="73" t="n">
        <v>0</v>
      </c>
      <c r="X119" s="72" t="inlineStr">
        <is>
          <t>NF 653787 - 1 MILKA</t>
        </is>
      </c>
      <c r="Z119" s="59">
        <f>IF($T119="","",IFERROR(INDEX('Resumo Grupos'!$AC$3:$AC$200,MATCH($T119,'Resumo Grupos'!$AB$3:$AB$200,0)),"n/d"))</f>
        <v/>
      </c>
      <c r="AA119" s="59">
        <f>IF($T119="","",IF(COUNTIF('Resumo Grupos'!$AE$3:$AE$40,$T119)&gt;0,"NAO","SIM"))</f>
        <v/>
      </c>
    </row>
    <row r="120" ht="45.75" customHeight="1" s="60">
      <c r="A120" s="70" t="n">
        <v>1</v>
      </c>
      <c r="B120" s="71" t="n">
        <v>46161</v>
      </c>
      <c r="C120" s="71" t="n">
        <v>46177</v>
      </c>
      <c r="D120" s="70" t="n">
        <v>1745</v>
      </c>
      <c r="E120" s="72" t="inlineStr">
        <is>
          <t>TRES CORACOES ALIMENTOS S.A.</t>
        </is>
      </c>
      <c r="F120" s="70" t="n">
        <v>24</v>
      </c>
      <c r="G120" s="72" t="inlineStr">
        <is>
          <t>Compra a Prazo - Boletos</t>
        </is>
      </c>
      <c r="H120" s="70" t="n">
        <v>2110101</v>
      </c>
      <c r="I120" s="72" t="inlineStr">
        <is>
          <t>FORNECEDORES DE MERCADORIA</t>
        </is>
      </c>
      <c r="J120" s="70" t="n">
        <v>1122700</v>
      </c>
      <c r="L120" s="70" t="n">
        <v>341630</v>
      </c>
      <c r="M120" s="72" t="inlineStr">
        <is>
          <t>02</t>
        </is>
      </c>
      <c r="N120" s="72" t="inlineStr">
        <is>
          <t>NFE</t>
        </is>
      </c>
      <c r="P120" s="70" t="n">
        <v>103</v>
      </c>
      <c r="Q120" s="72" t="inlineStr">
        <is>
          <t>MILKA FRANCIS</t>
        </is>
      </c>
      <c r="R120" s="72" t="inlineStr">
        <is>
          <t>ESTOQUE DE MERCADORIAS</t>
        </is>
      </c>
      <c r="S120" s="70" t="n">
        <v>1130101</v>
      </c>
      <c r="T120" s="72" t="inlineStr">
        <is>
          <t>MERCADORIAS P/REVENDA</t>
        </is>
      </c>
      <c r="U120" s="73" t="n">
        <v>2468.02</v>
      </c>
      <c r="W120" s="73" t="n">
        <v>0</v>
      </c>
      <c r="X120" s="72" t="inlineStr">
        <is>
          <t>NF 341630 -2 MILKA</t>
        </is>
      </c>
      <c r="Z120" s="59">
        <f>IF($T120="","",IFERROR(INDEX('Resumo Grupos'!$AC$3:$AC$200,MATCH($T120,'Resumo Grupos'!$AB$3:$AB$200,0)),"n/d"))</f>
        <v/>
      </c>
      <c r="AA120" s="59">
        <f>IF($T120="","",IF(COUNTIF('Resumo Grupos'!$AE$3:$AE$40,$T120)&gt;0,"NAO","SIM"))</f>
        <v/>
      </c>
    </row>
    <row r="121" ht="45.75" customHeight="1" s="60">
      <c r="A121" s="70" t="n">
        <v>1</v>
      </c>
      <c r="B121" s="71" t="n">
        <v>46162</v>
      </c>
      <c r="C121" s="71" t="n">
        <v>46177</v>
      </c>
      <c r="D121" s="70" t="n">
        <v>10010</v>
      </c>
      <c r="E121" s="72" t="inlineStr">
        <is>
          <t>VIA CERTA INDUSTRIA E COMERCIO DE SANEANTES LTDA</t>
        </is>
      </c>
      <c r="F121" s="70" t="n">
        <v>24</v>
      </c>
      <c r="G121" s="72" t="inlineStr">
        <is>
          <t>Compra a Prazo - Boletos</t>
        </is>
      </c>
      <c r="H121" s="70" t="n">
        <v>2110101</v>
      </c>
      <c r="I121" s="72" t="inlineStr">
        <is>
          <t>FORNECEDORES DE MERCADORIA</t>
        </is>
      </c>
      <c r="J121" s="70" t="n">
        <v>1128055</v>
      </c>
      <c r="L121" s="70" t="n">
        <v>39901</v>
      </c>
      <c r="M121" s="72" t="inlineStr">
        <is>
          <t>01</t>
        </is>
      </c>
      <c r="N121" s="72" t="inlineStr">
        <is>
          <t>NFE</t>
        </is>
      </c>
      <c r="P121" s="70" t="n">
        <v>103</v>
      </c>
      <c r="Q121" s="72" t="inlineStr">
        <is>
          <t>MILKA FRANCIS</t>
        </is>
      </c>
      <c r="R121" s="72" t="inlineStr">
        <is>
          <t>ESTOQUE DE MERCADORIAS</t>
        </is>
      </c>
      <c r="S121" s="70" t="n">
        <v>1130101</v>
      </c>
      <c r="T121" s="72" t="inlineStr">
        <is>
          <t>MERCADORIAS P/REVENDA</t>
        </is>
      </c>
      <c r="U121" s="73" t="n">
        <v>550</v>
      </c>
      <c r="W121" s="73" t="n">
        <v>0</v>
      </c>
      <c r="X121" s="72" t="inlineStr">
        <is>
          <t>NF 39901 - MILKA</t>
        </is>
      </c>
      <c r="Z121" s="59">
        <f>IF($T121="","",IFERROR(INDEX('Resumo Grupos'!$AC$3:$AC$200,MATCH($T121,'Resumo Grupos'!$AB$3:$AB$200,0)),"n/d"))</f>
        <v/>
      </c>
      <c r="AA121" s="59">
        <f>IF($T121="","",IF(COUNTIF('Resumo Grupos'!$AE$3:$AE$40,$T121)&gt;0,"NAO","SIM"))</f>
        <v/>
      </c>
    </row>
    <row r="122" ht="36.75" customHeight="1" s="60">
      <c r="A122" s="70" t="n">
        <v>1</v>
      </c>
      <c r="B122" s="71" t="n">
        <v>46164</v>
      </c>
      <c r="C122" s="71" t="n">
        <v>46177</v>
      </c>
      <c r="D122" s="70" t="n">
        <v>10019</v>
      </c>
      <c r="E122" s="72" t="inlineStr">
        <is>
          <t>FALCAO INDUSTRIA DE ALIMENTOS LTDA</t>
        </is>
      </c>
      <c r="F122" s="70" t="n">
        <v>24</v>
      </c>
      <c r="G122" s="72" t="inlineStr">
        <is>
          <t>Compra a Prazo - Boletos</t>
        </is>
      </c>
      <c r="H122" s="70" t="n">
        <v>2110101</v>
      </c>
      <c r="I122" s="72" t="inlineStr">
        <is>
          <t>FORNECEDORES DE MERCADORIA</t>
        </is>
      </c>
      <c r="J122" s="70" t="n">
        <v>1135829</v>
      </c>
      <c r="L122" s="70" t="n">
        <v>29520</v>
      </c>
      <c r="M122" s="72" t="inlineStr">
        <is>
          <t>02</t>
        </is>
      </c>
      <c r="N122" s="72" t="inlineStr">
        <is>
          <t>NFE</t>
        </is>
      </c>
      <c r="P122" s="70" t="n">
        <v>103</v>
      </c>
      <c r="Q122" s="72" t="inlineStr">
        <is>
          <t>MILKA FRANCIS</t>
        </is>
      </c>
      <c r="R122" s="72" t="inlineStr">
        <is>
          <t>ESTOQUE DE MERCADORIAS</t>
        </is>
      </c>
      <c r="S122" s="70" t="n">
        <v>1130101</v>
      </c>
      <c r="T122" s="72" t="inlineStr">
        <is>
          <t>MERCADORIAS P/REVENDA</t>
        </is>
      </c>
      <c r="U122" s="73" t="n">
        <v>524.4</v>
      </c>
      <c r="W122" s="73" t="n">
        <v>0</v>
      </c>
      <c r="X122" s="72" t="inlineStr">
        <is>
          <t>75078/2  NF29520 - MILKA</t>
        </is>
      </c>
      <c r="Z122" s="59">
        <f>IF($T122="","",IFERROR(INDEX('Resumo Grupos'!$AC$3:$AC$200,MATCH($T122,'Resumo Grupos'!$AB$3:$AB$200,0)),"n/d"))</f>
        <v/>
      </c>
      <c r="AA122" s="59">
        <f>IF($T122="","",IF(COUNTIF('Resumo Grupos'!$AE$3:$AE$40,$T122)&gt;0,"NAO","SIM"))</f>
        <v/>
      </c>
    </row>
    <row r="123" ht="45.75" customHeight="1" s="60">
      <c r="A123" s="70" t="n">
        <v>1</v>
      </c>
      <c r="B123" s="71" t="n">
        <v>46164</v>
      </c>
      <c r="C123" s="71" t="n">
        <v>46177</v>
      </c>
      <c r="D123" s="70" t="n">
        <v>10019</v>
      </c>
      <c r="E123" s="72" t="inlineStr">
        <is>
          <t>FALCAO INDUSTRIA DE ALIMENTOS LTDA</t>
        </is>
      </c>
      <c r="F123" s="70" t="n">
        <v>24</v>
      </c>
      <c r="G123" s="72" t="inlineStr">
        <is>
          <t>Compra a Prazo - Boletos</t>
        </is>
      </c>
      <c r="H123" s="70" t="n">
        <v>2110101</v>
      </c>
      <c r="I123" s="72" t="inlineStr">
        <is>
          <t>FORNECEDORES DE MERCADORIA</t>
        </is>
      </c>
      <c r="J123" s="70" t="n">
        <v>1135842</v>
      </c>
      <c r="L123" s="70" t="n">
        <v>33563</v>
      </c>
      <c r="M123" s="72" t="inlineStr">
        <is>
          <t>02</t>
        </is>
      </c>
      <c r="N123" s="72" t="inlineStr">
        <is>
          <t>NFE</t>
        </is>
      </c>
      <c r="P123" s="70" t="n">
        <v>103</v>
      </c>
      <c r="Q123" s="72" t="inlineStr">
        <is>
          <t>MILKA FRANCIS</t>
        </is>
      </c>
      <c r="R123" s="72" t="inlineStr">
        <is>
          <t>ESTOQUE DE MERCADORIAS</t>
        </is>
      </c>
      <c r="S123" s="70" t="n">
        <v>1130101</v>
      </c>
      <c r="T123" s="72" t="inlineStr">
        <is>
          <t>MERCADORIAS P/REVENDA</t>
        </is>
      </c>
      <c r="U123" s="73" t="n">
        <v>1708.3</v>
      </c>
      <c r="W123" s="73" t="n">
        <v>0</v>
      </c>
      <c r="X123" s="72" t="inlineStr">
        <is>
          <t>75077/2 NF33563 - MILKA</t>
        </is>
      </c>
      <c r="Z123" s="59">
        <f>IF($T123="","",IFERROR(INDEX('Resumo Grupos'!$AC$3:$AC$200,MATCH($T123,'Resumo Grupos'!$AB$3:$AB$200,0)),"n/d"))</f>
        <v/>
      </c>
      <c r="AA123" s="59">
        <f>IF($T123="","",IF(COUNTIF('Resumo Grupos'!$AE$3:$AE$40,$T123)&gt;0,"NAO","SIM"))</f>
        <v/>
      </c>
    </row>
    <row r="124" ht="45.75" customHeight="1" s="60">
      <c r="A124" s="70" t="n">
        <v>1</v>
      </c>
      <c r="B124" s="71" t="n">
        <v>46164</v>
      </c>
      <c r="C124" s="71" t="n">
        <v>46177</v>
      </c>
      <c r="D124" s="70" t="n">
        <v>10002</v>
      </c>
      <c r="E124" s="72" t="inlineStr">
        <is>
          <t>DA FRUTA DISTRIBUIDORA LTDA</t>
        </is>
      </c>
      <c r="F124" s="70" t="n">
        <v>24</v>
      </c>
      <c r="G124" s="72" t="inlineStr">
        <is>
          <t>Compra a Prazo - Boletos</t>
        </is>
      </c>
      <c r="H124" s="70" t="n">
        <v>2110101</v>
      </c>
      <c r="I124" s="72" t="inlineStr">
        <is>
          <t>FORNECEDORES DE MERCADORIA</t>
        </is>
      </c>
      <c r="J124" s="70" t="n">
        <v>1135955</v>
      </c>
      <c r="L124" s="70" t="n">
        <v>195283</v>
      </c>
      <c r="M124" s="72" t="inlineStr">
        <is>
          <t>01</t>
        </is>
      </c>
      <c r="N124" s="72" t="inlineStr">
        <is>
          <t>NFE</t>
        </is>
      </c>
      <c r="P124" s="70" t="n">
        <v>103</v>
      </c>
      <c r="Q124" s="72" t="inlineStr">
        <is>
          <t>MILKA FRANCIS</t>
        </is>
      </c>
      <c r="R124" s="72" t="inlineStr">
        <is>
          <t>ESTOQUE DE MERCADORIAS</t>
        </is>
      </c>
      <c r="S124" s="70" t="n">
        <v>1130101</v>
      </c>
      <c r="T124" s="72" t="inlineStr">
        <is>
          <t>MERCADORIAS P/REVENDA</t>
        </is>
      </c>
      <c r="U124" s="73" t="n">
        <v>694.4400000000001</v>
      </c>
      <c r="W124" s="73" t="n">
        <v>0</v>
      </c>
      <c r="X124" s="72" t="inlineStr">
        <is>
          <t>NF 195283 - MILKA</t>
        </is>
      </c>
      <c r="Z124" s="59">
        <f>IF($T124="","",IFERROR(INDEX('Resumo Grupos'!$AC$3:$AC$200,MATCH($T124,'Resumo Grupos'!$AB$3:$AB$200,0)),"n/d"))</f>
        <v/>
      </c>
      <c r="AA124" s="59">
        <f>IF($T124="","",IF(COUNTIF('Resumo Grupos'!$AE$3:$AE$40,$T124)&gt;0,"NAO","SIM"))</f>
        <v/>
      </c>
    </row>
    <row r="125" ht="27.75" customHeight="1" s="60">
      <c r="A125" s="70" t="n">
        <v>1</v>
      </c>
      <c r="B125" s="71" t="n">
        <v>46164</v>
      </c>
      <c r="C125" s="71" t="n">
        <v>46177</v>
      </c>
      <c r="D125" s="70" t="n">
        <v>10002</v>
      </c>
      <c r="E125" s="72" t="inlineStr">
        <is>
          <t>DA FRUTA DISTRIBUIDORA LTDA</t>
        </is>
      </c>
      <c r="F125" s="70" t="n">
        <v>24</v>
      </c>
      <c r="G125" s="72" t="inlineStr">
        <is>
          <t>Compra a Prazo - Boletos</t>
        </is>
      </c>
      <c r="H125" s="70" t="n">
        <v>2110101</v>
      </c>
      <c r="I125" s="72" t="inlineStr">
        <is>
          <t>FORNECEDORES DE MERCADORIA</t>
        </is>
      </c>
      <c r="J125" s="70" t="n">
        <v>1136291</v>
      </c>
      <c r="L125" s="70" t="n">
        <v>195282</v>
      </c>
      <c r="M125" s="72" t="inlineStr">
        <is>
          <t>01</t>
        </is>
      </c>
      <c r="N125" s="72" t="inlineStr">
        <is>
          <t>NFE</t>
        </is>
      </c>
      <c r="P125" s="70" t="n">
        <v>103</v>
      </c>
      <c r="Q125" s="72" t="inlineStr">
        <is>
          <t>MILKA FRANCIS</t>
        </is>
      </c>
      <c r="R125" s="72" t="inlineStr">
        <is>
          <t>ESTOQUE DE MERCADORIAS</t>
        </is>
      </c>
      <c r="S125" s="70" t="n">
        <v>1130101</v>
      </c>
      <c r="T125" s="72" t="inlineStr">
        <is>
          <t>MERCADORIAS P/REVENDA</t>
        </is>
      </c>
      <c r="U125" s="73" t="n">
        <v>192.96</v>
      </c>
      <c r="W125" s="73" t="n">
        <v>0</v>
      </c>
      <c r="X125" s="72" t="inlineStr">
        <is>
          <t>NF 195282 - MILKA</t>
        </is>
      </c>
      <c r="Z125" s="59">
        <f>IF($T125="","",IFERROR(INDEX('Resumo Grupos'!$AC$3:$AC$200,MATCH($T125,'Resumo Grupos'!$AB$3:$AB$200,0)),"n/d"))</f>
        <v/>
      </c>
      <c r="AA125" s="59">
        <f>IF($T125="","",IF(COUNTIF('Resumo Grupos'!$AE$3:$AE$40,$T125)&gt;0,"NAO","SIM"))</f>
        <v/>
      </c>
    </row>
    <row r="126" ht="36.75" customHeight="1" s="60">
      <c r="A126" s="70" t="n">
        <v>1</v>
      </c>
      <c r="B126" s="71" t="n">
        <v>46164</v>
      </c>
      <c r="C126" s="71" t="n">
        <v>46177</v>
      </c>
      <c r="D126" s="70" t="n">
        <v>10074</v>
      </c>
      <c r="E126" s="72" t="inlineStr">
        <is>
          <t>AMAZONIA COMERCIO DE MASSAS LTDA</t>
        </is>
      </c>
      <c r="F126" s="70" t="n">
        <v>24</v>
      </c>
      <c r="G126" s="72" t="inlineStr">
        <is>
          <t>Compra a Prazo - Boletos</t>
        </is>
      </c>
      <c r="H126" s="70" t="n">
        <v>2110101</v>
      </c>
      <c r="I126" s="72" t="inlineStr">
        <is>
          <t>FORNECEDORES DE MERCADORIA</t>
        </is>
      </c>
      <c r="J126" s="70" t="n">
        <v>1137009</v>
      </c>
      <c r="L126" s="70" t="n">
        <v>3026</v>
      </c>
      <c r="M126" s="72" t="inlineStr">
        <is>
          <t>01</t>
        </is>
      </c>
      <c r="N126" s="72" t="inlineStr">
        <is>
          <t>NFE</t>
        </is>
      </c>
      <c r="P126" s="70" t="n">
        <v>103</v>
      </c>
      <c r="Q126" s="72" t="inlineStr">
        <is>
          <t>MILKA FRANCIS</t>
        </is>
      </c>
      <c r="R126" s="72" t="inlineStr">
        <is>
          <t>ESTOQUE DE MERCADORIAS</t>
        </is>
      </c>
      <c r="S126" s="70" t="n">
        <v>1130101</v>
      </c>
      <c r="T126" s="72" t="inlineStr">
        <is>
          <t>MERCADORIAS P/REVENDA</t>
        </is>
      </c>
      <c r="U126" s="73" t="n">
        <v>500</v>
      </c>
      <c r="W126" s="73" t="n">
        <v>0</v>
      </c>
      <c r="X126" s="72" t="inlineStr">
        <is>
          <t>NF 3026 CANUDINHO - MILKA</t>
        </is>
      </c>
      <c r="Z126" s="59">
        <f>IF($T126="","",IFERROR(INDEX('Resumo Grupos'!$AC$3:$AC$200,MATCH($T126,'Resumo Grupos'!$AB$3:$AB$200,0)),"n/d"))</f>
        <v/>
      </c>
      <c r="AA126" s="59">
        <f>IF($T126="","",IF(COUNTIF('Resumo Grupos'!$AE$3:$AE$40,$T126)&gt;0,"NAO","SIM"))</f>
        <v/>
      </c>
    </row>
    <row r="127" ht="45.75" customHeight="1" s="60">
      <c r="A127" s="70" t="n">
        <v>1</v>
      </c>
      <c r="B127" s="71" t="n">
        <v>46164</v>
      </c>
      <c r="C127" s="71" t="n">
        <v>46177</v>
      </c>
      <c r="D127" s="70" t="n">
        <v>1740</v>
      </c>
      <c r="E127" s="72" t="inlineStr">
        <is>
          <t>OCIDENTAL COMERCIO DE FRIOS LTDA</t>
        </is>
      </c>
      <c r="F127" s="70" t="n">
        <v>24</v>
      </c>
      <c r="G127" s="72" t="inlineStr">
        <is>
          <t>Compra a Prazo - Boletos</t>
        </is>
      </c>
      <c r="H127" s="70" t="n">
        <v>2110101</v>
      </c>
      <c r="I127" s="72" t="inlineStr">
        <is>
          <t>FORNECEDORES DE MERCADORIA</t>
        </is>
      </c>
      <c r="J127" s="70" t="n">
        <v>1137441</v>
      </c>
      <c r="L127" s="70" t="n">
        <v>1226235</v>
      </c>
      <c r="M127" s="72" t="inlineStr">
        <is>
          <t>01</t>
        </is>
      </c>
      <c r="N127" s="72" t="inlineStr">
        <is>
          <t>NFE</t>
        </is>
      </c>
      <c r="P127" s="70" t="n">
        <v>103</v>
      </c>
      <c r="Q127" s="72" t="inlineStr">
        <is>
          <t>MILKA FRANCIS</t>
        </is>
      </c>
      <c r="R127" s="72" t="inlineStr">
        <is>
          <t>ESTOQUE DE MERCADORIAS</t>
        </is>
      </c>
      <c r="S127" s="70" t="n">
        <v>1130101</v>
      </c>
      <c r="T127" s="72" t="inlineStr">
        <is>
          <t>MERCADORIAS P/REVENDA</t>
        </is>
      </c>
      <c r="U127" s="73" t="n">
        <v>908.9</v>
      </c>
      <c r="W127" s="73" t="n">
        <v>0</v>
      </c>
      <c r="X127" s="72" t="inlineStr">
        <is>
          <t>NF 1226235 - MILKA</t>
        </is>
      </c>
      <c r="Z127" s="59">
        <f>IF($T127="","",IFERROR(INDEX('Resumo Grupos'!$AC$3:$AC$200,MATCH($T127,'Resumo Grupos'!$AB$3:$AB$200,0)),"n/d"))</f>
        <v/>
      </c>
      <c r="AA127" s="59">
        <f>IF($T127="","",IF(COUNTIF('Resumo Grupos'!$AE$3:$AE$40,$T127)&gt;0,"NAO","SIM"))</f>
        <v/>
      </c>
    </row>
    <row r="128" ht="45.75" customHeight="1" s="60">
      <c r="A128" s="70" t="n">
        <v>1</v>
      </c>
      <c r="B128" s="71" t="n">
        <v>46168</v>
      </c>
      <c r="C128" s="71" t="n">
        <v>46177</v>
      </c>
      <c r="D128" s="70" t="n">
        <v>10020</v>
      </c>
      <c r="E128" s="72" t="inlineStr">
        <is>
          <t>E. SALES DO NASCIMENTO</t>
        </is>
      </c>
      <c r="F128" s="70" t="n">
        <v>24</v>
      </c>
      <c r="G128" s="72" t="inlineStr">
        <is>
          <t>Compra a Prazo - Boletos</t>
        </is>
      </c>
      <c r="H128" s="70" t="n">
        <v>2110101</v>
      </c>
      <c r="I128" s="72" t="inlineStr">
        <is>
          <t>FORNECEDORES DE MERCADORIA</t>
        </is>
      </c>
      <c r="J128" s="70" t="n">
        <v>1156884</v>
      </c>
      <c r="L128" s="70" t="n">
        <v>573</v>
      </c>
      <c r="M128" s="72" t="inlineStr">
        <is>
          <t>02</t>
        </is>
      </c>
      <c r="N128" s="72" t="inlineStr">
        <is>
          <t>NFE</t>
        </is>
      </c>
      <c r="P128" s="70" t="n">
        <v>103</v>
      </c>
      <c r="Q128" s="72" t="inlineStr">
        <is>
          <t>MILKA FRANCIS</t>
        </is>
      </c>
      <c r="R128" s="72" t="inlineStr">
        <is>
          <t>ESTOQUE DE MERCADORIAS</t>
        </is>
      </c>
      <c r="S128" s="70" t="n">
        <v>1130101</v>
      </c>
      <c r="T128" s="72" t="inlineStr">
        <is>
          <t>MERCADORIAS P/REVENDA</t>
        </is>
      </c>
      <c r="U128" s="73" t="n">
        <v>503.26</v>
      </c>
      <c r="W128" s="73" t="n">
        <v>0</v>
      </c>
      <c r="X128" s="72" t="inlineStr">
        <is>
          <t>NF 573-02 MILKA</t>
        </is>
      </c>
      <c r="Z128" s="59">
        <f>IF($T128="","",IFERROR(INDEX('Resumo Grupos'!$AC$3:$AC$200,MATCH($T128,'Resumo Grupos'!$AB$3:$AB$200,0)),"n/d"))</f>
        <v/>
      </c>
      <c r="AA128" s="59">
        <f>IF($T128="","",IF(COUNTIF('Resumo Grupos'!$AE$3:$AE$40,$T128)&gt;0,"NAO","SIM"))</f>
        <v/>
      </c>
    </row>
    <row r="129" ht="45.75" customHeight="1" s="60">
      <c r="A129" s="70" t="n">
        <v>1</v>
      </c>
      <c r="B129" s="71" t="n">
        <v>46168</v>
      </c>
      <c r="C129" s="71" t="n">
        <v>46177</v>
      </c>
      <c r="D129" s="70" t="n">
        <v>10078</v>
      </c>
      <c r="E129" s="72" t="inlineStr">
        <is>
          <t>VANIA CRISTINA DA SILVA CAVALCANTE</t>
        </is>
      </c>
      <c r="F129" s="70" t="n">
        <v>24</v>
      </c>
      <c r="G129" s="72" t="inlineStr">
        <is>
          <t>Compra a Prazo - Boletos</t>
        </is>
      </c>
      <c r="H129" s="70" t="n">
        <v>2110101</v>
      </c>
      <c r="I129" s="72" t="inlineStr">
        <is>
          <t>FORNECEDORES DE MERCADORIA</t>
        </is>
      </c>
      <c r="J129" s="70" t="n">
        <v>1157306</v>
      </c>
      <c r="L129" s="70" t="n">
        <v>20</v>
      </c>
      <c r="M129" s="72" t="inlineStr">
        <is>
          <t>02</t>
        </is>
      </c>
      <c r="N129" s="72" t="inlineStr">
        <is>
          <t>NFE</t>
        </is>
      </c>
      <c r="P129" s="70" t="n">
        <v>103</v>
      </c>
      <c r="Q129" s="72" t="inlineStr">
        <is>
          <t>MILKA FRANCIS</t>
        </is>
      </c>
      <c r="R129" s="72" t="inlineStr">
        <is>
          <t>ESTOQUE DE MERCADORIAS</t>
        </is>
      </c>
      <c r="S129" s="70" t="n">
        <v>1130101</v>
      </c>
      <c r="T129" s="72" t="inlineStr">
        <is>
          <t>MERCADORIAS P/REVENDA</t>
        </is>
      </c>
      <c r="U129" s="73" t="n">
        <v>1456.5</v>
      </c>
      <c r="W129" s="73" t="n">
        <v>0</v>
      </c>
      <c r="X129" s="72" t="inlineStr">
        <is>
          <t>NF 20/002 MILKA</t>
        </is>
      </c>
      <c r="Z129" s="59">
        <f>IF($T129="","",IFERROR(INDEX('Resumo Grupos'!$AC$3:$AC$200,MATCH($T129,'Resumo Grupos'!$AB$3:$AB$200,0)),"n/d"))</f>
        <v/>
      </c>
      <c r="AA129" s="59">
        <f>IF($T129="","",IF(COUNTIF('Resumo Grupos'!$AE$3:$AE$40,$T129)&gt;0,"NAO","SIM"))</f>
        <v/>
      </c>
    </row>
    <row r="130" ht="36.75" customHeight="1" s="60">
      <c r="A130" s="70" t="n">
        <v>1</v>
      </c>
      <c r="B130" s="71" t="n">
        <v>46169</v>
      </c>
      <c r="C130" s="71" t="n">
        <v>46177</v>
      </c>
      <c r="D130" s="70" t="n">
        <v>1723</v>
      </c>
      <c r="E130" s="72" t="inlineStr">
        <is>
          <t>COMERCIO DE FRIOS MANAUS LTDA</t>
        </is>
      </c>
      <c r="F130" s="70" t="n">
        <v>24</v>
      </c>
      <c r="G130" s="72" t="inlineStr">
        <is>
          <t>Compra a Prazo - Boletos</t>
        </is>
      </c>
      <c r="H130" s="70" t="n">
        <v>2110101</v>
      </c>
      <c r="I130" s="72" t="inlineStr">
        <is>
          <t>FORNECEDORES DE MERCADORIA</t>
        </is>
      </c>
      <c r="J130" s="70" t="n">
        <v>1162928</v>
      </c>
      <c r="L130" s="70" t="n">
        <v>170541</v>
      </c>
      <c r="M130" s="72" t="inlineStr">
        <is>
          <t>01</t>
        </is>
      </c>
      <c r="N130" s="72" t="inlineStr">
        <is>
          <t>NFE</t>
        </is>
      </c>
      <c r="P130" s="70" t="n">
        <v>103</v>
      </c>
      <c r="Q130" s="72" t="inlineStr">
        <is>
          <t>MILKA FRANCIS</t>
        </is>
      </c>
      <c r="R130" s="72" t="inlineStr">
        <is>
          <t>ESTOQUE DE MERCADORIAS</t>
        </is>
      </c>
      <c r="S130" s="70" t="n">
        <v>1130101</v>
      </c>
      <c r="T130" s="72" t="inlineStr">
        <is>
          <t>MERCADORIAS P/REVENDA</t>
        </is>
      </c>
      <c r="U130" s="73" t="n">
        <v>3560.7</v>
      </c>
      <c r="W130" s="73" t="n">
        <v>0</v>
      </c>
      <c r="X130" s="72" t="inlineStr">
        <is>
          <t>NF170541 - MILKA</t>
        </is>
      </c>
      <c r="Z130" s="59">
        <f>IF($T130="","",IFERROR(INDEX('Resumo Grupos'!$AC$3:$AC$200,MATCH($T130,'Resumo Grupos'!$AB$3:$AB$200,0)),"n/d"))</f>
        <v/>
      </c>
      <c r="AA130" s="59">
        <f>IF($T130="","",IF(COUNTIF('Resumo Grupos'!$AE$3:$AE$40,$T130)&gt;0,"NAO","SIM"))</f>
        <v/>
      </c>
    </row>
    <row r="131" ht="54.75" customHeight="1" s="60">
      <c r="A131" s="70" t="n">
        <v>1</v>
      </c>
      <c r="B131" s="71" t="n">
        <v>46170</v>
      </c>
      <c r="C131" s="71" t="n">
        <v>46177</v>
      </c>
      <c r="D131" s="70" t="n">
        <v>1778</v>
      </c>
      <c r="E131" s="72" t="inlineStr">
        <is>
          <t xml:space="preserve">MANAUS AMBIENTAL S/A </t>
        </is>
      </c>
      <c r="F131" s="70" t="n">
        <v>24</v>
      </c>
      <c r="G131" s="72" t="inlineStr">
        <is>
          <t>Compra a Prazo - Boletos</t>
        </is>
      </c>
      <c r="H131" s="70" t="n">
        <v>2110405</v>
      </c>
      <c r="I131" s="72" t="inlineStr">
        <is>
          <t>CONTAS A PAGAR</t>
        </is>
      </c>
      <c r="J131" s="70" t="n">
        <v>1166723</v>
      </c>
      <c r="L131" s="70" t="n">
        <v>486445</v>
      </c>
      <c r="M131" s="72" t="inlineStr">
        <is>
          <t>01</t>
        </is>
      </c>
      <c r="N131" s="72" t="inlineStr">
        <is>
          <t>AVU</t>
        </is>
      </c>
      <c r="P131" s="70" t="n">
        <v>101</v>
      </c>
      <c r="Q131" s="72" t="inlineStr">
        <is>
          <t>KEILA LIMA</t>
        </is>
      </c>
      <c r="R131" s="72" t="inlineStr">
        <is>
          <t>DESPESAS OPERACIONAIS</t>
        </is>
      </c>
      <c r="S131" s="70" t="n">
        <v>4210207</v>
      </c>
      <c r="T131" s="72" t="inlineStr">
        <is>
          <t>AGUA</t>
        </is>
      </c>
      <c r="U131" s="73" t="n">
        <v>197.28</v>
      </c>
      <c r="W131" s="73" t="n">
        <v>0</v>
      </c>
      <c r="X131" s="72" t="inlineStr">
        <is>
          <t xml:space="preserve">AGUA MO1 1244728-5  MO1 - KEILA </t>
        </is>
      </c>
      <c r="Z131" s="59">
        <f>IF($T131="","",IFERROR(INDEX('Resumo Grupos'!$AC$3:$AC$200,MATCH($T131,'Resumo Grupos'!$AB$3:$AB$200,0)),"n/d"))</f>
        <v/>
      </c>
      <c r="AA131" s="59">
        <f>IF($T131="","",IF(COUNTIF('Resumo Grupos'!$AE$3:$AE$40,$T131)&gt;0,"NAO","SIM"))</f>
        <v/>
      </c>
    </row>
    <row r="132" ht="36.75" customHeight="1" s="60">
      <c r="A132" s="70" t="n">
        <v>1</v>
      </c>
      <c r="B132" s="71" t="n">
        <v>46170</v>
      </c>
      <c r="C132" s="71" t="n">
        <v>46177</v>
      </c>
      <c r="D132" s="70" t="n">
        <v>1625</v>
      </c>
      <c r="E132" s="72" t="inlineStr">
        <is>
          <t>MAXFRI DISTRIUIDORA LTDA</t>
        </is>
      </c>
      <c r="F132" s="70" t="n">
        <v>24</v>
      </c>
      <c r="G132" s="72" t="inlineStr">
        <is>
          <t>Compra a Prazo - Boletos</t>
        </is>
      </c>
      <c r="H132" s="70" t="n">
        <v>2110101</v>
      </c>
      <c r="I132" s="72" t="inlineStr">
        <is>
          <t>FORNECEDORES DE MERCADORIA</t>
        </is>
      </c>
      <c r="J132" s="70" t="n">
        <v>1166873</v>
      </c>
      <c r="L132" s="70" t="n">
        <v>14342</v>
      </c>
      <c r="M132" s="72" t="inlineStr">
        <is>
          <t>01</t>
        </is>
      </c>
      <c r="N132" s="72" t="inlineStr">
        <is>
          <t>NFE</t>
        </is>
      </c>
      <c r="P132" s="70" t="n">
        <v>103</v>
      </c>
      <c r="Q132" s="72" t="inlineStr">
        <is>
          <t>MILKA FRANCIS</t>
        </is>
      </c>
      <c r="R132" s="72" t="inlineStr">
        <is>
          <t>ESTOQUE DE MERCADORIAS</t>
        </is>
      </c>
      <c r="S132" s="70" t="n">
        <v>1130101</v>
      </c>
      <c r="T132" s="72" t="inlineStr">
        <is>
          <t>MERCADORIAS P/REVENDA</t>
        </is>
      </c>
      <c r="U132" s="73" t="n">
        <v>5498.4</v>
      </c>
      <c r="W132" s="73" t="n">
        <v>0</v>
      </c>
      <c r="X132" s="72" t="inlineStr">
        <is>
          <t xml:space="preserve"> NF14342 - MILKA</t>
        </is>
      </c>
      <c r="Z132" s="59">
        <f>IF($T132="","",IFERROR(INDEX('Resumo Grupos'!$AC$3:$AC$200,MATCH($T132,'Resumo Grupos'!$AB$3:$AB$200,0)),"n/d"))</f>
        <v/>
      </c>
      <c r="AA132" s="59">
        <f>IF($T132="","",IF(COUNTIF('Resumo Grupos'!$AE$3:$AE$40,$T132)&gt;0,"NAO","SIM"))</f>
        <v/>
      </c>
    </row>
    <row r="133" ht="54.75" customHeight="1" s="60">
      <c r="A133" s="70" t="n">
        <v>1</v>
      </c>
      <c r="B133" s="71" t="n">
        <v>46170</v>
      </c>
      <c r="C133" s="71" t="n">
        <v>46177</v>
      </c>
      <c r="D133" s="70" t="n">
        <v>1614</v>
      </c>
      <c r="E133" s="72" t="inlineStr">
        <is>
          <t>C. R. PARENTE ABREU</t>
        </is>
      </c>
      <c r="F133" s="70" t="n">
        <v>24</v>
      </c>
      <c r="G133" s="72" t="inlineStr">
        <is>
          <t>Compra a Prazo - Boletos</t>
        </is>
      </c>
      <c r="H133" s="70" t="n">
        <v>2110101</v>
      </c>
      <c r="I133" s="72" t="inlineStr">
        <is>
          <t>FORNECEDORES DE MERCADORIA</t>
        </is>
      </c>
      <c r="J133" s="70" t="n">
        <v>1167858</v>
      </c>
      <c r="L133" s="70" t="n">
        <v>11196</v>
      </c>
      <c r="M133" s="72" t="inlineStr">
        <is>
          <t>02</t>
        </is>
      </c>
      <c r="N133" s="72" t="inlineStr">
        <is>
          <t>NFE</t>
        </is>
      </c>
      <c r="P133" s="70" t="n">
        <v>103</v>
      </c>
      <c r="Q133" s="72" t="inlineStr">
        <is>
          <t>MILKA FRANCIS</t>
        </is>
      </c>
      <c r="R133" s="72" t="inlineStr">
        <is>
          <t>ESTOQUE DE MERCADORIAS</t>
        </is>
      </c>
      <c r="S133" s="70" t="n">
        <v>1130101</v>
      </c>
      <c r="T133" s="72" t="inlineStr">
        <is>
          <t>MERCADORIAS P/REVENDA</t>
        </is>
      </c>
      <c r="U133" s="73" t="n">
        <v>358.55</v>
      </c>
      <c r="W133" s="73" t="n">
        <v>0</v>
      </c>
      <c r="X133" s="72" t="inlineStr">
        <is>
          <t>NF 11196 - 2 MILKA</t>
        </is>
      </c>
      <c r="Z133" s="59">
        <f>IF($T133="","",IFERROR(INDEX('Resumo Grupos'!$AC$3:$AC$200,MATCH($T133,'Resumo Grupos'!$AB$3:$AB$200,0)),"n/d"))</f>
        <v/>
      </c>
      <c r="AA133" s="59">
        <f>IF($T133="","",IF(COUNTIF('Resumo Grupos'!$AE$3:$AE$40,$T133)&gt;0,"NAO","SIM"))</f>
        <v/>
      </c>
    </row>
    <row r="134" ht="54.75" customHeight="1" s="60">
      <c r="A134" s="70" t="n">
        <v>1</v>
      </c>
      <c r="B134" s="71" t="n">
        <v>46170</v>
      </c>
      <c r="C134" s="71" t="n">
        <v>46177</v>
      </c>
      <c r="D134" s="70" t="n">
        <v>1613</v>
      </c>
      <c r="E134" s="72" t="inlineStr">
        <is>
          <t>BRF S A</t>
        </is>
      </c>
      <c r="F134" s="70" t="n">
        <v>24</v>
      </c>
      <c r="G134" s="72" t="inlineStr">
        <is>
          <t>Compra a Prazo - Boletos</t>
        </is>
      </c>
      <c r="H134" s="70" t="n">
        <v>2110101</v>
      </c>
      <c r="I134" s="72" t="inlineStr">
        <is>
          <t>FORNECEDORES DE MERCADORIA</t>
        </is>
      </c>
      <c r="J134" s="70" t="n">
        <v>1167896</v>
      </c>
      <c r="L134" s="70" t="n">
        <v>1591095</v>
      </c>
      <c r="M134" s="72" t="inlineStr">
        <is>
          <t>01</t>
        </is>
      </c>
      <c r="N134" s="72" t="inlineStr">
        <is>
          <t>NFE</t>
        </is>
      </c>
      <c r="P134" s="70" t="n">
        <v>103</v>
      </c>
      <c r="Q134" s="72" t="inlineStr">
        <is>
          <t>MILKA FRANCIS</t>
        </is>
      </c>
      <c r="R134" s="72" t="inlineStr">
        <is>
          <t>ESTOQUE DE MERCADORIAS</t>
        </is>
      </c>
      <c r="S134" s="70" t="n">
        <v>1130101</v>
      </c>
      <c r="T134" s="72" t="inlineStr">
        <is>
          <t>MERCADORIAS P/REVENDA</t>
        </is>
      </c>
      <c r="U134" s="73" t="n">
        <v>416.19</v>
      </c>
      <c r="W134" s="73" t="n">
        <v>0</v>
      </c>
      <c r="X134" s="72" t="inlineStr">
        <is>
          <t>NF 1591095-01/03 MILKA</t>
        </is>
      </c>
      <c r="Z134" s="59">
        <f>IF($T134="","",IFERROR(INDEX('Resumo Grupos'!$AC$3:$AC$200,MATCH($T134,'Resumo Grupos'!$AB$3:$AB$200,0)),"n/d"))</f>
        <v/>
      </c>
      <c r="AA134" s="59">
        <f>IF($T134="","",IF(COUNTIF('Resumo Grupos'!$AE$3:$AE$40,$T134)&gt;0,"NAO","SIM"))</f>
        <v/>
      </c>
    </row>
    <row r="135" ht="54.75" customHeight="1" s="60">
      <c r="A135" s="70" t="n">
        <v>1</v>
      </c>
      <c r="B135" s="71" t="n">
        <v>46170</v>
      </c>
      <c r="C135" s="71" t="n">
        <v>46177</v>
      </c>
      <c r="D135" s="70" t="n">
        <v>1899</v>
      </c>
      <c r="E135" s="72" t="inlineStr">
        <is>
          <t>PANIFICADORA E CONFEITARIA REAL MADRI LTDA</t>
        </is>
      </c>
      <c r="F135" s="70" t="n">
        <v>24</v>
      </c>
      <c r="G135" s="72" t="inlineStr">
        <is>
          <t>Compra a Prazo - Boletos</t>
        </is>
      </c>
      <c r="H135" s="70" t="n">
        <v>2110101</v>
      </c>
      <c r="I135" s="72" t="inlineStr">
        <is>
          <t>FORNECEDORES DE MERCADORIA</t>
        </is>
      </c>
      <c r="J135" s="70" t="n">
        <v>1168286</v>
      </c>
      <c r="L135" s="70" t="n">
        <v>639</v>
      </c>
      <c r="M135" s="72" t="inlineStr">
        <is>
          <t>01</t>
        </is>
      </c>
      <c r="N135" s="72" t="inlineStr">
        <is>
          <t>NFE</t>
        </is>
      </c>
      <c r="P135" s="70" t="n">
        <v>103</v>
      </c>
      <c r="Q135" s="72" t="inlineStr">
        <is>
          <t>MILKA FRANCIS</t>
        </is>
      </c>
      <c r="R135" s="72" t="inlineStr">
        <is>
          <t>ESTOQUE DE MERCADORIAS</t>
        </is>
      </c>
      <c r="S135" s="70" t="n">
        <v>1130101</v>
      </c>
      <c r="T135" s="72" t="inlineStr">
        <is>
          <t>MERCADORIAS P/REVENDA</t>
        </is>
      </c>
      <c r="U135" s="73" t="n">
        <v>370.2</v>
      </c>
      <c r="W135" s="73" t="n">
        <v>0</v>
      </c>
      <c r="X135" s="72" t="inlineStr">
        <is>
          <t>NF 639 - MILKA</t>
        </is>
      </c>
      <c r="Z135" s="59">
        <f>IF($T135="","",IFERROR(INDEX('Resumo Grupos'!$AC$3:$AC$200,MATCH($T135,'Resumo Grupos'!$AB$3:$AB$200,0)),"n/d"))</f>
        <v/>
      </c>
      <c r="AA135" s="59">
        <f>IF($T135="","",IF(COUNTIF('Resumo Grupos'!$AE$3:$AE$40,$T135)&gt;0,"NAO","SIM"))</f>
        <v/>
      </c>
    </row>
    <row r="136" ht="54.75" customHeight="1" s="60">
      <c r="A136" s="70" t="n">
        <v>1</v>
      </c>
      <c r="B136" s="71" t="n">
        <v>46171</v>
      </c>
      <c r="C136" s="71" t="n">
        <v>46177</v>
      </c>
      <c r="D136" s="70" t="n">
        <v>1611</v>
      </c>
      <c r="E136" s="72" t="inlineStr">
        <is>
          <t>MARTINS COM SERV DISTR SA</t>
        </is>
      </c>
      <c r="F136" s="70" t="n">
        <v>24</v>
      </c>
      <c r="G136" s="72" t="inlineStr">
        <is>
          <t>Compra a Prazo - Boletos</t>
        </is>
      </c>
      <c r="H136" s="70" t="n">
        <v>2110101</v>
      </c>
      <c r="I136" s="72" t="inlineStr">
        <is>
          <t>FORNECEDORES DE MERCADORIA</t>
        </is>
      </c>
      <c r="J136" s="70" t="n">
        <v>1171433</v>
      </c>
      <c r="L136" s="70" t="n">
        <v>488192</v>
      </c>
      <c r="M136" s="72" t="inlineStr">
        <is>
          <t>01</t>
        </is>
      </c>
      <c r="N136" s="72" t="inlineStr">
        <is>
          <t>AVU</t>
        </is>
      </c>
      <c r="P136" s="70" t="n">
        <v>103</v>
      </c>
      <c r="Q136" s="72" t="inlineStr">
        <is>
          <t>MILKA FRANCIS</t>
        </is>
      </c>
      <c r="R136" s="72" t="inlineStr">
        <is>
          <t>ESTOQUE DE MERCADORIAS</t>
        </is>
      </c>
      <c r="S136" s="70" t="n">
        <v>1130101</v>
      </c>
      <c r="T136" s="72" t="inlineStr">
        <is>
          <t>MERCADORIAS P/REVENDA</t>
        </is>
      </c>
      <c r="U136" s="73" t="n">
        <v>4056.86</v>
      </c>
      <c r="W136" s="73" t="n">
        <v>0</v>
      </c>
      <c r="X136" s="72" t="inlineStr">
        <is>
          <t>NF1762478/NF1762479/NF1762480/NF1762481 - 01 MILKA</t>
        </is>
      </c>
      <c r="Z136" s="59">
        <f>IF($T136="","",IFERROR(INDEX('Resumo Grupos'!$AC$3:$AC$200,MATCH($T136,'Resumo Grupos'!$AB$3:$AB$200,0)),"n/d"))</f>
        <v/>
      </c>
      <c r="AA136" s="59">
        <f>IF($T136="","",IF(COUNTIF('Resumo Grupos'!$AE$3:$AE$40,$T136)&gt;0,"NAO","SIM"))</f>
        <v/>
      </c>
    </row>
    <row r="137" ht="45.75" customHeight="1" s="60">
      <c r="A137" s="70" t="n">
        <v>1</v>
      </c>
      <c r="B137" s="71" t="n">
        <v>46172</v>
      </c>
      <c r="C137" s="71" t="n">
        <v>46177</v>
      </c>
      <c r="D137" s="70" t="n">
        <v>10006</v>
      </c>
      <c r="E137" s="72" t="inlineStr">
        <is>
          <t>RUAN FERNANDES</t>
        </is>
      </c>
      <c r="F137" s="70" t="n">
        <v>24</v>
      </c>
      <c r="G137" s="72" t="inlineStr">
        <is>
          <t>Compra a Prazo - Boletos</t>
        </is>
      </c>
      <c r="H137" s="70" t="n">
        <v>2110405</v>
      </c>
      <c r="I137" s="72" t="inlineStr">
        <is>
          <t>CONTAS A PAGAR</t>
        </is>
      </c>
      <c r="J137" s="70" t="n">
        <v>1176209</v>
      </c>
      <c r="L137" s="70" t="n">
        <v>489999</v>
      </c>
      <c r="M137" s="72" t="inlineStr">
        <is>
          <t>01</t>
        </is>
      </c>
      <c r="N137" s="72" t="inlineStr">
        <is>
          <t>AVU</t>
        </is>
      </c>
      <c r="P137" s="70" t="n">
        <v>101</v>
      </c>
      <c r="Q137" s="72" t="inlineStr">
        <is>
          <t>KEILA LIMA</t>
        </is>
      </c>
      <c r="R137" s="72" t="inlineStr">
        <is>
          <t>DESPESAS OPERACIONAIS</t>
        </is>
      </c>
      <c r="S137" s="70" t="n">
        <v>4210233</v>
      </c>
      <c r="T137" s="72" t="inlineStr">
        <is>
          <t>MENSALIDADE TI</t>
        </is>
      </c>
      <c r="U137" s="73" t="n">
        <v>258</v>
      </c>
      <c r="W137" s="73" t="n">
        <v>0</v>
      </c>
      <c r="X137" s="72" t="inlineStr">
        <is>
          <t>MENSALIDADE DO TI - KEILA</t>
        </is>
      </c>
      <c r="Z137" s="59">
        <f>IF($T137="","",IFERROR(INDEX('Resumo Grupos'!$AC$3:$AC$200,MATCH($T137,'Resumo Grupos'!$AB$3:$AB$200,0)),"n/d"))</f>
        <v/>
      </c>
      <c r="AA137" s="59">
        <f>IF($T137="","",IF(COUNTIF('Resumo Grupos'!$AE$3:$AE$40,$T137)&gt;0,"NAO","SIM"))</f>
        <v/>
      </c>
    </row>
    <row r="138" ht="45.75" customHeight="1" s="60">
      <c r="A138" s="70" t="n">
        <v>1</v>
      </c>
      <c r="B138" s="71" t="n">
        <v>46172</v>
      </c>
      <c r="C138" s="71" t="n">
        <v>46177</v>
      </c>
      <c r="D138" s="70" t="n">
        <v>10006</v>
      </c>
      <c r="E138" s="72" t="inlineStr">
        <is>
          <t>RUAN FERNANDES</t>
        </is>
      </c>
      <c r="F138" s="70" t="n">
        <v>24</v>
      </c>
      <c r="G138" s="72" t="inlineStr">
        <is>
          <t>Compra a Prazo - Boletos</t>
        </is>
      </c>
      <c r="H138" s="70" t="n">
        <v>2110405</v>
      </c>
      <c r="I138" s="72" t="inlineStr">
        <is>
          <t>CONTAS A PAGAR</t>
        </is>
      </c>
      <c r="J138" s="70" t="n">
        <v>1176216</v>
      </c>
      <c r="L138" s="70" t="n">
        <v>490002</v>
      </c>
      <c r="M138" s="72" t="inlineStr">
        <is>
          <t>01</t>
        </is>
      </c>
      <c r="N138" s="72" t="inlineStr">
        <is>
          <t>AVU</t>
        </is>
      </c>
      <c r="P138" s="70" t="n">
        <v>101</v>
      </c>
      <c r="Q138" s="72" t="inlineStr">
        <is>
          <t>KEILA LIMA</t>
        </is>
      </c>
      <c r="R138" s="72" t="inlineStr">
        <is>
          <t>DESPESAS NAO OPERACIONAIS</t>
        </is>
      </c>
      <c r="S138" s="70" t="n">
        <v>4220199</v>
      </c>
      <c r="T138" s="72" t="inlineStr">
        <is>
          <t>PAGAMENTOS OUTROS NAO OPERACIONAIS</t>
        </is>
      </c>
      <c r="U138" s="73" t="n">
        <v>262.5</v>
      </c>
      <c r="W138" s="73" t="n">
        <v>0</v>
      </c>
      <c r="X138" s="72" t="inlineStr">
        <is>
          <t>PL RENATO SISTEMA DN COMER - KEILA</t>
        </is>
      </c>
      <c r="Z138" s="59">
        <f>IF($T138="","",IFERROR(INDEX('Resumo Grupos'!$AC$3:$AC$200,MATCH($T138,'Resumo Grupos'!$AB$3:$AB$200,0)),"n/d"))</f>
        <v/>
      </c>
      <c r="AA138" s="59">
        <f>IF($T138="","",IF(COUNTIF('Resumo Grupos'!$AE$3:$AE$40,$T138)&gt;0,"NAO","SIM"))</f>
        <v/>
      </c>
    </row>
    <row r="139" ht="45.75" customHeight="1" s="60">
      <c r="A139" s="70" t="n">
        <v>1</v>
      </c>
      <c r="B139" s="71" t="n">
        <v>46172</v>
      </c>
      <c r="C139" s="71" t="n">
        <v>46177</v>
      </c>
      <c r="D139" s="70" t="n">
        <v>581</v>
      </c>
      <c r="E139" s="72" t="inlineStr">
        <is>
          <t>LIMA E BARANDA COMERCIO DE PRODUTOS REGI</t>
        </is>
      </c>
      <c r="F139" s="70" t="n">
        <v>24</v>
      </c>
      <c r="G139" s="72" t="inlineStr">
        <is>
          <t>Compra a Prazo - Boletos</t>
        </is>
      </c>
      <c r="H139" s="70" t="n">
        <v>2110101</v>
      </c>
      <c r="I139" s="72" t="inlineStr">
        <is>
          <t>FORNECEDORES DE MERCADORIA</t>
        </is>
      </c>
      <c r="J139" s="70" t="n">
        <v>1176274</v>
      </c>
      <c r="L139" s="70" t="n">
        <v>30683</v>
      </c>
      <c r="M139" s="72" t="inlineStr">
        <is>
          <t>01</t>
        </is>
      </c>
      <c r="N139" s="72" t="inlineStr">
        <is>
          <t>NFE</t>
        </is>
      </c>
      <c r="P139" s="70" t="n">
        <v>103</v>
      </c>
      <c r="Q139" s="72" t="inlineStr">
        <is>
          <t>MILKA FRANCIS</t>
        </is>
      </c>
      <c r="R139" s="72" t="inlineStr">
        <is>
          <t>ESTOQUE DE MERCADORIAS</t>
        </is>
      </c>
      <c r="S139" s="70" t="n">
        <v>1130101</v>
      </c>
      <c r="T139" s="72" t="inlineStr">
        <is>
          <t>MERCADORIAS P/REVENDA</t>
        </is>
      </c>
      <c r="U139" s="73" t="n">
        <v>260</v>
      </c>
      <c r="W139" s="73" t="n">
        <v>0</v>
      </c>
      <c r="X139" s="72" t="inlineStr">
        <is>
          <t>NF 30683 - MILKA</t>
        </is>
      </c>
      <c r="Z139" s="59">
        <f>IF($T139="","",IFERROR(INDEX('Resumo Grupos'!$AC$3:$AC$200,MATCH($T139,'Resumo Grupos'!$AB$3:$AB$200,0)),"n/d"))</f>
        <v/>
      </c>
      <c r="AA139" s="59">
        <f>IF($T139="","",IF(COUNTIF('Resumo Grupos'!$AE$3:$AE$40,$T139)&gt;0,"NAO","SIM"))</f>
        <v/>
      </c>
    </row>
    <row r="140" ht="54.75" customHeight="1" s="60">
      <c r="A140" s="70" t="n">
        <v>1</v>
      </c>
      <c r="B140" s="71" t="n">
        <v>46172</v>
      </c>
      <c r="C140" s="71" t="n">
        <v>46177</v>
      </c>
      <c r="D140" s="70" t="n">
        <v>1269</v>
      </c>
      <c r="E140" s="72" t="inlineStr">
        <is>
          <t>DINÂMICA SOLUÇÕES EM SUPRIMENTOS E GESTÃ</t>
        </is>
      </c>
      <c r="F140" s="70" t="n">
        <v>24</v>
      </c>
      <c r="G140" s="72" t="inlineStr">
        <is>
          <t>Compra a Prazo - Boletos</t>
        </is>
      </c>
      <c r="H140" s="70" t="n">
        <v>2110101</v>
      </c>
      <c r="I140" s="72" t="inlineStr">
        <is>
          <t>FORNECEDORES DE MERCADORIA</t>
        </is>
      </c>
      <c r="J140" s="70" t="n">
        <v>1176660</v>
      </c>
      <c r="L140" s="70" t="n">
        <v>714</v>
      </c>
      <c r="M140" s="72" t="inlineStr">
        <is>
          <t>01</t>
        </is>
      </c>
      <c r="N140" s="72" t="inlineStr">
        <is>
          <t>NFE</t>
        </is>
      </c>
      <c r="P140" s="70" t="n">
        <v>103</v>
      </c>
      <c r="Q140" s="72" t="inlineStr">
        <is>
          <t>MILKA FRANCIS</t>
        </is>
      </c>
      <c r="R140" s="72" t="inlineStr">
        <is>
          <t>ESTOQUE DE MERCADORIAS</t>
        </is>
      </c>
      <c r="S140" s="70" t="n">
        <v>1130101</v>
      </c>
      <c r="T140" s="72" t="inlineStr">
        <is>
          <t>MERCADORIAS P/REVENDA</t>
        </is>
      </c>
      <c r="U140" s="73" t="n">
        <v>620</v>
      </c>
      <c r="W140" s="73" t="n">
        <v>0</v>
      </c>
      <c r="X140" s="72" t="inlineStr">
        <is>
          <t>NF 714 - MILKA</t>
        </is>
      </c>
      <c r="Z140" s="59">
        <f>IF($T140="","",IFERROR(INDEX('Resumo Grupos'!$AC$3:$AC$200,MATCH($T140,'Resumo Grupos'!$AB$3:$AB$200,0)),"n/d"))</f>
        <v/>
      </c>
      <c r="AA140" s="59">
        <f>IF($T140="","",IF(COUNTIF('Resumo Grupos'!$AE$3:$AE$40,$T140)&gt;0,"NAO","SIM"))</f>
        <v/>
      </c>
    </row>
    <row r="141" ht="36.75" customHeight="1" s="60">
      <c r="A141" s="70" t="n">
        <v>1</v>
      </c>
      <c r="B141" s="71" t="n">
        <v>46172</v>
      </c>
      <c r="C141" s="71" t="n">
        <v>46177</v>
      </c>
      <c r="D141" s="70" t="n">
        <v>1899</v>
      </c>
      <c r="E141" s="72" t="inlineStr">
        <is>
          <t>PANIFICADORA E CONFEITARIA REAL MADRI LTDA</t>
        </is>
      </c>
      <c r="F141" s="70" t="n">
        <v>24</v>
      </c>
      <c r="G141" s="72" t="inlineStr">
        <is>
          <t>Compra a Prazo - Boletos</t>
        </is>
      </c>
      <c r="H141" s="70" t="n">
        <v>2110101</v>
      </c>
      <c r="I141" s="72" t="inlineStr">
        <is>
          <t>FORNECEDORES DE MERCADORIA</t>
        </is>
      </c>
      <c r="J141" s="70" t="n">
        <v>1176972</v>
      </c>
      <c r="L141" s="70" t="n">
        <v>640</v>
      </c>
      <c r="M141" s="72" t="inlineStr">
        <is>
          <t>01</t>
        </is>
      </c>
      <c r="N141" s="72" t="inlineStr">
        <is>
          <t>NFE</t>
        </is>
      </c>
      <c r="P141" s="70" t="n">
        <v>103</v>
      </c>
      <c r="Q141" s="72" t="inlineStr">
        <is>
          <t>MILKA FRANCIS</t>
        </is>
      </c>
      <c r="R141" s="72" t="inlineStr">
        <is>
          <t>ESTOQUE DE MERCADORIAS</t>
        </is>
      </c>
      <c r="S141" s="70" t="n">
        <v>1130101</v>
      </c>
      <c r="T141" s="72" t="inlineStr">
        <is>
          <t>MERCADORIAS P/REVENDA</t>
        </is>
      </c>
      <c r="U141" s="73" t="n">
        <v>524.55</v>
      </c>
      <c r="W141" s="73" t="n">
        <v>0</v>
      </c>
      <c r="X141" s="72" t="inlineStr">
        <is>
          <t>NF 640 - MILKA</t>
        </is>
      </c>
      <c r="Z141" s="59">
        <f>IF($T141="","",IFERROR(INDEX('Resumo Grupos'!$AC$3:$AC$200,MATCH($T141,'Resumo Grupos'!$AB$3:$AB$200,0)),"n/d"))</f>
        <v/>
      </c>
      <c r="AA141" s="59">
        <f>IF($T141="","",IF(COUNTIF('Resumo Grupos'!$AE$3:$AE$40,$T141)&gt;0,"NAO","SIM"))</f>
        <v/>
      </c>
    </row>
    <row r="142" ht="27.75" customHeight="1" s="60">
      <c r="A142" s="70" t="n">
        <v>1</v>
      </c>
      <c r="B142" s="71" t="n">
        <v>46175</v>
      </c>
      <c r="C142" s="71" t="n">
        <v>46177</v>
      </c>
      <c r="D142" s="70" t="n">
        <v>642</v>
      </c>
      <c r="E142" s="72" t="inlineStr">
        <is>
          <t>ADICSO FABIAN GONZALEZ MONTILLA 70302186</t>
        </is>
      </c>
      <c r="F142" s="70" t="n">
        <v>24</v>
      </c>
      <c r="G142" s="72" t="inlineStr">
        <is>
          <t>Compra a Prazo - Boletos</t>
        </is>
      </c>
      <c r="H142" s="70" t="n">
        <v>2110101</v>
      </c>
      <c r="I142" s="72" t="inlineStr">
        <is>
          <t>FORNECEDORES DE MERCADORIA</t>
        </is>
      </c>
      <c r="J142" s="70" t="n">
        <v>1193274</v>
      </c>
      <c r="L142" s="70" t="n">
        <v>482</v>
      </c>
      <c r="M142" s="72" t="inlineStr">
        <is>
          <t>01</t>
        </is>
      </c>
      <c r="N142" s="72" t="inlineStr">
        <is>
          <t>NFE</t>
        </is>
      </c>
      <c r="P142" s="70" t="n">
        <v>103</v>
      </c>
      <c r="Q142" s="72" t="inlineStr">
        <is>
          <t>MILKA FRANCIS</t>
        </is>
      </c>
      <c r="R142" s="72" t="inlineStr">
        <is>
          <t>ESTOQUE DE MERCADORIAS</t>
        </is>
      </c>
      <c r="S142" s="70" t="n">
        <v>1130101</v>
      </c>
      <c r="T142" s="72" t="inlineStr">
        <is>
          <t>MERCADORIAS P/REVENDA</t>
        </is>
      </c>
      <c r="U142" s="73" t="n">
        <v>564</v>
      </c>
      <c r="W142" s="73" t="n">
        <v>0</v>
      </c>
      <c r="X142" s="72" t="inlineStr">
        <is>
          <t>NF 482 BLOOM - MILKA</t>
        </is>
      </c>
      <c r="Z142" s="59">
        <f>IF($T142="","",IFERROR(INDEX('Resumo Grupos'!$AC$3:$AC$200,MATCH($T142,'Resumo Grupos'!$AB$3:$AB$200,0)),"n/d"))</f>
        <v/>
      </c>
      <c r="AA142" s="59">
        <f>IF($T142="","",IF(COUNTIF('Resumo Grupos'!$AE$3:$AE$40,$T142)&gt;0,"NAO","SIM"))</f>
        <v/>
      </c>
    </row>
    <row r="143" ht="27.75" customHeight="1" s="60">
      <c r="A143" s="70" t="n">
        <v>1</v>
      </c>
      <c r="B143" s="71" t="n">
        <v>46147</v>
      </c>
      <c r="C143" s="71" t="n">
        <v>46178</v>
      </c>
      <c r="D143" s="70" t="n">
        <v>1061</v>
      </c>
      <c r="E143" s="72" t="inlineStr">
        <is>
          <t xml:space="preserve">ELIANA SILVA DE OLIVEIRA </t>
        </is>
      </c>
      <c r="F143" s="70" t="n">
        <v>34</v>
      </c>
      <c r="G143" s="72" t="inlineStr">
        <is>
          <t>Transferencia Pix</t>
        </is>
      </c>
      <c r="H143" s="70" t="n">
        <v>1110202</v>
      </c>
      <c r="I143" s="72" t="inlineStr">
        <is>
          <t>BANCO ITAU Lj 01</t>
        </is>
      </c>
      <c r="J143" s="70" t="n">
        <v>1053498</v>
      </c>
      <c r="L143" s="70" t="n">
        <v>443316</v>
      </c>
      <c r="M143" s="72" t="inlineStr">
        <is>
          <t>02</t>
        </is>
      </c>
      <c r="N143" s="72" t="inlineStr">
        <is>
          <t>AVU</t>
        </is>
      </c>
      <c r="P143" s="70" t="n">
        <v>101</v>
      </c>
      <c r="Q143" s="72" t="inlineStr">
        <is>
          <t>KEILA LIMA</t>
        </is>
      </c>
      <c r="R143" s="72" t="inlineStr">
        <is>
          <t>DESPESAS NAO OPERACIONAIS</t>
        </is>
      </c>
      <c r="S143" s="70" t="n">
        <v>4220199</v>
      </c>
      <c r="T143" s="72" t="inlineStr">
        <is>
          <t>PAGAMENTOS OUTROS NAO OPERACIONAIS</t>
        </is>
      </c>
      <c r="U143" s="73" t="n">
        <v>1500</v>
      </c>
      <c r="W143" s="73" t="n">
        <v>0</v>
      </c>
      <c r="X143" s="72" t="inlineStr">
        <is>
          <t>SALARIO ELIANA LOJAS - ESO - KEILA</t>
        </is>
      </c>
      <c r="Z143" s="59">
        <f>IF($T143="","",IFERROR(INDEX('Resumo Grupos'!$AC$3:$AC$200,MATCH($T143,'Resumo Grupos'!$AB$3:$AB$200,0)),"n/d"))</f>
        <v/>
      </c>
      <c r="AA143" s="59">
        <f>IF($T143="","",IF(COUNTIF('Resumo Grupos'!$AE$3:$AE$40,$T143)&gt;0,"NAO","SIM"))</f>
        <v/>
      </c>
    </row>
    <row r="144" ht="27.75" customHeight="1" s="60">
      <c r="A144" s="70" t="n">
        <v>1</v>
      </c>
      <c r="B144" s="71" t="n">
        <v>46112</v>
      </c>
      <c r="C144" s="71" t="n">
        <v>46178</v>
      </c>
      <c r="D144" s="70" t="n">
        <v>17</v>
      </c>
      <c r="E144" s="72" t="inlineStr">
        <is>
          <t>NEYLIANE SILVA DE OLIVEIRA</t>
        </is>
      </c>
      <c r="F144" s="70" t="n">
        <v>24</v>
      </c>
      <c r="G144" s="72" t="inlineStr">
        <is>
          <t>Compra a Prazo - Boletos</t>
        </is>
      </c>
      <c r="H144" s="70" t="n">
        <v>1110202</v>
      </c>
      <c r="I144" s="72" t="inlineStr">
        <is>
          <t>BANCO ITAU Lj 01</t>
        </is>
      </c>
      <c r="J144" s="70" t="n">
        <v>881704</v>
      </c>
      <c r="L144" s="70" t="n">
        <v>376470</v>
      </c>
      <c r="M144" s="72" t="inlineStr">
        <is>
          <t>02</t>
        </is>
      </c>
      <c r="N144" s="72" t="inlineStr">
        <is>
          <t>AVU</t>
        </is>
      </c>
      <c r="P144" s="70" t="n">
        <v>101</v>
      </c>
      <c r="Q144" s="72" t="inlineStr">
        <is>
          <t>KEILA LIMA</t>
        </is>
      </c>
      <c r="R144" s="72" t="inlineStr">
        <is>
          <t>DESPESAS NAO OPERACIONAIS</t>
        </is>
      </c>
      <c r="S144" s="70" t="n">
        <v>4220199</v>
      </c>
      <c r="T144" s="72" t="inlineStr">
        <is>
          <t>PAGAMENTOS OUTROS NAO OPERACIONAIS</t>
        </is>
      </c>
      <c r="U144" s="73" t="n">
        <v>250</v>
      </c>
      <c r="W144" s="73" t="n">
        <v>0</v>
      </c>
      <c r="X144" s="72" t="inlineStr">
        <is>
          <t>PL NELA 27/28 - KEILA</t>
        </is>
      </c>
      <c r="Z144" s="59">
        <f>IF($T144="","",IFERROR(INDEX('Resumo Grupos'!$AC$3:$AC$200,MATCH($T144,'Resumo Grupos'!$AB$3:$AB$200,0)),"n/d"))</f>
        <v/>
      </c>
      <c r="AA144" s="59">
        <f>IF($T144="","",IF(COUNTIF('Resumo Grupos'!$AE$3:$AE$40,$T144)&gt;0,"NAO","SIM"))</f>
        <v/>
      </c>
    </row>
    <row r="145" ht="27.75" customHeight="1" s="60">
      <c r="A145" s="70" t="n">
        <v>1</v>
      </c>
      <c r="B145" s="71" t="n">
        <v>46136</v>
      </c>
      <c r="C145" s="71" t="n">
        <v>46178</v>
      </c>
      <c r="D145" s="70" t="n">
        <v>17</v>
      </c>
      <c r="E145" s="72" t="inlineStr">
        <is>
          <t>NEYLIANE SILVA DE OLIVEIRA</t>
        </is>
      </c>
      <c r="F145" s="70" t="n">
        <v>24</v>
      </c>
      <c r="G145" s="72" t="inlineStr">
        <is>
          <t>Compra a Prazo - Boletos</t>
        </is>
      </c>
      <c r="H145" s="70" t="n">
        <v>2110405</v>
      </c>
      <c r="I145" s="72" t="inlineStr">
        <is>
          <t>CONTAS A PAGAR</t>
        </is>
      </c>
      <c r="J145" s="70" t="n">
        <v>998922</v>
      </c>
      <c r="L145" s="70" t="n">
        <v>422001</v>
      </c>
      <c r="M145" s="72" t="inlineStr">
        <is>
          <t>02</t>
        </is>
      </c>
      <c r="N145" s="72" t="inlineStr">
        <is>
          <t>AVU</t>
        </is>
      </c>
      <c r="P145" s="70" t="n">
        <v>101</v>
      </c>
      <c r="Q145" s="72" t="inlineStr">
        <is>
          <t>KEILA LIMA</t>
        </is>
      </c>
      <c r="R145" s="72" t="inlineStr">
        <is>
          <t>DESPESAS NAO OPERACIONAIS</t>
        </is>
      </c>
      <c r="S145" s="70" t="n">
        <v>4220199</v>
      </c>
      <c r="T145" s="72" t="inlineStr">
        <is>
          <t>PAGAMENTOS OUTROS NAO OPERACIONAIS</t>
        </is>
      </c>
      <c r="U145" s="73" t="n">
        <v>600.3099999999999</v>
      </c>
      <c r="W145" s="73" t="n">
        <v>0</v>
      </c>
      <c r="X145" s="72" t="inlineStr">
        <is>
          <t xml:space="preserve">PL NEILA E RENATO </t>
        </is>
      </c>
      <c r="Z145" s="59">
        <f>IF($T145="","",IFERROR(INDEX('Resumo Grupos'!$AC$3:$AC$200,MATCH($T145,'Resumo Grupos'!$AB$3:$AB$200,0)),"n/d"))</f>
        <v/>
      </c>
      <c r="AA145" s="59">
        <f>IF($T145="","",IF(COUNTIF('Resumo Grupos'!$AE$3:$AE$40,$T145)&gt;0,"NAO","SIM"))</f>
        <v/>
      </c>
    </row>
    <row r="146" ht="27.75" customHeight="1" s="60">
      <c r="A146" s="70" t="n">
        <v>1</v>
      </c>
      <c r="B146" s="71" t="n">
        <v>46147</v>
      </c>
      <c r="C146" s="71" t="n">
        <v>46178</v>
      </c>
      <c r="D146" s="70" t="n">
        <v>956</v>
      </c>
      <c r="E146" s="72" t="inlineStr">
        <is>
          <t>ORIGENES C FREITAS</t>
        </is>
      </c>
      <c r="F146" s="70" t="n">
        <v>34</v>
      </c>
      <c r="G146" s="72" t="inlineStr">
        <is>
          <t>Transferencia Pix</t>
        </is>
      </c>
      <c r="H146" s="70" t="n">
        <v>2110405</v>
      </c>
      <c r="I146" s="72" t="inlineStr">
        <is>
          <t>CONTAS A PAGAR</t>
        </is>
      </c>
      <c r="J146" s="70" t="n">
        <v>1053484</v>
      </c>
      <c r="L146" s="70" t="n">
        <v>443312</v>
      </c>
      <c r="M146" s="72" t="inlineStr">
        <is>
          <t>01</t>
        </is>
      </c>
      <c r="N146" s="72" t="inlineStr">
        <is>
          <t>AVU</t>
        </is>
      </c>
      <c r="P146" s="70" t="n">
        <v>101</v>
      </c>
      <c r="Q146" s="72" t="inlineStr">
        <is>
          <t>KEILA LIMA</t>
        </is>
      </c>
      <c r="R146" s="72" t="inlineStr">
        <is>
          <t>DESPESAS COMERCIAIS</t>
        </is>
      </c>
      <c r="S146" s="70" t="n">
        <v>4210111</v>
      </c>
      <c r="T146" s="72" t="inlineStr">
        <is>
          <t>ALUGUEIS PAGOS A PF</t>
        </is>
      </c>
      <c r="U146" s="73" t="n">
        <v>4300</v>
      </c>
      <c r="W146" s="73" t="n">
        <v>0</v>
      </c>
      <c r="X146" s="72" t="inlineStr">
        <is>
          <t>ALUGUEL MO1 PADARIA - KEILA</t>
        </is>
      </c>
      <c r="Z146" s="59">
        <f>IF($T146="","",IFERROR(INDEX('Resumo Grupos'!$AC$3:$AC$200,MATCH($T146,'Resumo Grupos'!$AB$3:$AB$200,0)),"n/d"))</f>
        <v/>
      </c>
      <c r="AA146" s="59">
        <f>IF($T146="","",IF(COUNTIF('Resumo Grupos'!$AE$3:$AE$40,$T146)&gt;0,"NAO","SIM"))</f>
        <v/>
      </c>
    </row>
    <row r="147" ht="27.75" customHeight="1" s="60">
      <c r="A147" s="70" t="n">
        <v>1</v>
      </c>
      <c r="B147" s="71" t="n">
        <v>46164</v>
      </c>
      <c r="C147" s="71" t="n">
        <v>46178</v>
      </c>
      <c r="D147" s="70" t="n">
        <v>1812</v>
      </c>
      <c r="E147" s="72" t="inlineStr">
        <is>
          <t>A K LIMA DE ANDRADE</t>
        </is>
      </c>
      <c r="F147" s="70" t="n">
        <v>24</v>
      </c>
      <c r="G147" s="72" t="inlineStr">
        <is>
          <t>Compra a Prazo - Boletos</t>
        </is>
      </c>
      <c r="H147" s="70" t="n">
        <v>2110101</v>
      </c>
      <c r="I147" s="72" t="inlineStr">
        <is>
          <t>FORNECEDORES DE MERCADORIA</t>
        </is>
      </c>
      <c r="J147" s="70" t="n">
        <v>1138279</v>
      </c>
      <c r="L147" s="70" t="n">
        <v>2707</v>
      </c>
      <c r="M147" s="72" t="inlineStr">
        <is>
          <t>01</t>
        </is>
      </c>
      <c r="N147" s="72" t="inlineStr">
        <is>
          <t>NFE</t>
        </is>
      </c>
      <c r="P147" s="70" t="n">
        <v>103</v>
      </c>
      <c r="Q147" s="72" t="inlineStr">
        <is>
          <t>MILKA FRANCIS</t>
        </is>
      </c>
      <c r="R147" s="72" t="inlineStr">
        <is>
          <t>ESTOQUE DE MERCADORIAS</t>
        </is>
      </c>
      <c r="S147" s="70" t="n">
        <v>1130101</v>
      </c>
      <c r="T147" s="72" t="inlineStr">
        <is>
          <t>MERCADORIAS P/REVENDA</t>
        </is>
      </c>
      <c r="U147" s="73" t="n">
        <v>1267</v>
      </c>
      <c r="W147" s="73" t="n">
        <v>0</v>
      </c>
      <c r="X147" s="72" t="inlineStr">
        <is>
          <t>1064/01 NF2707 - MILKA</t>
        </is>
      </c>
      <c r="Z147" s="59">
        <f>IF($T147="","",IFERROR(INDEX('Resumo Grupos'!$AC$3:$AC$200,MATCH($T147,'Resumo Grupos'!$AB$3:$AB$200,0)),"n/d"))</f>
        <v/>
      </c>
      <c r="AA147" s="59">
        <f>IF($T147="","",IF(COUNTIF('Resumo Grupos'!$AE$3:$AE$40,$T147)&gt;0,"NAO","SIM"))</f>
        <v/>
      </c>
    </row>
    <row r="148" ht="45.75" customHeight="1" s="60">
      <c r="A148" s="70" t="n">
        <v>1</v>
      </c>
      <c r="B148" s="71" t="n">
        <v>46147</v>
      </c>
      <c r="C148" s="71" t="n">
        <v>46178</v>
      </c>
      <c r="D148" s="70" t="n">
        <v>1061</v>
      </c>
      <c r="E148" s="72" t="inlineStr">
        <is>
          <t xml:space="preserve">ELIANA SILVA DE OLIVEIRA </t>
        </is>
      </c>
      <c r="F148" s="70" t="n">
        <v>34</v>
      </c>
      <c r="G148" s="72" t="inlineStr">
        <is>
          <t>Transferencia Pix</t>
        </is>
      </c>
      <c r="H148" s="70" t="n">
        <v>2110405</v>
      </c>
      <c r="I148" s="72" t="inlineStr">
        <is>
          <t>CONTAS A PAGAR</t>
        </is>
      </c>
      <c r="J148" s="70" t="n">
        <v>1053523</v>
      </c>
      <c r="L148" s="70" t="n">
        <v>443326</v>
      </c>
      <c r="M148" s="72" t="inlineStr">
        <is>
          <t>01</t>
        </is>
      </c>
      <c r="N148" s="72" t="inlineStr">
        <is>
          <t>AVU</t>
        </is>
      </c>
      <c r="P148" s="70" t="n">
        <v>101</v>
      </c>
      <c r="Q148" s="72" t="inlineStr">
        <is>
          <t>KEILA LIMA</t>
        </is>
      </c>
      <c r="R148" s="72" t="inlineStr">
        <is>
          <t>DESPESAS COM PESSOAL</t>
        </is>
      </c>
      <c r="S148" s="70" t="n">
        <v>4210301</v>
      </c>
      <c r="T148" s="72" t="inlineStr">
        <is>
          <t>SALARIOS</t>
        </is>
      </c>
      <c r="U148" s="73" t="n">
        <v>751.12</v>
      </c>
      <c r="W148" s="73" t="n">
        <v>0</v>
      </c>
      <c r="X148" s="72" t="inlineStr">
        <is>
          <t>SALARIO ELIANA ESO PARTE MO1 - KEILA</t>
        </is>
      </c>
      <c r="Z148" s="59">
        <f>IF($T148="","",IFERROR(INDEX('Resumo Grupos'!$AC$3:$AC$200,MATCH($T148,'Resumo Grupos'!$AB$3:$AB$200,0)),"n/d"))</f>
        <v/>
      </c>
      <c r="AA148" s="59">
        <f>IF($T148="","",IF(COUNTIF('Resumo Grupos'!$AE$3:$AE$40,$T148)&gt;0,"NAO","SIM"))</f>
        <v/>
      </c>
    </row>
    <row r="149" ht="36.75" customHeight="1" s="60">
      <c r="A149" s="70" t="n">
        <v>1</v>
      </c>
      <c r="B149" s="71" t="n">
        <v>46147</v>
      </c>
      <c r="C149" s="71" t="n">
        <v>46178</v>
      </c>
      <c r="D149" s="70" t="n">
        <v>16</v>
      </c>
      <c r="E149" s="72" t="inlineStr">
        <is>
          <t>RENATO DE OLIVEIRA AZEVEDO</t>
        </is>
      </c>
      <c r="F149" s="70" t="n">
        <v>34</v>
      </c>
      <c r="G149" s="72" t="inlineStr">
        <is>
          <t>Transferencia Pix</t>
        </is>
      </c>
      <c r="H149" s="70" t="n">
        <v>2110405</v>
      </c>
      <c r="I149" s="72" t="inlineStr">
        <is>
          <t>CONTAS A PAGAR</t>
        </is>
      </c>
      <c r="J149" s="70" t="n">
        <v>1053543</v>
      </c>
      <c r="L149" s="70" t="n">
        <v>443329</v>
      </c>
      <c r="M149" s="72" t="inlineStr">
        <is>
          <t>02</t>
        </is>
      </c>
      <c r="N149" s="72" t="inlineStr">
        <is>
          <t>AVU</t>
        </is>
      </c>
      <c r="P149" s="70" t="n">
        <v>101</v>
      </c>
      <c r="Q149" s="72" t="inlineStr">
        <is>
          <t>KEILA LIMA</t>
        </is>
      </c>
      <c r="R149" s="72" t="inlineStr">
        <is>
          <t>DESPESAS COM PESSOAL</t>
        </is>
      </c>
      <c r="S149" s="70" t="n">
        <v>4210301</v>
      </c>
      <c r="T149" s="72" t="inlineStr">
        <is>
          <t>SALARIOS</t>
        </is>
      </c>
      <c r="U149" s="73" t="n">
        <v>500</v>
      </c>
      <c r="W149" s="73" t="n">
        <v>0</v>
      </c>
      <c r="X149" s="72" t="inlineStr">
        <is>
          <t>SALARIO RENATO MO1 - KEILA</t>
        </is>
      </c>
      <c r="Z149" s="59">
        <f>IF($T149="","",IFERROR(INDEX('Resumo Grupos'!$AC$3:$AC$200,MATCH($T149,'Resumo Grupos'!$AB$3:$AB$200,0)),"n/d"))</f>
        <v/>
      </c>
      <c r="AA149" s="59">
        <f>IF($T149="","",IF(COUNTIF('Resumo Grupos'!$AE$3:$AE$40,$T149)&gt;0,"NAO","SIM"))</f>
        <v/>
      </c>
    </row>
    <row r="150" ht="36.75" customHeight="1" s="60">
      <c r="A150" s="70" t="n">
        <v>1</v>
      </c>
      <c r="B150" s="71" t="n">
        <v>46149</v>
      </c>
      <c r="C150" s="71" t="n">
        <v>46178</v>
      </c>
      <c r="D150" s="70" t="n">
        <v>1659</v>
      </c>
      <c r="E150" s="72" t="inlineStr">
        <is>
          <t>ADRIANA DISTRIBUIDORA DE PRODUTOS ALIMEN</t>
        </is>
      </c>
      <c r="F150" s="70" t="n">
        <v>24</v>
      </c>
      <c r="G150" s="72" t="inlineStr">
        <is>
          <t>Compra a Prazo - Boletos</t>
        </is>
      </c>
      <c r="H150" s="70" t="n">
        <v>2110101</v>
      </c>
      <c r="I150" s="72" t="inlineStr">
        <is>
          <t>FORNECEDORES DE MERCADORIA</t>
        </is>
      </c>
      <c r="J150" s="70" t="n">
        <v>1060621</v>
      </c>
      <c r="L150" s="70" t="n">
        <v>869873</v>
      </c>
      <c r="M150" s="72" t="inlineStr">
        <is>
          <t>03</t>
        </is>
      </c>
      <c r="N150" s="72" t="inlineStr">
        <is>
          <t>NFE</t>
        </is>
      </c>
      <c r="P150" s="70" t="n">
        <v>103</v>
      </c>
      <c r="Q150" s="72" t="inlineStr">
        <is>
          <t>MILKA FRANCIS</t>
        </is>
      </c>
      <c r="R150" s="72" t="inlineStr">
        <is>
          <t>ESTOQUE DE MERCADORIAS</t>
        </is>
      </c>
      <c r="S150" s="70" t="n">
        <v>1130101</v>
      </c>
      <c r="T150" s="72" t="inlineStr">
        <is>
          <t>MERCADORIAS P/REVENDA</t>
        </is>
      </c>
      <c r="U150" s="73" t="n">
        <v>460.02</v>
      </c>
      <c r="W150" s="73" t="n">
        <v>0</v>
      </c>
      <c r="X150" s="72" t="inlineStr">
        <is>
          <t>NF869873 - 3 MILKA</t>
        </is>
      </c>
      <c r="Z150" s="59">
        <f>IF($T150="","",IFERROR(INDEX('Resumo Grupos'!$AC$3:$AC$200,MATCH($T150,'Resumo Grupos'!$AB$3:$AB$200,0)),"n/d"))</f>
        <v/>
      </c>
      <c r="AA150" s="59">
        <f>IF($T150="","",IF(COUNTIF('Resumo Grupos'!$AE$3:$AE$40,$T150)&gt;0,"NAO","SIM"))</f>
        <v/>
      </c>
    </row>
    <row r="151" ht="54.75" customHeight="1" s="60">
      <c r="A151" s="70" t="n">
        <v>1</v>
      </c>
      <c r="B151" s="71" t="n">
        <v>46149</v>
      </c>
      <c r="C151" s="71" t="n">
        <v>46178</v>
      </c>
      <c r="D151" s="70" t="n">
        <v>1637</v>
      </c>
      <c r="E151" s="72" t="inlineStr">
        <is>
          <t>ATACADAO S.A.</t>
        </is>
      </c>
      <c r="F151" s="70" t="n">
        <v>24</v>
      </c>
      <c r="G151" s="72" t="inlineStr">
        <is>
          <t>Compra a Prazo - Boletos</t>
        </is>
      </c>
      <c r="H151" s="70" t="n">
        <v>2110101</v>
      </c>
      <c r="I151" s="72" t="inlineStr">
        <is>
          <t>FORNECEDORES DE MERCADORIA</t>
        </is>
      </c>
      <c r="J151" s="70" t="n">
        <v>1061383</v>
      </c>
      <c r="L151" s="70" t="n">
        <v>1872667</v>
      </c>
      <c r="M151" s="72" t="inlineStr">
        <is>
          <t>01</t>
        </is>
      </c>
      <c r="N151" s="72" t="inlineStr">
        <is>
          <t>NFE</t>
        </is>
      </c>
      <c r="P151" s="70" t="n">
        <v>103</v>
      </c>
      <c r="Q151" s="72" t="inlineStr">
        <is>
          <t>MILKA FRANCIS</t>
        </is>
      </c>
      <c r="R151" s="72" t="inlineStr">
        <is>
          <t>ESTOQUE DE MERCADORIAS</t>
        </is>
      </c>
      <c r="S151" s="70" t="n">
        <v>1130101</v>
      </c>
      <c r="T151" s="72" t="inlineStr">
        <is>
          <t>MERCADORIAS P/REVENDA</t>
        </is>
      </c>
      <c r="U151" s="73" t="n">
        <v>2269.96</v>
      </c>
      <c r="W151" s="73" t="n">
        <v>0</v>
      </c>
      <c r="X151" s="72" t="inlineStr">
        <is>
          <t>NF 1872667 - MILKA</t>
        </is>
      </c>
      <c r="Z151" s="59">
        <f>IF($T151="","",IFERROR(INDEX('Resumo Grupos'!$AC$3:$AC$200,MATCH($T151,'Resumo Grupos'!$AB$3:$AB$200,0)),"n/d"))</f>
        <v/>
      </c>
      <c r="AA151" s="59">
        <f>IF($T151="","",IF(COUNTIF('Resumo Grupos'!$AE$3:$AE$40,$T151)&gt;0,"NAO","SIM"))</f>
        <v/>
      </c>
    </row>
    <row r="152" ht="54.75" customHeight="1" s="60">
      <c r="A152" s="70" t="n">
        <v>1</v>
      </c>
      <c r="B152" s="71" t="n">
        <v>46158</v>
      </c>
      <c r="C152" s="71" t="n">
        <v>46178</v>
      </c>
      <c r="D152" s="70" t="n">
        <v>1195</v>
      </c>
      <c r="E152" s="72" t="inlineStr">
        <is>
          <t>PLURAL GEST EM P DE SAUDE LTDA</t>
        </is>
      </c>
      <c r="F152" s="70" t="n">
        <v>24</v>
      </c>
      <c r="G152" s="72" t="inlineStr">
        <is>
          <t>Compra a Prazo - Boletos</t>
        </is>
      </c>
      <c r="H152" s="70" t="n">
        <v>2110405</v>
      </c>
      <c r="I152" s="72" t="inlineStr">
        <is>
          <t>CONTAS A PAGAR</t>
        </is>
      </c>
      <c r="J152" s="70" t="n">
        <v>1107124</v>
      </c>
      <c r="L152" s="70" t="n">
        <v>463324</v>
      </c>
      <c r="M152" s="72" t="inlineStr">
        <is>
          <t>01</t>
        </is>
      </c>
      <c r="N152" s="72" t="inlineStr">
        <is>
          <t>AVU</t>
        </is>
      </c>
      <c r="P152" s="70" t="n">
        <v>101</v>
      </c>
      <c r="Q152" s="72" t="inlineStr">
        <is>
          <t>KEILA LIMA</t>
        </is>
      </c>
      <c r="R152" s="72" t="inlineStr">
        <is>
          <t>DESPESAS COM PESSOAL</t>
        </is>
      </c>
      <c r="S152" s="70" t="n">
        <v>4210311</v>
      </c>
      <c r="T152" s="72" t="inlineStr">
        <is>
          <t>PLANOS DE SAUDE</t>
        </is>
      </c>
      <c r="U152" s="73" t="n">
        <v>2802.21</v>
      </c>
      <c r="W152" s="73" t="n">
        <v>0</v>
      </c>
      <c r="X152" s="72" t="inlineStr">
        <is>
          <t>PLANO DE SAUDE - KELA ELIANA THAI DAVID HELIO</t>
        </is>
      </c>
      <c r="Z152" s="59">
        <f>IF($T152="","",IFERROR(INDEX('Resumo Grupos'!$AC$3:$AC$200,MATCH($T152,'Resumo Grupos'!$AB$3:$AB$200,0)),"n/d"))</f>
        <v/>
      </c>
      <c r="AA152" s="59">
        <f>IF($T152="","",IF(COUNTIF('Resumo Grupos'!$AE$3:$AE$40,$T152)&gt;0,"NAO","SIM"))</f>
        <v/>
      </c>
    </row>
    <row r="153" ht="45.75" customHeight="1" s="60">
      <c r="A153" s="70" t="n">
        <v>1</v>
      </c>
      <c r="B153" s="71" t="n">
        <v>46158</v>
      </c>
      <c r="C153" s="71" t="n">
        <v>46178</v>
      </c>
      <c r="D153" s="70" t="n">
        <v>1608</v>
      </c>
      <c r="E153" s="72" t="inlineStr">
        <is>
          <t>DISTRIBUIDORA LOPES LTDA</t>
        </is>
      </c>
      <c r="F153" s="70" t="n">
        <v>24</v>
      </c>
      <c r="G153" s="72" t="inlineStr">
        <is>
          <t>Compra a Prazo - Boletos</t>
        </is>
      </c>
      <c r="H153" s="70" t="n">
        <v>2110101</v>
      </c>
      <c r="I153" s="72" t="inlineStr">
        <is>
          <t>FORNECEDORES DE MERCADORIA</t>
        </is>
      </c>
      <c r="J153" s="70" t="n">
        <v>1107211</v>
      </c>
      <c r="L153" s="70" t="n">
        <v>1655460</v>
      </c>
      <c r="M153" s="72" t="inlineStr">
        <is>
          <t>01</t>
        </is>
      </c>
      <c r="N153" s="72" t="inlineStr">
        <is>
          <t>NFE</t>
        </is>
      </c>
      <c r="P153" s="70" t="n">
        <v>103</v>
      </c>
      <c r="Q153" s="72" t="inlineStr">
        <is>
          <t>MILKA FRANCIS</t>
        </is>
      </c>
      <c r="R153" s="72" t="inlineStr">
        <is>
          <t>ESTOQUE DE MERCADORIAS</t>
        </is>
      </c>
      <c r="S153" s="70" t="n">
        <v>1130101</v>
      </c>
      <c r="T153" s="72" t="inlineStr">
        <is>
          <t>MERCADORIAS P/REVENDA</t>
        </is>
      </c>
      <c r="U153" s="73" t="n">
        <v>1761.41</v>
      </c>
      <c r="W153" s="73" t="n">
        <v>0</v>
      </c>
      <c r="X153" s="72" t="inlineStr">
        <is>
          <t>NF 1655460-1 MILKA</t>
        </is>
      </c>
      <c r="Z153" s="59">
        <f>IF($T153="","",IFERROR(INDEX('Resumo Grupos'!$AC$3:$AC$200,MATCH($T153,'Resumo Grupos'!$AB$3:$AB$200,0)),"n/d"))</f>
        <v/>
      </c>
      <c r="AA153" s="59">
        <f>IF($T153="","",IF(COUNTIF('Resumo Grupos'!$AE$3:$AE$40,$T153)&gt;0,"NAO","SIM"))</f>
        <v/>
      </c>
    </row>
    <row r="154" ht="45.75" customHeight="1" s="60">
      <c r="A154" s="70" t="n">
        <v>1</v>
      </c>
      <c r="B154" s="71" t="n">
        <v>46161</v>
      </c>
      <c r="C154" s="71" t="n">
        <v>46178</v>
      </c>
      <c r="D154" s="70" t="n">
        <v>1612</v>
      </c>
      <c r="E154" s="72" t="inlineStr">
        <is>
          <t>EMPRESA BRASILEIRA DE DISTRIBUICAO LTDA</t>
        </is>
      </c>
      <c r="F154" s="70" t="n">
        <v>24</v>
      </c>
      <c r="G154" s="72" t="inlineStr">
        <is>
          <t>Compra a Prazo - Boletos</t>
        </is>
      </c>
      <c r="H154" s="70" t="n">
        <v>2110101</v>
      </c>
      <c r="I154" s="72" t="inlineStr">
        <is>
          <t>FORNECEDORES DE MERCADORIA</t>
        </is>
      </c>
      <c r="J154" s="70" t="n">
        <v>1122094</v>
      </c>
      <c r="L154" s="70" t="n">
        <v>2284331</v>
      </c>
      <c r="M154" s="72" t="inlineStr">
        <is>
          <t>02</t>
        </is>
      </c>
      <c r="N154" s="72" t="inlineStr">
        <is>
          <t>NFE</t>
        </is>
      </c>
      <c r="P154" s="70" t="n">
        <v>103</v>
      </c>
      <c r="Q154" s="72" t="inlineStr">
        <is>
          <t>MILKA FRANCIS</t>
        </is>
      </c>
      <c r="R154" s="72" t="inlineStr">
        <is>
          <t>ESTOQUE DE MERCADORIAS</t>
        </is>
      </c>
      <c r="S154" s="70" t="n">
        <v>1130101</v>
      </c>
      <c r="T154" s="72" t="inlineStr">
        <is>
          <t>MERCADORIAS P/REVENDA</t>
        </is>
      </c>
      <c r="U154" s="73" t="n">
        <v>1137.4</v>
      </c>
      <c r="W154" s="73" t="n">
        <v>0</v>
      </c>
      <c r="X154" s="72" t="inlineStr">
        <is>
          <t>NF 2284331-2 MILKA</t>
        </is>
      </c>
      <c r="Z154" s="59">
        <f>IF($T154="","",IFERROR(INDEX('Resumo Grupos'!$AC$3:$AC$200,MATCH($T154,'Resumo Grupos'!$AB$3:$AB$200,0)),"n/d"))</f>
        <v/>
      </c>
      <c r="AA154" s="59">
        <f>IF($T154="","",IF(COUNTIF('Resumo Grupos'!$AE$3:$AE$40,$T154)&gt;0,"NAO","SIM"))</f>
        <v/>
      </c>
    </row>
    <row r="155" ht="45.75" customHeight="1" s="60">
      <c r="A155" s="70" t="n">
        <v>1</v>
      </c>
      <c r="B155" s="71" t="n">
        <v>46164</v>
      </c>
      <c r="C155" s="71" t="n">
        <v>46178</v>
      </c>
      <c r="D155" s="70" t="n">
        <v>1740</v>
      </c>
      <c r="E155" s="72" t="inlineStr">
        <is>
          <t>OCIDENTAL COMERCIO DE FRIOS LTDA</t>
        </is>
      </c>
      <c r="F155" s="70" t="n">
        <v>24</v>
      </c>
      <c r="G155" s="72" t="inlineStr">
        <is>
          <t>Compra a Prazo - Boletos</t>
        </is>
      </c>
      <c r="H155" s="70" t="n">
        <v>2110101</v>
      </c>
      <c r="I155" s="72" t="inlineStr">
        <is>
          <t>FORNECEDORES DE MERCADORIA</t>
        </is>
      </c>
      <c r="J155" s="70" t="n">
        <v>1137452</v>
      </c>
      <c r="L155" s="70" t="n">
        <v>1226733</v>
      </c>
      <c r="M155" s="72" t="inlineStr">
        <is>
          <t>01</t>
        </is>
      </c>
      <c r="N155" s="72" t="inlineStr">
        <is>
          <t>NFE</t>
        </is>
      </c>
      <c r="P155" s="70" t="n">
        <v>103</v>
      </c>
      <c r="Q155" s="72" t="inlineStr">
        <is>
          <t>MILKA FRANCIS</t>
        </is>
      </c>
      <c r="R155" s="72" t="inlineStr">
        <is>
          <t>ESTOQUE DE MERCADORIAS</t>
        </is>
      </c>
      <c r="S155" s="70" t="n">
        <v>1130101</v>
      </c>
      <c r="T155" s="72" t="inlineStr">
        <is>
          <t>MERCADORIAS P/REVENDA</t>
        </is>
      </c>
      <c r="U155" s="73" t="n">
        <v>2987.72</v>
      </c>
      <c r="W155" s="73" t="n">
        <v>0</v>
      </c>
      <c r="X155" s="72" t="inlineStr">
        <is>
          <t>NF 1226733-1/2 MILKA</t>
        </is>
      </c>
      <c r="Z155" s="59">
        <f>IF($T155="","",IFERROR(INDEX('Resumo Grupos'!$AC$3:$AC$200,MATCH($T155,'Resumo Grupos'!$AB$3:$AB$200,0)),"n/d"))</f>
        <v/>
      </c>
      <c r="AA155" s="59">
        <f>IF($T155="","",IF(COUNTIF('Resumo Grupos'!$AE$3:$AE$40,$T155)&gt;0,"NAO","SIM"))</f>
        <v/>
      </c>
    </row>
    <row r="156" ht="45.75" customHeight="1" s="60">
      <c r="A156" s="70" t="n">
        <v>1</v>
      </c>
      <c r="B156" s="71" t="n">
        <v>46164</v>
      </c>
      <c r="C156" s="71" t="n">
        <v>46178</v>
      </c>
      <c r="D156" s="70" t="n">
        <v>10033</v>
      </c>
      <c r="E156" s="72" t="inlineStr">
        <is>
          <t>INNOVAR DISTRIBUIDORA DE COSMETICOS E MEDICAMENTOS LTDA</t>
        </is>
      </c>
      <c r="F156" s="70" t="n">
        <v>24</v>
      </c>
      <c r="G156" s="72" t="inlineStr">
        <is>
          <t>Compra a Prazo - Boletos</t>
        </is>
      </c>
      <c r="H156" s="70" t="n">
        <v>2110101</v>
      </c>
      <c r="I156" s="72" t="inlineStr">
        <is>
          <t>FORNECEDORES DE MERCADORIA</t>
        </is>
      </c>
      <c r="J156" s="70" t="n">
        <v>1137545</v>
      </c>
      <c r="L156" s="70" t="n">
        <v>100830</v>
      </c>
      <c r="M156" s="72" t="inlineStr">
        <is>
          <t>01</t>
        </is>
      </c>
      <c r="N156" s="72" t="inlineStr">
        <is>
          <t>NFE</t>
        </is>
      </c>
      <c r="P156" s="70" t="n">
        <v>103</v>
      </c>
      <c r="Q156" s="72" t="inlineStr">
        <is>
          <t>MILKA FRANCIS</t>
        </is>
      </c>
      <c r="R156" s="72" t="inlineStr">
        <is>
          <t>ESTOQUE DE MERCADORIAS</t>
        </is>
      </c>
      <c r="S156" s="70" t="n">
        <v>1130101</v>
      </c>
      <c r="T156" s="72" t="inlineStr">
        <is>
          <t>MERCADORIAS P/REVENDA</t>
        </is>
      </c>
      <c r="U156" s="73" t="n">
        <v>1358.58</v>
      </c>
      <c r="W156" s="73" t="n">
        <v>0</v>
      </c>
      <c r="X156" s="72" t="inlineStr">
        <is>
          <t>NF100830 -1 MILKA</t>
        </is>
      </c>
      <c r="Z156" s="59">
        <f>IF($T156="","",IFERROR(INDEX('Resumo Grupos'!$AC$3:$AC$200,MATCH($T156,'Resumo Grupos'!$AB$3:$AB$200,0)),"n/d"))</f>
        <v/>
      </c>
      <c r="AA156" s="59">
        <f>IF($T156="","",IF(COUNTIF('Resumo Grupos'!$AE$3:$AE$40,$T156)&gt;0,"NAO","SIM"))</f>
        <v/>
      </c>
    </row>
    <row r="157" ht="45.75" customHeight="1" s="60">
      <c r="A157" s="70" t="n">
        <v>1</v>
      </c>
      <c r="B157" s="71" t="n">
        <v>46164</v>
      </c>
      <c r="C157" s="71" t="n">
        <v>46178</v>
      </c>
      <c r="D157" s="70" t="n">
        <v>1666</v>
      </c>
      <c r="E157" s="72" t="inlineStr">
        <is>
          <t>SOUZA CRUZ LTDA.</t>
        </is>
      </c>
      <c r="F157" s="70" t="n">
        <v>24</v>
      </c>
      <c r="G157" s="72" t="inlineStr">
        <is>
          <t>Compra a Prazo - Boletos</t>
        </is>
      </c>
      <c r="H157" s="70" t="n">
        <v>2110101</v>
      </c>
      <c r="I157" s="72" t="inlineStr">
        <is>
          <t>FORNECEDORES DE MERCADORIA</t>
        </is>
      </c>
      <c r="J157" s="70" t="n">
        <v>1138081</v>
      </c>
      <c r="L157" s="70" t="n">
        <v>475008</v>
      </c>
      <c r="M157" s="72" t="inlineStr">
        <is>
          <t>01</t>
        </is>
      </c>
      <c r="N157" s="72" t="inlineStr">
        <is>
          <t>AVU</t>
        </is>
      </c>
      <c r="P157" s="70" t="n">
        <v>103</v>
      </c>
      <c r="Q157" s="72" t="inlineStr">
        <is>
          <t>MILKA FRANCIS</t>
        </is>
      </c>
      <c r="R157" s="72" t="inlineStr">
        <is>
          <t>ESTOQUE DE MERCADORIAS</t>
        </is>
      </c>
      <c r="S157" s="70" t="n">
        <v>1130101</v>
      </c>
      <c r="T157" s="72" t="inlineStr">
        <is>
          <t>MERCADORIAS P/REVENDA</t>
        </is>
      </c>
      <c r="U157" s="73" t="n">
        <v>5065.67</v>
      </c>
      <c r="W157" s="73" t="n">
        <v>0</v>
      </c>
      <c r="X157" s="72" t="inlineStr">
        <is>
          <t>NF 560924 -01 MILKA</t>
        </is>
      </c>
      <c r="Z157" s="59">
        <f>IF($T157="","",IFERROR(INDEX('Resumo Grupos'!$AC$3:$AC$200,MATCH($T157,'Resumo Grupos'!$AB$3:$AB$200,0)),"n/d"))</f>
        <v/>
      </c>
      <c r="AA157" s="59">
        <f>IF($T157="","",IF(COUNTIF('Resumo Grupos'!$AE$3:$AE$40,$T157)&gt;0,"NAO","SIM"))</f>
        <v/>
      </c>
    </row>
    <row r="158" ht="45.75" customHeight="1" s="60">
      <c r="A158" s="70" t="n">
        <v>1</v>
      </c>
      <c r="B158" s="71" t="n">
        <v>46165</v>
      </c>
      <c r="C158" s="71" t="n">
        <v>46178</v>
      </c>
      <c r="D158" s="70" t="n">
        <v>1270</v>
      </c>
      <c r="E158" s="72" t="inlineStr">
        <is>
          <t>J. S. MOREIRA ALVES LTDA</t>
        </is>
      </c>
      <c r="F158" s="70" t="n">
        <v>24</v>
      </c>
      <c r="G158" s="72" t="inlineStr">
        <is>
          <t>Compra a Prazo - Boletos</t>
        </is>
      </c>
      <c r="H158" s="70" t="n">
        <v>2110101</v>
      </c>
      <c r="I158" s="72" t="inlineStr">
        <is>
          <t>FORNECEDORES DE MERCADORIA</t>
        </is>
      </c>
      <c r="J158" s="70" t="n">
        <v>1142082</v>
      </c>
      <c r="L158" s="70" t="n">
        <v>2426</v>
      </c>
      <c r="M158" s="72" t="inlineStr">
        <is>
          <t>01</t>
        </is>
      </c>
      <c r="N158" s="72" t="inlineStr">
        <is>
          <t>NFE</t>
        </is>
      </c>
      <c r="P158" s="70" t="n">
        <v>103</v>
      </c>
      <c r="Q158" s="72" t="inlineStr">
        <is>
          <t>MILKA FRANCIS</t>
        </is>
      </c>
      <c r="R158" s="72" t="inlineStr">
        <is>
          <t>ESTOQUE DE MERCADORIAS</t>
        </is>
      </c>
      <c r="S158" s="70" t="n">
        <v>1130101</v>
      </c>
      <c r="T158" s="72" t="inlineStr">
        <is>
          <t>MERCADORIAS P/REVENDA</t>
        </is>
      </c>
      <c r="U158" s="73" t="n">
        <v>481.5</v>
      </c>
      <c r="W158" s="73" t="n">
        <v>0</v>
      </c>
      <c r="X158" s="72" t="inlineStr">
        <is>
          <t>NF 2426 - MILKA</t>
        </is>
      </c>
      <c r="Z158" s="59">
        <f>IF($T158="","",IFERROR(INDEX('Resumo Grupos'!$AC$3:$AC$200,MATCH($T158,'Resumo Grupos'!$AB$3:$AB$200,0)),"n/d"))</f>
        <v/>
      </c>
      <c r="AA158" s="59">
        <f>IF($T158="","",IF(COUNTIF('Resumo Grupos'!$AE$3:$AE$40,$T158)&gt;0,"NAO","SIM"))</f>
        <v/>
      </c>
    </row>
    <row r="159" ht="36.75" customHeight="1" s="60">
      <c r="A159" s="70" t="n">
        <v>1</v>
      </c>
      <c r="B159" s="71" t="n">
        <v>46170</v>
      </c>
      <c r="C159" s="71" t="n">
        <v>46178</v>
      </c>
      <c r="D159" s="70" t="n">
        <v>1621</v>
      </c>
      <c r="E159" s="72" t="inlineStr">
        <is>
          <t>CRBS S/A</t>
        </is>
      </c>
      <c r="F159" s="70" t="n">
        <v>24</v>
      </c>
      <c r="G159" s="72" t="inlineStr">
        <is>
          <t>Compra a Prazo - Boletos</t>
        </is>
      </c>
      <c r="H159" s="70" t="n">
        <v>2110101</v>
      </c>
      <c r="I159" s="72" t="inlineStr">
        <is>
          <t>FORNECEDORES DE MERCADORIA</t>
        </is>
      </c>
      <c r="J159" s="70" t="n">
        <v>1168061</v>
      </c>
      <c r="L159" s="70" t="n">
        <v>828802</v>
      </c>
      <c r="M159" s="72" t="inlineStr">
        <is>
          <t>01</t>
        </is>
      </c>
      <c r="N159" s="72" t="inlineStr">
        <is>
          <t>NFE</t>
        </is>
      </c>
      <c r="P159" s="70" t="n">
        <v>103</v>
      </c>
      <c r="Q159" s="72" t="inlineStr">
        <is>
          <t>MILKA FRANCIS</t>
        </is>
      </c>
      <c r="R159" s="72" t="inlineStr">
        <is>
          <t>ESTOQUE DE MERCADORIAS</t>
        </is>
      </c>
      <c r="S159" s="70" t="n">
        <v>1130101</v>
      </c>
      <c r="T159" s="72" t="inlineStr">
        <is>
          <t>MERCADORIAS P/REVENDA</t>
        </is>
      </c>
      <c r="U159" s="73" t="n">
        <v>821.79</v>
      </c>
      <c r="W159" s="73" t="n">
        <v>0</v>
      </c>
      <c r="X159" s="72" t="inlineStr">
        <is>
          <t>NF 828802 - MILKA</t>
        </is>
      </c>
      <c r="Z159" s="59">
        <f>IF($T159="","",IFERROR(INDEX('Resumo Grupos'!$AC$3:$AC$200,MATCH($T159,'Resumo Grupos'!$AB$3:$AB$200,0)),"n/d"))</f>
        <v/>
      </c>
      <c r="AA159" s="59">
        <f>IF($T159="","",IF(COUNTIF('Resumo Grupos'!$AE$3:$AE$40,$T159)&gt;0,"NAO","SIM"))</f>
        <v/>
      </c>
    </row>
    <row r="160" ht="36.75" customHeight="1" s="60">
      <c r="A160" s="70" t="n">
        <v>1</v>
      </c>
      <c r="B160" s="71" t="n">
        <v>46170</v>
      </c>
      <c r="C160" s="71" t="n">
        <v>46178</v>
      </c>
      <c r="D160" s="70" t="n">
        <v>1621</v>
      </c>
      <c r="E160" s="72" t="inlineStr">
        <is>
          <t>CRBS S/A</t>
        </is>
      </c>
      <c r="F160" s="70" t="n">
        <v>24</v>
      </c>
      <c r="G160" s="72" t="inlineStr">
        <is>
          <t>Compra a Prazo - Boletos</t>
        </is>
      </c>
      <c r="H160" s="70" t="n">
        <v>2110101</v>
      </c>
      <c r="I160" s="72" t="inlineStr">
        <is>
          <t>FORNECEDORES DE MERCADORIA</t>
        </is>
      </c>
      <c r="J160" s="70" t="n">
        <v>1168090</v>
      </c>
      <c r="L160" s="70" t="n">
        <v>486906</v>
      </c>
      <c r="M160" s="72" t="inlineStr">
        <is>
          <t>01</t>
        </is>
      </c>
      <c r="N160" s="72" t="inlineStr">
        <is>
          <t>AVU</t>
        </is>
      </c>
      <c r="P160" s="70" t="n">
        <v>103</v>
      </c>
      <c r="Q160" s="72" t="inlineStr">
        <is>
          <t>MILKA FRANCIS</t>
        </is>
      </c>
      <c r="R160" s="72" t="inlineStr">
        <is>
          <t>ESTOQUE DE MERCADORIAS</t>
        </is>
      </c>
      <c r="S160" s="70" t="n">
        <v>1130101</v>
      </c>
      <c r="T160" s="72" t="inlineStr">
        <is>
          <t>MERCADORIAS P/REVENDA</t>
        </is>
      </c>
      <c r="U160" s="73" t="n">
        <v>6321.74</v>
      </c>
      <c r="W160" s="73" t="n">
        <v>0</v>
      </c>
      <c r="X160" s="72" t="inlineStr">
        <is>
          <t>NF 828801 C/TARIFA INCLUSA - MILKA</t>
        </is>
      </c>
      <c r="Z160" s="59">
        <f>IF($T160="","",IFERROR(INDEX('Resumo Grupos'!$AC$3:$AC$200,MATCH($T160,'Resumo Grupos'!$AB$3:$AB$200,0)),"n/d"))</f>
        <v/>
      </c>
      <c r="AA160" s="59">
        <f>IF($T160="","",IF(COUNTIF('Resumo Grupos'!$AE$3:$AE$40,$T160)&gt;0,"NAO","SIM"))</f>
        <v/>
      </c>
    </row>
    <row r="161" ht="27.75" customHeight="1" s="60">
      <c r="A161" s="70" t="n">
        <v>1</v>
      </c>
      <c r="B161" s="71" t="n">
        <v>46170</v>
      </c>
      <c r="C161" s="71" t="n">
        <v>46178</v>
      </c>
      <c r="D161" s="70" t="n">
        <v>1114</v>
      </c>
      <c r="E161" s="72" t="inlineStr">
        <is>
          <t>NT INDUSTRIA E COMERCIO DE PANIFICACAO L</t>
        </is>
      </c>
      <c r="F161" s="70" t="n">
        <v>24</v>
      </c>
      <c r="G161" s="72" t="inlineStr">
        <is>
          <t>Compra a Prazo - Boletos</t>
        </is>
      </c>
      <c r="H161" s="70" t="n">
        <v>2110101</v>
      </c>
      <c r="I161" s="72" t="inlineStr">
        <is>
          <t>FORNECEDORES DE MERCADORIA</t>
        </is>
      </c>
      <c r="J161" s="70" t="n">
        <v>1168537</v>
      </c>
      <c r="L161" s="70" t="n">
        <v>36490</v>
      </c>
      <c r="M161" s="72" t="inlineStr">
        <is>
          <t>01</t>
        </is>
      </c>
      <c r="N161" s="72" t="inlineStr">
        <is>
          <t>NFE</t>
        </is>
      </c>
      <c r="P161" s="70" t="n">
        <v>103</v>
      </c>
      <c r="Q161" s="72" t="inlineStr">
        <is>
          <t>MILKA FRANCIS</t>
        </is>
      </c>
      <c r="R161" s="72" t="inlineStr">
        <is>
          <t>ESTOQUE DE MERCADORIAS</t>
        </is>
      </c>
      <c r="S161" s="70" t="n">
        <v>1130101</v>
      </c>
      <c r="T161" s="72" t="inlineStr">
        <is>
          <t>MERCADORIAS P/REVENDA</t>
        </is>
      </c>
      <c r="U161" s="73" t="n">
        <v>4356.89</v>
      </c>
      <c r="W161" s="73" t="n">
        <v>0</v>
      </c>
      <c r="X161" s="72" t="inlineStr">
        <is>
          <t>NF 36490 - MILKA</t>
        </is>
      </c>
      <c r="Z161" s="59">
        <f>IF($T161="","",IFERROR(INDEX('Resumo Grupos'!$AC$3:$AC$200,MATCH($T161,'Resumo Grupos'!$AB$3:$AB$200,0)),"n/d"))</f>
        <v/>
      </c>
      <c r="AA161" s="59">
        <f>IF($T161="","",IF(COUNTIF('Resumo Grupos'!$AE$3:$AE$40,$T161)&gt;0,"NAO","SIM"))</f>
        <v/>
      </c>
    </row>
    <row r="162" ht="27.75" customHeight="1" s="60">
      <c r="A162" s="70" t="n">
        <v>1</v>
      </c>
      <c r="B162" s="71" t="n">
        <v>46171</v>
      </c>
      <c r="C162" s="71" t="n">
        <v>46178</v>
      </c>
      <c r="D162" s="70" t="n">
        <v>1798</v>
      </c>
      <c r="E162" s="72" t="inlineStr">
        <is>
          <t>ELIAS MARTINS DA SILVA</t>
        </is>
      </c>
      <c r="F162" s="70" t="n">
        <v>24</v>
      </c>
      <c r="G162" s="72" t="inlineStr">
        <is>
          <t>Compra a Prazo - Boletos</t>
        </is>
      </c>
      <c r="H162" s="70" t="n">
        <v>2110101</v>
      </c>
      <c r="I162" s="72" t="inlineStr">
        <is>
          <t>FORNECEDORES DE MERCADORIA</t>
        </is>
      </c>
      <c r="J162" s="70" t="n">
        <v>1172634</v>
      </c>
      <c r="L162" s="70" t="n">
        <v>831478</v>
      </c>
      <c r="M162" s="72" t="inlineStr">
        <is>
          <t>01</t>
        </is>
      </c>
      <c r="N162" s="72" t="inlineStr">
        <is>
          <t>NFE</t>
        </is>
      </c>
      <c r="P162" s="70" t="n">
        <v>103</v>
      </c>
      <c r="Q162" s="72" t="inlineStr">
        <is>
          <t>MILKA FRANCIS</t>
        </is>
      </c>
      <c r="R162" s="72" t="inlineStr">
        <is>
          <t>ESTOQUE DE MERCADORIAS</t>
        </is>
      </c>
      <c r="S162" s="70" t="n">
        <v>1130101</v>
      </c>
      <c r="T162" s="72" t="inlineStr">
        <is>
          <t>MERCADORIAS P/REVENDA</t>
        </is>
      </c>
      <c r="U162" s="73" t="n">
        <v>1275</v>
      </c>
      <c r="W162" s="73" t="n">
        <v>0</v>
      </c>
      <c r="X162" s="72" t="inlineStr">
        <is>
          <t>NF 831478 - MILKA</t>
        </is>
      </c>
      <c r="Z162" s="59">
        <f>IF($T162="","",IFERROR(INDEX('Resumo Grupos'!$AC$3:$AC$200,MATCH($T162,'Resumo Grupos'!$AB$3:$AB$200,0)),"n/d"))</f>
        <v/>
      </c>
      <c r="AA162" s="59">
        <f>IF($T162="","",IF(COUNTIF('Resumo Grupos'!$AE$3:$AE$40,$T162)&gt;0,"NAO","SIM"))</f>
        <v/>
      </c>
    </row>
    <row r="163" ht="27.75" customHeight="1" s="60">
      <c r="A163" s="70" t="n">
        <v>1</v>
      </c>
      <c r="B163" s="71" t="n">
        <v>46172</v>
      </c>
      <c r="C163" s="71" t="n">
        <v>46178</v>
      </c>
      <c r="D163" s="70" t="n">
        <v>754</v>
      </c>
      <c r="E163" s="72" t="inlineStr">
        <is>
          <t>SILVA E SANTOS FRIGORIFICO LTDA</t>
        </is>
      </c>
      <c r="F163" s="70" t="n">
        <v>24</v>
      </c>
      <c r="G163" s="72" t="inlineStr">
        <is>
          <t>Compra a Prazo - Boletos</t>
        </is>
      </c>
      <c r="H163" s="70" t="n">
        <v>2110101</v>
      </c>
      <c r="I163" s="72" t="inlineStr">
        <is>
          <t>FORNECEDORES DE MERCADORIA</t>
        </is>
      </c>
      <c r="J163" s="70" t="n">
        <v>1176040</v>
      </c>
      <c r="L163" s="70" t="n">
        <v>30722</v>
      </c>
      <c r="M163" s="72" t="inlineStr">
        <is>
          <t>01</t>
        </is>
      </c>
      <c r="N163" s="72" t="inlineStr">
        <is>
          <t>NFE</t>
        </is>
      </c>
      <c r="P163" s="70" t="n">
        <v>103</v>
      </c>
      <c r="Q163" s="72" t="inlineStr">
        <is>
          <t>MILKA FRANCIS</t>
        </is>
      </c>
      <c r="R163" s="72" t="inlineStr">
        <is>
          <t>ESTOQUE DE MERCADORIAS</t>
        </is>
      </c>
      <c r="S163" s="70" t="n">
        <v>1130101</v>
      </c>
      <c r="T163" s="72" t="inlineStr">
        <is>
          <t>MERCADORIAS P/REVENDA</t>
        </is>
      </c>
      <c r="U163" s="73" t="n">
        <v>2642.4</v>
      </c>
      <c r="W163" s="73" t="n">
        <v>0</v>
      </c>
      <c r="X163" s="72" t="inlineStr">
        <is>
          <t>NF 30722 - MILKA</t>
        </is>
      </c>
      <c r="Z163" s="59">
        <f>IF($T163="","",IFERROR(INDEX('Resumo Grupos'!$AC$3:$AC$200,MATCH($T163,'Resumo Grupos'!$AB$3:$AB$200,0)),"n/d"))</f>
        <v/>
      </c>
      <c r="AA163" s="59">
        <f>IF($T163="","",IF(COUNTIF('Resumo Grupos'!$AE$3:$AE$40,$T163)&gt;0,"NAO","SIM"))</f>
        <v/>
      </c>
    </row>
    <row r="164" ht="36.75" customHeight="1" s="60">
      <c r="A164" s="70" t="n">
        <v>1</v>
      </c>
      <c r="B164" s="71" t="n">
        <v>46172</v>
      </c>
      <c r="C164" s="71" t="n">
        <v>46178</v>
      </c>
      <c r="D164" s="70" t="n">
        <v>1642</v>
      </c>
      <c r="E164" s="72" t="inlineStr">
        <is>
          <t>BROTHERS  INDUSTRIA DE ALIMENTOS LTDA</t>
        </is>
      </c>
      <c r="F164" s="70" t="n">
        <v>24</v>
      </c>
      <c r="G164" s="72" t="inlineStr">
        <is>
          <t>Compra a Prazo - Boletos</t>
        </is>
      </c>
      <c r="H164" s="70" t="n">
        <v>2110101</v>
      </c>
      <c r="I164" s="72" t="inlineStr">
        <is>
          <t>FORNECEDORES DE MERCADORIA</t>
        </is>
      </c>
      <c r="J164" s="70" t="n">
        <v>1176355</v>
      </c>
      <c r="L164" s="70" t="n">
        <v>1024607</v>
      </c>
      <c r="M164" s="72" t="inlineStr">
        <is>
          <t>01</t>
        </is>
      </c>
      <c r="N164" s="72" t="inlineStr">
        <is>
          <t>NFE</t>
        </is>
      </c>
      <c r="P164" s="70" t="n">
        <v>103</v>
      </c>
      <c r="Q164" s="72" t="inlineStr">
        <is>
          <t>MILKA FRANCIS</t>
        </is>
      </c>
      <c r="R164" s="72" t="inlineStr">
        <is>
          <t>ESTOQUE DE MERCADORIAS</t>
        </is>
      </c>
      <c r="S164" s="70" t="n">
        <v>1130101</v>
      </c>
      <c r="T164" s="72" t="inlineStr">
        <is>
          <t>MERCADORIAS P/REVENDA</t>
        </is>
      </c>
      <c r="U164" s="73" t="n">
        <v>662.7</v>
      </c>
      <c r="W164" s="73" t="n">
        <v>0</v>
      </c>
      <c r="X164" s="72" t="inlineStr">
        <is>
          <t>NF1024607 - MILKA</t>
        </is>
      </c>
      <c r="Z164" s="59">
        <f>IF($T164="","",IFERROR(INDEX('Resumo Grupos'!$AC$3:$AC$200,MATCH($T164,'Resumo Grupos'!$AB$3:$AB$200,0)),"n/d"))</f>
        <v/>
      </c>
      <c r="AA164" s="59">
        <f>IF($T164="","",IF(COUNTIF('Resumo Grupos'!$AE$3:$AE$40,$T164)&gt;0,"NAO","SIM"))</f>
        <v/>
      </c>
    </row>
    <row r="165" ht="36.75" customHeight="1" s="60">
      <c r="A165" s="70" t="n">
        <v>1</v>
      </c>
      <c r="B165" s="71" t="n">
        <v>46172</v>
      </c>
      <c r="C165" s="71" t="n">
        <v>46178</v>
      </c>
      <c r="D165" s="70" t="n">
        <v>1286</v>
      </c>
      <c r="E165" s="72" t="inlineStr">
        <is>
          <t>VITAPAN COMERCIO VAREJISTA DE PRODUTOS ALIMENTICIOS LTDA</t>
        </is>
      </c>
      <c r="F165" s="70" t="n">
        <v>24</v>
      </c>
      <c r="G165" s="72" t="inlineStr">
        <is>
          <t>Compra a Prazo - Boletos</t>
        </is>
      </c>
      <c r="H165" s="70" t="n">
        <v>2110101</v>
      </c>
      <c r="I165" s="72" t="inlineStr">
        <is>
          <t>FORNECEDORES DE MERCADORIA</t>
        </is>
      </c>
      <c r="J165" s="70" t="n">
        <v>1176606</v>
      </c>
      <c r="L165" s="70" t="n">
        <v>9986</v>
      </c>
      <c r="M165" s="72" t="inlineStr">
        <is>
          <t>01</t>
        </is>
      </c>
      <c r="N165" s="72" t="inlineStr">
        <is>
          <t>NFE</t>
        </is>
      </c>
      <c r="P165" s="70" t="n">
        <v>103</v>
      </c>
      <c r="Q165" s="72" t="inlineStr">
        <is>
          <t>MILKA FRANCIS</t>
        </is>
      </c>
      <c r="R165" s="72" t="inlineStr">
        <is>
          <t>ESTOQUE DE MERCADORIAS</t>
        </is>
      </c>
      <c r="S165" s="70" t="n">
        <v>1130101</v>
      </c>
      <c r="T165" s="72" t="inlineStr">
        <is>
          <t>MERCADORIAS P/REVENDA</t>
        </is>
      </c>
      <c r="U165" s="73" t="n">
        <v>648</v>
      </c>
      <c r="W165" s="73" t="n">
        <v>0</v>
      </c>
      <c r="X165" s="72" t="inlineStr">
        <is>
          <t>NF 9986 - MILKA</t>
        </is>
      </c>
      <c r="Z165" s="59">
        <f>IF($T165="","",IFERROR(INDEX('Resumo Grupos'!$AC$3:$AC$200,MATCH($T165,'Resumo Grupos'!$AB$3:$AB$200,0)),"n/d"))</f>
        <v/>
      </c>
      <c r="AA165" s="59">
        <f>IF($T165="","",IF(COUNTIF('Resumo Grupos'!$AE$3:$AE$40,$T165)&gt;0,"NAO","SIM"))</f>
        <v/>
      </c>
    </row>
    <row r="166" ht="36.75" customHeight="1" s="60">
      <c r="A166" s="70" t="n">
        <v>1</v>
      </c>
      <c r="B166" s="71" t="n">
        <v>46172</v>
      </c>
      <c r="C166" s="71" t="n">
        <v>46178</v>
      </c>
      <c r="D166" s="70" t="n">
        <v>1292</v>
      </c>
      <c r="E166" s="72" t="inlineStr">
        <is>
          <t>SAO JOSE COMERCIO DE LATICINIOS E FRIOS</t>
        </is>
      </c>
      <c r="F166" s="70" t="n">
        <v>24</v>
      </c>
      <c r="G166" s="72" t="inlineStr">
        <is>
          <t>Compra a Prazo - Boletos</t>
        </is>
      </c>
      <c r="H166" s="70" t="n">
        <v>2110101</v>
      </c>
      <c r="I166" s="72" t="inlineStr">
        <is>
          <t>FORNECEDORES DE MERCADORIA</t>
        </is>
      </c>
      <c r="J166" s="70" t="n">
        <v>1176931</v>
      </c>
      <c r="L166" s="70" t="n">
        <v>3288</v>
      </c>
      <c r="M166" s="72" t="inlineStr">
        <is>
          <t>01</t>
        </is>
      </c>
      <c r="N166" s="72" t="inlineStr">
        <is>
          <t>NFE</t>
        </is>
      </c>
      <c r="P166" s="70" t="n">
        <v>103</v>
      </c>
      <c r="Q166" s="72" t="inlineStr">
        <is>
          <t>MILKA FRANCIS</t>
        </is>
      </c>
      <c r="R166" s="72" t="inlineStr">
        <is>
          <t>ESTOQUE DE MERCADORIAS</t>
        </is>
      </c>
      <c r="S166" s="70" t="n">
        <v>1130101</v>
      </c>
      <c r="T166" s="72" t="inlineStr">
        <is>
          <t>MERCADORIAS P/REVENDA</t>
        </is>
      </c>
      <c r="U166" s="73" t="n">
        <v>1909</v>
      </c>
      <c r="W166" s="73" t="n">
        <v>0</v>
      </c>
      <c r="X166" s="72" t="inlineStr">
        <is>
          <t>NF 3288 SABORE FATIADO - MILKA</t>
        </is>
      </c>
      <c r="Z166" s="59">
        <f>IF($T166="","",IFERROR(INDEX('Resumo Grupos'!$AC$3:$AC$200,MATCH($T166,'Resumo Grupos'!$AB$3:$AB$200,0)),"n/d"))</f>
        <v/>
      </c>
      <c r="AA166" s="59">
        <f>IF($T166="","",IF(COUNTIF('Resumo Grupos'!$AE$3:$AE$40,$T166)&gt;0,"NAO","SIM"))</f>
        <v/>
      </c>
    </row>
    <row r="167" ht="72.75" customHeight="1" s="60">
      <c r="A167" s="70" t="n">
        <v>1</v>
      </c>
      <c r="B167" s="71" t="n">
        <v>46172</v>
      </c>
      <c r="C167" s="71" t="n">
        <v>46178</v>
      </c>
      <c r="D167" s="70" t="n">
        <v>1328</v>
      </c>
      <c r="E167" s="72" t="inlineStr">
        <is>
          <t>NOVA FRIOS COMERCIO ATACADISTA DE LATICINIOS LTDA</t>
        </is>
      </c>
      <c r="F167" s="70" t="n">
        <v>24</v>
      </c>
      <c r="G167" s="72" t="inlineStr">
        <is>
          <t>Compra a Prazo - Boletos</t>
        </is>
      </c>
      <c r="H167" s="70" t="n">
        <v>2110101</v>
      </c>
      <c r="I167" s="72" t="inlineStr">
        <is>
          <t>FORNECEDORES DE MERCADORIA</t>
        </is>
      </c>
      <c r="J167" s="70" t="n">
        <v>1176958</v>
      </c>
      <c r="L167" s="70" t="n">
        <v>3591</v>
      </c>
      <c r="M167" s="72" t="inlineStr">
        <is>
          <t>01</t>
        </is>
      </c>
      <c r="N167" s="72" t="inlineStr">
        <is>
          <t>NFE</t>
        </is>
      </c>
      <c r="P167" s="70" t="n">
        <v>103</v>
      </c>
      <c r="Q167" s="72" t="inlineStr">
        <is>
          <t>MILKA FRANCIS</t>
        </is>
      </c>
      <c r="R167" s="72" t="inlineStr">
        <is>
          <t>ESTOQUE DE MERCADORIAS</t>
        </is>
      </c>
      <c r="S167" s="70" t="n">
        <v>1130101</v>
      </c>
      <c r="T167" s="72" t="inlineStr">
        <is>
          <t>MERCADORIAS P/REVENDA</t>
        </is>
      </c>
      <c r="U167" s="73" t="n">
        <v>190.8</v>
      </c>
      <c r="W167" s="73" t="n">
        <v>0</v>
      </c>
      <c r="X167" s="72" t="inlineStr">
        <is>
          <t>NF 3591 - MILKA</t>
        </is>
      </c>
      <c r="Z167" s="59">
        <f>IF($T167="","",IFERROR(INDEX('Resumo Grupos'!$AC$3:$AC$200,MATCH($T167,'Resumo Grupos'!$AB$3:$AB$200,0)),"n/d"))</f>
        <v/>
      </c>
      <c r="AA167" s="59">
        <f>IF($T167="","",IF(COUNTIF('Resumo Grupos'!$AE$3:$AE$40,$T167)&gt;0,"NAO","SIM"))</f>
        <v/>
      </c>
    </row>
    <row r="168" ht="72.75" customHeight="1" s="60">
      <c r="A168" s="70" t="n">
        <v>1</v>
      </c>
      <c r="B168" s="71" t="n">
        <v>46174</v>
      </c>
      <c r="C168" s="71" t="n">
        <v>46178</v>
      </c>
      <c r="D168" s="70" t="n">
        <v>794</v>
      </c>
      <c r="E168" s="72" t="inlineStr">
        <is>
          <t>EDMARA COMERCIO DE HIGIENE PESSOAL LTDA</t>
        </is>
      </c>
      <c r="F168" s="70" t="n">
        <v>24</v>
      </c>
      <c r="G168" s="72" t="inlineStr">
        <is>
          <t>Compra a Prazo - Boletos</t>
        </is>
      </c>
      <c r="H168" s="70" t="n">
        <v>2110102</v>
      </c>
      <c r="I168" s="72" t="inlineStr">
        <is>
          <t>OUTROS FORNECEDORES</t>
        </is>
      </c>
      <c r="J168" s="70" t="n">
        <v>1187889</v>
      </c>
      <c r="L168" s="70" t="n">
        <v>7906</v>
      </c>
      <c r="M168" s="72" t="inlineStr">
        <is>
          <t>01</t>
        </is>
      </c>
      <c r="N168" s="72" t="inlineStr">
        <is>
          <t>NFE</t>
        </is>
      </c>
      <c r="P168" s="70" t="n">
        <v>103</v>
      </c>
      <c r="Q168" s="72" t="inlineStr">
        <is>
          <t>MILKA FRANCIS</t>
        </is>
      </c>
      <c r="R168" s="72" t="inlineStr">
        <is>
          <t>DESPESAS OPERACIONAIS</t>
        </is>
      </c>
      <c r="S168" s="70" t="n">
        <v>4210204</v>
      </c>
      <c r="T168" s="72" t="inlineStr">
        <is>
          <t>MATERIAL DE CONSUMO</t>
        </is>
      </c>
      <c r="U168" s="73" t="n">
        <v>2710</v>
      </c>
      <c r="W168" s="73" t="n">
        <v>0</v>
      </c>
      <c r="X168" s="72" t="inlineStr">
        <is>
          <t>NF 7906 - MILKA</t>
        </is>
      </c>
      <c r="Z168" s="59">
        <f>IF($T168="","",IFERROR(INDEX('Resumo Grupos'!$AC$3:$AC$200,MATCH($T168,'Resumo Grupos'!$AB$3:$AB$200,0)),"n/d"))</f>
        <v/>
      </c>
      <c r="AA168" s="59">
        <f>IF($T168="","",IF(COUNTIF('Resumo Grupos'!$AE$3:$AE$40,$T168)&gt;0,"NAO","SIM"))</f>
        <v/>
      </c>
    </row>
    <row r="169" ht="36.75" customHeight="1" s="60">
      <c r="A169" s="70" t="n">
        <v>1</v>
      </c>
      <c r="B169" s="71" t="n">
        <v>46175</v>
      </c>
      <c r="C169" s="71" t="n">
        <v>46178</v>
      </c>
      <c r="D169" s="70" t="n">
        <v>1899</v>
      </c>
      <c r="E169" s="72" t="inlineStr">
        <is>
          <t>PANIFICADORA E CONFEITARIA REAL MADRI LTDA</t>
        </is>
      </c>
      <c r="F169" s="70" t="n">
        <v>24</v>
      </c>
      <c r="G169" s="72" t="inlineStr">
        <is>
          <t>Compra a Prazo - Boletos</t>
        </is>
      </c>
      <c r="H169" s="70" t="n">
        <v>2110101</v>
      </c>
      <c r="I169" s="72" t="inlineStr">
        <is>
          <t>FORNECEDORES DE MERCADORIA</t>
        </is>
      </c>
      <c r="J169" s="70" t="n">
        <v>1191285</v>
      </c>
      <c r="L169" s="70" t="n">
        <v>642</v>
      </c>
      <c r="M169" s="72" t="inlineStr">
        <is>
          <t>01</t>
        </is>
      </c>
      <c r="N169" s="72" t="inlineStr">
        <is>
          <t>NFE</t>
        </is>
      </c>
      <c r="P169" s="70" t="n">
        <v>103</v>
      </c>
      <c r="Q169" s="72" t="inlineStr">
        <is>
          <t>MILKA FRANCIS</t>
        </is>
      </c>
      <c r="R169" s="72" t="inlineStr">
        <is>
          <t>ESTOQUE DE MERCADORIAS</t>
        </is>
      </c>
      <c r="S169" s="70" t="n">
        <v>1130101</v>
      </c>
      <c r="T169" s="72" t="inlineStr">
        <is>
          <t>MERCADORIAS P/REVENDA</t>
        </is>
      </c>
      <c r="U169" s="73" t="n">
        <v>304.75</v>
      </c>
      <c r="W169" s="73" t="n">
        <v>0</v>
      </c>
      <c r="X169" s="72" t="inlineStr">
        <is>
          <t>NF 642 - MILKA</t>
        </is>
      </c>
      <c r="Z169" s="59">
        <f>IF($T169="","",IFERROR(INDEX('Resumo Grupos'!$AC$3:$AC$200,MATCH($T169,'Resumo Grupos'!$AB$3:$AB$200,0)),"n/d"))</f>
        <v/>
      </c>
      <c r="AA169" s="59">
        <f>IF($T169="","",IF(COUNTIF('Resumo Grupos'!$AE$3:$AE$40,$T169)&gt;0,"NAO","SIM"))</f>
        <v/>
      </c>
    </row>
    <row r="170" ht="36.75" customHeight="1" s="60">
      <c r="A170" s="70" t="n">
        <v>1</v>
      </c>
      <c r="B170" s="71" t="n">
        <v>46175</v>
      </c>
      <c r="C170" s="71" t="n">
        <v>46178</v>
      </c>
      <c r="D170" s="70" t="n">
        <v>10018</v>
      </c>
      <c r="E170" s="72" t="inlineStr">
        <is>
          <t>ADRIANO FEITOSA OLIVEIRA LTDA</t>
        </is>
      </c>
      <c r="F170" s="70" t="n">
        <v>34</v>
      </c>
      <c r="G170" s="72" t="inlineStr">
        <is>
          <t>Transferencia Pix</t>
        </is>
      </c>
      <c r="H170" s="70" t="n">
        <v>2110101</v>
      </c>
      <c r="I170" s="72" t="inlineStr">
        <is>
          <t>FORNECEDORES DE MERCADORIA</t>
        </is>
      </c>
      <c r="J170" s="70" t="n">
        <v>1193288</v>
      </c>
      <c r="L170" s="70" t="n">
        <v>288</v>
      </c>
      <c r="M170" s="72" t="inlineStr">
        <is>
          <t>01</t>
        </is>
      </c>
      <c r="N170" s="72" t="inlineStr">
        <is>
          <t>NFE</t>
        </is>
      </c>
      <c r="P170" s="70" t="n">
        <v>103</v>
      </c>
      <c r="Q170" s="72" t="inlineStr">
        <is>
          <t>MILKA FRANCIS</t>
        </is>
      </c>
      <c r="R170" s="72" t="inlineStr">
        <is>
          <t>ESTOQUE DE MERCADORIAS</t>
        </is>
      </c>
      <c r="S170" s="70" t="n">
        <v>1130101</v>
      </c>
      <c r="T170" s="72" t="inlineStr">
        <is>
          <t>MERCADORIAS P/REVENDA</t>
        </is>
      </c>
      <c r="U170" s="73" t="n">
        <v>1330</v>
      </c>
      <c r="W170" s="73" t="n">
        <v>0</v>
      </c>
      <c r="X170" s="72" t="inlineStr">
        <is>
          <t>NF 288 - MILKA</t>
        </is>
      </c>
      <c r="Z170" s="59">
        <f>IF($T170="","",IFERROR(INDEX('Resumo Grupos'!$AC$3:$AC$200,MATCH($T170,'Resumo Grupos'!$AB$3:$AB$200,0)),"n/d"))</f>
        <v/>
      </c>
      <c r="AA170" s="59">
        <f>IF($T170="","",IF(COUNTIF('Resumo Grupos'!$AE$3:$AE$40,$T170)&gt;0,"NAO","SIM"))</f>
        <v/>
      </c>
    </row>
    <row r="171" ht="36.75" customHeight="1" s="60">
      <c r="A171" s="70" t="n">
        <v>1</v>
      </c>
      <c r="B171" s="71" t="n">
        <v>46178</v>
      </c>
      <c r="C171" s="71" t="n">
        <v>46178</v>
      </c>
      <c r="D171" s="70" t="n">
        <v>714</v>
      </c>
      <c r="E171" s="72" t="inlineStr">
        <is>
          <t>CARMEM ELIZA</t>
        </is>
      </c>
      <c r="F171" s="70" t="n">
        <v>34</v>
      </c>
      <c r="G171" s="72" t="inlineStr">
        <is>
          <t>Transferencia Pix</t>
        </is>
      </c>
      <c r="H171" s="70" t="n">
        <v>2110405</v>
      </c>
      <c r="I171" s="72" t="inlineStr">
        <is>
          <t>CONTAS A PAGAR</t>
        </is>
      </c>
      <c r="J171" s="70" t="n">
        <v>1207135</v>
      </c>
      <c r="L171" s="70" t="n">
        <v>502146</v>
      </c>
      <c r="M171" s="72" t="inlineStr">
        <is>
          <t>01</t>
        </is>
      </c>
      <c r="N171" s="72" t="inlineStr">
        <is>
          <t>AVU</t>
        </is>
      </c>
      <c r="P171" s="70" t="n">
        <v>101</v>
      </c>
      <c r="Q171" s="72" t="inlineStr">
        <is>
          <t>KEILA LIMA</t>
        </is>
      </c>
      <c r="R171" s="72" t="inlineStr">
        <is>
          <t>DESPESAS COMERCIAIS</t>
        </is>
      </c>
      <c r="S171" s="70" t="n">
        <v>4210111</v>
      </c>
      <c r="T171" s="72" t="inlineStr">
        <is>
          <t>ALUGUEIS PAGOS A PF</t>
        </is>
      </c>
      <c r="U171" s="73" t="n">
        <v>3000</v>
      </c>
      <c r="W171" s="73" t="n">
        <v>0</v>
      </c>
      <c r="X171" s="72" t="inlineStr">
        <is>
          <t xml:space="preserve">ALUGUEL MO1 - </t>
        </is>
      </c>
      <c r="Z171" s="59">
        <f>IF($T171="","",IFERROR(INDEX('Resumo Grupos'!$AC$3:$AC$200,MATCH($T171,'Resumo Grupos'!$AB$3:$AB$200,0)),"n/d"))</f>
        <v/>
      </c>
      <c r="AA171" s="59">
        <f>IF($T171="","",IF(COUNTIF('Resumo Grupos'!$AE$3:$AE$40,$T171)&gt;0,"NAO","SIM"))</f>
        <v/>
      </c>
    </row>
    <row r="172" ht="45.75" customHeight="1" s="60">
      <c r="A172" s="70" t="n">
        <v>1</v>
      </c>
      <c r="B172" s="71" t="n">
        <v>46178</v>
      </c>
      <c r="C172" s="71" t="n">
        <v>46178</v>
      </c>
      <c r="D172" s="70" t="n">
        <v>714</v>
      </c>
      <c r="E172" s="72" t="inlineStr">
        <is>
          <t>CARMEM ELIZA</t>
        </is>
      </c>
      <c r="F172" s="70" t="n">
        <v>34</v>
      </c>
      <c r="G172" s="72" t="inlineStr">
        <is>
          <t>Transferencia Pix</t>
        </is>
      </c>
      <c r="H172" s="70" t="n">
        <v>1110202</v>
      </c>
      <c r="I172" s="72" t="inlineStr">
        <is>
          <t>BANCO ITAU Lj 01</t>
        </is>
      </c>
      <c r="J172" s="70" t="n">
        <v>1207137</v>
      </c>
      <c r="L172" s="70" t="n">
        <v>502147</v>
      </c>
      <c r="M172" s="72" t="inlineStr">
        <is>
          <t>01</t>
        </is>
      </c>
      <c r="N172" s="72" t="inlineStr">
        <is>
          <t>AVU</t>
        </is>
      </c>
      <c r="P172" s="70" t="n">
        <v>101</v>
      </c>
      <c r="Q172" s="72" t="inlineStr">
        <is>
          <t>KEILA LIMA</t>
        </is>
      </c>
      <c r="R172" s="72" t="inlineStr">
        <is>
          <t>DESPESAS NAO OPERACIONAIS</t>
        </is>
      </c>
      <c r="S172" s="70" t="n">
        <v>4220199</v>
      </c>
      <c r="T172" s="72" t="inlineStr">
        <is>
          <t>PAGAMENTOS OUTROS NAO OPERACIONAIS</t>
        </is>
      </c>
      <c r="U172" s="73" t="n">
        <v>6000</v>
      </c>
      <c r="W172" s="73" t="n">
        <v>0</v>
      </c>
      <c r="X172" s="72" t="inlineStr">
        <is>
          <t xml:space="preserve">ALUGUEL NAO SOMAR MO1 </t>
        </is>
      </c>
      <c r="Z172" s="59">
        <f>IF($T172="","",IFERROR(INDEX('Resumo Grupos'!$AC$3:$AC$200,MATCH($T172,'Resumo Grupos'!$AB$3:$AB$200,0)),"n/d"))</f>
        <v/>
      </c>
      <c r="AA172" s="59">
        <f>IF($T172="","",IF(COUNTIF('Resumo Grupos'!$AE$3:$AE$40,$T172)&gt;0,"NAO","SIM"))</f>
        <v/>
      </c>
    </row>
    <row r="173" ht="45.75" customHeight="1" s="60">
      <c r="A173" s="70" t="n">
        <v>1</v>
      </c>
      <c r="B173" s="71" t="n">
        <v>46178</v>
      </c>
      <c r="C173" s="71" t="n">
        <v>46178</v>
      </c>
      <c r="D173" s="70" t="n">
        <v>16</v>
      </c>
      <c r="E173" s="72" t="inlineStr">
        <is>
          <t>RENATO DE OLIVEIRA AZEVEDO</t>
        </is>
      </c>
      <c r="F173" s="70" t="n">
        <v>34</v>
      </c>
      <c r="G173" s="72" t="inlineStr">
        <is>
          <t>Transferencia Pix</t>
        </is>
      </c>
      <c r="H173" s="70" t="n">
        <v>2110405</v>
      </c>
      <c r="I173" s="72" t="inlineStr">
        <is>
          <t>CONTAS A PAGAR</t>
        </is>
      </c>
      <c r="J173" s="70" t="n">
        <v>1207139</v>
      </c>
      <c r="L173" s="70" t="n">
        <v>502148</v>
      </c>
      <c r="M173" s="72" t="inlineStr">
        <is>
          <t>01</t>
        </is>
      </c>
      <c r="N173" s="72" t="inlineStr">
        <is>
          <t>AVU</t>
        </is>
      </c>
      <c r="P173" s="70" t="n">
        <v>101</v>
      </c>
      <c r="Q173" s="72" t="inlineStr">
        <is>
          <t>KEILA LIMA</t>
        </is>
      </c>
      <c r="R173" s="72" t="inlineStr">
        <is>
          <t>DESPESAS NAO OPERACIONAIS</t>
        </is>
      </c>
      <c r="S173" s="70" t="n">
        <v>4220199</v>
      </c>
      <c r="T173" s="72" t="inlineStr">
        <is>
          <t>PAGAMENTOS OUTROS NAO OPERACIONAIS</t>
        </is>
      </c>
      <c r="U173" s="73" t="n">
        <v>500</v>
      </c>
      <c r="W173" s="73" t="n">
        <v>0</v>
      </c>
      <c r="X173" s="72" t="inlineStr">
        <is>
          <t>ALUGUEL MO1 NAO SOMAR</t>
        </is>
      </c>
      <c r="Z173" s="59">
        <f>IF($T173="","",IFERROR(INDEX('Resumo Grupos'!$AC$3:$AC$200,MATCH($T173,'Resumo Grupos'!$AB$3:$AB$200,0)),"n/d"))</f>
        <v/>
      </c>
      <c r="AA173" s="59">
        <f>IF($T173="","",IF(COUNTIF('Resumo Grupos'!$AE$3:$AE$40,$T173)&gt;0,"NAO","SIM"))</f>
        <v/>
      </c>
    </row>
    <row r="174" ht="63.75" customHeight="1" s="60">
      <c r="A174" s="70" t="n">
        <v>1</v>
      </c>
      <c r="B174" s="71" t="n">
        <v>46178</v>
      </c>
      <c r="C174" s="71" t="n">
        <v>46178</v>
      </c>
      <c r="D174" s="70" t="n">
        <v>1137</v>
      </c>
      <c r="E174" s="72" t="inlineStr">
        <is>
          <t xml:space="preserve">FOLHA DE PAGAMENTO </t>
        </is>
      </c>
      <c r="F174" s="70" t="n">
        <v>34</v>
      </c>
      <c r="G174" s="72" t="inlineStr">
        <is>
          <t>Transferencia Pix</t>
        </is>
      </c>
      <c r="H174" s="70" t="n">
        <v>1110202</v>
      </c>
      <c r="I174" s="72" t="inlineStr">
        <is>
          <t>BANCO ITAU Lj 01</t>
        </is>
      </c>
      <c r="J174" s="70" t="n">
        <v>1207186</v>
      </c>
      <c r="L174" s="70" t="n">
        <v>502160</v>
      </c>
      <c r="M174" s="72" t="inlineStr">
        <is>
          <t>01</t>
        </is>
      </c>
      <c r="N174" s="72" t="inlineStr">
        <is>
          <t>AVU</t>
        </is>
      </c>
      <c r="P174" s="70" t="n">
        <v>101</v>
      </c>
      <c r="Q174" s="72" t="inlineStr">
        <is>
          <t>KEILA LIMA</t>
        </is>
      </c>
      <c r="R174" s="72" t="inlineStr">
        <is>
          <t>DESPESAS COM PESSOAL</t>
        </is>
      </c>
      <c r="S174" s="70" t="n">
        <v>4210309</v>
      </c>
      <c r="T174" s="72" t="inlineStr">
        <is>
          <t>VALE TRANSPORTE</t>
        </is>
      </c>
      <c r="U174" s="73" t="n">
        <v>520</v>
      </c>
      <c r="W174" s="73" t="n">
        <v>0</v>
      </c>
      <c r="X174" s="72" t="inlineStr">
        <is>
          <t xml:space="preserve">VALE TRANSP MO1 - </t>
        </is>
      </c>
      <c r="Z174" s="59">
        <f>IF($T174="","",IFERROR(INDEX('Resumo Grupos'!$AC$3:$AC$200,MATCH($T174,'Resumo Grupos'!$AB$3:$AB$200,0)),"n/d"))</f>
        <v/>
      </c>
      <c r="AA174" s="59">
        <f>IF($T174="","",IF(COUNTIF('Resumo Grupos'!$AE$3:$AE$40,$T174)&gt;0,"NAO","SIM"))</f>
        <v/>
      </c>
    </row>
    <row r="175" ht="36.75" customHeight="1" s="60">
      <c r="A175" s="70" t="n">
        <v>1</v>
      </c>
      <c r="B175" s="71" t="n">
        <v>46178</v>
      </c>
      <c r="C175" s="71" t="n">
        <v>46178</v>
      </c>
      <c r="D175" s="70" t="n">
        <v>33</v>
      </c>
      <c r="E175" s="72" t="inlineStr">
        <is>
          <t>RENATO DE O AZEVEDO E CIA LTDA - EPP</t>
        </is>
      </c>
      <c r="F175" s="70" t="n">
        <v>34</v>
      </c>
      <c r="G175" s="72" t="inlineStr">
        <is>
          <t>Transferencia Pix</t>
        </is>
      </c>
      <c r="H175" s="70" t="n">
        <v>2110101</v>
      </c>
      <c r="I175" s="72" t="inlineStr">
        <is>
          <t>FORNECEDORES DE MERCADORIA</t>
        </is>
      </c>
      <c r="J175" s="70" t="n">
        <v>1207923</v>
      </c>
      <c r="L175" s="70" t="n">
        <v>5086</v>
      </c>
      <c r="M175" s="72" t="inlineStr">
        <is>
          <t>01</t>
        </is>
      </c>
      <c r="N175" s="72" t="inlineStr">
        <is>
          <t>NFE</t>
        </is>
      </c>
      <c r="P175" s="70" t="n">
        <v>104</v>
      </c>
      <c r="Q175" s="72" t="inlineStr">
        <is>
          <t>DEBORA COSTA</t>
        </is>
      </c>
      <c r="R175" s="72" t="inlineStr">
        <is>
          <t>ESTOQUE DE MERCADORIAS</t>
        </is>
      </c>
      <c r="S175" s="70" t="n">
        <v>1130101</v>
      </c>
      <c r="T175" s="72" t="inlineStr">
        <is>
          <t>MERCADORIAS P/REVENDA</t>
        </is>
      </c>
      <c r="U175" s="73" t="n">
        <v>3602.44</v>
      </c>
      <c r="W175" s="73" t="n">
        <v>0</v>
      </c>
      <c r="X175" s="72" t="inlineStr">
        <is>
          <t>FEIRA SR RENATO - DEBORA</t>
        </is>
      </c>
      <c r="Z175" s="59">
        <f>IF($T175="","",IFERROR(INDEX('Resumo Grupos'!$AC$3:$AC$200,MATCH($T175,'Resumo Grupos'!$AB$3:$AB$200,0)),"n/d"))</f>
        <v/>
      </c>
      <c r="AA175" s="59">
        <f>IF($T175="","",IF(COUNTIF('Resumo Grupos'!$AE$3:$AE$40,$T175)&gt;0,"NAO","SIM"))</f>
        <v/>
      </c>
    </row>
    <row r="176" ht="36.75" customHeight="1" s="60">
      <c r="A176" s="70" t="n">
        <v>1</v>
      </c>
      <c r="B176" s="71" t="n">
        <v>46178</v>
      </c>
      <c r="C176" s="71" t="n">
        <v>46178</v>
      </c>
      <c r="D176" s="70" t="n">
        <v>1137</v>
      </c>
      <c r="E176" s="72" t="inlineStr">
        <is>
          <t xml:space="preserve">FOLHA DE PAGAMENTO </t>
        </is>
      </c>
      <c r="F176" s="70" t="n">
        <v>34</v>
      </c>
      <c r="G176" s="72" t="inlineStr">
        <is>
          <t>Transferencia Pix</t>
        </is>
      </c>
      <c r="H176" s="70" t="n">
        <v>2110405</v>
      </c>
      <c r="I176" s="72" t="inlineStr">
        <is>
          <t>CONTAS A PAGAR</t>
        </is>
      </c>
      <c r="J176" s="70" t="n">
        <v>1208274</v>
      </c>
      <c r="L176" s="70" t="n">
        <v>502516</v>
      </c>
      <c r="M176" s="72" t="inlineStr">
        <is>
          <t>01</t>
        </is>
      </c>
      <c r="N176" s="72" t="inlineStr">
        <is>
          <t>AVU</t>
        </is>
      </c>
      <c r="P176" s="70" t="n">
        <v>101</v>
      </c>
      <c r="Q176" s="72" t="inlineStr">
        <is>
          <t>KEILA LIMA</t>
        </is>
      </c>
      <c r="R176" s="72" t="inlineStr">
        <is>
          <t>DESPESAS COM PESSOAL</t>
        </is>
      </c>
      <c r="S176" s="70" t="n">
        <v>4210301</v>
      </c>
      <c r="T176" s="72" t="inlineStr">
        <is>
          <t>SALARIOS</t>
        </is>
      </c>
      <c r="U176" s="73" t="n">
        <v>16970.11</v>
      </c>
      <c r="W176" s="73" t="n">
        <v>0</v>
      </c>
      <c r="X176" s="72" t="inlineStr">
        <is>
          <t>FOLHA DE PAGAMENTO MO1 05/26 - KEILA</t>
        </is>
      </c>
      <c r="Z176" s="59">
        <f>IF($T176="","",IFERROR(INDEX('Resumo Grupos'!$AC$3:$AC$200,MATCH($T176,'Resumo Grupos'!$AB$3:$AB$200,0)),"n/d"))</f>
        <v/>
      </c>
      <c r="AA176" s="59">
        <f>IF($T176="","",IF(COUNTIF('Resumo Grupos'!$AE$3:$AE$40,$T176)&gt;0,"NAO","SIM"))</f>
        <v/>
      </c>
    </row>
    <row r="177" ht="45.75" customHeight="1" s="60">
      <c r="A177" s="70" t="n">
        <v>1</v>
      </c>
      <c r="B177" s="71" t="n">
        <v>46178</v>
      </c>
      <c r="C177" s="71" t="n">
        <v>46178</v>
      </c>
      <c r="D177" s="70" t="n">
        <v>10035</v>
      </c>
      <c r="E177" s="72" t="inlineStr">
        <is>
          <t>J W N DOS SANTOS</t>
        </is>
      </c>
      <c r="F177" s="70" t="n">
        <v>13</v>
      </c>
      <c r="G177" s="72" t="inlineStr">
        <is>
          <t>Compra a Vista</t>
        </is>
      </c>
      <c r="H177" s="70" t="n">
        <v>2110101</v>
      </c>
      <c r="I177" s="72" t="inlineStr">
        <is>
          <t>FORNECEDORES DE MERCADORIA</t>
        </is>
      </c>
      <c r="J177" s="70" t="n">
        <v>1228363</v>
      </c>
      <c r="L177" s="70" t="n">
        <v>296</v>
      </c>
      <c r="M177" s="72" t="inlineStr">
        <is>
          <t>01</t>
        </is>
      </c>
      <c r="N177" s="72" t="inlineStr">
        <is>
          <t>NFE</t>
        </is>
      </c>
      <c r="P177" s="70" t="n">
        <v>104</v>
      </c>
      <c r="Q177" s="72" t="inlineStr">
        <is>
          <t>DEBORA COSTA</t>
        </is>
      </c>
      <c r="R177" s="72" t="inlineStr">
        <is>
          <t>ESTOQUE DE MERCADORIAS</t>
        </is>
      </c>
      <c r="S177" s="70" t="n">
        <v>1130101</v>
      </c>
      <c r="T177" s="72" t="inlineStr">
        <is>
          <t>MERCADORIAS P/REVENDA</t>
        </is>
      </c>
      <c r="U177" s="73" t="n">
        <v>381</v>
      </c>
      <c r="W177" s="73" t="n">
        <v>0</v>
      </c>
      <c r="X177" s="72" t="inlineStr">
        <is>
          <t>NF 296 - DEBORA</t>
        </is>
      </c>
      <c r="Z177" s="59">
        <f>IF($T177="","",IFERROR(INDEX('Resumo Grupos'!$AC$3:$AC$200,MATCH($T177,'Resumo Grupos'!$AB$3:$AB$200,0)),"n/d"))</f>
        <v/>
      </c>
      <c r="AA177" s="59">
        <f>IF($T177="","",IF(COUNTIF('Resumo Grupos'!$AE$3:$AE$40,$T177)&gt;0,"NAO","SIM"))</f>
        <v/>
      </c>
    </row>
    <row r="178" ht="36.75" customHeight="1" s="60">
      <c r="A178" s="70" t="n">
        <v>1</v>
      </c>
      <c r="B178" s="71" t="n">
        <v>46178</v>
      </c>
      <c r="C178" s="71" t="n">
        <v>46178</v>
      </c>
      <c r="D178" s="70" t="n">
        <v>1038</v>
      </c>
      <c r="E178" s="72" t="inlineStr">
        <is>
          <t>MANOEL TEXEIRA DE SOUZA RESTAURANTE</t>
        </is>
      </c>
      <c r="F178" s="70" t="n">
        <v>13</v>
      </c>
      <c r="G178" s="72" t="inlineStr">
        <is>
          <t>Compra a Vista</t>
        </is>
      </c>
      <c r="H178" s="70" t="n">
        <v>2110101</v>
      </c>
      <c r="I178" s="72" t="inlineStr">
        <is>
          <t>FORNECEDORES DE MERCADORIA</t>
        </is>
      </c>
      <c r="J178" s="70" t="n">
        <v>1228408</v>
      </c>
      <c r="L178" s="70" t="n">
        <v>5943</v>
      </c>
      <c r="M178" s="72" t="inlineStr">
        <is>
          <t>01</t>
        </is>
      </c>
      <c r="N178" s="72" t="inlineStr">
        <is>
          <t>NFE</t>
        </is>
      </c>
      <c r="P178" s="70" t="n">
        <v>104</v>
      </c>
      <c r="Q178" s="72" t="inlineStr">
        <is>
          <t>DEBORA COSTA</t>
        </is>
      </c>
      <c r="R178" s="72" t="inlineStr">
        <is>
          <t>ESTOQUE DE MERCADORIAS</t>
        </is>
      </c>
      <c r="S178" s="70" t="n">
        <v>1130101</v>
      </c>
      <c r="T178" s="72" t="inlineStr">
        <is>
          <t>MERCADORIAS P/REVENDA</t>
        </is>
      </c>
      <c r="U178" s="73" t="n">
        <v>520</v>
      </c>
      <c r="W178" s="73" t="n">
        <v>0</v>
      </c>
      <c r="X178" s="72" t="inlineStr">
        <is>
          <t>NF 5943 - DEBORA</t>
        </is>
      </c>
      <c r="Z178" s="59">
        <f>IF($T178="","",IFERROR(INDEX('Resumo Grupos'!$AC$3:$AC$200,MATCH($T178,'Resumo Grupos'!$AB$3:$AB$200,0)),"n/d"))</f>
        <v/>
      </c>
      <c r="AA178" s="59">
        <f>IF($T178="","",IF(COUNTIF('Resumo Grupos'!$AE$3:$AE$40,$T178)&gt;0,"NAO","SIM"))</f>
        <v/>
      </c>
    </row>
    <row r="179" ht="36.75" customHeight="1" s="60">
      <c r="A179" s="70" t="n">
        <v>1</v>
      </c>
      <c r="B179" s="71" t="n">
        <v>46142</v>
      </c>
      <c r="C179" s="71" t="n">
        <v>46179</v>
      </c>
      <c r="D179" s="70" t="n">
        <v>607</v>
      </c>
      <c r="E179" s="72" t="inlineStr">
        <is>
          <t>PRIME PET DISTRIBUIDORA LTDA</t>
        </is>
      </c>
      <c r="F179" s="70" t="n">
        <v>24</v>
      </c>
      <c r="G179" s="72" t="inlineStr">
        <is>
          <t>Compra a Prazo - Boletos</t>
        </is>
      </c>
      <c r="H179" s="70" t="n">
        <v>2110101</v>
      </c>
      <c r="I179" s="72" t="inlineStr">
        <is>
          <t>FORNECEDORES DE MERCADORIA</t>
        </is>
      </c>
      <c r="J179" s="70" t="n">
        <v>1028242</v>
      </c>
      <c r="L179" s="70" t="n">
        <v>10262</v>
      </c>
      <c r="M179" s="72" t="inlineStr">
        <is>
          <t>02</t>
        </is>
      </c>
      <c r="N179" s="72" t="inlineStr">
        <is>
          <t>NFE</t>
        </is>
      </c>
      <c r="P179" s="70" t="n">
        <v>103</v>
      </c>
      <c r="Q179" s="72" t="inlineStr">
        <is>
          <t>MILKA FRANCIS</t>
        </is>
      </c>
      <c r="R179" s="72" t="inlineStr">
        <is>
          <t>ESTOQUE DE MERCADORIAS</t>
        </is>
      </c>
      <c r="S179" s="70" t="n">
        <v>1130101</v>
      </c>
      <c r="T179" s="72" t="inlineStr">
        <is>
          <t>MERCADORIAS P/REVENDA</t>
        </is>
      </c>
      <c r="U179" s="73" t="n">
        <v>1488.3</v>
      </c>
      <c r="W179" s="73" t="n">
        <v>0</v>
      </c>
      <c r="X179" s="72" t="inlineStr">
        <is>
          <t>NF 10262 -02/09 MILKA</t>
        </is>
      </c>
      <c r="Z179" s="59">
        <f>IF($T179="","",IFERROR(INDEX('Resumo Grupos'!$AC$3:$AC$200,MATCH($T179,'Resumo Grupos'!$AB$3:$AB$200,0)),"n/d"))</f>
        <v/>
      </c>
      <c r="AA179" s="59">
        <f>IF($T179="","",IF(COUNTIF('Resumo Grupos'!$AE$3:$AE$40,$T179)&gt;0,"NAO","SIM"))</f>
        <v/>
      </c>
    </row>
    <row r="180" ht="36.75" customHeight="1" s="60">
      <c r="A180" s="70" t="n">
        <v>1</v>
      </c>
      <c r="B180" s="71" t="n">
        <v>46157</v>
      </c>
      <c r="C180" s="71" t="n">
        <v>46179</v>
      </c>
      <c r="D180" s="70" t="n">
        <v>1671</v>
      </c>
      <c r="E180" s="72" t="inlineStr">
        <is>
          <t>TAPAJOS COM DE PERFUMARIA COSMETICOS E G</t>
        </is>
      </c>
      <c r="F180" s="70" t="n">
        <v>24</v>
      </c>
      <c r="G180" s="72" t="inlineStr">
        <is>
          <t>Compra a Prazo - Boletos</t>
        </is>
      </c>
      <c r="H180" s="70" t="n">
        <v>2110101</v>
      </c>
      <c r="I180" s="72" t="inlineStr">
        <is>
          <t>FORNECEDORES DE MERCADORIA</t>
        </is>
      </c>
      <c r="J180" s="70" t="n">
        <v>1101724</v>
      </c>
      <c r="L180" s="70" t="n">
        <v>461526</v>
      </c>
      <c r="M180" s="72" t="inlineStr">
        <is>
          <t>02</t>
        </is>
      </c>
      <c r="N180" s="72" t="inlineStr">
        <is>
          <t>AVU</t>
        </is>
      </c>
      <c r="P180" s="70" t="n">
        <v>103</v>
      </c>
      <c r="Q180" s="72" t="inlineStr">
        <is>
          <t>MILKA FRANCIS</t>
        </is>
      </c>
      <c r="R180" s="72" t="inlineStr">
        <is>
          <t>ESTOQUE DE MERCADORIAS</t>
        </is>
      </c>
      <c r="S180" s="70" t="n">
        <v>1130101</v>
      </c>
      <c r="T180" s="72" t="inlineStr">
        <is>
          <t>MERCADORIAS P/REVENDA</t>
        </is>
      </c>
      <c r="U180" s="73" t="n">
        <v>1703.51</v>
      </c>
      <c r="W180" s="73" t="n">
        <v>0</v>
      </c>
      <c r="X180" s="72" t="inlineStr">
        <is>
          <t>NF 569357-2 MILKA</t>
        </is>
      </c>
      <c r="Z180" s="59">
        <f>IF($T180="","",IFERROR(INDEX('Resumo Grupos'!$AC$3:$AC$200,MATCH($T180,'Resumo Grupos'!$AB$3:$AB$200,0)),"n/d"))</f>
        <v/>
      </c>
      <c r="AA180" s="59">
        <f>IF($T180="","",IF(COUNTIF('Resumo Grupos'!$AE$3:$AE$40,$T180)&gt;0,"NAO","SIM"))</f>
        <v/>
      </c>
    </row>
    <row r="181" ht="36.75" customHeight="1" s="60">
      <c r="A181" s="70" t="n">
        <v>1</v>
      </c>
      <c r="B181" s="71" t="n">
        <v>46165</v>
      </c>
      <c r="C181" s="71" t="n">
        <v>46179</v>
      </c>
      <c r="D181" s="70" t="n">
        <v>1705</v>
      </c>
      <c r="E181" s="72" t="inlineStr">
        <is>
          <t>BRASIL NORTE BEBIDAS S/A</t>
        </is>
      </c>
      <c r="F181" s="70" t="n">
        <v>24</v>
      </c>
      <c r="G181" s="72" t="inlineStr">
        <is>
          <t>Compra a Prazo - Boletos</t>
        </is>
      </c>
      <c r="H181" s="70" t="n">
        <v>2110101</v>
      </c>
      <c r="I181" s="72" t="inlineStr">
        <is>
          <t>FORNECEDORES DE MERCADORIA</t>
        </is>
      </c>
      <c r="J181" s="70" t="n">
        <v>1141489</v>
      </c>
      <c r="L181" s="70" t="n">
        <v>1133761</v>
      </c>
      <c r="M181" s="72" t="inlineStr">
        <is>
          <t>01</t>
        </is>
      </c>
      <c r="N181" s="72" t="inlineStr">
        <is>
          <t>NFE</t>
        </is>
      </c>
      <c r="P181" s="70" t="n">
        <v>103</v>
      </c>
      <c r="Q181" s="72" t="inlineStr">
        <is>
          <t>MILKA FRANCIS</t>
        </is>
      </c>
      <c r="R181" s="72" t="inlineStr">
        <is>
          <t>ESTOQUE DE MERCADORIAS</t>
        </is>
      </c>
      <c r="S181" s="70" t="n">
        <v>1130101</v>
      </c>
      <c r="T181" s="72" t="inlineStr">
        <is>
          <t>MERCADORIAS P/REVENDA</t>
        </is>
      </c>
      <c r="U181" s="73" t="n">
        <v>1942.1</v>
      </c>
      <c r="W181" s="73" t="n">
        <v>0</v>
      </c>
      <c r="X181" s="72" t="inlineStr">
        <is>
          <t>NF 1133761 - MILKA</t>
        </is>
      </c>
      <c r="Z181" s="59">
        <f>IF($T181="","",IFERROR(INDEX('Resumo Grupos'!$AC$3:$AC$200,MATCH($T181,'Resumo Grupos'!$AB$3:$AB$200,0)),"n/d"))</f>
        <v/>
      </c>
      <c r="AA181" s="59">
        <f>IF($T181="","",IF(COUNTIF('Resumo Grupos'!$AE$3:$AE$40,$T181)&gt;0,"NAO","SIM"))</f>
        <v/>
      </c>
    </row>
    <row r="182" ht="54.75" customHeight="1" s="60">
      <c r="A182" s="70" t="n">
        <v>1</v>
      </c>
      <c r="B182" s="71" t="n">
        <v>46165</v>
      </c>
      <c r="C182" s="71" t="n">
        <v>46179</v>
      </c>
      <c r="D182" s="70" t="n">
        <v>1705</v>
      </c>
      <c r="E182" s="72" t="inlineStr">
        <is>
          <t>BRASIL NORTE BEBIDAS S/A</t>
        </is>
      </c>
      <c r="F182" s="70" t="n">
        <v>24</v>
      </c>
      <c r="G182" s="72" t="inlineStr">
        <is>
          <t>Compra a Prazo - Boletos</t>
        </is>
      </c>
      <c r="H182" s="70" t="n">
        <v>2110101</v>
      </c>
      <c r="I182" s="72" t="inlineStr">
        <is>
          <t>FORNECEDORES DE MERCADORIA</t>
        </is>
      </c>
      <c r="J182" s="70" t="n">
        <v>1141555</v>
      </c>
      <c r="L182" s="70" t="n">
        <v>1845122</v>
      </c>
      <c r="M182" s="72" t="inlineStr">
        <is>
          <t>01</t>
        </is>
      </c>
      <c r="N182" s="72" t="inlineStr">
        <is>
          <t>NFE</t>
        </is>
      </c>
      <c r="P182" s="70" t="n">
        <v>103</v>
      </c>
      <c r="Q182" s="72" t="inlineStr">
        <is>
          <t>MILKA FRANCIS</t>
        </is>
      </c>
      <c r="R182" s="72" t="inlineStr">
        <is>
          <t>ESTOQUE DE MERCADORIAS</t>
        </is>
      </c>
      <c r="S182" s="70" t="n">
        <v>1130101</v>
      </c>
      <c r="T182" s="72" t="inlineStr">
        <is>
          <t>MERCADORIAS P/REVENDA</t>
        </is>
      </c>
      <c r="U182" s="73" t="n">
        <v>1554.81</v>
      </c>
      <c r="W182" s="73" t="n">
        <v>0</v>
      </c>
      <c r="X182" s="72" t="inlineStr">
        <is>
          <t>NF 1845122 - MILKA</t>
        </is>
      </c>
      <c r="Z182" s="59">
        <f>IF($T182="","",IFERROR(INDEX('Resumo Grupos'!$AC$3:$AC$200,MATCH($T182,'Resumo Grupos'!$AB$3:$AB$200,0)),"n/d"))</f>
        <v/>
      </c>
      <c r="AA182" s="59">
        <f>IF($T182="","",IF(COUNTIF('Resumo Grupos'!$AE$3:$AE$40,$T182)&gt;0,"NAO","SIM"))</f>
        <v/>
      </c>
    </row>
    <row r="183" ht="54.75" customHeight="1" s="60">
      <c r="A183" s="70" t="n">
        <v>1</v>
      </c>
      <c r="B183" s="71" t="n">
        <v>46168</v>
      </c>
      <c r="C183" s="71" t="n">
        <v>46179</v>
      </c>
      <c r="D183" s="70" t="n">
        <v>1625</v>
      </c>
      <c r="E183" s="72" t="inlineStr">
        <is>
          <t>MAXFRI DISTRIUIDORA LTDA</t>
        </is>
      </c>
      <c r="F183" s="70" t="n">
        <v>24</v>
      </c>
      <c r="G183" s="72" t="inlineStr">
        <is>
          <t>Compra a Prazo - Boletos</t>
        </is>
      </c>
      <c r="H183" s="70" t="n">
        <v>2110101</v>
      </c>
      <c r="I183" s="72" t="inlineStr">
        <is>
          <t>FORNECEDORES DE MERCADORIA</t>
        </is>
      </c>
      <c r="J183" s="70" t="n">
        <v>1156814</v>
      </c>
      <c r="L183" s="70" t="n">
        <v>14304</v>
      </c>
      <c r="M183" s="72" t="inlineStr">
        <is>
          <t>01</t>
        </is>
      </c>
      <c r="N183" s="72" t="inlineStr">
        <is>
          <t>NFE</t>
        </is>
      </c>
      <c r="P183" s="70" t="n">
        <v>103</v>
      </c>
      <c r="Q183" s="72" t="inlineStr">
        <is>
          <t>MILKA FRANCIS</t>
        </is>
      </c>
      <c r="R183" s="72" t="inlineStr">
        <is>
          <t>ESTOQUE DE MERCADORIAS</t>
        </is>
      </c>
      <c r="S183" s="70" t="n">
        <v>1130101</v>
      </c>
      <c r="T183" s="72" t="inlineStr">
        <is>
          <t>MERCADORIAS P/REVENDA</t>
        </is>
      </c>
      <c r="U183" s="73" t="n">
        <v>6977.6</v>
      </c>
      <c r="W183" s="73" t="n">
        <v>0</v>
      </c>
      <c r="X183" s="72" t="inlineStr">
        <is>
          <t>NF 14304 - MILKA</t>
        </is>
      </c>
      <c r="Z183" s="59">
        <f>IF($T183="","",IFERROR(INDEX('Resumo Grupos'!$AC$3:$AC$200,MATCH($T183,'Resumo Grupos'!$AB$3:$AB$200,0)),"n/d"))</f>
        <v/>
      </c>
      <c r="AA183" s="59">
        <f>IF($T183="","",IF(COUNTIF('Resumo Grupos'!$AE$3:$AE$40,$T183)&gt;0,"NAO","SIM"))</f>
        <v/>
      </c>
    </row>
    <row r="184" ht="36.75" customHeight="1" s="60">
      <c r="A184" s="70" t="n">
        <v>1</v>
      </c>
      <c r="B184" s="71" t="n">
        <v>46170</v>
      </c>
      <c r="C184" s="71" t="n">
        <v>46179</v>
      </c>
      <c r="D184" s="70" t="n">
        <v>1723</v>
      </c>
      <c r="E184" s="72" t="inlineStr">
        <is>
          <t>COMERCIO DE FRIOS MANAUS LTDA</t>
        </is>
      </c>
      <c r="F184" s="70" t="n">
        <v>24</v>
      </c>
      <c r="G184" s="72" t="inlineStr">
        <is>
          <t>Compra a Prazo - Boletos</t>
        </is>
      </c>
      <c r="H184" s="70" t="n">
        <v>2110101</v>
      </c>
      <c r="I184" s="72" t="inlineStr">
        <is>
          <t>FORNECEDORES DE MERCADORIA</t>
        </is>
      </c>
      <c r="J184" s="70" t="n">
        <v>1166335</v>
      </c>
      <c r="L184" s="70" t="n">
        <v>170654</v>
      </c>
      <c r="M184" s="72" t="inlineStr">
        <is>
          <t>01</t>
        </is>
      </c>
      <c r="N184" s="72" t="inlineStr">
        <is>
          <t>NFE</t>
        </is>
      </c>
      <c r="P184" s="70" t="n">
        <v>103</v>
      </c>
      <c r="Q184" s="72" t="inlineStr">
        <is>
          <t>MILKA FRANCIS</t>
        </is>
      </c>
      <c r="R184" s="72" t="inlineStr">
        <is>
          <t>ESTOQUE DE MERCADORIAS</t>
        </is>
      </c>
      <c r="S184" s="70" t="n">
        <v>1130101</v>
      </c>
      <c r="T184" s="72" t="inlineStr">
        <is>
          <t>MERCADORIAS P/REVENDA</t>
        </is>
      </c>
      <c r="U184" s="73" t="n">
        <v>2658.6</v>
      </c>
      <c r="W184" s="73" t="n">
        <v>0</v>
      </c>
      <c r="X184" s="72" t="inlineStr">
        <is>
          <t>NF 170654 - MILKA</t>
        </is>
      </c>
      <c r="Z184" s="59">
        <f>IF($T184="","",IFERROR(INDEX('Resumo Grupos'!$AC$3:$AC$200,MATCH($T184,'Resumo Grupos'!$AB$3:$AB$200,0)),"n/d"))</f>
        <v/>
      </c>
      <c r="AA184" s="59">
        <f>IF($T184="","",IF(COUNTIF('Resumo Grupos'!$AE$3:$AE$40,$T184)&gt;0,"NAO","SIM"))</f>
        <v/>
      </c>
    </row>
    <row r="185" ht="54.75" customHeight="1" s="60">
      <c r="A185" s="70" t="n">
        <v>1</v>
      </c>
      <c r="B185" s="71" t="n">
        <v>46174</v>
      </c>
      <c r="C185" s="71" t="n">
        <v>46179</v>
      </c>
      <c r="D185" s="70" t="n">
        <v>1625</v>
      </c>
      <c r="E185" s="72" t="inlineStr">
        <is>
          <t>MAXFRI DISTRIUIDORA LTDA</t>
        </is>
      </c>
      <c r="F185" s="70" t="n">
        <v>24</v>
      </c>
      <c r="G185" s="72" t="inlineStr">
        <is>
          <t>Compra a Prazo - Boletos</t>
        </is>
      </c>
      <c r="H185" s="70" t="n">
        <v>2110101</v>
      </c>
      <c r="I185" s="72" t="inlineStr">
        <is>
          <t>FORNECEDORES DE MERCADORIA</t>
        </is>
      </c>
      <c r="J185" s="70" t="n">
        <v>1188385</v>
      </c>
      <c r="L185" s="70" t="n">
        <v>14363</v>
      </c>
      <c r="M185" s="72" t="inlineStr">
        <is>
          <t>01</t>
        </is>
      </c>
      <c r="N185" s="72" t="inlineStr">
        <is>
          <t>NFE</t>
        </is>
      </c>
      <c r="P185" s="70" t="n">
        <v>103</v>
      </c>
      <c r="Q185" s="72" t="inlineStr">
        <is>
          <t>MILKA FRANCIS</t>
        </is>
      </c>
      <c r="R185" s="72" t="inlineStr">
        <is>
          <t>ESTOQUE DE MERCADORIAS</t>
        </is>
      </c>
      <c r="S185" s="70" t="n">
        <v>1130101</v>
      </c>
      <c r="T185" s="72" t="inlineStr">
        <is>
          <t>MERCADORIAS P/REVENDA</t>
        </is>
      </c>
      <c r="U185" s="73" t="n">
        <v>11363.2</v>
      </c>
      <c r="W185" s="73" t="n">
        <v>0</v>
      </c>
      <c r="X185" s="72" t="inlineStr">
        <is>
          <t>NF 14363 - MILKA</t>
        </is>
      </c>
      <c r="Z185" s="59">
        <f>IF($T185="","",IFERROR(INDEX('Resumo Grupos'!$AC$3:$AC$200,MATCH($T185,'Resumo Grupos'!$AB$3:$AB$200,0)),"n/d"))</f>
        <v/>
      </c>
      <c r="AA185" s="59">
        <f>IF($T185="","",IF(COUNTIF('Resumo Grupos'!$AE$3:$AE$40,$T185)&gt;0,"NAO","SIM"))</f>
        <v/>
      </c>
    </row>
    <row r="186" ht="36.75" customHeight="1" s="60">
      <c r="A186" s="70" t="n">
        <v>1</v>
      </c>
      <c r="B186" s="71" t="n">
        <v>46174</v>
      </c>
      <c r="C186" s="71" t="n">
        <v>46179</v>
      </c>
      <c r="D186" s="70" t="n">
        <v>754</v>
      </c>
      <c r="E186" s="72" t="inlineStr">
        <is>
          <t>SILVA E SANTOS FRIGORIFICO LTDA</t>
        </is>
      </c>
      <c r="F186" s="70" t="n">
        <v>24</v>
      </c>
      <c r="G186" s="72" t="inlineStr">
        <is>
          <t>Compra a Prazo - Boletos</t>
        </is>
      </c>
      <c r="H186" s="70" t="n">
        <v>2110101</v>
      </c>
      <c r="I186" s="72" t="inlineStr">
        <is>
          <t>FORNECEDORES DE MERCADORIA</t>
        </is>
      </c>
      <c r="J186" s="70" t="n">
        <v>1188444</v>
      </c>
      <c r="L186" s="70" t="n">
        <v>30770</v>
      </c>
      <c r="M186" s="72" t="inlineStr">
        <is>
          <t>01</t>
        </is>
      </c>
      <c r="N186" s="72" t="inlineStr">
        <is>
          <t>NFE</t>
        </is>
      </c>
      <c r="P186" s="70" t="n">
        <v>103</v>
      </c>
      <c r="Q186" s="72" t="inlineStr">
        <is>
          <t>MILKA FRANCIS</t>
        </is>
      </c>
      <c r="R186" s="72" t="inlineStr">
        <is>
          <t>ESTOQUE DE MERCADORIAS</t>
        </is>
      </c>
      <c r="S186" s="70" t="n">
        <v>1130101</v>
      </c>
      <c r="T186" s="72" t="inlineStr">
        <is>
          <t>MERCADORIAS P/REVENDA</t>
        </is>
      </c>
      <c r="U186" s="73" t="n">
        <v>3055.2</v>
      </c>
      <c r="W186" s="73" t="n">
        <v>0</v>
      </c>
      <c r="X186" s="72" t="inlineStr">
        <is>
          <t>NF 30770 - MILKA</t>
        </is>
      </c>
      <c r="Z186" s="59">
        <f>IF($T186="","",IFERROR(INDEX('Resumo Grupos'!$AC$3:$AC$200,MATCH($T186,'Resumo Grupos'!$AB$3:$AB$200,0)),"n/d"))</f>
        <v/>
      </c>
      <c r="AA186" s="59">
        <f>IF($T186="","",IF(COUNTIF('Resumo Grupos'!$AE$3:$AE$40,$T186)&gt;0,"NAO","SIM"))</f>
        <v/>
      </c>
    </row>
    <row r="187" ht="45.75" customHeight="1" s="60">
      <c r="A187" s="70" t="n">
        <v>1</v>
      </c>
      <c r="B187" s="71" t="n">
        <v>46175</v>
      </c>
      <c r="C187" s="71" t="n">
        <v>46179</v>
      </c>
      <c r="D187" s="70" t="n">
        <v>1363</v>
      </c>
      <c r="E187" s="72" t="inlineStr">
        <is>
          <t>JAB COMERCIO DE PRODUTOS ALIMENTICIOS LT</t>
        </is>
      </c>
      <c r="F187" s="70" t="n">
        <v>24</v>
      </c>
      <c r="G187" s="72" t="inlineStr">
        <is>
          <t>Compra a Prazo - Boletos</t>
        </is>
      </c>
      <c r="H187" s="70" t="n">
        <v>2110101</v>
      </c>
      <c r="I187" s="72" t="inlineStr">
        <is>
          <t>FORNECEDORES DE MERCADORIA</t>
        </is>
      </c>
      <c r="J187" s="70" t="n">
        <v>1193391</v>
      </c>
      <c r="L187" s="70" t="n">
        <v>3284</v>
      </c>
      <c r="M187" s="72" t="inlineStr">
        <is>
          <t>01</t>
        </is>
      </c>
      <c r="N187" s="72" t="inlineStr">
        <is>
          <t>NFE</t>
        </is>
      </c>
      <c r="P187" s="70" t="n">
        <v>103</v>
      </c>
      <c r="Q187" s="72" t="inlineStr">
        <is>
          <t>MILKA FRANCIS</t>
        </is>
      </c>
      <c r="R187" s="72" t="inlineStr">
        <is>
          <t>ESTOQUE DE MERCADORIAS</t>
        </is>
      </c>
      <c r="S187" s="70" t="n">
        <v>1130101</v>
      </c>
      <c r="T187" s="72" t="inlineStr">
        <is>
          <t>MERCADORIAS P/REVENDA</t>
        </is>
      </c>
      <c r="U187" s="73" t="n">
        <v>331</v>
      </c>
      <c r="W187" s="73" t="n">
        <v>0</v>
      </c>
      <c r="X187" s="72" t="inlineStr">
        <is>
          <t>NF 3284 SANTOPAO - MILKA</t>
        </is>
      </c>
      <c r="Z187" s="59">
        <f>IF($T187="","",IFERROR(INDEX('Resumo Grupos'!$AC$3:$AC$200,MATCH($T187,'Resumo Grupos'!$AB$3:$AB$200,0)),"n/d"))</f>
        <v/>
      </c>
      <c r="AA187" s="59">
        <f>IF($T187="","",IF(COUNTIF('Resumo Grupos'!$AE$3:$AE$40,$T187)&gt;0,"NAO","SIM"))</f>
        <v/>
      </c>
    </row>
    <row r="188" ht="54.75" customHeight="1" s="60">
      <c r="A188" s="70" t="n">
        <v>1</v>
      </c>
      <c r="B188" s="71" t="n">
        <v>46178</v>
      </c>
      <c r="C188" s="71" t="n">
        <v>46179</v>
      </c>
      <c r="D188" s="70" t="n">
        <v>33</v>
      </c>
      <c r="E188" s="72" t="inlineStr">
        <is>
          <t>RENATO DE O AZEVEDO E CIA LTDA - EPP</t>
        </is>
      </c>
      <c r="F188" s="70" t="n">
        <v>34</v>
      </c>
      <c r="G188" s="72" t="inlineStr">
        <is>
          <t>Transferencia Pix</t>
        </is>
      </c>
      <c r="H188" s="70" t="n">
        <v>2110101</v>
      </c>
      <c r="I188" s="72" t="inlineStr">
        <is>
          <t>FORNECEDORES DE MERCADORIA</t>
        </is>
      </c>
      <c r="J188" s="70" t="n">
        <v>1207605</v>
      </c>
      <c r="L188" s="70" t="n">
        <v>5081</v>
      </c>
      <c r="M188" s="72" t="inlineStr">
        <is>
          <t>01</t>
        </is>
      </c>
      <c r="N188" s="72" t="inlineStr">
        <is>
          <t>NFE</t>
        </is>
      </c>
      <c r="P188" s="70" t="n">
        <v>104</v>
      </c>
      <c r="Q188" s="72" t="inlineStr">
        <is>
          <t>DEBORA COSTA</t>
        </is>
      </c>
      <c r="R188" s="72" t="inlineStr">
        <is>
          <t>ESTOQUE DE MERCADORIAS</t>
        </is>
      </c>
      <c r="S188" s="70" t="n">
        <v>1130101</v>
      </c>
      <c r="T188" s="72" t="inlineStr">
        <is>
          <t>MERCADORIAS P/REVENDA</t>
        </is>
      </c>
      <c r="U188" s="73" t="n">
        <v>3701</v>
      </c>
      <c r="W188" s="73" t="n">
        <v>0</v>
      </c>
      <c r="X188" s="72" t="inlineStr">
        <is>
          <t>FEIRA CARLOS - DEBORA</t>
        </is>
      </c>
      <c r="Z188" s="59">
        <f>IF($T188="","",IFERROR(INDEX('Resumo Grupos'!$AC$3:$AC$200,MATCH($T188,'Resumo Grupos'!$AB$3:$AB$200,0)),"n/d"))</f>
        <v/>
      </c>
      <c r="AA188" s="59">
        <f>IF($T188="","",IF(COUNTIF('Resumo Grupos'!$AE$3:$AE$40,$T188)&gt;0,"NAO","SIM"))</f>
        <v/>
      </c>
    </row>
    <row r="189" ht="54.75" customHeight="1" s="60">
      <c r="A189" s="70" t="n">
        <v>1</v>
      </c>
      <c r="B189" s="71" t="n">
        <v>46178</v>
      </c>
      <c r="C189" s="71" t="n">
        <v>46179</v>
      </c>
      <c r="D189" s="70" t="n">
        <v>1615</v>
      </c>
      <c r="E189" s="72" t="inlineStr">
        <is>
          <t>COMERCIO E TRANSPORTE BRANDAO LTDA</t>
        </is>
      </c>
      <c r="F189" s="70" t="n">
        <v>34</v>
      </c>
      <c r="G189" s="72" t="inlineStr">
        <is>
          <t>Transferencia Pix</t>
        </is>
      </c>
      <c r="H189" s="70" t="n">
        <v>2110101</v>
      </c>
      <c r="I189" s="72" t="inlineStr">
        <is>
          <t>FORNECEDORES DE MERCADORIA</t>
        </is>
      </c>
      <c r="J189" s="70" t="n">
        <v>1207696</v>
      </c>
      <c r="L189" s="70" t="n">
        <v>14623</v>
      </c>
      <c r="M189" s="72" t="inlineStr">
        <is>
          <t>01</t>
        </is>
      </c>
      <c r="N189" s="72" t="inlineStr">
        <is>
          <t>NFE</t>
        </is>
      </c>
      <c r="P189" s="70" t="n">
        <v>104</v>
      </c>
      <c r="Q189" s="72" t="inlineStr">
        <is>
          <t>DEBORA COSTA</t>
        </is>
      </c>
      <c r="R189" s="72" t="inlineStr">
        <is>
          <t>ESTOQUE DE MERCADORIAS</t>
        </is>
      </c>
      <c r="S189" s="70" t="n">
        <v>1130101</v>
      </c>
      <c r="T189" s="72" t="inlineStr">
        <is>
          <t>MERCADORIAS P/REVENDA</t>
        </is>
      </c>
      <c r="U189" s="73" t="n">
        <v>1210</v>
      </c>
      <c r="W189" s="73" t="n">
        <v>0</v>
      </c>
      <c r="X189" s="72" t="inlineStr">
        <is>
          <t>NF 14623 - DEBORA</t>
        </is>
      </c>
      <c r="Z189" s="59">
        <f>IF($T189="","",IFERROR(INDEX('Resumo Grupos'!$AC$3:$AC$200,MATCH($T189,'Resumo Grupos'!$AB$3:$AB$200,0)),"n/d"))</f>
        <v/>
      </c>
      <c r="AA189" s="59">
        <f>IF($T189="","",IF(COUNTIF('Resumo Grupos'!$AE$3:$AE$40,$T189)&gt;0,"NAO","SIM"))</f>
        <v/>
      </c>
    </row>
    <row r="190" ht="54.75" customHeight="1" s="60">
      <c r="A190" s="70" t="n">
        <v>1</v>
      </c>
      <c r="B190" s="71" t="n">
        <v>46178</v>
      </c>
      <c r="C190" s="71" t="n">
        <v>46179</v>
      </c>
      <c r="D190" s="70" t="n">
        <v>33</v>
      </c>
      <c r="E190" s="72" t="inlineStr">
        <is>
          <t>RENATO DE O AZEVEDO E CIA LTDA - EPP</t>
        </is>
      </c>
      <c r="F190" s="70" t="n">
        <v>34</v>
      </c>
      <c r="G190" s="72" t="inlineStr">
        <is>
          <t>Transferencia Pix</t>
        </is>
      </c>
      <c r="H190" s="70" t="n">
        <v>2110101</v>
      </c>
      <c r="I190" s="72" t="inlineStr">
        <is>
          <t>FORNECEDORES DE MERCADORIA</t>
        </is>
      </c>
      <c r="J190" s="70" t="n">
        <v>1207725</v>
      </c>
      <c r="L190" s="70" t="n">
        <v>502325</v>
      </c>
      <c r="M190" s="72" t="inlineStr">
        <is>
          <t>01</t>
        </is>
      </c>
      <c r="N190" s="72" t="inlineStr">
        <is>
          <t>AVU</t>
        </is>
      </c>
      <c r="P190" s="70" t="n">
        <v>104</v>
      </c>
      <c r="Q190" s="72" t="inlineStr">
        <is>
          <t>DEBORA COSTA</t>
        </is>
      </c>
      <c r="R190" s="72" t="inlineStr">
        <is>
          <t>ESTOQUE DE MERCADORIAS</t>
        </is>
      </c>
      <c r="S190" s="70" t="n">
        <v>1130101</v>
      </c>
      <c r="T190" s="72" t="inlineStr">
        <is>
          <t>MERCADORIAS P/REVENDA</t>
        </is>
      </c>
      <c r="U190" s="73" t="n">
        <v>70</v>
      </c>
      <c r="W190" s="73" t="n">
        <v>0</v>
      </c>
      <c r="X190" s="72" t="inlineStr">
        <is>
          <t>CAMARAO COM CASCA - FEIRA CARLOS</t>
        </is>
      </c>
      <c r="Z190" s="59">
        <f>IF($T190="","",IFERROR(INDEX('Resumo Grupos'!$AC$3:$AC$200,MATCH($T190,'Resumo Grupos'!$AB$3:$AB$200,0)),"n/d"))</f>
        <v/>
      </c>
      <c r="AA190" s="59">
        <f>IF($T190="","",IF(COUNTIF('Resumo Grupos'!$AE$3:$AE$40,$T190)&gt;0,"NAO","SIM"))</f>
        <v/>
      </c>
    </row>
    <row r="191" ht="36.75" customHeight="1" s="60">
      <c r="A191" s="70" t="n">
        <v>1</v>
      </c>
      <c r="B191" s="71" t="n">
        <v>46179</v>
      </c>
      <c r="C191" s="71" t="n">
        <v>46179</v>
      </c>
      <c r="D191" s="70" t="n">
        <v>1038</v>
      </c>
      <c r="E191" s="72" t="inlineStr">
        <is>
          <t>MANOEL TEXEIRA DE SOUZA RESTAURANTE</t>
        </is>
      </c>
      <c r="F191" s="70" t="n">
        <v>13</v>
      </c>
      <c r="G191" s="72" t="inlineStr">
        <is>
          <t>Compra a Vista</t>
        </is>
      </c>
      <c r="H191" s="70" t="n">
        <v>2110101</v>
      </c>
      <c r="I191" s="72" t="inlineStr">
        <is>
          <t>FORNECEDORES DE MERCADORIA</t>
        </is>
      </c>
      <c r="J191" s="70" t="n">
        <v>1228430</v>
      </c>
      <c r="L191" s="70" t="n">
        <v>5948</v>
      </c>
      <c r="M191" s="72" t="inlineStr">
        <is>
          <t>01</t>
        </is>
      </c>
      <c r="N191" s="72" t="inlineStr">
        <is>
          <t>NFE</t>
        </is>
      </c>
      <c r="P191" s="70" t="n">
        <v>104</v>
      </c>
      <c r="Q191" s="72" t="inlineStr">
        <is>
          <t>DEBORA COSTA</t>
        </is>
      </c>
      <c r="R191" s="72" t="inlineStr">
        <is>
          <t>ESTOQUE DE MERCADORIAS</t>
        </is>
      </c>
      <c r="S191" s="70" t="n">
        <v>1130101</v>
      </c>
      <c r="T191" s="72" t="inlineStr">
        <is>
          <t>MERCADORIAS P/REVENDA</t>
        </is>
      </c>
      <c r="U191" s="73" t="n">
        <v>512</v>
      </c>
      <c r="W191" s="73" t="n">
        <v>0</v>
      </c>
      <c r="X191" s="72" t="inlineStr">
        <is>
          <t>NF 5948 - DEBORA</t>
        </is>
      </c>
      <c r="Z191" s="59">
        <f>IF($T191="","",IFERROR(INDEX('Resumo Grupos'!$AC$3:$AC$200,MATCH($T191,'Resumo Grupos'!$AB$3:$AB$200,0)),"n/d"))</f>
        <v/>
      </c>
      <c r="AA191" s="59">
        <f>IF($T191="","",IF(COUNTIF('Resumo Grupos'!$AE$3:$AE$40,$T191)&gt;0,"NAO","SIM"))</f>
        <v/>
      </c>
    </row>
    <row r="192" ht="36.75" customHeight="1" s="60">
      <c r="A192" s="70" t="n">
        <v>1</v>
      </c>
      <c r="B192" s="71" t="n">
        <v>46162</v>
      </c>
      <c r="C192" s="71" t="n">
        <v>46180</v>
      </c>
      <c r="D192" s="70" t="n">
        <v>1601</v>
      </c>
      <c r="E192" s="72" t="inlineStr">
        <is>
          <t>CB COMERCIO E DISTRIBUIDORA DE ALIMENTOS</t>
        </is>
      </c>
      <c r="F192" s="70" t="n">
        <v>24</v>
      </c>
      <c r="G192" s="72" t="inlineStr">
        <is>
          <t>Compra a Prazo - Boletos</t>
        </is>
      </c>
      <c r="H192" s="70" t="n">
        <v>2110101</v>
      </c>
      <c r="I192" s="72" t="inlineStr">
        <is>
          <t>FORNECEDORES DE MERCADORIA</t>
        </is>
      </c>
      <c r="J192" s="70" t="n">
        <v>1127609</v>
      </c>
      <c r="L192" s="70" t="n">
        <v>835311</v>
      </c>
      <c r="M192" s="72" t="inlineStr">
        <is>
          <t>01</t>
        </is>
      </c>
      <c r="N192" s="72" t="inlineStr">
        <is>
          <t>NFE</t>
        </is>
      </c>
      <c r="P192" s="70" t="n">
        <v>103</v>
      </c>
      <c r="Q192" s="72" t="inlineStr">
        <is>
          <t>MILKA FRANCIS</t>
        </is>
      </c>
      <c r="R192" s="72" t="inlineStr">
        <is>
          <t>ESTOQUE DE MERCADORIAS</t>
        </is>
      </c>
      <c r="S192" s="70" t="n">
        <v>1130101</v>
      </c>
      <c r="T192" s="72" t="inlineStr">
        <is>
          <t>MERCADORIAS P/REVENDA</t>
        </is>
      </c>
      <c r="U192" s="73" t="n">
        <v>1317.33</v>
      </c>
      <c r="W192" s="73" t="n">
        <v>0</v>
      </c>
      <c r="X192" s="72" t="inlineStr">
        <is>
          <t>NF 835311 - MILKA</t>
        </is>
      </c>
      <c r="Z192" s="59">
        <f>IF($T192="","",IFERROR(INDEX('Resumo Grupos'!$AC$3:$AC$200,MATCH($T192,'Resumo Grupos'!$AB$3:$AB$200,0)),"n/d"))</f>
        <v/>
      </c>
      <c r="AA192" s="59">
        <f>IF($T192="","",IF(COUNTIF('Resumo Grupos'!$AE$3:$AE$40,$T192)&gt;0,"NAO","SIM"))</f>
        <v/>
      </c>
    </row>
    <row r="193" ht="36.75" customHeight="1" s="60">
      <c r="A193" s="70" t="n">
        <v>1</v>
      </c>
      <c r="B193" s="71" t="n">
        <v>46174</v>
      </c>
      <c r="C193" s="71" t="n">
        <v>46180</v>
      </c>
      <c r="D193" s="70" t="n">
        <v>1628</v>
      </c>
      <c r="E193" s="72" t="inlineStr">
        <is>
          <t>AMAZON DISTRIBUIDORA DE PRODUTOS ALIMENT</t>
        </is>
      </c>
      <c r="F193" s="70" t="n">
        <v>24</v>
      </c>
      <c r="G193" s="72" t="inlineStr">
        <is>
          <t>Compra a Prazo - Boletos</t>
        </is>
      </c>
      <c r="H193" s="70" t="n">
        <v>2110101</v>
      </c>
      <c r="I193" s="72" t="inlineStr">
        <is>
          <t>FORNECEDORES DE MERCADORIA</t>
        </is>
      </c>
      <c r="J193" s="70" t="n">
        <v>1187486</v>
      </c>
      <c r="L193" s="70" t="n">
        <v>88280</v>
      </c>
      <c r="M193" s="72" t="inlineStr">
        <is>
          <t>01</t>
        </is>
      </c>
      <c r="N193" s="72" t="inlineStr">
        <is>
          <t>NFE</t>
        </is>
      </c>
      <c r="P193" s="70" t="n">
        <v>103</v>
      </c>
      <c r="Q193" s="72" t="inlineStr">
        <is>
          <t>MILKA FRANCIS</t>
        </is>
      </c>
      <c r="R193" s="72" t="inlineStr">
        <is>
          <t>ESTOQUE DE MERCADORIAS</t>
        </is>
      </c>
      <c r="S193" s="70" t="n">
        <v>1130101</v>
      </c>
      <c r="T193" s="72" t="inlineStr">
        <is>
          <t>MERCADORIAS P/REVENDA</t>
        </is>
      </c>
      <c r="U193" s="73" t="n">
        <v>390.66</v>
      </c>
      <c r="W193" s="73" t="n">
        <v>0</v>
      </c>
      <c r="X193" s="72" t="inlineStr">
        <is>
          <t>NF 88280 - MILKA</t>
        </is>
      </c>
      <c r="Z193" s="59">
        <f>IF($T193="","",IFERROR(INDEX('Resumo Grupos'!$AC$3:$AC$200,MATCH($T193,'Resumo Grupos'!$AB$3:$AB$200,0)),"n/d"))</f>
        <v/>
      </c>
      <c r="AA193" s="59">
        <f>IF($T193="","",IF(COUNTIF('Resumo Grupos'!$AE$3:$AE$40,$T193)&gt;0,"NAO","SIM"))</f>
        <v/>
      </c>
    </row>
    <row r="194" ht="36.75" customHeight="1" s="60">
      <c r="A194" s="70" t="n">
        <v>1</v>
      </c>
      <c r="B194" s="71" t="n">
        <v>46148</v>
      </c>
      <c r="C194" s="71" t="n">
        <v>46181</v>
      </c>
      <c r="D194" s="70" t="n">
        <v>607</v>
      </c>
      <c r="E194" s="72" t="inlineStr">
        <is>
          <t>PRIME PET DISTRIBUIDORA LTDA</t>
        </is>
      </c>
      <c r="F194" s="70" t="n">
        <v>24</v>
      </c>
      <c r="G194" s="72" t="inlineStr">
        <is>
          <t>Compra a Prazo - Boletos</t>
        </is>
      </c>
      <c r="H194" s="70" t="n">
        <v>2110101</v>
      </c>
      <c r="I194" s="72" t="inlineStr">
        <is>
          <t>FORNECEDORES DE MERCADORIA</t>
        </is>
      </c>
      <c r="J194" s="70" t="n">
        <v>1057743</v>
      </c>
      <c r="L194" s="70" t="n">
        <v>10336</v>
      </c>
      <c r="M194" s="72" t="inlineStr">
        <is>
          <t>02</t>
        </is>
      </c>
      <c r="N194" s="72" t="inlineStr">
        <is>
          <t>NFE</t>
        </is>
      </c>
      <c r="P194" s="70" t="n">
        <v>103</v>
      </c>
      <c r="Q194" s="72" t="inlineStr">
        <is>
          <t>MILKA FRANCIS</t>
        </is>
      </c>
      <c r="R194" s="72" t="inlineStr">
        <is>
          <t>ESTOQUE DE MERCADORIAS</t>
        </is>
      </c>
      <c r="S194" s="70" t="n">
        <v>1130101</v>
      </c>
      <c r="T194" s="72" t="inlineStr">
        <is>
          <t>MERCADORIAS P/REVENDA</t>
        </is>
      </c>
      <c r="U194" s="73" t="n">
        <v>250.35</v>
      </c>
      <c r="W194" s="73" t="n">
        <v>0</v>
      </c>
      <c r="X194" s="72" t="inlineStr">
        <is>
          <t>NF 10336 -02 MILKA</t>
        </is>
      </c>
      <c r="Z194" s="59">
        <f>IF($T194="","",IFERROR(INDEX('Resumo Grupos'!$AC$3:$AC$200,MATCH($T194,'Resumo Grupos'!$AB$3:$AB$200,0)),"n/d"))</f>
        <v/>
      </c>
      <c r="AA194" s="59">
        <f>IF($T194="","",IF(COUNTIF('Resumo Grupos'!$AE$3:$AE$40,$T194)&gt;0,"NAO","SIM"))</f>
        <v/>
      </c>
    </row>
    <row r="195" ht="36.75" customHeight="1" s="60">
      <c r="A195" s="70" t="n">
        <v>1</v>
      </c>
      <c r="B195" s="71" t="n">
        <v>46149</v>
      </c>
      <c r="C195" s="71" t="n">
        <v>46181</v>
      </c>
      <c r="D195" s="70" t="n">
        <v>1637</v>
      </c>
      <c r="E195" s="72" t="inlineStr">
        <is>
          <t>ATACADAO S.A.</t>
        </is>
      </c>
      <c r="F195" s="70" t="n">
        <v>24</v>
      </c>
      <c r="G195" s="72" t="inlineStr">
        <is>
          <t>Compra a Prazo - Boletos</t>
        </is>
      </c>
      <c r="H195" s="70" t="n">
        <v>2110101</v>
      </c>
      <c r="I195" s="72" t="inlineStr">
        <is>
          <t>FORNECEDORES DE MERCADORIA</t>
        </is>
      </c>
      <c r="J195" s="70" t="n">
        <v>1062204</v>
      </c>
      <c r="L195" s="70" t="n">
        <v>1869852</v>
      </c>
      <c r="M195" s="72" t="inlineStr">
        <is>
          <t>01</t>
        </is>
      </c>
      <c r="N195" s="72" t="inlineStr">
        <is>
          <t>NFE</t>
        </is>
      </c>
      <c r="P195" s="70" t="n">
        <v>103</v>
      </c>
      <c r="Q195" s="72" t="inlineStr">
        <is>
          <t>MILKA FRANCIS</t>
        </is>
      </c>
      <c r="R195" s="72" t="inlineStr">
        <is>
          <t>ESTOQUE DE MERCADORIAS</t>
        </is>
      </c>
      <c r="S195" s="70" t="n">
        <v>1130101</v>
      </c>
      <c r="T195" s="72" t="inlineStr">
        <is>
          <t>MERCADORIAS P/REVENDA</t>
        </is>
      </c>
      <c r="U195" s="73" t="n">
        <v>1148.1</v>
      </c>
      <c r="W195" s="73" t="n">
        <v>0</v>
      </c>
      <c r="X195" s="72" t="inlineStr">
        <is>
          <t>NF 1869852 - MILKA</t>
        </is>
      </c>
      <c r="Z195" s="59">
        <f>IF($T195="","",IFERROR(INDEX('Resumo Grupos'!$AC$3:$AC$200,MATCH($T195,'Resumo Grupos'!$AB$3:$AB$200,0)),"n/d"))</f>
        <v/>
      </c>
      <c r="AA195" s="59">
        <f>IF($T195="","",IF(COUNTIF('Resumo Grupos'!$AE$3:$AE$40,$T195)&gt;0,"NAO","SIM"))</f>
        <v/>
      </c>
    </row>
    <row r="196" ht="36.75" customHeight="1" s="60">
      <c r="A196" s="70" t="n">
        <v>1</v>
      </c>
      <c r="B196" s="71" t="n">
        <v>46153</v>
      </c>
      <c r="C196" s="71" t="n">
        <v>46181</v>
      </c>
      <c r="D196" s="70" t="n">
        <v>1608</v>
      </c>
      <c r="E196" s="72" t="inlineStr">
        <is>
          <t>DISTRIBUIDORA LOPES LTDA</t>
        </is>
      </c>
      <c r="F196" s="70" t="n">
        <v>24</v>
      </c>
      <c r="G196" s="72" t="inlineStr">
        <is>
          <t>Compra a Prazo - Boletos</t>
        </is>
      </c>
      <c r="H196" s="70" t="n">
        <v>2110101</v>
      </c>
      <c r="I196" s="72" t="inlineStr">
        <is>
          <t>FORNECEDORES DE MERCADORIA</t>
        </is>
      </c>
      <c r="J196" s="70" t="n">
        <v>1085321</v>
      </c>
      <c r="L196" s="70" t="n">
        <v>1651895</v>
      </c>
      <c r="M196" s="72" t="inlineStr">
        <is>
          <t>02</t>
        </is>
      </c>
      <c r="N196" s="72" t="inlineStr">
        <is>
          <t>NFE</t>
        </is>
      </c>
      <c r="P196" s="70" t="n">
        <v>103</v>
      </c>
      <c r="Q196" s="72" t="inlineStr">
        <is>
          <t>MILKA FRANCIS</t>
        </is>
      </c>
      <c r="R196" s="72" t="inlineStr">
        <is>
          <t>ESTOQUE DE MERCADORIAS</t>
        </is>
      </c>
      <c r="S196" s="70" t="n">
        <v>1130101</v>
      </c>
      <c r="T196" s="72" t="inlineStr">
        <is>
          <t>MERCADORIAS P/REVENDA</t>
        </is>
      </c>
      <c r="U196" s="73" t="n">
        <v>1171.71</v>
      </c>
      <c r="W196" s="73" t="n">
        <v>0</v>
      </c>
      <c r="X196" s="72" t="inlineStr">
        <is>
          <t>NF 1651895-2 MILKA</t>
        </is>
      </c>
      <c r="Z196" s="59">
        <f>IF($T196="","",IFERROR(INDEX('Resumo Grupos'!$AC$3:$AC$200,MATCH($T196,'Resumo Grupos'!$AB$3:$AB$200,0)),"n/d"))</f>
        <v/>
      </c>
      <c r="AA196" s="59">
        <f>IF($T196="","",IF(COUNTIF('Resumo Grupos'!$AE$3:$AE$40,$T196)&gt;0,"NAO","SIM"))</f>
        <v/>
      </c>
    </row>
    <row r="197" ht="45.75" customHeight="1" s="60">
      <c r="A197" s="70" t="n">
        <v>1</v>
      </c>
      <c r="B197" s="71" t="n">
        <v>46154</v>
      </c>
      <c r="C197" s="71" t="n">
        <v>46181</v>
      </c>
      <c r="D197" s="70" t="n">
        <v>10011</v>
      </c>
      <c r="E197" s="72" t="inlineStr">
        <is>
          <t>OPPORTUNITY ALIMENTOS PARA ANIMAIS LTDA</t>
        </is>
      </c>
      <c r="F197" s="70" t="n">
        <v>24</v>
      </c>
      <c r="G197" s="72" t="inlineStr">
        <is>
          <t>Compra a Prazo - Boletos</t>
        </is>
      </c>
      <c r="H197" s="70" t="n">
        <v>2110101</v>
      </c>
      <c r="I197" s="72" t="inlineStr">
        <is>
          <t>FORNECEDORES DE MERCADORIA</t>
        </is>
      </c>
      <c r="J197" s="70" t="n">
        <v>1089077</v>
      </c>
      <c r="L197" s="70" t="n">
        <v>33621</v>
      </c>
      <c r="M197" s="72" t="inlineStr">
        <is>
          <t>02</t>
        </is>
      </c>
      <c r="N197" s="72" t="inlineStr">
        <is>
          <t>NFE</t>
        </is>
      </c>
      <c r="P197" s="70" t="n">
        <v>103</v>
      </c>
      <c r="Q197" s="72" t="inlineStr">
        <is>
          <t>MILKA FRANCIS</t>
        </is>
      </c>
      <c r="R197" s="72" t="inlineStr">
        <is>
          <t>ESTOQUE DE MERCADORIAS</t>
        </is>
      </c>
      <c r="S197" s="70" t="n">
        <v>1130101</v>
      </c>
      <c r="T197" s="72" t="inlineStr">
        <is>
          <t>MERCADORIAS P/REVENDA</t>
        </is>
      </c>
      <c r="U197" s="73" t="n">
        <v>2792.58</v>
      </c>
      <c r="W197" s="73" t="n">
        <v>0</v>
      </c>
      <c r="X197" s="72" t="inlineStr">
        <is>
          <t>NF 33621-2 MILKA</t>
        </is>
      </c>
      <c r="Z197" s="59">
        <f>IF($T197="","",IFERROR(INDEX('Resumo Grupos'!$AC$3:$AC$200,MATCH($T197,'Resumo Grupos'!$AB$3:$AB$200,0)),"n/d"))</f>
        <v/>
      </c>
      <c r="AA197" s="59">
        <f>IF($T197="","",IF(COUNTIF('Resumo Grupos'!$AE$3:$AE$40,$T197)&gt;0,"NAO","SIM"))</f>
        <v/>
      </c>
    </row>
    <row r="198" ht="54.75" customHeight="1" s="60">
      <c r="A198" s="70" t="n">
        <v>1</v>
      </c>
      <c r="B198" s="71" t="n">
        <v>46161</v>
      </c>
      <c r="C198" s="71" t="n">
        <v>46181</v>
      </c>
      <c r="D198" s="70" t="n">
        <v>1659</v>
      </c>
      <c r="E198" s="72" t="inlineStr">
        <is>
          <t>ADRIANA DISTRIBUIDORA DE PRODUTOS ALIMEN</t>
        </is>
      </c>
      <c r="F198" s="70" t="n">
        <v>24</v>
      </c>
      <c r="G198" s="72" t="inlineStr">
        <is>
          <t>Compra a Prazo - Boletos</t>
        </is>
      </c>
      <c r="H198" s="70" t="n">
        <v>2110101</v>
      </c>
      <c r="I198" s="72" t="inlineStr">
        <is>
          <t>FORNECEDORES DE MERCADORIA</t>
        </is>
      </c>
      <c r="J198" s="70" t="n">
        <v>1121828</v>
      </c>
      <c r="L198" s="70" t="n">
        <v>872189</v>
      </c>
      <c r="M198" s="72" t="inlineStr">
        <is>
          <t>02</t>
        </is>
      </c>
      <c r="N198" s="72" t="inlineStr">
        <is>
          <t>NFE</t>
        </is>
      </c>
      <c r="P198" s="70" t="n">
        <v>103</v>
      </c>
      <c r="Q198" s="72" t="inlineStr">
        <is>
          <t>MILKA FRANCIS</t>
        </is>
      </c>
      <c r="R198" s="72" t="inlineStr">
        <is>
          <t>ESTOQUE DE MERCADORIAS</t>
        </is>
      </c>
      <c r="S198" s="70" t="n">
        <v>1130101</v>
      </c>
      <c r="T198" s="72" t="inlineStr">
        <is>
          <t>MERCADORIAS P/REVENDA</t>
        </is>
      </c>
      <c r="U198" s="73" t="n">
        <v>872.5599999999999</v>
      </c>
      <c r="W198" s="73" t="n">
        <v>0</v>
      </c>
      <c r="X198" s="72" t="inlineStr">
        <is>
          <t>NF 872189-2 MILKA</t>
        </is>
      </c>
      <c r="Z198" s="59">
        <f>IF($T198="","",IFERROR(INDEX('Resumo Grupos'!$AC$3:$AC$200,MATCH($T198,'Resumo Grupos'!$AB$3:$AB$200,0)),"n/d"))</f>
        <v/>
      </c>
      <c r="AA198" s="59">
        <f>IF($T198="","",IF(COUNTIF('Resumo Grupos'!$AE$3:$AE$40,$T198)&gt;0,"NAO","SIM"))</f>
        <v/>
      </c>
    </row>
    <row r="199" ht="36.75" customHeight="1" s="60">
      <c r="A199" s="70" t="n">
        <v>1</v>
      </c>
      <c r="B199" s="71" t="n">
        <v>46162</v>
      </c>
      <c r="C199" s="71" t="n">
        <v>46181</v>
      </c>
      <c r="D199" s="70" t="n">
        <v>1720</v>
      </c>
      <c r="E199" s="72" t="inlineStr">
        <is>
          <t>AGM INDUSTRIA COMERCIO E REPRESENTACAO LTDA</t>
        </is>
      </c>
      <c r="F199" s="70" t="n">
        <v>24</v>
      </c>
      <c r="G199" s="72" t="inlineStr">
        <is>
          <t>Compra a Prazo - Boletos</t>
        </is>
      </c>
      <c r="H199" s="70" t="n">
        <v>2110101</v>
      </c>
      <c r="I199" s="72" t="inlineStr">
        <is>
          <t>FORNECEDORES DE MERCADORIA</t>
        </is>
      </c>
      <c r="J199" s="70" t="n">
        <v>1127723</v>
      </c>
      <c r="L199" s="70" t="n">
        <v>47024</v>
      </c>
      <c r="M199" s="72" t="inlineStr">
        <is>
          <t>01</t>
        </is>
      </c>
      <c r="N199" s="72" t="inlineStr">
        <is>
          <t>NFE</t>
        </is>
      </c>
      <c r="P199" s="70" t="n">
        <v>103</v>
      </c>
      <c r="Q199" s="72" t="inlineStr">
        <is>
          <t>MILKA FRANCIS</t>
        </is>
      </c>
      <c r="R199" s="72" t="inlineStr">
        <is>
          <t>ESTOQUE DE MERCADORIAS</t>
        </is>
      </c>
      <c r="S199" s="70" t="n">
        <v>1130101</v>
      </c>
      <c r="T199" s="72" t="inlineStr">
        <is>
          <t>MERCADORIAS P/REVENDA</t>
        </is>
      </c>
      <c r="U199" s="73" t="n">
        <v>1059</v>
      </c>
      <c r="W199" s="73" t="n">
        <v>0</v>
      </c>
      <c r="X199" s="72" t="inlineStr">
        <is>
          <t>NF 47024 - MILKA</t>
        </is>
      </c>
      <c r="Z199" s="59">
        <f>IF($T199="","",IFERROR(INDEX('Resumo Grupos'!$AC$3:$AC$200,MATCH($T199,'Resumo Grupos'!$AB$3:$AB$200,0)),"n/d"))</f>
        <v/>
      </c>
      <c r="AA199" s="59">
        <f>IF($T199="","",IF(COUNTIF('Resumo Grupos'!$AE$3:$AE$40,$T199)&gt;0,"NAO","SIM"))</f>
        <v/>
      </c>
    </row>
    <row r="200" ht="91.5" customHeight="1" s="60">
      <c r="A200" s="70" t="n">
        <v>1</v>
      </c>
      <c r="B200" s="71" t="n">
        <v>46162</v>
      </c>
      <c r="C200" s="71" t="n">
        <v>46181</v>
      </c>
      <c r="D200" s="70" t="n">
        <v>1637</v>
      </c>
      <c r="E200" s="72" t="inlineStr">
        <is>
          <t>ATACADAO S.A.</t>
        </is>
      </c>
      <c r="F200" s="70" t="n">
        <v>24</v>
      </c>
      <c r="G200" s="72" t="inlineStr">
        <is>
          <t>Compra a Prazo - Boletos</t>
        </is>
      </c>
      <c r="H200" s="70" t="n">
        <v>2110101</v>
      </c>
      <c r="I200" s="72" t="inlineStr">
        <is>
          <t>FORNECEDORES DE MERCADORIA</t>
        </is>
      </c>
      <c r="J200" s="70" t="n">
        <v>1127977</v>
      </c>
      <c r="L200" s="70" t="n">
        <v>1880853</v>
      </c>
      <c r="M200" s="72" t="inlineStr">
        <is>
          <t>01</t>
        </is>
      </c>
      <c r="N200" s="72" t="inlineStr">
        <is>
          <t>NFE</t>
        </is>
      </c>
      <c r="P200" s="70" t="n">
        <v>103</v>
      </c>
      <c r="Q200" s="72" t="inlineStr">
        <is>
          <t>MILKA FRANCIS</t>
        </is>
      </c>
      <c r="R200" s="72" t="inlineStr">
        <is>
          <t>ESTOQUE DE MERCADORIAS</t>
        </is>
      </c>
      <c r="S200" s="70" t="n">
        <v>1130101</v>
      </c>
      <c r="T200" s="72" t="inlineStr">
        <is>
          <t>MERCADORIAS P/REVENDA</t>
        </is>
      </c>
      <c r="U200" s="73" t="n">
        <v>977.13</v>
      </c>
      <c r="W200" s="73" t="n">
        <v>0</v>
      </c>
      <c r="X200" s="72" t="inlineStr">
        <is>
          <t>NF 1880853 - MILKA</t>
        </is>
      </c>
      <c r="Z200" s="59">
        <f>IF($T200="","",IFERROR(INDEX('Resumo Grupos'!$AC$3:$AC$200,MATCH($T200,'Resumo Grupos'!$AB$3:$AB$200,0)),"n/d"))</f>
        <v/>
      </c>
      <c r="AA200" s="59">
        <f>IF($T200="","",IF(COUNTIF('Resumo Grupos'!$AE$3:$AE$40,$T200)&gt;0,"NAO","SIM"))</f>
        <v/>
      </c>
    </row>
    <row r="201" ht="45.75" customHeight="1" s="60">
      <c r="A201" s="70" t="n">
        <v>1</v>
      </c>
      <c r="B201" s="71" t="n">
        <v>46162</v>
      </c>
      <c r="C201" s="71" t="n">
        <v>46181</v>
      </c>
      <c r="D201" s="70" t="n">
        <v>1637</v>
      </c>
      <c r="E201" s="72" t="inlineStr">
        <is>
          <t>ATACADAO S.A.</t>
        </is>
      </c>
      <c r="F201" s="70" t="n">
        <v>24</v>
      </c>
      <c r="G201" s="72" t="inlineStr">
        <is>
          <t>Compra a Prazo - Boletos</t>
        </is>
      </c>
      <c r="H201" s="70" t="n">
        <v>2110101</v>
      </c>
      <c r="I201" s="72" t="inlineStr">
        <is>
          <t>FORNECEDORES DE MERCADORIA</t>
        </is>
      </c>
      <c r="J201" s="70" t="n">
        <v>1127987</v>
      </c>
      <c r="L201" s="70" t="n">
        <v>1880854</v>
      </c>
      <c r="M201" s="72" t="inlineStr">
        <is>
          <t>01</t>
        </is>
      </c>
      <c r="N201" s="72" t="inlineStr">
        <is>
          <t>NFE</t>
        </is>
      </c>
      <c r="P201" s="70" t="n">
        <v>103</v>
      </c>
      <c r="Q201" s="72" t="inlineStr">
        <is>
          <t>MILKA FRANCIS</t>
        </is>
      </c>
      <c r="R201" s="72" t="inlineStr">
        <is>
          <t>ESTOQUE DE MERCADORIAS</t>
        </is>
      </c>
      <c r="S201" s="70" t="n">
        <v>1130101</v>
      </c>
      <c r="T201" s="72" t="inlineStr">
        <is>
          <t>MERCADORIAS P/REVENDA</t>
        </is>
      </c>
      <c r="U201" s="73" t="n">
        <v>1148.4</v>
      </c>
      <c r="W201" s="73" t="n">
        <v>0</v>
      </c>
      <c r="X201" s="72" t="inlineStr">
        <is>
          <t>NF 1880854 -MILKA</t>
        </is>
      </c>
      <c r="Z201" s="59">
        <f>IF($T201="","",IFERROR(INDEX('Resumo Grupos'!$AC$3:$AC$200,MATCH($T201,'Resumo Grupos'!$AB$3:$AB$200,0)),"n/d"))</f>
        <v/>
      </c>
      <c r="AA201" s="59">
        <f>IF($T201="","",IF(COUNTIF('Resumo Grupos'!$AE$3:$AE$40,$T201)&gt;0,"NAO","SIM"))</f>
        <v/>
      </c>
    </row>
    <row r="202" ht="45.75" customHeight="1" s="60">
      <c r="A202" s="70" t="n">
        <v>1</v>
      </c>
      <c r="B202" s="71" t="n">
        <v>46164</v>
      </c>
      <c r="C202" s="71" t="n">
        <v>46181</v>
      </c>
      <c r="D202" s="70" t="n">
        <v>1626</v>
      </c>
      <c r="E202" s="72" t="inlineStr">
        <is>
          <t>FENNIX BRASIL DISTRIBUIDORA DE PRODUTOS</t>
        </is>
      </c>
      <c r="F202" s="70" t="n">
        <v>24</v>
      </c>
      <c r="G202" s="72" t="inlineStr">
        <is>
          <t>Compra a Prazo - Boletos</t>
        </is>
      </c>
      <c r="H202" s="70" t="n">
        <v>2110101</v>
      </c>
      <c r="I202" s="72" t="inlineStr">
        <is>
          <t>FORNECEDORES DE MERCADORIA</t>
        </is>
      </c>
      <c r="J202" s="70" t="n">
        <v>1136194</v>
      </c>
      <c r="L202" s="70" t="n">
        <v>474578</v>
      </c>
      <c r="M202" s="72" t="inlineStr">
        <is>
          <t>02</t>
        </is>
      </c>
      <c r="N202" s="72" t="inlineStr">
        <is>
          <t>AVU</t>
        </is>
      </c>
      <c r="P202" s="70" t="n">
        <v>103</v>
      </c>
      <c r="Q202" s="72" t="inlineStr">
        <is>
          <t>MILKA FRANCIS</t>
        </is>
      </c>
      <c r="R202" s="72" t="inlineStr">
        <is>
          <t>ESTOQUE DE MERCADORIAS</t>
        </is>
      </c>
      <c r="S202" s="70" t="n">
        <v>1130101</v>
      </c>
      <c r="T202" s="72" t="inlineStr">
        <is>
          <t>MERCADORIAS P/REVENDA</t>
        </is>
      </c>
      <c r="U202" s="73" t="n">
        <v>1172.3</v>
      </c>
      <c r="W202" s="73" t="n">
        <v>0</v>
      </c>
      <c r="X202" s="72" t="inlineStr">
        <is>
          <t>NF 305708-2 C/TARIFA INCLUSA - MILKA</t>
        </is>
      </c>
      <c r="Z202" s="59">
        <f>IF($T202="","",IFERROR(INDEX('Resumo Grupos'!$AC$3:$AC$200,MATCH($T202,'Resumo Grupos'!$AB$3:$AB$200,0)),"n/d"))</f>
        <v/>
      </c>
      <c r="AA202" s="59">
        <f>IF($T202="","",IF(COUNTIF('Resumo Grupos'!$AE$3:$AE$40,$T202)&gt;0,"NAO","SIM"))</f>
        <v/>
      </c>
    </row>
    <row r="203" ht="45.75" customHeight="1" s="60">
      <c r="A203" s="70" t="n">
        <v>1</v>
      </c>
      <c r="B203" s="71" t="n">
        <v>46164</v>
      </c>
      <c r="C203" s="71" t="n">
        <v>46181</v>
      </c>
      <c r="D203" s="70" t="n">
        <v>1636</v>
      </c>
      <c r="E203" s="72" t="inlineStr">
        <is>
          <t>DUNORTE DISTRIBUIDORA DE PRODUTOS DE CONSUMO LTDA</t>
        </is>
      </c>
      <c r="F203" s="70" t="n">
        <v>24</v>
      </c>
      <c r="G203" s="72" t="inlineStr">
        <is>
          <t>Compra a Prazo - Boletos</t>
        </is>
      </c>
      <c r="H203" s="70" t="n">
        <v>2110101</v>
      </c>
      <c r="I203" s="72" t="inlineStr">
        <is>
          <t>FORNECEDORES DE MERCADORIA</t>
        </is>
      </c>
      <c r="J203" s="70" t="n">
        <v>1136636</v>
      </c>
      <c r="L203" s="70" t="n">
        <v>474644</v>
      </c>
      <c r="M203" s="72" t="inlineStr">
        <is>
          <t>01</t>
        </is>
      </c>
      <c r="N203" s="72" t="inlineStr">
        <is>
          <t>AVU</t>
        </is>
      </c>
      <c r="P203" s="70" t="n">
        <v>103</v>
      </c>
      <c r="Q203" s="72" t="inlineStr">
        <is>
          <t>MILKA FRANCIS</t>
        </is>
      </c>
      <c r="R203" s="72" t="inlineStr">
        <is>
          <t>ESTOQUE DE MERCADORIAS</t>
        </is>
      </c>
      <c r="S203" s="70" t="n">
        <v>1130101</v>
      </c>
      <c r="T203" s="72" t="inlineStr">
        <is>
          <t>MERCADORIAS P/REVENDA</t>
        </is>
      </c>
      <c r="U203" s="73" t="n">
        <v>1179.33</v>
      </c>
      <c r="W203" s="73" t="n">
        <v>0</v>
      </c>
      <c r="X203" s="72" t="inlineStr">
        <is>
          <t>NF 3189025 -1 C/TARIFA INCLUSA MILKA</t>
        </is>
      </c>
      <c r="Z203" s="59">
        <f>IF($T203="","",IFERROR(INDEX('Resumo Grupos'!$AC$3:$AC$200,MATCH($T203,'Resumo Grupos'!$AB$3:$AB$200,0)),"n/d"))</f>
        <v/>
      </c>
      <c r="AA203" s="59">
        <f>IF($T203="","",IF(COUNTIF('Resumo Grupos'!$AE$3:$AE$40,$T203)&gt;0,"NAO","SIM"))</f>
        <v/>
      </c>
    </row>
    <row r="204" ht="54.75" customHeight="1" s="60">
      <c r="A204" s="70" t="n">
        <v>1</v>
      </c>
      <c r="B204" s="71" t="n">
        <v>46164</v>
      </c>
      <c r="C204" s="71" t="n">
        <v>46181</v>
      </c>
      <c r="D204" s="70" t="n">
        <v>1666</v>
      </c>
      <c r="E204" s="72" t="inlineStr">
        <is>
          <t>SOUZA CRUZ LTDA.</t>
        </is>
      </c>
      <c r="F204" s="70" t="n">
        <v>24</v>
      </c>
      <c r="G204" s="72" t="inlineStr">
        <is>
          <t>Compra a Prazo - Boletos</t>
        </is>
      </c>
      <c r="H204" s="70" t="n">
        <v>2110101</v>
      </c>
      <c r="I204" s="72" t="inlineStr">
        <is>
          <t>FORNECEDORES DE MERCADORIA</t>
        </is>
      </c>
      <c r="J204" s="70" t="n">
        <v>1138081</v>
      </c>
      <c r="L204" s="70" t="n">
        <v>475008</v>
      </c>
      <c r="M204" s="72" t="inlineStr">
        <is>
          <t>02</t>
        </is>
      </c>
      <c r="N204" s="72" t="inlineStr">
        <is>
          <t>AVU</t>
        </is>
      </c>
      <c r="P204" s="70" t="n">
        <v>103</v>
      </c>
      <c r="Q204" s="72" t="inlineStr">
        <is>
          <t>MILKA FRANCIS</t>
        </is>
      </c>
      <c r="R204" s="72" t="inlineStr">
        <is>
          <t>ESTOQUE DE MERCADORIAS</t>
        </is>
      </c>
      <c r="S204" s="70" t="n">
        <v>1130101</v>
      </c>
      <c r="T204" s="72" t="inlineStr">
        <is>
          <t>MERCADORIAS P/REVENDA</t>
        </is>
      </c>
      <c r="U204" s="73" t="n">
        <v>4925.67</v>
      </c>
      <c r="W204" s="73" t="n">
        <v>0</v>
      </c>
      <c r="X204" s="72" t="inlineStr">
        <is>
          <t>NF 560924 -02 MILKA</t>
        </is>
      </c>
      <c r="Z204" s="59">
        <f>IF($T204="","",IFERROR(INDEX('Resumo Grupos'!$AC$3:$AC$200,MATCH($T204,'Resumo Grupos'!$AB$3:$AB$200,0)),"n/d"))</f>
        <v/>
      </c>
      <c r="AA204" s="59">
        <f>IF($T204="","",IF(COUNTIF('Resumo Grupos'!$AE$3:$AE$40,$T204)&gt;0,"NAO","SIM"))</f>
        <v/>
      </c>
    </row>
    <row r="205" ht="54.75" customHeight="1" s="60">
      <c r="A205" s="70" t="n">
        <v>1</v>
      </c>
      <c r="B205" s="71" t="n">
        <v>46165</v>
      </c>
      <c r="C205" s="71" t="n">
        <v>46181</v>
      </c>
      <c r="D205" s="70" t="n">
        <v>1706</v>
      </c>
      <c r="E205" s="72" t="inlineStr">
        <is>
          <t>AMAZON MILK IND. E COMERCIO LTDA</t>
        </is>
      </c>
      <c r="F205" s="70" t="n">
        <v>24</v>
      </c>
      <c r="G205" s="72" t="inlineStr">
        <is>
          <t>Compra a Prazo - Boletos</t>
        </is>
      </c>
      <c r="H205" s="70" t="n">
        <v>2110101</v>
      </c>
      <c r="I205" s="72" t="inlineStr">
        <is>
          <t>FORNECEDORES DE MERCADORIA</t>
        </is>
      </c>
      <c r="J205" s="70" t="n">
        <v>1142259</v>
      </c>
      <c r="L205" s="70" t="n">
        <v>201120</v>
      </c>
      <c r="M205" s="72" t="inlineStr">
        <is>
          <t>01</t>
        </is>
      </c>
      <c r="N205" s="72" t="inlineStr">
        <is>
          <t>NFE</t>
        </is>
      </c>
      <c r="P205" s="70" t="n">
        <v>103</v>
      </c>
      <c r="Q205" s="72" t="inlineStr">
        <is>
          <t>MILKA FRANCIS</t>
        </is>
      </c>
      <c r="R205" s="72" t="inlineStr">
        <is>
          <t>ESTOQUE DE MERCADORIAS</t>
        </is>
      </c>
      <c r="S205" s="70" t="n">
        <v>1130101</v>
      </c>
      <c r="T205" s="72" t="inlineStr">
        <is>
          <t>MERCADORIAS P/REVENDA</t>
        </is>
      </c>
      <c r="U205" s="73" t="n">
        <v>1003.43</v>
      </c>
      <c r="W205" s="73" t="n">
        <v>0</v>
      </c>
      <c r="X205" s="72" t="inlineStr">
        <is>
          <t>NF 201120 - MILKA</t>
        </is>
      </c>
      <c r="Z205" s="59">
        <f>IF($T205="","",IFERROR(INDEX('Resumo Grupos'!$AC$3:$AC$200,MATCH($T205,'Resumo Grupos'!$AB$3:$AB$200,0)),"n/d"))</f>
        <v/>
      </c>
      <c r="AA205" s="59">
        <f>IF($T205="","",IF(COUNTIF('Resumo Grupos'!$AE$3:$AE$40,$T205)&gt;0,"NAO","SIM"))</f>
        <v/>
      </c>
    </row>
    <row r="206" ht="63.75" customHeight="1" s="60">
      <c r="A206" s="70" t="n">
        <v>1</v>
      </c>
      <c r="B206" s="71" t="n">
        <v>46165</v>
      </c>
      <c r="C206" s="71" t="n">
        <v>46181</v>
      </c>
      <c r="D206" s="70" t="n">
        <v>1706</v>
      </c>
      <c r="E206" s="72" t="inlineStr">
        <is>
          <t>AMAZON MILK IND. E COMERCIO LTDA</t>
        </is>
      </c>
      <c r="F206" s="70" t="n">
        <v>24</v>
      </c>
      <c r="G206" s="72" t="inlineStr">
        <is>
          <t>Compra a Prazo - Boletos</t>
        </is>
      </c>
      <c r="H206" s="70" t="n">
        <v>2110101</v>
      </c>
      <c r="I206" s="72" t="inlineStr">
        <is>
          <t>FORNECEDORES DE MERCADORIA</t>
        </is>
      </c>
      <c r="J206" s="70" t="n">
        <v>1142270</v>
      </c>
      <c r="L206" s="70" t="n">
        <v>215323</v>
      </c>
      <c r="M206" s="72" t="inlineStr">
        <is>
          <t>01</t>
        </is>
      </c>
      <c r="N206" s="72" t="inlineStr">
        <is>
          <t>NFE</t>
        </is>
      </c>
      <c r="P206" s="70" t="n">
        <v>103</v>
      </c>
      <c r="Q206" s="72" t="inlineStr">
        <is>
          <t>MILKA FRANCIS</t>
        </is>
      </c>
      <c r="R206" s="72" t="inlineStr">
        <is>
          <t>ESTOQUE DE MERCADORIAS</t>
        </is>
      </c>
      <c r="S206" s="70" t="n">
        <v>1130101</v>
      </c>
      <c r="T206" s="72" t="inlineStr">
        <is>
          <t>MERCADORIAS P/REVENDA</t>
        </is>
      </c>
      <c r="U206" s="73" t="n">
        <v>382.02</v>
      </c>
      <c r="W206" s="73" t="n">
        <v>0</v>
      </c>
      <c r="X206" s="72" t="inlineStr">
        <is>
          <t>NF 215323 - MILKA</t>
        </is>
      </c>
      <c r="Z206" s="59">
        <f>IF($T206="","",IFERROR(INDEX('Resumo Grupos'!$AC$3:$AC$200,MATCH($T206,'Resumo Grupos'!$AB$3:$AB$200,0)),"n/d"))</f>
        <v/>
      </c>
      <c r="AA206" s="59">
        <f>IF($T206="","",IF(COUNTIF('Resumo Grupos'!$AE$3:$AE$40,$T206)&gt;0,"NAO","SIM"))</f>
        <v/>
      </c>
    </row>
    <row r="207" ht="36.75" customHeight="1" s="60">
      <c r="A207" s="70" t="n">
        <v>1</v>
      </c>
      <c r="B207" s="71" t="n">
        <v>46169</v>
      </c>
      <c r="C207" s="71" t="n">
        <v>46181</v>
      </c>
      <c r="D207" s="70" t="n">
        <v>1636</v>
      </c>
      <c r="E207" s="72" t="inlineStr">
        <is>
          <t>DUNORTE DISTRIBUIDORA DE PRODUTOS DE CONSUMO LTDA</t>
        </is>
      </c>
      <c r="F207" s="70" t="n">
        <v>24</v>
      </c>
      <c r="G207" s="72" t="inlineStr">
        <is>
          <t>Compra a Prazo - Boletos</t>
        </is>
      </c>
      <c r="H207" s="70" t="n">
        <v>2110101</v>
      </c>
      <c r="I207" s="72" t="inlineStr">
        <is>
          <t>FORNECEDORES DE MERCADORIA</t>
        </is>
      </c>
      <c r="J207" s="70" t="n">
        <v>1161081</v>
      </c>
      <c r="L207" s="70" t="n">
        <v>484463</v>
      </c>
      <c r="M207" s="72" t="inlineStr">
        <is>
          <t>02</t>
        </is>
      </c>
      <c r="N207" s="72" t="inlineStr">
        <is>
          <t>AVU</t>
        </is>
      </c>
      <c r="P207" s="70" t="n">
        <v>103</v>
      </c>
      <c r="Q207" s="72" t="inlineStr">
        <is>
          <t>MILKA FRANCIS</t>
        </is>
      </c>
      <c r="R207" s="72" t="inlineStr">
        <is>
          <t>ESTOQUE DE MERCADORIAS</t>
        </is>
      </c>
      <c r="S207" s="70" t="n">
        <v>1130101</v>
      </c>
      <c r="T207" s="72" t="inlineStr">
        <is>
          <t>MERCADORIAS P/REVENDA</t>
        </is>
      </c>
      <c r="U207" s="73" t="n">
        <v>2763.7</v>
      </c>
      <c r="W207" s="73" t="n">
        <v>0</v>
      </c>
      <c r="X207" s="72" t="inlineStr">
        <is>
          <t>NF 3189024 -2 MILKA</t>
        </is>
      </c>
      <c r="Z207" s="59">
        <f>IF($T207="","",IFERROR(INDEX('Resumo Grupos'!$AC$3:$AC$200,MATCH($T207,'Resumo Grupos'!$AB$3:$AB$200,0)),"n/d"))</f>
        <v/>
      </c>
      <c r="AA207" s="59">
        <f>IF($T207="","",IF(COUNTIF('Resumo Grupos'!$AE$3:$AE$40,$T207)&gt;0,"NAO","SIM"))</f>
        <v/>
      </c>
    </row>
    <row r="208" ht="36.75" customHeight="1" s="60">
      <c r="A208" s="70" t="n">
        <v>1</v>
      </c>
      <c r="B208" s="71" t="n">
        <v>46170</v>
      </c>
      <c r="C208" s="71" t="n">
        <v>46181</v>
      </c>
      <c r="D208" s="70" t="n">
        <v>17</v>
      </c>
      <c r="E208" s="72" t="inlineStr">
        <is>
          <t>NEYLIANE SILVA DE OLIVEIRA</t>
        </is>
      </c>
      <c r="F208" s="70" t="n">
        <v>24</v>
      </c>
      <c r="G208" s="72" t="inlineStr">
        <is>
          <t>Compra a Prazo - Boletos</t>
        </is>
      </c>
      <c r="H208" s="70" t="n">
        <v>2110405</v>
      </c>
      <c r="I208" s="72" t="inlineStr">
        <is>
          <t>CONTAS A PAGAR</t>
        </is>
      </c>
      <c r="J208" s="70" t="n">
        <v>1166770</v>
      </c>
      <c r="L208" s="70" t="n">
        <v>486451</v>
      </c>
      <c r="M208" s="72" t="inlineStr">
        <is>
          <t>01</t>
        </is>
      </c>
      <c r="N208" s="72" t="inlineStr">
        <is>
          <t>AVU</t>
        </is>
      </c>
      <c r="P208" s="70" t="n">
        <v>101</v>
      </c>
      <c r="Q208" s="72" t="inlineStr">
        <is>
          <t>KEILA LIMA</t>
        </is>
      </c>
      <c r="R208" s="72" t="inlineStr">
        <is>
          <t>DESPESAS NAO OPERACIONAIS</t>
        </is>
      </c>
      <c r="S208" s="70" t="n">
        <v>4220199</v>
      </c>
      <c r="T208" s="72" t="inlineStr">
        <is>
          <t>PAGAMENTOS OUTROS NAO OPERACIONAIS</t>
        </is>
      </c>
      <c r="U208" s="73" t="n">
        <v>651.1900000000001</v>
      </c>
      <c r="W208" s="73" t="n">
        <v>0</v>
      </c>
      <c r="X208" s="72" t="inlineStr">
        <is>
          <t>PL NEILA CONTA ENERGIA</t>
        </is>
      </c>
      <c r="Z208" s="59">
        <f>IF($T208="","",IFERROR(INDEX('Resumo Grupos'!$AC$3:$AC$200,MATCH($T208,'Resumo Grupos'!$AB$3:$AB$200,0)),"n/d"))</f>
        <v/>
      </c>
      <c r="AA208" s="59">
        <f>IF($T208="","",IF(COUNTIF('Resumo Grupos'!$AE$3:$AE$40,$T208)&gt;0,"NAO","SIM"))</f>
        <v/>
      </c>
    </row>
    <row r="209" ht="36.75" customHeight="1" s="60">
      <c r="A209" s="70" t="n">
        <v>1</v>
      </c>
      <c r="B209" s="71" t="n">
        <v>46170</v>
      </c>
      <c r="C209" s="71" t="n">
        <v>46181</v>
      </c>
      <c r="D209" s="70" t="n">
        <v>1699</v>
      </c>
      <c r="E209" s="72" t="inlineStr">
        <is>
          <t>L S M COMERCIO DE ALIMENTOS E NAVEGACAO</t>
        </is>
      </c>
      <c r="F209" s="70" t="n">
        <v>24</v>
      </c>
      <c r="G209" s="72" t="inlineStr">
        <is>
          <t>Compra a Prazo - Boletos</t>
        </is>
      </c>
      <c r="H209" s="70" t="n">
        <v>2110101</v>
      </c>
      <c r="I209" s="72" t="inlineStr">
        <is>
          <t>FORNECEDORES DE MERCADORIA</t>
        </is>
      </c>
      <c r="J209" s="70" t="n">
        <v>1167667</v>
      </c>
      <c r="L209" s="70" t="n">
        <v>302506</v>
      </c>
      <c r="M209" s="72" t="inlineStr">
        <is>
          <t>01</t>
        </is>
      </c>
      <c r="N209" s="72" t="inlineStr">
        <is>
          <t>NFE</t>
        </is>
      </c>
      <c r="P209" s="70" t="n">
        <v>103</v>
      </c>
      <c r="Q209" s="72" t="inlineStr">
        <is>
          <t>MILKA FRANCIS</t>
        </is>
      </c>
      <c r="R209" s="72" t="inlineStr">
        <is>
          <t>ESTOQUE DE MERCADORIAS</t>
        </is>
      </c>
      <c r="S209" s="70" t="n">
        <v>1130101</v>
      </c>
      <c r="T209" s="72" t="inlineStr">
        <is>
          <t>MERCADORIAS P/REVENDA</t>
        </is>
      </c>
      <c r="U209" s="73" t="n">
        <v>332.25</v>
      </c>
      <c r="W209" s="73" t="n">
        <v>0</v>
      </c>
      <c r="X209" s="72" t="inlineStr">
        <is>
          <t>NF 302506 - 1 MILKA</t>
        </is>
      </c>
      <c r="Z209" s="59">
        <f>IF($T209="","",IFERROR(INDEX('Resumo Grupos'!$AC$3:$AC$200,MATCH($T209,'Resumo Grupos'!$AB$3:$AB$200,0)),"n/d"))</f>
        <v/>
      </c>
      <c r="AA209" s="59">
        <f>IF($T209="","",IF(COUNTIF('Resumo Grupos'!$AE$3:$AE$40,$T209)&gt;0,"NAO","SIM"))</f>
        <v/>
      </c>
    </row>
    <row r="210" ht="36.75" customHeight="1" s="60">
      <c r="A210" s="70" t="n">
        <v>1</v>
      </c>
      <c r="B210" s="71" t="n">
        <v>46170</v>
      </c>
      <c r="C210" s="71" t="n">
        <v>46181</v>
      </c>
      <c r="D210" s="70" t="n">
        <v>1196</v>
      </c>
      <c r="E210" s="72" t="inlineStr">
        <is>
          <t>VICTORIA COMERCIO INTERNACIONAL DE ALIME</t>
        </is>
      </c>
      <c r="F210" s="70" t="n">
        <v>24</v>
      </c>
      <c r="G210" s="72" t="inlineStr">
        <is>
          <t>Compra a Prazo - Boletos</t>
        </is>
      </c>
      <c r="H210" s="70" t="n">
        <v>2110101</v>
      </c>
      <c r="I210" s="72" t="inlineStr">
        <is>
          <t>FORNECEDORES DE MERCADORIA</t>
        </is>
      </c>
      <c r="J210" s="70" t="n">
        <v>1168472</v>
      </c>
      <c r="L210" s="70" t="n">
        <v>11295</v>
      </c>
      <c r="M210" s="72" t="inlineStr">
        <is>
          <t>01</t>
        </is>
      </c>
      <c r="N210" s="72" t="inlineStr">
        <is>
          <t>NFE</t>
        </is>
      </c>
      <c r="P210" s="70" t="n">
        <v>103</v>
      </c>
      <c r="Q210" s="72" t="inlineStr">
        <is>
          <t>MILKA FRANCIS</t>
        </is>
      </c>
      <c r="R210" s="72" t="inlineStr">
        <is>
          <t>ESTOQUE DE MERCADORIAS</t>
        </is>
      </c>
      <c r="S210" s="70" t="n">
        <v>1130101</v>
      </c>
      <c r="T210" s="72" t="inlineStr">
        <is>
          <t>MERCADORIAS P/REVENDA</t>
        </is>
      </c>
      <c r="U210" s="73" t="n">
        <v>671.7</v>
      </c>
      <c r="W210" s="73" t="n">
        <v>0</v>
      </c>
      <c r="X210" s="72" t="inlineStr">
        <is>
          <t>NF 11295 - MILKA</t>
        </is>
      </c>
      <c r="Z210" s="59">
        <f>IF($T210="","",IFERROR(INDEX('Resumo Grupos'!$AC$3:$AC$200,MATCH($T210,'Resumo Grupos'!$AB$3:$AB$200,0)),"n/d"))</f>
        <v/>
      </c>
      <c r="AA210" s="59">
        <f>IF($T210="","",IF(COUNTIF('Resumo Grupos'!$AE$3:$AE$40,$T210)&gt;0,"NAO","SIM"))</f>
        <v/>
      </c>
    </row>
    <row r="211" ht="45.75" customHeight="1" s="60">
      <c r="A211" s="70" t="n">
        <v>1</v>
      </c>
      <c r="B211" s="71" t="n">
        <v>46171</v>
      </c>
      <c r="C211" s="71" t="n">
        <v>46181</v>
      </c>
      <c r="D211" s="70" t="n">
        <v>1675</v>
      </c>
      <c r="E211" s="72" t="inlineStr">
        <is>
          <t>MARQUES &amp; MELO LTDA - FILIAL</t>
        </is>
      </c>
      <c r="F211" s="70" t="n">
        <v>24</v>
      </c>
      <c r="G211" s="72" t="inlineStr">
        <is>
          <t>Compra a Prazo - Boletos</t>
        </is>
      </c>
      <c r="H211" s="70" t="n">
        <v>2110101</v>
      </c>
      <c r="I211" s="72" t="inlineStr">
        <is>
          <t>FORNECEDORES DE MERCADORIA</t>
        </is>
      </c>
      <c r="J211" s="70" t="n">
        <v>1170944</v>
      </c>
      <c r="L211" s="70" t="n">
        <v>490451</v>
      </c>
      <c r="M211" s="72" t="inlineStr">
        <is>
          <t>02</t>
        </is>
      </c>
      <c r="N211" s="72" t="inlineStr">
        <is>
          <t>NFE</t>
        </is>
      </c>
      <c r="P211" s="70" t="n">
        <v>103</v>
      </c>
      <c r="Q211" s="72" t="inlineStr">
        <is>
          <t>MILKA FRANCIS</t>
        </is>
      </c>
      <c r="R211" s="72" t="inlineStr">
        <is>
          <t>ESTOQUE DE MERCADORIAS</t>
        </is>
      </c>
      <c r="S211" s="70" t="n">
        <v>1130101</v>
      </c>
      <c r="T211" s="72" t="inlineStr">
        <is>
          <t>MERCADORIAS P/REVENDA</t>
        </is>
      </c>
      <c r="U211" s="73" t="n">
        <v>1518.18</v>
      </c>
      <c r="W211" s="73" t="n">
        <v>0</v>
      </c>
      <c r="X211" s="72" t="inlineStr">
        <is>
          <t>NF 490451-02 MILKA</t>
        </is>
      </c>
      <c r="Z211" s="59">
        <f>IF($T211="","",IFERROR(INDEX('Resumo Grupos'!$AC$3:$AC$200,MATCH($T211,'Resumo Grupos'!$AB$3:$AB$200,0)),"n/d"))</f>
        <v/>
      </c>
      <c r="AA211" s="59">
        <f>IF($T211="","",IF(COUNTIF('Resumo Grupos'!$AE$3:$AE$40,$T211)&gt;0,"NAO","SIM"))</f>
        <v/>
      </c>
    </row>
    <row r="212" ht="45.75" customHeight="1" s="60">
      <c r="A212" s="70" t="n">
        <v>1</v>
      </c>
      <c r="B212" s="71" t="n">
        <v>46175</v>
      </c>
      <c r="C212" s="71" t="n">
        <v>46181</v>
      </c>
      <c r="D212" s="70" t="n">
        <v>1614</v>
      </c>
      <c r="E212" s="72" t="inlineStr">
        <is>
          <t>C. R. PARENTE ABREU</t>
        </is>
      </c>
      <c r="F212" s="70" t="n">
        <v>24</v>
      </c>
      <c r="G212" s="72" t="inlineStr">
        <is>
          <t>Compra a Prazo - Boletos</t>
        </is>
      </c>
      <c r="H212" s="70" t="n">
        <v>2110101</v>
      </c>
      <c r="I212" s="72" t="inlineStr">
        <is>
          <t>FORNECEDORES DE MERCADORIA</t>
        </is>
      </c>
      <c r="J212" s="70" t="n">
        <v>1191273</v>
      </c>
      <c r="L212" s="70" t="n">
        <v>11208</v>
      </c>
      <c r="M212" s="72" t="inlineStr">
        <is>
          <t>02</t>
        </is>
      </c>
      <c r="N212" s="72" t="inlineStr">
        <is>
          <t>NFE</t>
        </is>
      </c>
      <c r="P212" s="70" t="n">
        <v>103</v>
      </c>
      <c r="Q212" s="72" t="inlineStr">
        <is>
          <t>MILKA FRANCIS</t>
        </is>
      </c>
      <c r="R212" s="72" t="inlineStr">
        <is>
          <t>ESTOQUE DE MERCADORIAS</t>
        </is>
      </c>
      <c r="S212" s="70" t="n">
        <v>1130101</v>
      </c>
      <c r="T212" s="72" t="inlineStr">
        <is>
          <t>MERCADORIAS P/REVENDA</t>
        </is>
      </c>
      <c r="U212" s="73" t="n">
        <v>327.84</v>
      </c>
      <c r="W212" s="73" t="n">
        <v>0</v>
      </c>
      <c r="X212" s="72" t="inlineStr">
        <is>
          <t>NF 112008-2 MILKA</t>
        </is>
      </c>
      <c r="Z212" s="59">
        <f>IF($T212="","",IFERROR(INDEX('Resumo Grupos'!$AC$3:$AC$200,MATCH($T212,'Resumo Grupos'!$AB$3:$AB$200,0)),"n/d"))</f>
        <v/>
      </c>
      <c r="AA212" s="59">
        <f>IF($T212="","",IF(COUNTIF('Resumo Grupos'!$AE$3:$AE$40,$T212)&gt;0,"NAO","SIM"))</f>
        <v/>
      </c>
    </row>
    <row r="213" ht="54.75" customHeight="1" s="60">
      <c r="A213" s="70" t="n">
        <v>1</v>
      </c>
      <c r="B213" s="71" t="n">
        <v>46175</v>
      </c>
      <c r="C213" s="71" t="n">
        <v>46181</v>
      </c>
      <c r="D213" s="70" t="n">
        <v>1328</v>
      </c>
      <c r="E213" s="72" t="inlineStr">
        <is>
          <t>NOVA FRIOS COMERCIO ATACADISTA DE LATICINIOS LTDA</t>
        </is>
      </c>
      <c r="F213" s="70" t="n">
        <v>24</v>
      </c>
      <c r="G213" s="72" t="inlineStr">
        <is>
          <t>Compra a Prazo - Boletos</t>
        </is>
      </c>
      <c r="H213" s="70" t="n">
        <v>2110101</v>
      </c>
      <c r="I213" s="72" t="inlineStr">
        <is>
          <t>FORNECEDORES DE MERCADORIA</t>
        </is>
      </c>
      <c r="J213" s="70" t="n">
        <v>1191624</v>
      </c>
      <c r="L213" s="70" t="n">
        <v>3610</v>
      </c>
      <c r="M213" s="72" t="inlineStr">
        <is>
          <t>01</t>
        </is>
      </c>
      <c r="N213" s="72" t="inlineStr">
        <is>
          <t>NFE</t>
        </is>
      </c>
      <c r="P213" s="70" t="n">
        <v>103</v>
      </c>
      <c r="Q213" s="72" t="inlineStr">
        <is>
          <t>MILKA FRANCIS</t>
        </is>
      </c>
      <c r="R213" s="72" t="inlineStr">
        <is>
          <t>ESTOQUE DE MERCADORIAS</t>
        </is>
      </c>
      <c r="S213" s="70" t="n">
        <v>1130101</v>
      </c>
      <c r="T213" s="72" t="inlineStr">
        <is>
          <t>MERCADORIAS P/REVENDA</t>
        </is>
      </c>
      <c r="U213" s="73" t="n">
        <v>213</v>
      </c>
      <c r="W213" s="73" t="n">
        <v>0</v>
      </c>
      <c r="X213" s="72" t="inlineStr">
        <is>
          <t>NF 3610 BODEGA DO PAO - MILKA</t>
        </is>
      </c>
      <c r="Z213" s="59">
        <f>IF($T213="","",IFERROR(INDEX('Resumo Grupos'!$AC$3:$AC$200,MATCH($T213,'Resumo Grupos'!$AB$3:$AB$200,0)),"n/d"))</f>
        <v/>
      </c>
      <c r="AA213" s="59">
        <f>IF($T213="","",IF(COUNTIF('Resumo Grupos'!$AE$3:$AE$40,$T213)&gt;0,"NAO","SIM"))</f>
        <v/>
      </c>
    </row>
    <row r="214" ht="54.75" customHeight="1" s="60">
      <c r="A214" s="70" t="n">
        <v>1</v>
      </c>
      <c r="B214" s="71" t="n">
        <v>46175</v>
      </c>
      <c r="C214" s="71" t="n">
        <v>46181</v>
      </c>
      <c r="D214" s="70" t="n">
        <v>1650</v>
      </c>
      <c r="E214" s="72" t="inlineStr">
        <is>
          <t>FRUTAL INDUSTRIA E COMERCIO LTDA</t>
        </is>
      </c>
      <c r="F214" s="70" t="n">
        <v>24</v>
      </c>
      <c r="G214" s="72" t="inlineStr">
        <is>
          <t>Compra a Prazo - Boletos</t>
        </is>
      </c>
      <c r="H214" s="70" t="n">
        <v>2110101</v>
      </c>
      <c r="I214" s="72" t="inlineStr">
        <is>
          <t>FORNECEDORES DE MERCADORIA</t>
        </is>
      </c>
      <c r="J214" s="70" t="n">
        <v>1191705</v>
      </c>
      <c r="L214" s="70" t="n">
        <v>222385</v>
      </c>
      <c r="M214" s="72" t="inlineStr">
        <is>
          <t>01</t>
        </is>
      </c>
      <c r="N214" s="72" t="inlineStr">
        <is>
          <t>NFE</t>
        </is>
      </c>
      <c r="P214" s="70" t="n">
        <v>103</v>
      </c>
      <c r="Q214" s="72" t="inlineStr">
        <is>
          <t>MILKA FRANCIS</t>
        </is>
      </c>
      <c r="R214" s="72" t="inlineStr">
        <is>
          <t>ESTOQUE DE MERCADORIAS</t>
        </is>
      </c>
      <c r="S214" s="70" t="n">
        <v>1130101</v>
      </c>
      <c r="T214" s="72" t="inlineStr">
        <is>
          <t>MERCADORIAS P/REVENDA</t>
        </is>
      </c>
      <c r="U214" s="73" t="n">
        <v>577.25</v>
      </c>
      <c r="W214" s="73" t="n">
        <v>0</v>
      </c>
      <c r="X214" s="72" t="inlineStr">
        <is>
          <t>NF 222385 - MILKA</t>
        </is>
      </c>
      <c r="Z214" s="59">
        <f>IF($T214="","",IFERROR(INDEX('Resumo Grupos'!$AC$3:$AC$200,MATCH($T214,'Resumo Grupos'!$AB$3:$AB$200,0)),"n/d"))</f>
        <v/>
      </c>
      <c r="AA214" s="59">
        <f>IF($T214="","",IF(COUNTIF('Resumo Grupos'!$AE$3:$AE$40,$T214)&gt;0,"NAO","SIM"))</f>
        <v/>
      </c>
    </row>
    <row r="215" ht="45.75" customHeight="1" s="60">
      <c r="A215" s="70" t="n">
        <v>1</v>
      </c>
      <c r="B215" s="71" t="n">
        <v>46175</v>
      </c>
      <c r="C215" s="71" t="n">
        <v>46181</v>
      </c>
      <c r="D215" s="70" t="n">
        <v>10014</v>
      </c>
      <c r="E215" s="72" t="inlineStr">
        <is>
          <t>MARCLEY MACHADO CHAVES</t>
        </is>
      </c>
      <c r="F215" s="70" t="n">
        <v>24</v>
      </c>
      <c r="G215" s="72" t="inlineStr">
        <is>
          <t>Compra a Prazo - Boletos</t>
        </is>
      </c>
      <c r="H215" s="70" t="n">
        <v>2110101</v>
      </c>
      <c r="I215" s="72" t="inlineStr">
        <is>
          <t>FORNECEDORES DE MERCADORIA</t>
        </is>
      </c>
      <c r="J215" s="70" t="n">
        <v>1193035</v>
      </c>
      <c r="L215" s="70" t="n">
        <v>3482</v>
      </c>
      <c r="M215" s="72" t="inlineStr">
        <is>
          <t>01</t>
        </is>
      </c>
      <c r="N215" s="72" t="inlineStr">
        <is>
          <t>NFE</t>
        </is>
      </c>
      <c r="P215" s="70" t="n">
        <v>103</v>
      </c>
      <c r="Q215" s="72" t="inlineStr">
        <is>
          <t>MILKA FRANCIS</t>
        </is>
      </c>
      <c r="R215" s="72" t="inlineStr">
        <is>
          <t>ESTOQUE DE MERCADORIAS</t>
        </is>
      </c>
      <c r="S215" s="70" t="n">
        <v>1130101</v>
      </c>
      <c r="T215" s="72" t="inlineStr">
        <is>
          <t>MERCADORIAS P/REVENDA</t>
        </is>
      </c>
      <c r="U215" s="73" t="n">
        <v>1747.29</v>
      </c>
      <c r="W215" s="73" t="n">
        <v>0</v>
      </c>
      <c r="X215" s="72" t="inlineStr">
        <is>
          <t>NF 3482 - MILKA</t>
        </is>
      </c>
      <c r="Z215" s="59">
        <f>IF($T215="","",IFERROR(INDEX('Resumo Grupos'!$AC$3:$AC$200,MATCH($T215,'Resumo Grupos'!$AB$3:$AB$200,0)),"n/d"))</f>
        <v/>
      </c>
      <c r="AA215" s="59">
        <f>IF($T215="","",IF(COUNTIF('Resumo Grupos'!$AE$3:$AE$40,$T215)&gt;0,"NAO","SIM"))</f>
        <v/>
      </c>
    </row>
    <row r="216" ht="54.75" customHeight="1" s="60">
      <c r="A216" s="70" t="n">
        <v>1</v>
      </c>
      <c r="B216" s="71" t="n">
        <v>46178</v>
      </c>
      <c r="C216" s="71" t="n">
        <v>46181</v>
      </c>
      <c r="D216" s="70" t="n">
        <v>1658</v>
      </c>
      <c r="E216" s="72" t="inlineStr">
        <is>
          <t>FORT COMERCIO DE BEBIDA LTDA</t>
        </is>
      </c>
      <c r="F216" s="70" t="n">
        <v>24</v>
      </c>
      <c r="G216" s="72" t="inlineStr">
        <is>
          <t>Compra a Prazo - Boletos</t>
        </is>
      </c>
      <c r="H216" s="70" t="n">
        <v>2110101</v>
      </c>
      <c r="I216" s="72" t="inlineStr">
        <is>
          <t>FORNECEDORES DE MERCADORIA</t>
        </is>
      </c>
      <c r="J216" s="70" t="n">
        <v>1208293</v>
      </c>
      <c r="L216" s="70" t="n">
        <v>138853</v>
      </c>
      <c r="M216" s="72" t="inlineStr">
        <is>
          <t>01</t>
        </is>
      </c>
      <c r="N216" s="72" t="inlineStr">
        <is>
          <t>NFE</t>
        </is>
      </c>
      <c r="P216" s="70" t="n">
        <v>103</v>
      </c>
      <c r="Q216" s="72" t="inlineStr">
        <is>
          <t>MILKA FRANCIS</t>
        </is>
      </c>
      <c r="R216" s="72" t="inlineStr">
        <is>
          <t>ESTOQUE DE MERCADORIAS</t>
        </is>
      </c>
      <c r="S216" s="70" t="n">
        <v>1130101</v>
      </c>
      <c r="T216" s="72" t="inlineStr">
        <is>
          <t>MERCADORIAS P/REVENDA</t>
        </is>
      </c>
      <c r="U216" s="73" t="n">
        <v>1110</v>
      </c>
      <c r="W216" s="73" t="n">
        <v>0</v>
      </c>
      <c r="X216" s="72" t="inlineStr">
        <is>
          <t>NF 138853 - MILKA</t>
        </is>
      </c>
      <c r="Z216" s="59">
        <f>IF($T216="","",IFERROR(INDEX('Resumo Grupos'!$AC$3:$AC$200,MATCH($T216,'Resumo Grupos'!$AB$3:$AB$200,0)),"n/d"))</f>
        <v/>
      </c>
      <c r="AA216" s="59">
        <f>IF($T216="","",IF(COUNTIF('Resumo Grupos'!$AE$3:$AE$40,$T216)&gt;0,"NAO","SIM"))</f>
        <v/>
      </c>
    </row>
    <row r="217" ht="54.75" customHeight="1" s="60">
      <c r="A217" s="70" t="n">
        <v>1</v>
      </c>
      <c r="B217" s="71" t="n">
        <v>46178</v>
      </c>
      <c r="C217" s="71" t="n">
        <v>46181</v>
      </c>
      <c r="D217" s="70" t="n">
        <v>1276</v>
      </c>
      <c r="E217" s="72" t="inlineStr">
        <is>
          <t>PRIMICIA DISTRIBUIDORA DE FRIOS LTDA</t>
        </is>
      </c>
      <c r="F217" s="70" t="n">
        <v>24</v>
      </c>
      <c r="G217" s="72" t="inlineStr">
        <is>
          <t>Compra a Prazo - Boletos</t>
        </is>
      </c>
      <c r="H217" s="70" t="n">
        <v>2110101</v>
      </c>
      <c r="I217" s="72" t="inlineStr">
        <is>
          <t>FORNECEDORES DE MERCADORIA</t>
        </is>
      </c>
      <c r="J217" s="70" t="n">
        <v>1208373</v>
      </c>
      <c r="L217" s="70" t="n">
        <v>2846</v>
      </c>
      <c r="M217" s="72" t="inlineStr">
        <is>
          <t>01</t>
        </is>
      </c>
      <c r="N217" s="72" t="inlineStr">
        <is>
          <t>NFE</t>
        </is>
      </c>
      <c r="P217" s="70" t="n">
        <v>103</v>
      </c>
      <c r="Q217" s="72" t="inlineStr">
        <is>
          <t>MILKA FRANCIS</t>
        </is>
      </c>
      <c r="R217" s="72" t="inlineStr">
        <is>
          <t>ESTOQUE DE MERCADORIAS</t>
        </is>
      </c>
      <c r="S217" s="70" t="n">
        <v>1130101</v>
      </c>
      <c r="T217" s="72" t="inlineStr">
        <is>
          <t>MERCADORIAS P/REVENDA</t>
        </is>
      </c>
      <c r="U217" s="73" t="n">
        <v>1068.5</v>
      </c>
      <c r="W217" s="73" t="n">
        <v>0</v>
      </c>
      <c r="X217" s="72" t="inlineStr">
        <is>
          <t>NF 2846 - MILKA</t>
        </is>
      </c>
      <c r="Z217" s="59">
        <f>IF($T217="","",IFERROR(INDEX('Resumo Grupos'!$AC$3:$AC$200,MATCH($T217,'Resumo Grupos'!$AB$3:$AB$200,0)),"n/d"))</f>
        <v/>
      </c>
      <c r="AA217" s="59">
        <f>IF($T217="","",IF(COUNTIF('Resumo Grupos'!$AE$3:$AE$40,$T217)&gt;0,"NAO","SIM"))</f>
        <v/>
      </c>
    </row>
    <row r="218" ht="54.75" customHeight="1" s="60">
      <c r="A218" s="70" t="n">
        <v>1</v>
      </c>
      <c r="B218" s="71" t="n">
        <v>46181</v>
      </c>
      <c r="C218" s="71" t="n">
        <v>46181</v>
      </c>
      <c r="D218" s="70" t="n">
        <v>33</v>
      </c>
      <c r="E218" s="72" t="inlineStr">
        <is>
          <t>RENATO DE O AZEVEDO E CIA LTDA - EPP</t>
        </is>
      </c>
      <c r="F218" s="70" t="n">
        <v>13</v>
      </c>
      <c r="G218" s="72" t="inlineStr">
        <is>
          <t>Compra a Vista</t>
        </is>
      </c>
      <c r="H218" s="70" t="n">
        <v>2110101</v>
      </c>
      <c r="I218" s="72" t="inlineStr">
        <is>
          <t>FORNECEDORES DE MERCADORIA</t>
        </is>
      </c>
      <c r="J218" s="70" t="n">
        <v>1221276</v>
      </c>
      <c r="L218" s="70" t="n">
        <v>5097</v>
      </c>
      <c r="M218" s="72" t="inlineStr">
        <is>
          <t>01</t>
        </is>
      </c>
      <c r="N218" s="72" t="inlineStr">
        <is>
          <t>NFE</t>
        </is>
      </c>
      <c r="P218" s="70" t="n">
        <v>104</v>
      </c>
      <c r="Q218" s="72" t="inlineStr">
        <is>
          <t>DEBORA COSTA</t>
        </is>
      </c>
      <c r="R218" s="72" t="inlineStr">
        <is>
          <t>ESTOQUE DE MERCADORIAS</t>
        </is>
      </c>
      <c r="S218" s="70" t="n">
        <v>1130101</v>
      </c>
      <c r="T218" s="72" t="inlineStr">
        <is>
          <t>MERCADORIAS P/REVENDA</t>
        </is>
      </c>
      <c r="U218" s="73" t="n">
        <v>340</v>
      </c>
      <c r="W218" s="73" t="n">
        <v>340</v>
      </c>
      <c r="X218" s="72" t="inlineStr">
        <is>
          <t>PITAYA - DEBORA</t>
        </is>
      </c>
      <c r="Z218" s="59">
        <f>IF($T218="","",IFERROR(INDEX('Resumo Grupos'!$AC$3:$AC$200,MATCH($T218,'Resumo Grupos'!$AB$3:$AB$200,0)),"n/d"))</f>
        <v/>
      </c>
      <c r="AA218" s="59">
        <f>IF($T218="","",IF(COUNTIF('Resumo Grupos'!$AE$3:$AE$40,$T218)&gt;0,"NAO","SIM"))</f>
        <v/>
      </c>
    </row>
    <row r="219" ht="36.75" customHeight="1" s="60">
      <c r="A219" s="70" t="n">
        <v>1</v>
      </c>
      <c r="B219" s="71" t="n">
        <v>46181</v>
      </c>
      <c r="C219" s="71" t="n">
        <v>46181</v>
      </c>
      <c r="D219" s="70" t="n">
        <v>1614</v>
      </c>
      <c r="E219" s="72" t="inlineStr">
        <is>
          <t>C. R. PARENTE ABREU</t>
        </is>
      </c>
      <c r="F219" s="70" t="n">
        <v>24</v>
      </c>
      <c r="G219" s="72" t="inlineStr">
        <is>
          <t>Compra a Prazo - Boletos</t>
        </is>
      </c>
      <c r="H219" s="70" t="n">
        <v>2110101</v>
      </c>
      <c r="I219" s="72" t="inlineStr">
        <is>
          <t>FORNECEDORES DE MERCADORIA</t>
        </is>
      </c>
      <c r="J219" s="70" t="n">
        <v>1221579</v>
      </c>
      <c r="L219" s="70" t="n">
        <v>11227</v>
      </c>
      <c r="M219" s="72" t="inlineStr">
        <is>
          <t>01</t>
        </is>
      </c>
      <c r="N219" s="72" t="inlineStr">
        <is>
          <t>NFE</t>
        </is>
      </c>
      <c r="P219" s="70" t="n">
        <v>103</v>
      </c>
      <c r="Q219" s="72" t="inlineStr">
        <is>
          <t>MILKA FRANCIS</t>
        </is>
      </c>
      <c r="R219" s="72" t="inlineStr">
        <is>
          <t>ESTOQUE DE MERCADORIAS</t>
        </is>
      </c>
      <c r="S219" s="70" t="n">
        <v>1130101</v>
      </c>
      <c r="T219" s="72" t="inlineStr">
        <is>
          <t>MERCADORIAS P/REVENDA</t>
        </is>
      </c>
      <c r="U219" s="73" t="n">
        <v>572.4</v>
      </c>
      <c r="W219" s="73" t="n">
        <v>0</v>
      </c>
      <c r="X219" s="72" t="inlineStr">
        <is>
          <t>NF 11227-1 MILKA</t>
        </is>
      </c>
      <c r="Z219" s="59">
        <f>IF($T219="","",IFERROR(INDEX('Resumo Grupos'!$AC$3:$AC$200,MATCH($T219,'Resumo Grupos'!$AB$3:$AB$200,0)),"n/d"))</f>
        <v/>
      </c>
      <c r="AA219" s="59">
        <f>IF($T219="","",IF(COUNTIF('Resumo Grupos'!$AE$3:$AE$40,$T219)&gt;0,"NAO","SIM"))</f>
        <v/>
      </c>
    </row>
    <row r="220" ht="63.75" customHeight="1" s="60">
      <c r="A220" s="70" t="n">
        <v>1</v>
      </c>
      <c r="B220" s="71" t="n">
        <v>46181</v>
      </c>
      <c r="C220" s="71" t="n">
        <v>46181</v>
      </c>
      <c r="D220" s="70" t="n">
        <v>1292</v>
      </c>
      <c r="E220" s="72" t="inlineStr">
        <is>
          <t>SAO JOSE COMERCIO DE LATICINIOS E FRIOS</t>
        </is>
      </c>
      <c r="F220" s="70" t="n">
        <v>24</v>
      </c>
      <c r="G220" s="72" t="inlineStr">
        <is>
          <t>Compra a Prazo - Boletos</t>
        </is>
      </c>
      <c r="H220" s="70" t="n">
        <v>2110101</v>
      </c>
      <c r="I220" s="72" t="inlineStr">
        <is>
          <t>FORNECEDORES DE MERCADORIA</t>
        </is>
      </c>
      <c r="J220" s="70" t="n">
        <v>1222142</v>
      </c>
      <c r="L220" s="70" t="n">
        <v>3318</v>
      </c>
      <c r="M220" s="72" t="inlineStr">
        <is>
          <t>01</t>
        </is>
      </c>
      <c r="N220" s="72" t="inlineStr">
        <is>
          <t>NFE</t>
        </is>
      </c>
      <c r="P220" s="70" t="n">
        <v>103</v>
      </c>
      <c r="Q220" s="72" t="inlineStr">
        <is>
          <t>MILKA FRANCIS</t>
        </is>
      </c>
      <c r="R220" s="72" t="inlineStr">
        <is>
          <t>ESTOQUE DE MERCADORIAS</t>
        </is>
      </c>
      <c r="S220" s="70" t="n">
        <v>1130101</v>
      </c>
      <c r="T220" s="72" t="inlineStr">
        <is>
          <t>MERCADORIAS P/REVENDA</t>
        </is>
      </c>
      <c r="U220" s="73" t="n">
        <v>2562.75</v>
      </c>
      <c r="W220" s="73" t="n">
        <v>0</v>
      </c>
      <c r="X220" s="72" t="inlineStr">
        <is>
          <t>NF 3318 SABORE FATIADO - MILKA</t>
        </is>
      </c>
      <c r="Z220" s="59">
        <f>IF($T220="","",IFERROR(INDEX('Resumo Grupos'!$AC$3:$AC$200,MATCH($T220,'Resumo Grupos'!$AB$3:$AB$200,0)),"n/d"))</f>
        <v/>
      </c>
      <c r="AA220" s="59">
        <f>IF($T220="","",IF(COUNTIF('Resumo Grupos'!$AE$3:$AE$40,$T220)&gt;0,"NAO","SIM"))</f>
        <v/>
      </c>
    </row>
    <row r="221" ht="63.75" customHeight="1" s="60">
      <c r="A221" s="70" t="n">
        <v>1</v>
      </c>
      <c r="B221" s="71" t="n">
        <v>46181</v>
      </c>
      <c r="C221" s="71" t="n">
        <v>46181</v>
      </c>
      <c r="D221" s="70" t="n">
        <v>1391</v>
      </c>
      <c r="E221" s="72" t="inlineStr">
        <is>
          <t>D N COMERCIO ATACADISTA DE EMBALAGENS E</t>
        </is>
      </c>
      <c r="F221" s="70" t="n">
        <v>34</v>
      </c>
      <c r="G221" s="72" t="inlineStr">
        <is>
          <t>Transferencia Pix</t>
        </is>
      </c>
      <c r="H221" s="70" t="n">
        <v>2110101</v>
      </c>
      <c r="I221" s="72" t="inlineStr">
        <is>
          <t>FORNECEDORES DE MERCADORIA</t>
        </is>
      </c>
      <c r="J221" s="70" t="n">
        <v>1223092</v>
      </c>
      <c r="L221" s="70" t="n">
        <v>399</v>
      </c>
      <c r="M221" s="72" t="inlineStr">
        <is>
          <t>01</t>
        </is>
      </c>
      <c r="N221" s="72" t="inlineStr">
        <is>
          <t>NFE</t>
        </is>
      </c>
      <c r="P221" s="70" t="n">
        <v>103</v>
      </c>
      <c r="Q221" s="72" t="inlineStr">
        <is>
          <t>MILKA FRANCIS</t>
        </is>
      </c>
      <c r="R221" s="72" t="inlineStr">
        <is>
          <t>ESTOQUE DE MERCADORIAS</t>
        </is>
      </c>
      <c r="S221" s="70" t="n">
        <v>1130101</v>
      </c>
      <c r="T221" s="72" t="inlineStr">
        <is>
          <t>MERCADORIAS P/REVENDA</t>
        </is>
      </c>
      <c r="U221" s="73" t="n">
        <v>779.4</v>
      </c>
      <c r="W221" s="73" t="n">
        <v>0</v>
      </c>
      <c r="X221" s="72" t="inlineStr">
        <is>
          <t>NF 399 PIX P/ PAULA - MILKA</t>
        </is>
      </c>
      <c r="Z221" s="59">
        <f>IF($T221="","",IFERROR(INDEX('Resumo Grupos'!$AC$3:$AC$200,MATCH($T221,'Resumo Grupos'!$AB$3:$AB$200,0)),"n/d"))</f>
        <v/>
      </c>
      <c r="AA221" s="59">
        <f>IF($T221="","",IF(COUNTIF('Resumo Grupos'!$AE$3:$AE$40,$T221)&gt;0,"NAO","SIM"))</f>
        <v/>
      </c>
    </row>
    <row r="222" ht="63.75" customHeight="1" s="60">
      <c r="A222" s="70" t="n">
        <v>1</v>
      </c>
      <c r="B222" s="71" t="n">
        <v>46181</v>
      </c>
      <c r="C222" s="71" t="n">
        <v>46181</v>
      </c>
      <c r="D222" s="70" t="n">
        <v>978</v>
      </c>
      <c r="E222" s="72" t="inlineStr">
        <is>
          <t>GELO DANGELO FABRICACAO DE GELO LTDA</t>
        </is>
      </c>
      <c r="F222" s="70" t="n">
        <v>13</v>
      </c>
      <c r="G222" s="72" t="inlineStr">
        <is>
          <t>Compra a Vista</t>
        </is>
      </c>
      <c r="H222" s="70" t="n">
        <v>2110101</v>
      </c>
      <c r="I222" s="72" t="inlineStr">
        <is>
          <t>FORNECEDORES DE MERCADORIA</t>
        </is>
      </c>
      <c r="J222" s="70" t="n">
        <v>1228519</v>
      </c>
      <c r="L222" s="70" t="n">
        <v>259</v>
      </c>
      <c r="M222" s="72" t="inlineStr">
        <is>
          <t>01</t>
        </is>
      </c>
      <c r="N222" s="72" t="inlineStr">
        <is>
          <t>NFE</t>
        </is>
      </c>
      <c r="P222" s="70" t="n">
        <v>104</v>
      </c>
      <c r="Q222" s="72" t="inlineStr">
        <is>
          <t>DEBORA COSTA</t>
        </is>
      </c>
      <c r="R222" s="72" t="inlineStr">
        <is>
          <t>ESTOQUE DE MERCADORIAS</t>
        </is>
      </c>
      <c r="S222" s="70" t="n">
        <v>1130101</v>
      </c>
      <c r="T222" s="72" t="inlineStr">
        <is>
          <t>MERCADORIAS P/REVENDA</t>
        </is>
      </c>
      <c r="U222" s="73" t="n">
        <v>409</v>
      </c>
      <c r="W222" s="73" t="n">
        <v>0</v>
      </c>
      <c r="X222" s="72" t="inlineStr">
        <is>
          <t>NF 259 - DEBORA</t>
        </is>
      </c>
      <c r="Z222" s="59">
        <f>IF($T222="","",IFERROR(INDEX('Resumo Grupos'!$AC$3:$AC$200,MATCH($T222,'Resumo Grupos'!$AB$3:$AB$200,0)),"n/d"))</f>
        <v/>
      </c>
      <c r="AA222" s="59">
        <f>IF($T222="","",IF(COUNTIF('Resumo Grupos'!$AE$3:$AE$40,$T222)&gt;0,"NAO","SIM"))</f>
        <v/>
      </c>
    </row>
    <row r="223" ht="63.75" customHeight="1" s="60">
      <c r="A223" s="70" t="n">
        <v>1</v>
      </c>
      <c r="B223" s="71" t="n">
        <v>46108</v>
      </c>
      <c r="C223" s="71" t="n">
        <v>46182</v>
      </c>
      <c r="D223" s="70" t="n">
        <v>607</v>
      </c>
      <c r="E223" s="72" t="inlineStr">
        <is>
          <t>PRIME PET DISTRIBUIDORA LTDA</t>
        </is>
      </c>
      <c r="F223" s="70" t="n">
        <v>24</v>
      </c>
      <c r="G223" s="72" t="inlineStr">
        <is>
          <t>Compra a Prazo - Boletos</t>
        </is>
      </c>
      <c r="H223" s="70" t="n">
        <v>2110101</v>
      </c>
      <c r="I223" s="72" t="inlineStr">
        <is>
          <t>FORNECEDORES DE MERCADORIA</t>
        </is>
      </c>
      <c r="J223" s="70" t="n">
        <v>862229</v>
      </c>
      <c r="L223" s="70" t="n">
        <v>9949</v>
      </c>
      <c r="M223" s="72" t="inlineStr">
        <is>
          <t>06</t>
        </is>
      </c>
      <c r="N223" s="72" t="inlineStr">
        <is>
          <t>NFE</t>
        </is>
      </c>
      <c r="P223" s="70" t="n">
        <v>103</v>
      </c>
      <c r="Q223" s="72" t="inlineStr">
        <is>
          <t>MILKA FRANCIS</t>
        </is>
      </c>
      <c r="R223" s="72" t="inlineStr">
        <is>
          <t>ESTOQUE DE MERCADORIAS</t>
        </is>
      </c>
      <c r="S223" s="70" t="n">
        <v>1130101</v>
      </c>
      <c r="T223" s="72" t="inlineStr">
        <is>
          <t>MERCADORIAS P/REVENDA</t>
        </is>
      </c>
      <c r="U223" s="73" t="n">
        <v>649.63</v>
      </c>
      <c r="W223" s="73" t="n">
        <v>0</v>
      </c>
      <c r="X223" s="72" t="inlineStr">
        <is>
          <t>NF 9949 -06/06 - MILKA</t>
        </is>
      </c>
      <c r="Z223" s="59">
        <f>IF($T223="","",IFERROR(INDEX('Resumo Grupos'!$AC$3:$AC$200,MATCH($T223,'Resumo Grupos'!$AB$3:$AB$200,0)),"n/d"))</f>
        <v/>
      </c>
      <c r="AA223" s="59">
        <f>IF($T223="","",IF(COUNTIF('Resumo Grupos'!$AE$3:$AE$40,$T223)&gt;0,"NAO","SIM"))</f>
        <v/>
      </c>
    </row>
    <row r="224" ht="63.75" customHeight="1" s="60">
      <c r="A224" s="70" t="n">
        <v>1</v>
      </c>
      <c r="B224" s="71" t="n">
        <v>46155</v>
      </c>
      <c r="C224" s="71" t="n">
        <v>46182</v>
      </c>
      <c r="D224" s="70" t="n">
        <v>1107</v>
      </c>
      <c r="E224" s="72" t="inlineStr">
        <is>
          <t>OESA COMERCIO E REPRESENTACOES S/A</t>
        </is>
      </c>
      <c r="F224" s="70" t="n">
        <v>24</v>
      </c>
      <c r="G224" s="72" t="inlineStr">
        <is>
          <t>Compra a Prazo - Boletos</t>
        </is>
      </c>
      <c r="H224" s="70" t="n">
        <v>2110101</v>
      </c>
      <c r="I224" s="72" t="inlineStr">
        <is>
          <t>FORNECEDORES DE MERCADORIA</t>
        </is>
      </c>
      <c r="J224" s="70" t="n">
        <v>1092319</v>
      </c>
      <c r="L224" s="70" t="n">
        <v>401029</v>
      </c>
      <c r="M224" s="72" t="inlineStr">
        <is>
          <t>02</t>
        </is>
      </c>
      <c r="N224" s="72" t="inlineStr">
        <is>
          <t>NFE</t>
        </is>
      </c>
      <c r="P224" s="70" t="n">
        <v>103</v>
      </c>
      <c r="Q224" s="72" t="inlineStr">
        <is>
          <t>MILKA FRANCIS</t>
        </is>
      </c>
      <c r="R224" s="72" t="inlineStr">
        <is>
          <t>ESTOQUE DE MERCADORIAS</t>
        </is>
      </c>
      <c r="S224" s="70" t="n">
        <v>1130101</v>
      </c>
      <c r="T224" s="72" t="inlineStr">
        <is>
          <t>MERCADORIAS P/REVENDA</t>
        </is>
      </c>
      <c r="U224" s="73" t="n">
        <v>2467.24</v>
      </c>
      <c r="W224" s="73" t="n">
        <v>0</v>
      </c>
      <c r="X224" s="72" t="inlineStr">
        <is>
          <t>NF401029 -2 MILKA</t>
        </is>
      </c>
      <c r="Z224" s="59">
        <f>IF($T224="","",IFERROR(INDEX('Resumo Grupos'!$AC$3:$AC$200,MATCH($T224,'Resumo Grupos'!$AB$3:$AB$200,0)),"n/d"))</f>
        <v/>
      </c>
      <c r="AA224" s="59">
        <f>IF($T224="","",IF(COUNTIF('Resumo Grupos'!$AE$3:$AE$40,$T224)&gt;0,"NAO","SIM"))</f>
        <v/>
      </c>
    </row>
    <row r="225" ht="63.75" customHeight="1" s="60">
      <c r="A225" s="70" t="n">
        <v>1</v>
      </c>
      <c r="B225" s="71" t="n">
        <v>46142</v>
      </c>
      <c r="C225" s="71" t="n">
        <v>46182</v>
      </c>
      <c r="D225" s="70" t="n">
        <v>957</v>
      </c>
      <c r="E225" s="72" t="inlineStr">
        <is>
          <t>FUNNY PET DISTRIBUIDORA DE ALIMENTOS PAR</t>
        </is>
      </c>
      <c r="F225" s="70" t="n">
        <v>24</v>
      </c>
      <c r="G225" s="72" t="inlineStr">
        <is>
          <t>Compra a Prazo - Boletos</t>
        </is>
      </c>
      <c r="H225" s="70" t="n">
        <v>2110101</v>
      </c>
      <c r="I225" s="72" t="inlineStr">
        <is>
          <t>FORNECEDORES DE MERCADORIA</t>
        </is>
      </c>
      <c r="J225" s="70" t="n">
        <v>1029489</v>
      </c>
      <c r="L225" s="70" t="n">
        <v>19342</v>
      </c>
      <c r="M225" s="72" t="inlineStr">
        <is>
          <t>04</t>
        </is>
      </c>
      <c r="N225" s="72" t="inlineStr">
        <is>
          <t>NFE</t>
        </is>
      </c>
      <c r="P225" s="70" t="n">
        <v>103</v>
      </c>
      <c r="Q225" s="72" t="inlineStr">
        <is>
          <t>MILKA FRANCIS</t>
        </is>
      </c>
      <c r="R225" s="72" t="inlineStr">
        <is>
          <t>ESTOQUE DE MERCADORIAS</t>
        </is>
      </c>
      <c r="S225" s="70" t="n">
        <v>1130101</v>
      </c>
      <c r="T225" s="72" t="inlineStr">
        <is>
          <t>MERCADORIAS P/REVENDA</t>
        </is>
      </c>
      <c r="U225" s="73" t="n">
        <v>1287.25</v>
      </c>
      <c r="W225" s="73" t="n">
        <v>0</v>
      </c>
      <c r="X225" s="72" t="inlineStr">
        <is>
          <t>NF19342-4 MILKA</t>
        </is>
      </c>
      <c r="Z225" s="59">
        <f>IF($T225="","",IFERROR(INDEX('Resumo Grupos'!$AC$3:$AC$200,MATCH($T225,'Resumo Grupos'!$AB$3:$AB$200,0)),"n/d"))</f>
        <v/>
      </c>
      <c r="AA225" s="59">
        <f>IF($T225="","",IF(COUNTIF('Resumo Grupos'!$AE$3:$AE$40,$T225)&gt;0,"NAO","SIM"))</f>
        <v/>
      </c>
    </row>
    <row r="226" ht="63.75" customHeight="1" s="60">
      <c r="A226" s="70" t="n">
        <v>1</v>
      </c>
      <c r="B226" s="71" t="n">
        <v>46163</v>
      </c>
      <c r="C226" s="71" t="n">
        <v>46182</v>
      </c>
      <c r="D226" s="70" t="n">
        <v>1751</v>
      </c>
      <c r="E226" s="72" t="inlineStr">
        <is>
          <t>ANA MARIA DOS SANTOS COSMETICOS</t>
        </is>
      </c>
      <c r="F226" s="70" t="n">
        <v>24</v>
      </c>
      <c r="G226" s="72" t="inlineStr">
        <is>
          <t>Compra a Prazo - Boletos</t>
        </is>
      </c>
      <c r="H226" s="70" t="n">
        <v>2110101</v>
      </c>
      <c r="I226" s="72" t="inlineStr">
        <is>
          <t>FORNECEDORES DE MERCADORIA</t>
        </is>
      </c>
      <c r="J226" s="70" t="n">
        <v>1132229</v>
      </c>
      <c r="L226" s="70" t="n">
        <v>69749</v>
      </c>
      <c r="M226" s="72" t="inlineStr">
        <is>
          <t>01</t>
        </is>
      </c>
      <c r="N226" s="72" t="inlineStr">
        <is>
          <t>NFE</t>
        </is>
      </c>
      <c r="P226" s="70" t="n">
        <v>103</v>
      </c>
      <c r="Q226" s="72" t="inlineStr">
        <is>
          <t>MILKA FRANCIS</t>
        </is>
      </c>
      <c r="R226" s="72" t="inlineStr">
        <is>
          <t>ESTOQUE DE MERCADORIAS</t>
        </is>
      </c>
      <c r="S226" s="70" t="n">
        <v>1130101</v>
      </c>
      <c r="T226" s="72" t="inlineStr">
        <is>
          <t>MERCADORIAS P/REVENDA</t>
        </is>
      </c>
      <c r="U226" s="73" t="n">
        <v>425.26</v>
      </c>
      <c r="W226" s="73" t="n">
        <v>0</v>
      </c>
      <c r="X226" s="72" t="inlineStr">
        <is>
          <t>NF 69749 - MILKA</t>
        </is>
      </c>
      <c r="Z226" s="59">
        <f>IF($T226="","",IFERROR(INDEX('Resumo Grupos'!$AC$3:$AC$200,MATCH($T226,'Resumo Grupos'!$AB$3:$AB$200,0)),"n/d"))</f>
        <v/>
      </c>
      <c r="AA226" s="59">
        <f>IF($T226="","",IF(COUNTIF('Resumo Grupos'!$AE$3:$AE$40,$T226)&gt;0,"NAO","SIM"))</f>
        <v/>
      </c>
    </row>
    <row r="227" ht="54.75" customHeight="1" s="60">
      <c r="A227" s="70" t="n">
        <v>1</v>
      </c>
      <c r="B227" s="71" t="n">
        <v>46163</v>
      </c>
      <c r="C227" s="71" t="n">
        <v>46182</v>
      </c>
      <c r="D227" s="70" t="n">
        <v>1608</v>
      </c>
      <c r="E227" s="72" t="inlineStr">
        <is>
          <t>DISTRIBUIDORA LOPES LTDA</t>
        </is>
      </c>
      <c r="F227" s="70" t="n">
        <v>24</v>
      </c>
      <c r="G227" s="72" t="inlineStr">
        <is>
          <t>Compra a Prazo - Boletos</t>
        </is>
      </c>
      <c r="H227" s="70" t="n">
        <v>2110101</v>
      </c>
      <c r="I227" s="72" t="inlineStr">
        <is>
          <t>FORNECEDORES DE MERCADORIA</t>
        </is>
      </c>
      <c r="J227" s="70" t="n">
        <v>1133077</v>
      </c>
      <c r="L227" s="70" t="n">
        <v>1656781</v>
      </c>
      <c r="M227" s="72" t="inlineStr">
        <is>
          <t>01</t>
        </is>
      </c>
      <c r="N227" s="72" t="inlineStr">
        <is>
          <t>NFE</t>
        </is>
      </c>
      <c r="P227" s="70" t="n">
        <v>103</v>
      </c>
      <c r="Q227" s="72" t="inlineStr">
        <is>
          <t>MILKA FRANCIS</t>
        </is>
      </c>
      <c r="R227" s="72" t="inlineStr">
        <is>
          <t>ESTOQUE DE MERCADORIAS</t>
        </is>
      </c>
      <c r="S227" s="70" t="n">
        <v>1130101</v>
      </c>
      <c r="T227" s="72" t="inlineStr">
        <is>
          <t>MERCADORIAS P/REVENDA</t>
        </is>
      </c>
      <c r="U227" s="73" t="n">
        <v>2234.88</v>
      </c>
      <c r="W227" s="73" t="n">
        <v>0</v>
      </c>
      <c r="X227" s="72" t="inlineStr">
        <is>
          <t>NF 1656778 - MILKA</t>
        </is>
      </c>
      <c r="Z227" s="59">
        <f>IF($T227="","",IFERROR(INDEX('Resumo Grupos'!$AC$3:$AC$200,MATCH($T227,'Resumo Grupos'!$AB$3:$AB$200,0)),"n/d"))</f>
        <v/>
      </c>
      <c r="AA227" s="59">
        <f>IF($T227="","",IF(COUNTIF('Resumo Grupos'!$AE$3:$AE$40,$T227)&gt;0,"NAO","SIM"))</f>
        <v/>
      </c>
    </row>
    <row r="228" ht="54.75" customHeight="1" s="60">
      <c r="A228" s="70" t="n">
        <v>1</v>
      </c>
      <c r="B228" s="71" t="n">
        <v>46165</v>
      </c>
      <c r="C228" s="71" t="n">
        <v>46182</v>
      </c>
      <c r="D228" s="70" t="n">
        <v>1708</v>
      </c>
      <c r="E228" s="72" t="inlineStr">
        <is>
          <t>SUPER CANCUN COMERCIO DE PRODUTOS ALIMEN</t>
        </is>
      </c>
      <c r="F228" s="70" t="n">
        <v>24</v>
      </c>
      <c r="G228" s="72" t="inlineStr">
        <is>
          <t>Compra a Prazo - Boletos</t>
        </is>
      </c>
      <c r="H228" s="70" t="n">
        <v>2110101</v>
      </c>
      <c r="I228" s="72" t="inlineStr">
        <is>
          <t>FORNECEDORES DE MERCADORIA</t>
        </is>
      </c>
      <c r="J228" s="70" t="n">
        <v>1142142</v>
      </c>
      <c r="L228" s="70" t="n">
        <v>259091</v>
      </c>
      <c r="M228" s="72" t="inlineStr">
        <is>
          <t>02</t>
        </is>
      </c>
      <c r="N228" s="72" t="inlineStr">
        <is>
          <t>NFE</t>
        </is>
      </c>
      <c r="P228" s="70" t="n">
        <v>103</v>
      </c>
      <c r="Q228" s="72" t="inlineStr">
        <is>
          <t>MILKA FRANCIS</t>
        </is>
      </c>
      <c r="R228" s="72" t="inlineStr">
        <is>
          <t>ESTOQUE DE MERCADORIAS</t>
        </is>
      </c>
      <c r="S228" s="70" t="n">
        <v>1130101</v>
      </c>
      <c r="T228" s="72" t="inlineStr">
        <is>
          <t>MERCADORIAS P/REVENDA</t>
        </is>
      </c>
      <c r="U228" s="73" t="n">
        <v>381.99</v>
      </c>
      <c r="W228" s="73" t="n">
        <v>0</v>
      </c>
      <c r="X228" s="72" t="inlineStr">
        <is>
          <t>NF 250091 -2 MILKA</t>
        </is>
      </c>
      <c r="Z228" s="59">
        <f>IF($T228="","",IFERROR(INDEX('Resumo Grupos'!$AC$3:$AC$200,MATCH($T228,'Resumo Grupos'!$AB$3:$AB$200,0)),"n/d"))</f>
        <v/>
      </c>
      <c r="AA228" s="59">
        <f>IF($T228="","",IF(COUNTIF('Resumo Grupos'!$AE$3:$AE$40,$T228)&gt;0,"NAO","SIM"))</f>
        <v/>
      </c>
    </row>
    <row r="229" ht="54.75" customHeight="1" s="60">
      <c r="A229" s="70" t="n">
        <v>1</v>
      </c>
      <c r="B229" s="71" t="n">
        <v>46170</v>
      </c>
      <c r="C229" s="71" t="n">
        <v>46182</v>
      </c>
      <c r="D229" s="70" t="n">
        <v>10046</v>
      </c>
      <c r="E229" s="72" t="inlineStr">
        <is>
          <t>L F BORATTO ABATEDOURO DE AVES LTDA</t>
        </is>
      </c>
      <c r="F229" s="70" t="n">
        <v>24</v>
      </c>
      <c r="G229" s="72" t="inlineStr">
        <is>
          <t>Compra a Prazo - Boletos</t>
        </is>
      </c>
      <c r="H229" s="70" t="n">
        <v>2110101</v>
      </c>
      <c r="I229" s="72" t="inlineStr">
        <is>
          <t>FORNECEDORES DE MERCADORIA</t>
        </is>
      </c>
      <c r="J229" s="70" t="n">
        <v>1167580</v>
      </c>
      <c r="L229" s="70" t="n">
        <v>1832</v>
      </c>
      <c r="M229" s="72" t="inlineStr">
        <is>
          <t>01</t>
        </is>
      </c>
      <c r="N229" s="72" t="inlineStr">
        <is>
          <t>NFE</t>
        </is>
      </c>
      <c r="P229" s="70" t="n">
        <v>103</v>
      </c>
      <c r="Q229" s="72" t="inlineStr">
        <is>
          <t>MILKA FRANCIS</t>
        </is>
      </c>
      <c r="R229" s="72" t="inlineStr">
        <is>
          <t>ESTOQUE DE MERCADORIAS</t>
        </is>
      </c>
      <c r="S229" s="70" t="n">
        <v>1130101</v>
      </c>
      <c r="T229" s="72" t="inlineStr">
        <is>
          <t>MERCADORIAS P/REVENDA</t>
        </is>
      </c>
      <c r="U229" s="73" t="n">
        <v>89.51000000000001</v>
      </c>
      <c r="W229" s="73" t="n">
        <v>0</v>
      </c>
      <c r="X229" s="72" t="inlineStr">
        <is>
          <t>NF 1832 - 1 MILKA</t>
        </is>
      </c>
      <c r="Z229" s="59">
        <f>IF($T229="","",IFERROR(INDEX('Resumo Grupos'!$AC$3:$AC$200,MATCH($T229,'Resumo Grupos'!$AB$3:$AB$200,0)),"n/d"))</f>
        <v/>
      </c>
      <c r="AA229" s="59">
        <f>IF($T229="","",IF(COUNTIF('Resumo Grupos'!$AE$3:$AE$40,$T229)&gt;0,"NAO","SIM"))</f>
        <v/>
      </c>
    </row>
    <row r="230" ht="36.75" customHeight="1" s="60">
      <c r="A230" s="70" t="n">
        <v>1</v>
      </c>
      <c r="B230" s="71" t="n">
        <v>46170</v>
      </c>
      <c r="C230" s="71" t="n">
        <v>46182</v>
      </c>
      <c r="D230" s="70" t="n">
        <v>1613</v>
      </c>
      <c r="E230" s="72" t="inlineStr">
        <is>
          <t>BRF S A</t>
        </is>
      </c>
      <c r="F230" s="70" t="n">
        <v>24</v>
      </c>
      <c r="G230" s="72" t="inlineStr">
        <is>
          <t>Compra a Prazo - Boletos</t>
        </is>
      </c>
      <c r="H230" s="70" t="n">
        <v>2110101</v>
      </c>
      <c r="I230" s="72" t="inlineStr">
        <is>
          <t>FORNECEDORES DE MERCADORIA</t>
        </is>
      </c>
      <c r="J230" s="70" t="n">
        <v>1167896</v>
      </c>
      <c r="L230" s="70" t="n">
        <v>1591095</v>
      </c>
      <c r="M230" s="72" t="inlineStr">
        <is>
          <t>02</t>
        </is>
      </c>
      <c r="N230" s="72" t="inlineStr">
        <is>
          <t>NFE</t>
        </is>
      </c>
      <c r="P230" s="70" t="n">
        <v>103</v>
      </c>
      <c r="Q230" s="72" t="inlineStr">
        <is>
          <t>MILKA FRANCIS</t>
        </is>
      </c>
      <c r="R230" s="72" t="inlineStr">
        <is>
          <t>ESTOQUE DE MERCADORIAS</t>
        </is>
      </c>
      <c r="S230" s="70" t="n">
        <v>1130101</v>
      </c>
      <c r="T230" s="72" t="inlineStr">
        <is>
          <t>MERCADORIAS P/REVENDA</t>
        </is>
      </c>
      <c r="U230" s="73" t="n">
        <v>416.19</v>
      </c>
      <c r="W230" s="73" t="n">
        <v>0</v>
      </c>
      <c r="X230" s="72" t="inlineStr">
        <is>
          <t>NF 1591095-02/03 MILKA</t>
        </is>
      </c>
      <c r="Z230" s="59">
        <f>IF($T230="","",IFERROR(INDEX('Resumo Grupos'!$AC$3:$AC$200,MATCH($T230,'Resumo Grupos'!$AB$3:$AB$200,0)),"n/d"))</f>
        <v/>
      </c>
      <c r="AA230" s="59">
        <f>IF($T230="","",IF(COUNTIF('Resumo Grupos'!$AE$3:$AE$40,$T230)&gt;0,"NAO","SIM"))</f>
        <v/>
      </c>
    </row>
    <row r="231" ht="36.75" customHeight="1" s="60">
      <c r="A231" s="70" t="n">
        <v>1</v>
      </c>
      <c r="B231" s="71" t="n">
        <v>46170</v>
      </c>
      <c r="C231" s="71" t="n">
        <v>46182</v>
      </c>
      <c r="D231" s="70" t="n">
        <v>1286</v>
      </c>
      <c r="E231" s="72" t="inlineStr">
        <is>
          <t>VITAPAN COMERCIO VAREJISTA DE PRODUTOS ALIMENTICIOS LTDA</t>
        </is>
      </c>
      <c r="F231" s="70" t="n">
        <v>24</v>
      </c>
      <c r="G231" s="72" t="inlineStr">
        <is>
          <t>Compra a Prazo - Boletos</t>
        </is>
      </c>
      <c r="H231" s="70" t="n">
        <v>2110101</v>
      </c>
      <c r="I231" s="72" t="inlineStr">
        <is>
          <t>FORNECEDORES DE MERCADORIA</t>
        </is>
      </c>
      <c r="J231" s="70" t="n">
        <v>1168569</v>
      </c>
      <c r="L231" s="70" t="n">
        <v>9958</v>
      </c>
      <c r="M231" s="72" t="inlineStr">
        <is>
          <t>01</t>
        </is>
      </c>
      <c r="N231" s="72" t="inlineStr">
        <is>
          <t>NFE</t>
        </is>
      </c>
      <c r="P231" s="70" t="n">
        <v>103</v>
      </c>
      <c r="Q231" s="72" t="inlineStr">
        <is>
          <t>MILKA FRANCIS</t>
        </is>
      </c>
      <c r="R231" s="72" t="inlineStr">
        <is>
          <t>ESTOQUE DE MERCADORIAS</t>
        </is>
      </c>
      <c r="S231" s="70" t="n">
        <v>1130101</v>
      </c>
      <c r="T231" s="72" t="inlineStr">
        <is>
          <t>MERCADORIAS P/REVENDA</t>
        </is>
      </c>
      <c r="U231" s="73" t="n">
        <v>972</v>
      </c>
      <c r="W231" s="73" t="n">
        <v>0</v>
      </c>
      <c r="X231" s="72" t="inlineStr">
        <is>
          <t>NF 9958 - MILKA</t>
        </is>
      </c>
      <c r="Z231" s="59">
        <f>IF($T231="","",IFERROR(INDEX('Resumo Grupos'!$AC$3:$AC$200,MATCH($T231,'Resumo Grupos'!$AB$3:$AB$200,0)),"n/d"))</f>
        <v/>
      </c>
      <c r="AA231" s="59">
        <f>IF($T231="","",IF(COUNTIF('Resumo Grupos'!$AE$3:$AE$40,$T231)&gt;0,"NAO","SIM"))</f>
        <v/>
      </c>
    </row>
    <row r="232" ht="63.75" customHeight="1" s="60">
      <c r="A232" s="70" t="n">
        <v>1</v>
      </c>
      <c r="B232" s="71" t="n">
        <v>46170</v>
      </c>
      <c r="C232" s="71" t="n">
        <v>46182</v>
      </c>
      <c r="D232" s="70" t="n">
        <v>1114</v>
      </c>
      <c r="E232" s="72" t="inlineStr">
        <is>
          <t>NT INDUSTRIA E COMERCIO DE PANIFICACAO L</t>
        </is>
      </c>
      <c r="F232" s="70" t="n">
        <v>24</v>
      </c>
      <c r="G232" s="72" t="inlineStr">
        <is>
          <t>Compra a Prazo - Boletos</t>
        </is>
      </c>
      <c r="H232" s="70" t="n">
        <v>2110101</v>
      </c>
      <c r="I232" s="72" t="inlineStr">
        <is>
          <t>FORNECEDORES DE MERCADORIA</t>
        </is>
      </c>
      <c r="J232" s="70" t="n">
        <v>1168580</v>
      </c>
      <c r="L232" s="70" t="n">
        <v>36783</v>
      </c>
      <c r="M232" s="72" t="inlineStr">
        <is>
          <t>01</t>
        </is>
      </c>
      <c r="N232" s="72" t="inlineStr">
        <is>
          <t>NFE</t>
        </is>
      </c>
      <c r="P232" s="70" t="n">
        <v>103</v>
      </c>
      <c r="Q232" s="72" t="inlineStr">
        <is>
          <t>MILKA FRANCIS</t>
        </is>
      </c>
      <c r="R232" s="72" t="inlineStr">
        <is>
          <t>ESTOQUE DE MERCADORIAS</t>
        </is>
      </c>
      <c r="S232" s="70" t="n">
        <v>1130101</v>
      </c>
      <c r="T232" s="72" t="inlineStr">
        <is>
          <t>MERCADORIAS P/REVENDA</t>
        </is>
      </c>
      <c r="U232" s="73" t="n">
        <v>3522.3</v>
      </c>
      <c r="W232" s="73" t="n">
        <v>0</v>
      </c>
      <c r="X232" s="72" t="inlineStr">
        <is>
          <t>NF 36783 - MILKA</t>
        </is>
      </c>
      <c r="Z232" s="59">
        <f>IF($T232="","",IFERROR(INDEX('Resumo Grupos'!$AC$3:$AC$200,MATCH($T232,'Resumo Grupos'!$AB$3:$AB$200,0)),"n/d"))</f>
        <v/>
      </c>
      <c r="AA232" s="59">
        <f>IF($T232="","",IF(COUNTIF('Resumo Grupos'!$AE$3:$AE$40,$T232)&gt;0,"NAO","SIM"))</f>
        <v/>
      </c>
    </row>
    <row r="233" ht="63.75" customHeight="1" s="60">
      <c r="A233" s="70" t="n">
        <v>1</v>
      </c>
      <c r="B233" s="71" t="n">
        <v>46174</v>
      </c>
      <c r="C233" s="71" t="n">
        <v>46182</v>
      </c>
      <c r="D233" s="70" t="n">
        <v>1433</v>
      </c>
      <c r="E233" s="72" t="inlineStr">
        <is>
          <t>TRIPLASTIK ATAKADO</t>
        </is>
      </c>
      <c r="F233" s="70" t="n">
        <v>24</v>
      </c>
      <c r="G233" s="72" t="inlineStr">
        <is>
          <t>Compra a Prazo - Boletos</t>
        </is>
      </c>
      <c r="H233" s="70" t="n">
        <v>2110102</v>
      </c>
      <c r="I233" s="72" t="inlineStr">
        <is>
          <t>OUTROS FORNECEDORES</t>
        </is>
      </c>
      <c r="J233" s="70" t="n">
        <v>1187627</v>
      </c>
      <c r="L233" s="70" t="n">
        <v>3372</v>
      </c>
      <c r="M233" s="72" t="inlineStr">
        <is>
          <t>01</t>
        </is>
      </c>
      <c r="N233" s="72" t="inlineStr">
        <is>
          <t>NFE</t>
        </is>
      </c>
      <c r="P233" s="70" t="n">
        <v>103</v>
      </c>
      <c r="Q233" s="72" t="inlineStr">
        <is>
          <t>MILKA FRANCIS</t>
        </is>
      </c>
      <c r="R233" s="72" t="inlineStr">
        <is>
          <t>DESPESAS OPERACIONAIS</t>
        </is>
      </c>
      <c r="S233" s="70" t="n">
        <v>4210204</v>
      </c>
      <c r="T233" s="72" t="inlineStr">
        <is>
          <t>MATERIAL DE CONSUMO</t>
        </is>
      </c>
      <c r="U233" s="73" t="n">
        <v>5050.31</v>
      </c>
      <c r="W233" s="73" t="n">
        <v>0</v>
      </c>
      <c r="X233" s="72" t="inlineStr">
        <is>
          <t>NF 3372 - MILKA</t>
        </is>
      </c>
      <c r="Z233" s="59">
        <f>IF($T233="","",IFERROR(INDEX('Resumo Grupos'!$AC$3:$AC$200,MATCH($T233,'Resumo Grupos'!$AB$3:$AB$200,0)),"n/d"))</f>
        <v/>
      </c>
      <c r="AA233" s="59">
        <f>IF($T233="","",IF(COUNTIF('Resumo Grupos'!$AE$3:$AE$40,$T233)&gt;0,"NAO","SIM"))</f>
        <v/>
      </c>
    </row>
    <row r="234" ht="36.75" customHeight="1" s="60">
      <c r="A234" s="70" t="n">
        <v>1</v>
      </c>
      <c r="B234" s="71" t="n">
        <v>46175</v>
      </c>
      <c r="C234" s="71" t="n">
        <v>46182</v>
      </c>
      <c r="D234" s="70" t="n">
        <v>794</v>
      </c>
      <c r="E234" s="72" t="inlineStr">
        <is>
          <t>EDMARA COMERCIO DE HIGIENE PESSOAL LTDA</t>
        </is>
      </c>
      <c r="F234" s="70" t="n">
        <v>24</v>
      </c>
      <c r="G234" s="72" t="inlineStr">
        <is>
          <t>Compra a Prazo - Boletos</t>
        </is>
      </c>
      <c r="H234" s="70" t="n">
        <v>2110101</v>
      </c>
      <c r="I234" s="72" t="inlineStr">
        <is>
          <t>FORNECEDORES DE MERCADORIA</t>
        </is>
      </c>
      <c r="J234" s="70" t="n">
        <v>1192775</v>
      </c>
      <c r="L234" s="70" t="n">
        <v>7862</v>
      </c>
      <c r="M234" s="72" t="inlineStr">
        <is>
          <t>01</t>
        </is>
      </c>
      <c r="N234" s="72" t="inlineStr">
        <is>
          <t>NFE</t>
        </is>
      </c>
      <c r="P234" s="70" t="n">
        <v>103</v>
      </c>
      <c r="Q234" s="72" t="inlineStr">
        <is>
          <t>MILKA FRANCIS</t>
        </is>
      </c>
      <c r="R234" s="72" t="inlineStr">
        <is>
          <t>ESTOQUE DE MERCADORIAS</t>
        </is>
      </c>
      <c r="S234" s="70" t="n">
        <v>1130101</v>
      </c>
      <c r="T234" s="72" t="inlineStr">
        <is>
          <t>MERCADORIAS P/REVENDA</t>
        </is>
      </c>
      <c r="U234" s="73" t="n">
        <v>1695.9</v>
      </c>
      <c r="W234" s="73" t="n">
        <v>0</v>
      </c>
      <c r="X234" s="72" t="inlineStr">
        <is>
          <t>4496-A/D NF7862 - MILKA</t>
        </is>
      </c>
      <c r="Z234" s="59">
        <f>IF($T234="","",IFERROR(INDEX('Resumo Grupos'!$AC$3:$AC$200,MATCH($T234,'Resumo Grupos'!$AB$3:$AB$200,0)),"n/d"))</f>
        <v/>
      </c>
      <c r="AA234" s="59">
        <f>IF($T234="","",IF(COUNTIF('Resumo Grupos'!$AE$3:$AE$40,$T234)&gt;0,"NAO","SIM"))</f>
        <v/>
      </c>
    </row>
    <row r="235" ht="63.75" customHeight="1" s="60">
      <c r="A235" s="70" t="n">
        <v>1</v>
      </c>
      <c r="B235" s="71" t="n">
        <v>46178</v>
      </c>
      <c r="C235" s="71" t="n">
        <v>46182</v>
      </c>
      <c r="D235" s="70" t="n">
        <v>1899</v>
      </c>
      <c r="E235" s="72" t="inlineStr">
        <is>
          <t>PANIFICADORA E CONFEITARIA REAL MADRI LTDA</t>
        </is>
      </c>
      <c r="F235" s="70" t="n">
        <v>24</v>
      </c>
      <c r="G235" s="72" t="inlineStr">
        <is>
          <t>Compra a Prazo - Boletos</t>
        </is>
      </c>
      <c r="H235" s="70" t="n">
        <v>2110101</v>
      </c>
      <c r="I235" s="72" t="inlineStr">
        <is>
          <t>FORNECEDORES DE MERCADORIA</t>
        </is>
      </c>
      <c r="J235" s="70" t="n">
        <v>1208563</v>
      </c>
      <c r="L235" s="70" t="n">
        <v>650</v>
      </c>
      <c r="M235" s="72" t="inlineStr">
        <is>
          <t>01</t>
        </is>
      </c>
      <c r="N235" s="72" t="inlineStr">
        <is>
          <t>NFE</t>
        </is>
      </c>
      <c r="P235" s="70" t="n">
        <v>103</v>
      </c>
      <c r="Q235" s="72" t="inlineStr">
        <is>
          <t>MILKA FRANCIS</t>
        </is>
      </c>
      <c r="R235" s="72" t="inlineStr">
        <is>
          <t>ESTOQUE DE MERCADORIAS</t>
        </is>
      </c>
      <c r="S235" s="70" t="n">
        <v>1130101</v>
      </c>
      <c r="T235" s="72" t="inlineStr">
        <is>
          <t>MERCADORIAS P/REVENDA</t>
        </is>
      </c>
      <c r="U235" s="73" t="n">
        <v>544.45</v>
      </c>
      <c r="W235" s="73" t="n">
        <v>0</v>
      </c>
      <c r="X235" s="72" t="inlineStr">
        <is>
          <t>NF 650 - MILKA</t>
        </is>
      </c>
      <c r="Z235" s="59">
        <f>IF($T235="","",IFERROR(INDEX('Resumo Grupos'!$AC$3:$AC$200,MATCH($T235,'Resumo Grupos'!$AB$3:$AB$200,0)),"n/d"))</f>
        <v/>
      </c>
      <c r="AA235" s="59">
        <f>IF($T235="","",IF(COUNTIF('Resumo Grupos'!$AE$3:$AE$40,$T235)&gt;0,"NAO","SIM"))</f>
        <v/>
      </c>
    </row>
    <row r="236" ht="45.75" customHeight="1" s="60">
      <c r="A236" s="70" t="n">
        <v>1</v>
      </c>
      <c r="B236" s="71" t="n">
        <v>46178</v>
      </c>
      <c r="C236" s="71" t="n">
        <v>46182</v>
      </c>
      <c r="D236" s="70" t="n">
        <v>1328</v>
      </c>
      <c r="E236" s="72" t="inlineStr">
        <is>
          <t>NOVA FRIOS COMERCIO ATACADISTA DE LATICINIOS LTDA</t>
        </is>
      </c>
      <c r="F236" s="70" t="n">
        <v>24</v>
      </c>
      <c r="G236" s="72" t="inlineStr">
        <is>
          <t>Compra a Prazo - Boletos</t>
        </is>
      </c>
      <c r="H236" s="70" t="n">
        <v>2110101</v>
      </c>
      <c r="I236" s="72" t="inlineStr">
        <is>
          <t>FORNECEDORES DE MERCADORIA</t>
        </is>
      </c>
      <c r="J236" s="70" t="n">
        <v>1208597</v>
      </c>
      <c r="L236" s="70" t="n">
        <v>3639</v>
      </c>
      <c r="M236" s="72" t="inlineStr">
        <is>
          <t>01</t>
        </is>
      </c>
      <c r="N236" s="72" t="inlineStr">
        <is>
          <t>NFE</t>
        </is>
      </c>
      <c r="P236" s="70" t="n">
        <v>103</v>
      </c>
      <c r="Q236" s="72" t="inlineStr">
        <is>
          <t>MILKA FRANCIS</t>
        </is>
      </c>
      <c r="R236" s="72" t="inlineStr">
        <is>
          <t>ESTOQUE DE MERCADORIAS</t>
        </is>
      </c>
      <c r="S236" s="70" t="n">
        <v>1130101</v>
      </c>
      <c r="T236" s="72" t="inlineStr">
        <is>
          <t>MERCADORIAS P/REVENDA</t>
        </is>
      </c>
      <c r="U236" s="73" t="n">
        <v>241.6</v>
      </c>
      <c r="W236" s="73" t="n">
        <v>0</v>
      </c>
      <c r="X236" s="72" t="inlineStr">
        <is>
          <t>NF 3639 BODEGA -MILKA</t>
        </is>
      </c>
      <c r="Z236" s="59">
        <f>IF($T236="","",IFERROR(INDEX('Resumo Grupos'!$AC$3:$AC$200,MATCH($T236,'Resumo Grupos'!$AB$3:$AB$200,0)),"n/d"))</f>
        <v/>
      </c>
      <c r="AA236" s="59">
        <f>IF($T236="","",IF(COUNTIF('Resumo Grupos'!$AE$3:$AE$40,$T236)&gt;0,"NAO","SIM"))</f>
        <v/>
      </c>
    </row>
    <row r="237" ht="45.75" customHeight="1" s="60">
      <c r="A237" s="70" t="n">
        <v>1</v>
      </c>
      <c r="B237" s="71" t="n">
        <v>46178</v>
      </c>
      <c r="C237" s="71" t="n">
        <v>46182</v>
      </c>
      <c r="D237" s="70" t="n">
        <v>1642</v>
      </c>
      <c r="E237" s="72" t="inlineStr">
        <is>
          <t>BROTHERS  INDUSTRIA DE ALIMENTOS LTDA</t>
        </is>
      </c>
      <c r="F237" s="70" t="n">
        <v>24</v>
      </c>
      <c r="G237" s="72" t="inlineStr">
        <is>
          <t>Compra a Prazo - Boletos</t>
        </is>
      </c>
      <c r="H237" s="70" t="n">
        <v>2110101</v>
      </c>
      <c r="I237" s="72" t="inlineStr">
        <is>
          <t>FORNECEDORES DE MERCADORIA</t>
        </is>
      </c>
      <c r="J237" s="70" t="n">
        <v>1208610</v>
      </c>
      <c r="L237" s="70" t="n">
        <v>1025113</v>
      </c>
      <c r="M237" s="72" t="inlineStr">
        <is>
          <t>01</t>
        </is>
      </c>
      <c r="N237" s="72" t="inlineStr">
        <is>
          <t>NFE</t>
        </is>
      </c>
      <c r="P237" s="70" t="n">
        <v>103</v>
      </c>
      <c r="Q237" s="72" t="inlineStr">
        <is>
          <t>MILKA FRANCIS</t>
        </is>
      </c>
      <c r="R237" s="72" t="inlineStr">
        <is>
          <t>ESTOQUE DE MERCADORIAS</t>
        </is>
      </c>
      <c r="S237" s="70" t="n">
        <v>1130101</v>
      </c>
      <c r="T237" s="72" t="inlineStr">
        <is>
          <t>MERCADORIAS P/REVENDA</t>
        </is>
      </c>
      <c r="U237" s="73" t="n">
        <v>1290.24</v>
      </c>
      <c r="W237" s="73" t="n">
        <v>0</v>
      </c>
      <c r="X237" s="72" t="inlineStr">
        <is>
          <t>NF 1025113 - MILKA</t>
        </is>
      </c>
      <c r="Z237" s="59">
        <f>IF($T237="","",IFERROR(INDEX('Resumo Grupos'!$AC$3:$AC$200,MATCH($T237,'Resumo Grupos'!$AB$3:$AB$200,0)),"n/d"))</f>
        <v/>
      </c>
      <c r="AA237" s="59">
        <f>IF($T237="","",IF(COUNTIF('Resumo Grupos'!$AE$3:$AE$40,$T237)&gt;0,"NAO","SIM"))</f>
        <v/>
      </c>
    </row>
    <row r="238" ht="27.75" customHeight="1" s="60">
      <c r="A238" s="70" t="n">
        <v>1</v>
      </c>
      <c r="B238" s="71" t="n">
        <v>46178</v>
      </c>
      <c r="C238" s="71" t="n">
        <v>46182</v>
      </c>
      <c r="D238" s="70" t="n">
        <v>1899</v>
      </c>
      <c r="E238" s="72" t="inlineStr">
        <is>
          <t>PANIFICADORA E CONFEITARIA REAL MADRI LTDA</t>
        </is>
      </c>
      <c r="F238" s="70" t="n">
        <v>24</v>
      </c>
      <c r="G238" s="72" t="inlineStr">
        <is>
          <t>Compra a Prazo - Boletos</t>
        </is>
      </c>
      <c r="H238" s="70" t="n">
        <v>2110101</v>
      </c>
      <c r="I238" s="72" t="inlineStr">
        <is>
          <t>FORNECEDORES DE MERCADORIA</t>
        </is>
      </c>
      <c r="J238" s="70" t="n">
        <v>1208634</v>
      </c>
      <c r="L238" s="70" t="n">
        <v>646</v>
      </c>
      <c r="M238" s="72" t="inlineStr">
        <is>
          <t>01</t>
        </is>
      </c>
      <c r="N238" s="72" t="inlineStr">
        <is>
          <t>NFE</t>
        </is>
      </c>
      <c r="P238" s="70" t="n">
        <v>103</v>
      </c>
      <c r="Q238" s="72" t="inlineStr">
        <is>
          <t>MILKA FRANCIS</t>
        </is>
      </c>
      <c r="R238" s="72" t="inlineStr">
        <is>
          <t>ESTOQUE DE MERCADORIAS</t>
        </is>
      </c>
      <c r="S238" s="70" t="n">
        <v>1130101</v>
      </c>
      <c r="T238" s="72" t="inlineStr">
        <is>
          <t>MERCADORIAS P/REVENDA</t>
        </is>
      </c>
      <c r="U238" s="73" t="n">
        <v>1400</v>
      </c>
      <c r="W238" s="73" t="n">
        <v>0</v>
      </c>
      <c r="X238" s="72" t="inlineStr">
        <is>
          <t>NF 646 - MILKA</t>
        </is>
      </c>
      <c r="Z238" s="59">
        <f>IF($T238="","",IFERROR(INDEX('Resumo Grupos'!$AC$3:$AC$200,MATCH($T238,'Resumo Grupos'!$AB$3:$AB$200,0)),"n/d"))</f>
        <v/>
      </c>
      <c r="AA238" s="59">
        <f>IF($T238="","",IF(COUNTIF('Resumo Grupos'!$AE$3:$AE$40,$T238)&gt;0,"NAO","SIM"))</f>
        <v/>
      </c>
    </row>
    <row r="239" ht="36.75" customHeight="1" s="60">
      <c r="A239" s="70" t="n">
        <v>1</v>
      </c>
      <c r="B239" s="71" t="n">
        <v>46178</v>
      </c>
      <c r="C239" s="71" t="n">
        <v>46182</v>
      </c>
      <c r="D239" s="70" t="n">
        <v>1286</v>
      </c>
      <c r="E239" s="72" t="inlineStr">
        <is>
          <t>VITAPAN COMERCIO VAREJISTA DE PRODUTOS ALIMENTICIOS LTDA</t>
        </is>
      </c>
      <c r="F239" s="70" t="n">
        <v>24</v>
      </c>
      <c r="G239" s="72" t="inlineStr">
        <is>
          <t>Compra a Prazo - Boletos</t>
        </is>
      </c>
      <c r="H239" s="70" t="n">
        <v>2110101</v>
      </c>
      <c r="I239" s="72" t="inlineStr">
        <is>
          <t>FORNECEDORES DE MERCADORIA</t>
        </is>
      </c>
      <c r="J239" s="70" t="n">
        <v>1208637</v>
      </c>
      <c r="L239" s="70" t="n">
        <v>10011</v>
      </c>
      <c r="M239" s="72" t="inlineStr">
        <is>
          <t>01</t>
        </is>
      </c>
      <c r="N239" s="72" t="inlineStr">
        <is>
          <t>NFE</t>
        </is>
      </c>
      <c r="P239" s="70" t="n">
        <v>103</v>
      </c>
      <c r="Q239" s="72" t="inlineStr">
        <is>
          <t>MILKA FRANCIS</t>
        </is>
      </c>
      <c r="R239" s="72" t="inlineStr">
        <is>
          <t>ESTOQUE DE MERCADORIAS</t>
        </is>
      </c>
      <c r="S239" s="70" t="n">
        <v>1130101</v>
      </c>
      <c r="T239" s="72" t="inlineStr">
        <is>
          <t>MERCADORIAS P/REVENDA</t>
        </is>
      </c>
      <c r="U239" s="73" t="n">
        <v>1188</v>
      </c>
      <c r="W239" s="73" t="n">
        <v>0</v>
      </c>
      <c r="X239" s="72" t="inlineStr">
        <is>
          <t>NF 10011 - MILKA</t>
        </is>
      </c>
      <c r="Z239" s="59">
        <f>IF($T239="","",IFERROR(INDEX('Resumo Grupos'!$AC$3:$AC$200,MATCH($T239,'Resumo Grupos'!$AB$3:$AB$200,0)),"n/d"))</f>
        <v/>
      </c>
      <c r="AA239" s="59">
        <f>IF($T239="","",IF(COUNTIF('Resumo Grupos'!$AE$3:$AE$40,$T239)&gt;0,"NAO","SIM"))</f>
        <v/>
      </c>
    </row>
    <row r="240" ht="72.75" customHeight="1" s="60">
      <c r="A240" s="70" t="n">
        <v>1</v>
      </c>
      <c r="B240" s="71" t="n">
        <v>46179</v>
      </c>
      <c r="C240" s="71" t="n">
        <v>46182</v>
      </c>
      <c r="D240" s="70" t="n">
        <v>642</v>
      </c>
      <c r="E240" s="72" t="inlineStr">
        <is>
          <t>ADICSO FABIAN GONZALEZ MONTILLA 70302186</t>
        </is>
      </c>
      <c r="F240" s="70" t="n">
        <v>24</v>
      </c>
      <c r="G240" s="72" t="inlineStr">
        <is>
          <t>Compra a Prazo - Boletos</t>
        </is>
      </c>
      <c r="H240" s="70" t="n">
        <v>2110101</v>
      </c>
      <c r="I240" s="72" t="inlineStr">
        <is>
          <t>FORNECEDORES DE MERCADORIA</t>
        </is>
      </c>
      <c r="J240" s="70" t="n">
        <v>1210899</v>
      </c>
      <c r="L240" s="70" t="n">
        <v>486</v>
      </c>
      <c r="M240" s="72" t="inlineStr">
        <is>
          <t>01</t>
        </is>
      </c>
      <c r="N240" s="72" t="inlineStr">
        <is>
          <t>NFE</t>
        </is>
      </c>
      <c r="P240" s="70" t="n">
        <v>103</v>
      </c>
      <c r="Q240" s="72" t="inlineStr">
        <is>
          <t>MILKA FRANCIS</t>
        </is>
      </c>
      <c r="R240" s="72" t="inlineStr">
        <is>
          <t>ESTOQUE DE MERCADORIAS</t>
        </is>
      </c>
      <c r="S240" s="70" t="n">
        <v>1130101</v>
      </c>
      <c r="T240" s="72" t="inlineStr">
        <is>
          <t>MERCADORIAS P/REVENDA</t>
        </is>
      </c>
      <c r="U240" s="73" t="n">
        <v>864</v>
      </c>
      <c r="W240" s="73" t="n">
        <v>0</v>
      </c>
      <c r="X240" s="72" t="inlineStr">
        <is>
          <t>NF 486 BLOOM - MILKA</t>
        </is>
      </c>
      <c r="Z240" s="59">
        <f>IF($T240="","",IFERROR(INDEX('Resumo Grupos'!$AC$3:$AC$200,MATCH($T240,'Resumo Grupos'!$AB$3:$AB$200,0)),"n/d"))</f>
        <v/>
      </c>
      <c r="AA240" s="59">
        <f>IF($T240="","",IF(COUNTIF('Resumo Grupos'!$AE$3:$AE$40,$T240)&gt;0,"NAO","SIM"))</f>
        <v/>
      </c>
    </row>
    <row r="241" ht="45.75" customHeight="1" s="60">
      <c r="A241" s="70" t="n">
        <v>1</v>
      </c>
      <c r="B241" s="71" t="n">
        <v>46179</v>
      </c>
      <c r="C241" s="71" t="n">
        <v>46182</v>
      </c>
      <c r="D241" s="70" t="n">
        <v>1631</v>
      </c>
      <c r="E241" s="72" t="inlineStr">
        <is>
          <t>T. M. L. DA SILVA LTDA</t>
        </is>
      </c>
      <c r="F241" s="70" t="n">
        <v>24</v>
      </c>
      <c r="G241" s="72" t="inlineStr">
        <is>
          <t>Compra a Prazo - Boletos</t>
        </is>
      </c>
      <c r="H241" s="70" t="n">
        <v>2110101</v>
      </c>
      <c r="I241" s="72" t="inlineStr">
        <is>
          <t>FORNECEDORES DE MERCADORIA</t>
        </is>
      </c>
      <c r="J241" s="70" t="n">
        <v>1211080</v>
      </c>
      <c r="L241" s="70" t="n">
        <v>14980</v>
      </c>
      <c r="M241" s="72" t="inlineStr">
        <is>
          <t>01</t>
        </is>
      </c>
      <c r="N241" s="72" t="inlineStr">
        <is>
          <t>NFE</t>
        </is>
      </c>
      <c r="P241" s="70" t="n">
        <v>103</v>
      </c>
      <c r="Q241" s="72" t="inlineStr">
        <is>
          <t>MILKA FRANCIS</t>
        </is>
      </c>
      <c r="R241" s="72" t="inlineStr">
        <is>
          <t>ESTOQUE DE MERCADORIAS</t>
        </is>
      </c>
      <c r="S241" s="70" t="n">
        <v>1130101</v>
      </c>
      <c r="T241" s="72" t="inlineStr">
        <is>
          <t>MERCADORIAS P/REVENDA</t>
        </is>
      </c>
      <c r="U241" s="73" t="n">
        <v>709.3200000000001</v>
      </c>
      <c r="W241" s="73" t="n">
        <v>0</v>
      </c>
      <c r="X241" s="72" t="inlineStr">
        <is>
          <t>NF 14980 AMAZONGURT - MILKA</t>
        </is>
      </c>
      <c r="Z241" s="59">
        <f>IF($T241="","",IFERROR(INDEX('Resumo Grupos'!$AC$3:$AC$200,MATCH($T241,'Resumo Grupos'!$AB$3:$AB$200,0)),"n/d"))</f>
        <v/>
      </c>
      <c r="AA241" s="59">
        <f>IF($T241="","",IF(COUNTIF('Resumo Grupos'!$AE$3:$AE$40,$T241)&gt;0,"NAO","SIM"))</f>
        <v/>
      </c>
    </row>
    <row r="242" ht="36.75" customHeight="1" s="60">
      <c r="A242" s="70" t="n">
        <v>1</v>
      </c>
      <c r="B242" s="71" t="n">
        <v>46179</v>
      </c>
      <c r="C242" s="71" t="n">
        <v>46182</v>
      </c>
      <c r="D242" s="70" t="n">
        <v>10018</v>
      </c>
      <c r="E242" s="72" t="inlineStr">
        <is>
          <t>ADRIANO FEITOSA OLIVEIRA LTDA</t>
        </is>
      </c>
      <c r="F242" s="70" t="n">
        <v>34</v>
      </c>
      <c r="G242" s="72" t="inlineStr">
        <is>
          <t>Transferencia Pix</t>
        </is>
      </c>
      <c r="H242" s="70" t="n">
        <v>2110101</v>
      </c>
      <c r="I242" s="72" t="inlineStr">
        <is>
          <t>FORNECEDORES DE MERCADORIA</t>
        </is>
      </c>
      <c r="J242" s="70" t="n">
        <v>1211170</v>
      </c>
      <c r="L242" s="70" t="n">
        <v>293</v>
      </c>
      <c r="M242" s="72" t="inlineStr">
        <is>
          <t>01</t>
        </is>
      </c>
      <c r="N242" s="72" t="inlineStr">
        <is>
          <t>NFE</t>
        </is>
      </c>
      <c r="P242" s="70" t="n">
        <v>103</v>
      </c>
      <c r="Q242" s="72" t="inlineStr">
        <is>
          <t>MILKA FRANCIS</t>
        </is>
      </c>
      <c r="R242" s="72" t="inlineStr">
        <is>
          <t>ESTOQUE DE MERCADORIAS</t>
        </is>
      </c>
      <c r="S242" s="70" t="n">
        <v>1130101</v>
      </c>
      <c r="T242" s="72" t="inlineStr">
        <is>
          <t>MERCADORIAS P/REVENDA</t>
        </is>
      </c>
      <c r="U242" s="73" t="n">
        <v>3105</v>
      </c>
      <c r="W242" s="73" t="n">
        <v>0</v>
      </c>
      <c r="X242" s="72" t="inlineStr">
        <is>
          <t>NF 293 - MILKA</t>
        </is>
      </c>
      <c r="Z242" s="59">
        <f>IF($T242="","",IFERROR(INDEX('Resumo Grupos'!$AC$3:$AC$200,MATCH($T242,'Resumo Grupos'!$AB$3:$AB$200,0)),"n/d"))</f>
        <v/>
      </c>
      <c r="AA242" s="59">
        <f>IF($T242="","",IF(COUNTIF('Resumo Grupos'!$AE$3:$AE$40,$T242)&gt;0,"NAO","SIM"))</f>
        <v/>
      </c>
    </row>
    <row r="243" ht="36.75" customHeight="1" s="60">
      <c r="A243" s="70" t="n">
        <v>1</v>
      </c>
      <c r="B243" s="71" t="n">
        <v>46182</v>
      </c>
      <c r="C243" s="71" t="n">
        <v>46182</v>
      </c>
      <c r="D243" s="70" t="n">
        <v>17</v>
      </c>
      <c r="E243" s="72" t="inlineStr">
        <is>
          <t>NEYLIANE SILVA DE OLIVEIRA</t>
        </is>
      </c>
      <c r="F243" s="70" t="n">
        <v>34</v>
      </c>
      <c r="G243" s="72" t="inlineStr">
        <is>
          <t>Transferencia Pix</t>
        </is>
      </c>
      <c r="H243" s="70" t="n">
        <v>2110405</v>
      </c>
      <c r="I243" s="72" t="inlineStr">
        <is>
          <t>CONTAS A PAGAR</t>
        </is>
      </c>
      <c r="J243" s="70" t="n">
        <v>1227248</v>
      </c>
      <c r="L243" s="70" t="n">
        <v>510013</v>
      </c>
      <c r="M243" s="72" t="inlineStr">
        <is>
          <t>01</t>
        </is>
      </c>
      <c r="N243" s="72" t="inlineStr">
        <is>
          <t>AVU</t>
        </is>
      </c>
      <c r="P243" s="70" t="n">
        <v>101</v>
      </c>
      <c r="Q243" s="72" t="inlineStr">
        <is>
          <t>KEILA LIMA</t>
        </is>
      </c>
      <c r="R243" s="72" t="inlineStr">
        <is>
          <t>DESPESAS NAO OPERACIONAIS</t>
        </is>
      </c>
      <c r="S243" s="70" t="n">
        <v>4220199</v>
      </c>
      <c r="T243" s="72" t="inlineStr">
        <is>
          <t>PAGAMENTOS OUTROS NAO OPERACIONAIS</t>
        </is>
      </c>
      <c r="U243" s="73" t="n">
        <v>1507.62</v>
      </c>
      <c r="W243" s="73" t="n">
        <v>0</v>
      </c>
      <c r="X243" s="72" t="inlineStr">
        <is>
          <t>PL NEILA E RENATO</t>
        </is>
      </c>
      <c r="Z243" s="59">
        <f>IF($T243="","",IFERROR(INDEX('Resumo Grupos'!$AC$3:$AC$200,MATCH($T243,'Resumo Grupos'!$AB$3:$AB$200,0)),"n/d"))</f>
        <v/>
      </c>
      <c r="AA243" s="59">
        <f>IF($T243="","",IF(COUNTIF('Resumo Grupos'!$AE$3:$AE$40,$T243)&gt;0,"NAO","SIM"))</f>
        <v/>
      </c>
    </row>
    <row r="244" ht="36.75" customHeight="1" s="60">
      <c r="A244" s="70" t="n">
        <v>1</v>
      </c>
      <c r="B244" s="71" t="n">
        <v>46182</v>
      </c>
      <c r="C244" s="71" t="n">
        <v>46182</v>
      </c>
      <c r="D244" s="70" t="n">
        <v>1869</v>
      </c>
      <c r="E244" s="72" t="inlineStr">
        <is>
          <t>CHARLES ELETRICISTA</t>
        </is>
      </c>
      <c r="F244" s="70" t="n">
        <v>11</v>
      </c>
      <c r="G244" s="72" t="inlineStr">
        <is>
          <t>Dinheiro Cx Geral</t>
        </is>
      </c>
      <c r="H244" s="70" t="n">
        <v>2110405</v>
      </c>
      <c r="I244" s="72" t="inlineStr">
        <is>
          <t>CONTAS A PAGAR</t>
        </is>
      </c>
      <c r="J244" s="70" t="n">
        <v>1227327</v>
      </c>
      <c r="L244" s="70" t="n">
        <v>510025</v>
      </c>
      <c r="M244" s="72" t="inlineStr">
        <is>
          <t>01</t>
        </is>
      </c>
      <c r="N244" s="72" t="inlineStr">
        <is>
          <t>AVU</t>
        </is>
      </c>
      <c r="P244" s="70" t="n">
        <v>101</v>
      </c>
      <c r="Q244" s="72" t="inlineStr">
        <is>
          <t>KEILA LIMA</t>
        </is>
      </c>
      <c r="R244" s="72" t="inlineStr">
        <is>
          <t>DESPESAS OPERACIONAIS</t>
        </is>
      </c>
      <c r="S244" s="70" t="n">
        <v>4210227</v>
      </c>
      <c r="T244" s="72" t="inlineStr">
        <is>
          <t>DESPESAS LOJA</t>
        </is>
      </c>
      <c r="U244" s="73" t="n">
        <v>419.94</v>
      </c>
      <c r="W244" s="73" t="n">
        <v>0</v>
      </c>
      <c r="X244" s="72" t="inlineStr">
        <is>
          <t>DESPESA ELETRICA MO1 COMPRA 05/26</t>
        </is>
      </c>
      <c r="Z244" s="59">
        <f>IF($T244="","",IFERROR(INDEX('Resumo Grupos'!$AC$3:$AC$200,MATCH($T244,'Resumo Grupos'!$AB$3:$AB$200,0)),"n/d"))</f>
        <v/>
      </c>
      <c r="AA244" s="59">
        <f>IF($T244="","",IF(COUNTIF('Resumo Grupos'!$AE$3:$AE$40,$T244)&gt;0,"NAO","SIM"))</f>
        <v/>
      </c>
    </row>
    <row r="245" ht="36.75" customHeight="1" s="60">
      <c r="A245" s="70" t="n">
        <v>1</v>
      </c>
      <c r="B245" s="71" t="n">
        <v>46182</v>
      </c>
      <c r="C245" s="71" t="n">
        <v>46182</v>
      </c>
      <c r="D245" s="70" t="n">
        <v>10082</v>
      </c>
      <c r="E245" s="72" t="inlineStr">
        <is>
          <t>IMPERIO A W COMERCIO DE BEBIDAS LTDA</t>
        </is>
      </c>
      <c r="F245" s="70" t="n">
        <v>34</v>
      </c>
      <c r="G245" s="72" t="inlineStr">
        <is>
          <t>Transferencia Pix</t>
        </is>
      </c>
      <c r="H245" s="70" t="n">
        <v>2110101</v>
      </c>
      <c r="I245" s="72" t="inlineStr">
        <is>
          <t>FORNECEDORES DE MERCADORIA</t>
        </is>
      </c>
      <c r="J245" s="70" t="n">
        <v>1227444</v>
      </c>
      <c r="L245" s="70" t="n">
        <v>510060</v>
      </c>
      <c r="M245" s="72" t="inlineStr">
        <is>
          <t>01</t>
        </is>
      </c>
      <c r="N245" s="72" t="inlineStr">
        <is>
          <t>AVU</t>
        </is>
      </c>
      <c r="P245" s="70" t="n">
        <v>103</v>
      </c>
      <c r="Q245" s="72" t="inlineStr">
        <is>
          <t>MILKA FRANCIS</t>
        </is>
      </c>
      <c r="R245" s="72" t="inlineStr">
        <is>
          <t>ESTOQUE DE MERCADORIAS</t>
        </is>
      </c>
      <c r="S245" s="70" t="n">
        <v>1130101</v>
      </c>
      <c r="T245" s="72" t="inlineStr">
        <is>
          <t>MERCADORIAS P/REVENDA</t>
        </is>
      </c>
      <c r="U245" s="73" t="n">
        <v>500</v>
      </c>
      <c r="W245" s="73" t="n">
        <v>0</v>
      </c>
      <c r="X245" s="72" t="inlineStr">
        <is>
          <t>NF 1062 PGTO P/ FRANCISCO - MILKA</t>
        </is>
      </c>
      <c r="Z245" s="59">
        <f>IF($T245="","",IFERROR(INDEX('Resumo Grupos'!$AC$3:$AC$200,MATCH($T245,'Resumo Grupos'!$AB$3:$AB$200,0)),"n/d"))</f>
        <v/>
      </c>
      <c r="AA245" s="59">
        <f>IF($T245="","",IF(COUNTIF('Resumo Grupos'!$AE$3:$AE$40,$T245)&gt;0,"NAO","SIM"))</f>
        <v/>
      </c>
    </row>
    <row r="246" ht="45.75" customHeight="1" s="60">
      <c r="A246" s="70" t="n">
        <v>1</v>
      </c>
      <c r="B246" s="71" t="n">
        <v>46182</v>
      </c>
      <c r="C246" s="71" t="n">
        <v>46182</v>
      </c>
      <c r="D246" s="70" t="n">
        <v>33</v>
      </c>
      <c r="E246" s="72" t="inlineStr">
        <is>
          <t>RENATO DE O AZEVEDO E CIA LTDA - EPP</t>
        </is>
      </c>
      <c r="F246" s="70" t="n">
        <v>34</v>
      </c>
      <c r="G246" s="72" t="inlineStr">
        <is>
          <t>Transferencia Pix</t>
        </is>
      </c>
      <c r="H246" s="70" t="n">
        <v>2110101</v>
      </c>
      <c r="I246" s="72" t="inlineStr">
        <is>
          <t>FORNECEDORES DE MERCADORIA</t>
        </is>
      </c>
      <c r="J246" s="70" t="n">
        <v>1228045</v>
      </c>
      <c r="L246" s="70" t="n">
        <v>5111</v>
      </c>
      <c r="M246" s="72" t="inlineStr">
        <is>
          <t>01</t>
        </is>
      </c>
      <c r="N246" s="72" t="inlineStr">
        <is>
          <t>NFE</t>
        </is>
      </c>
      <c r="P246" s="70" t="n">
        <v>104</v>
      </c>
      <c r="Q246" s="72" t="inlineStr">
        <is>
          <t>DEBORA COSTA</t>
        </is>
      </c>
      <c r="R246" s="72" t="inlineStr">
        <is>
          <t>ESTOQUE DE MERCADORIAS</t>
        </is>
      </c>
      <c r="S246" s="70" t="n">
        <v>1130101</v>
      </c>
      <c r="T246" s="72" t="inlineStr">
        <is>
          <t>MERCADORIAS P/REVENDA</t>
        </is>
      </c>
      <c r="U246" s="73" t="n">
        <v>2608.29</v>
      </c>
      <c r="W246" s="73" t="n">
        <v>0</v>
      </c>
      <c r="X246" s="72" t="inlineStr">
        <is>
          <t>FEIRA SR RENATO - PGTO PARA LOJA 2 - DEBORA</t>
        </is>
      </c>
      <c r="Z246" s="59">
        <f>IF($T246="","",IFERROR(INDEX('Resumo Grupos'!$AC$3:$AC$200,MATCH($T246,'Resumo Grupos'!$AB$3:$AB$200,0)),"n/d"))</f>
        <v/>
      </c>
      <c r="AA246" s="59">
        <f>IF($T246="","",IF(COUNTIF('Resumo Grupos'!$AE$3:$AE$40,$T246)&gt;0,"NAO","SIM"))</f>
        <v/>
      </c>
    </row>
    <row r="247" ht="45.75" customHeight="1" s="60">
      <c r="A247" s="70" t="n">
        <v>1</v>
      </c>
      <c r="B247" s="71" t="n">
        <v>46182</v>
      </c>
      <c r="C247" s="71" t="n">
        <v>46182</v>
      </c>
      <c r="D247" s="70" t="n">
        <v>1038</v>
      </c>
      <c r="E247" s="72" t="inlineStr">
        <is>
          <t>MANOEL TEXEIRA DE SOUZA RESTAURANTE</t>
        </is>
      </c>
      <c r="F247" s="70" t="n">
        <v>13</v>
      </c>
      <c r="G247" s="72" t="inlineStr">
        <is>
          <t>Compra a Vista</t>
        </is>
      </c>
      <c r="H247" s="70" t="n">
        <v>2110101</v>
      </c>
      <c r="I247" s="72" t="inlineStr">
        <is>
          <t>FORNECEDORES DE MERCADORIA</t>
        </is>
      </c>
      <c r="J247" s="70" t="n">
        <v>1230733</v>
      </c>
      <c r="L247" s="70" t="n">
        <v>5962</v>
      </c>
      <c r="M247" s="72" t="inlineStr">
        <is>
          <t>01</t>
        </is>
      </c>
      <c r="N247" s="72" t="inlineStr">
        <is>
          <t>NFE</t>
        </is>
      </c>
      <c r="P247" s="70" t="n">
        <v>104</v>
      </c>
      <c r="Q247" s="72" t="inlineStr">
        <is>
          <t>DEBORA COSTA</t>
        </is>
      </c>
      <c r="R247" s="72" t="inlineStr">
        <is>
          <t>ESTOQUE DE MERCADORIAS</t>
        </is>
      </c>
      <c r="S247" s="70" t="n">
        <v>1130101</v>
      </c>
      <c r="T247" s="72" t="inlineStr">
        <is>
          <t>MERCADORIAS P/REVENDA</t>
        </is>
      </c>
      <c r="U247" s="73" t="n">
        <v>300</v>
      </c>
      <c r="W247" s="73" t="n">
        <v>0</v>
      </c>
      <c r="X247" s="72" t="inlineStr">
        <is>
          <t>NF 5962 - DEBORA</t>
        </is>
      </c>
      <c r="Z247" s="59">
        <f>IF($T247="","",IFERROR(INDEX('Resumo Grupos'!$AC$3:$AC$200,MATCH($T247,'Resumo Grupos'!$AB$3:$AB$200,0)),"n/d"))</f>
        <v/>
      </c>
      <c r="AA247" s="59">
        <f>IF($T247="","",IF(COUNTIF('Resumo Grupos'!$AE$3:$AE$40,$T247)&gt;0,"NAO","SIM"))</f>
        <v/>
      </c>
    </row>
    <row r="248" ht="36.75" customHeight="1" s="60">
      <c r="A248" s="70" t="n">
        <v>1</v>
      </c>
      <c r="B248" s="71" t="n">
        <v>46182</v>
      </c>
      <c r="C248" s="71" t="n">
        <v>46182</v>
      </c>
      <c r="D248" s="70" t="n">
        <v>1187</v>
      </c>
      <c r="E248" s="72" t="inlineStr">
        <is>
          <t>JACKSON ROCHA NUNES</t>
        </is>
      </c>
      <c r="F248" s="70" t="n">
        <v>13</v>
      </c>
      <c r="G248" s="72" t="inlineStr">
        <is>
          <t>Compra a Vista</t>
        </is>
      </c>
      <c r="H248" s="70" t="n">
        <v>2110101</v>
      </c>
      <c r="I248" s="72" t="inlineStr">
        <is>
          <t>FORNECEDORES DE MERCADORIA</t>
        </is>
      </c>
      <c r="J248" s="70" t="n">
        <v>1231618</v>
      </c>
      <c r="L248" s="70" t="n">
        <v>215</v>
      </c>
      <c r="M248" s="72" t="inlineStr">
        <is>
          <t>01</t>
        </is>
      </c>
      <c r="N248" s="72" t="inlineStr">
        <is>
          <t>NFE</t>
        </is>
      </c>
      <c r="P248" s="70" t="n">
        <v>104</v>
      </c>
      <c r="Q248" s="72" t="inlineStr">
        <is>
          <t>DEBORA COSTA</t>
        </is>
      </c>
      <c r="R248" s="72" t="inlineStr">
        <is>
          <t>ESTOQUE DE MERCADORIAS</t>
        </is>
      </c>
      <c r="S248" s="70" t="n">
        <v>1130101</v>
      </c>
      <c r="T248" s="72" t="inlineStr">
        <is>
          <t>MERCADORIAS P/REVENDA</t>
        </is>
      </c>
      <c r="U248" s="73" t="n">
        <v>750</v>
      </c>
      <c r="W248" s="73" t="n">
        <v>0</v>
      </c>
      <c r="X248" s="72" t="inlineStr">
        <is>
          <t>NF 215 - DEBORA</t>
        </is>
      </c>
      <c r="Z248" s="59">
        <f>IF($T248="","",IFERROR(INDEX('Resumo Grupos'!$AC$3:$AC$200,MATCH($T248,'Resumo Grupos'!$AB$3:$AB$200,0)),"n/d"))</f>
        <v/>
      </c>
      <c r="AA248" s="59">
        <f>IF($T248="","",IF(COUNTIF('Resumo Grupos'!$AE$3:$AE$40,$T248)&gt;0,"NAO","SIM"))</f>
        <v/>
      </c>
    </row>
    <row r="249" ht="45.75" customHeight="1" s="60">
      <c r="A249" s="70" t="n">
        <v>1</v>
      </c>
      <c r="B249" s="71" t="n">
        <v>46182</v>
      </c>
      <c r="C249" s="71" t="n">
        <v>46182</v>
      </c>
      <c r="D249" s="70" t="n">
        <v>515</v>
      </c>
      <c r="E249" s="72" t="inlineStr">
        <is>
          <t>ITAU SA</t>
        </is>
      </c>
      <c r="F249" s="70" t="n">
        <v>34</v>
      </c>
      <c r="G249" s="72" t="inlineStr">
        <is>
          <t>Transferencia Pix</t>
        </is>
      </c>
      <c r="H249" s="70" t="n">
        <v>2110405</v>
      </c>
      <c r="I249" s="72" t="inlineStr">
        <is>
          <t>CONTAS A PAGAR</t>
        </is>
      </c>
      <c r="J249" s="70" t="n">
        <v>1237374</v>
      </c>
      <c r="L249" s="70" t="n">
        <v>513941</v>
      </c>
      <c r="M249" s="72" t="inlineStr">
        <is>
          <t>01</t>
        </is>
      </c>
      <c r="N249" s="72" t="inlineStr">
        <is>
          <t>AVU</t>
        </is>
      </c>
      <c r="P249" s="70" t="n">
        <v>102</v>
      </c>
      <c r="Q249" s="72" t="inlineStr">
        <is>
          <t>ANDREZA ANDRADE</t>
        </is>
      </c>
      <c r="R249" s="72" t="inlineStr">
        <is>
          <t>DESPESAS NAO OPERACIONAIS</t>
        </is>
      </c>
      <c r="S249" s="70" t="n">
        <v>4220199</v>
      </c>
      <c r="T249" s="72" t="inlineStr">
        <is>
          <t>PAGAMENTOS OUTROS NAO OPERACIONAIS</t>
        </is>
      </c>
      <c r="U249" s="73" t="n">
        <v>1783.76</v>
      </c>
      <c r="W249" s="73" t="n">
        <v>0</v>
      </c>
      <c r="X249" s="72" t="inlineStr">
        <is>
          <t>36/36CARRO NORBERTO REJANE</t>
        </is>
      </c>
      <c r="Z249" s="59">
        <f>IF($T249="","",IFERROR(INDEX('Resumo Grupos'!$AC$3:$AC$200,MATCH($T249,'Resumo Grupos'!$AB$3:$AB$200,0)),"n/d"))</f>
        <v/>
      </c>
      <c r="AA249" s="59">
        <f>IF($T249="","",IF(COUNTIF('Resumo Grupos'!$AE$3:$AE$40,$T249)&gt;0,"NAO","SIM"))</f>
        <v/>
      </c>
    </row>
    <row r="250" ht="45.75" customHeight="1" s="60">
      <c r="A250" s="70" t="n">
        <v>1</v>
      </c>
      <c r="B250" s="71" t="n">
        <v>46029</v>
      </c>
      <c r="C250" s="71" t="n">
        <v>46183</v>
      </c>
      <c r="D250" s="70" t="n">
        <v>105</v>
      </c>
      <c r="E250" s="72" t="inlineStr">
        <is>
          <t>ANDERSON SILVA - BOY</t>
        </is>
      </c>
      <c r="F250" s="70" t="n">
        <v>46</v>
      </c>
      <c r="G250" s="72" t="inlineStr">
        <is>
          <t>Cartao Sant 1 Velho 9336 venc 10</t>
        </is>
      </c>
      <c r="H250" s="70" t="n">
        <v>2110405</v>
      </c>
      <c r="I250" s="72" t="inlineStr">
        <is>
          <t>CONTAS A PAGAR</t>
        </is>
      </c>
      <c r="J250" s="70" t="n">
        <v>651504</v>
      </c>
      <c r="L250" s="70" t="n">
        <v>287048</v>
      </c>
      <c r="M250" s="72" t="inlineStr">
        <is>
          <t>05</t>
        </is>
      </c>
      <c r="N250" s="72" t="inlineStr">
        <is>
          <t>AVU</t>
        </is>
      </c>
      <c r="P250" s="70" t="n">
        <v>101</v>
      </c>
      <c r="Q250" s="72" t="inlineStr">
        <is>
          <t>KEILA LIMA</t>
        </is>
      </c>
      <c r="R250" s="72" t="inlineStr">
        <is>
          <t>DESPESAS NAO OPERACIONAIS</t>
        </is>
      </c>
      <c r="S250" s="70" t="n">
        <v>4220199</v>
      </c>
      <c r="T250" s="72" t="inlineStr">
        <is>
          <t>PAGAMENTOS OUTROS NAO OPERACIONAIS</t>
        </is>
      </c>
      <c r="U250" s="73" t="n">
        <v>1567.08</v>
      </c>
      <c r="W250" s="73" t="n">
        <v>0</v>
      </c>
      <c r="X250" s="72" t="inlineStr">
        <is>
          <t>COMPRAS FUNC ANDERSON PARC 05/12 - KEILA</t>
        </is>
      </c>
      <c r="Z250" s="59">
        <f>IF($T250="","",IFERROR(INDEX('Resumo Grupos'!$AC$3:$AC$200,MATCH($T250,'Resumo Grupos'!$AB$3:$AB$200,0)),"n/d"))</f>
        <v/>
      </c>
      <c r="AA250" s="59">
        <f>IF($T250="","",IF(COUNTIF('Resumo Grupos'!$AE$3:$AE$40,$T250)&gt;0,"NAO","SIM"))</f>
        <v/>
      </c>
    </row>
    <row r="251" ht="45.75" customHeight="1" s="60">
      <c r="A251" s="70" t="n">
        <v>1</v>
      </c>
      <c r="B251" s="71" t="n">
        <v>46056</v>
      </c>
      <c r="C251" s="71" t="n">
        <v>46183</v>
      </c>
      <c r="D251" s="70" t="n">
        <v>862</v>
      </c>
      <c r="E251" s="72" t="inlineStr">
        <is>
          <t>ACL REPARACAO E TECNOLOGIA DA INFORMACAO LTDA</t>
        </is>
      </c>
      <c r="F251" s="70" t="n">
        <v>46</v>
      </c>
      <c r="G251" s="72" t="inlineStr">
        <is>
          <t>Cartao Sant 1 Velho 9336 venc 10</t>
        </is>
      </c>
      <c r="H251" s="70" t="n">
        <v>2110405</v>
      </c>
      <c r="I251" s="72" t="inlineStr">
        <is>
          <t>CONTAS A PAGAR</t>
        </is>
      </c>
      <c r="J251" s="70" t="n">
        <v>651770</v>
      </c>
      <c r="L251" s="70" t="n">
        <v>287133</v>
      </c>
      <c r="M251" s="72" t="inlineStr">
        <is>
          <t>04</t>
        </is>
      </c>
      <c r="N251" s="72" t="inlineStr">
        <is>
          <t>AVU</t>
        </is>
      </c>
      <c r="P251" s="70" t="n">
        <v>101</v>
      </c>
      <c r="Q251" s="72" t="inlineStr">
        <is>
          <t>KEILA LIMA</t>
        </is>
      </c>
      <c r="R251" s="72" t="inlineStr">
        <is>
          <t>DESPESAS OPERACIONAIS</t>
        </is>
      </c>
      <c r="S251" s="70" t="n">
        <v>4210232</v>
      </c>
      <c r="T251" s="72" t="inlineStr">
        <is>
          <t>MANUTENÇÃO EQUIPAMENTOS DE INFORMATICA</t>
        </is>
      </c>
      <c r="U251" s="73" t="n">
        <v>332</v>
      </c>
      <c r="W251" s="73" t="n">
        <v>0</v>
      </c>
      <c r="X251" s="72" t="inlineStr">
        <is>
          <t>02 licenças office escritório mo01 PARC 01/04 - KEILA</t>
        </is>
      </c>
      <c r="Z251" s="59">
        <f>IF($T251="","",IFERROR(INDEX('Resumo Grupos'!$AC$3:$AC$200,MATCH($T251,'Resumo Grupos'!$AB$3:$AB$200,0)),"n/d"))</f>
        <v/>
      </c>
      <c r="AA251" s="59">
        <f>IF($T251="","",IF(COUNTIF('Resumo Grupos'!$AE$3:$AE$40,$T251)&gt;0,"NAO","SIM"))</f>
        <v/>
      </c>
    </row>
    <row r="252" ht="45.75" customHeight="1" s="60">
      <c r="A252" s="70" t="n">
        <v>1</v>
      </c>
      <c r="B252" s="71" t="n">
        <v>46079</v>
      </c>
      <c r="C252" s="71" t="n">
        <v>46183</v>
      </c>
      <c r="D252" s="70" t="n">
        <v>1835</v>
      </c>
      <c r="E252" s="72" t="inlineStr">
        <is>
          <t>LOJA DO REI COMERCIO DE MATERIAL DE CONS</t>
        </is>
      </c>
      <c r="F252" s="70" t="n">
        <v>46</v>
      </c>
      <c r="G252" s="72" t="inlineStr">
        <is>
          <t>Cartao Sant 1 Velho 9336 venc 10</t>
        </is>
      </c>
      <c r="H252" s="70" t="n">
        <v>2110405</v>
      </c>
      <c r="I252" s="72" t="inlineStr">
        <is>
          <t>CONTAS A PAGAR</t>
        </is>
      </c>
      <c r="J252" s="70" t="n">
        <v>722109</v>
      </c>
      <c r="L252" s="70" t="n">
        <v>98825</v>
      </c>
      <c r="M252" s="72" t="inlineStr">
        <is>
          <t>03</t>
        </is>
      </c>
      <c r="N252" s="72" t="inlineStr">
        <is>
          <t>AVU</t>
        </is>
      </c>
      <c r="P252" s="70" t="n">
        <v>101</v>
      </c>
      <c r="Q252" s="72" t="inlineStr">
        <is>
          <t>KEILA LIMA</t>
        </is>
      </c>
      <c r="R252" s="72" t="inlineStr">
        <is>
          <t>DESPESAS OPERACIONAIS</t>
        </is>
      </c>
      <c r="S252" s="70" t="n">
        <v>4210228</v>
      </c>
      <c r="T252" s="72" t="inlineStr">
        <is>
          <t>DESPESAS PADARIA</t>
        </is>
      </c>
      <c r="U252" s="73" t="n">
        <v>295.66</v>
      </c>
      <c r="W252" s="73" t="n">
        <v>0</v>
      </c>
      <c r="X252" s="72" t="inlineStr">
        <is>
          <t>NF 98825 PARC 03/04 - KEILA</t>
        </is>
      </c>
      <c r="Z252" s="59">
        <f>IF($T252="","",IFERROR(INDEX('Resumo Grupos'!$AC$3:$AC$200,MATCH($T252,'Resumo Grupos'!$AB$3:$AB$200,0)),"n/d"))</f>
        <v/>
      </c>
      <c r="AA252" s="59">
        <f>IF($T252="","",IF(COUNTIF('Resumo Grupos'!$AE$3:$AE$40,$T252)&gt;0,"NAO","SIM"))</f>
        <v/>
      </c>
    </row>
    <row r="253" ht="45.75" customHeight="1" s="60">
      <c r="A253" s="70" t="n">
        <v>1</v>
      </c>
      <c r="B253" s="71" t="n">
        <v>46056</v>
      </c>
      <c r="C253" s="71" t="n">
        <v>46183</v>
      </c>
      <c r="D253" s="70" t="n">
        <v>10006</v>
      </c>
      <c r="E253" s="72" t="inlineStr">
        <is>
          <t>RUAN FERNANDES</t>
        </is>
      </c>
      <c r="F253" s="70" t="n">
        <v>46</v>
      </c>
      <c r="G253" s="72" t="inlineStr">
        <is>
          <t>Cartao Sant 1 Velho 9336 venc 10</t>
        </is>
      </c>
      <c r="H253" s="70" t="n">
        <v>2110405</v>
      </c>
      <c r="I253" s="72" t="inlineStr">
        <is>
          <t>CONTAS A PAGAR</t>
        </is>
      </c>
      <c r="J253" s="70" t="n">
        <v>776840</v>
      </c>
      <c r="L253" s="70" t="n">
        <v>3022026</v>
      </c>
      <c r="M253" s="72" t="inlineStr">
        <is>
          <t>04</t>
        </is>
      </c>
      <c r="N253" s="72" t="inlineStr">
        <is>
          <t>AVU</t>
        </is>
      </c>
      <c r="P253" s="70" t="n">
        <v>101</v>
      </c>
      <c r="Q253" s="72" t="inlineStr">
        <is>
          <t>KEILA LIMA</t>
        </is>
      </c>
      <c r="R253" s="72" t="inlineStr">
        <is>
          <t>DESPESAS OPERACIONAIS</t>
        </is>
      </c>
      <c r="S253" s="70" t="n">
        <v>4210232</v>
      </c>
      <c r="T253" s="72" t="inlineStr">
        <is>
          <t>MANUTENÇÃO EQUIPAMENTOS DE INFORMATICA</t>
        </is>
      </c>
      <c r="U253" s="73" t="n">
        <v>332</v>
      </c>
      <c r="W253" s="73" t="n">
        <v>0</v>
      </c>
      <c r="X253" s="72" t="inlineStr">
        <is>
          <t>PARC 04/04 -  2 LICENCAS OFFICE ESCRITORIO MO1 - KEILA</t>
        </is>
      </c>
      <c r="Z253" s="59">
        <f>IF($T253="","",IFERROR(INDEX('Resumo Grupos'!$AC$3:$AC$200,MATCH($T253,'Resumo Grupos'!$AB$3:$AB$200,0)),"n/d"))</f>
        <v/>
      </c>
      <c r="AA253" s="59">
        <f>IF($T253="","",IF(COUNTIF('Resumo Grupos'!$AE$3:$AE$40,$T253)&gt;0,"NAO","SIM"))</f>
        <v/>
      </c>
    </row>
    <row r="254" ht="45.75" customHeight="1" s="60">
      <c r="A254" s="70" t="n">
        <v>1</v>
      </c>
      <c r="B254" s="71" t="n">
        <v>46056</v>
      </c>
      <c r="C254" s="71" t="n">
        <v>46183</v>
      </c>
      <c r="D254" s="70" t="n">
        <v>10006</v>
      </c>
      <c r="E254" s="72" t="inlineStr">
        <is>
          <t>RUAN FERNANDES</t>
        </is>
      </c>
      <c r="F254" s="70" t="n">
        <v>46</v>
      </c>
      <c r="G254" s="72" t="inlineStr">
        <is>
          <t>Cartao Sant 1 Velho 9336 venc 10</t>
        </is>
      </c>
      <c r="H254" s="70" t="n">
        <v>2110405</v>
      </c>
      <c r="I254" s="72" t="inlineStr">
        <is>
          <t>CONTAS A PAGAR</t>
        </is>
      </c>
      <c r="J254" s="70" t="n">
        <v>776951</v>
      </c>
      <c r="L254" s="70" t="n">
        <v>302</v>
      </c>
      <c r="M254" s="72" t="inlineStr">
        <is>
          <t>04</t>
        </is>
      </c>
      <c r="N254" s="72" t="inlineStr">
        <is>
          <t>AVU</t>
        </is>
      </c>
      <c r="P254" s="70" t="n">
        <v>101</v>
      </c>
      <c r="Q254" s="72" t="inlineStr">
        <is>
          <t>KEILA LIMA</t>
        </is>
      </c>
      <c r="R254" s="72" t="inlineStr">
        <is>
          <t>DESPESAS OPERACIONAIS</t>
        </is>
      </c>
      <c r="S254" s="70" t="n">
        <v>4210232</v>
      </c>
      <c r="T254" s="72" t="inlineStr">
        <is>
          <t>MANUTENÇÃO EQUIPAMENTOS DE INFORMATICA</t>
        </is>
      </c>
      <c r="U254" s="73" t="n">
        <v>332</v>
      </c>
      <c r="W254" s="73" t="n">
        <v>0</v>
      </c>
      <c r="X254" s="72" t="inlineStr">
        <is>
          <t>PARC 04/04 02 LICENCAO MO1 - KEILA</t>
        </is>
      </c>
      <c r="Z254" s="59">
        <f>IF($T254="","",IFERROR(INDEX('Resumo Grupos'!$AC$3:$AC$200,MATCH($T254,'Resumo Grupos'!$AB$3:$AB$200,0)),"n/d"))</f>
        <v/>
      </c>
      <c r="AA254" s="59">
        <f>IF($T254="","",IF(COUNTIF('Resumo Grupos'!$AE$3:$AE$40,$T254)&gt;0,"NAO","SIM"))</f>
        <v/>
      </c>
    </row>
    <row r="255" ht="45.75" customHeight="1" s="60">
      <c r="A255" s="70" t="n">
        <v>1</v>
      </c>
      <c r="B255" s="71" t="n">
        <v>46094</v>
      </c>
      <c r="C255" s="71" t="n">
        <v>46183</v>
      </c>
      <c r="D255" s="70" t="n">
        <v>1835</v>
      </c>
      <c r="E255" s="72" t="inlineStr">
        <is>
          <t>LOJA DO REI COMERCIO DE MATERIAL DE CONS</t>
        </is>
      </c>
      <c r="F255" s="70" t="n">
        <v>46</v>
      </c>
      <c r="G255" s="72" t="inlineStr">
        <is>
          <t>Cartao Sant 1 Velho 9336 venc 10</t>
        </is>
      </c>
      <c r="H255" s="70" t="n">
        <v>2110405</v>
      </c>
      <c r="I255" s="72" t="inlineStr">
        <is>
          <t>CONTAS A PAGAR</t>
        </is>
      </c>
      <c r="J255" s="70" t="n">
        <v>794811</v>
      </c>
      <c r="L255" s="70" t="n">
        <v>343084</v>
      </c>
      <c r="M255" s="72" t="inlineStr">
        <is>
          <t>03</t>
        </is>
      </c>
      <c r="N255" s="72" t="inlineStr">
        <is>
          <t>AVU</t>
        </is>
      </c>
      <c r="P255" s="70" t="n">
        <v>101</v>
      </c>
      <c r="Q255" s="72" t="inlineStr">
        <is>
          <t>KEILA LIMA</t>
        </is>
      </c>
      <c r="R255" s="72" t="inlineStr">
        <is>
          <t>DESPESAS OPERACIONAIS</t>
        </is>
      </c>
      <c r="S255" s="70" t="n">
        <v>4210226</v>
      </c>
      <c r="T255" s="72" t="inlineStr">
        <is>
          <t>DESPESAS ESCRITORIO</t>
        </is>
      </c>
      <c r="U255" s="73" t="n">
        <v>192.48</v>
      </c>
      <c r="W255" s="73" t="n">
        <v>0</v>
      </c>
      <c r="X255" s="72" t="inlineStr">
        <is>
          <t xml:space="preserve">NF 100083 MATERIAL OBRA ESCRITORIO - KEILA </t>
        </is>
      </c>
      <c r="Z255" s="59">
        <f>IF($T255="","",IFERROR(INDEX('Resumo Grupos'!$AC$3:$AC$200,MATCH($T255,'Resumo Grupos'!$AB$3:$AB$200,0)),"n/d"))</f>
        <v/>
      </c>
      <c r="AA255" s="59">
        <f>IF($T255="","",IF(COUNTIF('Resumo Grupos'!$AE$3:$AE$40,$T255)&gt;0,"NAO","SIM"))</f>
        <v/>
      </c>
    </row>
    <row r="256" ht="45.75" customHeight="1" s="60">
      <c r="A256" s="70" t="n">
        <v>1</v>
      </c>
      <c r="B256" s="71" t="n">
        <v>46099</v>
      </c>
      <c r="C256" s="71" t="n">
        <v>46183</v>
      </c>
      <c r="D256" s="70" t="n">
        <v>1835</v>
      </c>
      <c r="E256" s="72" t="inlineStr">
        <is>
          <t>LOJA DO REI COMERCIO DE MATERIAL DE CONS</t>
        </is>
      </c>
      <c r="F256" s="70" t="n">
        <v>46</v>
      </c>
      <c r="G256" s="72" t="inlineStr">
        <is>
          <t>Cartao Sant 1 Velho 9336 venc 10</t>
        </is>
      </c>
      <c r="H256" s="70" t="n">
        <v>2110102</v>
      </c>
      <c r="I256" s="72" t="inlineStr">
        <is>
          <t>OUTROS FORNECEDORES</t>
        </is>
      </c>
      <c r="J256" s="70" t="n">
        <v>818388</v>
      </c>
      <c r="L256" s="70" t="n">
        <v>100241</v>
      </c>
      <c r="M256" s="72" t="inlineStr">
        <is>
          <t>03</t>
        </is>
      </c>
      <c r="N256" s="72" t="inlineStr">
        <is>
          <t>NFE</t>
        </is>
      </c>
      <c r="P256" s="70" t="n">
        <v>103</v>
      </c>
      <c r="Q256" s="72" t="inlineStr">
        <is>
          <t>MILKA FRANCIS</t>
        </is>
      </c>
      <c r="R256" s="72" t="inlineStr">
        <is>
          <t>DESPESAS OPERACIONAIS</t>
        </is>
      </c>
      <c r="S256" s="70" t="n">
        <v>4210204</v>
      </c>
      <c r="T256" s="72" t="inlineStr">
        <is>
          <t>MATERIAL DE CONSUMO</t>
        </is>
      </c>
      <c r="U256" s="73" t="n">
        <v>300.27</v>
      </c>
      <c r="W256" s="73" t="n">
        <v>0</v>
      </c>
      <c r="X256" s="72" t="inlineStr">
        <is>
          <t>NF 100241 / 3PARC - MILKA OBRA</t>
        </is>
      </c>
      <c r="Z256" s="59">
        <f>IF($T256="","",IFERROR(INDEX('Resumo Grupos'!$AC$3:$AC$200,MATCH($T256,'Resumo Grupos'!$AB$3:$AB$200,0)),"n/d"))</f>
        <v/>
      </c>
      <c r="AA256" s="59">
        <f>IF($T256="","",IF(COUNTIF('Resumo Grupos'!$AE$3:$AE$40,$T256)&gt;0,"NAO","SIM"))</f>
        <v/>
      </c>
    </row>
    <row r="257" ht="36.75" customHeight="1" s="60">
      <c r="A257" s="70" t="n">
        <v>1</v>
      </c>
      <c r="B257" s="71" t="n">
        <v>46107</v>
      </c>
      <c r="C257" s="71" t="n">
        <v>46183</v>
      </c>
      <c r="D257" s="70" t="n">
        <v>1898</v>
      </c>
      <c r="E257" s="72" t="inlineStr">
        <is>
          <t>BF COMERCIO DE EQUIP. E SUP DE INFO LTDA</t>
        </is>
      </c>
      <c r="F257" s="70" t="n">
        <v>46</v>
      </c>
      <c r="G257" s="72" t="inlineStr">
        <is>
          <t>Cartao Sant 1 Velho 9336 venc 10</t>
        </is>
      </c>
      <c r="H257" s="70" t="n">
        <v>2110405</v>
      </c>
      <c r="I257" s="72" t="inlineStr">
        <is>
          <t>CONTAS A PAGAR</t>
        </is>
      </c>
      <c r="J257" s="70" t="n">
        <v>861502</v>
      </c>
      <c r="L257" s="70" t="n">
        <v>5400</v>
      </c>
      <c r="M257" s="72" t="inlineStr">
        <is>
          <t>02</t>
        </is>
      </c>
      <c r="N257" s="72" t="inlineStr">
        <is>
          <t>AVU</t>
        </is>
      </c>
      <c r="P257" s="70" t="n">
        <v>101</v>
      </c>
      <c r="Q257" s="72" t="inlineStr">
        <is>
          <t>KEILA LIMA</t>
        </is>
      </c>
      <c r="R257" s="72" t="inlineStr">
        <is>
          <t>DESPESAS OPERACIONAIS</t>
        </is>
      </c>
      <c r="S257" s="70" t="n">
        <v>4210205</v>
      </c>
      <c r="T257" s="72" t="inlineStr">
        <is>
          <t>MATERIAL DE ESCRITORIO</t>
        </is>
      </c>
      <c r="U257" s="73" t="n">
        <v>105.26</v>
      </c>
      <c r="W257" s="73" t="n">
        <v>0</v>
      </c>
      <c r="X257" s="72" t="inlineStr">
        <is>
          <t>PARC 02/02 NF 005.400 TONNER ESCRITORIO - KEILA</t>
        </is>
      </c>
      <c r="Z257" s="59">
        <f>IF($T257="","",IFERROR(INDEX('Resumo Grupos'!$AC$3:$AC$200,MATCH($T257,'Resumo Grupos'!$AB$3:$AB$200,0)),"n/d"))</f>
        <v/>
      </c>
      <c r="AA257" s="59">
        <f>IF($T257="","",IF(COUNTIF('Resumo Grupos'!$AE$3:$AE$40,$T257)&gt;0,"NAO","SIM"))</f>
        <v/>
      </c>
    </row>
    <row r="258" ht="36.75" customHeight="1" s="60">
      <c r="A258" s="70" t="n">
        <v>1</v>
      </c>
      <c r="B258" s="71" t="n">
        <v>46121</v>
      </c>
      <c r="C258" s="71" t="n">
        <v>46183</v>
      </c>
      <c r="D258" s="70" t="n">
        <v>920</v>
      </c>
      <c r="E258" s="72" t="inlineStr">
        <is>
          <t>REFRIAL DISTRIBUIDORA COMERCIAL DE MAQUI</t>
        </is>
      </c>
      <c r="F258" s="70" t="n">
        <v>36</v>
      </c>
      <c r="G258" s="72" t="inlineStr">
        <is>
          <t>Cartao BB 1 Novo Visa 0499 Venc 25</t>
        </is>
      </c>
      <c r="H258" s="70" t="n">
        <v>2110405</v>
      </c>
      <c r="I258" s="72" t="inlineStr">
        <is>
          <t>CONTAS A PAGAR</t>
        </is>
      </c>
      <c r="J258" s="70" t="n">
        <v>926391</v>
      </c>
      <c r="L258" s="70" t="n">
        <v>2403</v>
      </c>
      <c r="M258" s="72" t="inlineStr">
        <is>
          <t>02</t>
        </is>
      </c>
      <c r="N258" s="72" t="inlineStr">
        <is>
          <t>AVU</t>
        </is>
      </c>
      <c r="P258" s="70" t="n">
        <v>101</v>
      </c>
      <c r="Q258" s="72" t="inlineStr">
        <is>
          <t>KEILA LIMA</t>
        </is>
      </c>
      <c r="R258" s="72" t="inlineStr">
        <is>
          <t>DESPESAS OPERACIONAIS</t>
        </is>
      </c>
      <c r="S258" s="70" t="n">
        <v>4210228</v>
      </c>
      <c r="T258" s="72" t="inlineStr">
        <is>
          <t>DESPESAS PADARIA</t>
        </is>
      </c>
      <c r="U258" s="73" t="n">
        <v>286.87</v>
      </c>
      <c r="W258" s="73" t="n">
        <v>0</v>
      </c>
      <c r="X258" s="72" t="inlineStr">
        <is>
          <t>COMPRAS GANCHOS P PADARIA PARC 02/02 - KEILA</t>
        </is>
      </c>
      <c r="Z258" s="59">
        <f>IF($T258="","",IFERROR(INDEX('Resumo Grupos'!$AC$3:$AC$200,MATCH($T258,'Resumo Grupos'!$AB$3:$AB$200,0)),"n/d"))</f>
        <v/>
      </c>
      <c r="AA258" s="59">
        <f>IF($T258="","",IF(COUNTIF('Resumo Grupos'!$AE$3:$AE$40,$T258)&gt;0,"NAO","SIM"))</f>
        <v/>
      </c>
    </row>
    <row r="259" ht="45.75" customHeight="1" s="60">
      <c r="A259" s="70" t="n">
        <v>1</v>
      </c>
      <c r="B259" s="71" t="n">
        <v>46121</v>
      </c>
      <c r="C259" s="71" t="n">
        <v>46183</v>
      </c>
      <c r="D259" s="70" t="n">
        <v>17</v>
      </c>
      <c r="E259" s="72" t="inlineStr">
        <is>
          <t>NEYLIANE SILVA DE OLIVEIRA</t>
        </is>
      </c>
      <c r="F259" s="70" t="n">
        <v>34</v>
      </c>
      <c r="G259" s="72" t="inlineStr">
        <is>
          <t>Transferencia Pix</t>
        </is>
      </c>
      <c r="H259" s="70" t="n">
        <v>2110405</v>
      </c>
      <c r="I259" s="72" t="inlineStr">
        <is>
          <t>CONTAS A PAGAR</t>
        </is>
      </c>
      <c r="J259" s="70" t="n">
        <v>926565</v>
      </c>
      <c r="L259" s="70" t="n">
        <v>394302</v>
      </c>
      <c r="M259" s="72" t="inlineStr">
        <is>
          <t>03</t>
        </is>
      </c>
      <c r="N259" s="72" t="inlineStr">
        <is>
          <t>AVU</t>
        </is>
      </c>
      <c r="P259" s="70" t="n">
        <v>101</v>
      </c>
      <c r="Q259" s="72" t="inlineStr">
        <is>
          <t>KEILA LIMA</t>
        </is>
      </c>
      <c r="R259" s="72" t="inlineStr">
        <is>
          <t>DESPESAS NAO OPERACIONAIS</t>
        </is>
      </c>
      <c r="S259" s="70" t="n">
        <v>4220199</v>
      </c>
      <c r="T259" s="72" t="inlineStr">
        <is>
          <t>PAGAMENTOS OUTROS NAO OPERACIONAIS</t>
        </is>
      </c>
      <c r="U259" s="73" t="n">
        <v>150</v>
      </c>
      <c r="W259" s="73" t="n">
        <v>0</v>
      </c>
      <c r="X259" s="72" t="inlineStr">
        <is>
          <t>PL NEILA CONTADORA</t>
        </is>
      </c>
      <c r="Z259" s="59">
        <f>IF($T259="","",IFERROR(INDEX('Resumo Grupos'!$AC$3:$AC$200,MATCH($T259,'Resumo Grupos'!$AB$3:$AB$200,0)),"n/d"))</f>
        <v/>
      </c>
      <c r="AA259" s="59">
        <f>IF($T259="","",IF(COUNTIF('Resumo Grupos'!$AE$3:$AE$40,$T259)&gt;0,"NAO","SIM"))</f>
        <v/>
      </c>
    </row>
    <row r="260" ht="45.75" customHeight="1" s="60">
      <c r="A260" s="70" t="n">
        <v>1</v>
      </c>
      <c r="B260" s="71" t="n">
        <v>46080</v>
      </c>
      <c r="C260" s="71" t="n">
        <v>46183</v>
      </c>
      <c r="D260" s="70" t="n">
        <v>10006</v>
      </c>
      <c r="E260" s="72" t="inlineStr">
        <is>
          <t>RUAN FERNANDES</t>
        </is>
      </c>
      <c r="F260" s="70" t="n">
        <v>46</v>
      </c>
      <c r="G260" s="72" t="inlineStr">
        <is>
          <t>Cartao Sant 1 Velho 9336 venc 10</t>
        </is>
      </c>
      <c r="H260" s="70" t="n">
        <v>2110405</v>
      </c>
      <c r="I260" s="72" t="inlineStr">
        <is>
          <t>CONTAS A PAGAR</t>
        </is>
      </c>
      <c r="J260" s="70" t="n">
        <v>927114</v>
      </c>
      <c r="L260" s="70" t="n">
        <v>394484</v>
      </c>
      <c r="M260" s="72" t="inlineStr">
        <is>
          <t>03</t>
        </is>
      </c>
      <c r="N260" s="72" t="inlineStr">
        <is>
          <t>AVU</t>
        </is>
      </c>
      <c r="P260" s="70" t="n">
        <v>101</v>
      </c>
      <c r="Q260" s="72" t="inlineStr">
        <is>
          <t>KEILA LIMA</t>
        </is>
      </c>
      <c r="R260" s="72" t="inlineStr">
        <is>
          <t>DESPESAS OPERACIONAIS</t>
        </is>
      </c>
      <c r="S260" s="70" t="n">
        <v>4210232</v>
      </c>
      <c r="T260" s="72" t="inlineStr">
        <is>
          <t>MANUTENÇÃO EQUIPAMENTOS DE INFORMATICA</t>
        </is>
      </c>
      <c r="U260" s="73" t="n">
        <v>332</v>
      </c>
      <c r="W260" s="73" t="n">
        <v>0</v>
      </c>
      <c r="X260" s="72" t="inlineStr">
        <is>
          <t>PARC 03/04 SSD E MEMORIA MO1 SERVIDOR - KEILA</t>
        </is>
      </c>
      <c r="Z260" s="59">
        <f>IF($T260="","",IFERROR(INDEX('Resumo Grupos'!$AC$3:$AC$200,MATCH($T260,'Resumo Grupos'!$AB$3:$AB$200,0)),"n/d"))</f>
        <v/>
      </c>
      <c r="AA260" s="59">
        <f>IF($T260="","",IF(COUNTIF('Resumo Grupos'!$AE$3:$AE$40,$T260)&gt;0,"NAO","SIM"))</f>
        <v/>
      </c>
    </row>
    <row r="261" ht="45.75" customHeight="1" s="60">
      <c r="A261" s="70" t="n">
        <v>1</v>
      </c>
      <c r="B261" s="71" t="n">
        <v>46092</v>
      </c>
      <c r="C261" s="71" t="n">
        <v>46183</v>
      </c>
      <c r="D261" s="70" t="n">
        <v>1835</v>
      </c>
      <c r="E261" s="72" t="inlineStr">
        <is>
          <t>LOJA DO REI COMERCIO DE MATERIAL DE CONS</t>
        </is>
      </c>
      <c r="F261" s="70" t="n">
        <v>46</v>
      </c>
      <c r="G261" s="72" t="inlineStr">
        <is>
          <t>Cartao Sant 1 Velho 9336 venc 10</t>
        </is>
      </c>
      <c r="H261" s="70" t="n">
        <v>2110405</v>
      </c>
      <c r="I261" s="72" t="inlineStr">
        <is>
          <t>CONTAS A PAGAR</t>
        </is>
      </c>
      <c r="J261" s="70" t="n">
        <v>927300</v>
      </c>
      <c r="L261" s="70" t="n">
        <v>99886</v>
      </c>
      <c r="M261" s="72" t="inlineStr">
        <is>
          <t>03</t>
        </is>
      </c>
      <c r="N261" s="72" t="inlineStr">
        <is>
          <t>AVU</t>
        </is>
      </c>
      <c r="P261" s="70" t="n">
        <v>101</v>
      </c>
      <c r="Q261" s="72" t="inlineStr">
        <is>
          <t>KEILA LIMA</t>
        </is>
      </c>
      <c r="R261" s="72" t="inlineStr">
        <is>
          <t>DESPESAS OPERACIONAIS</t>
        </is>
      </c>
      <c r="S261" s="70" t="n">
        <v>4210228</v>
      </c>
      <c r="T261" s="72" t="inlineStr">
        <is>
          <t>DESPESAS PADARIA</t>
        </is>
      </c>
      <c r="U261" s="73" t="n">
        <v>225.14</v>
      </c>
      <c r="W261" s="73" t="n">
        <v>0</v>
      </c>
      <c r="X261" s="72" t="inlineStr">
        <is>
          <t>PARC 03/05 DESPE PADARIA MO1 - KEILA</t>
        </is>
      </c>
      <c r="Z261" s="59">
        <f>IF($T261="","",IFERROR(INDEX('Resumo Grupos'!$AC$3:$AC$200,MATCH($T261,'Resumo Grupos'!$AB$3:$AB$200,0)),"n/d"))</f>
        <v/>
      </c>
      <c r="AA261" s="59">
        <f>IF($T261="","",IF(COUNTIF('Resumo Grupos'!$AE$3:$AE$40,$T261)&gt;0,"NAO","SIM"))</f>
        <v/>
      </c>
    </row>
    <row r="262" ht="45.75" customHeight="1" s="60">
      <c r="A262" s="70" t="n">
        <v>1</v>
      </c>
      <c r="B262" s="71" t="n">
        <v>46155</v>
      </c>
      <c r="C262" s="71" t="n">
        <v>46183</v>
      </c>
      <c r="D262" s="70" t="n">
        <v>1608</v>
      </c>
      <c r="E262" s="72" t="inlineStr">
        <is>
          <t>DISTRIBUIDORA LOPES LTDA</t>
        </is>
      </c>
      <c r="F262" s="70" t="n">
        <v>24</v>
      </c>
      <c r="G262" s="72" t="inlineStr">
        <is>
          <t>Compra a Prazo - Boletos</t>
        </is>
      </c>
      <c r="H262" s="70" t="n">
        <v>2110101</v>
      </c>
      <c r="I262" s="72" t="inlineStr">
        <is>
          <t>FORNECEDORES DE MERCADORIA</t>
        </is>
      </c>
      <c r="J262" s="70" t="n">
        <v>1092559</v>
      </c>
      <c r="L262" s="70" t="n">
        <v>1653661</v>
      </c>
      <c r="M262" s="72" t="inlineStr">
        <is>
          <t>01</t>
        </is>
      </c>
      <c r="N262" s="72" t="inlineStr">
        <is>
          <t>NFE</t>
        </is>
      </c>
      <c r="P262" s="70" t="n">
        <v>103</v>
      </c>
      <c r="Q262" s="72" t="inlineStr">
        <is>
          <t>MILKA FRANCIS</t>
        </is>
      </c>
      <c r="R262" s="72" t="inlineStr">
        <is>
          <t>ESTOQUE DE MERCADORIAS</t>
        </is>
      </c>
      <c r="S262" s="70" t="n">
        <v>1130101</v>
      </c>
      <c r="T262" s="72" t="inlineStr">
        <is>
          <t>MERCADORIAS P/REVENDA</t>
        </is>
      </c>
      <c r="U262" s="73" t="n">
        <v>2193.88</v>
      </c>
      <c r="W262" s="73" t="n">
        <v>0</v>
      </c>
      <c r="X262" s="72" t="inlineStr">
        <is>
          <t>NF 1653661 - MILKA</t>
        </is>
      </c>
      <c r="Z262" s="59">
        <f>IF($T262="","",IFERROR(INDEX('Resumo Grupos'!$AC$3:$AC$200,MATCH($T262,'Resumo Grupos'!$AB$3:$AB$200,0)),"n/d"))</f>
        <v/>
      </c>
      <c r="AA262" s="59">
        <f>IF($T262="","",IF(COUNTIF('Resumo Grupos'!$AE$3:$AE$40,$T262)&gt;0,"NAO","SIM"))</f>
        <v/>
      </c>
    </row>
    <row r="263" ht="45.75" customHeight="1" s="60">
      <c r="A263" s="70" t="n">
        <v>1</v>
      </c>
      <c r="B263" s="71" t="n">
        <v>46135</v>
      </c>
      <c r="C263" s="71" t="n">
        <v>46183</v>
      </c>
      <c r="D263" s="70" t="n">
        <v>1758</v>
      </c>
      <c r="E263" s="72" t="inlineStr">
        <is>
          <t>DESPESA OPER LOJA</t>
        </is>
      </c>
      <c r="F263" s="70" t="n">
        <v>46</v>
      </c>
      <c r="G263" s="72" t="inlineStr">
        <is>
          <t>Cartao Sant 1 Velho 9336 venc 10</t>
        </is>
      </c>
      <c r="H263" s="70" t="n">
        <v>2110405</v>
      </c>
      <c r="I263" s="72" t="inlineStr">
        <is>
          <t>CONTAS A PAGAR</t>
        </is>
      </c>
      <c r="J263" s="70" t="n">
        <v>993744</v>
      </c>
      <c r="L263" s="70" t="n">
        <v>420093</v>
      </c>
      <c r="M263" s="72" t="inlineStr">
        <is>
          <t>02</t>
        </is>
      </c>
      <c r="N263" s="72" t="inlineStr">
        <is>
          <t>AVU</t>
        </is>
      </c>
      <c r="P263" s="70" t="n">
        <v>101</v>
      </c>
      <c r="Q263" s="72" t="inlineStr">
        <is>
          <t>KEILA LIMA</t>
        </is>
      </c>
      <c r="R263" s="72" t="inlineStr">
        <is>
          <t>DESPESAS NAO OPERACIONAIS</t>
        </is>
      </c>
      <c r="S263" s="70" t="n">
        <v>4220199</v>
      </c>
      <c r="T263" s="72" t="inlineStr">
        <is>
          <t>PAGAMENTOS OUTROS NAO OPERACIONAIS</t>
        </is>
      </c>
      <c r="U263" s="73" t="n">
        <v>130</v>
      </c>
      <c r="W263" s="73" t="n">
        <v>0</v>
      </c>
      <c r="X263" s="72" t="inlineStr">
        <is>
          <t>OUTROS DESP MO1 FUNCIONARIO PARC 02/06</t>
        </is>
      </c>
      <c r="Z263" s="59">
        <f>IF($T263="","",IFERROR(INDEX('Resumo Grupos'!$AC$3:$AC$200,MATCH($T263,'Resumo Grupos'!$AB$3:$AB$200,0)),"n/d"))</f>
        <v/>
      </c>
      <c r="AA263" s="59">
        <f>IF($T263="","",IF(COUNTIF('Resumo Grupos'!$AE$3:$AE$40,$T263)&gt;0,"NAO","SIM"))</f>
        <v/>
      </c>
    </row>
    <row r="264" ht="36.75" customHeight="1" s="60">
      <c r="A264" s="70" t="n">
        <v>1</v>
      </c>
      <c r="B264" s="71" t="n">
        <v>46135</v>
      </c>
      <c r="C264" s="71" t="n">
        <v>46183</v>
      </c>
      <c r="D264" s="70" t="n">
        <v>1835</v>
      </c>
      <c r="E264" s="72" t="inlineStr">
        <is>
          <t>LOJA DO REI COMERCIO DE MATERIAL DE CONS</t>
        </is>
      </c>
      <c r="F264" s="70" t="n">
        <v>46</v>
      </c>
      <c r="G264" s="72" t="inlineStr">
        <is>
          <t>Cartao Sant 1 Velho 9336 venc 10</t>
        </is>
      </c>
      <c r="H264" s="70" t="n">
        <v>2110405</v>
      </c>
      <c r="I264" s="72" t="inlineStr">
        <is>
          <t>CONTAS A PAGAR</t>
        </is>
      </c>
      <c r="J264" s="70" t="n">
        <v>993822</v>
      </c>
      <c r="L264" s="70" t="n">
        <v>420133</v>
      </c>
      <c r="M264" s="72" t="inlineStr">
        <is>
          <t>02</t>
        </is>
      </c>
      <c r="N264" s="72" t="inlineStr">
        <is>
          <t>AVU</t>
        </is>
      </c>
      <c r="P264" s="70" t="n">
        <v>103</v>
      </c>
      <c r="Q264" s="72" t="inlineStr">
        <is>
          <t>MILKA FRANCIS</t>
        </is>
      </c>
      <c r="R264" s="72" t="inlineStr">
        <is>
          <t>DESPESAS OPERACIONAIS</t>
        </is>
      </c>
      <c r="S264" s="70" t="n">
        <v>4210227</v>
      </c>
      <c r="T264" s="72" t="inlineStr">
        <is>
          <t>DESPESAS LOJA</t>
        </is>
      </c>
      <c r="U264" s="73" t="n">
        <v>126.6</v>
      </c>
      <c r="W264" s="73" t="n">
        <v>0</v>
      </c>
      <c r="X264" s="72" t="inlineStr">
        <is>
          <t>NF102086 -02PARC / DESPESA LOJA MO1 EM 16/04/26 - MILKA</t>
        </is>
      </c>
      <c r="Z264" s="59">
        <f>IF($T264="","",IFERROR(INDEX('Resumo Grupos'!$AC$3:$AC$200,MATCH($T264,'Resumo Grupos'!$AB$3:$AB$200,0)),"n/d"))</f>
        <v/>
      </c>
      <c r="AA264" s="59">
        <f>IF($T264="","",IF(COUNTIF('Resumo Grupos'!$AE$3:$AE$40,$T264)&gt;0,"NAO","SIM"))</f>
        <v/>
      </c>
    </row>
    <row r="265" ht="45.75" customHeight="1" s="60">
      <c r="A265" s="70" t="n">
        <v>1</v>
      </c>
      <c r="B265" s="71" t="n">
        <v>46139</v>
      </c>
      <c r="C265" s="71" t="n">
        <v>46183</v>
      </c>
      <c r="D265" s="70" t="n">
        <v>1835</v>
      </c>
      <c r="E265" s="72" t="inlineStr">
        <is>
          <t>LOJA DO REI COMERCIO DE MATERIAL DE CONS</t>
        </is>
      </c>
      <c r="F265" s="70" t="n">
        <v>46</v>
      </c>
      <c r="G265" s="72" t="inlineStr">
        <is>
          <t>Cartao Sant 1 Velho 9336 venc 10</t>
        </is>
      </c>
      <c r="H265" s="70" t="n">
        <v>2110405</v>
      </c>
      <c r="I265" s="72" t="inlineStr">
        <is>
          <t>CONTAS A PAGAR</t>
        </is>
      </c>
      <c r="J265" s="70" t="n">
        <v>1014538</v>
      </c>
      <c r="L265" s="70" t="n">
        <v>102658</v>
      </c>
      <c r="M265" s="72" t="inlineStr">
        <is>
          <t>01</t>
        </is>
      </c>
      <c r="N265" s="72" t="inlineStr">
        <is>
          <t>AVU</t>
        </is>
      </c>
      <c r="P265" s="70" t="n">
        <v>101</v>
      </c>
      <c r="Q265" s="72" t="inlineStr">
        <is>
          <t>KEILA LIMA</t>
        </is>
      </c>
      <c r="R265" s="72" t="inlineStr">
        <is>
          <t>DESPESAS OPERACIONAIS</t>
        </is>
      </c>
      <c r="S265" s="70" t="n">
        <v>4210227</v>
      </c>
      <c r="T265" s="72" t="inlineStr">
        <is>
          <t>DESPESAS LOJA</t>
        </is>
      </c>
      <c r="U265" s="73" t="n">
        <v>103.11</v>
      </c>
      <c r="W265" s="73" t="n">
        <v>0</v>
      </c>
      <c r="X265" s="72" t="inlineStr">
        <is>
          <t>NF 102658 PARC 1/3 DESPESA LOJA - KEILA</t>
        </is>
      </c>
      <c r="Z265" s="59">
        <f>IF($T265="","",IFERROR(INDEX('Resumo Grupos'!$AC$3:$AC$200,MATCH($T265,'Resumo Grupos'!$AB$3:$AB$200,0)),"n/d"))</f>
        <v/>
      </c>
      <c r="AA265" s="59">
        <f>IF($T265="","",IF(COUNTIF('Resumo Grupos'!$AE$3:$AE$40,$T265)&gt;0,"NAO","SIM"))</f>
        <v/>
      </c>
    </row>
    <row r="266" ht="27.75" customHeight="1" s="60">
      <c r="A266" s="70" t="n">
        <v>1</v>
      </c>
      <c r="B266" s="71" t="n">
        <v>46156</v>
      </c>
      <c r="C266" s="71" t="n">
        <v>46183</v>
      </c>
      <c r="D266" s="70" t="n">
        <v>1960</v>
      </c>
      <c r="E266" s="72" t="inlineStr">
        <is>
          <t>METALURGICA MARLIN INDUSTRIA E COMERCIO DE FERRO E ACO LTDA</t>
        </is>
      </c>
      <c r="F266" s="70" t="n">
        <v>46</v>
      </c>
      <c r="G266" s="72" t="inlineStr">
        <is>
          <t>Cartao Sant 1 Velho 9336 venc 10</t>
        </is>
      </c>
      <c r="H266" s="70" t="n">
        <v>2110102</v>
      </c>
      <c r="I266" s="72" t="inlineStr">
        <is>
          <t>OUTROS FORNECEDORES</t>
        </is>
      </c>
      <c r="J266" s="70" t="n">
        <v>1096860</v>
      </c>
      <c r="L266" s="70" t="n">
        <v>442757</v>
      </c>
      <c r="M266" s="72" t="inlineStr">
        <is>
          <t>01</t>
        </is>
      </c>
      <c r="N266" s="72" t="inlineStr">
        <is>
          <t>NFE</t>
        </is>
      </c>
      <c r="P266" s="70" t="n">
        <v>101</v>
      </c>
      <c r="Q266" s="72" t="inlineStr">
        <is>
          <t>KEILA LIMA</t>
        </is>
      </c>
      <c r="R266" s="72" t="inlineStr">
        <is>
          <t>DESPESAS OPERACIONAIS</t>
        </is>
      </c>
      <c r="S266" s="70" t="n">
        <v>4210204</v>
      </c>
      <c r="T266" s="72" t="inlineStr">
        <is>
          <t>MATERIAL DE CONSUMO</t>
        </is>
      </c>
      <c r="U266" s="73" t="n">
        <v>274</v>
      </c>
      <c r="W266" s="73" t="n">
        <v>0</v>
      </c>
      <c r="X266" s="72" t="inlineStr">
        <is>
          <t>NF 442.757 DESPESA MO1 - KEILA</t>
        </is>
      </c>
      <c r="Z266" s="59">
        <f>IF($T266="","",IFERROR(INDEX('Resumo Grupos'!$AC$3:$AC$200,MATCH($T266,'Resumo Grupos'!$AB$3:$AB$200,0)),"n/d"))</f>
        <v/>
      </c>
      <c r="AA266" s="59">
        <f>IF($T266="","",IF(COUNTIF('Resumo Grupos'!$AE$3:$AE$40,$T266)&gt;0,"NAO","SIM"))</f>
        <v/>
      </c>
    </row>
    <row r="267" ht="54.75" customHeight="1" s="60">
      <c r="A267" s="70" t="n">
        <v>1</v>
      </c>
      <c r="B267" s="71" t="n">
        <v>46155</v>
      </c>
      <c r="C267" s="71" t="n">
        <v>46183</v>
      </c>
      <c r="D267" s="70" t="n">
        <v>916</v>
      </c>
      <c r="E267" s="72" t="inlineStr">
        <is>
          <t>REFRIAL DISTRIBUIDORA COMERCIAL DE MAQUI</t>
        </is>
      </c>
      <c r="F267" s="70" t="n">
        <v>46</v>
      </c>
      <c r="G267" s="72" t="inlineStr">
        <is>
          <t>Cartao Sant 1 Velho 9336 venc 10</t>
        </is>
      </c>
      <c r="H267" s="70" t="n">
        <v>2110405</v>
      </c>
      <c r="I267" s="72" t="inlineStr">
        <is>
          <t>CONTAS A PAGAR</t>
        </is>
      </c>
      <c r="J267" s="70" t="n">
        <v>1096875</v>
      </c>
      <c r="L267" s="70" t="n">
        <v>23761</v>
      </c>
      <c r="M267" s="72" t="inlineStr">
        <is>
          <t>01</t>
        </is>
      </c>
      <c r="N267" s="72" t="inlineStr">
        <is>
          <t>AVU</t>
        </is>
      </c>
      <c r="P267" s="70" t="n">
        <v>101</v>
      </c>
      <c r="Q267" s="72" t="inlineStr">
        <is>
          <t>KEILA LIMA</t>
        </is>
      </c>
      <c r="R267" s="72" t="inlineStr">
        <is>
          <t>DESPESAS COM PESSOAL</t>
        </is>
      </c>
      <c r="S267" s="70" t="n">
        <v>4210317</v>
      </c>
      <c r="T267" s="72" t="inlineStr">
        <is>
          <t>EPI - FUNCIONARIOS</t>
        </is>
      </c>
      <c r="U267" s="73" t="n">
        <v>84</v>
      </c>
      <c r="W267" s="73" t="n">
        <v>0</v>
      </c>
      <c r="X267" s="72" t="inlineStr">
        <is>
          <t>NF 23.761 - KEILA</t>
        </is>
      </c>
      <c r="Z267" s="59">
        <f>IF($T267="","",IFERROR(INDEX('Resumo Grupos'!$AC$3:$AC$200,MATCH($T267,'Resumo Grupos'!$AB$3:$AB$200,0)),"n/d"))</f>
        <v/>
      </c>
      <c r="AA267" s="59">
        <f>IF($T267="","",IF(COUNTIF('Resumo Grupos'!$AE$3:$AE$40,$T267)&gt;0,"NAO","SIM"))</f>
        <v/>
      </c>
    </row>
    <row r="268" ht="36.75" customHeight="1" s="60">
      <c r="A268" s="70" t="n">
        <v>1</v>
      </c>
      <c r="B268" s="71" t="n">
        <v>46112</v>
      </c>
      <c r="C268" s="71" t="n">
        <v>46183</v>
      </c>
      <c r="D268" s="70" t="n">
        <v>10006</v>
      </c>
      <c r="E268" s="72" t="inlineStr">
        <is>
          <t>RUAN FERNANDES</t>
        </is>
      </c>
      <c r="F268" s="70" t="n">
        <v>46</v>
      </c>
      <c r="G268" s="72" t="inlineStr">
        <is>
          <t>Cartao Sant 1 Velho 9336 venc 10</t>
        </is>
      </c>
      <c r="H268" s="70" t="n">
        <v>2110405</v>
      </c>
      <c r="I268" s="72" t="inlineStr">
        <is>
          <t>CONTAS A PAGAR</t>
        </is>
      </c>
      <c r="J268" s="70" t="n">
        <v>1085756</v>
      </c>
      <c r="L268" s="70" t="n">
        <v>455404</v>
      </c>
      <c r="M268" s="72" t="inlineStr">
        <is>
          <t>02</t>
        </is>
      </c>
      <c r="N268" s="72" t="inlineStr">
        <is>
          <t>AVU</t>
        </is>
      </c>
      <c r="P268" s="70" t="n">
        <v>101</v>
      </c>
      <c r="Q268" s="72" t="inlineStr">
        <is>
          <t>KEILA LIMA</t>
        </is>
      </c>
      <c r="R268" s="72" t="inlineStr">
        <is>
          <t>DESPESAS OPERACIONAIS</t>
        </is>
      </c>
      <c r="S268" s="70" t="n">
        <v>4210232</v>
      </c>
      <c r="T268" s="72" t="inlineStr">
        <is>
          <t>MANUTENÇÃO EQUIPAMENTOS DE INFORMATICA</t>
        </is>
      </c>
      <c r="U268" s="73" t="n">
        <v>375</v>
      </c>
      <c r="W268" s="73" t="n">
        <v>0</v>
      </c>
      <c r="X268" s="72" t="inlineStr">
        <is>
          <t xml:space="preserve"> MO1 SERVIDOR WORDBALAACE - PARC 02/04</t>
        </is>
      </c>
      <c r="Z268" s="59">
        <f>IF($T268="","",IFERROR(INDEX('Resumo Grupos'!$AC$3:$AC$200,MATCH($T268,'Resumo Grupos'!$AB$3:$AB$200,0)),"n/d"))</f>
        <v/>
      </c>
      <c r="AA268" s="59">
        <f>IF($T268="","",IF(COUNTIF('Resumo Grupos'!$AE$3:$AE$40,$T268)&gt;0,"NAO","SIM"))</f>
        <v/>
      </c>
    </row>
    <row r="269" ht="36.75" customHeight="1" s="60">
      <c r="A269" s="70" t="n">
        <v>1</v>
      </c>
      <c r="B269" s="71" t="n">
        <v>46112</v>
      </c>
      <c r="C269" s="71" t="n">
        <v>46183</v>
      </c>
      <c r="D269" s="70" t="n">
        <v>10006</v>
      </c>
      <c r="E269" s="72" t="inlineStr">
        <is>
          <t>RUAN FERNANDES</t>
        </is>
      </c>
      <c r="F269" s="70" t="n">
        <v>46</v>
      </c>
      <c r="G269" s="72" t="inlineStr">
        <is>
          <t>Cartao Sant 1 Velho 9336 venc 10</t>
        </is>
      </c>
      <c r="H269" s="70" t="n">
        <v>2110405</v>
      </c>
      <c r="I269" s="72" t="inlineStr">
        <is>
          <t>CONTAS A PAGAR</t>
        </is>
      </c>
      <c r="J269" s="70" t="n">
        <v>1085763</v>
      </c>
      <c r="L269" s="70" t="n">
        <v>455410</v>
      </c>
      <c r="M269" s="72" t="inlineStr">
        <is>
          <t>02</t>
        </is>
      </c>
      <c r="N269" s="72" t="inlineStr">
        <is>
          <t>AVU</t>
        </is>
      </c>
      <c r="P269" s="70" t="n">
        <v>101</v>
      </c>
      <c r="Q269" s="72" t="inlineStr">
        <is>
          <t>KEILA LIMA</t>
        </is>
      </c>
      <c r="R269" s="72" t="inlineStr">
        <is>
          <t>DESPESAS OPERACIONAIS</t>
        </is>
      </c>
      <c r="S269" s="70" t="n">
        <v>4210232</v>
      </c>
      <c r="T269" s="72" t="inlineStr">
        <is>
          <t>MANUTENÇÃO EQUIPAMENTOS DE INFORMATICA</t>
        </is>
      </c>
      <c r="U269" s="73" t="n">
        <v>425</v>
      </c>
      <c r="W269" s="73" t="n">
        <v>0</v>
      </c>
      <c r="X269" s="72" t="inlineStr">
        <is>
          <t>MIKROTIK MO1 PARC 02/02 - KEILA</t>
        </is>
      </c>
      <c r="Z269" s="59">
        <f>IF($T269="","",IFERROR(INDEX('Resumo Grupos'!$AC$3:$AC$200,MATCH($T269,'Resumo Grupos'!$AB$3:$AB$200,0)),"n/d"))</f>
        <v/>
      </c>
      <c r="AA269" s="59">
        <f>IF($T269="","",IF(COUNTIF('Resumo Grupos'!$AE$3:$AE$40,$T269)&gt;0,"NAO","SIM"))</f>
        <v/>
      </c>
    </row>
    <row r="270" ht="63.75" customHeight="1" s="60">
      <c r="A270" s="70" t="n">
        <v>1</v>
      </c>
      <c r="B270" s="71" t="n">
        <v>46121</v>
      </c>
      <c r="C270" s="71" t="n">
        <v>46183</v>
      </c>
      <c r="D270" s="70" t="n">
        <v>1835</v>
      </c>
      <c r="E270" s="72" t="inlineStr">
        <is>
          <t>LOJA DO REI COMERCIO DE MATERIAL DE CONS</t>
        </is>
      </c>
      <c r="F270" s="70" t="n">
        <v>46</v>
      </c>
      <c r="G270" s="72" t="inlineStr">
        <is>
          <t>Cartao Sant 1 Velho 9336 venc 10</t>
        </is>
      </c>
      <c r="H270" s="70" t="n">
        <v>2110405</v>
      </c>
      <c r="I270" s="72" t="inlineStr">
        <is>
          <t>CONTAS A PAGAR</t>
        </is>
      </c>
      <c r="J270" s="70" t="n">
        <v>1085815</v>
      </c>
      <c r="L270" s="70" t="n">
        <v>455433</v>
      </c>
      <c r="M270" s="72" t="inlineStr">
        <is>
          <t>02</t>
        </is>
      </c>
      <c r="N270" s="72" t="inlineStr">
        <is>
          <t>AVU</t>
        </is>
      </c>
      <c r="P270" s="70" t="n">
        <v>101</v>
      </c>
      <c r="Q270" s="72" t="inlineStr">
        <is>
          <t>KEILA LIMA</t>
        </is>
      </c>
      <c r="R270" s="72" t="inlineStr">
        <is>
          <t>DESPESAS OPERACIONAIS</t>
        </is>
      </c>
      <c r="S270" s="70" t="n">
        <v>4210226</v>
      </c>
      <c r="T270" s="72" t="inlineStr">
        <is>
          <t>DESPESAS ESCRITORIO</t>
        </is>
      </c>
      <c r="U270" s="73" t="n">
        <v>269.47</v>
      </c>
      <c r="W270" s="73" t="n">
        <v>0</v>
      </c>
      <c r="X270" s="72" t="inlineStr">
        <is>
          <t xml:space="preserve">NF MATERIAL BANHEIRO ESCRITORIO PARC 02/02 </t>
        </is>
      </c>
      <c r="Z270" s="59">
        <f>IF($T270="","",IFERROR(INDEX('Resumo Grupos'!$AC$3:$AC$200,MATCH($T270,'Resumo Grupos'!$AB$3:$AB$200,0)),"n/d"))</f>
        <v/>
      </c>
      <c r="AA270" s="59">
        <f>IF($T270="","",IF(COUNTIF('Resumo Grupos'!$AE$3:$AE$40,$T270)&gt;0,"NAO","SIM"))</f>
        <v/>
      </c>
    </row>
    <row r="271" ht="63.75" customHeight="1" s="60">
      <c r="A271" s="70" t="n">
        <v>1</v>
      </c>
      <c r="B271" s="71" t="n">
        <v>46156</v>
      </c>
      <c r="C271" s="71" t="n">
        <v>46183</v>
      </c>
      <c r="D271" s="70" t="n">
        <v>1601</v>
      </c>
      <c r="E271" s="72" t="inlineStr">
        <is>
          <t>CB COMERCIO E DISTRIBUIDORA DE ALIMENTOS</t>
        </is>
      </c>
      <c r="F271" s="70" t="n">
        <v>24</v>
      </c>
      <c r="G271" s="72" t="inlineStr">
        <is>
          <t>Compra a Prazo - Boletos</t>
        </is>
      </c>
      <c r="H271" s="70" t="n">
        <v>2110101</v>
      </c>
      <c r="I271" s="72" t="inlineStr">
        <is>
          <t>FORNECEDORES DE MERCADORIA</t>
        </is>
      </c>
      <c r="J271" s="70" t="n">
        <v>1098503</v>
      </c>
      <c r="L271" s="70" t="n">
        <v>834106</v>
      </c>
      <c r="M271" s="72" t="inlineStr">
        <is>
          <t>03</t>
        </is>
      </c>
      <c r="N271" s="72" t="inlineStr">
        <is>
          <t>NFE</t>
        </is>
      </c>
      <c r="P271" s="70" t="n">
        <v>103</v>
      </c>
      <c r="Q271" s="72" t="inlineStr">
        <is>
          <t>MILKA FRANCIS</t>
        </is>
      </c>
      <c r="R271" s="72" t="inlineStr">
        <is>
          <t>ESTOQUE DE MERCADORIAS</t>
        </is>
      </c>
      <c r="S271" s="70" t="n">
        <v>1130101</v>
      </c>
      <c r="T271" s="72" t="inlineStr">
        <is>
          <t>MERCADORIAS P/REVENDA</t>
        </is>
      </c>
      <c r="U271" s="73" t="n">
        <v>1298.56</v>
      </c>
      <c r="W271" s="73" t="n">
        <v>0</v>
      </c>
      <c r="X271" s="72" t="inlineStr">
        <is>
          <t>927557-C/C NF834106 - MILKA</t>
        </is>
      </c>
      <c r="Z271" s="59">
        <f>IF($T271="","",IFERROR(INDEX('Resumo Grupos'!$AC$3:$AC$200,MATCH($T271,'Resumo Grupos'!$AB$3:$AB$200,0)),"n/d"))</f>
        <v/>
      </c>
      <c r="AA271" s="59">
        <f>IF($T271="","",IF(COUNTIF('Resumo Grupos'!$AE$3:$AE$40,$T271)&gt;0,"NAO","SIM"))</f>
        <v/>
      </c>
    </row>
    <row r="272" ht="36.75" customHeight="1" s="60">
      <c r="A272" s="70" t="n">
        <v>1</v>
      </c>
      <c r="B272" s="71" t="n">
        <v>46157</v>
      </c>
      <c r="C272" s="71" t="n">
        <v>46183</v>
      </c>
      <c r="D272" s="70" t="n">
        <v>1636</v>
      </c>
      <c r="E272" s="72" t="inlineStr">
        <is>
          <t>DUNORTE DISTRIBUIDORA DE PRODUTOS DE CONSUMO LTDA</t>
        </is>
      </c>
      <c r="F272" s="70" t="n">
        <v>24</v>
      </c>
      <c r="G272" s="72" t="inlineStr">
        <is>
          <t>Compra a Prazo - Boletos</t>
        </is>
      </c>
      <c r="H272" s="70" t="n">
        <v>2110101</v>
      </c>
      <c r="I272" s="72" t="inlineStr">
        <is>
          <t>FORNECEDORES DE MERCADORIA</t>
        </is>
      </c>
      <c r="J272" s="70" t="n">
        <v>1102480</v>
      </c>
      <c r="L272" s="70" t="n">
        <v>3186741</v>
      </c>
      <c r="M272" s="72" t="inlineStr">
        <is>
          <t>01</t>
        </is>
      </c>
      <c r="N272" s="72" t="inlineStr">
        <is>
          <t>NFE</t>
        </is>
      </c>
      <c r="P272" s="70" t="n">
        <v>103</v>
      </c>
      <c r="Q272" s="72" t="inlineStr">
        <is>
          <t>MILKA FRANCIS</t>
        </is>
      </c>
      <c r="R272" s="72" t="inlineStr">
        <is>
          <t>ESTOQUE DE MERCADORIAS</t>
        </is>
      </c>
      <c r="S272" s="70" t="n">
        <v>1130101</v>
      </c>
      <c r="T272" s="72" t="inlineStr">
        <is>
          <t>MERCADORIAS P/REVENDA</t>
        </is>
      </c>
      <c r="U272" s="73" t="n">
        <v>1305.12</v>
      </c>
      <c r="W272" s="73" t="n">
        <v>0</v>
      </c>
      <c r="X272" s="72" t="inlineStr">
        <is>
          <t>NF 3186741 - MILKA</t>
        </is>
      </c>
      <c r="Z272" s="59">
        <f>IF($T272="","",IFERROR(INDEX('Resumo Grupos'!$AC$3:$AC$200,MATCH($T272,'Resumo Grupos'!$AB$3:$AB$200,0)),"n/d"))</f>
        <v/>
      </c>
      <c r="AA272" s="59">
        <f>IF($T272="","",IF(COUNTIF('Resumo Grupos'!$AE$3:$AE$40,$T272)&gt;0,"NAO","SIM"))</f>
        <v/>
      </c>
    </row>
    <row r="273" ht="36.75" customHeight="1" s="60">
      <c r="A273" s="70" t="n">
        <v>1</v>
      </c>
      <c r="B273" s="71" t="n">
        <v>46157</v>
      </c>
      <c r="C273" s="71" t="n">
        <v>46183</v>
      </c>
      <c r="D273" s="70" t="n">
        <v>1636</v>
      </c>
      <c r="E273" s="72" t="inlineStr">
        <is>
          <t>DUNORTE DISTRIBUIDORA DE PRODUTOS DE CONSUMO LTDA</t>
        </is>
      </c>
      <c r="F273" s="70" t="n">
        <v>24</v>
      </c>
      <c r="G273" s="72" t="inlineStr">
        <is>
          <t>Compra a Prazo - Boletos</t>
        </is>
      </c>
      <c r="H273" s="70" t="n">
        <v>2110101</v>
      </c>
      <c r="I273" s="72" t="inlineStr">
        <is>
          <t>FORNECEDORES DE MERCADORIA</t>
        </is>
      </c>
      <c r="J273" s="70" t="n">
        <v>1102661</v>
      </c>
      <c r="L273" s="70" t="n">
        <v>461754</v>
      </c>
      <c r="M273" s="72" t="inlineStr">
        <is>
          <t>02</t>
        </is>
      </c>
      <c r="N273" s="72" t="inlineStr">
        <is>
          <t>AVU</t>
        </is>
      </c>
      <c r="P273" s="70" t="n">
        <v>103</v>
      </c>
      <c r="Q273" s="72" t="inlineStr">
        <is>
          <t>MILKA FRANCIS</t>
        </is>
      </c>
      <c r="R273" s="72" t="inlineStr">
        <is>
          <t>ESTOQUE DE MERCADORIAS</t>
        </is>
      </c>
      <c r="S273" s="70" t="n">
        <v>1130101</v>
      </c>
      <c r="T273" s="72" t="inlineStr">
        <is>
          <t>MERCADORIAS P/REVENDA</t>
        </is>
      </c>
      <c r="U273" s="73" t="n">
        <v>2460</v>
      </c>
      <c r="W273" s="73" t="n">
        <v>0</v>
      </c>
      <c r="X273" s="72" t="inlineStr">
        <is>
          <t>NF 3186740-2 MILKA</t>
        </is>
      </c>
      <c r="Z273" s="59">
        <f>IF($T273="","",IFERROR(INDEX('Resumo Grupos'!$AC$3:$AC$200,MATCH($T273,'Resumo Grupos'!$AB$3:$AB$200,0)),"n/d"))</f>
        <v/>
      </c>
      <c r="AA273" s="59">
        <f>IF($T273="","",IF(COUNTIF('Resumo Grupos'!$AE$3:$AE$40,$T273)&gt;0,"NAO","SIM"))</f>
        <v/>
      </c>
    </row>
    <row r="274" ht="36.75" customHeight="1" s="60">
      <c r="A274" s="70" t="n">
        <v>1</v>
      </c>
      <c r="B274" s="71" t="n">
        <v>46153</v>
      </c>
      <c r="C274" s="71" t="n">
        <v>46183</v>
      </c>
      <c r="D274" s="70" t="n">
        <v>930</v>
      </c>
      <c r="E274" s="72" t="inlineStr">
        <is>
          <t xml:space="preserve">PONTO DO ELETRICISTA </t>
        </is>
      </c>
      <c r="F274" s="70" t="n">
        <v>46</v>
      </c>
      <c r="G274" s="72" t="inlineStr">
        <is>
          <t>Cartao Sant 1 Velho 9336 venc 10</t>
        </is>
      </c>
      <c r="H274" s="70" t="n">
        <v>2110405</v>
      </c>
      <c r="I274" s="72" t="inlineStr">
        <is>
          <t>CONTAS A PAGAR</t>
        </is>
      </c>
      <c r="J274" s="70" t="n">
        <v>1106974</v>
      </c>
      <c r="L274" s="70" t="n">
        <v>463274</v>
      </c>
      <c r="M274" s="72" t="inlineStr">
        <is>
          <t>01</t>
        </is>
      </c>
      <c r="N274" s="72" t="inlineStr">
        <is>
          <t>AVU</t>
        </is>
      </c>
      <c r="P274" s="70" t="n">
        <v>101</v>
      </c>
      <c r="Q274" s="72" t="inlineStr">
        <is>
          <t>KEILA LIMA</t>
        </is>
      </c>
      <c r="R274" s="72" t="inlineStr">
        <is>
          <t>DESPESAS OPERACIONAIS</t>
        </is>
      </c>
      <c r="S274" s="70" t="n">
        <v>4210227</v>
      </c>
      <c r="T274" s="72" t="inlineStr">
        <is>
          <t>DESPESAS LOJA</t>
        </is>
      </c>
      <c r="U274" s="73" t="n">
        <v>61.6</v>
      </c>
      <c r="W274" s="73" t="n">
        <v>0</v>
      </c>
      <c r="X274" s="72" t="inlineStr">
        <is>
          <t>TUBOLAR ABRACADEIRA MO1 - KEILA</t>
        </is>
      </c>
      <c r="Z274" s="59">
        <f>IF($T274="","",IFERROR(INDEX('Resumo Grupos'!$AC$3:$AC$200,MATCH($T274,'Resumo Grupos'!$AB$3:$AB$200,0)),"n/d"))</f>
        <v/>
      </c>
      <c r="AA274" s="59">
        <f>IF($T274="","",IF(COUNTIF('Resumo Grupos'!$AE$3:$AE$40,$T274)&gt;0,"NAO","SIM"))</f>
        <v/>
      </c>
    </row>
    <row r="275" ht="36.75" customHeight="1" s="60">
      <c r="A275" s="70" t="n">
        <v>1</v>
      </c>
      <c r="B275" s="71" t="n">
        <v>46163</v>
      </c>
      <c r="C275" s="71" t="n">
        <v>46183</v>
      </c>
      <c r="D275" s="70" t="n">
        <v>10012</v>
      </c>
      <c r="E275" s="72" t="inlineStr">
        <is>
          <t>SB COMERCIO LTDA</t>
        </is>
      </c>
      <c r="F275" s="70" t="n">
        <v>24</v>
      </c>
      <c r="G275" s="72" t="inlineStr">
        <is>
          <t>Compra a Prazo - Boletos</t>
        </is>
      </c>
      <c r="H275" s="70" t="n">
        <v>2110101</v>
      </c>
      <c r="I275" s="72" t="inlineStr">
        <is>
          <t>FORNECEDORES DE MERCADORIA</t>
        </is>
      </c>
      <c r="J275" s="70" t="n">
        <v>1131679</v>
      </c>
      <c r="L275" s="70" t="n">
        <v>1952294</v>
      </c>
      <c r="M275" s="72" t="inlineStr">
        <is>
          <t>02</t>
        </is>
      </c>
      <c r="N275" s="72" t="inlineStr">
        <is>
          <t>NFE</t>
        </is>
      </c>
      <c r="P275" s="70" t="n">
        <v>103</v>
      </c>
      <c r="Q275" s="72" t="inlineStr">
        <is>
          <t>MILKA FRANCIS</t>
        </is>
      </c>
      <c r="R275" s="72" t="inlineStr">
        <is>
          <t>ESTOQUE DE MERCADORIAS</t>
        </is>
      </c>
      <c r="S275" s="70" t="n">
        <v>1130101</v>
      </c>
      <c r="T275" s="72" t="inlineStr">
        <is>
          <t>MERCADORIAS P/REVENDA</t>
        </is>
      </c>
      <c r="U275" s="73" t="n">
        <v>2899.4</v>
      </c>
      <c r="W275" s="73" t="n">
        <v>0</v>
      </c>
      <c r="X275" s="72" t="inlineStr">
        <is>
          <t>NF 1952294 -2 MILKA</t>
        </is>
      </c>
      <c r="Z275" s="59">
        <f>IF($T275="","",IFERROR(INDEX('Resumo Grupos'!$AC$3:$AC$200,MATCH($T275,'Resumo Grupos'!$AB$3:$AB$200,0)),"n/d"))</f>
        <v/>
      </c>
      <c r="AA275" s="59">
        <f>IF($T275="","",IF(COUNTIF('Resumo Grupos'!$AE$3:$AE$40,$T275)&gt;0,"NAO","SIM"))</f>
        <v/>
      </c>
    </row>
    <row r="276" ht="54.75" customHeight="1" s="60">
      <c r="A276" s="70" t="n">
        <v>1</v>
      </c>
      <c r="B276" s="71" t="n">
        <v>46164</v>
      </c>
      <c r="C276" s="71" t="n">
        <v>46183</v>
      </c>
      <c r="D276" s="70" t="n">
        <v>1611</v>
      </c>
      <c r="E276" s="72" t="inlineStr">
        <is>
          <t>MARTINS COM SERV DISTR SA</t>
        </is>
      </c>
      <c r="F276" s="70" t="n">
        <v>24</v>
      </c>
      <c r="G276" s="72" t="inlineStr">
        <is>
          <t>Compra a Prazo - Boletos</t>
        </is>
      </c>
      <c r="H276" s="70" t="n">
        <v>2110101</v>
      </c>
      <c r="I276" s="72" t="inlineStr">
        <is>
          <t>FORNECEDORES DE MERCADORIA</t>
        </is>
      </c>
      <c r="J276" s="70" t="n">
        <v>1136494</v>
      </c>
      <c r="L276" s="70" t="n">
        <v>474613</v>
      </c>
      <c r="M276" s="72" t="inlineStr">
        <is>
          <t>03</t>
        </is>
      </c>
      <c r="N276" s="72" t="inlineStr">
        <is>
          <t>AVU</t>
        </is>
      </c>
      <c r="P276" s="70" t="n">
        <v>103</v>
      </c>
      <c r="Q276" s="72" t="inlineStr">
        <is>
          <t>MILKA FRANCIS</t>
        </is>
      </c>
      <c r="R276" s="72" t="inlineStr">
        <is>
          <t>ESTOQUE DE MERCADORIAS</t>
        </is>
      </c>
      <c r="S276" s="70" t="n">
        <v>1130101</v>
      </c>
      <c r="T276" s="72" t="inlineStr">
        <is>
          <t>MERCADORIAS P/REVENDA</t>
        </is>
      </c>
      <c r="U276" s="73" t="n">
        <v>678.54</v>
      </c>
      <c r="W276" s="73" t="n">
        <v>0</v>
      </c>
      <c r="X276" s="72" t="inlineStr">
        <is>
          <t>NF 1762196 -03 C/TARIFA INCLUSA - MILKA</t>
        </is>
      </c>
      <c r="Z276" s="59">
        <f>IF($T276="","",IFERROR(INDEX('Resumo Grupos'!$AC$3:$AC$200,MATCH($T276,'Resumo Grupos'!$AB$3:$AB$200,0)),"n/d"))</f>
        <v/>
      </c>
      <c r="AA276" s="59">
        <f>IF($T276="","",IF(COUNTIF('Resumo Grupos'!$AE$3:$AE$40,$T276)&gt;0,"NAO","SIM"))</f>
        <v/>
      </c>
    </row>
    <row r="277" ht="54.75" customHeight="1" s="60">
      <c r="A277" s="70" t="n">
        <v>1</v>
      </c>
      <c r="B277" s="71" t="n">
        <v>46162</v>
      </c>
      <c r="C277" s="71" t="n">
        <v>46183</v>
      </c>
      <c r="D277" s="70" t="n">
        <v>1134</v>
      </c>
      <c r="E277" s="72" t="inlineStr">
        <is>
          <t>BEIJA FLOR</t>
        </is>
      </c>
      <c r="F277" s="70" t="n">
        <v>46</v>
      </c>
      <c r="G277" s="72" t="inlineStr">
        <is>
          <t>Cartao Sant 1 Velho 9336 venc 10</t>
        </is>
      </c>
      <c r="H277" s="70" t="n">
        <v>2110405</v>
      </c>
      <c r="I277" s="72" t="inlineStr">
        <is>
          <t>CONTAS A PAGAR</t>
        </is>
      </c>
      <c r="J277" s="70" t="n">
        <v>1137541</v>
      </c>
      <c r="L277" s="70" t="n">
        <v>474855</v>
      </c>
      <c r="M277" s="72" t="inlineStr">
        <is>
          <t>01</t>
        </is>
      </c>
      <c r="N277" s="72" t="inlineStr">
        <is>
          <t>AVU</t>
        </is>
      </c>
      <c r="P277" s="70" t="n">
        <v>101</v>
      </c>
      <c r="Q277" s="72" t="inlineStr">
        <is>
          <t>KEILA LIMA</t>
        </is>
      </c>
      <c r="R277" s="72" t="inlineStr">
        <is>
          <t>DESPESAS OPERACIONAIS</t>
        </is>
      </c>
      <c r="S277" s="70" t="n">
        <v>4210227</v>
      </c>
      <c r="T277" s="72" t="inlineStr">
        <is>
          <t>DESPESAS LOJA</t>
        </is>
      </c>
      <c r="U277" s="73" t="n">
        <v>9</v>
      </c>
      <c r="W277" s="73" t="n">
        <v>0</v>
      </c>
      <c r="X277" s="72" t="inlineStr">
        <is>
          <t>PORTA CADEADO - DOBRADICE - KEILA</t>
        </is>
      </c>
      <c r="Z277" s="59">
        <f>IF($T277="","",IFERROR(INDEX('Resumo Grupos'!$AC$3:$AC$200,MATCH($T277,'Resumo Grupos'!$AB$3:$AB$200,0)),"n/d"))</f>
        <v/>
      </c>
      <c r="AA277" s="59">
        <f>IF($T277="","",IF(COUNTIF('Resumo Grupos'!$AE$3:$AE$40,$T277)&gt;0,"NAO","SIM"))</f>
        <v/>
      </c>
    </row>
    <row r="278" ht="54.75" customHeight="1" s="60">
      <c r="A278" s="70" t="n">
        <v>1</v>
      </c>
      <c r="B278" s="71" t="n">
        <v>46164</v>
      </c>
      <c r="C278" s="71" t="n">
        <v>46183</v>
      </c>
      <c r="D278" s="70" t="n">
        <v>1613</v>
      </c>
      <c r="E278" s="72" t="inlineStr">
        <is>
          <t>BRF S A</t>
        </is>
      </c>
      <c r="F278" s="70" t="n">
        <v>24</v>
      </c>
      <c r="G278" s="72" t="inlineStr">
        <is>
          <t>Compra a Prazo - Boletos</t>
        </is>
      </c>
      <c r="H278" s="70" t="n">
        <v>2110101</v>
      </c>
      <c r="I278" s="72" t="inlineStr">
        <is>
          <t>FORNECEDORES DE MERCADORIA</t>
        </is>
      </c>
      <c r="J278" s="70" t="n">
        <v>1137762</v>
      </c>
      <c r="L278" s="70" t="n">
        <v>1588698</v>
      </c>
      <c r="M278" s="72" t="inlineStr">
        <is>
          <t>03</t>
        </is>
      </c>
      <c r="N278" s="72" t="inlineStr">
        <is>
          <t>NFE</t>
        </is>
      </c>
      <c r="P278" s="70" t="n">
        <v>103</v>
      </c>
      <c r="Q278" s="72" t="inlineStr">
        <is>
          <t>MILKA FRANCIS</t>
        </is>
      </c>
      <c r="R278" s="72" t="inlineStr">
        <is>
          <t>ESTOQUE DE MERCADORIAS</t>
        </is>
      </c>
      <c r="S278" s="70" t="n">
        <v>1130101</v>
      </c>
      <c r="T278" s="72" t="inlineStr">
        <is>
          <t>MERCADORIAS P/REVENDA</t>
        </is>
      </c>
      <c r="U278" s="73" t="n">
        <v>1670.17</v>
      </c>
      <c r="W278" s="73" t="n">
        <v>0</v>
      </c>
      <c r="X278" s="72" t="inlineStr">
        <is>
          <t>NF 1588698 03/03 MILKA</t>
        </is>
      </c>
      <c r="Z278" s="59">
        <f>IF($T278="","",IFERROR(INDEX('Resumo Grupos'!$AC$3:$AC$200,MATCH($T278,'Resumo Grupos'!$AB$3:$AB$200,0)),"n/d"))</f>
        <v/>
      </c>
      <c r="AA278" s="59">
        <f>IF($T278="","",IF(COUNTIF('Resumo Grupos'!$AE$3:$AE$40,$T278)&gt;0,"NAO","SIM"))</f>
        <v/>
      </c>
    </row>
    <row r="279" ht="36.75" customHeight="1" s="60">
      <c r="A279" s="70" t="n">
        <v>1</v>
      </c>
      <c r="B279" s="71" t="n">
        <v>46161</v>
      </c>
      <c r="C279" s="71" t="n">
        <v>46183</v>
      </c>
      <c r="D279" s="70" t="n">
        <v>1105</v>
      </c>
      <c r="E279" s="72" t="inlineStr">
        <is>
          <t xml:space="preserve">LEO MOTO PECAS </t>
        </is>
      </c>
      <c r="F279" s="70" t="n">
        <v>46</v>
      </c>
      <c r="G279" s="72" t="inlineStr">
        <is>
          <t>Cartao Sant 1 Velho 9336 venc 10</t>
        </is>
      </c>
      <c r="H279" s="70" t="n">
        <v>2110405</v>
      </c>
      <c r="I279" s="72" t="inlineStr">
        <is>
          <t>CONTAS A PAGAR</t>
        </is>
      </c>
      <c r="J279" s="70" t="n">
        <v>1137794</v>
      </c>
      <c r="L279" s="70" t="n">
        <v>474914</v>
      </c>
      <c r="M279" s="72" t="inlineStr">
        <is>
          <t>01</t>
        </is>
      </c>
      <c r="N279" s="72" t="inlineStr">
        <is>
          <t>AVU</t>
        </is>
      </c>
      <c r="P279" s="70" t="n">
        <v>101</v>
      </c>
      <c r="Q279" s="72" t="inlineStr">
        <is>
          <t>KEILA LIMA</t>
        </is>
      </c>
      <c r="R279" s="72" t="inlineStr">
        <is>
          <t>DESPESAS OPERACIONAIS</t>
        </is>
      </c>
      <c r="S279" s="70" t="n">
        <v>4210208</v>
      </c>
      <c r="T279" s="72" t="inlineStr">
        <is>
          <t>MANUTENCAO VEICULOS</t>
        </is>
      </c>
      <c r="U279" s="73" t="n">
        <v>272</v>
      </c>
      <c r="W279" s="73" t="n">
        <v>0</v>
      </c>
      <c r="X279" s="72" t="inlineStr">
        <is>
          <t>KIT TRANSMISSAO E TROCA MOTO DELIVERY MO1 - KEI</t>
        </is>
      </c>
      <c r="Z279" s="59">
        <f>IF($T279="","",IFERROR(INDEX('Resumo Grupos'!$AC$3:$AC$200,MATCH($T279,'Resumo Grupos'!$AB$3:$AB$200,0)),"n/d"))</f>
        <v/>
      </c>
      <c r="AA279" s="59">
        <f>IF($T279="","",IF(COUNTIF('Resumo Grupos'!$AE$3:$AE$40,$T279)&gt;0,"NAO","SIM"))</f>
        <v/>
      </c>
    </row>
    <row r="280" ht="36.75" customHeight="1" s="60">
      <c r="A280" s="70" t="n">
        <v>1</v>
      </c>
      <c r="B280" s="71" t="n">
        <v>46141</v>
      </c>
      <c r="C280" s="71" t="n">
        <v>46183</v>
      </c>
      <c r="D280" s="70" t="n">
        <v>1105</v>
      </c>
      <c r="E280" s="72" t="inlineStr">
        <is>
          <t xml:space="preserve">LEO MOTO PECAS </t>
        </is>
      </c>
      <c r="F280" s="70" t="n">
        <v>46</v>
      </c>
      <c r="G280" s="72" t="inlineStr">
        <is>
          <t>Cartao Sant 1 Velho 9336 venc 10</t>
        </is>
      </c>
      <c r="H280" s="70" t="n">
        <v>2110405</v>
      </c>
      <c r="I280" s="72" t="inlineStr">
        <is>
          <t>CONTAS A PAGAR</t>
        </is>
      </c>
      <c r="J280" s="70" t="n">
        <v>1137821</v>
      </c>
      <c r="L280" s="70" t="n">
        <v>474926</v>
      </c>
      <c r="M280" s="72" t="inlineStr">
        <is>
          <t>01</t>
        </is>
      </c>
      <c r="N280" s="72" t="inlineStr">
        <is>
          <t>AVU</t>
        </is>
      </c>
      <c r="P280" s="70" t="n">
        <v>101</v>
      </c>
      <c r="Q280" s="72" t="inlineStr">
        <is>
          <t>KEILA LIMA</t>
        </is>
      </c>
      <c r="R280" s="72" t="inlineStr">
        <is>
          <t>DESPESAS OPERACIONAIS</t>
        </is>
      </c>
      <c r="S280" s="70" t="n">
        <v>4210208</v>
      </c>
      <c r="T280" s="72" t="inlineStr">
        <is>
          <t>MANUTENCAO VEICULOS</t>
        </is>
      </c>
      <c r="U280" s="73" t="n">
        <v>35</v>
      </c>
      <c r="W280" s="73" t="n">
        <v>0</v>
      </c>
      <c r="X280" s="72" t="inlineStr">
        <is>
          <t>OLEO MOTO MO1 DELIVERY - KEILA</t>
        </is>
      </c>
      <c r="Z280" s="59">
        <f>IF($T280="","",IFERROR(INDEX('Resumo Grupos'!$AC$3:$AC$200,MATCH($T280,'Resumo Grupos'!$AB$3:$AB$200,0)),"n/d"))</f>
        <v/>
      </c>
      <c r="AA280" s="59">
        <f>IF($T280="","",IF(COUNTIF('Resumo Grupos'!$AE$3:$AE$40,$T280)&gt;0,"NAO","SIM"))</f>
        <v/>
      </c>
    </row>
    <row r="281" ht="36.75" customHeight="1" s="60">
      <c r="A281" s="70" t="n">
        <v>1</v>
      </c>
      <c r="B281" s="71" t="n">
        <v>46170</v>
      </c>
      <c r="C281" s="71" t="n">
        <v>46183</v>
      </c>
      <c r="D281" s="70" t="n">
        <v>1078</v>
      </c>
      <c r="E281" s="72" t="inlineStr">
        <is>
          <t>NATUREZA COMERCIO DE DESCARTAVEIS LTDA</t>
        </is>
      </c>
      <c r="F281" s="70" t="n">
        <v>24</v>
      </c>
      <c r="G281" s="72" t="inlineStr">
        <is>
          <t>Compra a Prazo - Boletos</t>
        </is>
      </c>
      <c r="H281" s="70" t="n">
        <v>2110101</v>
      </c>
      <c r="I281" s="72" t="inlineStr">
        <is>
          <t>FORNECEDORES DE MERCADORIA</t>
        </is>
      </c>
      <c r="J281" s="70" t="n">
        <v>1168251</v>
      </c>
      <c r="L281" s="70" t="n">
        <v>27274</v>
      </c>
      <c r="M281" s="72" t="inlineStr">
        <is>
          <t>02</t>
        </is>
      </c>
      <c r="N281" s="72" t="inlineStr">
        <is>
          <t>NFE</t>
        </is>
      </c>
      <c r="P281" s="70" t="n">
        <v>103</v>
      </c>
      <c r="Q281" s="72" t="inlineStr">
        <is>
          <t>MILKA FRANCIS</t>
        </is>
      </c>
      <c r="R281" s="72" t="inlineStr">
        <is>
          <t>ESTOQUE DE MERCADORIAS</t>
        </is>
      </c>
      <c r="S281" s="70" t="n">
        <v>1130101</v>
      </c>
      <c r="T281" s="72" t="inlineStr">
        <is>
          <t>MERCADORIAS P/REVENDA</t>
        </is>
      </c>
      <c r="U281" s="73" t="n">
        <v>105.47</v>
      </c>
      <c r="W281" s="73" t="n">
        <v>0</v>
      </c>
      <c r="X281" s="72" t="inlineStr">
        <is>
          <t>NF 27274-002/003 MILKA</t>
        </is>
      </c>
      <c r="Z281" s="59">
        <f>IF($T281="","",IFERROR(INDEX('Resumo Grupos'!$AC$3:$AC$200,MATCH($T281,'Resumo Grupos'!$AB$3:$AB$200,0)),"n/d"))</f>
        <v/>
      </c>
      <c r="AA281" s="59">
        <f>IF($T281="","",IF(COUNTIF('Resumo Grupos'!$AE$3:$AE$40,$T281)&gt;0,"NAO","SIM"))</f>
        <v/>
      </c>
    </row>
    <row r="282" ht="36.75" customHeight="1" s="60">
      <c r="A282" s="70" t="n">
        <v>1</v>
      </c>
      <c r="B282" s="71" t="n">
        <v>46172</v>
      </c>
      <c r="C282" s="71" t="n">
        <v>46183</v>
      </c>
      <c r="D282" s="70" t="n">
        <v>1778</v>
      </c>
      <c r="E282" s="72" t="inlineStr">
        <is>
          <t xml:space="preserve">MANAUS AMBIENTAL S/A </t>
        </is>
      </c>
      <c r="F282" s="70" t="n">
        <v>24</v>
      </c>
      <c r="G282" s="72" t="inlineStr">
        <is>
          <t>Compra a Prazo - Boletos</t>
        </is>
      </c>
      <c r="H282" s="70" t="n">
        <v>2110405</v>
      </c>
      <c r="I282" s="72" t="inlineStr">
        <is>
          <t>CONTAS A PAGAR</t>
        </is>
      </c>
      <c r="J282" s="70" t="n">
        <v>1176228</v>
      </c>
      <c r="L282" s="70" t="n">
        <v>490011</v>
      </c>
      <c r="M282" s="72" t="inlineStr">
        <is>
          <t>01</t>
        </is>
      </c>
      <c r="N282" s="72" t="inlineStr">
        <is>
          <t>AVU</t>
        </is>
      </c>
      <c r="P282" s="70" t="n">
        <v>101</v>
      </c>
      <c r="Q282" s="72" t="inlineStr">
        <is>
          <t>KEILA LIMA</t>
        </is>
      </c>
      <c r="R282" s="72" t="inlineStr">
        <is>
          <t>DESPESAS OPERACIONAIS</t>
        </is>
      </c>
      <c r="S282" s="70" t="n">
        <v>4210207</v>
      </c>
      <c r="T282" s="72" t="inlineStr">
        <is>
          <t>AGUA</t>
        </is>
      </c>
      <c r="U282" s="73" t="n">
        <v>273.13</v>
      </c>
      <c r="W282" s="73" t="n">
        <v>0</v>
      </c>
      <c r="X282" s="72" t="inlineStr">
        <is>
          <t>AGUA MO1 1244936-6 - KEILA</t>
        </is>
      </c>
      <c r="Z282" s="59">
        <f>IF($T282="","",IFERROR(INDEX('Resumo Grupos'!$AC$3:$AC$200,MATCH($T282,'Resumo Grupos'!$AB$3:$AB$200,0)),"n/d"))</f>
        <v/>
      </c>
      <c r="AA282" s="59">
        <f>IF($T282="","",IF(COUNTIF('Resumo Grupos'!$AE$3:$AE$40,$T282)&gt;0,"NAO","SIM"))</f>
        <v/>
      </c>
    </row>
    <row r="283" ht="36.75" customHeight="1" s="60">
      <c r="A283" s="70" t="n">
        <v>1</v>
      </c>
      <c r="B283" s="71" t="n">
        <v>46172</v>
      </c>
      <c r="C283" s="71" t="n">
        <v>46183</v>
      </c>
      <c r="D283" s="70" t="n">
        <v>901</v>
      </c>
      <c r="E283" s="72" t="inlineStr">
        <is>
          <t>CHERRYS SEMI JOIAS LTDA</t>
        </is>
      </c>
      <c r="F283" s="70" t="n">
        <v>24</v>
      </c>
      <c r="G283" s="72" t="inlineStr">
        <is>
          <t>Compra a Prazo - Boletos</t>
        </is>
      </c>
      <c r="H283" s="70" t="n">
        <v>2110101</v>
      </c>
      <c r="I283" s="72" t="inlineStr">
        <is>
          <t>FORNECEDORES DE MERCADORIA</t>
        </is>
      </c>
      <c r="J283" s="70" t="n">
        <v>1176242</v>
      </c>
      <c r="L283" s="70" t="n">
        <v>438</v>
      </c>
      <c r="M283" s="72" t="inlineStr">
        <is>
          <t>01</t>
        </is>
      </c>
      <c r="N283" s="72" t="inlineStr">
        <is>
          <t>NFE</t>
        </is>
      </c>
      <c r="P283" s="70" t="n">
        <v>103</v>
      </c>
      <c r="Q283" s="72" t="inlineStr">
        <is>
          <t>MILKA FRANCIS</t>
        </is>
      </c>
      <c r="R283" s="72" t="inlineStr">
        <is>
          <t>ESTOQUE DE MERCADORIAS</t>
        </is>
      </c>
      <c r="S283" s="70" t="n">
        <v>1130101</v>
      </c>
      <c r="T283" s="72" t="inlineStr">
        <is>
          <t>MERCADORIAS P/REVENDA</t>
        </is>
      </c>
      <c r="U283" s="73" t="n">
        <v>345</v>
      </c>
      <c r="W283" s="73" t="n">
        <v>0</v>
      </c>
      <c r="X283" s="72" t="inlineStr">
        <is>
          <t>NF 438 - MILKA</t>
        </is>
      </c>
      <c r="Z283" s="59">
        <f>IF($T283="","",IFERROR(INDEX('Resumo Grupos'!$AC$3:$AC$200,MATCH($T283,'Resumo Grupos'!$AB$3:$AB$200,0)),"n/d"))</f>
        <v/>
      </c>
      <c r="AA283" s="59">
        <f>IF($T283="","",IF(COUNTIF('Resumo Grupos'!$AE$3:$AE$40,$T283)&gt;0,"NAO","SIM"))</f>
        <v/>
      </c>
    </row>
    <row r="284" ht="36.75" customHeight="1" s="60">
      <c r="A284" s="70" t="n">
        <v>1</v>
      </c>
      <c r="B284" s="71" t="n">
        <v>46172</v>
      </c>
      <c r="C284" s="71" t="n">
        <v>46183</v>
      </c>
      <c r="D284" s="70" t="n">
        <v>1699</v>
      </c>
      <c r="E284" s="72" t="inlineStr">
        <is>
          <t>L S M COMERCIO DE ALIMENTOS E NAVEGACAO</t>
        </is>
      </c>
      <c r="F284" s="70" t="n">
        <v>24</v>
      </c>
      <c r="G284" s="72" t="inlineStr">
        <is>
          <t>Compra a Prazo - Boletos</t>
        </is>
      </c>
      <c r="H284" s="70" t="n">
        <v>2110101</v>
      </c>
      <c r="I284" s="72" t="inlineStr">
        <is>
          <t>FORNECEDORES DE MERCADORIA</t>
        </is>
      </c>
      <c r="J284" s="70" t="n">
        <v>1176382</v>
      </c>
      <c r="L284" s="70" t="n">
        <v>302701</v>
      </c>
      <c r="M284" s="72" t="inlineStr">
        <is>
          <t>01</t>
        </is>
      </c>
      <c r="N284" s="72" t="inlineStr">
        <is>
          <t>NFE</t>
        </is>
      </c>
      <c r="P284" s="70" t="n">
        <v>103</v>
      </c>
      <c r="Q284" s="72" t="inlineStr">
        <is>
          <t>MILKA FRANCIS</t>
        </is>
      </c>
      <c r="R284" s="72" t="inlineStr">
        <is>
          <t>ESTOQUE DE MERCADORIAS</t>
        </is>
      </c>
      <c r="S284" s="70" t="n">
        <v>1130101</v>
      </c>
      <c r="T284" s="72" t="inlineStr">
        <is>
          <t>MERCADORIAS P/REVENDA</t>
        </is>
      </c>
      <c r="U284" s="73" t="n">
        <v>890</v>
      </c>
      <c r="W284" s="73" t="n">
        <v>0</v>
      </c>
      <c r="X284" s="72" t="inlineStr">
        <is>
          <t>NF 302701 - 1 MILKA</t>
        </is>
      </c>
      <c r="Z284" s="59">
        <f>IF($T284="","",IFERROR(INDEX('Resumo Grupos'!$AC$3:$AC$200,MATCH($T284,'Resumo Grupos'!$AB$3:$AB$200,0)),"n/d"))</f>
        <v/>
      </c>
      <c r="AA284" s="59">
        <f>IF($T284="","",IF(COUNTIF('Resumo Grupos'!$AE$3:$AE$40,$T284)&gt;0,"NAO","SIM"))</f>
        <v/>
      </c>
    </row>
    <row r="285" ht="36.75" customHeight="1" s="60">
      <c r="A285" s="70" t="n">
        <v>1</v>
      </c>
      <c r="B285" s="71" t="n">
        <v>46172</v>
      </c>
      <c r="C285" s="71" t="n">
        <v>46183</v>
      </c>
      <c r="D285" s="70" t="n">
        <v>1613</v>
      </c>
      <c r="E285" s="72" t="inlineStr">
        <is>
          <t>BRF S A</t>
        </is>
      </c>
      <c r="F285" s="70" t="n">
        <v>24</v>
      </c>
      <c r="G285" s="72" t="inlineStr">
        <is>
          <t>Compra a Prazo - Boletos</t>
        </is>
      </c>
      <c r="H285" s="70" t="n">
        <v>2110101</v>
      </c>
      <c r="I285" s="72" t="inlineStr">
        <is>
          <t>FORNECEDORES DE MERCADORIA</t>
        </is>
      </c>
      <c r="J285" s="70" t="n">
        <v>1176490</v>
      </c>
      <c r="L285" s="70" t="n">
        <v>1591358</v>
      </c>
      <c r="M285" s="72" t="inlineStr">
        <is>
          <t>01</t>
        </is>
      </c>
      <c r="N285" s="72" t="inlineStr">
        <is>
          <t>NFE</t>
        </is>
      </c>
      <c r="P285" s="70" t="n">
        <v>103</v>
      </c>
      <c r="Q285" s="72" t="inlineStr">
        <is>
          <t>MILKA FRANCIS</t>
        </is>
      </c>
      <c r="R285" s="72" t="inlineStr">
        <is>
          <t>ESTOQUE DE MERCADORIAS</t>
        </is>
      </c>
      <c r="S285" s="70" t="n">
        <v>1130101</v>
      </c>
      <c r="T285" s="72" t="inlineStr">
        <is>
          <t>MERCADORIAS P/REVENDA</t>
        </is>
      </c>
      <c r="U285" s="73" t="n">
        <v>3011.77</v>
      </c>
      <c r="W285" s="73" t="n">
        <v>0</v>
      </c>
      <c r="X285" s="72" t="inlineStr">
        <is>
          <t>NF1591358-01/02 MILKA</t>
        </is>
      </c>
      <c r="Z285" s="59">
        <f>IF($T285="","",IFERROR(INDEX('Resumo Grupos'!$AC$3:$AC$200,MATCH($T285,'Resumo Grupos'!$AB$3:$AB$200,0)),"n/d"))</f>
        <v/>
      </c>
      <c r="AA285" s="59">
        <f>IF($T285="","",IF(COUNTIF('Resumo Grupos'!$AE$3:$AE$40,$T285)&gt;0,"NAO","SIM"))</f>
        <v/>
      </c>
    </row>
    <row r="286" ht="45.75" customHeight="1" s="60">
      <c r="A286" s="70" t="n">
        <v>1</v>
      </c>
      <c r="B286" s="71" t="n">
        <v>46174</v>
      </c>
      <c r="C286" s="71" t="n">
        <v>46183</v>
      </c>
      <c r="D286" s="70" t="n">
        <v>1882</v>
      </c>
      <c r="E286" s="72" t="inlineStr">
        <is>
          <t>ANTONIO DE PADUA ARAUJO E CIA LTDA</t>
        </is>
      </c>
      <c r="F286" s="70" t="n">
        <v>46</v>
      </c>
      <c r="G286" s="72" t="inlineStr">
        <is>
          <t>Cartao Sant 1 Velho 9336 venc 10</t>
        </is>
      </c>
      <c r="H286" s="70" t="n">
        <v>2110102</v>
      </c>
      <c r="I286" s="72" t="inlineStr">
        <is>
          <t>OUTROS FORNECEDORES</t>
        </is>
      </c>
      <c r="J286" s="70" t="n">
        <v>1187952</v>
      </c>
      <c r="L286" s="70" t="n">
        <v>106513</v>
      </c>
      <c r="M286" s="72" t="inlineStr">
        <is>
          <t>01</t>
        </is>
      </c>
      <c r="N286" s="72" t="inlineStr">
        <is>
          <t>NFE</t>
        </is>
      </c>
      <c r="P286" s="70" t="n">
        <v>103</v>
      </c>
      <c r="Q286" s="72" t="inlineStr">
        <is>
          <t>MILKA FRANCIS</t>
        </is>
      </c>
      <c r="R286" s="72" t="inlineStr">
        <is>
          <t>DESPESAS OPERACIONAIS</t>
        </is>
      </c>
      <c r="S286" s="70" t="n">
        <v>4210204</v>
      </c>
      <c r="T286" s="72" t="inlineStr">
        <is>
          <t>MATERIAL DE CONSUMO</t>
        </is>
      </c>
      <c r="U286" s="73" t="n">
        <v>218.36</v>
      </c>
      <c r="W286" s="73" t="n">
        <v>0</v>
      </c>
      <c r="X286" s="72" t="inlineStr">
        <is>
          <t>NF 106513 DESPESA MO1 - MILKA</t>
        </is>
      </c>
      <c r="Z286" s="59">
        <f>IF($T286="","",IFERROR(INDEX('Resumo Grupos'!$AC$3:$AC$200,MATCH($T286,'Resumo Grupos'!$AB$3:$AB$200,0)),"n/d"))</f>
        <v/>
      </c>
      <c r="AA286" s="59">
        <f>IF($T286="","",IF(COUNTIF('Resumo Grupos'!$AE$3:$AE$40,$T286)&gt;0,"NAO","SIM"))</f>
        <v/>
      </c>
    </row>
    <row r="287" ht="45.75" customHeight="1" s="60">
      <c r="A287" s="70" t="n">
        <v>1</v>
      </c>
      <c r="B287" s="71" t="n">
        <v>46176</v>
      </c>
      <c r="C287" s="71" t="n">
        <v>46183</v>
      </c>
      <c r="D287" s="70" t="n">
        <v>33</v>
      </c>
      <c r="E287" s="72" t="inlineStr">
        <is>
          <t>RENATO DE O AZEVEDO E CIA LTDA - EPP</t>
        </is>
      </c>
      <c r="F287" s="70" t="n">
        <v>24</v>
      </c>
      <c r="G287" s="72" t="inlineStr">
        <is>
          <t>Compra a Prazo - Boletos</t>
        </is>
      </c>
      <c r="H287" s="70" t="n">
        <v>2110101</v>
      </c>
      <c r="I287" s="72" t="inlineStr">
        <is>
          <t>FORNECEDORES DE MERCADORIA</t>
        </is>
      </c>
      <c r="J287" s="70" t="n">
        <v>1198147</v>
      </c>
      <c r="L287" s="70" t="n">
        <v>5077</v>
      </c>
      <c r="M287" s="72" t="inlineStr">
        <is>
          <t>01</t>
        </is>
      </c>
      <c r="N287" s="72" t="inlineStr">
        <is>
          <t>NFE</t>
        </is>
      </c>
      <c r="P287" s="70" t="n">
        <v>103</v>
      </c>
      <c r="Q287" s="72" t="inlineStr">
        <is>
          <t>MILKA FRANCIS</t>
        </is>
      </c>
      <c r="R287" s="72" t="inlineStr">
        <is>
          <t>ESTOQUE DE MERCADORIAS</t>
        </is>
      </c>
      <c r="S287" s="70" t="n">
        <v>1130101</v>
      </c>
      <c r="T287" s="72" t="inlineStr">
        <is>
          <t>MERCADORIAS P/REVENDA</t>
        </is>
      </c>
      <c r="U287" s="73" t="n">
        <v>290</v>
      </c>
      <c r="W287" s="73" t="n">
        <v>0</v>
      </c>
      <c r="X287" s="72" t="inlineStr">
        <is>
          <t>NF177906 VISCERA DE BOI - MILKA</t>
        </is>
      </c>
      <c r="Z287" s="59">
        <f>IF($T287="","",IFERROR(INDEX('Resumo Grupos'!$AC$3:$AC$200,MATCH($T287,'Resumo Grupos'!$AB$3:$AB$200,0)),"n/d"))</f>
        <v/>
      </c>
      <c r="AA287" s="59">
        <f>IF($T287="","",IF(COUNTIF('Resumo Grupos'!$AE$3:$AE$40,$T287)&gt;0,"NAO","SIM"))</f>
        <v/>
      </c>
    </row>
    <row r="288" ht="45.75" customHeight="1" s="60">
      <c r="A288" s="70" t="n">
        <v>1</v>
      </c>
      <c r="B288" s="71" t="n">
        <v>46178</v>
      </c>
      <c r="C288" s="71" t="n">
        <v>46183</v>
      </c>
      <c r="D288" s="70" t="n">
        <v>33</v>
      </c>
      <c r="E288" s="72" t="inlineStr">
        <is>
          <t>RENATO DE O AZEVEDO E CIA LTDA - EPP</t>
        </is>
      </c>
      <c r="F288" s="70" t="n">
        <v>34</v>
      </c>
      <c r="G288" s="72" t="inlineStr">
        <is>
          <t>Transferencia Pix</t>
        </is>
      </c>
      <c r="H288" s="70" t="n">
        <v>2110101</v>
      </c>
      <c r="I288" s="72" t="inlineStr">
        <is>
          <t>FORNECEDORES DE MERCADORIA</t>
        </is>
      </c>
      <c r="J288" s="70" t="n">
        <v>1207551</v>
      </c>
      <c r="L288" s="70" t="n">
        <v>5080</v>
      </c>
      <c r="M288" s="72" t="inlineStr">
        <is>
          <t>01</t>
        </is>
      </c>
      <c r="N288" s="72" t="inlineStr">
        <is>
          <t>NFE</t>
        </is>
      </c>
      <c r="P288" s="70" t="n">
        <v>103</v>
      </c>
      <c r="Q288" s="72" t="inlineStr">
        <is>
          <t>MILKA FRANCIS</t>
        </is>
      </c>
      <c r="R288" s="72" t="inlineStr">
        <is>
          <t>ESTOQUE DE MERCADORIAS</t>
        </is>
      </c>
      <c r="S288" s="70" t="n">
        <v>1130101</v>
      </c>
      <c r="T288" s="72" t="inlineStr">
        <is>
          <t>MERCADORIAS P/REVENDA</t>
        </is>
      </c>
      <c r="U288" s="73" t="n">
        <v>1100</v>
      </c>
      <c r="W288" s="73" t="n">
        <v>0</v>
      </c>
      <c r="X288" s="72" t="inlineStr">
        <is>
          <t>NF 3062026 PGTO JOSE CLAUDIO - MILKA</t>
        </is>
      </c>
      <c r="Z288" s="59">
        <f>IF($T288="","",IFERROR(INDEX('Resumo Grupos'!$AC$3:$AC$200,MATCH($T288,'Resumo Grupos'!$AB$3:$AB$200,0)),"n/d"))</f>
        <v/>
      </c>
      <c r="AA288" s="59">
        <f>IF($T288="","",IF(COUNTIF('Resumo Grupos'!$AE$3:$AE$40,$T288)&gt;0,"NAO","SIM"))</f>
        <v/>
      </c>
    </row>
    <row r="289" ht="45.75" customHeight="1" s="60">
      <c r="A289" s="70" t="n">
        <v>1</v>
      </c>
      <c r="B289" s="71" t="n">
        <v>46178</v>
      </c>
      <c r="C289" s="71" t="n">
        <v>46183</v>
      </c>
      <c r="D289" s="70" t="n">
        <v>754</v>
      </c>
      <c r="E289" s="72" t="inlineStr">
        <is>
          <t>SILVA E SANTOS FRIGORIFICO LTDA</t>
        </is>
      </c>
      <c r="F289" s="70" t="n">
        <v>24</v>
      </c>
      <c r="G289" s="72" t="inlineStr">
        <is>
          <t>Compra a Prazo - Boletos</t>
        </is>
      </c>
      <c r="H289" s="70" t="n">
        <v>2110101</v>
      </c>
      <c r="I289" s="72" t="inlineStr">
        <is>
          <t>FORNECEDORES DE MERCADORIA</t>
        </is>
      </c>
      <c r="J289" s="70" t="n">
        <v>1207832</v>
      </c>
      <c r="L289" s="70" t="n">
        <v>30865</v>
      </c>
      <c r="M289" s="72" t="inlineStr">
        <is>
          <t>01</t>
        </is>
      </c>
      <c r="N289" s="72" t="inlineStr">
        <is>
          <t>NFE</t>
        </is>
      </c>
      <c r="P289" s="70" t="n">
        <v>103</v>
      </c>
      <c r="Q289" s="72" t="inlineStr">
        <is>
          <t>MILKA FRANCIS</t>
        </is>
      </c>
      <c r="R289" s="72" t="inlineStr">
        <is>
          <t>ESTOQUE DE MERCADORIAS</t>
        </is>
      </c>
      <c r="S289" s="70" t="n">
        <v>1130101</v>
      </c>
      <c r="T289" s="72" t="inlineStr">
        <is>
          <t>MERCADORIAS P/REVENDA</t>
        </is>
      </c>
      <c r="U289" s="73" t="n">
        <v>3547.5</v>
      </c>
      <c r="W289" s="73" t="n">
        <v>0</v>
      </c>
      <c r="X289" s="72" t="inlineStr">
        <is>
          <t>NF 30865 - MILKA</t>
        </is>
      </c>
      <c r="Z289" s="59">
        <f>IF($T289="","",IFERROR(INDEX('Resumo Grupos'!$AC$3:$AC$200,MATCH($T289,'Resumo Grupos'!$AB$3:$AB$200,0)),"n/d"))</f>
        <v/>
      </c>
      <c r="AA289" s="59">
        <f>IF($T289="","",IF(COUNTIF('Resumo Grupos'!$AE$3:$AE$40,$T289)&gt;0,"NAO","SIM"))</f>
        <v/>
      </c>
    </row>
    <row r="290" ht="36.75" customHeight="1" s="60">
      <c r="A290" s="70" t="n">
        <v>1</v>
      </c>
      <c r="B290" s="71" t="n">
        <v>46179</v>
      </c>
      <c r="C290" s="71" t="n">
        <v>46183</v>
      </c>
      <c r="D290" s="70" t="n">
        <v>581</v>
      </c>
      <c r="E290" s="72" t="inlineStr">
        <is>
          <t>LIMA E BARANDA COMERCIO DE PRODUTOS REGI</t>
        </is>
      </c>
      <c r="F290" s="70" t="n">
        <v>24</v>
      </c>
      <c r="G290" s="72" t="inlineStr">
        <is>
          <t>Compra a Prazo - Boletos</t>
        </is>
      </c>
      <c r="H290" s="70" t="n">
        <v>2110101</v>
      </c>
      <c r="I290" s="72" t="inlineStr">
        <is>
          <t>FORNECEDORES DE MERCADORIA</t>
        </is>
      </c>
      <c r="J290" s="70" t="n">
        <v>1210916</v>
      </c>
      <c r="L290" s="70" t="n">
        <v>30796</v>
      </c>
      <c r="M290" s="72" t="inlineStr">
        <is>
          <t>01</t>
        </is>
      </c>
      <c r="N290" s="72" t="inlineStr">
        <is>
          <t>NFE</t>
        </is>
      </c>
      <c r="P290" s="70" t="n">
        <v>103</v>
      </c>
      <c r="Q290" s="72" t="inlineStr">
        <is>
          <t>MILKA FRANCIS</t>
        </is>
      </c>
      <c r="R290" s="72" t="inlineStr">
        <is>
          <t>ESTOQUE DE MERCADORIAS</t>
        </is>
      </c>
      <c r="S290" s="70" t="n">
        <v>1130101</v>
      </c>
      <c r="T290" s="72" t="inlineStr">
        <is>
          <t>MERCADORIAS P/REVENDA</t>
        </is>
      </c>
      <c r="U290" s="73" t="n">
        <v>233.5</v>
      </c>
      <c r="W290" s="73" t="n">
        <v>0</v>
      </c>
      <c r="X290" s="72" t="inlineStr">
        <is>
          <t>NF 30796 - MILKA</t>
        </is>
      </c>
      <c r="Z290" s="59">
        <f>IF($T290="","",IFERROR(INDEX('Resumo Grupos'!$AC$3:$AC$200,MATCH($T290,'Resumo Grupos'!$AB$3:$AB$200,0)),"n/d"))</f>
        <v/>
      </c>
      <c r="AA290" s="59">
        <f>IF($T290="","",IF(COUNTIF('Resumo Grupos'!$AE$3:$AE$40,$T290)&gt;0,"NAO","SIM"))</f>
        <v/>
      </c>
    </row>
    <row r="291" ht="36.75" customHeight="1" s="60">
      <c r="A291" s="70" t="n">
        <v>1</v>
      </c>
      <c r="B291" s="71" t="n">
        <v>46182</v>
      </c>
      <c r="C291" s="71" t="n">
        <v>46183</v>
      </c>
      <c r="D291" s="70" t="n">
        <v>33</v>
      </c>
      <c r="E291" s="72" t="inlineStr">
        <is>
          <t>RENATO DE O AZEVEDO E CIA LTDA - EPP</t>
        </is>
      </c>
      <c r="F291" s="70" t="n">
        <v>34</v>
      </c>
      <c r="G291" s="72" t="inlineStr">
        <is>
          <t>Transferencia Pix</t>
        </is>
      </c>
      <c r="H291" s="70" t="n">
        <v>2110101</v>
      </c>
      <c r="I291" s="72" t="inlineStr">
        <is>
          <t>FORNECEDORES DE MERCADORIA</t>
        </is>
      </c>
      <c r="J291" s="70" t="n">
        <v>1227584</v>
      </c>
      <c r="L291" s="70" t="n">
        <v>5110</v>
      </c>
      <c r="M291" s="72" t="inlineStr">
        <is>
          <t>01</t>
        </is>
      </c>
      <c r="N291" s="72" t="inlineStr">
        <is>
          <t>NFE</t>
        </is>
      </c>
      <c r="P291" s="70" t="n">
        <v>104</v>
      </c>
      <c r="Q291" s="72" t="inlineStr">
        <is>
          <t>DEBORA COSTA</t>
        </is>
      </c>
      <c r="R291" s="72" t="inlineStr">
        <is>
          <t>ESTOQUE DE MERCADORIAS</t>
        </is>
      </c>
      <c r="S291" s="70" t="n">
        <v>1130101</v>
      </c>
      <c r="T291" s="72" t="inlineStr">
        <is>
          <t>MERCADORIAS P/REVENDA</t>
        </is>
      </c>
      <c r="U291" s="73" t="n">
        <v>2130</v>
      </c>
      <c r="W291" s="73" t="n">
        <v>0</v>
      </c>
      <c r="X291" s="72" t="inlineStr">
        <is>
          <t>FEIRA CARLOS - DEBORA</t>
        </is>
      </c>
      <c r="Z291" s="59">
        <f>IF($T291="","",IFERROR(INDEX('Resumo Grupos'!$AC$3:$AC$200,MATCH($T291,'Resumo Grupos'!$AB$3:$AB$200,0)),"n/d"))</f>
        <v/>
      </c>
      <c r="AA291" s="59">
        <f>IF($T291="","",IF(COUNTIF('Resumo Grupos'!$AE$3:$AE$40,$T291)&gt;0,"NAO","SIM"))</f>
        <v/>
      </c>
    </row>
    <row r="292" ht="54.75" customHeight="1" s="60">
      <c r="A292" s="70" t="n">
        <v>1</v>
      </c>
      <c r="B292" s="71" t="n">
        <v>46182</v>
      </c>
      <c r="C292" s="71" t="n">
        <v>46183</v>
      </c>
      <c r="D292" s="70" t="n">
        <v>1615</v>
      </c>
      <c r="E292" s="72" t="inlineStr">
        <is>
          <t>COMERCIO E TRANSPORTE BRANDAO LTDA</t>
        </is>
      </c>
      <c r="F292" s="70" t="n">
        <v>34</v>
      </c>
      <c r="G292" s="72" t="inlineStr">
        <is>
          <t>Transferencia Pix</t>
        </is>
      </c>
      <c r="H292" s="70" t="n">
        <v>2110101</v>
      </c>
      <c r="I292" s="72" t="inlineStr">
        <is>
          <t>FORNECEDORES DE MERCADORIA</t>
        </is>
      </c>
      <c r="J292" s="70" t="n">
        <v>1227699</v>
      </c>
      <c r="L292" s="70" t="n">
        <v>14649</v>
      </c>
      <c r="M292" s="72" t="inlineStr">
        <is>
          <t>01</t>
        </is>
      </c>
      <c r="N292" s="72" t="inlineStr">
        <is>
          <t>NFE</t>
        </is>
      </c>
      <c r="P292" s="70" t="n">
        <v>104</v>
      </c>
      <c r="Q292" s="72" t="inlineStr">
        <is>
          <t>DEBORA COSTA</t>
        </is>
      </c>
      <c r="R292" s="72" t="inlineStr">
        <is>
          <t>ESTOQUE DE MERCADORIAS</t>
        </is>
      </c>
      <c r="S292" s="70" t="n">
        <v>1130101</v>
      </c>
      <c r="T292" s="72" t="inlineStr">
        <is>
          <t>MERCADORIAS P/REVENDA</t>
        </is>
      </c>
      <c r="U292" s="73" t="n">
        <v>760</v>
      </c>
      <c r="W292" s="73" t="n">
        <v>0</v>
      </c>
      <c r="X292" s="72" t="inlineStr">
        <is>
          <t>NF 14649 - DEBORA</t>
        </is>
      </c>
      <c r="Z292" s="59">
        <f>IF($T292="","",IFERROR(INDEX('Resumo Grupos'!$AC$3:$AC$200,MATCH($T292,'Resumo Grupos'!$AB$3:$AB$200,0)),"n/d"))</f>
        <v/>
      </c>
      <c r="AA292" s="59">
        <f>IF($T292="","",IF(COUNTIF('Resumo Grupos'!$AE$3:$AE$40,$T292)&gt;0,"NAO","SIM"))</f>
        <v/>
      </c>
    </row>
    <row r="293" ht="36.75" customHeight="1" s="60">
      <c r="A293" s="70" t="n">
        <v>1</v>
      </c>
      <c r="B293" s="71" t="n">
        <v>46153</v>
      </c>
      <c r="C293" s="71" t="n">
        <v>46183</v>
      </c>
      <c r="D293" s="70" t="n">
        <v>1898</v>
      </c>
      <c r="E293" s="72" t="inlineStr">
        <is>
          <t>BF COMERCIO DE EQUIP. E SUP DE INFO LTDA</t>
        </is>
      </c>
      <c r="F293" s="70" t="n">
        <v>46</v>
      </c>
      <c r="G293" s="72" t="inlineStr">
        <is>
          <t>Cartao Sant 1 Velho 9336 venc 10</t>
        </is>
      </c>
      <c r="H293" s="70" t="n">
        <v>2110405</v>
      </c>
      <c r="I293" s="72" t="inlineStr">
        <is>
          <t>CONTAS A PAGAR</t>
        </is>
      </c>
      <c r="J293" s="70" t="n">
        <v>1230688</v>
      </c>
      <c r="L293" s="70" t="n">
        <v>5484</v>
      </c>
      <c r="M293" s="72" t="inlineStr">
        <is>
          <t>01</t>
        </is>
      </c>
      <c r="N293" s="72" t="inlineStr">
        <is>
          <t>AVU</t>
        </is>
      </c>
      <c r="P293" s="70" t="n">
        <v>101</v>
      </c>
      <c r="Q293" s="72" t="inlineStr">
        <is>
          <t>KEILA LIMA</t>
        </is>
      </c>
      <c r="R293" s="72" t="inlineStr">
        <is>
          <t>DESPESAS OPERACIONAIS</t>
        </is>
      </c>
      <c r="S293" s="70" t="n">
        <v>4210205</v>
      </c>
      <c r="T293" s="72" t="inlineStr">
        <is>
          <t>MATERIAL DE ESCRITORIO</t>
        </is>
      </c>
      <c r="U293" s="73" t="n">
        <v>120.13</v>
      </c>
      <c r="W293" s="73" t="n">
        <v>0</v>
      </c>
      <c r="X293" s="72" t="inlineStr">
        <is>
          <t>NF 5484 PARC 01/04 TONNER ESCR - KEILA</t>
        </is>
      </c>
      <c r="Z293" s="59">
        <f>IF($T293="","",IFERROR(INDEX('Resumo Grupos'!$AC$3:$AC$200,MATCH($T293,'Resumo Grupos'!$AB$3:$AB$200,0)),"n/d"))</f>
        <v/>
      </c>
      <c r="AA293" s="59">
        <f>IF($T293="","",IF(COUNTIF('Resumo Grupos'!$AE$3:$AE$40,$T293)&gt;0,"NAO","SIM"))</f>
        <v/>
      </c>
    </row>
    <row r="294" ht="36.75" customHeight="1" s="60">
      <c r="A294" s="70" t="n">
        <v>1</v>
      </c>
      <c r="B294" s="71" t="n">
        <v>46146</v>
      </c>
      <c r="C294" s="71" t="n">
        <v>46183</v>
      </c>
      <c r="D294" s="70" t="n">
        <v>1331</v>
      </c>
      <c r="E294" s="72" t="inlineStr">
        <is>
          <t>POSTO TIRADENTES</t>
        </is>
      </c>
      <c r="F294" s="70" t="n">
        <v>46</v>
      </c>
      <c r="G294" s="72" t="inlineStr">
        <is>
          <t>Cartao Sant 1 Velho 9336 venc 10</t>
        </is>
      </c>
      <c r="H294" s="70" t="n">
        <v>2110405</v>
      </c>
      <c r="I294" s="72" t="inlineStr">
        <is>
          <t>CONTAS A PAGAR</t>
        </is>
      </c>
      <c r="J294" s="70" t="n">
        <v>1230775</v>
      </c>
      <c r="L294" s="70" t="n">
        <v>511484</v>
      </c>
      <c r="M294" s="72" t="inlineStr">
        <is>
          <t>01</t>
        </is>
      </c>
      <c r="N294" s="72" t="inlineStr">
        <is>
          <t>AVU</t>
        </is>
      </c>
      <c r="P294" s="70" t="n">
        <v>101</v>
      </c>
      <c r="Q294" s="72" t="inlineStr">
        <is>
          <t>KEILA LIMA</t>
        </is>
      </c>
      <c r="R294" s="72" t="inlineStr">
        <is>
          <t>DESPESAS OPERACIONAIS</t>
        </is>
      </c>
      <c r="S294" s="70" t="n">
        <v>4210209</v>
      </c>
      <c r="T294" s="72" t="inlineStr">
        <is>
          <t>COMBUSTIVEIS</t>
        </is>
      </c>
      <c r="U294" s="73" t="n">
        <v>90.17</v>
      </c>
      <c r="W294" s="73" t="n">
        <v>0</v>
      </c>
      <c r="X294" s="72" t="inlineStr">
        <is>
          <t>GASOLINA MOTO MO1 DELIIVERY - KEILA</t>
        </is>
      </c>
      <c r="Z294" s="59">
        <f>IF($T294="","",IFERROR(INDEX('Resumo Grupos'!$AC$3:$AC$200,MATCH($T294,'Resumo Grupos'!$AB$3:$AB$200,0)),"n/d"))</f>
        <v/>
      </c>
      <c r="AA294" s="59">
        <f>IF($T294="","",IF(COUNTIF('Resumo Grupos'!$AE$3:$AE$40,$T294)&gt;0,"NAO","SIM"))</f>
        <v/>
      </c>
    </row>
    <row r="295" ht="36.75" customHeight="1" s="60">
      <c r="A295" s="70" t="n">
        <v>1</v>
      </c>
      <c r="B295" s="71" t="n">
        <v>46148</v>
      </c>
      <c r="C295" s="71" t="n">
        <v>46183</v>
      </c>
      <c r="D295" s="70" t="n">
        <v>1009</v>
      </c>
      <c r="E295" s="72" t="inlineStr">
        <is>
          <t>ROLAPECAS COMERCIO E REPRESENTACOES LTDA</t>
        </is>
      </c>
      <c r="F295" s="70" t="n">
        <v>46</v>
      </c>
      <c r="G295" s="72" t="inlineStr">
        <is>
          <t>Cartao Sant 1 Velho 9336 venc 10</t>
        </is>
      </c>
      <c r="H295" s="70" t="n">
        <v>2110405</v>
      </c>
      <c r="I295" s="72" t="inlineStr">
        <is>
          <t>CONTAS A PAGAR</t>
        </is>
      </c>
      <c r="J295" s="70" t="n">
        <v>1230780</v>
      </c>
      <c r="L295" s="70" t="n">
        <v>511489</v>
      </c>
      <c r="M295" s="72" t="inlineStr">
        <is>
          <t>01</t>
        </is>
      </c>
      <c r="N295" s="72" t="inlineStr">
        <is>
          <t>AVU</t>
        </is>
      </c>
      <c r="P295" s="70" t="n">
        <v>101</v>
      </c>
      <c r="Q295" s="72" t="inlineStr">
        <is>
          <t>KEILA LIMA</t>
        </is>
      </c>
      <c r="R295" s="72" t="inlineStr">
        <is>
          <t>DESPESAS OPERACIONAIS</t>
        </is>
      </c>
      <c r="S295" s="70" t="n">
        <v>4210208</v>
      </c>
      <c r="T295" s="72" t="inlineStr">
        <is>
          <t>MANUTENCAO VEICULOS</t>
        </is>
      </c>
      <c r="U295" s="73" t="n">
        <v>209.63</v>
      </c>
      <c r="W295" s="73" t="n">
        <v>0</v>
      </c>
      <c r="X295" s="72" t="inlineStr">
        <is>
          <t>MANUTENCAO MOTO MO1 DELIIVERY - KEILA</t>
        </is>
      </c>
      <c r="Z295" s="59">
        <f>IF($T295="","",IFERROR(INDEX('Resumo Grupos'!$AC$3:$AC$200,MATCH($T295,'Resumo Grupos'!$AB$3:$AB$200,0)),"n/d"))</f>
        <v/>
      </c>
      <c r="AA295" s="59">
        <f>IF($T295="","",IF(COUNTIF('Resumo Grupos'!$AE$3:$AE$40,$T295)&gt;0,"NAO","SIM"))</f>
        <v/>
      </c>
    </row>
    <row r="296" ht="36.75" customHeight="1" s="60">
      <c r="A296" s="70" t="n">
        <v>1</v>
      </c>
      <c r="B296" s="71" t="n">
        <v>46152</v>
      </c>
      <c r="C296" s="71" t="n">
        <v>46183</v>
      </c>
      <c r="D296" s="70" t="n">
        <v>1331</v>
      </c>
      <c r="E296" s="72" t="inlineStr">
        <is>
          <t>POSTO TIRADENTES</t>
        </is>
      </c>
      <c r="F296" s="70" t="n">
        <v>46</v>
      </c>
      <c r="G296" s="72" t="inlineStr">
        <is>
          <t>Cartao Sant 1 Velho 9336 venc 10</t>
        </is>
      </c>
      <c r="H296" s="70" t="n">
        <v>2110405</v>
      </c>
      <c r="I296" s="72" t="inlineStr">
        <is>
          <t>CONTAS A PAGAR</t>
        </is>
      </c>
      <c r="J296" s="70" t="n">
        <v>1230786</v>
      </c>
      <c r="L296" s="70" t="n">
        <v>511491</v>
      </c>
      <c r="M296" s="72" t="inlineStr">
        <is>
          <t>01</t>
        </is>
      </c>
      <c r="N296" s="72" t="inlineStr">
        <is>
          <t>AVU</t>
        </is>
      </c>
      <c r="P296" s="70" t="n">
        <v>101</v>
      </c>
      <c r="Q296" s="72" t="inlineStr">
        <is>
          <t>KEILA LIMA</t>
        </is>
      </c>
      <c r="R296" s="72" t="inlineStr">
        <is>
          <t>DESPESAS OPERACIONAIS</t>
        </is>
      </c>
      <c r="S296" s="70" t="n">
        <v>4210209</v>
      </c>
      <c r="T296" s="72" t="inlineStr">
        <is>
          <t>COMBUSTIVEIS</t>
        </is>
      </c>
      <c r="U296" s="73" t="n">
        <v>79.20999999999999</v>
      </c>
      <c r="W296" s="73" t="n">
        <v>0</v>
      </c>
      <c r="X296" s="72" t="inlineStr">
        <is>
          <t>GASOLINA MOTO MO1 DELIIVERY - KEILA</t>
        </is>
      </c>
      <c r="Z296" s="59">
        <f>IF($T296="","",IFERROR(INDEX('Resumo Grupos'!$AC$3:$AC$200,MATCH($T296,'Resumo Grupos'!$AB$3:$AB$200,0)),"n/d"))</f>
        <v/>
      </c>
      <c r="AA296" s="59">
        <f>IF($T296="","",IF(COUNTIF('Resumo Grupos'!$AE$3:$AE$40,$T296)&gt;0,"NAO","SIM"))</f>
        <v/>
      </c>
    </row>
    <row r="297" ht="36.75" customHeight="1" s="60">
      <c r="A297" s="70" t="n">
        <v>1</v>
      </c>
      <c r="B297" s="71" t="n">
        <v>46160</v>
      </c>
      <c r="C297" s="71" t="n">
        <v>46183</v>
      </c>
      <c r="D297" s="70" t="n">
        <v>1331</v>
      </c>
      <c r="E297" s="72" t="inlineStr">
        <is>
          <t>POSTO TIRADENTES</t>
        </is>
      </c>
      <c r="F297" s="70" t="n">
        <v>46</v>
      </c>
      <c r="G297" s="72" t="inlineStr">
        <is>
          <t>Cartao Sant 1 Velho 9336 venc 10</t>
        </is>
      </c>
      <c r="H297" s="70" t="n">
        <v>2110405</v>
      </c>
      <c r="I297" s="72" t="inlineStr">
        <is>
          <t>CONTAS A PAGAR</t>
        </is>
      </c>
      <c r="J297" s="70" t="n">
        <v>1230787</v>
      </c>
      <c r="L297" s="70" t="n">
        <v>511492</v>
      </c>
      <c r="M297" s="72" t="inlineStr">
        <is>
          <t>01</t>
        </is>
      </c>
      <c r="N297" s="72" t="inlineStr">
        <is>
          <t>AVU</t>
        </is>
      </c>
      <c r="P297" s="70" t="n">
        <v>101</v>
      </c>
      <c r="Q297" s="72" t="inlineStr">
        <is>
          <t>KEILA LIMA</t>
        </is>
      </c>
      <c r="R297" s="72" t="inlineStr">
        <is>
          <t>DESPESAS OPERACIONAIS</t>
        </is>
      </c>
      <c r="S297" s="70" t="n">
        <v>4210209</v>
      </c>
      <c r="T297" s="72" t="inlineStr">
        <is>
          <t>COMBUSTIVEIS</t>
        </is>
      </c>
      <c r="U297" s="73" t="n">
        <v>65.92</v>
      </c>
      <c r="W297" s="73" t="n">
        <v>0</v>
      </c>
      <c r="X297" s="72" t="inlineStr">
        <is>
          <t>GASOLINA MOTO MO1 DELIIVERY - KEILA</t>
        </is>
      </c>
      <c r="Z297" s="59">
        <f>IF($T297="","",IFERROR(INDEX('Resumo Grupos'!$AC$3:$AC$200,MATCH($T297,'Resumo Grupos'!$AB$3:$AB$200,0)),"n/d"))</f>
        <v/>
      </c>
      <c r="AA297" s="59">
        <f>IF($T297="","",IF(COUNTIF('Resumo Grupos'!$AE$3:$AE$40,$T297)&gt;0,"NAO","SIM"))</f>
        <v/>
      </c>
    </row>
    <row r="298" ht="36.75" customHeight="1" s="60">
      <c r="A298" s="70" t="n">
        <v>1</v>
      </c>
      <c r="B298" s="71" t="n">
        <v>46164</v>
      </c>
      <c r="C298" s="71" t="n">
        <v>46183</v>
      </c>
      <c r="D298" s="70" t="n">
        <v>1006</v>
      </c>
      <c r="E298" s="72" t="inlineStr">
        <is>
          <t xml:space="preserve">MERCADINHO LELIENE </t>
        </is>
      </c>
      <c r="F298" s="70" t="n">
        <v>46</v>
      </c>
      <c r="G298" s="72" t="inlineStr">
        <is>
          <t>Cartao Sant 1 Velho 9336 venc 10</t>
        </is>
      </c>
      <c r="H298" s="70" t="n">
        <v>2110405</v>
      </c>
      <c r="I298" s="72" t="inlineStr">
        <is>
          <t>CONTAS A PAGAR</t>
        </is>
      </c>
      <c r="J298" s="70" t="n">
        <v>1230794</v>
      </c>
      <c r="L298" s="70" t="n">
        <v>511493</v>
      </c>
      <c r="M298" s="72" t="inlineStr">
        <is>
          <t>01</t>
        </is>
      </c>
      <c r="N298" s="72" t="inlineStr">
        <is>
          <t>AVU</t>
        </is>
      </c>
      <c r="P298" s="70" t="n">
        <v>101</v>
      </c>
      <c r="Q298" s="72" t="inlineStr">
        <is>
          <t>KEILA LIMA</t>
        </is>
      </c>
      <c r="R298" s="72" t="inlineStr">
        <is>
          <t>DESPESAS OPERACIONAIS</t>
        </is>
      </c>
      <c r="S298" s="70" t="n">
        <v>4210227</v>
      </c>
      <c r="T298" s="72" t="inlineStr">
        <is>
          <t>DESPESAS LOJA</t>
        </is>
      </c>
      <c r="U298" s="73" t="n">
        <v>9</v>
      </c>
      <c r="W298" s="73" t="n">
        <v>0</v>
      </c>
      <c r="X298" s="72" t="inlineStr">
        <is>
          <t xml:space="preserve">DESPESA MO1 LOJA </t>
        </is>
      </c>
      <c r="Z298" s="59">
        <f>IF($T298="","",IFERROR(INDEX('Resumo Grupos'!$AC$3:$AC$200,MATCH($T298,'Resumo Grupos'!$AB$3:$AB$200,0)),"n/d"))</f>
        <v/>
      </c>
      <c r="AA298" s="59">
        <f>IF($T298="","",IF(COUNTIF('Resumo Grupos'!$AE$3:$AE$40,$T298)&gt;0,"NAO","SIM"))</f>
        <v/>
      </c>
    </row>
    <row r="299" ht="45.75" customHeight="1" s="60">
      <c r="A299" s="70" t="n">
        <v>1</v>
      </c>
      <c r="B299" s="71" t="n">
        <v>46183</v>
      </c>
      <c r="C299" s="71" t="n">
        <v>46183</v>
      </c>
      <c r="D299" s="70" t="n">
        <v>33</v>
      </c>
      <c r="E299" s="72" t="inlineStr">
        <is>
          <t>RENATO DE O AZEVEDO E CIA LTDA - EPP</t>
        </is>
      </c>
      <c r="F299" s="70" t="n">
        <v>13</v>
      </c>
      <c r="G299" s="72" t="inlineStr">
        <is>
          <t>Compra a Vista</t>
        </is>
      </c>
      <c r="H299" s="70" t="n">
        <v>2110101</v>
      </c>
      <c r="I299" s="72" t="inlineStr">
        <is>
          <t>FORNECEDORES DE MERCADORIA</t>
        </is>
      </c>
      <c r="J299" s="70" t="n">
        <v>1232087</v>
      </c>
      <c r="L299" s="70" t="n">
        <v>5112</v>
      </c>
      <c r="M299" s="72" t="inlineStr">
        <is>
          <t>01</t>
        </is>
      </c>
      <c r="N299" s="72" t="inlineStr">
        <is>
          <t>NFE</t>
        </is>
      </c>
      <c r="P299" s="70" t="n">
        <v>104</v>
      </c>
      <c r="Q299" s="72" t="inlineStr">
        <is>
          <t>DEBORA COSTA</t>
        </is>
      </c>
      <c r="R299" s="72" t="inlineStr">
        <is>
          <t>ESTOQUE DE MERCADORIAS</t>
        </is>
      </c>
      <c r="S299" s="70" t="n">
        <v>1130101</v>
      </c>
      <c r="T299" s="72" t="inlineStr">
        <is>
          <t>MERCADORIAS P/REVENDA</t>
        </is>
      </c>
      <c r="U299" s="73" t="n">
        <v>279</v>
      </c>
      <c r="W299" s="73" t="n">
        <v>279</v>
      </c>
      <c r="X299" s="72" t="inlineStr">
        <is>
          <t>15,500 KG DE PITAYA - DEBORA</t>
        </is>
      </c>
      <c r="Z299" s="59">
        <f>IF($T299="","",IFERROR(INDEX('Resumo Grupos'!$AC$3:$AC$200,MATCH($T299,'Resumo Grupos'!$AB$3:$AB$200,0)),"n/d"))</f>
        <v/>
      </c>
      <c r="AA299" s="59">
        <f>IF($T299="","",IF(COUNTIF('Resumo Grupos'!$AE$3:$AE$40,$T299)&gt;0,"NAO","SIM"))</f>
        <v/>
      </c>
    </row>
    <row r="300" ht="45.75" customHeight="1" s="60">
      <c r="A300" s="70" t="n">
        <v>1</v>
      </c>
      <c r="B300" s="71" t="n">
        <v>46183</v>
      </c>
      <c r="C300" s="71" t="n">
        <v>46183</v>
      </c>
      <c r="D300" s="70" t="n">
        <v>515</v>
      </c>
      <c r="E300" s="72" t="inlineStr">
        <is>
          <t>ITAU SA</t>
        </is>
      </c>
      <c r="F300" s="70" t="n">
        <v>34</v>
      </c>
      <c r="G300" s="72" t="inlineStr">
        <is>
          <t>Transferencia Pix</t>
        </is>
      </c>
      <c r="H300" s="70" t="n">
        <v>2110405</v>
      </c>
      <c r="I300" s="72" t="inlineStr">
        <is>
          <t>CONTAS A PAGAR</t>
        </is>
      </c>
      <c r="J300" s="70" t="n">
        <v>1233023</v>
      </c>
      <c r="L300" s="70" t="n">
        <v>512253</v>
      </c>
      <c r="M300" s="72" t="inlineStr">
        <is>
          <t>01</t>
        </is>
      </c>
      <c r="N300" s="72" t="inlineStr">
        <is>
          <t>AVU</t>
        </is>
      </c>
      <c r="P300" s="70" t="n">
        <v>101</v>
      </c>
      <c r="Q300" s="72" t="inlineStr">
        <is>
          <t>KEILA LIMA</t>
        </is>
      </c>
      <c r="R300" s="72" t="inlineStr">
        <is>
          <t>AMORTIZACAO GARANTIDA BANCO</t>
        </is>
      </c>
      <c r="S300" s="70" t="n">
        <v>22103</v>
      </c>
      <c r="T300" s="72" t="inlineStr">
        <is>
          <t>AMORTIZACAO GARANTIDA BANCO</t>
        </is>
      </c>
      <c r="U300" s="73" t="n">
        <v>13500</v>
      </c>
      <c r="W300" s="73" t="n">
        <v>0</v>
      </c>
      <c r="X300" s="72" t="inlineStr">
        <is>
          <t xml:space="preserve">AMORTIZACAO ITAU 1 GARANTIDA - KEILA </t>
        </is>
      </c>
      <c r="Z300" s="59">
        <f>IF($T300="","",IFERROR(INDEX('Resumo Grupos'!$AC$3:$AC$200,MATCH($T300,'Resumo Grupos'!$AB$3:$AB$200,0)),"n/d"))</f>
        <v/>
      </c>
      <c r="AA300" s="59">
        <f>IF($T300="","",IF(COUNTIF('Resumo Grupos'!$AE$3:$AE$40,$T300)&gt;0,"NAO","SIM"))</f>
        <v/>
      </c>
    </row>
    <row r="301" ht="54.75" customHeight="1" s="60">
      <c r="A301" s="70" t="n">
        <v>1</v>
      </c>
      <c r="B301" s="71" t="n">
        <v>46091</v>
      </c>
      <c r="C301" s="71" t="n">
        <v>46183</v>
      </c>
      <c r="D301" s="70" t="n">
        <v>14</v>
      </c>
      <c r="E301" s="72" t="inlineStr">
        <is>
          <t>ENDREW GUIMARAES BATISTA</t>
        </is>
      </c>
      <c r="F301" s="70" t="n">
        <v>34</v>
      </c>
      <c r="G301" s="72" t="inlineStr">
        <is>
          <t>Transferencia Pix</t>
        </is>
      </c>
      <c r="H301" s="70" t="n">
        <v>2110405</v>
      </c>
      <c r="I301" s="72" t="inlineStr">
        <is>
          <t>CONTAS A PAGAR</t>
        </is>
      </c>
      <c r="J301" s="70" t="n">
        <v>1309535</v>
      </c>
      <c r="L301" s="70" t="n">
        <v>541980</v>
      </c>
      <c r="M301" s="72" t="inlineStr">
        <is>
          <t>04</t>
        </is>
      </c>
      <c r="N301" s="72" t="inlineStr">
        <is>
          <t>AVU</t>
        </is>
      </c>
      <c r="P301" s="70" t="n">
        <v>101</v>
      </c>
      <c r="Q301" s="72" t="inlineStr">
        <is>
          <t>KEILA LIMA</t>
        </is>
      </c>
      <c r="R301" s="72" t="inlineStr">
        <is>
          <t>DESPESAS OPERACIONAIS</t>
        </is>
      </c>
      <c r="S301" s="70" t="n">
        <v>4210206</v>
      </c>
      <c r="T301" s="72" t="inlineStr">
        <is>
          <t>TELEFONE</t>
        </is>
      </c>
      <c r="U301" s="73" t="n">
        <v>209.99</v>
      </c>
      <c r="W301" s="73" t="n">
        <v>0</v>
      </c>
      <c r="X301" s="72" t="inlineStr">
        <is>
          <t>CELULAR TIM RENATO MO1 - KEILA</t>
        </is>
      </c>
      <c r="Z301" s="59">
        <f>IF($T301="","",IFERROR(INDEX('Resumo Grupos'!$AC$3:$AC$200,MATCH($T301,'Resumo Grupos'!$AB$3:$AB$200,0)),"n/d"))</f>
        <v/>
      </c>
      <c r="AA301" s="59">
        <f>IF($T301="","",IF(COUNTIF('Resumo Grupos'!$AE$3:$AE$40,$T301)&gt;0,"NAO","SIM"))</f>
        <v/>
      </c>
    </row>
    <row r="302" ht="54.75" customHeight="1" s="60">
      <c r="A302" s="70" t="n">
        <v>1</v>
      </c>
      <c r="B302" s="71" t="n">
        <v>46219</v>
      </c>
      <c r="C302" s="71" t="n">
        <v>46183</v>
      </c>
      <c r="D302" s="70" t="n">
        <v>887</v>
      </c>
      <c r="E302" s="72" t="inlineStr">
        <is>
          <t>INTLINK TECNOLOGIA LTDA</t>
        </is>
      </c>
      <c r="F302" s="70" t="n">
        <v>24</v>
      </c>
      <c r="G302" s="72" t="inlineStr">
        <is>
          <t>Compra a Prazo - Boletos</t>
        </is>
      </c>
      <c r="H302" s="70" t="n">
        <v>2110405</v>
      </c>
      <c r="I302" s="72" t="inlineStr">
        <is>
          <t>CONTAS A PAGAR</t>
        </is>
      </c>
      <c r="J302" s="70" t="n">
        <v>310123</v>
      </c>
      <c r="L302" s="70" t="n">
        <v>1212</v>
      </c>
      <c r="M302" s="72" t="inlineStr">
        <is>
          <t>02</t>
        </is>
      </c>
      <c r="N302" s="72" t="inlineStr">
        <is>
          <t>AVU</t>
        </is>
      </c>
      <c r="P302" s="70" t="n">
        <v>102</v>
      </c>
      <c r="Q302" s="72" t="inlineStr">
        <is>
          <t>ANDREZA ANDRADE</t>
        </is>
      </c>
      <c r="R302" s="72" t="inlineStr">
        <is>
          <t>DESPESAS COM PESSOAL</t>
        </is>
      </c>
      <c r="S302" s="70" t="n">
        <v>4210315</v>
      </c>
      <c r="T302" s="72" t="inlineStr">
        <is>
          <t>INTERNET</t>
        </is>
      </c>
      <c r="U302" s="73" t="n">
        <v>199.8</v>
      </c>
      <c r="W302" s="73" t="n">
        <v>0</v>
      </c>
      <c r="X302" s="72" t="inlineStr">
        <is>
          <t>MENS INTERNET MO1 - KEILA,</t>
        </is>
      </c>
      <c r="Z302" s="59">
        <f>IF($T302="","",IFERROR(INDEX('Resumo Grupos'!$AC$3:$AC$200,MATCH($T302,'Resumo Grupos'!$AB$3:$AB$200,0)),"n/d"))</f>
        <v/>
      </c>
      <c r="AA302" s="59">
        <f>IF($T302="","",IF(COUNTIF('Resumo Grupos'!$AE$3:$AE$40,$T302)&gt;0,"NAO","SIM"))</f>
        <v/>
      </c>
    </row>
    <row r="303" ht="54.75" customHeight="1" s="60">
      <c r="A303" s="70" t="n">
        <v>1</v>
      </c>
      <c r="B303" s="71" t="n">
        <v>46092</v>
      </c>
      <c r="C303" s="71" t="n">
        <v>46184</v>
      </c>
      <c r="D303" s="70" t="n">
        <v>16</v>
      </c>
      <c r="E303" s="72" t="inlineStr">
        <is>
          <t>RENATO DE OLIVEIRA AZEVEDO</t>
        </is>
      </c>
      <c r="F303" s="70" t="n">
        <v>34</v>
      </c>
      <c r="G303" s="72" t="inlineStr">
        <is>
          <t>Transferencia Pix</t>
        </is>
      </c>
      <c r="H303" s="70" t="n">
        <v>2110405</v>
      </c>
      <c r="I303" s="72" t="inlineStr">
        <is>
          <t>CONTAS A PAGAR</t>
        </is>
      </c>
      <c r="J303" s="70" t="n">
        <v>784488</v>
      </c>
      <c r="L303" s="70" t="n">
        <v>338625</v>
      </c>
      <c r="M303" s="72" t="inlineStr">
        <is>
          <t>02</t>
        </is>
      </c>
      <c r="N303" s="72" t="inlineStr">
        <is>
          <t>AVU</t>
        </is>
      </c>
      <c r="P303" s="70" t="n">
        <v>101</v>
      </c>
      <c r="Q303" s="72" t="inlineStr">
        <is>
          <t>KEILA LIMA</t>
        </is>
      </c>
      <c r="R303" s="72" t="inlineStr">
        <is>
          <t>DESPESAS NAO OPERACIONAIS</t>
        </is>
      </c>
      <c r="S303" s="70" t="n">
        <v>4220199</v>
      </c>
      <c r="T303" s="72" t="inlineStr">
        <is>
          <t>PAGAMENTOS OUTROS NAO OPERACIONAIS</t>
        </is>
      </c>
      <c r="U303" s="73" t="n">
        <v>8000</v>
      </c>
      <c r="W303" s="73" t="n">
        <v>0</v>
      </c>
      <c r="X303" s="72" t="inlineStr">
        <is>
          <t xml:space="preserve">PL RENATO MO1 - KEILA </t>
        </is>
      </c>
      <c r="Z303" s="59">
        <f>IF($T303="","",IFERROR(INDEX('Resumo Grupos'!$AC$3:$AC$200,MATCH($T303,'Resumo Grupos'!$AB$3:$AB$200,0)),"n/d"))</f>
        <v/>
      </c>
      <c r="AA303" s="59">
        <f>IF($T303="","",IF(COUNTIF('Resumo Grupos'!$AE$3:$AE$40,$T303)&gt;0,"NAO","SIM"))</f>
        <v/>
      </c>
    </row>
    <row r="304" ht="45.75" customHeight="1" s="60">
      <c r="A304" s="70" t="n">
        <v>1</v>
      </c>
      <c r="B304" s="71" t="n">
        <v>46149</v>
      </c>
      <c r="C304" s="71" t="n">
        <v>46184</v>
      </c>
      <c r="D304" s="70" t="n">
        <v>1637</v>
      </c>
      <c r="E304" s="72" t="inlineStr">
        <is>
          <t>ATACADAO S.A.</t>
        </is>
      </c>
      <c r="F304" s="70" t="n">
        <v>24</v>
      </c>
      <c r="G304" s="72" t="inlineStr">
        <is>
          <t>Compra a Prazo - Boletos</t>
        </is>
      </c>
      <c r="H304" s="70" t="n">
        <v>2110101</v>
      </c>
      <c r="I304" s="72" t="inlineStr">
        <is>
          <t>FORNECEDORES DE MERCADORIA</t>
        </is>
      </c>
      <c r="J304" s="70" t="n">
        <v>1060991</v>
      </c>
      <c r="L304" s="70" t="n">
        <v>1872669</v>
      </c>
      <c r="M304" s="72" t="inlineStr">
        <is>
          <t>01</t>
        </is>
      </c>
      <c r="N304" s="72" t="inlineStr">
        <is>
          <t>NFE</t>
        </is>
      </c>
      <c r="P304" s="70" t="n">
        <v>103</v>
      </c>
      <c r="Q304" s="72" t="inlineStr">
        <is>
          <t>MILKA FRANCIS</t>
        </is>
      </c>
      <c r="R304" s="72" t="inlineStr">
        <is>
          <t>ESTOQUE DE MERCADORIAS</t>
        </is>
      </c>
      <c r="S304" s="70" t="n">
        <v>1130101</v>
      </c>
      <c r="T304" s="72" t="inlineStr">
        <is>
          <t>MERCADORIAS P/REVENDA</t>
        </is>
      </c>
      <c r="U304" s="73" t="n">
        <v>611.75</v>
      </c>
      <c r="W304" s="73" t="n">
        <v>0</v>
      </c>
      <c r="X304" s="72" t="inlineStr">
        <is>
          <t>NF 1872669 - MILKA</t>
        </is>
      </c>
      <c r="Z304" s="59">
        <f>IF($T304="","",IFERROR(INDEX('Resumo Grupos'!$AC$3:$AC$200,MATCH($T304,'Resumo Grupos'!$AB$3:$AB$200,0)),"n/d"))</f>
        <v/>
      </c>
      <c r="AA304" s="59">
        <f>IF($T304="","",IF(COUNTIF('Resumo Grupos'!$AE$3:$AE$40,$T304)&gt;0,"NAO","SIM"))</f>
        <v/>
      </c>
    </row>
    <row r="305" ht="36.75" customHeight="1" s="60">
      <c r="A305" s="70" t="n">
        <v>1</v>
      </c>
      <c r="B305" s="71" t="n">
        <v>46149</v>
      </c>
      <c r="C305" s="71" t="n">
        <v>46184</v>
      </c>
      <c r="D305" s="70" t="n">
        <v>1637</v>
      </c>
      <c r="E305" s="72" t="inlineStr">
        <is>
          <t>ATACADAO S.A.</t>
        </is>
      </c>
      <c r="F305" s="70" t="n">
        <v>24</v>
      </c>
      <c r="G305" s="72" t="inlineStr">
        <is>
          <t>Compra a Prazo - Boletos</t>
        </is>
      </c>
      <c r="H305" s="70" t="n">
        <v>2110101</v>
      </c>
      <c r="I305" s="72" t="inlineStr">
        <is>
          <t>FORNECEDORES DE MERCADORIA</t>
        </is>
      </c>
      <c r="J305" s="70" t="n">
        <v>1061289</v>
      </c>
      <c r="L305" s="70" t="n">
        <v>1872668</v>
      </c>
      <c r="M305" s="72" t="inlineStr">
        <is>
          <t>01</t>
        </is>
      </c>
      <c r="N305" s="72" t="inlineStr">
        <is>
          <t>NFE</t>
        </is>
      </c>
      <c r="P305" s="70" t="n">
        <v>103</v>
      </c>
      <c r="Q305" s="72" t="inlineStr">
        <is>
          <t>MILKA FRANCIS</t>
        </is>
      </c>
      <c r="R305" s="72" t="inlineStr">
        <is>
          <t>ESTOQUE DE MERCADORIAS</t>
        </is>
      </c>
      <c r="S305" s="70" t="n">
        <v>1130101</v>
      </c>
      <c r="T305" s="72" t="inlineStr">
        <is>
          <t>MERCADORIAS P/REVENDA</t>
        </is>
      </c>
      <c r="U305" s="73" t="n">
        <v>1271.1</v>
      </c>
      <c r="W305" s="73" t="n">
        <v>0</v>
      </c>
      <c r="X305" s="72" t="inlineStr">
        <is>
          <t>NF 1872668 - MILKA</t>
        </is>
      </c>
      <c r="Z305" s="59">
        <f>IF($T305="","",IFERROR(INDEX('Resumo Grupos'!$AC$3:$AC$200,MATCH($T305,'Resumo Grupos'!$AB$3:$AB$200,0)),"n/d"))</f>
        <v/>
      </c>
      <c r="AA305" s="59">
        <f>IF($T305="","",IF(COUNTIF('Resumo Grupos'!$AE$3:$AE$40,$T305)&gt;0,"NAO","SIM"))</f>
        <v/>
      </c>
    </row>
    <row r="306" ht="36.75" customHeight="1" s="60">
      <c r="A306" s="70" t="n">
        <v>1</v>
      </c>
      <c r="B306" s="71" t="n">
        <v>46158</v>
      </c>
      <c r="C306" s="71" t="n">
        <v>46184</v>
      </c>
      <c r="D306" s="70" t="n">
        <v>1624</v>
      </c>
      <c r="E306" s="72" t="inlineStr">
        <is>
          <t>RISADINHA LTDA</t>
        </is>
      </c>
      <c r="F306" s="70" t="n">
        <v>24</v>
      </c>
      <c r="G306" s="72" t="inlineStr">
        <is>
          <t>Compra a Prazo - Boletos</t>
        </is>
      </c>
      <c r="H306" s="70" t="n">
        <v>2110101</v>
      </c>
      <c r="I306" s="72" t="inlineStr">
        <is>
          <t>FORNECEDORES DE MERCADORIA</t>
        </is>
      </c>
      <c r="J306" s="70" t="n">
        <v>1107368</v>
      </c>
      <c r="L306" s="70" t="n">
        <v>653787</v>
      </c>
      <c r="M306" s="72" t="inlineStr">
        <is>
          <t>02</t>
        </is>
      </c>
      <c r="N306" s="72" t="inlineStr">
        <is>
          <t>NFE</t>
        </is>
      </c>
      <c r="P306" s="70" t="n">
        <v>103</v>
      </c>
      <c r="Q306" s="72" t="inlineStr">
        <is>
          <t>MILKA FRANCIS</t>
        </is>
      </c>
      <c r="R306" s="72" t="inlineStr">
        <is>
          <t>ESTOQUE DE MERCADORIAS</t>
        </is>
      </c>
      <c r="S306" s="70" t="n">
        <v>1130101</v>
      </c>
      <c r="T306" s="72" t="inlineStr">
        <is>
          <t>MERCADORIAS P/REVENDA</t>
        </is>
      </c>
      <c r="U306" s="73" t="n">
        <v>2249.86</v>
      </c>
      <c r="W306" s="73" t="n">
        <v>0</v>
      </c>
      <c r="X306" s="72" t="inlineStr">
        <is>
          <t>NF 653787 - 2 MILKA</t>
        </is>
      </c>
      <c r="Z306" s="59">
        <f>IF($T306="","",IFERROR(INDEX('Resumo Grupos'!$AC$3:$AC$200,MATCH($T306,'Resumo Grupos'!$AB$3:$AB$200,0)),"n/d"))</f>
        <v/>
      </c>
      <c r="AA306" s="59">
        <f>IF($T306="","",IF(COUNTIF('Resumo Grupos'!$AE$3:$AE$40,$T306)&gt;0,"NAO","SIM"))</f>
        <v/>
      </c>
    </row>
    <row r="307" ht="36.75" customHeight="1" s="60">
      <c r="A307" s="70" t="n">
        <v>1</v>
      </c>
      <c r="B307" s="71" t="n">
        <v>46161</v>
      </c>
      <c r="C307" s="71" t="n">
        <v>46184</v>
      </c>
      <c r="D307" s="70" t="n">
        <v>1745</v>
      </c>
      <c r="E307" s="72" t="inlineStr">
        <is>
          <t>TRES CORACOES ALIMENTOS S.A.</t>
        </is>
      </c>
      <c r="F307" s="70" t="n">
        <v>24</v>
      </c>
      <c r="G307" s="72" t="inlineStr">
        <is>
          <t>Compra a Prazo - Boletos</t>
        </is>
      </c>
      <c r="H307" s="70" t="n">
        <v>2110101</v>
      </c>
      <c r="I307" s="72" t="inlineStr">
        <is>
          <t>FORNECEDORES DE MERCADORIA</t>
        </is>
      </c>
      <c r="J307" s="70" t="n">
        <v>1122700</v>
      </c>
      <c r="L307" s="70" t="n">
        <v>341630</v>
      </c>
      <c r="M307" s="72" t="inlineStr">
        <is>
          <t>03</t>
        </is>
      </c>
      <c r="N307" s="72" t="inlineStr">
        <is>
          <t>NFE</t>
        </is>
      </c>
      <c r="P307" s="70" t="n">
        <v>103</v>
      </c>
      <c r="Q307" s="72" t="inlineStr">
        <is>
          <t>MILKA FRANCIS</t>
        </is>
      </c>
      <c r="R307" s="72" t="inlineStr">
        <is>
          <t>ESTOQUE DE MERCADORIAS</t>
        </is>
      </c>
      <c r="S307" s="70" t="n">
        <v>1130101</v>
      </c>
      <c r="T307" s="72" t="inlineStr">
        <is>
          <t>MERCADORIAS P/REVENDA</t>
        </is>
      </c>
      <c r="U307" s="73" t="n">
        <v>2468.1</v>
      </c>
      <c r="W307" s="73" t="n">
        <v>0</v>
      </c>
      <c r="X307" s="72" t="inlineStr">
        <is>
          <t>NF 341630 -3 MILKA</t>
        </is>
      </c>
      <c r="Z307" s="59">
        <f>IF($T307="","",IFERROR(INDEX('Resumo Grupos'!$AC$3:$AC$200,MATCH($T307,'Resumo Grupos'!$AB$3:$AB$200,0)),"n/d"))</f>
        <v/>
      </c>
      <c r="AA307" s="59">
        <f>IF($T307="","",IF(COUNTIF('Resumo Grupos'!$AE$3:$AE$40,$T307)&gt;0,"NAO","SIM"))</f>
        <v/>
      </c>
    </row>
    <row r="308" ht="72.75" customHeight="1" s="60">
      <c r="A308" s="70" t="n">
        <v>1</v>
      </c>
      <c r="B308" s="71" t="n">
        <v>46163</v>
      </c>
      <c r="C308" s="71" t="n">
        <v>46184</v>
      </c>
      <c r="D308" s="70" t="n">
        <v>1456</v>
      </c>
      <c r="E308" s="72" t="inlineStr">
        <is>
          <t>A M QUIMICA IND E COM DE PROD QUIMICOS I</t>
        </is>
      </c>
      <c r="F308" s="70" t="n">
        <v>24</v>
      </c>
      <c r="G308" s="72" t="inlineStr">
        <is>
          <t>Compra a Prazo - Boletos</t>
        </is>
      </c>
      <c r="H308" s="70" t="n">
        <v>2110101</v>
      </c>
      <c r="I308" s="72" t="inlineStr">
        <is>
          <t>FORNECEDORES DE MERCADORIA</t>
        </is>
      </c>
      <c r="J308" s="70" t="n">
        <v>1132582</v>
      </c>
      <c r="L308" s="70" t="n">
        <v>66698</v>
      </c>
      <c r="M308" s="72" t="inlineStr">
        <is>
          <t>01</t>
        </is>
      </c>
      <c r="N308" s="72" t="inlineStr">
        <is>
          <t>NFE</t>
        </is>
      </c>
      <c r="P308" s="70" t="n">
        <v>103</v>
      </c>
      <c r="Q308" s="72" t="inlineStr">
        <is>
          <t>MILKA FRANCIS</t>
        </is>
      </c>
      <c r="R308" s="72" t="inlineStr">
        <is>
          <t>ESTOQUE DE MERCADORIAS</t>
        </is>
      </c>
      <c r="S308" s="70" t="n">
        <v>1130101</v>
      </c>
      <c r="T308" s="72" t="inlineStr">
        <is>
          <t>MERCADORIAS P/REVENDA</t>
        </is>
      </c>
      <c r="U308" s="73" t="n">
        <v>1145.26</v>
      </c>
      <c r="W308" s="73" t="n">
        <v>0</v>
      </c>
      <c r="X308" s="72" t="inlineStr">
        <is>
          <t>NF 66698 - MILKA</t>
        </is>
      </c>
      <c r="Z308" s="59">
        <f>IF($T308="","",IFERROR(INDEX('Resumo Grupos'!$AC$3:$AC$200,MATCH($T308,'Resumo Grupos'!$AB$3:$AB$200,0)),"n/d"))</f>
        <v/>
      </c>
      <c r="AA308" s="59">
        <f>IF($T308="","",IF(COUNTIF('Resumo Grupos'!$AE$3:$AE$40,$T308)&gt;0,"NAO","SIM"))</f>
        <v/>
      </c>
    </row>
    <row r="309" ht="45.75" customHeight="1" s="60">
      <c r="A309" s="70" t="n">
        <v>1</v>
      </c>
      <c r="B309" s="71" t="n">
        <v>46164</v>
      </c>
      <c r="C309" s="71" t="n">
        <v>46184</v>
      </c>
      <c r="D309" s="70" t="n">
        <v>1740</v>
      </c>
      <c r="E309" s="72" t="inlineStr">
        <is>
          <t>OCIDENTAL COMERCIO DE FRIOS LTDA</t>
        </is>
      </c>
      <c r="F309" s="70" t="n">
        <v>24</v>
      </c>
      <c r="G309" s="72" t="inlineStr">
        <is>
          <t>Compra a Prazo - Boletos</t>
        </is>
      </c>
      <c r="H309" s="70" t="n">
        <v>2110101</v>
      </c>
      <c r="I309" s="72" t="inlineStr">
        <is>
          <t>FORNECEDORES DE MERCADORIA</t>
        </is>
      </c>
      <c r="J309" s="70" t="n">
        <v>1137427</v>
      </c>
      <c r="L309" s="70" t="n">
        <v>1228856</v>
      </c>
      <c r="M309" s="72" t="inlineStr">
        <is>
          <t>01</t>
        </is>
      </c>
      <c r="N309" s="72" t="inlineStr">
        <is>
          <t>NFE</t>
        </is>
      </c>
      <c r="P309" s="70" t="n">
        <v>103</v>
      </c>
      <c r="Q309" s="72" t="inlineStr">
        <is>
          <t>MILKA FRANCIS</t>
        </is>
      </c>
      <c r="R309" s="72" t="inlineStr">
        <is>
          <t>ESTOQUE DE MERCADORIAS</t>
        </is>
      </c>
      <c r="S309" s="70" t="n">
        <v>1130101</v>
      </c>
      <c r="T309" s="72" t="inlineStr">
        <is>
          <t>MERCADORIAS P/REVENDA</t>
        </is>
      </c>
      <c r="U309" s="73" t="n">
        <v>999.03</v>
      </c>
      <c r="W309" s="73" t="n">
        <v>0</v>
      </c>
      <c r="X309" s="72" t="inlineStr">
        <is>
          <t>NF 1228856 - MILKA</t>
        </is>
      </c>
      <c r="Z309" s="59">
        <f>IF($T309="","",IFERROR(INDEX('Resumo Grupos'!$AC$3:$AC$200,MATCH($T309,'Resumo Grupos'!$AB$3:$AB$200,0)),"n/d"))</f>
        <v/>
      </c>
      <c r="AA309" s="59">
        <f>IF($T309="","",IF(COUNTIF('Resumo Grupos'!$AE$3:$AE$40,$T309)&gt;0,"NAO","SIM"))</f>
        <v/>
      </c>
    </row>
    <row r="310" ht="45.75" customHeight="1" s="60">
      <c r="A310" s="70" t="n">
        <v>1</v>
      </c>
      <c r="B310" s="71" t="n">
        <v>46164</v>
      </c>
      <c r="C310" s="71" t="n">
        <v>46184</v>
      </c>
      <c r="D310" s="70" t="n">
        <v>515</v>
      </c>
      <c r="E310" s="72" t="inlineStr">
        <is>
          <t>ITAU SA</t>
        </is>
      </c>
      <c r="F310" s="70" t="n">
        <v>34</v>
      </c>
      <c r="G310" s="72" t="inlineStr">
        <is>
          <t>Transferencia Pix</t>
        </is>
      </c>
      <c r="H310" s="70" t="n">
        <v>2110405</v>
      </c>
      <c r="I310" s="72" t="inlineStr">
        <is>
          <t>CONTAS A PAGAR</t>
        </is>
      </c>
      <c r="J310" s="70" t="n">
        <v>1137849</v>
      </c>
      <c r="L310" s="70" t="n">
        <v>474941</v>
      </c>
      <c r="M310" s="72" t="inlineStr">
        <is>
          <t>01</t>
        </is>
      </c>
      <c r="N310" s="72" t="inlineStr">
        <is>
          <t>AVU</t>
        </is>
      </c>
      <c r="P310" s="70" t="n">
        <v>101</v>
      </c>
      <c r="Q310" s="72" t="inlineStr">
        <is>
          <t>KEILA LIMA</t>
        </is>
      </c>
      <c r="R310" s="72" t="inlineStr">
        <is>
          <t>EMPRESTIMOS BANCARIOS</t>
        </is>
      </c>
      <c r="S310" s="70" t="n">
        <v>2110901</v>
      </c>
      <c r="T310" s="72" t="inlineStr">
        <is>
          <t>EMPRESTIMOS BANCARIOS A PAGAR</t>
        </is>
      </c>
      <c r="U310" s="73" t="n">
        <v>15770.14</v>
      </c>
      <c r="W310" s="73" t="n">
        <v>0</v>
      </c>
      <c r="X310" s="72" t="inlineStr">
        <is>
          <t>PARC 08/48 PARC GIRO MO1 - KEILA</t>
        </is>
      </c>
      <c r="Z310" s="59">
        <f>IF($T310="","",IFERROR(INDEX('Resumo Grupos'!$AC$3:$AC$200,MATCH($T310,'Resumo Grupos'!$AB$3:$AB$200,0)),"n/d"))</f>
        <v/>
      </c>
      <c r="AA310" s="59">
        <f>IF($T310="","",IF(COUNTIF('Resumo Grupos'!$AE$3:$AE$40,$T310)&gt;0,"NAO","SIM"))</f>
        <v/>
      </c>
    </row>
    <row r="311" ht="36.75" customHeight="1" s="60">
      <c r="A311" s="70" t="n">
        <v>1</v>
      </c>
      <c r="B311" s="71" t="n">
        <v>46167</v>
      </c>
      <c r="C311" s="71" t="n">
        <v>46184</v>
      </c>
      <c r="D311" s="70" t="n">
        <v>1804</v>
      </c>
      <c r="E311" s="72" t="inlineStr">
        <is>
          <t>ATIVA COM E REP</t>
        </is>
      </c>
      <c r="F311" s="70" t="n">
        <v>24</v>
      </c>
      <c r="G311" s="72" t="inlineStr">
        <is>
          <t>Compra a Prazo - Boletos</t>
        </is>
      </c>
      <c r="H311" s="70" t="n">
        <v>2110101</v>
      </c>
      <c r="I311" s="72" t="inlineStr">
        <is>
          <t>FORNECEDORES DE MERCADORIA</t>
        </is>
      </c>
      <c r="J311" s="70" t="n">
        <v>1150946</v>
      </c>
      <c r="L311" s="70" t="n">
        <v>24963</v>
      </c>
      <c r="M311" s="72" t="inlineStr">
        <is>
          <t>01</t>
        </is>
      </c>
      <c r="N311" s="72" t="inlineStr">
        <is>
          <t>NFE</t>
        </is>
      </c>
      <c r="P311" s="70" t="n">
        <v>103</v>
      </c>
      <c r="Q311" s="72" t="inlineStr">
        <is>
          <t>MILKA FRANCIS</t>
        </is>
      </c>
      <c r="R311" s="72" t="inlineStr">
        <is>
          <t>ESTOQUE DE MERCADORIAS</t>
        </is>
      </c>
      <c r="S311" s="70" t="n">
        <v>1130101</v>
      </c>
      <c r="T311" s="72" t="inlineStr">
        <is>
          <t>MERCADORIAS P/REVENDA</t>
        </is>
      </c>
      <c r="U311" s="73" t="n">
        <v>828</v>
      </c>
      <c r="W311" s="73" t="n">
        <v>0</v>
      </c>
      <c r="X311" s="72" t="inlineStr">
        <is>
          <t>NF 24963 - MILKA</t>
        </is>
      </c>
      <c r="Z311" s="59">
        <f>IF($T311="","",IFERROR(INDEX('Resumo Grupos'!$AC$3:$AC$200,MATCH($T311,'Resumo Grupos'!$AB$3:$AB$200,0)),"n/d"))</f>
        <v/>
      </c>
      <c r="AA311" s="59">
        <f>IF($T311="","",IF(COUNTIF('Resumo Grupos'!$AE$3:$AE$40,$T311)&gt;0,"NAO","SIM"))</f>
        <v/>
      </c>
    </row>
    <row r="312" ht="45.75" customHeight="1" s="60">
      <c r="A312" s="70" t="n">
        <v>1</v>
      </c>
      <c r="B312" s="71" t="n">
        <v>46168</v>
      </c>
      <c r="C312" s="71" t="n">
        <v>46184</v>
      </c>
      <c r="D312" s="70" t="n">
        <v>10020</v>
      </c>
      <c r="E312" s="72" t="inlineStr">
        <is>
          <t>E. SALES DO NASCIMENTO</t>
        </is>
      </c>
      <c r="F312" s="70" t="n">
        <v>24</v>
      </c>
      <c r="G312" s="72" t="inlineStr">
        <is>
          <t>Compra a Prazo - Boletos</t>
        </is>
      </c>
      <c r="H312" s="70" t="n">
        <v>2110101</v>
      </c>
      <c r="I312" s="72" t="inlineStr">
        <is>
          <t>FORNECEDORES DE MERCADORIA</t>
        </is>
      </c>
      <c r="J312" s="70" t="n">
        <v>1156884</v>
      </c>
      <c r="L312" s="70" t="n">
        <v>573</v>
      </c>
      <c r="M312" s="72" t="inlineStr">
        <is>
          <t>03</t>
        </is>
      </c>
      <c r="N312" s="72" t="inlineStr">
        <is>
          <t>NFE</t>
        </is>
      </c>
      <c r="P312" s="70" t="n">
        <v>103</v>
      </c>
      <c r="Q312" s="72" t="inlineStr">
        <is>
          <t>MILKA FRANCIS</t>
        </is>
      </c>
      <c r="R312" s="72" t="inlineStr">
        <is>
          <t>ESTOQUE DE MERCADORIAS</t>
        </is>
      </c>
      <c r="S312" s="70" t="n">
        <v>1130101</v>
      </c>
      <c r="T312" s="72" t="inlineStr">
        <is>
          <t>MERCADORIAS P/REVENDA</t>
        </is>
      </c>
      <c r="U312" s="73" t="n">
        <v>503.26</v>
      </c>
      <c r="W312" s="73" t="n">
        <v>0</v>
      </c>
      <c r="X312" s="72" t="inlineStr">
        <is>
          <t>NF 573-03 MILKA</t>
        </is>
      </c>
      <c r="Z312" s="59">
        <f>IF($T312="","",IFERROR(INDEX('Resumo Grupos'!$AC$3:$AC$200,MATCH($T312,'Resumo Grupos'!$AB$3:$AB$200,0)),"n/d"))</f>
        <v/>
      </c>
      <c r="AA312" s="59">
        <f>IF($T312="","",IF(COUNTIF('Resumo Grupos'!$AE$3:$AE$40,$T312)&gt;0,"NAO","SIM"))</f>
        <v/>
      </c>
    </row>
    <row r="313" ht="45.75" customHeight="1" s="60">
      <c r="A313" s="70" t="n">
        <v>1</v>
      </c>
      <c r="B313" s="71" t="n">
        <v>46168</v>
      </c>
      <c r="C313" s="71" t="n">
        <v>46184</v>
      </c>
      <c r="D313" s="70" t="n">
        <v>1616</v>
      </c>
      <c r="E313" s="72" t="inlineStr">
        <is>
          <t>DURAES DISTRIBUIDORA DE ESTIVAS LTDA</t>
        </is>
      </c>
      <c r="F313" s="70" t="n">
        <v>24</v>
      </c>
      <c r="G313" s="72" t="inlineStr">
        <is>
          <t>Compra a Prazo - Boletos</t>
        </is>
      </c>
      <c r="H313" s="70" t="n">
        <v>2110101</v>
      </c>
      <c r="I313" s="72" t="inlineStr">
        <is>
          <t>FORNECEDORES DE MERCADORIA</t>
        </is>
      </c>
      <c r="J313" s="70" t="n">
        <v>1157756</v>
      </c>
      <c r="L313" s="70" t="n">
        <v>642821</v>
      </c>
      <c r="M313" s="72" t="inlineStr">
        <is>
          <t>01</t>
        </is>
      </c>
      <c r="N313" s="72" t="inlineStr">
        <is>
          <t>NFE</t>
        </is>
      </c>
      <c r="P313" s="70" t="n">
        <v>103</v>
      </c>
      <c r="Q313" s="72" t="inlineStr">
        <is>
          <t>MILKA FRANCIS</t>
        </is>
      </c>
      <c r="R313" s="72" t="inlineStr">
        <is>
          <t>ESTOQUE DE MERCADORIAS</t>
        </is>
      </c>
      <c r="S313" s="70" t="n">
        <v>1130101</v>
      </c>
      <c r="T313" s="72" t="inlineStr">
        <is>
          <t>MERCADORIAS P/REVENDA</t>
        </is>
      </c>
      <c r="U313" s="73" t="n">
        <v>1890.86</v>
      </c>
      <c r="W313" s="73" t="n">
        <v>0</v>
      </c>
      <c r="X313" s="72" t="inlineStr">
        <is>
          <t>NF 642821-1 MILKA</t>
        </is>
      </c>
      <c r="Z313" s="59">
        <f>IF($T313="","",IFERROR(INDEX('Resumo Grupos'!$AC$3:$AC$200,MATCH($T313,'Resumo Grupos'!$AB$3:$AB$200,0)),"n/d"))</f>
        <v/>
      </c>
      <c r="AA313" s="59">
        <f>IF($T313="","",IF(COUNTIF('Resumo Grupos'!$AE$3:$AE$40,$T313)&gt;0,"NAO","SIM"))</f>
        <v/>
      </c>
    </row>
    <row r="314" ht="45.75" customHeight="1" s="60">
      <c r="A314" s="70" t="n">
        <v>1</v>
      </c>
      <c r="B314" s="71" t="n">
        <v>46170</v>
      </c>
      <c r="C314" s="71" t="n">
        <v>46184</v>
      </c>
      <c r="D314" s="70" t="n">
        <v>630</v>
      </c>
      <c r="E314" s="72" t="inlineStr">
        <is>
          <t>PORTO SEGURO SEGURO SAUDE S/A</t>
        </is>
      </c>
      <c r="F314" s="70" t="n">
        <v>24</v>
      </c>
      <c r="G314" s="72" t="inlineStr">
        <is>
          <t>Compra a Prazo - Boletos</t>
        </is>
      </c>
      <c r="H314" s="70" t="n">
        <v>2110405</v>
      </c>
      <c r="I314" s="72" t="inlineStr">
        <is>
          <t>CONTAS A PAGAR</t>
        </is>
      </c>
      <c r="J314" s="70" t="n">
        <v>1166326</v>
      </c>
      <c r="L314" s="70" t="n">
        <v>486339</v>
      </c>
      <c r="M314" s="72" t="inlineStr">
        <is>
          <t>01</t>
        </is>
      </c>
      <c r="N314" s="72" t="inlineStr">
        <is>
          <t>AVU</t>
        </is>
      </c>
      <c r="P314" s="70" t="n">
        <v>101</v>
      </c>
      <c r="Q314" s="72" t="inlineStr">
        <is>
          <t>KEILA LIMA</t>
        </is>
      </c>
      <c r="R314" s="72" t="inlineStr">
        <is>
          <t>DESPESAS COM PESSOAL</t>
        </is>
      </c>
      <c r="S314" s="70" t="n">
        <v>4210311</v>
      </c>
      <c r="T314" s="72" t="inlineStr">
        <is>
          <t>PLANOS DE SAUDE</t>
        </is>
      </c>
      <c r="U314" s="73" t="n">
        <v>126.03</v>
      </c>
      <c r="W314" s="73" t="n">
        <v>0</v>
      </c>
      <c r="X314" s="72" t="inlineStr">
        <is>
          <t>PLANO ODONTOLOGICO - KEILA</t>
        </is>
      </c>
      <c r="Z314" s="59">
        <f>IF($T314="","",IFERROR(INDEX('Resumo Grupos'!$AC$3:$AC$200,MATCH($T314,'Resumo Grupos'!$AB$3:$AB$200,0)),"n/d"))</f>
        <v/>
      </c>
      <c r="AA314" s="59">
        <f>IF($T314="","",IF(COUNTIF('Resumo Grupos'!$AE$3:$AE$40,$T314)&gt;0,"NAO","SIM"))</f>
        <v/>
      </c>
    </row>
    <row r="315" ht="45.75" customHeight="1" s="60">
      <c r="A315" s="70" t="n">
        <v>1</v>
      </c>
      <c r="B315" s="71" t="n">
        <v>46171</v>
      </c>
      <c r="C315" s="71" t="n">
        <v>46184</v>
      </c>
      <c r="D315" s="70" t="n">
        <v>1611</v>
      </c>
      <c r="E315" s="72" t="inlineStr">
        <is>
          <t>MARTINS COM SERV DISTR SA</t>
        </is>
      </c>
      <c r="F315" s="70" t="n">
        <v>24</v>
      </c>
      <c r="G315" s="72" t="inlineStr">
        <is>
          <t>Compra a Prazo - Boletos</t>
        </is>
      </c>
      <c r="H315" s="70" t="n">
        <v>2110101</v>
      </c>
      <c r="I315" s="72" t="inlineStr">
        <is>
          <t>FORNECEDORES DE MERCADORIA</t>
        </is>
      </c>
      <c r="J315" s="70" t="n">
        <v>1171433</v>
      </c>
      <c r="L315" s="70" t="n">
        <v>488192</v>
      </c>
      <c r="M315" s="72" t="inlineStr">
        <is>
          <t>02</t>
        </is>
      </c>
      <c r="N315" s="72" t="inlineStr">
        <is>
          <t>AVU</t>
        </is>
      </c>
      <c r="P315" s="70" t="n">
        <v>103</v>
      </c>
      <c r="Q315" s="72" t="inlineStr">
        <is>
          <t>MILKA FRANCIS</t>
        </is>
      </c>
      <c r="R315" s="72" t="inlineStr">
        <is>
          <t>ESTOQUE DE MERCADORIAS</t>
        </is>
      </c>
      <c r="S315" s="70" t="n">
        <v>1130101</v>
      </c>
      <c r="T315" s="72" t="inlineStr">
        <is>
          <t>MERCADORIAS P/REVENDA</t>
        </is>
      </c>
      <c r="U315" s="73" t="n">
        <v>4056.85</v>
      </c>
      <c r="W315" s="73" t="n">
        <v>0</v>
      </c>
      <c r="X315" s="72" t="inlineStr">
        <is>
          <t>NF1762478/NF1762479/NF1762480/NF1762481 - 02 MILKA</t>
        </is>
      </c>
      <c r="Z315" s="59">
        <f>IF($T315="","",IFERROR(INDEX('Resumo Grupos'!$AC$3:$AC$200,MATCH($T315,'Resumo Grupos'!$AB$3:$AB$200,0)),"n/d"))</f>
        <v/>
      </c>
      <c r="AA315" s="59">
        <f>IF($T315="","",IF(COUNTIF('Resumo Grupos'!$AE$3:$AE$40,$T315)&gt;0,"NAO","SIM"))</f>
        <v/>
      </c>
    </row>
    <row r="316" ht="36.75" customHeight="1" s="60">
      <c r="A316" s="70" t="n">
        <v>1</v>
      </c>
      <c r="B316" s="71" t="n">
        <v>46172</v>
      </c>
      <c r="C316" s="71" t="n">
        <v>46184</v>
      </c>
      <c r="D316" s="70" t="n">
        <v>1705</v>
      </c>
      <c r="E316" s="72" t="inlineStr">
        <is>
          <t>BRASIL NORTE BEBIDAS S/A</t>
        </is>
      </c>
      <c r="F316" s="70" t="n">
        <v>24</v>
      </c>
      <c r="G316" s="72" t="inlineStr">
        <is>
          <t>Compra a Prazo - Boletos</t>
        </is>
      </c>
      <c r="H316" s="70" t="n">
        <v>2110101</v>
      </c>
      <c r="I316" s="72" t="inlineStr">
        <is>
          <t>FORNECEDORES DE MERCADORIA</t>
        </is>
      </c>
      <c r="J316" s="70" t="n">
        <v>1176788</v>
      </c>
      <c r="L316" s="70" t="n">
        <v>1850202</v>
      </c>
      <c r="M316" s="72" t="inlineStr">
        <is>
          <t>01</t>
        </is>
      </c>
      <c r="N316" s="72" t="inlineStr">
        <is>
          <t>NFE</t>
        </is>
      </c>
      <c r="P316" s="70" t="n">
        <v>103</v>
      </c>
      <c r="Q316" s="72" t="inlineStr">
        <is>
          <t>MILKA FRANCIS</t>
        </is>
      </c>
      <c r="R316" s="72" t="inlineStr">
        <is>
          <t>ESTOQUE DE MERCADORIAS</t>
        </is>
      </c>
      <c r="S316" s="70" t="n">
        <v>1130101</v>
      </c>
      <c r="T316" s="72" t="inlineStr">
        <is>
          <t>MERCADORIAS P/REVENDA</t>
        </is>
      </c>
      <c r="U316" s="73" t="n">
        <v>260.61</v>
      </c>
      <c r="W316" s="73" t="n">
        <v>0</v>
      </c>
      <c r="X316" s="72" t="inlineStr">
        <is>
          <t>NF 1850202 - MILKA</t>
        </is>
      </c>
      <c r="Z316" s="59">
        <f>IF($T316="","",IFERROR(INDEX('Resumo Grupos'!$AC$3:$AC$200,MATCH($T316,'Resumo Grupos'!$AB$3:$AB$200,0)),"n/d"))</f>
        <v/>
      </c>
      <c r="AA316" s="59">
        <f>IF($T316="","",IF(COUNTIF('Resumo Grupos'!$AE$3:$AE$40,$T316)&gt;0,"NAO","SIM"))</f>
        <v/>
      </c>
    </row>
    <row r="317" ht="36.75" customHeight="1" s="60">
      <c r="A317" s="70" t="n">
        <v>1</v>
      </c>
      <c r="B317" s="71" t="n">
        <v>46172</v>
      </c>
      <c r="C317" s="71" t="n">
        <v>46184</v>
      </c>
      <c r="D317" s="70" t="n">
        <v>1705</v>
      </c>
      <c r="E317" s="72" t="inlineStr">
        <is>
          <t>BRASIL NORTE BEBIDAS S/A</t>
        </is>
      </c>
      <c r="F317" s="70" t="n">
        <v>24</v>
      </c>
      <c r="G317" s="72" t="inlineStr">
        <is>
          <t>Compra a Prazo - Boletos</t>
        </is>
      </c>
      <c r="H317" s="70" t="n">
        <v>2110101</v>
      </c>
      <c r="I317" s="72" t="inlineStr">
        <is>
          <t>FORNECEDORES DE MERCADORIA</t>
        </is>
      </c>
      <c r="J317" s="70" t="n">
        <v>1176805</v>
      </c>
      <c r="L317" s="70" t="n">
        <v>1850205</v>
      </c>
      <c r="M317" s="72" t="inlineStr">
        <is>
          <t>01</t>
        </is>
      </c>
      <c r="N317" s="72" t="inlineStr">
        <is>
          <t>NFE</t>
        </is>
      </c>
      <c r="P317" s="70" t="n">
        <v>103</v>
      </c>
      <c r="Q317" s="72" t="inlineStr">
        <is>
          <t>MILKA FRANCIS</t>
        </is>
      </c>
      <c r="R317" s="72" t="inlineStr">
        <is>
          <t>ESTOQUE DE MERCADORIAS</t>
        </is>
      </c>
      <c r="S317" s="70" t="n">
        <v>1130101</v>
      </c>
      <c r="T317" s="72" t="inlineStr">
        <is>
          <t>MERCADORIAS P/REVENDA</t>
        </is>
      </c>
      <c r="U317" s="73" t="n">
        <v>3191.93</v>
      </c>
      <c r="W317" s="73" t="n">
        <v>0</v>
      </c>
      <c r="X317" s="72" t="inlineStr">
        <is>
          <t>NF 1850205 - MILKA</t>
        </is>
      </c>
      <c r="Z317" s="59">
        <f>IF($T317="","",IFERROR(INDEX('Resumo Grupos'!$AC$3:$AC$200,MATCH($T317,'Resumo Grupos'!$AB$3:$AB$200,0)),"n/d"))</f>
        <v/>
      </c>
      <c r="AA317" s="59">
        <f>IF($T317="","",IF(COUNTIF('Resumo Grupos'!$AE$3:$AE$40,$T317)&gt;0,"NAO","SIM"))</f>
        <v/>
      </c>
    </row>
    <row r="318" ht="36.75" customHeight="1" s="60">
      <c r="A318" s="70" t="n">
        <v>1</v>
      </c>
      <c r="B318" s="71" t="n">
        <v>46172</v>
      </c>
      <c r="C318" s="71" t="n">
        <v>46184</v>
      </c>
      <c r="D318" s="70" t="n">
        <v>1705</v>
      </c>
      <c r="E318" s="72" t="inlineStr">
        <is>
          <t>BRASIL NORTE BEBIDAS S/A</t>
        </is>
      </c>
      <c r="F318" s="70" t="n">
        <v>24</v>
      </c>
      <c r="G318" s="72" t="inlineStr">
        <is>
          <t>Compra a Prazo - Boletos</t>
        </is>
      </c>
      <c r="H318" s="70" t="n">
        <v>2110101</v>
      </c>
      <c r="I318" s="72" t="inlineStr">
        <is>
          <t>FORNECEDORES DE MERCADORIA</t>
        </is>
      </c>
      <c r="J318" s="70" t="n">
        <v>1176839</v>
      </c>
      <c r="L318" s="70" t="n">
        <v>1137626</v>
      </c>
      <c r="M318" s="72" t="inlineStr">
        <is>
          <t>01</t>
        </is>
      </c>
      <c r="N318" s="72" t="inlineStr">
        <is>
          <t>NFE</t>
        </is>
      </c>
      <c r="P318" s="70" t="n">
        <v>103</v>
      </c>
      <c r="Q318" s="72" t="inlineStr">
        <is>
          <t>MILKA FRANCIS</t>
        </is>
      </c>
      <c r="R318" s="72" t="inlineStr">
        <is>
          <t>ESTOQUE DE MERCADORIAS</t>
        </is>
      </c>
      <c r="S318" s="70" t="n">
        <v>1130101</v>
      </c>
      <c r="T318" s="72" t="inlineStr">
        <is>
          <t>MERCADORIAS P/REVENDA</t>
        </is>
      </c>
      <c r="U318" s="73" t="n">
        <v>1885.18</v>
      </c>
      <c r="W318" s="73" t="n">
        <v>0</v>
      </c>
      <c r="X318" s="72" t="inlineStr">
        <is>
          <t>NF 1137626 - MILKA</t>
        </is>
      </c>
      <c r="Z318" s="59">
        <f>IF($T318="","",IFERROR(INDEX('Resumo Grupos'!$AC$3:$AC$200,MATCH($T318,'Resumo Grupos'!$AB$3:$AB$200,0)),"n/d"))</f>
        <v/>
      </c>
      <c r="AA318" s="59">
        <f>IF($T318="","",IF(COUNTIF('Resumo Grupos'!$AE$3:$AE$40,$T318)&gt;0,"NAO","SIM"))</f>
        <v/>
      </c>
    </row>
    <row r="319" ht="36.75" customHeight="1" s="60">
      <c r="A319" s="70" t="n">
        <v>1</v>
      </c>
      <c r="B319" s="71" t="n">
        <v>46175</v>
      </c>
      <c r="C319" s="71" t="n">
        <v>46184</v>
      </c>
      <c r="D319" s="70" t="n">
        <v>1723</v>
      </c>
      <c r="E319" s="72" t="inlineStr">
        <is>
          <t>COMERCIO DE FRIOS MANAUS LTDA</t>
        </is>
      </c>
      <c r="F319" s="70" t="n">
        <v>24</v>
      </c>
      <c r="G319" s="72" t="inlineStr">
        <is>
          <t>Compra a Prazo - Boletos</t>
        </is>
      </c>
      <c r="H319" s="70" t="n">
        <v>2110101</v>
      </c>
      <c r="I319" s="72" t="inlineStr">
        <is>
          <t>FORNECEDORES DE MERCADORIA</t>
        </is>
      </c>
      <c r="J319" s="70" t="n">
        <v>1191245</v>
      </c>
      <c r="L319" s="70" t="n">
        <v>170852</v>
      </c>
      <c r="M319" s="72" t="inlineStr">
        <is>
          <t>01</t>
        </is>
      </c>
      <c r="N319" s="72" t="inlineStr">
        <is>
          <t>NFE</t>
        </is>
      </c>
      <c r="P319" s="70" t="n">
        <v>103</v>
      </c>
      <c r="Q319" s="72" t="inlineStr">
        <is>
          <t>MILKA FRANCIS</t>
        </is>
      </c>
      <c r="R319" s="72" t="inlineStr">
        <is>
          <t>ESTOQUE DE MERCADORIAS</t>
        </is>
      </c>
      <c r="S319" s="70" t="n">
        <v>1130101</v>
      </c>
      <c r="T319" s="72" t="inlineStr">
        <is>
          <t>MERCADORIAS P/REVENDA</t>
        </is>
      </c>
      <c r="U319" s="73" t="n">
        <v>2569.25</v>
      </c>
      <c r="W319" s="73" t="n">
        <v>0</v>
      </c>
      <c r="X319" s="72" t="inlineStr">
        <is>
          <t>NF170852 - MILKA</t>
        </is>
      </c>
      <c r="Z319" s="59">
        <f>IF($T319="","",IFERROR(INDEX('Resumo Grupos'!$AC$3:$AC$200,MATCH($T319,'Resumo Grupos'!$AB$3:$AB$200,0)),"n/d"))</f>
        <v/>
      </c>
      <c r="AA319" s="59">
        <f>IF($T319="","",IF(COUNTIF('Resumo Grupos'!$AE$3:$AE$40,$T319)&gt;0,"NAO","SIM"))</f>
        <v/>
      </c>
    </row>
    <row r="320" ht="36.75" customHeight="1" s="60">
      <c r="A320" s="70" t="n">
        <v>1</v>
      </c>
      <c r="B320" s="71" t="n">
        <v>46179</v>
      </c>
      <c r="C320" s="71" t="n">
        <v>46184</v>
      </c>
      <c r="D320" s="70" t="n">
        <v>1899</v>
      </c>
      <c r="E320" s="72" t="inlineStr">
        <is>
          <t>PANIFICADORA E CONFEITARIA REAL MADRI LTDA</t>
        </is>
      </c>
      <c r="F320" s="70" t="n">
        <v>24</v>
      </c>
      <c r="G320" s="72" t="inlineStr">
        <is>
          <t>Compra a Prazo - Boletos</t>
        </is>
      </c>
      <c r="H320" s="70" t="n">
        <v>2110101</v>
      </c>
      <c r="I320" s="72" t="inlineStr">
        <is>
          <t>FORNECEDORES DE MERCADORIA</t>
        </is>
      </c>
      <c r="J320" s="70" t="n">
        <v>1210926</v>
      </c>
      <c r="L320" s="70" t="n">
        <v>653</v>
      </c>
      <c r="M320" s="72" t="inlineStr">
        <is>
          <t>01</t>
        </is>
      </c>
      <c r="N320" s="72" t="inlineStr">
        <is>
          <t>NFE</t>
        </is>
      </c>
      <c r="P320" s="70" t="n">
        <v>103</v>
      </c>
      <c r="Q320" s="72" t="inlineStr">
        <is>
          <t>MILKA FRANCIS</t>
        </is>
      </c>
      <c r="R320" s="72" t="inlineStr">
        <is>
          <t>ESTOQUE DE MERCADORIAS</t>
        </is>
      </c>
      <c r="S320" s="70" t="n">
        <v>1130101</v>
      </c>
      <c r="T320" s="72" t="inlineStr">
        <is>
          <t>MERCADORIAS P/REVENDA</t>
        </is>
      </c>
      <c r="U320" s="73" t="n">
        <v>684.35</v>
      </c>
      <c r="W320" s="73" t="n">
        <v>0</v>
      </c>
      <c r="X320" s="72" t="inlineStr">
        <is>
          <t>NF 653 - MILKA</t>
        </is>
      </c>
      <c r="Z320" s="59">
        <f>IF($T320="","",IFERROR(INDEX('Resumo Grupos'!$AC$3:$AC$200,MATCH($T320,'Resumo Grupos'!$AB$3:$AB$200,0)),"n/d"))</f>
        <v/>
      </c>
      <c r="AA320" s="59">
        <f>IF($T320="","",IF(COUNTIF('Resumo Grupos'!$AE$3:$AE$40,$T320)&gt;0,"NAO","SIM"))</f>
        <v/>
      </c>
    </row>
    <row r="321" ht="36.75" customHeight="1" s="60">
      <c r="A321" s="70" t="n">
        <v>1</v>
      </c>
      <c r="B321" s="71" t="n">
        <v>46181</v>
      </c>
      <c r="C321" s="71" t="n">
        <v>46184</v>
      </c>
      <c r="D321" s="70" t="n">
        <v>1899</v>
      </c>
      <c r="E321" s="72" t="inlineStr">
        <is>
          <t>PANIFICADORA E CONFEITARIA REAL MADRI LTDA</t>
        </is>
      </c>
      <c r="F321" s="70" t="n">
        <v>24</v>
      </c>
      <c r="G321" s="72" t="inlineStr">
        <is>
          <t>Compra a Prazo - Boletos</t>
        </is>
      </c>
      <c r="H321" s="70" t="n">
        <v>2110101</v>
      </c>
      <c r="I321" s="72" t="inlineStr">
        <is>
          <t>FORNECEDORES DE MERCADORIA</t>
        </is>
      </c>
      <c r="J321" s="70" t="n">
        <v>1223438</v>
      </c>
      <c r="L321" s="70" t="n">
        <v>657</v>
      </c>
      <c r="M321" s="72" t="inlineStr">
        <is>
          <t>01</t>
        </is>
      </c>
      <c r="N321" s="72" t="inlineStr">
        <is>
          <t>NFE</t>
        </is>
      </c>
      <c r="P321" s="70" t="n">
        <v>103</v>
      </c>
      <c r="Q321" s="72" t="inlineStr">
        <is>
          <t>MILKA FRANCIS</t>
        </is>
      </c>
      <c r="R321" s="72" t="inlineStr">
        <is>
          <t>ESTOQUE DE MERCADORIAS</t>
        </is>
      </c>
      <c r="S321" s="70" t="n">
        <v>1130101</v>
      </c>
      <c r="T321" s="72" t="inlineStr">
        <is>
          <t>MERCADORIAS P/REVENDA</t>
        </is>
      </c>
      <c r="U321" s="73" t="n">
        <v>840</v>
      </c>
      <c r="W321" s="73" t="n">
        <v>0</v>
      </c>
      <c r="X321" s="72" t="inlineStr">
        <is>
          <t>NF 657 - MILKA</t>
        </is>
      </c>
      <c r="Z321" s="59">
        <f>IF($T321="","",IFERROR(INDEX('Resumo Grupos'!$AC$3:$AC$200,MATCH($T321,'Resumo Grupos'!$AB$3:$AB$200,0)),"n/d"))</f>
        <v/>
      </c>
      <c r="AA321" s="59">
        <f>IF($T321="","",IF(COUNTIF('Resumo Grupos'!$AE$3:$AE$40,$T321)&gt;0,"NAO","SIM"))</f>
        <v/>
      </c>
    </row>
    <row r="322" ht="36.75" customHeight="1" s="60">
      <c r="A322" s="70" t="n">
        <v>1</v>
      </c>
      <c r="B322" s="71" t="n">
        <v>46182</v>
      </c>
      <c r="C322" s="71" t="n">
        <v>46184</v>
      </c>
      <c r="D322" s="70" t="n">
        <v>642</v>
      </c>
      <c r="E322" s="72" t="inlineStr">
        <is>
          <t>ADICSO FABIAN GONZALEZ MONTILLA 70302186</t>
        </is>
      </c>
      <c r="F322" s="70" t="n">
        <v>24</v>
      </c>
      <c r="G322" s="72" t="inlineStr">
        <is>
          <t>Compra a Prazo - Boletos</t>
        </is>
      </c>
      <c r="H322" s="70" t="n">
        <v>2110101</v>
      </c>
      <c r="I322" s="72" t="inlineStr">
        <is>
          <t>FORNECEDORES DE MERCADORIA</t>
        </is>
      </c>
      <c r="J322" s="70" t="n">
        <v>1226930</v>
      </c>
      <c r="L322" s="70" t="n">
        <v>492</v>
      </c>
      <c r="M322" s="72" t="inlineStr">
        <is>
          <t>01</t>
        </is>
      </c>
      <c r="N322" s="72" t="inlineStr">
        <is>
          <t>NFE</t>
        </is>
      </c>
      <c r="P322" s="70" t="n">
        <v>103</v>
      </c>
      <c r="Q322" s="72" t="inlineStr">
        <is>
          <t>MILKA FRANCIS</t>
        </is>
      </c>
      <c r="R322" s="72" t="inlineStr">
        <is>
          <t>ESTOQUE DE MERCADORIAS</t>
        </is>
      </c>
      <c r="S322" s="70" t="n">
        <v>1130101</v>
      </c>
      <c r="T322" s="72" t="inlineStr">
        <is>
          <t>MERCADORIAS P/REVENDA</t>
        </is>
      </c>
      <c r="U322" s="73" t="n">
        <v>828</v>
      </c>
      <c r="W322" s="73" t="n">
        <v>0</v>
      </c>
      <c r="X322" s="72" t="inlineStr">
        <is>
          <t>NF 492 BLOOM - MILKA</t>
        </is>
      </c>
      <c r="Z322" s="59">
        <f>IF($T322="","",IFERROR(INDEX('Resumo Grupos'!$AC$3:$AC$200,MATCH($T322,'Resumo Grupos'!$AB$3:$AB$200,0)),"n/d"))</f>
        <v/>
      </c>
      <c r="AA322" s="59">
        <f>IF($T322="","",IF(COUNTIF('Resumo Grupos'!$AE$3:$AE$40,$T322)&gt;0,"NAO","SIM"))</f>
        <v/>
      </c>
    </row>
    <row r="323" ht="36.75" customHeight="1" s="60">
      <c r="A323" s="70" t="n">
        <v>1</v>
      </c>
      <c r="B323" s="71" t="n">
        <v>46158</v>
      </c>
      <c r="C323" s="71" t="n">
        <v>46185</v>
      </c>
      <c r="D323" s="70" t="n">
        <v>1608</v>
      </c>
      <c r="E323" s="72" t="inlineStr">
        <is>
          <t>DISTRIBUIDORA LOPES LTDA</t>
        </is>
      </c>
      <c r="F323" s="70" t="n">
        <v>24</v>
      </c>
      <c r="G323" s="72" t="inlineStr">
        <is>
          <t>Compra a Prazo - Boletos</t>
        </is>
      </c>
      <c r="H323" s="70" t="n">
        <v>2110101</v>
      </c>
      <c r="I323" s="72" t="inlineStr">
        <is>
          <t>FORNECEDORES DE MERCADORIA</t>
        </is>
      </c>
      <c r="J323" s="70" t="n">
        <v>1107211</v>
      </c>
      <c r="L323" s="70" t="n">
        <v>1655460</v>
      </c>
      <c r="M323" s="72" t="inlineStr">
        <is>
          <t>02</t>
        </is>
      </c>
      <c r="N323" s="72" t="inlineStr">
        <is>
          <t>NFE</t>
        </is>
      </c>
      <c r="P323" s="70" t="n">
        <v>103</v>
      </c>
      <c r="Q323" s="72" t="inlineStr">
        <is>
          <t>MILKA FRANCIS</t>
        </is>
      </c>
      <c r="R323" s="72" t="inlineStr">
        <is>
          <t>ESTOQUE DE MERCADORIAS</t>
        </is>
      </c>
      <c r="S323" s="70" t="n">
        <v>1130101</v>
      </c>
      <c r="T323" s="72" t="inlineStr">
        <is>
          <t>MERCADORIAS P/REVENDA</t>
        </is>
      </c>
      <c r="U323" s="73" t="n">
        <v>1761.42</v>
      </c>
      <c r="W323" s="73" t="n">
        <v>0</v>
      </c>
      <c r="X323" s="72" t="inlineStr">
        <is>
          <t>NF 1655460-2 MILKA</t>
        </is>
      </c>
      <c r="Z323" s="59">
        <f>IF($T323="","",IFERROR(INDEX('Resumo Grupos'!$AC$3:$AC$200,MATCH($T323,'Resumo Grupos'!$AB$3:$AB$200,0)),"n/d"))</f>
        <v/>
      </c>
      <c r="AA323" s="59">
        <f>IF($T323="","",IF(COUNTIF('Resumo Grupos'!$AE$3:$AE$40,$T323)&gt;0,"NAO","SIM"))</f>
        <v/>
      </c>
    </row>
    <row r="324" ht="45.75" customHeight="1" s="60">
      <c r="A324" s="70" t="n">
        <v>1</v>
      </c>
      <c r="B324" s="71" t="n">
        <v>46161</v>
      </c>
      <c r="C324" s="71" t="n">
        <v>46185</v>
      </c>
      <c r="D324" s="70" t="n">
        <v>1612</v>
      </c>
      <c r="E324" s="72" t="inlineStr">
        <is>
          <t>EMPRESA BRASILEIRA DE DISTRIBUICAO LTDA</t>
        </is>
      </c>
      <c r="F324" s="70" t="n">
        <v>24</v>
      </c>
      <c r="G324" s="72" t="inlineStr">
        <is>
          <t>Compra a Prazo - Boletos</t>
        </is>
      </c>
      <c r="H324" s="70" t="n">
        <v>2110101</v>
      </c>
      <c r="I324" s="72" t="inlineStr">
        <is>
          <t>FORNECEDORES DE MERCADORIA</t>
        </is>
      </c>
      <c r="J324" s="70" t="n">
        <v>1122094</v>
      </c>
      <c r="L324" s="70" t="n">
        <v>2284331</v>
      </c>
      <c r="M324" s="72" t="inlineStr">
        <is>
          <t>03</t>
        </is>
      </c>
      <c r="N324" s="72" t="inlineStr">
        <is>
          <t>NFE</t>
        </is>
      </c>
      <c r="P324" s="70" t="n">
        <v>103</v>
      </c>
      <c r="Q324" s="72" t="inlineStr">
        <is>
          <t>MILKA FRANCIS</t>
        </is>
      </c>
      <c r="R324" s="72" t="inlineStr">
        <is>
          <t>ESTOQUE DE MERCADORIAS</t>
        </is>
      </c>
      <c r="S324" s="70" t="n">
        <v>1130101</v>
      </c>
      <c r="T324" s="72" t="inlineStr">
        <is>
          <t>MERCADORIAS P/REVENDA</t>
        </is>
      </c>
      <c r="U324" s="73" t="n">
        <v>1137.4</v>
      </c>
      <c r="W324" s="73" t="n">
        <v>0</v>
      </c>
      <c r="X324" s="72" t="inlineStr">
        <is>
          <t>NF 2284331-3 MILKA</t>
        </is>
      </c>
      <c r="Z324" s="59">
        <f>IF($T324="","",IFERROR(INDEX('Resumo Grupos'!$AC$3:$AC$200,MATCH($T324,'Resumo Grupos'!$AB$3:$AB$200,0)),"n/d"))</f>
        <v/>
      </c>
      <c r="AA324" s="59">
        <f>IF($T324="","",IF(COUNTIF('Resumo Grupos'!$AE$3:$AE$40,$T324)&gt;0,"NAO","SIM"))</f>
        <v/>
      </c>
    </row>
    <row r="325" ht="45.75" customHeight="1" s="60">
      <c r="A325" s="70" t="n">
        <v>1</v>
      </c>
      <c r="B325" s="71" t="n">
        <v>46164</v>
      </c>
      <c r="C325" s="71" t="n">
        <v>46185</v>
      </c>
      <c r="D325" s="70" t="n">
        <v>1740</v>
      </c>
      <c r="E325" s="72" t="inlineStr">
        <is>
          <t>OCIDENTAL COMERCIO DE FRIOS LTDA</t>
        </is>
      </c>
      <c r="F325" s="70" t="n">
        <v>24</v>
      </c>
      <c r="G325" s="72" t="inlineStr">
        <is>
          <t>Compra a Prazo - Boletos</t>
        </is>
      </c>
      <c r="H325" s="70" t="n">
        <v>2110101</v>
      </c>
      <c r="I325" s="72" t="inlineStr">
        <is>
          <t>FORNECEDORES DE MERCADORIA</t>
        </is>
      </c>
      <c r="J325" s="70" t="n">
        <v>1137452</v>
      </c>
      <c r="L325" s="70" t="n">
        <v>1226733</v>
      </c>
      <c r="M325" s="72" t="inlineStr">
        <is>
          <t>02</t>
        </is>
      </c>
      <c r="N325" s="72" t="inlineStr">
        <is>
          <t>NFE</t>
        </is>
      </c>
      <c r="P325" s="70" t="n">
        <v>103</v>
      </c>
      <c r="Q325" s="72" t="inlineStr">
        <is>
          <t>MILKA FRANCIS</t>
        </is>
      </c>
      <c r="R325" s="72" t="inlineStr">
        <is>
          <t>ESTOQUE DE MERCADORIAS</t>
        </is>
      </c>
      <c r="S325" s="70" t="n">
        <v>1130101</v>
      </c>
      <c r="T325" s="72" t="inlineStr">
        <is>
          <t>MERCADORIAS P/REVENDA</t>
        </is>
      </c>
      <c r="U325" s="73" t="n">
        <v>2987.73</v>
      </c>
      <c r="W325" s="73" t="n">
        <v>0</v>
      </c>
      <c r="X325" s="72" t="inlineStr">
        <is>
          <t>NF 1226733-2/2 MILKA</t>
        </is>
      </c>
      <c r="Z325" s="59">
        <f>IF($T325="","",IFERROR(INDEX('Resumo Grupos'!$AC$3:$AC$200,MATCH($T325,'Resumo Grupos'!$AB$3:$AB$200,0)),"n/d"))</f>
        <v/>
      </c>
      <c r="AA325" s="59">
        <f>IF($T325="","",IF(COUNTIF('Resumo Grupos'!$AE$3:$AE$40,$T325)&gt;0,"NAO","SIM"))</f>
        <v/>
      </c>
    </row>
    <row r="326" ht="36.75" customHeight="1" s="60">
      <c r="A326" s="70" t="n">
        <v>1</v>
      </c>
      <c r="B326" s="71" t="n">
        <v>46164</v>
      </c>
      <c r="C326" s="71" t="n">
        <v>46185</v>
      </c>
      <c r="D326" s="70" t="n">
        <v>10033</v>
      </c>
      <c r="E326" s="72" t="inlineStr">
        <is>
          <t>INNOVAR DISTRIBUIDORA DE COSMETICOS E MEDICAMENTOS LTDA</t>
        </is>
      </c>
      <c r="F326" s="70" t="n">
        <v>24</v>
      </c>
      <c r="G326" s="72" t="inlineStr">
        <is>
          <t>Compra a Prazo - Boletos</t>
        </is>
      </c>
      <c r="H326" s="70" t="n">
        <v>2110101</v>
      </c>
      <c r="I326" s="72" t="inlineStr">
        <is>
          <t>FORNECEDORES DE MERCADORIA</t>
        </is>
      </c>
      <c r="J326" s="70" t="n">
        <v>1137545</v>
      </c>
      <c r="L326" s="70" t="n">
        <v>100830</v>
      </c>
      <c r="M326" s="72" t="inlineStr">
        <is>
          <t>02</t>
        </is>
      </c>
      <c r="N326" s="72" t="inlineStr">
        <is>
          <t>NFE</t>
        </is>
      </c>
      <c r="P326" s="70" t="n">
        <v>103</v>
      </c>
      <c r="Q326" s="72" t="inlineStr">
        <is>
          <t>MILKA FRANCIS</t>
        </is>
      </c>
      <c r="R326" s="72" t="inlineStr">
        <is>
          <t>ESTOQUE DE MERCADORIAS</t>
        </is>
      </c>
      <c r="S326" s="70" t="n">
        <v>1130101</v>
      </c>
      <c r="T326" s="72" t="inlineStr">
        <is>
          <t>MERCADORIAS P/REVENDA</t>
        </is>
      </c>
      <c r="U326" s="73" t="n">
        <v>1358.58</v>
      </c>
      <c r="W326" s="73" t="n">
        <v>0</v>
      </c>
      <c r="X326" s="72" t="inlineStr">
        <is>
          <t>NF100830 -2 MILKA</t>
        </is>
      </c>
      <c r="Z326" s="59">
        <f>IF($T326="","",IFERROR(INDEX('Resumo Grupos'!$AC$3:$AC$200,MATCH($T326,'Resumo Grupos'!$AB$3:$AB$200,0)),"n/d"))</f>
        <v/>
      </c>
      <c r="AA326" s="59">
        <f>IF($T326="","",IF(COUNTIF('Resumo Grupos'!$AE$3:$AE$40,$T326)&gt;0,"NAO","SIM"))</f>
        <v/>
      </c>
    </row>
    <row r="327" ht="36.75" customHeight="1" s="60">
      <c r="A327" s="70" t="n">
        <v>1</v>
      </c>
      <c r="B327" s="71" t="n">
        <v>46164</v>
      </c>
      <c r="C327" s="71" t="n">
        <v>46185</v>
      </c>
      <c r="D327" s="70" t="n">
        <v>1666</v>
      </c>
      <c r="E327" s="72" t="inlineStr">
        <is>
          <t>SOUZA CRUZ LTDA.</t>
        </is>
      </c>
      <c r="F327" s="70" t="n">
        <v>24</v>
      </c>
      <c r="G327" s="72" t="inlineStr">
        <is>
          <t>Compra a Prazo - Boletos</t>
        </is>
      </c>
      <c r="H327" s="70" t="n">
        <v>2110101</v>
      </c>
      <c r="I327" s="72" t="inlineStr">
        <is>
          <t>FORNECEDORES DE MERCADORIA</t>
        </is>
      </c>
      <c r="J327" s="70" t="n">
        <v>1138081</v>
      </c>
      <c r="L327" s="70" t="n">
        <v>475008</v>
      </c>
      <c r="M327" s="72" t="inlineStr">
        <is>
          <t>03</t>
        </is>
      </c>
      <c r="N327" s="72" t="inlineStr">
        <is>
          <t>AVU</t>
        </is>
      </c>
      <c r="P327" s="70" t="n">
        <v>103</v>
      </c>
      <c r="Q327" s="72" t="inlineStr">
        <is>
          <t>MILKA FRANCIS</t>
        </is>
      </c>
      <c r="R327" s="72" t="inlineStr">
        <is>
          <t>ESTOQUE DE MERCADORIAS</t>
        </is>
      </c>
      <c r="S327" s="70" t="n">
        <v>1130101</v>
      </c>
      <c r="T327" s="72" t="inlineStr">
        <is>
          <t>MERCADORIAS P/REVENDA</t>
        </is>
      </c>
      <c r="U327" s="73" t="n">
        <v>5074.94</v>
      </c>
      <c r="W327" s="73" t="n">
        <v>0</v>
      </c>
      <c r="X327" s="72" t="inlineStr">
        <is>
          <t>NF 560924 -03 MILKA</t>
        </is>
      </c>
      <c r="Z327" s="59">
        <f>IF($T327="","",IFERROR(INDEX('Resumo Grupos'!$AC$3:$AC$200,MATCH($T327,'Resumo Grupos'!$AB$3:$AB$200,0)),"n/d"))</f>
        <v/>
      </c>
      <c r="AA327" s="59">
        <f>IF($T327="","",IF(COUNTIF('Resumo Grupos'!$AE$3:$AE$40,$T327)&gt;0,"NAO","SIM"))</f>
        <v/>
      </c>
    </row>
    <row r="328" ht="36.75" customHeight="1" s="60">
      <c r="A328" s="70" t="n">
        <v>1</v>
      </c>
      <c r="B328" s="71" t="n">
        <v>46164</v>
      </c>
      <c r="C328" s="71" t="n">
        <v>46185</v>
      </c>
      <c r="D328" s="70" t="n">
        <v>1812</v>
      </c>
      <c r="E328" s="72" t="inlineStr">
        <is>
          <t>A K LIMA DE ANDRADE</t>
        </is>
      </c>
      <c r="F328" s="70" t="n">
        <v>24</v>
      </c>
      <c r="G328" s="72" t="inlineStr">
        <is>
          <t>Compra a Prazo - Boletos</t>
        </is>
      </c>
      <c r="H328" s="70" t="n">
        <v>2110101</v>
      </c>
      <c r="I328" s="72" t="inlineStr">
        <is>
          <t>FORNECEDORES DE MERCADORIA</t>
        </is>
      </c>
      <c r="J328" s="70" t="n">
        <v>1138279</v>
      </c>
      <c r="L328" s="70" t="n">
        <v>2707</v>
      </c>
      <c r="M328" s="72" t="inlineStr">
        <is>
          <t>02</t>
        </is>
      </c>
      <c r="N328" s="72" t="inlineStr">
        <is>
          <t>NFE</t>
        </is>
      </c>
      <c r="P328" s="70" t="n">
        <v>103</v>
      </c>
      <c r="Q328" s="72" t="inlineStr">
        <is>
          <t>MILKA FRANCIS</t>
        </is>
      </c>
      <c r="R328" s="72" t="inlineStr">
        <is>
          <t>ESTOQUE DE MERCADORIAS</t>
        </is>
      </c>
      <c r="S328" s="70" t="n">
        <v>1130101</v>
      </c>
      <c r="T328" s="72" t="inlineStr">
        <is>
          <t>MERCADORIAS P/REVENDA</t>
        </is>
      </c>
      <c r="U328" s="73" t="n">
        <v>1267</v>
      </c>
      <c r="W328" s="73" t="n">
        <v>0</v>
      </c>
      <c r="X328" s="72" t="inlineStr">
        <is>
          <t>1064/02 NF2707 - MILKA</t>
        </is>
      </c>
      <c r="Z328" s="59">
        <f>IF($T328="","",IFERROR(INDEX('Resumo Grupos'!$AC$3:$AC$200,MATCH($T328,'Resumo Grupos'!$AB$3:$AB$200,0)),"n/d"))</f>
        <v/>
      </c>
      <c r="AA328" s="59">
        <f>IF($T328="","",IF(COUNTIF('Resumo Grupos'!$AE$3:$AE$40,$T328)&gt;0,"NAO","SIM"))</f>
        <v/>
      </c>
    </row>
    <row r="329" ht="36.75" customHeight="1" s="60">
      <c r="A329" s="70" t="n">
        <v>1</v>
      </c>
      <c r="B329" s="71" t="n">
        <v>46169</v>
      </c>
      <c r="C329" s="71" t="n">
        <v>46185</v>
      </c>
      <c r="D329" s="70" t="n">
        <v>1711</v>
      </c>
      <c r="E329" s="72" t="inlineStr">
        <is>
          <t>J. A. F. DE LIMA</t>
        </is>
      </c>
      <c r="F329" s="70" t="n">
        <v>24</v>
      </c>
      <c r="G329" s="72" t="inlineStr">
        <is>
          <t>Compra a Prazo - Boletos</t>
        </is>
      </c>
      <c r="H329" s="70" t="n">
        <v>2110101</v>
      </c>
      <c r="I329" s="72" t="inlineStr">
        <is>
          <t>FORNECEDORES DE MERCADORIA</t>
        </is>
      </c>
      <c r="J329" s="70" t="n">
        <v>1162093</v>
      </c>
      <c r="L329" s="70" t="n">
        <v>155121</v>
      </c>
      <c r="M329" s="72" t="inlineStr">
        <is>
          <t>01</t>
        </is>
      </c>
      <c r="N329" s="72" t="inlineStr">
        <is>
          <t>NFE</t>
        </is>
      </c>
      <c r="P329" s="70" t="n">
        <v>103</v>
      </c>
      <c r="Q329" s="72" t="inlineStr">
        <is>
          <t>MILKA FRANCIS</t>
        </is>
      </c>
      <c r="R329" s="72" t="inlineStr">
        <is>
          <t>ESTOQUE DE MERCADORIAS</t>
        </is>
      </c>
      <c r="S329" s="70" t="n">
        <v>1130101</v>
      </c>
      <c r="T329" s="72" t="inlineStr">
        <is>
          <t>MERCADORIAS P/REVENDA</t>
        </is>
      </c>
      <c r="U329" s="73" t="n">
        <v>1118.58</v>
      </c>
      <c r="W329" s="73" t="n">
        <v>0</v>
      </c>
      <c r="X329" s="72" t="inlineStr">
        <is>
          <t>NF 155121/1 MILKA</t>
        </is>
      </c>
      <c r="Z329" s="59">
        <f>IF($T329="","",IFERROR(INDEX('Resumo Grupos'!$AC$3:$AC$200,MATCH($T329,'Resumo Grupos'!$AB$3:$AB$200,0)),"n/d"))</f>
        <v/>
      </c>
      <c r="AA329" s="59">
        <f>IF($T329="","",IF(COUNTIF('Resumo Grupos'!$AE$3:$AE$40,$T329)&gt;0,"NAO","SIM"))</f>
        <v/>
      </c>
    </row>
    <row r="330" ht="36.75" customHeight="1" s="60">
      <c r="A330" s="70" t="n">
        <v>1</v>
      </c>
      <c r="B330" s="71" t="n">
        <v>46170</v>
      </c>
      <c r="C330" s="71" t="n">
        <v>46185</v>
      </c>
      <c r="D330" s="70" t="n">
        <v>1699</v>
      </c>
      <c r="E330" s="72" t="inlineStr">
        <is>
          <t>L S M COMERCIO DE ALIMENTOS E NAVEGACAO</t>
        </is>
      </c>
      <c r="F330" s="70" t="n">
        <v>24</v>
      </c>
      <c r="G330" s="72" t="inlineStr">
        <is>
          <t>Compra a Prazo - Boletos</t>
        </is>
      </c>
      <c r="H330" s="70" t="n">
        <v>2110101</v>
      </c>
      <c r="I330" s="72" t="inlineStr">
        <is>
          <t>FORNECEDORES DE MERCADORIA</t>
        </is>
      </c>
      <c r="J330" s="70" t="n">
        <v>1167683</v>
      </c>
      <c r="L330" s="70" t="n">
        <v>302508</v>
      </c>
      <c r="M330" s="72" t="inlineStr">
        <is>
          <t>01</t>
        </is>
      </c>
      <c r="N330" s="72" t="inlineStr">
        <is>
          <t>NFE</t>
        </is>
      </c>
      <c r="P330" s="70" t="n">
        <v>103</v>
      </c>
      <c r="Q330" s="72" t="inlineStr">
        <is>
          <t>MILKA FRANCIS</t>
        </is>
      </c>
      <c r="R330" s="72" t="inlineStr">
        <is>
          <t>ESTOQUE DE MERCADORIAS</t>
        </is>
      </c>
      <c r="S330" s="70" t="n">
        <v>1130101</v>
      </c>
      <c r="T330" s="72" t="inlineStr">
        <is>
          <t>MERCADORIAS P/REVENDA</t>
        </is>
      </c>
      <c r="U330" s="73" t="n">
        <v>769.83</v>
      </c>
      <c r="W330" s="73" t="n">
        <v>0</v>
      </c>
      <c r="X330" s="72" t="inlineStr">
        <is>
          <t>NF 302508 - 1 MILKA</t>
        </is>
      </c>
      <c r="Z330" s="59">
        <f>IF($T330="","",IFERROR(INDEX('Resumo Grupos'!$AC$3:$AC$200,MATCH($T330,'Resumo Grupos'!$AB$3:$AB$200,0)),"n/d"))</f>
        <v/>
      </c>
      <c r="AA330" s="59">
        <f>IF($T330="","",IF(COUNTIF('Resumo Grupos'!$AE$3:$AE$40,$T330)&gt;0,"NAO","SIM"))</f>
        <v/>
      </c>
    </row>
    <row r="331" ht="36.75" customHeight="1" s="60">
      <c r="A331" s="70" t="n">
        <v>1</v>
      </c>
      <c r="B331" s="71" t="n">
        <v>46171</v>
      </c>
      <c r="C331" s="71" t="n">
        <v>46185</v>
      </c>
      <c r="D331" s="70" t="n">
        <v>1666</v>
      </c>
      <c r="E331" s="72" t="inlineStr">
        <is>
          <t>SOUZA CRUZ LTDA.</t>
        </is>
      </c>
      <c r="F331" s="70" t="n">
        <v>24</v>
      </c>
      <c r="G331" s="72" t="inlineStr">
        <is>
          <t>Compra a Prazo - Boletos</t>
        </is>
      </c>
      <c r="H331" s="70" t="n">
        <v>2110101</v>
      </c>
      <c r="I331" s="72" t="inlineStr">
        <is>
          <t>FORNECEDORES DE MERCADORIA</t>
        </is>
      </c>
      <c r="J331" s="70" t="n">
        <v>1170738</v>
      </c>
      <c r="L331" s="70" t="n">
        <v>561905</v>
      </c>
      <c r="M331" s="72" t="inlineStr">
        <is>
          <t>01</t>
        </is>
      </c>
      <c r="N331" s="72" t="inlineStr">
        <is>
          <t>NFE</t>
        </is>
      </c>
      <c r="P331" s="70" t="n">
        <v>103</v>
      </c>
      <c r="Q331" s="72" t="inlineStr">
        <is>
          <t>MILKA FRANCIS</t>
        </is>
      </c>
      <c r="R331" s="72" t="inlineStr">
        <is>
          <t>ESTOQUE DE MERCADORIAS</t>
        </is>
      </c>
      <c r="S331" s="70" t="n">
        <v>1130101</v>
      </c>
      <c r="T331" s="72" t="inlineStr">
        <is>
          <t>MERCADORIAS P/REVENDA</t>
        </is>
      </c>
      <c r="U331" s="73" t="n">
        <v>3874.39</v>
      </c>
      <c r="W331" s="73" t="n">
        <v>0</v>
      </c>
      <c r="X331" s="72" t="inlineStr">
        <is>
          <t>NF 561905 -01 MILKA</t>
        </is>
      </c>
      <c r="Z331" s="59">
        <f>IF($T331="","",IFERROR(INDEX('Resumo Grupos'!$AC$3:$AC$200,MATCH($T331,'Resumo Grupos'!$AB$3:$AB$200,0)),"n/d"))</f>
        <v/>
      </c>
      <c r="AA331" s="59">
        <f>IF($T331="","",IF(COUNTIF('Resumo Grupos'!$AE$3:$AE$40,$T331)&gt;0,"NAO","SIM"))</f>
        <v/>
      </c>
    </row>
    <row r="332" ht="45.75" customHeight="1" s="60">
      <c r="A332" s="70" t="n">
        <v>1</v>
      </c>
      <c r="B332" s="71" t="n">
        <v>46172</v>
      </c>
      <c r="C332" s="71" t="n">
        <v>46185</v>
      </c>
      <c r="D332" s="70" t="n">
        <v>1114</v>
      </c>
      <c r="E332" s="72" t="inlineStr">
        <is>
          <t>NT INDUSTRIA E COMERCIO DE PANIFICACAO L</t>
        </is>
      </c>
      <c r="F332" s="70" t="n">
        <v>24</v>
      </c>
      <c r="G332" s="72" t="inlineStr">
        <is>
          <t>Compra a Prazo - Boletos</t>
        </is>
      </c>
      <c r="H332" s="70" t="n">
        <v>2110101</v>
      </c>
      <c r="I332" s="72" t="inlineStr">
        <is>
          <t>FORNECEDORES DE MERCADORIA</t>
        </is>
      </c>
      <c r="J332" s="70" t="n">
        <v>1176324</v>
      </c>
      <c r="L332" s="70" t="n">
        <v>37014</v>
      </c>
      <c r="M332" s="72" t="inlineStr">
        <is>
          <t>01</t>
        </is>
      </c>
      <c r="N332" s="72" t="inlineStr">
        <is>
          <t>NFE</t>
        </is>
      </c>
      <c r="P332" s="70" t="n">
        <v>103</v>
      </c>
      <c r="Q332" s="72" t="inlineStr">
        <is>
          <t>MILKA FRANCIS</t>
        </is>
      </c>
      <c r="R332" s="72" t="inlineStr">
        <is>
          <t>ESTOQUE DE MERCADORIAS</t>
        </is>
      </c>
      <c r="S332" s="70" t="n">
        <v>1130101</v>
      </c>
      <c r="T332" s="72" t="inlineStr">
        <is>
          <t>MERCADORIAS P/REVENDA</t>
        </is>
      </c>
      <c r="U332" s="73" t="n">
        <v>5516.12</v>
      </c>
      <c r="W332" s="73" t="n">
        <v>0</v>
      </c>
      <c r="X332" s="72" t="inlineStr">
        <is>
          <t>NF 37014 - 1 MILKA</t>
        </is>
      </c>
      <c r="Z332" s="59">
        <f>IF($T332="","",IFERROR(INDEX('Resumo Grupos'!$AC$3:$AC$200,MATCH($T332,'Resumo Grupos'!$AB$3:$AB$200,0)),"n/d"))</f>
        <v/>
      </c>
      <c r="AA332" s="59">
        <f>IF($T332="","",IF(COUNTIF('Resumo Grupos'!$AE$3:$AE$40,$T332)&gt;0,"NAO","SIM"))</f>
        <v/>
      </c>
    </row>
    <row r="333" ht="36.75" customHeight="1" s="60">
      <c r="A333" s="70" t="n">
        <v>1</v>
      </c>
      <c r="B333" s="71" t="n">
        <v>46172</v>
      </c>
      <c r="C333" s="71" t="n">
        <v>46185</v>
      </c>
      <c r="D333" s="70" t="n">
        <v>10037</v>
      </c>
      <c r="E333" s="72" t="inlineStr">
        <is>
          <t>FORTVET DISTRIBUIDORA LTDA</t>
        </is>
      </c>
      <c r="F333" s="70" t="n">
        <v>24</v>
      </c>
      <c r="G333" s="72" t="inlineStr">
        <is>
          <t>Compra a Prazo - Boletos</t>
        </is>
      </c>
      <c r="H333" s="70" t="n">
        <v>2110101</v>
      </c>
      <c r="I333" s="72" t="inlineStr">
        <is>
          <t>FORNECEDORES DE MERCADORIA</t>
        </is>
      </c>
      <c r="J333" s="70" t="n">
        <v>1177340</v>
      </c>
      <c r="L333" s="70" t="n">
        <v>2068</v>
      </c>
      <c r="M333" s="72" t="inlineStr">
        <is>
          <t>01</t>
        </is>
      </c>
      <c r="N333" s="72" t="inlineStr">
        <is>
          <t>NFE</t>
        </is>
      </c>
      <c r="P333" s="70" t="n">
        <v>103</v>
      </c>
      <c r="Q333" s="72" t="inlineStr">
        <is>
          <t>MILKA FRANCIS</t>
        </is>
      </c>
      <c r="R333" s="72" t="inlineStr">
        <is>
          <t>ESTOQUE DE MERCADORIAS</t>
        </is>
      </c>
      <c r="S333" s="70" t="n">
        <v>1130101</v>
      </c>
      <c r="T333" s="72" t="inlineStr">
        <is>
          <t>MERCADORIAS P/REVENDA</t>
        </is>
      </c>
      <c r="U333" s="73" t="n">
        <v>1609.45</v>
      </c>
      <c r="W333" s="73" t="n">
        <v>0</v>
      </c>
      <c r="X333" s="72" t="inlineStr">
        <is>
          <t>NF2068-1 MILKA</t>
        </is>
      </c>
      <c r="Z333" s="59">
        <f>IF($T333="","",IFERROR(INDEX('Resumo Grupos'!$AC$3:$AC$200,MATCH($T333,'Resumo Grupos'!$AB$3:$AB$200,0)),"n/d"))</f>
        <v/>
      </c>
      <c r="AA333" s="59">
        <f>IF($T333="","",IF(COUNTIF('Resumo Grupos'!$AE$3:$AE$40,$T333)&gt;0,"NAO","SIM"))</f>
        <v/>
      </c>
    </row>
    <row r="334" ht="27.75" customHeight="1" s="60">
      <c r="A334" s="70" t="n">
        <v>1</v>
      </c>
      <c r="B334" s="71" t="n">
        <v>46175</v>
      </c>
      <c r="C334" s="71" t="n">
        <v>46185</v>
      </c>
      <c r="D334" s="70" t="n">
        <v>1723</v>
      </c>
      <c r="E334" s="72" t="inlineStr">
        <is>
          <t>COMERCIO DE FRIOS MANAUS LTDA</t>
        </is>
      </c>
      <c r="F334" s="70" t="n">
        <v>24</v>
      </c>
      <c r="G334" s="72" t="inlineStr">
        <is>
          <t>Compra a Prazo - Boletos</t>
        </is>
      </c>
      <c r="H334" s="70" t="n">
        <v>2110101</v>
      </c>
      <c r="I334" s="72" t="inlineStr">
        <is>
          <t>FORNECEDORES DE MERCADORIA</t>
        </is>
      </c>
      <c r="J334" s="70" t="n">
        <v>1193353</v>
      </c>
      <c r="L334" s="70" t="n">
        <v>170905</v>
      </c>
      <c r="M334" s="72" t="inlineStr">
        <is>
          <t>01</t>
        </is>
      </c>
      <c r="N334" s="72" t="inlineStr">
        <is>
          <t>NFE</t>
        </is>
      </c>
      <c r="P334" s="70" t="n">
        <v>103</v>
      </c>
      <c r="Q334" s="72" t="inlineStr">
        <is>
          <t>MILKA FRANCIS</t>
        </is>
      </c>
      <c r="R334" s="72" t="inlineStr">
        <is>
          <t>ESTOQUE DE MERCADORIAS</t>
        </is>
      </c>
      <c r="S334" s="70" t="n">
        <v>1130101</v>
      </c>
      <c r="T334" s="72" t="inlineStr">
        <is>
          <t>MERCADORIAS P/REVENDA</t>
        </is>
      </c>
      <c r="U334" s="73" t="n">
        <v>4425.75</v>
      </c>
      <c r="W334" s="73" t="n">
        <v>0</v>
      </c>
      <c r="X334" s="72" t="inlineStr">
        <is>
          <t>NF170905 - MILKA</t>
        </is>
      </c>
      <c r="Z334" s="59">
        <f>IF($T334="","",IFERROR(INDEX('Resumo Grupos'!$AC$3:$AC$200,MATCH($T334,'Resumo Grupos'!$AB$3:$AB$200,0)),"n/d"))</f>
        <v/>
      </c>
      <c r="AA334" s="59">
        <f>IF($T334="","",IF(COUNTIF('Resumo Grupos'!$AE$3:$AE$40,$T334)&gt;0,"NAO","SIM"))</f>
        <v/>
      </c>
    </row>
    <row r="335" ht="36.75" customHeight="1" s="60">
      <c r="A335" s="70" t="n">
        <v>1</v>
      </c>
      <c r="B335" s="71" t="n">
        <v>46178</v>
      </c>
      <c r="C335" s="71" t="n">
        <v>46185</v>
      </c>
      <c r="D335" s="70" t="n">
        <v>1789</v>
      </c>
      <c r="E335" s="72" t="inlineStr">
        <is>
          <t>AMAZONAS ENERGIA S/A</t>
        </is>
      </c>
      <c r="F335" s="70" t="n">
        <v>24</v>
      </c>
      <c r="G335" s="72" t="inlineStr">
        <is>
          <t>Compra a Prazo - Boletos</t>
        </is>
      </c>
      <c r="H335" s="70" t="n">
        <v>2110405</v>
      </c>
      <c r="I335" s="72" t="inlineStr">
        <is>
          <t>CONTAS A PAGAR</t>
        </is>
      </c>
      <c r="J335" s="70" t="n">
        <v>1206876</v>
      </c>
      <c r="L335" s="70" t="n">
        <v>502094</v>
      </c>
      <c r="M335" s="72" t="inlineStr">
        <is>
          <t>01</t>
        </is>
      </c>
      <c r="N335" s="72" t="inlineStr">
        <is>
          <t>AVU</t>
        </is>
      </c>
      <c r="P335" s="70" t="n">
        <v>101</v>
      </c>
      <c r="Q335" s="72" t="inlineStr">
        <is>
          <t>KEILA LIMA</t>
        </is>
      </c>
      <c r="R335" s="72" t="inlineStr">
        <is>
          <t>DESPESAS COMERCIAIS</t>
        </is>
      </c>
      <c r="S335" s="70" t="n">
        <v>4210112</v>
      </c>
      <c r="T335" s="72" t="inlineStr">
        <is>
          <t>ENERGIA ELETRICA</t>
        </is>
      </c>
      <c r="U335" s="73" t="n">
        <v>21041.22</v>
      </c>
      <c r="W335" s="73" t="n">
        <v>0</v>
      </c>
      <c r="X335" s="72" t="inlineStr">
        <is>
          <t>ENERGIA MO1 - KEILA</t>
        </is>
      </c>
      <c r="Z335" s="59">
        <f>IF($T335="","",IFERROR(INDEX('Resumo Grupos'!$AC$3:$AC$200,MATCH($T335,'Resumo Grupos'!$AB$3:$AB$200,0)),"n/d"))</f>
        <v/>
      </c>
      <c r="AA335" s="59">
        <f>IF($T335="","",IF(COUNTIF('Resumo Grupos'!$AE$3:$AE$40,$T335)&gt;0,"NAO","SIM"))</f>
        <v/>
      </c>
    </row>
    <row r="336" ht="63.75" customHeight="1" s="60">
      <c r="A336" s="70" t="n">
        <v>1</v>
      </c>
      <c r="B336" s="71" t="n">
        <v>46179</v>
      </c>
      <c r="C336" s="71" t="n">
        <v>46185</v>
      </c>
      <c r="D336" s="70" t="n">
        <v>1609</v>
      </c>
      <c r="E336" s="72" t="inlineStr">
        <is>
          <t>H. L. DO NASCIMENTO</t>
        </is>
      </c>
      <c r="F336" s="70" t="n">
        <v>24</v>
      </c>
      <c r="G336" s="72" t="inlineStr">
        <is>
          <t>Compra a Prazo - Boletos</t>
        </is>
      </c>
      <c r="H336" s="70" t="n">
        <v>2110101</v>
      </c>
      <c r="I336" s="72" t="inlineStr">
        <is>
          <t>FORNECEDORES DE MERCADORIA</t>
        </is>
      </c>
      <c r="J336" s="70" t="n">
        <v>1210942</v>
      </c>
      <c r="L336" s="70" t="n">
        <v>5619</v>
      </c>
      <c r="M336" s="72" t="inlineStr">
        <is>
          <t>01</t>
        </is>
      </c>
      <c r="N336" s="72" t="inlineStr">
        <is>
          <t>NFE</t>
        </is>
      </c>
      <c r="P336" s="70" t="n">
        <v>103</v>
      </c>
      <c r="Q336" s="72" t="inlineStr">
        <is>
          <t>MILKA FRANCIS</t>
        </is>
      </c>
      <c r="R336" s="72" t="inlineStr">
        <is>
          <t>ESTOQUE DE MERCADORIAS</t>
        </is>
      </c>
      <c r="S336" s="70" t="n">
        <v>1130101</v>
      </c>
      <c r="T336" s="72" t="inlineStr">
        <is>
          <t>MERCADORIAS P/REVENDA</t>
        </is>
      </c>
      <c r="U336" s="73" t="n">
        <v>430.3</v>
      </c>
      <c r="W336" s="73" t="n">
        <v>0</v>
      </c>
      <c r="X336" s="72" t="inlineStr">
        <is>
          <t>NF 5619 FAZENDINHA - MILKA</t>
        </is>
      </c>
      <c r="Z336" s="59">
        <f>IF($T336="","",IFERROR(INDEX('Resumo Grupos'!$AC$3:$AC$200,MATCH($T336,'Resumo Grupos'!$AB$3:$AB$200,0)),"n/d"))</f>
        <v/>
      </c>
      <c r="AA336" s="59">
        <f>IF($T336="","",IF(COUNTIF('Resumo Grupos'!$AE$3:$AE$40,$T336)&gt;0,"NAO","SIM"))</f>
        <v/>
      </c>
    </row>
    <row r="337" ht="36.75" customHeight="1" s="60">
      <c r="A337" s="70" t="n">
        <v>1</v>
      </c>
      <c r="B337" s="71" t="n">
        <v>46179</v>
      </c>
      <c r="C337" s="71" t="n">
        <v>46185</v>
      </c>
      <c r="D337" s="70" t="n">
        <v>1363</v>
      </c>
      <c r="E337" s="72" t="inlineStr">
        <is>
          <t>JAB COMERCIO DE PRODUTOS ALIMENTICIOS LT</t>
        </is>
      </c>
      <c r="F337" s="70" t="n">
        <v>24</v>
      </c>
      <c r="G337" s="72" t="inlineStr">
        <is>
          <t>Compra a Prazo - Boletos</t>
        </is>
      </c>
      <c r="H337" s="70" t="n">
        <v>2110101</v>
      </c>
      <c r="I337" s="72" t="inlineStr">
        <is>
          <t>FORNECEDORES DE MERCADORIA</t>
        </is>
      </c>
      <c r="J337" s="70" t="n">
        <v>1210990</v>
      </c>
      <c r="L337" s="70" t="n">
        <v>3319</v>
      </c>
      <c r="M337" s="72" t="inlineStr">
        <is>
          <t>01</t>
        </is>
      </c>
      <c r="N337" s="72" t="inlineStr">
        <is>
          <t>NFE</t>
        </is>
      </c>
      <c r="P337" s="70" t="n">
        <v>103</v>
      </c>
      <c r="Q337" s="72" t="inlineStr">
        <is>
          <t>MILKA FRANCIS</t>
        </is>
      </c>
      <c r="R337" s="72" t="inlineStr">
        <is>
          <t>ESTOQUE DE MERCADORIAS</t>
        </is>
      </c>
      <c r="S337" s="70" t="n">
        <v>1130101</v>
      </c>
      <c r="T337" s="72" t="inlineStr">
        <is>
          <t>MERCADORIAS P/REVENDA</t>
        </is>
      </c>
      <c r="U337" s="73" t="n">
        <v>410</v>
      </c>
      <c r="W337" s="73" t="n">
        <v>0</v>
      </c>
      <c r="X337" s="72" t="inlineStr">
        <is>
          <t>NF 3319 SANTOPAO - MILKA</t>
        </is>
      </c>
      <c r="Z337" s="59">
        <f>IF($T337="","",IFERROR(INDEX('Resumo Grupos'!$AC$3:$AC$200,MATCH($T337,'Resumo Grupos'!$AB$3:$AB$200,0)),"n/d"))</f>
        <v/>
      </c>
      <c r="AA337" s="59">
        <f>IF($T337="","",IF(COUNTIF('Resumo Grupos'!$AE$3:$AE$40,$T337)&gt;0,"NAO","SIM"))</f>
        <v/>
      </c>
    </row>
    <row r="338" ht="36.75" customHeight="1" s="60">
      <c r="A338" s="70" t="n">
        <v>1</v>
      </c>
      <c r="B338" s="71" t="n">
        <v>46179</v>
      </c>
      <c r="C338" s="71" t="n">
        <v>46185</v>
      </c>
      <c r="D338" s="70" t="n">
        <v>1286</v>
      </c>
      <c r="E338" s="72" t="inlineStr">
        <is>
          <t>VITAPAN COMERCIO VAREJISTA DE PRODUTOS ALIMENTICIOS LTDA</t>
        </is>
      </c>
      <c r="F338" s="70" t="n">
        <v>24</v>
      </c>
      <c r="G338" s="72" t="inlineStr">
        <is>
          <t>Compra a Prazo - Boletos</t>
        </is>
      </c>
      <c r="H338" s="70" t="n">
        <v>2110101</v>
      </c>
      <c r="I338" s="72" t="inlineStr">
        <is>
          <t>FORNECEDORES DE MERCADORIA</t>
        </is>
      </c>
      <c r="J338" s="70" t="n">
        <v>1211212</v>
      </c>
      <c r="L338" s="70" t="n">
        <v>10024</v>
      </c>
      <c r="M338" s="72" t="inlineStr">
        <is>
          <t>01</t>
        </is>
      </c>
      <c r="N338" s="72" t="inlineStr">
        <is>
          <t>NFE</t>
        </is>
      </c>
      <c r="P338" s="70" t="n">
        <v>103</v>
      </c>
      <c r="Q338" s="72" t="inlineStr">
        <is>
          <t>MILKA FRANCIS</t>
        </is>
      </c>
      <c r="R338" s="72" t="inlineStr">
        <is>
          <t>ESTOQUE DE MERCADORIAS</t>
        </is>
      </c>
      <c r="S338" s="70" t="n">
        <v>1130101</v>
      </c>
      <c r="T338" s="72" t="inlineStr">
        <is>
          <t>MERCADORIAS P/REVENDA</t>
        </is>
      </c>
      <c r="U338" s="73" t="n">
        <v>1296</v>
      </c>
      <c r="W338" s="73" t="n">
        <v>0</v>
      </c>
      <c r="X338" s="72" t="inlineStr">
        <is>
          <t xml:space="preserve"> NF 10024 - MILKA</t>
        </is>
      </c>
      <c r="Z338" s="59">
        <f>IF($T338="","",IFERROR(INDEX('Resumo Grupos'!$AC$3:$AC$200,MATCH($T338,'Resumo Grupos'!$AB$3:$AB$200,0)),"n/d"))</f>
        <v/>
      </c>
      <c r="AA338" s="59">
        <f>IF($T338="","",IF(COUNTIF('Resumo Grupos'!$AE$3:$AE$40,$T338)&gt;0,"NAO","SIM"))</f>
        <v/>
      </c>
    </row>
    <row r="339" ht="45.75" customHeight="1" s="60">
      <c r="A339" s="70" t="n">
        <v>1</v>
      </c>
      <c r="B339" s="71" t="n">
        <v>46181</v>
      </c>
      <c r="C339" s="71" t="n">
        <v>46185</v>
      </c>
      <c r="D339" s="70" t="n">
        <v>1621</v>
      </c>
      <c r="E339" s="72" t="inlineStr">
        <is>
          <t>CRBS S/A</t>
        </is>
      </c>
      <c r="F339" s="70" t="n">
        <v>24</v>
      </c>
      <c r="G339" s="72" t="inlineStr">
        <is>
          <t>Compra a Prazo - Boletos</t>
        </is>
      </c>
      <c r="H339" s="70" t="n">
        <v>2110101</v>
      </c>
      <c r="I339" s="72" t="inlineStr">
        <is>
          <t>FORNECEDORES DE MERCADORIA</t>
        </is>
      </c>
      <c r="J339" s="70" t="n">
        <v>1222718</v>
      </c>
      <c r="L339" s="70" t="n">
        <v>841669</v>
      </c>
      <c r="M339" s="72" t="inlineStr">
        <is>
          <t>01</t>
        </is>
      </c>
      <c r="N339" s="72" t="inlineStr">
        <is>
          <t>NFE</t>
        </is>
      </c>
      <c r="P339" s="70" t="n">
        <v>103</v>
      </c>
      <c r="Q339" s="72" t="inlineStr">
        <is>
          <t>MILKA FRANCIS</t>
        </is>
      </c>
      <c r="R339" s="72" t="inlineStr">
        <is>
          <t>ESTOQUE DE MERCADORIAS</t>
        </is>
      </c>
      <c r="S339" s="70" t="n">
        <v>1130101</v>
      </c>
      <c r="T339" s="72" t="inlineStr">
        <is>
          <t>MERCADORIAS P/REVENDA</t>
        </is>
      </c>
      <c r="U339" s="73" t="n">
        <v>2181.83</v>
      </c>
      <c r="W339" s="73" t="n">
        <v>0</v>
      </c>
      <c r="X339" s="72" t="inlineStr">
        <is>
          <t>NF 841669 - MILKA</t>
        </is>
      </c>
      <c r="Z339" s="59">
        <f>IF($T339="","",IFERROR(INDEX('Resumo Grupos'!$AC$3:$AC$200,MATCH($T339,'Resumo Grupos'!$AB$3:$AB$200,0)),"n/d"))</f>
        <v/>
      </c>
      <c r="AA339" s="59">
        <f>IF($T339="","",IF(COUNTIF('Resumo Grupos'!$AE$3:$AE$40,$T339)&gt;0,"NAO","SIM"))</f>
        <v/>
      </c>
    </row>
    <row r="340" ht="63.75" customHeight="1" s="60">
      <c r="A340" s="70" t="n">
        <v>1</v>
      </c>
      <c r="B340" s="71" t="n">
        <v>46182</v>
      </c>
      <c r="C340" s="71" t="n">
        <v>46185</v>
      </c>
      <c r="D340" s="70" t="n">
        <v>1328</v>
      </c>
      <c r="E340" s="72" t="inlineStr">
        <is>
          <t>NOVA FRIOS COMERCIO ATACADISTA DE LATICINIOS LTDA</t>
        </is>
      </c>
      <c r="F340" s="70" t="n">
        <v>24</v>
      </c>
      <c r="G340" s="72" t="inlineStr">
        <is>
          <t>Compra a Prazo - Boletos</t>
        </is>
      </c>
      <c r="H340" s="70" t="n">
        <v>2110101</v>
      </c>
      <c r="I340" s="72" t="inlineStr">
        <is>
          <t>FORNECEDORES DE MERCADORIA</t>
        </is>
      </c>
      <c r="J340" s="70" t="n">
        <v>1226935</v>
      </c>
      <c r="L340" s="70" t="n">
        <v>3669</v>
      </c>
      <c r="M340" s="72" t="inlineStr">
        <is>
          <t>01</t>
        </is>
      </c>
      <c r="N340" s="72" t="inlineStr">
        <is>
          <t>NFE</t>
        </is>
      </c>
      <c r="P340" s="70" t="n">
        <v>103</v>
      </c>
      <c r="Q340" s="72" t="inlineStr">
        <is>
          <t>MILKA FRANCIS</t>
        </is>
      </c>
      <c r="R340" s="72" t="inlineStr">
        <is>
          <t>ESTOQUE DE MERCADORIAS</t>
        </is>
      </c>
      <c r="S340" s="70" t="n">
        <v>1130101</v>
      </c>
      <c r="T340" s="72" t="inlineStr">
        <is>
          <t>MERCADORIAS P/REVENDA</t>
        </is>
      </c>
      <c r="U340" s="73" t="n">
        <v>276.6</v>
      </c>
      <c r="W340" s="73" t="n">
        <v>0</v>
      </c>
      <c r="X340" s="72" t="inlineStr">
        <is>
          <t>NF 3669 BODEGA - MILKA</t>
        </is>
      </c>
      <c r="Z340" s="59">
        <f>IF($T340="","",IFERROR(INDEX('Resumo Grupos'!$AC$3:$AC$200,MATCH($T340,'Resumo Grupos'!$AB$3:$AB$200,0)),"n/d"))</f>
        <v/>
      </c>
      <c r="AA340" s="59">
        <f>IF($T340="","",IF(COUNTIF('Resumo Grupos'!$AE$3:$AE$40,$T340)&gt;0,"NAO","SIM"))</f>
        <v/>
      </c>
    </row>
    <row r="341" ht="36.75" customHeight="1" s="60">
      <c r="A341" s="70" t="n">
        <v>1</v>
      </c>
      <c r="B341" s="71" t="n">
        <v>46182</v>
      </c>
      <c r="C341" s="71" t="n">
        <v>46185</v>
      </c>
      <c r="D341" s="70" t="n">
        <v>1815</v>
      </c>
      <c r="E341" s="72" t="inlineStr">
        <is>
          <t>J G COMERCIO DE PRODUTOS ALIMENTICIOS LTDA</t>
        </is>
      </c>
      <c r="F341" s="70" t="n">
        <v>24</v>
      </c>
      <c r="G341" s="72" t="inlineStr">
        <is>
          <t>Compra a Prazo - Boletos</t>
        </is>
      </c>
      <c r="H341" s="70" t="n">
        <v>2110101</v>
      </c>
      <c r="I341" s="72" t="inlineStr">
        <is>
          <t>FORNECEDORES DE MERCADORIA</t>
        </is>
      </c>
      <c r="J341" s="70" t="n">
        <v>1228300</v>
      </c>
      <c r="L341" s="70" t="n">
        <v>385264</v>
      </c>
      <c r="M341" s="72" t="inlineStr">
        <is>
          <t>01</t>
        </is>
      </c>
      <c r="N341" s="72" t="inlineStr">
        <is>
          <t>NFE</t>
        </is>
      </c>
      <c r="P341" s="70" t="n">
        <v>103</v>
      </c>
      <c r="Q341" s="72" t="inlineStr">
        <is>
          <t>MILKA FRANCIS</t>
        </is>
      </c>
      <c r="R341" s="72" t="inlineStr">
        <is>
          <t>ESTOQUE DE MERCADORIAS</t>
        </is>
      </c>
      <c r="S341" s="70" t="n">
        <v>1130101</v>
      </c>
      <c r="T341" s="72" t="inlineStr">
        <is>
          <t>MERCADORIAS P/REVENDA</t>
        </is>
      </c>
      <c r="U341" s="73" t="n">
        <v>1777.43</v>
      </c>
      <c r="W341" s="73" t="n">
        <v>0</v>
      </c>
      <c r="X341" s="72" t="inlineStr">
        <is>
          <t>448617-A/C  NF385264 - MILKA</t>
        </is>
      </c>
      <c r="Z341" s="59">
        <f>IF($T341="","",IFERROR(INDEX('Resumo Grupos'!$AC$3:$AC$200,MATCH($T341,'Resumo Grupos'!$AB$3:$AB$200,0)),"n/d"))</f>
        <v/>
      </c>
      <c r="AA341" s="59">
        <f>IF($T341="","",IF(COUNTIF('Resumo Grupos'!$AE$3:$AE$40,$T341)&gt;0,"NAO","SIM"))</f>
        <v/>
      </c>
    </row>
    <row r="342" ht="36.75" customHeight="1" s="60">
      <c r="A342" s="70" t="n">
        <v>1</v>
      </c>
      <c r="B342" s="71" t="n">
        <v>46185</v>
      </c>
      <c r="C342" s="71" t="n">
        <v>46185</v>
      </c>
      <c r="D342" s="70" t="n">
        <v>1768</v>
      </c>
      <c r="E342" s="72" t="inlineStr">
        <is>
          <t>GOLD SERVICE</t>
        </is>
      </c>
      <c r="F342" s="70" t="n">
        <v>34</v>
      </c>
      <c r="G342" s="72" t="inlineStr">
        <is>
          <t>Transferencia Pix</t>
        </is>
      </c>
      <c r="H342" s="70" t="n">
        <v>2110405</v>
      </c>
      <c r="I342" s="72" t="inlineStr">
        <is>
          <t>CONTAS A PAGAR</t>
        </is>
      </c>
      <c r="J342" s="70" t="n">
        <v>1240146</v>
      </c>
      <c r="L342" s="70" t="n">
        <v>515078</v>
      </c>
      <c r="M342" s="72" t="inlineStr">
        <is>
          <t>01</t>
        </is>
      </c>
      <c r="N342" s="72" t="inlineStr">
        <is>
          <t>AVU</t>
        </is>
      </c>
      <c r="P342" s="70" t="n">
        <v>102</v>
      </c>
      <c r="Q342" s="72" t="inlineStr">
        <is>
          <t>ANDREZA ANDRADE</t>
        </is>
      </c>
      <c r="R342" s="72" t="inlineStr">
        <is>
          <t>DESPESAS OPERACIONAIS</t>
        </is>
      </c>
      <c r="S342" s="70" t="n">
        <v>4210202</v>
      </c>
      <c r="T342" s="72" t="inlineStr">
        <is>
          <t>HONORARIOS CONTABEIS</t>
        </is>
      </c>
      <c r="U342" s="73" t="n">
        <v>2431.5</v>
      </c>
      <c r="W342" s="73" t="n">
        <v>0</v>
      </c>
      <c r="X342" s="72" t="inlineStr">
        <is>
          <t>MENSALIDADE GOLD MO1-ANDREZA</t>
        </is>
      </c>
      <c r="Z342" s="59">
        <f>IF($T342="","",IFERROR(INDEX('Resumo Grupos'!$AC$3:$AC$200,MATCH($T342,'Resumo Grupos'!$AB$3:$AB$200,0)),"n/d"))</f>
        <v/>
      </c>
      <c r="AA342" s="59">
        <f>IF($T342="","",IF(COUNTIF('Resumo Grupos'!$AE$3:$AE$40,$T342)&gt;0,"NAO","SIM"))</f>
        <v/>
      </c>
    </row>
    <row r="343" ht="36.75" customHeight="1" s="60">
      <c r="A343" s="70" t="n">
        <v>1</v>
      </c>
      <c r="B343" s="71" t="n">
        <v>46185</v>
      </c>
      <c r="C343" s="71" t="n">
        <v>46185</v>
      </c>
      <c r="D343" s="70" t="n">
        <v>33</v>
      </c>
      <c r="E343" s="72" t="inlineStr">
        <is>
          <t>RENATO DE O AZEVEDO E CIA LTDA - EPP</t>
        </is>
      </c>
      <c r="F343" s="70" t="n">
        <v>34</v>
      </c>
      <c r="G343" s="72" t="inlineStr">
        <is>
          <t>Transferencia Pix</t>
        </is>
      </c>
      <c r="H343" s="70" t="n">
        <v>2110101</v>
      </c>
      <c r="I343" s="72" t="inlineStr">
        <is>
          <t>FORNECEDORES DE MERCADORIA</t>
        </is>
      </c>
      <c r="J343" s="70" t="n">
        <v>1241422</v>
      </c>
      <c r="L343" s="70" t="n">
        <v>5114</v>
      </c>
      <c r="M343" s="72" t="inlineStr">
        <is>
          <t>01</t>
        </is>
      </c>
      <c r="N343" s="72" t="inlineStr">
        <is>
          <t>NFE</t>
        </is>
      </c>
      <c r="P343" s="70" t="n">
        <v>104</v>
      </c>
      <c r="Q343" s="72" t="inlineStr">
        <is>
          <t>DEBORA COSTA</t>
        </is>
      </c>
      <c r="R343" s="72" t="inlineStr">
        <is>
          <t>ESTOQUE DE MERCADORIAS</t>
        </is>
      </c>
      <c r="S343" s="70" t="n">
        <v>1130101</v>
      </c>
      <c r="T343" s="72" t="inlineStr">
        <is>
          <t>MERCADORIAS P/REVENDA</t>
        </is>
      </c>
      <c r="U343" s="73" t="n">
        <v>2966</v>
      </c>
      <c r="W343" s="73" t="n">
        <v>0</v>
      </c>
      <c r="X343" s="72" t="inlineStr">
        <is>
          <t>FEIRA SR RENATO - DEBORA</t>
        </is>
      </c>
      <c r="Z343" s="59">
        <f>IF($T343="","",IFERROR(INDEX('Resumo Grupos'!$AC$3:$AC$200,MATCH($T343,'Resumo Grupos'!$AB$3:$AB$200,0)),"n/d"))</f>
        <v/>
      </c>
      <c r="AA343" s="59">
        <f>IF($T343="","",IF(COUNTIF('Resumo Grupos'!$AE$3:$AE$40,$T343)&gt;0,"NAO","SIM"))</f>
        <v/>
      </c>
    </row>
    <row r="344" ht="54.75" customHeight="1" s="60">
      <c r="A344" s="70" t="n">
        <v>1</v>
      </c>
      <c r="B344" s="71" t="n">
        <v>46185</v>
      </c>
      <c r="C344" s="71" t="n">
        <v>46185</v>
      </c>
      <c r="D344" s="70" t="n">
        <v>1038</v>
      </c>
      <c r="E344" s="72" t="inlineStr">
        <is>
          <t>MANOEL TEXEIRA DE SOUZA RESTAURANTE</t>
        </is>
      </c>
      <c r="F344" s="70" t="n">
        <v>13</v>
      </c>
      <c r="G344" s="72" t="inlineStr">
        <is>
          <t>Compra a Vista</t>
        </is>
      </c>
      <c r="H344" s="70" t="n">
        <v>2110101</v>
      </c>
      <c r="I344" s="72" t="inlineStr">
        <is>
          <t>FORNECEDORES DE MERCADORIA</t>
        </is>
      </c>
      <c r="J344" s="70" t="n">
        <v>1260938</v>
      </c>
      <c r="L344" s="70" t="n">
        <v>5974</v>
      </c>
      <c r="M344" s="72" t="inlineStr">
        <is>
          <t>01</t>
        </is>
      </c>
      <c r="N344" s="72" t="inlineStr">
        <is>
          <t>NFE</t>
        </is>
      </c>
      <c r="P344" s="70" t="n">
        <v>104</v>
      </c>
      <c r="Q344" s="72" t="inlineStr">
        <is>
          <t>DEBORA COSTA</t>
        </is>
      </c>
      <c r="R344" s="72" t="inlineStr">
        <is>
          <t>ESTOQUE DE MERCADORIAS</t>
        </is>
      </c>
      <c r="S344" s="70" t="n">
        <v>1130101</v>
      </c>
      <c r="T344" s="72" t="inlineStr">
        <is>
          <t>MERCADORIAS P/REVENDA</t>
        </is>
      </c>
      <c r="U344" s="73" t="n">
        <v>420</v>
      </c>
      <c r="W344" s="73" t="n">
        <v>0</v>
      </c>
      <c r="X344" s="72" t="inlineStr">
        <is>
          <t>NF 5974 - DEBORA</t>
        </is>
      </c>
      <c r="Z344" s="59">
        <f>IF($T344="","",IFERROR(INDEX('Resumo Grupos'!$AC$3:$AC$200,MATCH($T344,'Resumo Grupos'!$AB$3:$AB$200,0)),"n/d"))</f>
        <v/>
      </c>
      <c r="AA344" s="59">
        <f>IF($T344="","",IF(COUNTIF('Resumo Grupos'!$AE$3:$AE$40,$T344)&gt;0,"NAO","SIM"))</f>
        <v/>
      </c>
    </row>
    <row r="345" ht="54.75" customHeight="1" s="60">
      <c r="A345" s="70" t="n">
        <v>1</v>
      </c>
      <c r="B345" s="71" t="n">
        <v>46185</v>
      </c>
      <c r="C345" s="71" t="n">
        <v>46185</v>
      </c>
      <c r="D345" s="70" t="n">
        <v>10035</v>
      </c>
      <c r="E345" s="72" t="inlineStr">
        <is>
          <t>J W N DOS SANTOS</t>
        </is>
      </c>
      <c r="F345" s="70" t="n">
        <v>13</v>
      </c>
      <c r="G345" s="72" t="inlineStr">
        <is>
          <t>Compra a Vista</t>
        </is>
      </c>
      <c r="H345" s="70" t="n">
        <v>2110101</v>
      </c>
      <c r="I345" s="72" t="inlineStr">
        <is>
          <t>FORNECEDORES DE MERCADORIA</t>
        </is>
      </c>
      <c r="J345" s="70" t="n">
        <v>1261004</v>
      </c>
      <c r="L345" s="70" t="n">
        <v>307</v>
      </c>
      <c r="M345" s="72" t="inlineStr">
        <is>
          <t>01</t>
        </is>
      </c>
      <c r="N345" s="72" t="inlineStr">
        <is>
          <t>NFE</t>
        </is>
      </c>
      <c r="P345" s="70" t="n">
        <v>104</v>
      </c>
      <c r="Q345" s="72" t="inlineStr">
        <is>
          <t>DEBORA COSTA</t>
        </is>
      </c>
      <c r="R345" s="72" t="inlineStr">
        <is>
          <t>ESTOQUE DE MERCADORIAS</t>
        </is>
      </c>
      <c r="S345" s="70" t="n">
        <v>1130101</v>
      </c>
      <c r="T345" s="72" t="inlineStr">
        <is>
          <t>MERCADORIAS P/REVENDA</t>
        </is>
      </c>
      <c r="U345" s="73" t="n">
        <v>381</v>
      </c>
      <c r="W345" s="73" t="n">
        <v>0</v>
      </c>
      <c r="X345" s="72" t="inlineStr">
        <is>
          <t>NF 307 - DEBORA</t>
        </is>
      </c>
      <c r="Z345" s="59">
        <f>IF($T345="","",IFERROR(INDEX('Resumo Grupos'!$AC$3:$AC$200,MATCH($T345,'Resumo Grupos'!$AB$3:$AB$200,0)),"n/d"))</f>
        <v/>
      </c>
      <c r="AA345" s="59">
        <f>IF($T345="","",IF(COUNTIF('Resumo Grupos'!$AE$3:$AE$40,$T345)&gt;0,"NAO","SIM"))</f>
        <v/>
      </c>
    </row>
    <row r="346" ht="54.75" customHeight="1" s="60">
      <c r="A346" s="70" t="n">
        <v>1</v>
      </c>
      <c r="B346" s="71" t="n">
        <v>46105</v>
      </c>
      <c r="C346" s="71" t="n">
        <v>46186</v>
      </c>
      <c r="D346" s="70" t="n">
        <v>607</v>
      </c>
      <c r="E346" s="72" t="inlineStr">
        <is>
          <t>PRIME PET DISTRIBUIDORA LTDA</t>
        </is>
      </c>
      <c r="F346" s="70" t="n">
        <v>24</v>
      </c>
      <c r="G346" s="72" t="inlineStr">
        <is>
          <t>Compra a Prazo - Boletos</t>
        </is>
      </c>
      <c r="H346" s="70" t="n">
        <v>2110101</v>
      </c>
      <c r="I346" s="72" t="inlineStr">
        <is>
          <t>FORNECEDORES DE MERCADORIA</t>
        </is>
      </c>
      <c r="J346" s="70" t="n">
        <v>848141</v>
      </c>
      <c r="L346" s="70" t="n">
        <v>9409</v>
      </c>
      <c r="M346" s="72" t="inlineStr">
        <is>
          <t>09</t>
        </is>
      </c>
      <c r="N346" s="72" t="inlineStr">
        <is>
          <t>NFE</t>
        </is>
      </c>
      <c r="P346" s="70" t="n">
        <v>103</v>
      </c>
      <c r="Q346" s="72" t="inlineStr">
        <is>
          <t>MILKA FRANCIS</t>
        </is>
      </c>
      <c r="R346" s="72" t="inlineStr">
        <is>
          <t>ESTOQUE DE MERCADORIAS</t>
        </is>
      </c>
      <c r="S346" s="70" t="n">
        <v>1130101</v>
      </c>
      <c r="T346" s="72" t="inlineStr">
        <is>
          <t>MERCADORIAS P/REVENDA</t>
        </is>
      </c>
      <c r="U346" s="73" t="n">
        <v>2195.35</v>
      </c>
      <c r="W346" s="73" t="n">
        <v>0</v>
      </c>
      <c r="X346" s="72" t="inlineStr">
        <is>
          <t>NF 9409 - 09/10 MILKA</t>
        </is>
      </c>
      <c r="Z346" s="59">
        <f>IF($T346="","",IFERROR(INDEX('Resumo Grupos'!$AC$3:$AC$200,MATCH($T346,'Resumo Grupos'!$AB$3:$AB$200,0)),"n/d"))</f>
        <v/>
      </c>
      <c r="AA346" s="59">
        <f>IF($T346="","",IF(COUNTIF('Resumo Grupos'!$AE$3:$AE$40,$T346)&gt;0,"NAO","SIM"))</f>
        <v/>
      </c>
    </row>
    <row r="347" ht="54.75" customHeight="1" s="60">
      <c r="A347" s="70" t="n">
        <v>1</v>
      </c>
      <c r="B347" s="71" t="n">
        <v>46105</v>
      </c>
      <c r="C347" s="71" t="n">
        <v>46186</v>
      </c>
      <c r="D347" s="70" t="n">
        <v>10056</v>
      </c>
      <c r="E347" s="72" t="inlineStr">
        <is>
          <t>BOLT CARD</t>
        </is>
      </c>
      <c r="F347" s="70" t="n">
        <v>42</v>
      </c>
      <c r="G347" s="72" t="inlineStr">
        <is>
          <t>Cartao Itau Novo 4620 Venc 13</t>
        </is>
      </c>
      <c r="H347" s="70" t="n">
        <v>2110405</v>
      </c>
      <c r="I347" s="72" t="inlineStr">
        <is>
          <t>CONTAS A PAGAR</t>
        </is>
      </c>
      <c r="J347" s="70" t="n">
        <v>848843</v>
      </c>
      <c r="L347" s="70" t="n">
        <v>363960</v>
      </c>
      <c r="M347" s="72" t="inlineStr">
        <is>
          <t>03</t>
        </is>
      </c>
      <c r="N347" s="72" t="inlineStr">
        <is>
          <t>AVU</t>
        </is>
      </c>
      <c r="P347" s="70" t="n">
        <v>101</v>
      </c>
      <c r="Q347" s="72" t="inlineStr">
        <is>
          <t>KEILA LIMA</t>
        </is>
      </c>
      <c r="R347" s="72" t="inlineStr">
        <is>
          <t>DESPESAS NAO OPERACIONAIS</t>
        </is>
      </c>
      <c r="S347" s="70" t="n">
        <v>4220199</v>
      </c>
      <c r="T347" s="72" t="inlineStr">
        <is>
          <t>PAGAMENTOS OUTROS NAO OPERACIONAIS</t>
        </is>
      </c>
      <c r="U347" s="73" t="n">
        <v>333.33</v>
      </c>
      <c r="W347" s="73" t="n">
        <v>0</v>
      </c>
      <c r="X347" s="72" t="inlineStr">
        <is>
          <t>DESPESA - CARTAO BRASIL CARD BOLT LOJAS - KEILA</t>
        </is>
      </c>
      <c r="Z347" s="59">
        <f>IF($T347="","",IFERROR(INDEX('Resumo Grupos'!$AC$3:$AC$200,MATCH($T347,'Resumo Grupos'!$AB$3:$AB$200,0)),"n/d"))</f>
        <v/>
      </c>
      <c r="AA347" s="59">
        <f>IF($T347="","",IF(COUNTIF('Resumo Grupos'!$AE$3:$AE$40,$T347)&gt;0,"NAO","SIM"))</f>
        <v/>
      </c>
    </row>
    <row r="348" ht="54.75" customHeight="1" s="60">
      <c r="A348" s="70" t="n">
        <v>1</v>
      </c>
      <c r="B348" s="71" t="n">
        <v>46154</v>
      </c>
      <c r="C348" s="71" t="n">
        <v>46186</v>
      </c>
      <c r="D348" s="70" t="n">
        <v>10011</v>
      </c>
      <c r="E348" s="72" t="inlineStr">
        <is>
          <t>OPPORTUNITY ALIMENTOS PARA ANIMAIS LTDA</t>
        </is>
      </c>
      <c r="F348" s="70" t="n">
        <v>24</v>
      </c>
      <c r="G348" s="72" t="inlineStr">
        <is>
          <t>Compra a Prazo - Boletos</t>
        </is>
      </c>
      <c r="H348" s="70" t="n">
        <v>2110101</v>
      </c>
      <c r="I348" s="72" t="inlineStr">
        <is>
          <t>FORNECEDORES DE MERCADORIA</t>
        </is>
      </c>
      <c r="J348" s="70" t="n">
        <v>1088997</v>
      </c>
      <c r="L348" s="70" t="n">
        <v>33622</v>
      </c>
      <c r="M348" s="72" t="inlineStr">
        <is>
          <t>02</t>
        </is>
      </c>
      <c r="N348" s="72" t="inlineStr">
        <is>
          <t>NFE</t>
        </is>
      </c>
      <c r="P348" s="70" t="n">
        <v>103</v>
      </c>
      <c r="Q348" s="72" t="inlineStr">
        <is>
          <t>MILKA FRANCIS</t>
        </is>
      </c>
      <c r="R348" s="72" t="inlineStr">
        <is>
          <t>ESTOQUE DE MERCADORIAS</t>
        </is>
      </c>
      <c r="S348" s="70" t="n">
        <v>1130101</v>
      </c>
      <c r="T348" s="72" t="inlineStr">
        <is>
          <t>MERCADORIAS P/REVENDA</t>
        </is>
      </c>
      <c r="U348" s="73" t="n">
        <v>1326</v>
      </c>
      <c r="W348" s="73" t="n">
        <v>0</v>
      </c>
      <c r="X348" s="72" t="inlineStr">
        <is>
          <t>NF 33622 - 2 MILKA</t>
        </is>
      </c>
      <c r="Z348" s="59">
        <f>IF($T348="","",IFERROR(INDEX('Resumo Grupos'!$AC$3:$AC$200,MATCH($T348,'Resumo Grupos'!$AB$3:$AB$200,0)),"n/d"))</f>
        <v/>
      </c>
      <c r="AA348" s="59">
        <f>IF($T348="","",IF(COUNTIF('Resumo Grupos'!$AE$3:$AE$40,$T348)&gt;0,"NAO","SIM"))</f>
        <v/>
      </c>
    </row>
    <row r="349" ht="36.75" customHeight="1" s="60">
      <c r="A349" s="70" t="n">
        <v>1</v>
      </c>
      <c r="B349" s="71" t="n">
        <v>46157</v>
      </c>
      <c r="C349" s="71" t="n">
        <v>46186</v>
      </c>
      <c r="D349" s="70" t="n">
        <v>1671</v>
      </c>
      <c r="E349" s="72" t="inlineStr">
        <is>
          <t>TAPAJOS COM DE PERFUMARIA COSMETICOS E G</t>
        </is>
      </c>
      <c r="F349" s="70" t="n">
        <v>24</v>
      </c>
      <c r="G349" s="72" t="inlineStr">
        <is>
          <t>Compra a Prazo - Boletos</t>
        </is>
      </c>
      <c r="H349" s="70" t="n">
        <v>2110101</v>
      </c>
      <c r="I349" s="72" t="inlineStr">
        <is>
          <t>FORNECEDORES DE MERCADORIA</t>
        </is>
      </c>
      <c r="J349" s="70" t="n">
        <v>1101724</v>
      </c>
      <c r="L349" s="70" t="n">
        <v>461526</v>
      </c>
      <c r="M349" s="72" t="inlineStr">
        <is>
          <t>03</t>
        </is>
      </c>
      <c r="N349" s="72" t="inlineStr">
        <is>
          <t>AVU</t>
        </is>
      </c>
      <c r="P349" s="70" t="n">
        <v>103</v>
      </c>
      <c r="Q349" s="72" t="inlineStr">
        <is>
          <t>MILKA FRANCIS</t>
        </is>
      </c>
      <c r="R349" s="72" t="inlineStr">
        <is>
          <t>ESTOQUE DE MERCADORIAS</t>
        </is>
      </c>
      <c r="S349" s="70" t="n">
        <v>1130101</v>
      </c>
      <c r="T349" s="72" t="inlineStr">
        <is>
          <t>MERCADORIAS P/REVENDA</t>
        </is>
      </c>
      <c r="U349" s="73" t="n">
        <v>1703.51</v>
      </c>
      <c r="W349" s="73" t="n">
        <v>0</v>
      </c>
      <c r="X349" s="72" t="inlineStr">
        <is>
          <t>NF 569357-3 MILKA</t>
        </is>
      </c>
      <c r="Z349" s="59">
        <f>IF($T349="","",IFERROR(INDEX('Resumo Grupos'!$AC$3:$AC$200,MATCH($T349,'Resumo Grupos'!$AB$3:$AB$200,0)),"n/d"))</f>
        <v/>
      </c>
      <c r="AA349" s="59">
        <f>IF($T349="","",IF(COUNTIF('Resumo Grupos'!$AE$3:$AE$40,$T349)&gt;0,"NAO","SIM"))</f>
        <v/>
      </c>
    </row>
    <row r="350" ht="36.75" customHeight="1" s="60">
      <c r="A350" s="70" t="n">
        <v>1</v>
      </c>
      <c r="B350" s="71" t="n">
        <v>46170</v>
      </c>
      <c r="C350" s="71" t="n">
        <v>46186</v>
      </c>
      <c r="D350" s="70" t="n">
        <v>1659</v>
      </c>
      <c r="E350" s="72" t="inlineStr">
        <is>
          <t>ADRIANA DISTRIBUIDORA DE PRODUTOS ALIMEN</t>
        </is>
      </c>
      <c r="F350" s="70" t="n">
        <v>24</v>
      </c>
      <c r="G350" s="72" t="inlineStr">
        <is>
          <t>Compra a Prazo - Boletos</t>
        </is>
      </c>
      <c r="H350" s="70" t="n">
        <v>2110101</v>
      </c>
      <c r="I350" s="72" t="inlineStr">
        <is>
          <t>FORNECEDORES DE MERCADORIA</t>
        </is>
      </c>
      <c r="J350" s="70" t="n">
        <v>1168612</v>
      </c>
      <c r="L350" s="70" t="n">
        <v>875267</v>
      </c>
      <c r="M350" s="72" t="inlineStr">
        <is>
          <t>01</t>
        </is>
      </c>
      <c r="N350" s="72" t="inlineStr">
        <is>
          <t>NFE</t>
        </is>
      </c>
      <c r="P350" s="70" t="n">
        <v>103</v>
      </c>
      <c r="Q350" s="72" t="inlineStr">
        <is>
          <t>MILKA FRANCIS</t>
        </is>
      </c>
      <c r="R350" s="72" t="inlineStr">
        <is>
          <t>ESTOQUE DE MERCADORIAS</t>
        </is>
      </c>
      <c r="S350" s="70" t="n">
        <v>1130101</v>
      </c>
      <c r="T350" s="72" t="inlineStr">
        <is>
          <t>MERCADORIAS P/REVENDA</t>
        </is>
      </c>
      <c r="U350" s="73" t="n">
        <v>769.96</v>
      </c>
      <c r="W350" s="73" t="n">
        <v>0</v>
      </c>
      <c r="X350" s="72" t="inlineStr">
        <is>
          <t>NF 875267-1 MILKA</t>
        </is>
      </c>
      <c r="Z350" s="59">
        <f>IF($T350="","",IFERROR(INDEX('Resumo Grupos'!$AC$3:$AC$200,MATCH($T350,'Resumo Grupos'!$AB$3:$AB$200,0)),"n/d"))</f>
        <v/>
      </c>
      <c r="AA350" s="59">
        <f>IF($T350="","",IF(COUNTIF('Resumo Grupos'!$AE$3:$AE$40,$T350)&gt;0,"NAO","SIM"))</f>
        <v/>
      </c>
    </row>
    <row r="351" ht="36.75" customHeight="1" s="60">
      <c r="A351" s="70" t="n">
        <v>1</v>
      </c>
      <c r="B351" s="71" t="n">
        <v>46172</v>
      </c>
      <c r="C351" s="71" t="n">
        <v>46186</v>
      </c>
      <c r="D351" s="70" t="n">
        <v>1705</v>
      </c>
      <c r="E351" s="72" t="inlineStr">
        <is>
          <t>BRASIL NORTE BEBIDAS S/A</t>
        </is>
      </c>
      <c r="F351" s="70" t="n">
        <v>24</v>
      </c>
      <c r="G351" s="72" t="inlineStr">
        <is>
          <t>Compra a Prazo - Boletos</t>
        </is>
      </c>
      <c r="H351" s="70" t="n">
        <v>2110101</v>
      </c>
      <c r="I351" s="72" t="inlineStr">
        <is>
          <t>FORNECEDORES DE MERCADORIA</t>
        </is>
      </c>
      <c r="J351" s="70" t="n">
        <v>1176865</v>
      </c>
      <c r="L351" s="70" t="n">
        <v>1857025</v>
      </c>
      <c r="M351" s="72" t="inlineStr">
        <is>
          <t>01</t>
        </is>
      </c>
      <c r="N351" s="72" t="inlineStr">
        <is>
          <t>NFE</t>
        </is>
      </c>
      <c r="P351" s="70" t="n">
        <v>103</v>
      </c>
      <c r="Q351" s="72" t="inlineStr">
        <is>
          <t>MILKA FRANCIS</t>
        </is>
      </c>
      <c r="R351" s="72" t="inlineStr">
        <is>
          <t>ESTOQUE DE MERCADORIAS</t>
        </is>
      </c>
      <c r="S351" s="70" t="n">
        <v>1130101</v>
      </c>
      <c r="T351" s="72" t="inlineStr">
        <is>
          <t>MERCADORIAS P/REVENDA</t>
        </is>
      </c>
      <c r="U351" s="73" t="n">
        <v>813.83</v>
      </c>
      <c r="W351" s="73" t="n">
        <v>0</v>
      </c>
      <c r="X351" s="72" t="inlineStr">
        <is>
          <t>NF 1857025 - MILKA</t>
        </is>
      </c>
      <c r="Z351" s="59">
        <f>IF($T351="","",IFERROR(INDEX('Resumo Grupos'!$AC$3:$AC$200,MATCH($T351,'Resumo Grupos'!$AB$3:$AB$200,0)),"n/d"))</f>
        <v/>
      </c>
      <c r="AA351" s="59">
        <f>IF($T351="","",IF(COUNTIF('Resumo Grupos'!$AE$3:$AE$40,$T351)&gt;0,"NAO","SIM"))</f>
        <v/>
      </c>
    </row>
    <row r="352" ht="36.75" customHeight="1" s="60">
      <c r="A352" s="70" t="n">
        <v>1</v>
      </c>
      <c r="B352" s="71" t="n">
        <v>46176</v>
      </c>
      <c r="C352" s="71" t="n">
        <v>46186</v>
      </c>
      <c r="D352" s="70" t="n">
        <v>1723</v>
      </c>
      <c r="E352" s="72" t="inlineStr">
        <is>
          <t>COMERCIO DE FRIOS MANAUS LTDA</t>
        </is>
      </c>
      <c r="F352" s="70" t="n">
        <v>24</v>
      </c>
      <c r="G352" s="72" t="inlineStr">
        <is>
          <t>Compra a Prazo - Boletos</t>
        </is>
      </c>
      <c r="H352" s="70" t="n">
        <v>2110101</v>
      </c>
      <c r="I352" s="72" t="inlineStr">
        <is>
          <t>FORNECEDORES DE MERCADORIA</t>
        </is>
      </c>
      <c r="J352" s="70" t="n">
        <v>1197903</v>
      </c>
      <c r="L352" s="70" t="n">
        <v>170970</v>
      </c>
      <c r="M352" s="72" t="inlineStr">
        <is>
          <t>01</t>
        </is>
      </c>
      <c r="N352" s="72" t="inlineStr">
        <is>
          <t>NFE</t>
        </is>
      </c>
      <c r="P352" s="70" t="n">
        <v>103</v>
      </c>
      <c r="Q352" s="72" t="inlineStr">
        <is>
          <t>MILKA FRANCIS</t>
        </is>
      </c>
      <c r="R352" s="72" t="inlineStr">
        <is>
          <t>ESTOQUE DE MERCADORIAS</t>
        </is>
      </c>
      <c r="S352" s="70" t="n">
        <v>1130101</v>
      </c>
      <c r="T352" s="72" t="inlineStr">
        <is>
          <t>MERCADORIAS P/REVENDA</t>
        </is>
      </c>
      <c r="U352" s="73" t="n">
        <v>2028.6</v>
      </c>
      <c r="W352" s="73" t="n">
        <v>0</v>
      </c>
      <c r="X352" s="72" t="inlineStr">
        <is>
          <t>NF170970 - MILKA</t>
        </is>
      </c>
      <c r="Z352" s="59">
        <f>IF($T352="","",IFERROR(INDEX('Resumo Grupos'!$AC$3:$AC$200,MATCH($T352,'Resumo Grupos'!$AB$3:$AB$200,0)),"n/d"))</f>
        <v/>
      </c>
      <c r="AA352" s="59">
        <f>IF($T352="","",IF(COUNTIF('Resumo Grupos'!$AE$3:$AE$40,$T352)&gt;0,"NAO","SIM"))</f>
        <v/>
      </c>
    </row>
    <row r="353" ht="36.75" customHeight="1" s="60">
      <c r="A353" s="70" t="n">
        <v>1</v>
      </c>
      <c r="B353" s="71" t="n">
        <v>46181</v>
      </c>
      <c r="C353" s="71" t="n">
        <v>46186</v>
      </c>
      <c r="D353" s="70" t="n">
        <v>1695</v>
      </c>
      <c r="E353" s="72" t="inlineStr">
        <is>
          <t>BRAGA TABACARIA EIRELI ME</t>
        </is>
      </c>
      <c r="F353" s="70" t="n">
        <v>24</v>
      </c>
      <c r="G353" s="72" t="inlineStr">
        <is>
          <t>Compra a Prazo - Boletos</t>
        </is>
      </c>
      <c r="H353" s="70" t="n">
        <v>2110101</v>
      </c>
      <c r="I353" s="72" t="inlineStr">
        <is>
          <t>FORNECEDORES DE MERCADORIA</t>
        </is>
      </c>
      <c r="J353" s="70" t="n">
        <v>1222097</v>
      </c>
      <c r="L353" s="70" t="n">
        <v>18532</v>
      </c>
      <c r="M353" s="72" t="inlineStr">
        <is>
          <t>01</t>
        </is>
      </c>
      <c r="N353" s="72" t="inlineStr">
        <is>
          <t>NFE</t>
        </is>
      </c>
      <c r="P353" s="70" t="n">
        <v>103</v>
      </c>
      <c r="Q353" s="72" t="inlineStr">
        <is>
          <t>MILKA FRANCIS</t>
        </is>
      </c>
      <c r="R353" s="72" t="inlineStr">
        <is>
          <t>ESTOQUE DE MERCADORIAS</t>
        </is>
      </c>
      <c r="S353" s="70" t="n">
        <v>1130101</v>
      </c>
      <c r="T353" s="72" t="inlineStr">
        <is>
          <t>MERCADORIAS P/REVENDA</t>
        </is>
      </c>
      <c r="U353" s="73" t="n">
        <v>807.41</v>
      </c>
      <c r="W353" s="73" t="n">
        <v>0</v>
      </c>
      <c r="X353" s="72" t="inlineStr">
        <is>
          <t>NF 18532-01 MILKA</t>
        </is>
      </c>
      <c r="Z353" s="59">
        <f>IF($T353="","",IFERROR(INDEX('Resumo Grupos'!$AC$3:$AC$200,MATCH($T353,'Resumo Grupos'!$AB$3:$AB$200,0)),"n/d"))</f>
        <v/>
      </c>
      <c r="AA353" s="59">
        <f>IF($T353="","",IF(COUNTIF('Resumo Grupos'!$AE$3:$AE$40,$T353)&gt;0,"NAO","SIM"))</f>
        <v/>
      </c>
    </row>
    <row r="354" ht="36.75" customHeight="1" s="60">
      <c r="A354" s="70" t="n">
        <v>1</v>
      </c>
      <c r="B354" s="71" t="n">
        <v>46181</v>
      </c>
      <c r="C354" s="71" t="n">
        <v>46186</v>
      </c>
      <c r="D354" s="70" t="n">
        <v>1391</v>
      </c>
      <c r="E354" s="72" t="inlineStr">
        <is>
          <t>D N COMERCIO ATACADISTA DE EMBALAGENS E</t>
        </is>
      </c>
      <c r="F354" s="70" t="n">
        <v>34</v>
      </c>
      <c r="G354" s="72" t="inlineStr">
        <is>
          <t>Transferencia Pix</t>
        </is>
      </c>
      <c r="H354" s="70" t="n">
        <v>2110101</v>
      </c>
      <c r="I354" s="72" t="inlineStr">
        <is>
          <t>FORNECEDORES DE MERCADORIA</t>
        </is>
      </c>
      <c r="J354" s="70" t="n">
        <v>1223157</v>
      </c>
      <c r="L354" s="70" t="n">
        <v>400</v>
      </c>
      <c r="M354" s="72" t="inlineStr">
        <is>
          <t>01</t>
        </is>
      </c>
      <c r="N354" s="72" t="inlineStr">
        <is>
          <t>NFE</t>
        </is>
      </c>
      <c r="P354" s="70" t="n">
        <v>103</v>
      </c>
      <c r="Q354" s="72" t="inlineStr">
        <is>
          <t>MILKA FRANCIS</t>
        </is>
      </c>
      <c r="R354" s="72" t="inlineStr">
        <is>
          <t>ESTOQUE DE MERCADORIAS</t>
        </is>
      </c>
      <c r="S354" s="70" t="n">
        <v>1130101</v>
      </c>
      <c r="T354" s="72" t="inlineStr">
        <is>
          <t>MERCADORIAS P/REVENDA</t>
        </is>
      </c>
      <c r="U354" s="73" t="n">
        <v>550.34</v>
      </c>
      <c r="W354" s="73" t="n">
        <v>0</v>
      </c>
      <c r="X354" s="72" t="inlineStr">
        <is>
          <t>NF 400 BRAGA - MILKA</t>
        </is>
      </c>
      <c r="Z354" s="59">
        <f>IF($T354="","",IFERROR(INDEX('Resumo Grupos'!$AC$3:$AC$200,MATCH($T354,'Resumo Grupos'!$AB$3:$AB$200,0)),"n/d"))</f>
        <v/>
      </c>
      <c r="AA354" s="59">
        <f>IF($T354="","",IF(COUNTIF('Resumo Grupos'!$AE$3:$AE$40,$T354)&gt;0,"NAO","SIM"))</f>
        <v/>
      </c>
    </row>
    <row r="355" ht="36.75" customHeight="1" s="60">
      <c r="A355" s="70" t="n">
        <v>1</v>
      </c>
      <c r="B355" s="71" t="n">
        <v>46182</v>
      </c>
      <c r="C355" s="71" t="n">
        <v>46186</v>
      </c>
      <c r="D355" s="70" t="n">
        <v>754</v>
      </c>
      <c r="E355" s="72" t="inlineStr">
        <is>
          <t>SILVA E SANTOS FRIGORIFICO LTDA</t>
        </is>
      </c>
      <c r="F355" s="70" t="n">
        <v>24</v>
      </c>
      <c r="G355" s="72" t="inlineStr">
        <is>
          <t>Compra a Prazo - Boletos</t>
        </is>
      </c>
      <c r="H355" s="70" t="n">
        <v>2110101</v>
      </c>
      <c r="I355" s="72" t="inlineStr">
        <is>
          <t>FORNECEDORES DE MERCADORIA</t>
        </is>
      </c>
      <c r="J355" s="70" t="n">
        <v>1227145</v>
      </c>
      <c r="L355" s="70" t="n">
        <v>30943</v>
      </c>
      <c r="M355" s="72" t="inlineStr">
        <is>
          <t>01</t>
        </is>
      </c>
      <c r="N355" s="72" t="inlineStr">
        <is>
          <t>NFE</t>
        </is>
      </c>
      <c r="P355" s="70" t="n">
        <v>103</v>
      </c>
      <c r="Q355" s="72" t="inlineStr">
        <is>
          <t>MILKA FRANCIS</t>
        </is>
      </c>
      <c r="R355" s="72" t="inlineStr">
        <is>
          <t>ESTOQUE DE MERCADORIAS</t>
        </is>
      </c>
      <c r="S355" s="70" t="n">
        <v>1130101</v>
      </c>
      <c r="T355" s="72" t="inlineStr">
        <is>
          <t>MERCADORIAS P/REVENDA</t>
        </is>
      </c>
      <c r="U355" s="73" t="n">
        <v>4032.5</v>
      </c>
      <c r="W355" s="73" t="n">
        <v>0</v>
      </c>
      <c r="X355" s="72" t="inlineStr">
        <is>
          <t>NF30943 - MILKA</t>
        </is>
      </c>
      <c r="Z355" s="59">
        <f>IF($T355="","",IFERROR(INDEX('Resumo Grupos'!$AC$3:$AC$200,MATCH($T355,'Resumo Grupos'!$AB$3:$AB$200,0)),"n/d"))</f>
        <v/>
      </c>
      <c r="AA355" s="59">
        <f>IF($T355="","",IF(COUNTIF('Resumo Grupos'!$AE$3:$AE$40,$T355)&gt;0,"NAO","SIM"))</f>
        <v/>
      </c>
    </row>
    <row r="356" ht="45.75" customHeight="1" s="60">
      <c r="A356" s="70" t="n">
        <v>1</v>
      </c>
      <c r="B356" s="71" t="n">
        <v>46185</v>
      </c>
      <c r="C356" s="71" t="n">
        <v>46186</v>
      </c>
      <c r="D356" s="70" t="n">
        <v>33</v>
      </c>
      <c r="E356" s="72" t="inlineStr">
        <is>
          <t>RENATO DE O AZEVEDO E CIA LTDA - EPP</t>
        </is>
      </c>
      <c r="F356" s="70" t="n">
        <v>34</v>
      </c>
      <c r="G356" s="72" t="inlineStr">
        <is>
          <t>Transferencia Pix</t>
        </is>
      </c>
      <c r="H356" s="70" t="n">
        <v>2110101</v>
      </c>
      <c r="I356" s="72" t="inlineStr">
        <is>
          <t>FORNECEDORES DE MERCADORIA</t>
        </is>
      </c>
      <c r="J356" s="70" t="n">
        <v>1241243</v>
      </c>
      <c r="L356" s="70" t="n">
        <v>5113</v>
      </c>
      <c r="M356" s="72" t="inlineStr">
        <is>
          <t>01</t>
        </is>
      </c>
      <c r="N356" s="72" t="inlineStr">
        <is>
          <t>NFE</t>
        </is>
      </c>
      <c r="P356" s="70" t="n">
        <v>104</v>
      </c>
      <c r="Q356" s="72" t="inlineStr">
        <is>
          <t>DEBORA COSTA</t>
        </is>
      </c>
      <c r="R356" s="72" t="inlineStr">
        <is>
          <t>ESTOQUE DE MERCADORIAS</t>
        </is>
      </c>
      <c r="S356" s="70" t="n">
        <v>1130101</v>
      </c>
      <c r="T356" s="72" t="inlineStr">
        <is>
          <t>MERCADORIAS P/REVENDA</t>
        </is>
      </c>
      <c r="U356" s="73" t="n">
        <v>2963</v>
      </c>
      <c r="W356" s="73" t="n">
        <v>0</v>
      </c>
      <c r="X356" s="72" t="inlineStr">
        <is>
          <t>FEIRA CARLOS - DEBORA</t>
        </is>
      </c>
      <c r="Z356" s="59">
        <f>IF($T356="","",IFERROR(INDEX('Resumo Grupos'!$AC$3:$AC$200,MATCH($T356,'Resumo Grupos'!$AB$3:$AB$200,0)),"n/d"))</f>
        <v/>
      </c>
      <c r="AA356" s="59">
        <f>IF($T356="","",IF(COUNTIF('Resumo Grupos'!$AE$3:$AE$40,$T356)&gt;0,"NAO","SIM"))</f>
        <v/>
      </c>
    </row>
    <row r="357" ht="45.75" customHeight="1" s="60">
      <c r="A357" s="70" t="n">
        <v>1</v>
      </c>
      <c r="B357" s="71" t="n">
        <v>46185</v>
      </c>
      <c r="C357" s="71" t="n">
        <v>46186</v>
      </c>
      <c r="D357" s="70" t="n">
        <v>1615</v>
      </c>
      <c r="E357" s="72" t="inlineStr">
        <is>
          <t>COMERCIO E TRANSPORTE BRANDAO LTDA</t>
        </is>
      </c>
      <c r="F357" s="70" t="n">
        <v>34</v>
      </c>
      <c r="G357" s="72" t="inlineStr">
        <is>
          <t>Transferencia Pix</t>
        </is>
      </c>
      <c r="H357" s="70" t="n">
        <v>2110101</v>
      </c>
      <c r="I357" s="72" t="inlineStr">
        <is>
          <t>FORNECEDORES DE MERCADORIA</t>
        </is>
      </c>
      <c r="J357" s="70" t="n">
        <v>1241271</v>
      </c>
      <c r="L357" s="70" t="n">
        <v>14671</v>
      </c>
      <c r="M357" s="72" t="inlineStr">
        <is>
          <t>01</t>
        </is>
      </c>
      <c r="N357" s="72" t="inlineStr">
        <is>
          <t>NFE</t>
        </is>
      </c>
      <c r="P357" s="70" t="n">
        <v>104</v>
      </c>
      <c r="Q357" s="72" t="inlineStr">
        <is>
          <t>DEBORA COSTA</t>
        </is>
      </c>
      <c r="R357" s="72" t="inlineStr">
        <is>
          <t>ESTOQUE DE MERCADORIAS</t>
        </is>
      </c>
      <c r="S357" s="70" t="n">
        <v>1130101</v>
      </c>
      <c r="T357" s="72" t="inlineStr">
        <is>
          <t>MERCADORIAS P/REVENDA</t>
        </is>
      </c>
      <c r="U357" s="73" t="n">
        <v>840</v>
      </c>
      <c r="W357" s="73" t="n">
        <v>0</v>
      </c>
      <c r="X357" s="72" t="inlineStr">
        <is>
          <t>NF 14671 - DEBORA</t>
        </is>
      </c>
      <c r="Z357" s="59">
        <f>IF($T357="","",IFERROR(INDEX('Resumo Grupos'!$AC$3:$AC$200,MATCH($T357,'Resumo Grupos'!$AB$3:$AB$200,0)),"n/d"))</f>
        <v/>
      </c>
      <c r="AA357" s="59">
        <f>IF($T357="","",IF(COUNTIF('Resumo Grupos'!$AE$3:$AE$40,$T357)&gt;0,"NAO","SIM"))</f>
        <v/>
      </c>
    </row>
    <row r="358" ht="45.75" customHeight="1" s="60">
      <c r="A358" s="70" t="n">
        <v>1</v>
      </c>
      <c r="B358" s="71" t="n">
        <v>46185</v>
      </c>
      <c r="C358" s="71" t="n">
        <v>46186</v>
      </c>
      <c r="D358" s="70" t="n">
        <v>33</v>
      </c>
      <c r="E358" s="72" t="inlineStr">
        <is>
          <t>RENATO DE O AZEVEDO E CIA LTDA - EPP</t>
        </is>
      </c>
      <c r="F358" s="70" t="n">
        <v>34</v>
      </c>
      <c r="G358" s="72" t="inlineStr">
        <is>
          <t>Transferencia Pix</t>
        </is>
      </c>
      <c r="H358" s="70" t="n">
        <v>2110101</v>
      </c>
      <c r="I358" s="72" t="inlineStr">
        <is>
          <t>FORNECEDORES DE MERCADORIA</t>
        </is>
      </c>
      <c r="J358" s="70" t="n">
        <v>1241282</v>
      </c>
      <c r="L358" s="70" t="n">
        <v>515355</v>
      </c>
      <c r="M358" s="72" t="inlineStr">
        <is>
          <t>01</t>
        </is>
      </c>
      <c r="N358" s="72" t="inlineStr">
        <is>
          <t>AVU</t>
        </is>
      </c>
      <c r="P358" s="70" t="n">
        <v>104</v>
      </c>
      <c r="Q358" s="72" t="inlineStr">
        <is>
          <t>DEBORA COSTA</t>
        </is>
      </c>
      <c r="R358" s="72" t="inlineStr">
        <is>
          <t>ESTOQUE DE MERCADORIAS</t>
        </is>
      </c>
      <c r="S358" s="70" t="n">
        <v>1130101</v>
      </c>
      <c r="T358" s="72" t="inlineStr">
        <is>
          <t>MERCADORIAS P/REVENDA</t>
        </is>
      </c>
      <c r="U358" s="73" t="n">
        <v>235</v>
      </c>
      <c r="W358" s="73" t="n">
        <v>0</v>
      </c>
      <c r="X358" s="72" t="inlineStr">
        <is>
          <t>CAMARAO COM E SEM CASCA - FEIRA CARLOS - DEBORA</t>
        </is>
      </c>
      <c r="Z358" s="59">
        <f>IF($T358="","",IFERROR(INDEX('Resumo Grupos'!$AC$3:$AC$200,MATCH($T358,'Resumo Grupos'!$AB$3:$AB$200,0)),"n/d"))</f>
        <v/>
      </c>
      <c r="AA358" s="59">
        <f>IF($T358="","",IF(COUNTIF('Resumo Grupos'!$AE$3:$AE$40,$T358)&gt;0,"NAO","SIM"))</f>
        <v/>
      </c>
    </row>
    <row r="359" ht="36.75" customHeight="1" s="60">
      <c r="A359" s="70" t="n">
        <v>1</v>
      </c>
      <c r="B359" s="71" t="n">
        <v>46186</v>
      </c>
      <c r="C359" s="71" t="n">
        <v>46186</v>
      </c>
      <c r="D359" s="70" t="n">
        <v>1038</v>
      </c>
      <c r="E359" s="72" t="inlineStr">
        <is>
          <t>MANOEL TEXEIRA DE SOUZA RESTAURANTE</t>
        </is>
      </c>
      <c r="F359" s="70" t="n">
        <v>13</v>
      </c>
      <c r="G359" s="72" t="inlineStr">
        <is>
          <t>Compra a Vista</t>
        </is>
      </c>
      <c r="H359" s="70" t="n">
        <v>2110101</v>
      </c>
      <c r="I359" s="72" t="inlineStr">
        <is>
          <t>FORNECEDORES DE MERCADORIA</t>
        </is>
      </c>
      <c r="J359" s="70" t="n">
        <v>1260984</v>
      </c>
      <c r="L359" s="70" t="n">
        <v>5978</v>
      </c>
      <c r="M359" s="72" t="inlineStr">
        <is>
          <t>01</t>
        </is>
      </c>
      <c r="N359" s="72" t="inlineStr">
        <is>
          <t>NFE</t>
        </is>
      </c>
      <c r="P359" s="70" t="n">
        <v>104</v>
      </c>
      <c r="Q359" s="72" t="inlineStr">
        <is>
          <t>DEBORA COSTA</t>
        </is>
      </c>
      <c r="R359" s="72" t="inlineStr">
        <is>
          <t>ESTOQUE DE MERCADORIAS</t>
        </is>
      </c>
      <c r="S359" s="70" t="n">
        <v>1130101</v>
      </c>
      <c r="T359" s="72" t="inlineStr">
        <is>
          <t>MERCADORIAS P/REVENDA</t>
        </is>
      </c>
      <c r="U359" s="73" t="n">
        <v>360</v>
      </c>
      <c r="W359" s="73" t="n">
        <v>0</v>
      </c>
      <c r="X359" s="72" t="inlineStr">
        <is>
          <t>NF 5978 - DEBORA</t>
        </is>
      </c>
      <c r="Z359" s="59">
        <f>IF($T359="","",IFERROR(INDEX('Resumo Grupos'!$AC$3:$AC$200,MATCH($T359,'Resumo Grupos'!$AB$3:$AB$200,0)),"n/d"))</f>
        <v/>
      </c>
      <c r="AA359" s="59">
        <f>IF($T359="","",IF(COUNTIF('Resumo Grupos'!$AE$3:$AE$40,$T359)&gt;0,"NAO","SIM"))</f>
        <v/>
      </c>
    </row>
    <row r="360" ht="36.75" customHeight="1" s="60">
      <c r="A360" s="70" t="n">
        <v>1</v>
      </c>
      <c r="B360" s="71" t="n">
        <v>46186</v>
      </c>
      <c r="C360" s="71" t="n">
        <v>46186</v>
      </c>
      <c r="D360" s="70" t="n">
        <v>978</v>
      </c>
      <c r="E360" s="72" t="inlineStr">
        <is>
          <t>GELO DANGELO FABRICACAO DE GELO LTDA</t>
        </is>
      </c>
      <c r="F360" s="70" t="n">
        <v>13</v>
      </c>
      <c r="G360" s="72" t="inlineStr">
        <is>
          <t>Compra a Vista</t>
        </is>
      </c>
      <c r="H360" s="70" t="n">
        <v>2110101</v>
      </c>
      <c r="I360" s="72" t="inlineStr">
        <is>
          <t>FORNECEDORES DE MERCADORIA</t>
        </is>
      </c>
      <c r="J360" s="70" t="n">
        <v>1261036</v>
      </c>
      <c r="L360" s="70" t="n">
        <v>276</v>
      </c>
      <c r="M360" s="72" t="inlineStr">
        <is>
          <t>01</t>
        </is>
      </c>
      <c r="N360" s="72" t="inlineStr">
        <is>
          <t>NFE</t>
        </is>
      </c>
      <c r="P360" s="70" t="n">
        <v>104</v>
      </c>
      <c r="Q360" s="72" t="inlineStr">
        <is>
          <t>DEBORA COSTA</t>
        </is>
      </c>
      <c r="R360" s="72" t="inlineStr">
        <is>
          <t>ESTOQUE DE MERCADORIAS</t>
        </is>
      </c>
      <c r="S360" s="70" t="n">
        <v>1130101</v>
      </c>
      <c r="T360" s="72" t="inlineStr">
        <is>
          <t>MERCADORIAS P/REVENDA</t>
        </is>
      </c>
      <c r="U360" s="73" t="n">
        <v>416.5</v>
      </c>
      <c r="W360" s="73" t="n">
        <v>0</v>
      </c>
      <c r="X360" s="72" t="inlineStr">
        <is>
          <t>NF 276 - DEBORA</t>
        </is>
      </c>
      <c r="Z360" s="59">
        <f>IF($T360="","",IFERROR(INDEX('Resumo Grupos'!$AC$3:$AC$200,MATCH($T360,'Resumo Grupos'!$AB$3:$AB$200,0)),"n/d"))</f>
        <v/>
      </c>
      <c r="AA360" s="59">
        <f>IF($T360="","",IF(COUNTIF('Resumo Grupos'!$AE$3:$AE$40,$T360)&gt;0,"NAO","SIM"))</f>
        <v/>
      </c>
    </row>
    <row r="361" ht="45.75" customHeight="1" s="60">
      <c r="A361" s="70" t="n">
        <v>1</v>
      </c>
      <c r="B361" s="71" t="n">
        <v>46119</v>
      </c>
      <c r="C361" s="71" t="n">
        <v>46187</v>
      </c>
      <c r="D361" s="70" t="n">
        <v>957</v>
      </c>
      <c r="E361" s="72" t="inlineStr">
        <is>
          <t>FUNNY PET DISTRIBUIDORA DE ALIMENTOS PAR</t>
        </is>
      </c>
      <c r="F361" s="70" t="n">
        <v>24</v>
      </c>
      <c r="G361" s="72" t="inlineStr">
        <is>
          <t>Compra a Prazo - Boletos</t>
        </is>
      </c>
      <c r="H361" s="70" t="n">
        <v>2110101</v>
      </c>
      <c r="I361" s="72" t="inlineStr">
        <is>
          <t>FORNECEDORES DE MERCADORIA</t>
        </is>
      </c>
      <c r="J361" s="70" t="n">
        <v>915375</v>
      </c>
      <c r="L361" s="70" t="n">
        <v>18727</v>
      </c>
      <c r="M361" s="72" t="inlineStr">
        <is>
          <t>05</t>
        </is>
      </c>
      <c r="N361" s="72" t="inlineStr">
        <is>
          <t>NFE</t>
        </is>
      </c>
      <c r="P361" s="70" t="n">
        <v>103</v>
      </c>
      <c r="Q361" s="72" t="inlineStr">
        <is>
          <t>MILKA FRANCIS</t>
        </is>
      </c>
      <c r="R361" s="72" t="inlineStr">
        <is>
          <t>ESTOQUE DE MERCADORIAS</t>
        </is>
      </c>
      <c r="S361" s="70" t="n">
        <v>1130101</v>
      </c>
      <c r="T361" s="72" t="inlineStr">
        <is>
          <t>MERCADORIAS P/REVENDA</t>
        </is>
      </c>
      <c r="U361" s="73" t="n">
        <v>4049.8</v>
      </c>
      <c r="W361" s="73" t="n">
        <v>0</v>
      </c>
      <c r="X361" s="72" t="inlineStr">
        <is>
          <t>NF 18727 -5 MILKA</t>
        </is>
      </c>
      <c r="Z361" s="59">
        <f>IF($T361="","",IFERROR(INDEX('Resumo Grupos'!$AC$3:$AC$200,MATCH($T361,'Resumo Grupos'!$AB$3:$AB$200,0)),"n/d"))</f>
        <v/>
      </c>
      <c r="AA361" s="59">
        <f>IF($T361="","",IF(COUNTIF('Resumo Grupos'!$AE$3:$AE$40,$T361)&gt;0,"NAO","SIM"))</f>
        <v/>
      </c>
    </row>
    <row r="362" ht="45.75" customHeight="1" s="60">
      <c r="A362" s="70" t="n">
        <v>1</v>
      </c>
      <c r="B362" s="71" t="n">
        <v>46172</v>
      </c>
      <c r="C362" s="71" t="n">
        <v>46187</v>
      </c>
      <c r="D362" s="70" t="n">
        <v>607</v>
      </c>
      <c r="E362" s="72" t="inlineStr">
        <is>
          <t>PRIME PET DISTRIBUIDORA LTDA</t>
        </is>
      </c>
      <c r="F362" s="70" t="n">
        <v>24</v>
      </c>
      <c r="G362" s="72" t="inlineStr">
        <is>
          <t>Compra a Prazo - Boletos</t>
        </is>
      </c>
      <c r="H362" s="70" t="n">
        <v>2110101</v>
      </c>
      <c r="I362" s="72" t="inlineStr">
        <is>
          <t>FORNECEDORES DE MERCADORIA</t>
        </is>
      </c>
      <c r="J362" s="70" t="n">
        <v>1177249</v>
      </c>
      <c r="L362" s="70" t="n">
        <v>10589</v>
      </c>
      <c r="M362" s="72" t="inlineStr">
        <is>
          <t>01</t>
        </is>
      </c>
      <c r="N362" s="72" t="inlineStr">
        <is>
          <t>NFE</t>
        </is>
      </c>
      <c r="P362" s="70" t="n">
        <v>103</v>
      </c>
      <c r="Q362" s="72" t="inlineStr">
        <is>
          <t>MILKA FRANCIS</t>
        </is>
      </c>
      <c r="R362" s="72" t="inlineStr">
        <is>
          <t>ESTOQUE DE MERCADORIAS</t>
        </is>
      </c>
      <c r="S362" s="70" t="n">
        <v>1130101</v>
      </c>
      <c r="T362" s="72" t="inlineStr">
        <is>
          <t>MERCADORIAS P/REVENDA</t>
        </is>
      </c>
      <c r="U362" s="73" t="n">
        <v>1060.9</v>
      </c>
      <c r="W362" s="73" t="n">
        <v>0</v>
      </c>
      <c r="X362" s="72" t="inlineStr">
        <is>
          <t>NF 10589-01/05 MILKA</t>
        </is>
      </c>
      <c r="Z362" s="59">
        <f>IF($T362="","",IFERROR(INDEX('Resumo Grupos'!$AC$3:$AC$200,MATCH($T362,'Resumo Grupos'!$AB$3:$AB$200,0)),"n/d"))</f>
        <v/>
      </c>
      <c r="AA362" s="59">
        <f>IF($T362="","",IF(COUNTIF('Resumo Grupos'!$AE$3:$AE$40,$T362)&gt;0,"NAO","SIM"))</f>
        <v/>
      </c>
    </row>
    <row r="363" ht="27.75" customHeight="1" s="60">
      <c r="A363" s="70" t="n">
        <v>1</v>
      </c>
      <c r="B363" s="71" t="n">
        <v>46178</v>
      </c>
      <c r="C363" s="71" t="n">
        <v>46187</v>
      </c>
      <c r="D363" s="70" t="n">
        <v>1723</v>
      </c>
      <c r="E363" s="72" t="inlineStr">
        <is>
          <t>COMERCIO DE FRIOS MANAUS LTDA</t>
        </is>
      </c>
      <c r="F363" s="70" t="n">
        <v>24</v>
      </c>
      <c r="G363" s="72" t="inlineStr">
        <is>
          <t>Compra a Prazo - Boletos</t>
        </is>
      </c>
      <c r="H363" s="70" t="n">
        <v>2110101</v>
      </c>
      <c r="I363" s="72" t="inlineStr">
        <is>
          <t>FORNECEDORES DE MERCADORIA</t>
        </is>
      </c>
      <c r="J363" s="70" t="n">
        <v>1207979</v>
      </c>
      <c r="L363" s="70" t="n">
        <v>171046</v>
      </c>
      <c r="M363" s="72" t="inlineStr">
        <is>
          <t>01</t>
        </is>
      </c>
      <c r="N363" s="72" t="inlineStr">
        <is>
          <t>NFE</t>
        </is>
      </c>
      <c r="P363" s="70" t="n">
        <v>103</v>
      </c>
      <c r="Q363" s="72" t="inlineStr">
        <is>
          <t>MILKA FRANCIS</t>
        </is>
      </c>
      <c r="R363" s="72" t="inlineStr">
        <is>
          <t>ESTOQUE DE MERCADORIAS</t>
        </is>
      </c>
      <c r="S363" s="70" t="n">
        <v>1130101</v>
      </c>
      <c r="T363" s="72" t="inlineStr">
        <is>
          <t>MERCADORIAS P/REVENDA</t>
        </is>
      </c>
      <c r="U363" s="73" t="n">
        <v>4428.9</v>
      </c>
      <c r="W363" s="73" t="n">
        <v>0</v>
      </c>
      <c r="X363" s="72" t="inlineStr">
        <is>
          <t>NF171046 - MILKA</t>
        </is>
      </c>
      <c r="Z363" s="59">
        <f>IF($T363="","",IFERROR(INDEX('Resumo Grupos'!$AC$3:$AC$200,MATCH($T363,'Resumo Grupos'!$AB$3:$AB$200,0)),"n/d"))</f>
        <v/>
      </c>
      <c r="AA363" s="59">
        <f>IF($T363="","",IF(COUNTIF('Resumo Grupos'!$AE$3:$AE$40,$T363)&gt;0,"NAO","SIM"))</f>
        <v/>
      </c>
    </row>
    <row r="364" ht="27.75" customHeight="1" s="60">
      <c r="A364" s="70" t="n">
        <v>1</v>
      </c>
      <c r="B364" s="71" t="n">
        <v>46097</v>
      </c>
      <c r="C364" s="71" t="n">
        <v>46188</v>
      </c>
      <c r="D364" s="70" t="n">
        <v>1867</v>
      </c>
      <c r="E364" s="72" t="inlineStr">
        <is>
          <t>PREFEITURA MUNICIPAL DE MANAUS - IPTU</t>
        </is>
      </c>
      <c r="F364" s="70" t="n">
        <v>24</v>
      </c>
      <c r="G364" s="72" t="inlineStr">
        <is>
          <t>Compra a Prazo - Boletos</t>
        </is>
      </c>
      <c r="H364" s="70" t="n">
        <v>2110405</v>
      </c>
      <c r="I364" s="72" t="inlineStr">
        <is>
          <t>CONTAS A PAGAR</t>
        </is>
      </c>
      <c r="J364" s="70" t="n">
        <v>809298</v>
      </c>
      <c r="L364" s="70" t="n">
        <v>100914</v>
      </c>
      <c r="M364" s="72" t="inlineStr">
        <is>
          <t>04</t>
        </is>
      </c>
      <c r="N364" s="72" t="inlineStr">
        <is>
          <t>AVU</t>
        </is>
      </c>
      <c r="P364" s="70" t="n">
        <v>101</v>
      </c>
      <c r="Q364" s="72" t="inlineStr">
        <is>
          <t>KEILA LIMA</t>
        </is>
      </c>
      <c r="R364" s="72" t="inlineStr">
        <is>
          <t>DESPESAS TRIBUTARIAS</t>
        </is>
      </c>
      <c r="S364" s="70" t="n">
        <v>4210401</v>
      </c>
      <c r="T364" s="72" t="inlineStr">
        <is>
          <t>IPTU</t>
        </is>
      </c>
      <c r="U364" s="73" t="n">
        <v>134.55</v>
      </c>
      <c r="W364" s="73" t="n">
        <v>0</v>
      </c>
      <c r="X364" s="72" t="inlineStr">
        <is>
          <t>PARC 04/10 IPTU PADARIA MO1 - KEILA</t>
        </is>
      </c>
      <c r="Z364" s="59">
        <f>IF($T364="","",IFERROR(INDEX('Resumo Grupos'!$AC$3:$AC$200,MATCH($T364,'Resumo Grupos'!$AB$3:$AB$200,0)),"n/d"))</f>
        <v/>
      </c>
      <c r="AA364" s="59">
        <f>IF($T364="","",IF(COUNTIF('Resumo Grupos'!$AE$3:$AE$40,$T364)&gt;0,"NAO","SIM"))</f>
        <v/>
      </c>
    </row>
    <row r="365" ht="36.75" customHeight="1" s="60">
      <c r="A365" s="70" t="n">
        <v>1</v>
      </c>
      <c r="B365" s="71" t="n">
        <v>46097</v>
      </c>
      <c r="C365" s="71" t="n">
        <v>46188</v>
      </c>
      <c r="D365" s="70" t="n">
        <v>1867</v>
      </c>
      <c r="E365" s="72" t="inlineStr">
        <is>
          <t>PREFEITURA MUNICIPAL DE MANAUS - IPTU</t>
        </is>
      </c>
      <c r="F365" s="70" t="n">
        <v>24</v>
      </c>
      <c r="G365" s="72" t="inlineStr">
        <is>
          <t>Compra a Prazo - Boletos</t>
        </is>
      </c>
      <c r="H365" s="70" t="n">
        <v>2110405</v>
      </c>
      <c r="I365" s="72" t="inlineStr">
        <is>
          <t>CONTAS A PAGAR</t>
        </is>
      </c>
      <c r="J365" s="70" t="n">
        <v>809315</v>
      </c>
      <c r="L365" s="70" t="n">
        <v>100910</v>
      </c>
      <c r="M365" s="72" t="inlineStr">
        <is>
          <t>04</t>
        </is>
      </c>
      <c r="N365" s="72" t="inlineStr">
        <is>
          <t>AVU</t>
        </is>
      </c>
      <c r="P365" s="70" t="n">
        <v>101</v>
      </c>
      <c r="Q365" s="72" t="inlineStr">
        <is>
          <t>KEILA LIMA</t>
        </is>
      </c>
      <c r="R365" s="72" t="inlineStr">
        <is>
          <t>DESPESAS TRIBUTARIAS</t>
        </is>
      </c>
      <c r="S365" s="70" t="n">
        <v>4210401</v>
      </c>
      <c r="T365" s="72" t="inlineStr">
        <is>
          <t>IPTU</t>
        </is>
      </c>
      <c r="U365" s="73" t="n">
        <v>185.89</v>
      </c>
      <c r="W365" s="73" t="n">
        <v>0</v>
      </c>
      <c r="X365" s="72" t="inlineStr">
        <is>
          <t>PAR 04/10 IPTU MO1 100910 - KEILA</t>
        </is>
      </c>
      <c r="Z365" s="59">
        <f>IF($T365="","",IFERROR(INDEX('Resumo Grupos'!$AC$3:$AC$200,MATCH($T365,'Resumo Grupos'!$AB$3:$AB$200,0)),"n/d"))</f>
        <v/>
      </c>
      <c r="AA365" s="59">
        <f>IF($T365="","",IF(COUNTIF('Resumo Grupos'!$AE$3:$AE$40,$T365)&gt;0,"NAO","SIM"))</f>
        <v/>
      </c>
    </row>
    <row r="366" ht="36.75" customHeight="1" s="60">
      <c r="A366" s="70" t="n">
        <v>1</v>
      </c>
      <c r="B366" s="71" t="n">
        <v>46097</v>
      </c>
      <c r="C366" s="71" t="n">
        <v>46188</v>
      </c>
      <c r="D366" s="70" t="n">
        <v>17</v>
      </c>
      <c r="E366" s="72" t="inlineStr">
        <is>
          <t>NEYLIANE SILVA DE OLIVEIRA</t>
        </is>
      </c>
      <c r="F366" s="70" t="n">
        <v>24</v>
      </c>
      <c r="G366" s="72" t="inlineStr">
        <is>
          <t>Compra a Prazo - Boletos</t>
        </is>
      </c>
      <c r="H366" s="70" t="n">
        <v>2110405</v>
      </c>
      <c r="I366" s="72" t="inlineStr">
        <is>
          <t>CONTAS A PAGAR</t>
        </is>
      </c>
      <c r="J366" s="70" t="n">
        <v>809413</v>
      </c>
      <c r="L366" s="70" t="n">
        <v>2115476</v>
      </c>
      <c r="M366" s="72" t="inlineStr">
        <is>
          <t>04</t>
        </is>
      </c>
      <c r="N366" s="72" t="inlineStr">
        <is>
          <t>AVU</t>
        </is>
      </c>
      <c r="P366" s="70" t="n">
        <v>101</v>
      </c>
      <c r="Q366" s="72" t="inlineStr">
        <is>
          <t>KEILA LIMA</t>
        </is>
      </c>
      <c r="R366" s="72" t="inlineStr">
        <is>
          <t>DESPESAS NAO OPERACIONAIS</t>
        </is>
      </c>
      <c r="S366" s="70" t="n">
        <v>4220199</v>
      </c>
      <c r="T366" s="72" t="inlineStr">
        <is>
          <t>PAGAMENTOS OUTROS NAO OPERACIONAIS</t>
        </is>
      </c>
      <c r="U366" s="73" t="n">
        <v>102.14</v>
      </c>
      <c r="W366" s="73" t="n">
        <v>0</v>
      </c>
      <c r="X366" s="72" t="inlineStr">
        <is>
          <t>PL NEILA IPTU MAE - KEILA</t>
        </is>
      </c>
      <c r="Z366" s="59">
        <f>IF($T366="","",IFERROR(INDEX('Resumo Grupos'!$AC$3:$AC$200,MATCH($T366,'Resumo Grupos'!$AB$3:$AB$200,0)),"n/d"))</f>
        <v/>
      </c>
      <c r="AA366" s="59">
        <f>IF($T366="","",IF(COUNTIF('Resumo Grupos'!$AE$3:$AE$40,$T366)&gt;0,"NAO","SIM"))</f>
        <v/>
      </c>
    </row>
    <row r="367" ht="36.75" customHeight="1" s="60">
      <c r="A367" s="70" t="n">
        <v>1</v>
      </c>
      <c r="B367" s="71" t="n">
        <v>46161</v>
      </c>
      <c r="C367" s="71" t="n">
        <v>46188</v>
      </c>
      <c r="D367" s="70" t="n">
        <v>1659</v>
      </c>
      <c r="E367" s="72" t="inlineStr">
        <is>
          <t>ADRIANA DISTRIBUIDORA DE PRODUTOS ALIMEN</t>
        </is>
      </c>
      <c r="F367" s="70" t="n">
        <v>24</v>
      </c>
      <c r="G367" s="72" t="inlineStr">
        <is>
          <t>Compra a Prazo - Boletos</t>
        </is>
      </c>
      <c r="H367" s="70" t="n">
        <v>2110101</v>
      </c>
      <c r="I367" s="72" t="inlineStr">
        <is>
          <t>FORNECEDORES DE MERCADORIA</t>
        </is>
      </c>
      <c r="J367" s="70" t="n">
        <v>1121828</v>
      </c>
      <c r="L367" s="70" t="n">
        <v>872189</v>
      </c>
      <c r="M367" s="72" t="inlineStr">
        <is>
          <t>03</t>
        </is>
      </c>
      <c r="N367" s="72" t="inlineStr">
        <is>
          <t>NFE</t>
        </is>
      </c>
      <c r="P367" s="70" t="n">
        <v>103</v>
      </c>
      <c r="Q367" s="72" t="inlineStr">
        <is>
          <t>MILKA FRANCIS</t>
        </is>
      </c>
      <c r="R367" s="72" t="inlineStr">
        <is>
          <t>ESTOQUE DE MERCADORIAS</t>
        </is>
      </c>
      <c r="S367" s="70" t="n">
        <v>1130101</v>
      </c>
      <c r="T367" s="72" t="inlineStr">
        <is>
          <t>MERCADORIAS P/REVENDA</t>
        </is>
      </c>
      <c r="U367" s="73" t="n">
        <v>872.5599999999999</v>
      </c>
      <c r="W367" s="73" t="n">
        <v>0</v>
      </c>
      <c r="X367" s="72" t="inlineStr">
        <is>
          <t>NF 872189-3 MILKA</t>
        </is>
      </c>
      <c r="Z367" s="59">
        <f>IF($T367="","",IFERROR(INDEX('Resumo Grupos'!$AC$3:$AC$200,MATCH($T367,'Resumo Grupos'!$AB$3:$AB$200,0)),"n/d"))</f>
        <v/>
      </c>
      <c r="AA367" s="59">
        <f>IF($T367="","",IF(COUNTIF('Resumo Grupos'!$AE$3:$AE$40,$T367)&gt;0,"NAO","SIM"))</f>
        <v/>
      </c>
    </row>
    <row r="368" ht="54.75" customHeight="1" s="60">
      <c r="A368" s="70" t="n">
        <v>1</v>
      </c>
      <c r="B368" s="71" t="n">
        <v>46164</v>
      </c>
      <c r="C368" s="71" t="n">
        <v>46188</v>
      </c>
      <c r="D368" s="70" t="n">
        <v>1636</v>
      </c>
      <c r="E368" s="72" t="inlineStr">
        <is>
          <t>DUNORTE DISTRIBUIDORA DE PRODUTOS DE CONSUMO LTDA</t>
        </is>
      </c>
      <c r="F368" s="70" t="n">
        <v>24</v>
      </c>
      <c r="G368" s="72" t="inlineStr">
        <is>
          <t>Compra a Prazo - Boletos</t>
        </is>
      </c>
      <c r="H368" s="70" t="n">
        <v>2110101</v>
      </c>
      <c r="I368" s="72" t="inlineStr">
        <is>
          <t>FORNECEDORES DE MERCADORIA</t>
        </is>
      </c>
      <c r="J368" s="70" t="n">
        <v>1136636</v>
      </c>
      <c r="L368" s="70" t="n">
        <v>474644</v>
      </c>
      <c r="M368" s="72" t="inlineStr">
        <is>
          <t>02</t>
        </is>
      </c>
      <c r="N368" s="72" t="inlineStr">
        <is>
          <t>AVU</t>
        </is>
      </c>
      <c r="P368" s="70" t="n">
        <v>103</v>
      </c>
      <c r="Q368" s="72" t="inlineStr">
        <is>
          <t>MILKA FRANCIS</t>
        </is>
      </c>
      <c r="R368" s="72" t="inlineStr">
        <is>
          <t>ESTOQUE DE MERCADORIAS</t>
        </is>
      </c>
      <c r="S368" s="70" t="n">
        <v>1130101</v>
      </c>
      <c r="T368" s="72" t="inlineStr">
        <is>
          <t>MERCADORIAS P/REVENDA</t>
        </is>
      </c>
      <c r="U368" s="73" t="n">
        <v>1181.23</v>
      </c>
      <c r="W368" s="73" t="n">
        <v>0</v>
      </c>
      <c r="X368" s="72" t="inlineStr">
        <is>
          <t>NF 3189025 -2 C/TARIFA INCLUSA MILKA</t>
        </is>
      </c>
      <c r="Z368" s="59">
        <f>IF($T368="","",IFERROR(INDEX('Resumo Grupos'!$AC$3:$AC$200,MATCH($T368,'Resumo Grupos'!$AB$3:$AB$200,0)),"n/d"))</f>
        <v/>
      </c>
      <c r="AA368" s="59">
        <f>IF($T368="","",IF(COUNTIF('Resumo Grupos'!$AE$3:$AE$40,$T368)&gt;0,"NAO","SIM"))</f>
        <v/>
      </c>
    </row>
    <row r="369" ht="54.75" customHeight="1" s="60">
      <c r="A369" s="70" t="n">
        <v>1</v>
      </c>
      <c r="B369" s="71" t="n">
        <v>46169</v>
      </c>
      <c r="C369" s="71" t="n">
        <v>46188</v>
      </c>
      <c r="D369" s="70" t="n">
        <v>1636</v>
      </c>
      <c r="E369" s="72" t="inlineStr">
        <is>
          <t>DUNORTE DISTRIBUIDORA DE PRODUTOS DE CONSUMO LTDA</t>
        </is>
      </c>
      <c r="F369" s="70" t="n">
        <v>24</v>
      </c>
      <c r="G369" s="72" t="inlineStr">
        <is>
          <t>Compra a Prazo - Boletos</t>
        </is>
      </c>
      <c r="H369" s="70" t="n">
        <v>2110101</v>
      </c>
      <c r="I369" s="72" t="inlineStr">
        <is>
          <t>FORNECEDORES DE MERCADORIA</t>
        </is>
      </c>
      <c r="J369" s="70" t="n">
        <v>1161081</v>
      </c>
      <c r="L369" s="70" t="n">
        <v>484463</v>
      </c>
      <c r="M369" s="72" t="inlineStr">
        <is>
          <t>03</t>
        </is>
      </c>
      <c r="N369" s="72" t="inlineStr">
        <is>
          <t>AVU</t>
        </is>
      </c>
      <c r="P369" s="70" t="n">
        <v>103</v>
      </c>
      <c r="Q369" s="72" t="inlineStr">
        <is>
          <t>MILKA FRANCIS</t>
        </is>
      </c>
      <c r="R369" s="72" t="inlineStr">
        <is>
          <t>ESTOQUE DE MERCADORIAS</t>
        </is>
      </c>
      <c r="S369" s="70" t="n">
        <v>1130101</v>
      </c>
      <c r="T369" s="72" t="inlineStr">
        <is>
          <t>MERCADORIAS P/REVENDA</t>
        </is>
      </c>
      <c r="U369" s="73" t="n">
        <v>2763.7</v>
      </c>
      <c r="W369" s="73" t="n">
        <v>0</v>
      </c>
      <c r="X369" s="72" t="inlineStr">
        <is>
          <t>NF 3189024 -3 MILKA</t>
        </is>
      </c>
      <c r="Z369" s="59">
        <f>IF($T369="","",IFERROR(INDEX('Resumo Grupos'!$AC$3:$AC$200,MATCH($T369,'Resumo Grupos'!$AB$3:$AB$200,0)),"n/d"))</f>
        <v/>
      </c>
      <c r="AA369" s="59">
        <f>IF($T369="","",IF(COUNTIF('Resumo Grupos'!$AE$3:$AE$40,$T369)&gt;0,"NAO","SIM"))</f>
        <v/>
      </c>
    </row>
    <row r="370" ht="45.75" customHeight="1" s="60">
      <c r="A370" s="70" t="n">
        <v>1</v>
      </c>
      <c r="B370" s="71" t="n">
        <v>46170</v>
      </c>
      <c r="C370" s="71" t="n">
        <v>46188</v>
      </c>
      <c r="D370" s="70" t="n">
        <v>1699</v>
      </c>
      <c r="E370" s="72" t="inlineStr">
        <is>
          <t>L S M COMERCIO DE ALIMENTOS E NAVEGACAO</t>
        </is>
      </c>
      <c r="F370" s="70" t="n">
        <v>24</v>
      </c>
      <c r="G370" s="72" t="inlineStr">
        <is>
          <t>Compra a Prazo - Boletos</t>
        </is>
      </c>
      <c r="H370" s="70" t="n">
        <v>2110101</v>
      </c>
      <c r="I370" s="72" t="inlineStr">
        <is>
          <t>FORNECEDORES DE MERCADORIA</t>
        </is>
      </c>
      <c r="J370" s="70" t="n">
        <v>1167667</v>
      </c>
      <c r="L370" s="70" t="n">
        <v>302506</v>
      </c>
      <c r="M370" s="72" t="inlineStr">
        <is>
          <t>02</t>
        </is>
      </c>
      <c r="N370" s="72" t="inlineStr">
        <is>
          <t>NFE</t>
        </is>
      </c>
      <c r="P370" s="70" t="n">
        <v>103</v>
      </c>
      <c r="Q370" s="72" t="inlineStr">
        <is>
          <t>MILKA FRANCIS</t>
        </is>
      </c>
      <c r="R370" s="72" t="inlineStr">
        <is>
          <t>ESTOQUE DE MERCADORIAS</t>
        </is>
      </c>
      <c r="S370" s="70" t="n">
        <v>1130101</v>
      </c>
      <c r="T370" s="72" t="inlineStr">
        <is>
          <t>MERCADORIAS P/REVENDA</t>
        </is>
      </c>
      <c r="U370" s="73" t="n">
        <v>332.25</v>
      </c>
      <c r="W370" s="73" t="n">
        <v>0</v>
      </c>
      <c r="X370" s="72" t="inlineStr">
        <is>
          <t>NF 302506 - 2 MILKA</t>
        </is>
      </c>
      <c r="Z370" s="59">
        <f>IF($T370="","",IFERROR(INDEX('Resumo Grupos'!$AC$3:$AC$200,MATCH($T370,'Resumo Grupos'!$AB$3:$AB$200,0)),"n/d"))</f>
        <v/>
      </c>
      <c r="AA370" s="59">
        <f>IF($T370="","",IF(COUNTIF('Resumo Grupos'!$AE$3:$AE$40,$T370)&gt;0,"NAO","SIM"))</f>
        <v/>
      </c>
    </row>
    <row r="371" ht="45.75" customHeight="1" s="60">
      <c r="A371" s="70" t="n">
        <v>1</v>
      </c>
      <c r="B371" s="71" t="n">
        <v>46171</v>
      </c>
      <c r="C371" s="71" t="n">
        <v>46188</v>
      </c>
      <c r="D371" s="70" t="n">
        <v>1666</v>
      </c>
      <c r="E371" s="72" t="inlineStr">
        <is>
          <t>SOUZA CRUZ LTDA.</t>
        </is>
      </c>
      <c r="F371" s="70" t="n">
        <v>24</v>
      </c>
      <c r="G371" s="72" t="inlineStr">
        <is>
          <t>Compra a Prazo - Boletos</t>
        </is>
      </c>
      <c r="H371" s="70" t="n">
        <v>2110101</v>
      </c>
      <c r="I371" s="72" t="inlineStr">
        <is>
          <t>FORNECEDORES DE MERCADORIA</t>
        </is>
      </c>
      <c r="J371" s="70" t="n">
        <v>1170738</v>
      </c>
      <c r="L371" s="70" t="n">
        <v>561905</v>
      </c>
      <c r="M371" s="72" t="inlineStr">
        <is>
          <t>02</t>
        </is>
      </c>
      <c r="N371" s="72" t="inlineStr">
        <is>
          <t>NFE</t>
        </is>
      </c>
      <c r="P371" s="70" t="n">
        <v>103</v>
      </c>
      <c r="Q371" s="72" t="inlineStr">
        <is>
          <t>MILKA FRANCIS</t>
        </is>
      </c>
      <c r="R371" s="72" t="inlineStr">
        <is>
          <t>ESTOQUE DE MERCADORIAS</t>
        </is>
      </c>
      <c r="S371" s="70" t="n">
        <v>1130101</v>
      </c>
      <c r="T371" s="72" t="inlineStr">
        <is>
          <t>MERCADORIAS P/REVENDA</t>
        </is>
      </c>
      <c r="U371" s="73" t="n">
        <v>3874.39</v>
      </c>
      <c r="W371" s="73" t="n">
        <v>0</v>
      </c>
      <c r="X371" s="72" t="inlineStr">
        <is>
          <t>NF 561905 -02 MILKA</t>
        </is>
      </c>
      <c r="Z371" s="59">
        <f>IF($T371="","",IFERROR(INDEX('Resumo Grupos'!$AC$3:$AC$200,MATCH($T371,'Resumo Grupos'!$AB$3:$AB$200,0)),"n/d"))</f>
        <v/>
      </c>
      <c r="AA371" s="59">
        <f>IF($T371="","",IF(COUNTIF('Resumo Grupos'!$AE$3:$AE$40,$T371)&gt;0,"NAO","SIM"))</f>
        <v/>
      </c>
    </row>
    <row r="372" ht="45.75" customHeight="1" s="60">
      <c r="A372" s="70" t="n">
        <v>1</v>
      </c>
      <c r="B372" s="71" t="n">
        <v>46171</v>
      </c>
      <c r="C372" s="71" t="n">
        <v>46188</v>
      </c>
      <c r="D372" s="70" t="n">
        <v>1675</v>
      </c>
      <c r="E372" s="72" t="inlineStr">
        <is>
          <t>MARQUES &amp; MELO LTDA - FILIAL</t>
        </is>
      </c>
      <c r="F372" s="70" t="n">
        <v>24</v>
      </c>
      <c r="G372" s="72" t="inlineStr">
        <is>
          <t>Compra a Prazo - Boletos</t>
        </is>
      </c>
      <c r="H372" s="70" t="n">
        <v>2110101</v>
      </c>
      <c r="I372" s="72" t="inlineStr">
        <is>
          <t>FORNECEDORES DE MERCADORIA</t>
        </is>
      </c>
      <c r="J372" s="70" t="n">
        <v>1170944</v>
      </c>
      <c r="L372" s="70" t="n">
        <v>490451</v>
      </c>
      <c r="M372" s="72" t="inlineStr">
        <is>
          <t>03</t>
        </is>
      </c>
      <c r="N372" s="72" t="inlineStr">
        <is>
          <t>NFE</t>
        </is>
      </c>
      <c r="P372" s="70" t="n">
        <v>103</v>
      </c>
      <c r="Q372" s="72" t="inlineStr">
        <is>
          <t>MILKA FRANCIS</t>
        </is>
      </c>
      <c r="R372" s="72" t="inlineStr">
        <is>
          <t>ESTOQUE DE MERCADORIAS</t>
        </is>
      </c>
      <c r="S372" s="70" t="n">
        <v>1130101</v>
      </c>
      <c r="T372" s="72" t="inlineStr">
        <is>
          <t>MERCADORIAS P/REVENDA</t>
        </is>
      </c>
      <c r="U372" s="73" t="n">
        <v>1518.18</v>
      </c>
      <c r="W372" s="73" t="n">
        <v>0</v>
      </c>
      <c r="X372" s="72" t="inlineStr">
        <is>
          <t>NF 490451-03 MILKA</t>
        </is>
      </c>
      <c r="Z372" s="59">
        <f>IF($T372="","",IFERROR(INDEX('Resumo Grupos'!$AC$3:$AC$200,MATCH($T372,'Resumo Grupos'!$AB$3:$AB$200,0)),"n/d"))</f>
        <v/>
      </c>
      <c r="AA372" s="59">
        <f>IF($T372="","",IF(COUNTIF('Resumo Grupos'!$AE$3:$AE$40,$T372)&gt;0,"NAO","SIM"))</f>
        <v/>
      </c>
    </row>
    <row r="373" ht="45.75" customHeight="1" s="60">
      <c r="A373" s="70" t="n">
        <v>1</v>
      </c>
      <c r="B373" s="71" t="n">
        <v>46172</v>
      </c>
      <c r="C373" s="71" t="n">
        <v>46188</v>
      </c>
      <c r="D373" s="70" t="n">
        <v>1683</v>
      </c>
      <c r="E373" s="72" t="inlineStr">
        <is>
          <t>EDSON AGUIAR DE SOUZA</t>
        </is>
      </c>
      <c r="F373" s="70" t="n">
        <v>34</v>
      </c>
      <c r="G373" s="72" t="inlineStr">
        <is>
          <t>Transferencia Pix</t>
        </is>
      </c>
      <c r="H373" s="70" t="n">
        <v>2110101</v>
      </c>
      <c r="I373" s="72" t="inlineStr">
        <is>
          <t>FORNECEDORES DE MERCADORIA</t>
        </is>
      </c>
      <c r="J373" s="70" t="n">
        <v>1186671</v>
      </c>
      <c r="L373" s="70" t="n">
        <v>1624524</v>
      </c>
      <c r="M373" s="72" t="inlineStr">
        <is>
          <t>01</t>
        </is>
      </c>
      <c r="N373" s="72" t="inlineStr">
        <is>
          <t>NFE</t>
        </is>
      </c>
      <c r="P373" s="70" t="n">
        <v>104</v>
      </c>
      <c r="Q373" s="72" t="inlineStr">
        <is>
          <t>DEBORA COSTA</t>
        </is>
      </c>
      <c r="R373" s="72" t="inlineStr">
        <is>
          <t>ESTOQUE DE MERCADORIAS</t>
        </is>
      </c>
      <c r="S373" s="70" t="n">
        <v>1130101</v>
      </c>
      <c r="T373" s="72" t="inlineStr">
        <is>
          <t>MERCADORIAS P/REVENDA</t>
        </is>
      </c>
      <c r="U373" s="73" t="n">
        <v>261</v>
      </c>
      <c r="W373" s="73" t="n">
        <v>0</v>
      </c>
      <c r="X373" s="72" t="inlineStr">
        <is>
          <t>NF 1624524 - DEBORA</t>
        </is>
      </c>
      <c r="Z373" s="59">
        <f>IF($T373="","",IFERROR(INDEX('Resumo Grupos'!$AC$3:$AC$200,MATCH($T373,'Resumo Grupos'!$AB$3:$AB$200,0)),"n/d"))</f>
        <v/>
      </c>
      <c r="AA373" s="59">
        <f>IF($T373="","",IF(COUNTIF('Resumo Grupos'!$AE$3:$AE$40,$T373)&gt;0,"NAO","SIM"))</f>
        <v/>
      </c>
    </row>
    <row r="374" ht="45.75" customHeight="1" s="60">
      <c r="A374" s="70" t="n">
        <v>1</v>
      </c>
      <c r="B374" s="71" t="n">
        <v>46174</v>
      </c>
      <c r="C374" s="71" t="n">
        <v>46188</v>
      </c>
      <c r="D374" s="70" t="n">
        <v>1683</v>
      </c>
      <c r="E374" s="72" t="inlineStr">
        <is>
          <t>EDSON AGUIAR DE SOUZA</t>
        </is>
      </c>
      <c r="F374" s="70" t="n">
        <v>34</v>
      </c>
      <c r="G374" s="72" t="inlineStr">
        <is>
          <t>Transferencia Pix</t>
        </is>
      </c>
      <c r="H374" s="70" t="n">
        <v>2110101</v>
      </c>
      <c r="I374" s="72" t="inlineStr">
        <is>
          <t>FORNECEDORES DE MERCADORIA</t>
        </is>
      </c>
      <c r="J374" s="70" t="n">
        <v>1191272</v>
      </c>
      <c r="L374" s="70" t="n">
        <v>1625398</v>
      </c>
      <c r="M374" s="72" t="inlineStr">
        <is>
          <t>01</t>
        </is>
      </c>
      <c r="N374" s="72" t="inlineStr">
        <is>
          <t>NFE</t>
        </is>
      </c>
      <c r="P374" s="70" t="n">
        <v>104</v>
      </c>
      <c r="Q374" s="72" t="inlineStr">
        <is>
          <t>DEBORA COSTA</t>
        </is>
      </c>
      <c r="R374" s="72" t="inlineStr">
        <is>
          <t>ESTOQUE DE MERCADORIAS</t>
        </is>
      </c>
      <c r="S374" s="70" t="n">
        <v>1130101</v>
      </c>
      <c r="T374" s="72" t="inlineStr">
        <is>
          <t>MERCADORIAS P/REVENDA</t>
        </is>
      </c>
      <c r="U374" s="73" t="n">
        <v>180</v>
      </c>
      <c r="W374" s="73" t="n">
        <v>0</v>
      </c>
      <c r="X374" s="72" t="inlineStr">
        <is>
          <t>NF 1625398 - DEBORA</t>
        </is>
      </c>
      <c r="Z374" s="59">
        <f>IF($T374="","",IFERROR(INDEX('Resumo Grupos'!$AC$3:$AC$200,MATCH($T374,'Resumo Grupos'!$AB$3:$AB$200,0)),"n/d"))</f>
        <v/>
      </c>
      <c r="AA374" s="59">
        <f>IF($T374="","",IF(COUNTIF('Resumo Grupos'!$AE$3:$AE$40,$T374)&gt;0,"NAO","SIM"))</f>
        <v/>
      </c>
    </row>
    <row r="375" ht="63.75" customHeight="1" s="60">
      <c r="A375" s="70" t="n">
        <v>1</v>
      </c>
      <c r="B375" s="71" t="n">
        <v>46178</v>
      </c>
      <c r="C375" s="71" t="n">
        <v>46188</v>
      </c>
      <c r="D375" s="70" t="n">
        <v>1723</v>
      </c>
      <c r="E375" s="72" t="inlineStr">
        <is>
          <t>COMERCIO DE FRIOS MANAUS LTDA</t>
        </is>
      </c>
      <c r="F375" s="70" t="n">
        <v>24</v>
      </c>
      <c r="G375" s="72" t="inlineStr">
        <is>
          <t>Compra a Prazo - Boletos</t>
        </is>
      </c>
      <c r="H375" s="70" t="n">
        <v>2110101</v>
      </c>
      <c r="I375" s="72" t="inlineStr">
        <is>
          <t>FORNECEDORES DE MERCADORIA</t>
        </is>
      </c>
      <c r="J375" s="70" t="n">
        <v>1208222</v>
      </c>
      <c r="L375" s="70" t="n">
        <v>171072</v>
      </c>
      <c r="M375" s="72" t="inlineStr">
        <is>
          <t>01</t>
        </is>
      </c>
      <c r="N375" s="72" t="inlineStr">
        <is>
          <t>NFE</t>
        </is>
      </c>
      <c r="P375" s="70" t="n">
        <v>103</v>
      </c>
      <c r="Q375" s="72" t="inlineStr">
        <is>
          <t>MILKA FRANCIS</t>
        </is>
      </c>
      <c r="R375" s="72" t="inlineStr">
        <is>
          <t>ESTOQUE DE MERCADORIAS</t>
        </is>
      </c>
      <c r="S375" s="70" t="n">
        <v>1130101</v>
      </c>
      <c r="T375" s="72" t="inlineStr">
        <is>
          <t>MERCADORIAS P/REVENDA</t>
        </is>
      </c>
      <c r="U375" s="73" t="n">
        <v>5578.7</v>
      </c>
      <c r="W375" s="73" t="n">
        <v>0</v>
      </c>
      <c r="X375" s="72" t="inlineStr">
        <is>
          <t>NF171072 - MILKA</t>
        </is>
      </c>
      <c r="Z375" s="59">
        <f>IF($T375="","",IFERROR(INDEX('Resumo Grupos'!$AC$3:$AC$200,MATCH($T375,'Resumo Grupos'!$AB$3:$AB$200,0)),"n/d"))</f>
        <v/>
      </c>
      <c r="AA375" s="59">
        <f>IF($T375="","",IF(COUNTIF('Resumo Grupos'!$AE$3:$AE$40,$T375)&gt;0,"NAO","SIM"))</f>
        <v/>
      </c>
    </row>
    <row r="376" ht="63.75" customHeight="1" s="60">
      <c r="A376" s="70" t="n">
        <v>1</v>
      </c>
      <c r="B376" s="71" t="n">
        <v>46181</v>
      </c>
      <c r="C376" s="71" t="n">
        <v>46188</v>
      </c>
      <c r="D376" s="70" t="n">
        <v>1614</v>
      </c>
      <c r="E376" s="72" t="inlineStr">
        <is>
          <t>C. R. PARENTE ABREU</t>
        </is>
      </c>
      <c r="F376" s="70" t="n">
        <v>24</v>
      </c>
      <c r="G376" s="72" t="inlineStr">
        <is>
          <t>Compra a Prazo - Boletos</t>
        </is>
      </c>
      <c r="H376" s="70" t="n">
        <v>2110101</v>
      </c>
      <c r="I376" s="72" t="inlineStr">
        <is>
          <t>FORNECEDORES DE MERCADORIA</t>
        </is>
      </c>
      <c r="J376" s="70" t="n">
        <v>1221579</v>
      </c>
      <c r="L376" s="70" t="n">
        <v>11227</v>
      </c>
      <c r="M376" s="72" t="inlineStr">
        <is>
          <t>02</t>
        </is>
      </c>
      <c r="N376" s="72" t="inlineStr">
        <is>
          <t>NFE</t>
        </is>
      </c>
      <c r="P376" s="70" t="n">
        <v>103</v>
      </c>
      <c r="Q376" s="72" t="inlineStr">
        <is>
          <t>MILKA FRANCIS</t>
        </is>
      </c>
      <c r="R376" s="72" t="inlineStr">
        <is>
          <t>ESTOQUE DE MERCADORIAS</t>
        </is>
      </c>
      <c r="S376" s="70" t="n">
        <v>1130101</v>
      </c>
      <c r="T376" s="72" t="inlineStr">
        <is>
          <t>MERCADORIAS P/REVENDA</t>
        </is>
      </c>
      <c r="U376" s="73" t="n">
        <v>572.4</v>
      </c>
      <c r="W376" s="73" t="n">
        <v>0</v>
      </c>
      <c r="X376" s="72" t="inlineStr">
        <is>
          <t>NF 11227-2 MILKA</t>
        </is>
      </c>
      <c r="Z376" s="59">
        <f>IF($T376="","",IFERROR(INDEX('Resumo Grupos'!$AC$3:$AC$200,MATCH($T376,'Resumo Grupos'!$AB$3:$AB$200,0)),"n/d"))</f>
        <v/>
      </c>
      <c r="AA376" s="59">
        <f>IF($T376="","",IF(COUNTIF('Resumo Grupos'!$AE$3:$AE$40,$T376)&gt;0,"NAO","SIM"))</f>
        <v/>
      </c>
    </row>
    <row r="377" ht="63.75" customHeight="1" s="60">
      <c r="A377" s="70" t="n">
        <v>1</v>
      </c>
      <c r="B377" s="71" t="n">
        <v>46181</v>
      </c>
      <c r="C377" s="71" t="n">
        <v>46188</v>
      </c>
      <c r="D377" s="70" t="n">
        <v>1292</v>
      </c>
      <c r="E377" s="72" t="inlineStr">
        <is>
          <t>SAO JOSE COMERCIO DE LATICINIOS E FRIOS</t>
        </is>
      </c>
      <c r="F377" s="70" t="n">
        <v>24</v>
      </c>
      <c r="G377" s="72" t="inlineStr">
        <is>
          <t>Compra a Prazo - Boletos</t>
        </is>
      </c>
      <c r="H377" s="70" t="n">
        <v>2110101</v>
      </c>
      <c r="I377" s="72" t="inlineStr">
        <is>
          <t>FORNECEDORES DE MERCADORIA</t>
        </is>
      </c>
      <c r="J377" s="70" t="n">
        <v>1223402</v>
      </c>
      <c r="L377" s="70" t="n">
        <v>3352</v>
      </c>
      <c r="M377" s="72" t="inlineStr">
        <is>
          <t>01</t>
        </is>
      </c>
      <c r="N377" s="72" t="inlineStr">
        <is>
          <t>NFE</t>
        </is>
      </c>
      <c r="P377" s="70" t="n">
        <v>103</v>
      </c>
      <c r="Q377" s="72" t="inlineStr">
        <is>
          <t>MILKA FRANCIS</t>
        </is>
      </c>
      <c r="R377" s="72" t="inlineStr">
        <is>
          <t>ESTOQUE DE MERCADORIAS</t>
        </is>
      </c>
      <c r="S377" s="70" t="n">
        <v>1130101</v>
      </c>
      <c r="T377" s="72" t="inlineStr">
        <is>
          <t>MERCADORIAS P/REVENDA</t>
        </is>
      </c>
      <c r="U377" s="73" t="n">
        <v>1548.5</v>
      </c>
      <c r="W377" s="73" t="n">
        <v>0</v>
      </c>
      <c r="X377" s="72" t="inlineStr">
        <is>
          <t>NF 3352 SABORE FATIADO - MILKA</t>
        </is>
      </c>
      <c r="Z377" s="59">
        <f>IF($T377="","",IFERROR(INDEX('Resumo Grupos'!$AC$3:$AC$200,MATCH($T377,'Resumo Grupos'!$AB$3:$AB$200,0)),"n/d"))</f>
        <v/>
      </c>
      <c r="AA377" s="59">
        <f>IF($T377="","",IF(COUNTIF('Resumo Grupos'!$AE$3:$AE$40,$T377)&gt;0,"NAO","SIM"))</f>
        <v/>
      </c>
    </row>
    <row r="378" ht="45.75" customHeight="1" s="60">
      <c r="A378" s="70" t="n">
        <v>1</v>
      </c>
      <c r="B378" s="71" t="n">
        <v>46182</v>
      </c>
      <c r="C378" s="71" t="n">
        <v>46188</v>
      </c>
      <c r="D378" s="70" t="n">
        <v>513</v>
      </c>
      <c r="E378" s="72" t="inlineStr">
        <is>
          <t>NET CLARO</t>
        </is>
      </c>
      <c r="F378" s="70" t="n">
        <v>24</v>
      </c>
      <c r="G378" s="72" t="inlineStr">
        <is>
          <t>Compra a Prazo - Boletos</t>
        </is>
      </c>
      <c r="H378" s="70" t="n">
        <v>2110405</v>
      </c>
      <c r="I378" s="72" t="inlineStr">
        <is>
          <t>CONTAS A PAGAR</t>
        </is>
      </c>
      <c r="J378" s="70" t="n">
        <v>1226735</v>
      </c>
      <c r="L378" s="70" t="n">
        <v>509866</v>
      </c>
      <c r="M378" s="72" t="inlineStr">
        <is>
          <t>01</t>
        </is>
      </c>
      <c r="N378" s="72" t="inlineStr">
        <is>
          <t>AVU</t>
        </is>
      </c>
      <c r="P378" s="70" t="n">
        <v>101</v>
      </c>
      <c r="Q378" s="72" t="inlineStr">
        <is>
          <t>KEILA LIMA</t>
        </is>
      </c>
      <c r="R378" s="72" t="inlineStr">
        <is>
          <t>DESPESAS COM PESSOAL</t>
        </is>
      </c>
      <c r="S378" s="70" t="n">
        <v>4210315</v>
      </c>
      <c r="T378" s="72" t="inlineStr">
        <is>
          <t>INTERNET</t>
        </is>
      </c>
      <c r="U378" s="73" t="n">
        <v>167.03</v>
      </c>
      <c r="W378" s="73" t="n">
        <v>0</v>
      </c>
      <c r="X378" s="72" t="inlineStr">
        <is>
          <t>MNEASLIDADE INTERNET MO1 - KEILA</t>
        </is>
      </c>
      <c r="Z378" s="59">
        <f>IF($T378="","",IFERROR(INDEX('Resumo Grupos'!$AC$3:$AC$200,MATCH($T378,'Resumo Grupos'!$AB$3:$AB$200,0)),"n/d"))</f>
        <v/>
      </c>
      <c r="AA378" s="59">
        <f>IF($T378="","",IF(COUNTIF('Resumo Grupos'!$AE$3:$AE$40,$T378)&gt;0,"NAO","SIM"))</f>
        <v/>
      </c>
    </row>
    <row r="379" ht="36.75" customHeight="1" s="60">
      <c r="A379" s="70" t="n">
        <v>1</v>
      </c>
      <c r="B379" s="71" t="n">
        <v>46182</v>
      </c>
      <c r="C379" s="71" t="n">
        <v>46188</v>
      </c>
      <c r="D379" s="70" t="n">
        <v>1625</v>
      </c>
      <c r="E379" s="72" t="inlineStr">
        <is>
          <t>MAXFRI DISTRIUIDORA LTDA</t>
        </is>
      </c>
      <c r="F379" s="70" t="n">
        <v>24</v>
      </c>
      <c r="G379" s="72" t="inlineStr">
        <is>
          <t>Compra a Prazo - Boletos</t>
        </is>
      </c>
      <c r="H379" s="70" t="n">
        <v>2110101</v>
      </c>
      <c r="I379" s="72" t="inlineStr">
        <is>
          <t>FORNECEDORES DE MERCADORIA</t>
        </is>
      </c>
      <c r="J379" s="70" t="n">
        <v>1227207</v>
      </c>
      <c r="L379" s="70" t="n">
        <v>14426</v>
      </c>
      <c r="M379" s="72" t="inlineStr">
        <is>
          <t>01</t>
        </is>
      </c>
      <c r="N379" s="72" t="inlineStr">
        <is>
          <t>NFE</t>
        </is>
      </c>
      <c r="P379" s="70" t="n">
        <v>103</v>
      </c>
      <c r="Q379" s="72" t="inlineStr">
        <is>
          <t>MILKA FRANCIS</t>
        </is>
      </c>
      <c r="R379" s="72" t="inlineStr">
        <is>
          <t>ESTOQUE DE MERCADORIAS</t>
        </is>
      </c>
      <c r="S379" s="70" t="n">
        <v>1130101</v>
      </c>
      <c r="T379" s="72" t="inlineStr">
        <is>
          <t>MERCADORIAS P/REVENDA</t>
        </is>
      </c>
      <c r="U379" s="73" t="n">
        <v>2371.2</v>
      </c>
      <c r="W379" s="73" t="n">
        <v>0</v>
      </c>
      <c r="X379" s="72" t="inlineStr">
        <is>
          <t>NF14426 - MILKA</t>
        </is>
      </c>
      <c r="Z379" s="59">
        <f>IF($T379="","",IFERROR(INDEX('Resumo Grupos'!$AC$3:$AC$200,MATCH($T379,'Resumo Grupos'!$AB$3:$AB$200,0)),"n/d"))</f>
        <v/>
      </c>
      <c r="AA379" s="59">
        <f>IF($T379="","",IF(COUNTIF('Resumo Grupos'!$AE$3:$AE$40,$T379)&gt;0,"NAO","SIM"))</f>
        <v/>
      </c>
    </row>
    <row r="380" ht="45.75" customHeight="1" s="60">
      <c r="A380" s="70" t="n">
        <v>1</v>
      </c>
      <c r="B380" s="71" t="n">
        <v>46182</v>
      </c>
      <c r="C380" s="71" t="n">
        <v>46188</v>
      </c>
      <c r="D380" s="70" t="n">
        <v>1631</v>
      </c>
      <c r="E380" s="72" t="inlineStr">
        <is>
          <t>T. M. L. DA SILVA LTDA</t>
        </is>
      </c>
      <c r="F380" s="70" t="n">
        <v>24</v>
      </c>
      <c r="G380" s="72" t="inlineStr">
        <is>
          <t>Compra a Prazo - Boletos</t>
        </is>
      </c>
      <c r="H380" s="70" t="n">
        <v>2110101</v>
      </c>
      <c r="I380" s="72" t="inlineStr">
        <is>
          <t>FORNECEDORES DE MERCADORIA</t>
        </is>
      </c>
      <c r="J380" s="70" t="n">
        <v>1228126</v>
      </c>
      <c r="L380" s="70" t="n">
        <v>14998</v>
      </c>
      <c r="M380" s="72" t="inlineStr">
        <is>
          <t>01</t>
        </is>
      </c>
      <c r="N380" s="72" t="inlineStr">
        <is>
          <t>NFE</t>
        </is>
      </c>
      <c r="P380" s="70" t="n">
        <v>103</v>
      </c>
      <c r="Q380" s="72" t="inlineStr">
        <is>
          <t>MILKA FRANCIS</t>
        </is>
      </c>
      <c r="R380" s="72" t="inlineStr">
        <is>
          <t>ESTOQUE DE MERCADORIAS</t>
        </is>
      </c>
      <c r="S380" s="70" t="n">
        <v>1130101</v>
      </c>
      <c r="T380" s="72" t="inlineStr">
        <is>
          <t>MERCADORIAS P/REVENDA</t>
        </is>
      </c>
      <c r="U380" s="73" t="n">
        <v>563.85</v>
      </c>
      <c r="W380" s="73" t="n">
        <v>0</v>
      </c>
      <c r="X380" s="72" t="inlineStr">
        <is>
          <t>NF 14998 - MILKA</t>
        </is>
      </c>
      <c r="Z380" s="59">
        <f>IF($T380="","",IFERROR(INDEX('Resumo Grupos'!$AC$3:$AC$200,MATCH($T380,'Resumo Grupos'!$AB$3:$AB$200,0)),"n/d"))</f>
        <v/>
      </c>
      <c r="AA380" s="59">
        <f>IF($T380="","",IF(COUNTIF('Resumo Grupos'!$AE$3:$AE$40,$T380)&gt;0,"NAO","SIM"))</f>
        <v/>
      </c>
    </row>
    <row r="381" ht="45.75" customHeight="1" s="60">
      <c r="A381" s="70" t="n">
        <v>1</v>
      </c>
      <c r="B381" s="71" t="n">
        <v>46182</v>
      </c>
      <c r="C381" s="71" t="n">
        <v>46188</v>
      </c>
      <c r="D381" s="70" t="n">
        <v>1650</v>
      </c>
      <c r="E381" s="72" t="inlineStr">
        <is>
          <t>FRUTAL INDUSTRIA E COMERCIO LTDA</t>
        </is>
      </c>
      <c r="F381" s="70" t="n">
        <v>24</v>
      </c>
      <c r="G381" s="72" t="inlineStr">
        <is>
          <t>Compra a Prazo - Boletos</t>
        </is>
      </c>
      <c r="H381" s="70" t="n">
        <v>2110101</v>
      </c>
      <c r="I381" s="72" t="inlineStr">
        <is>
          <t>FORNECEDORES DE MERCADORIA</t>
        </is>
      </c>
      <c r="J381" s="70" t="n">
        <v>1228179</v>
      </c>
      <c r="L381" s="70" t="n">
        <v>222921</v>
      </c>
      <c r="M381" s="72" t="inlineStr">
        <is>
          <t>01</t>
        </is>
      </c>
      <c r="N381" s="72" t="inlineStr">
        <is>
          <t>NFE</t>
        </is>
      </c>
      <c r="P381" s="70" t="n">
        <v>103</v>
      </c>
      <c r="Q381" s="72" t="inlineStr">
        <is>
          <t>MILKA FRANCIS</t>
        </is>
      </c>
      <c r="R381" s="72" t="inlineStr">
        <is>
          <t>ESTOQUE DE MERCADORIAS</t>
        </is>
      </c>
      <c r="S381" s="70" t="n">
        <v>1130101</v>
      </c>
      <c r="T381" s="72" t="inlineStr">
        <is>
          <t>MERCADORIAS P/REVENDA</t>
        </is>
      </c>
      <c r="U381" s="73" t="n">
        <v>922.9</v>
      </c>
      <c r="W381" s="73" t="n">
        <v>0</v>
      </c>
      <c r="X381" s="72" t="inlineStr">
        <is>
          <t>NF 222921- MILKA</t>
        </is>
      </c>
      <c r="Z381" s="59">
        <f>IF($T381="","",IFERROR(INDEX('Resumo Grupos'!$AC$3:$AC$200,MATCH($T381,'Resumo Grupos'!$AB$3:$AB$200,0)),"n/d"))</f>
        <v/>
      </c>
      <c r="AA381" s="59">
        <f>IF($T381="","",IF(COUNTIF('Resumo Grupos'!$AE$3:$AE$40,$T381)&gt;0,"NAO","SIM"))</f>
        <v/>
      </c>
    </row>
    <row r="382" ht="54.75" customHeight="1" s="60">
      <c r="A382" s="70" t="n">
        <v>1</v>
      </c>
      <c r="B382" s="71" t="n">
        <v>46182</v>
      </c>
      <c r="C382" s="71" t="n">
        <v>46188</v>
      </c>
      <c r="D382" s="70" t="n">
        <v>1123</v>
      </c>
      <c r="E382" s="72" t="inlineStr">
        <is>
          <t>NORTELAC DISTRIBUIDORA DE FRIOS LTDA</t>
        </is>
      </c>
      <c r="F382" s="70" t="n">
        <v>24</v>
      </c>
      <c r="G382" s="72" t="inlineStr">
        <is>
          <t>Compra a Prazo - Boletos</t>
        </is>
      </c>
      <c r="H382" s="70" t="n">
        <v>2110101</v>
      </c>
      <c r="I382" s="72" t="inlineStr">
        <is>
          <t>FORNECEDORES DE MERCADORIA</t>
        </is>
      </c>
      <c r="J382" s="70" t="n">
        <v>1228195</v>
      </c>
      <c r="L382" s="70" t="n">
        <v>40822</v>
      </c>
      <c r="M382" s="72" t="inlineStr">
        <is>
          <t>01</t>
        </is>
      </c>
      <c r="N382" s="72" t="inlineStr">
        <is>
          <t>NFE</t>
        </is>
      </c>
      <c r="P382" s="70" t="n">
        <v>103</v>
      </c>
      <c r="Q382" s="72" t="inlineStr">
        <is>
          <t>MILKA FRANCIS</t>
        </is>
      </c>
      <c r="R382" s="72" t="inlineStr">
        <is>
          <t>ESTOQUE DE MERCADORIAS</t>
        </is>
      </c>
      <c r="S382" s="70" t="n">
        <v>1130101</v>
      </c>
      <c r="T382" s="72" t="inlineStr">
        <is>
          <t>MERCADORIAS P/REVENDA</t>
        </is>
      </c>
      <c r="U382" s="73" t="n">
        <v>1380</v>
      </c>
      <c r="W382" s="73" t="n">
        <v>0</v>
      </c>
      <c r="X382" s="72" t="inlineStr">
        <is>
          <t>NF 40822 - MILKA</t>
        </is>
      </c>
      <c r="Z382" s="59">
        <f>IF($T382="","",IFERROR(INDEX('Resumo Grupos'!$AC$3:$AC$200,MATCH($T382,'Resumo Grupos'!$AB$3:$AB$200,0)),"n/d"))</f>
        <v/>
      </c>
      <c r="AA382" s="59">
        <f>IF($T382="","",IF(COUNTIF('Resumo Grupos'!$AE$3:$AE$40,$T382)&gt;0,"NAO","SIM"))</f>
        <v/>
      </c>
    </row>
    <row r="383" ht="36.75" customHeight="1" s="60">
      <c r="A383" s="70" t="n">
        <v>1</v>
      </c>
      <c r="B383" s="71" t="n">
        <v>46182</v>
      </c>
      <c r="C383" s="71" t="n">
        <v>46188</v>
      </c>
      <c r="D383" s="70" t="n">
        <v>666</v>
      </c>
      <c r="E383" s="72" t="inlineStr">
        <is>
          <t>NSB COMERCIO ATACADISTA E VAREJISTA DE P</t>
        </is>
      </c>
      <c r="F383" s="70" t="n">
        <v>24</v>
      </c>
      <c r="G383" s="72" t="inlineStr">
        <is>
          <t>Compra a Prazo - Boletos</t>
        </is>
      </c>
      <c r="H383" s="70" t="n">
        <v>2110101</v>
      </c>
      <c r="I383" s="72" t="inlineStr">
        <is>
          <t>FORNECEDORES DE MERCADORIA</t>
        </is>
      </c>
      <c r="J383" s="70" t="n">
        <v>1228251</v>
      </c>
      <c r="L383" s="70" t="n">
        <v>7726</v>
      </c>
      <c r="M383" s="72" t="inlineStr">
        <is>
          <t>01</t>
        </is>
      </c>
      <c r="N383" s="72" t="inlineStr">
        <is>
          <t>NFE</t>
        </is>
      </c>
      <c r="P383" s="70" t="n">
        <v>103</v>
      </c>
      <c r="Q383" s="72" t="inlineStr">
        <is>
          <t>MILKA FRANCIS</t>
        </is>
      </c>
      <c r="R383" s="72" t="inlineStr">
        <is>
          <t>ESTOQUE DE MERCADORIAS</t>
        </is>
      </c>
      <c r="S383" s="70" t="n">
        <v>1130101</v>
      </c>
      <c r="T383" s="72" t="inlineStr">
        <is>
          <t>MERCADORIAS P/REVENDA</t>
        </is>
      </c>
      <c r="U383" s="73" t="n">
        <v>287.8</v>
      </c>
      <c r="W383" s="73" t="n">
        <v>0</v>
      </c>
      <c r="X383" s="72" t="inlineStr">
        <is>
          <t>NF 7726 -01 MILKA</t>
        </is>
      </c>
      <c r="Z383" s="59">
        <f>IF($T383="","",IFERROR(INDEX('Resumo Grupos'!$AC$3:$AC$200,MATCH($T383,'Resumo Grupos'!$AB$3:$AB$200,0)),"n/d"))</f>
        <v/>
      </c>
      <c r="AA383" s="59">
        <f>IF($T383="","",IF(COUNTIF('Resumo Grupos'!$AE$3:$AE$40,$T383)&gt;0,"NAO","SIM"))</f>
        <v/>
      </c>
    </row>
    <row r="384" ht="54.75" customHeight="1" s="60">
      <c r="A384" s="70" t="n">
        <v>1</v>
      </c>
      <c r="B384" s="71" t="n">
        <v>46182</v>
      </c>
      <c r="C384" s="71" t="n">
        <v>46188</v>
      </c>
      <c r="D384" s="70" t="n">
        <v>1899</v>
      </c>
      <c r="E384" s="72" t="inlineStr">
        <is>
          <t>PANIFICADORA E CONFEITARIA REAL MADRI LTDA</t>
        </is>
      </c>
      <c r="F384" s="70" t="n">
        <v>24</v>
      </c>
      <c r="G384" s="72" t="inlineStr">
        <is>
          <t>Compra a Prazo - Boletos</t>
        </is>
      </c>
      <c r="H384" s="70" t="n">
        <v>2110101</v>
      </c>
      <c r="I384" s="72" t="inlineStr">
        <is>
          <t>FORNECEDORES DE MERCADORIA</t>
        </is>
      </c>
      <c r="J384" s="70" t="n">
        <v>1228359</v>
      </c>
      <c r="L384" s="70" t="n">
        <v>655</v>
      </c>
      <c r="M384" s="72" t="inlineStr">
        <is>
          <t>01</t>
        </is>
      </c>
      <c r="N384" s="72" t="inlineStr">
        <is>
          <t>NFE</t>
        </is>
      </c>
      <c r="P384" s="70" t="n">
        <v>103</v>
      </c>
      <c r="Q384" s="72" t="inlineStr">
        <is>
          <t>MILKA FRANCIS</t>
        </is>
      </c>
      <c r="R384" s="72" t="inlineStr">
        <is>
          <t>ESTOQUE DE MERCADORIAS</t>
        </is>
      </c>
      <c r="S384" s="70" t="n">
        <v>1130101</v>
      </c>
      <c r="T384" s="72" t="inlineStr">
        <is>
          <t>MERCADORIAS P/REVENDA</t>
        </is>
      </c>
      <c r="U384" s="73" t="n">
        <v>447.1</v>
      </c>
      <c r="W384" s="73" t="n">
        <v>0</v>
      </c>
      <c r="X384" s="72" t="inlineStr">
        <is>
          <t>NF 655 - MILKA</t>
        </is>
      </c>
      <c r="Z384" s="59">
        <f>IF($T384="","",IFERROR(INDEX('Resumo Grupos'!$AC$3:$AC$200,MATCH($T384,'Resumo Grupos'!$AB$3:$AB$200,0)),"n/d"))</f>
        <v/>
      </c>
      <c r="AA384" s="59">
        <f>IF($T384="","",IF(COUNTIF('Resumo Grupos'!$AE$3:$AE$40,$T384)&gt;0,"NAO","SIM"))</f>
        <v/>
      </c>
    </row>
    <row r="385" ht="54.75" customHeight="1" s="60">
      <c r="A385" s="70" t="n">
        <v>1</v>
      </c>
      <c r="B385" s="71" t="n">
        <v>46182</v>
      </c>
      <c r="C385" s="71" t="n">
        <v>46188</v>
      </c>
      <c r="D385" s="70" t="n">
        <v>1328</v>
      </c>
      <c r="E385" s="72" t="inlineStr">
        <is>
          <t>NOVA FRIOS COMERCIO ATACADISTA DE LATICINIOS LTDA</t>
        </is>
      </c>
      <c r="F385" s="70" t="n">
        <v>24</v>
      </c>
      <c r="G385" s="72" t="inlineStr">
        <is>
          <t>Compra a Prazo - Boletos</t>
        </is>
      </c>
      <c r="H385" s="70" t="n">
        <v>2110101</v>
      </c>
      <c r="I385" s="72" t="inlineStr">
        <is>
          <t>FORNECEDORES DE MERCADORIA</t>
        </is>
      </c>
      <c r="J385" s="70" t="n">
        <v>1228368</v>
      </c>
      <c r="L385" s="70" t="n">
        <v>3701</v>
      </c>
      <c r="M385" s="72" t="inlineStr">
        <is>
          <t>01</t>
        </is>
      </c>
      <c r="N385" s="72" t="inlineStr">
        <is>
          <t>NFE</t>
        </is>
      </c>
      <c r="P385" s="70" t="n">
        <v>103</v>
      </c>
      <c r="Q385" s="72" t="inlineStr">
        <is>
          <t>MILKA FRANCIS</t>
        </is>
      </c>
      <c r="R385" s="72" t="inlineStr">
        <is>
          <t>ESTOQUE DE MERCADORIAS</t>
        </is>
      </c>
      <c r="S385" s="70" t="n">
        <v>1130101</v>
      </c>
      <c r="T385" s="72" t="inlineStr">
        <is>
          <t>MERCADORIAS P/REVENDA</t>
        </is>
      </c>
      <c r="U385" s="73" t="n">
        <v>283.6</v>
      </c>
      <c r="W385" s="73" t="n">
        <v>0</v>
      </c>
      <c r="X385" s="72" t="inlineStr">
        <is>
          <t>NF 3701 BODEGA DO PAO - MILKA</t>
        </is>
      </c>
      <c r="Z385" s="59">
        <f>IF($T385="","",IFERROR(INDEX('Resumo Grupos'!$AC$3:$AC$200,MATCH($T385,'Resumo Grupos'!$AB$3:$AB$200,0)),"n/d"))</f>
        <v/>
      </c>
      <c r="AA385" s="59">
        <f>IF($T385="","",IF(COUNTIF('Resumo Grupos'!$AE$3:$AE$40,$T385)&gt;0,"NAO","SIM"))</f>
        <v/>
      </c>
    </row>
    <row r="386" ht="45.75" customHeight="1" s="60">
      <c r="A386" s="70" t="n">
        <v>1</v>
      </c>
      <c r="B386" s="71" t="n">
        <v>46183</v>
      </c>
      <c r="C386" s="71" t="n">
        <v>46188</v>
      </c>
      <c r="D386" s="70" t="n">
        <v>1899</v>
      </c>
      <c r="E386" s="72" t="inlineStr">
        <is>
          <t>PANIFICADORA E CONFEITARIA REAL MADRI LTDA</t>
        </is>
      </c>
      <c r="F386" s="70" t="n">
        <v>24</v>
      </c>
      <c r="G386" s="72" t="inlineStr">
        <is>
          <t>Compra a Prazo - Boletos</t>
        </is>
      </c>
      <c r="H386" s="70" t="n">
        <v>2110101</v>
      </c>
      <c r="I386" s="72" t="inlineStr">
        <is>
          <t>FORNECEDORES DE MERCADORIA</t>
        </is>
      </c>
      <c r="J386" s="70" t="n">
        <v>1230722</v>
      </c>
      <c r="L386" s="70" t="n">
        <v>658</v>
      </c>
      <c r="M386" s="72" t="inlineStr">
        <is>
          <t>01</t>
        </is>
      </c>
      <c r="N386" s="72" t="inlineStr">
        <is>
          <t>NFE</t>
        </is>
      </c>
      <c r="P386" s="70" t="n">
        <v>103</v>
      </c>
      <c r="Q386" s="72" t="inlineStr">
        <is>
          <t>MILKA FRANCIS</t>
        </is>
      </c>
      <c r="R386" s="72" t="inlineStr">
        <is>
          <t>ESTOQUE DE MERCADORIAS</t>
        </is>
      </c>
      <c r="S386" s="70" t="n">
        <v>1130101</v>
      </c>
      <c r="T386" s="72" t="inlineStr">
        <is>
          <t>MERCADORIAS P/REVENDA</t>
        </is>
      </c>
      <c r="U386" s="73" t="n">
        <v>472.05</v>
      </c>
      <c r="W386" s="73" t="n">
        <v>0</v>
      </c>
      <c r="X386" s="72" t="inlineStr">
        <is>
          <t>NF 658 - MILKA</t>
        </is>
      </c>
      <c r="Z386" s="59">
        <f>IF($T386="","",IFERROR(INDEX('Resumo Grupos'!$AC$3:$AC$200,MATCH($T386,'Resumo Grupos'!$AB$3:$AB$200,0)),"n/d"))</f>
        <v/>
      </c>
      <c r="AA386" s="59">
        <f>IF($T386="","",IF(COUNTIF('Resumo Grupos'!$AE$3:$AE$40,$T386)&gt;0,"NAO","SIM"))</f>
        <v/>
      </c>
    </row>
    <row r="387" ht="36.75" customHeight="1" s="60">
      <c r="A387" s="70" t="n">
        <v>1</v>
      </c>
      <c r="B387" s="71" t="n">
        <v>46183</v>
      </c>
      <c r="C387" s="71" t="n">
        <v>46188</v>
      </c>
      <c r="D387" s="70" t="n">
        <v>1357</v>
      </c>
      <c r="E387" s="72" t="inlineStr">
        <is>
          <t>DISPPAN DISTRIBUIDORA DE PRODUTOS PARA PANIFICACAO LTDA</t>
        </is>
      </c>
      <c r="F387" s="70" t="n">
        <v>24</v>
      </c>
      <c r="G387" s="72" t="inlineStr">
        <is>
          <t>Compra a Prazo - Boletos</t>
        </is>
      </c>
      <c r="H387" s="70" t="n">
        <v>2110102</v>
      </c>
      <c r="I387" s="72" t="inlineStr">
        <is>
          <t>OUTROS FORNECEDORES</t>
        </is>
      </c>
      <c r="J387" s="70" t="n">
        <v>1231571</v>
      </c>
      <c r="L387" s="70" t="n">
        <v>278802</v>
      </c>
      <c r="M387" s="72" t="inlineStr">
        <is>
          <t>01</t>
        </is>
      </c>
      <c r="N387" s="72" t="inlineStr">
        <is>
          <t>NFE</t>
        </is>
      </c>
      <c r="P387" s="70" t="n">
        <v>103</v>
      </c>
      <c r="Q387" s="72" t="inlineStr">
        <is>
          <t>MILKA FRANCIS</t>
        </is>
      </c>
      <c r="R387" s="72" t="inlineStr">
        <is>
          <t>DESPESAS OPERACIONAIS</t>
        </is>
      </c>
      <c r="S387" s="70" t="n">
        <v>4210204</v>
      </c>
      <c r="T387" s="72" t="inlineStr">
        <is>
          <t>MATERIAL DE CONSUMO</t>
        </is>
      </c>
      <c r="U387" s="73" t="n">
        <v>474.05</v>
      </c>
      <c r="W387" s="73" t="n">
        <v>0</v>
      </c>
      <c r="X387" s="72" t="inlineStr">
        <is>
          <t>NF 278802 -1 MILKA</t>
        </is>
      </c>
      <c r="Z387" s="59">
        <f>IF($T387="","",IFERROR(INDEX('Resumo Grupos'!$AC$3:$AC$200,MATCH($T387,'Resumo Grupos'!$AB$3:$AB$200,0)),"n/d"))</f>
        <v/>
      </c>
      <c r="AA387" s="59">
        <f>IF($T387="","",IF(COUNTIF('Resumo Grupos'!$AE$3:$AE$40,$T387)&gt;0,"NAO","SIM"))</f>
        <v/>
      </c>
    </row>
    <row r="388" ht="36.75" customHeight="1" s="60">
      <c r="A388" s="70" t="n">
        <v>1</v>
      </c>
      <c r="B388" s="71" t="n">
        <v>46186</v>
      </c>
      <c r="C388" s="71" t="n">
        <v>46188</v>
      </c>
      <c r="D388" s="70" t="n">
        <v>1614</v>
      </c>
      <c r="E388" s="72" t="inlineStr">
        <is>
          <t>C. R. PARENTE ABREU</t>
        </is>
      </c>
      <c r="F388" s="70" t="n">
        <v>24</v>
      </c>
      <c r="G388" s="72" t="inlineStr">
        <is>
          <t>Compra a Prazo - Boletos</t>
        </is>
      </c>
      <c r="H388" s="70" t="n">
        <v>2110101</v>
      </c>
      <c r="I388" s="72" t="inlineStr">
        <is>
          <t>FORNECEDORES DE MERCADORIA</t>
        </is>
      </c>
      <c r="J388" s="70" t="n">
        <v>1243964</v>
      </c>
      <c r="L388" s="70" t="n">
        <v>11250</v>
      </c>
      <c r="M388" s="72" t="inlineStr">
        <is>
          <t>01</t>
        </is>
      </c>
      <c r="N388" s="72" t="inlineStr">
        <is>
          <t>NFE</t>
        </is>
      </c>
      <c r="P388" s="70" t="n">
        <v>103</v>
      </c>
      <c r="Q388" s="72" t="inlineStr">
        <is>
          <t>MILKA FRANCIS</t>
        </is>
      </c>
      <c r="R388" s="72" t="inlineStr">
        <is>
          <t>ESTOQUE DE MERCADORIAS</t>
        </is>
      </c>
      <c r="S388" s="70" t="n">
        <v>1130101</v>
      </c>
      <c r="T388" s="72" t="inlineStr">
        <is>
          <t>MERCADORIAS P/REVENDA</t>
        </is>
      </c>
      <c r="U388" s="73" t="n">
        <v>566.1900000000001</v>
      </c>
      <c r="W388" s="73" t="n">
        <v>0</v>
      </c>
      <c r="X388" s="72" t="inlineStr">
        <is>
          <t>NF 11250 -1 MILKA</t>
        </is>
      </c>
      <c r="Z388" s="59">
        <f>IF($T388="","",IFERROR(INDEX('Resumo Grupos'!$AC$3:$AC$200,MATCH($T388,'Resumo Grupos'!$AB$3:$AB$200,0)),"n/d"))</f>
        <v/>
      </c>
      <c r="AA388" s="59">
        <f>IF($T388="","",IF(COUNTIF('Resumo Grupos'!$AE$3:$AE$40,$T388)&gt;0,"NAO","SIM"))</f>
        <v/>
      </c>
    </row>
    <row r="389" ht="36.75" customHeight="1" s="60">
      <c r="A389" s="70" t="n">
        <v>1</v>
      </c>
      <c r="B389" s="71" t="n">
        <v>46188</v>
      </c>
      <c r="C389" s="71" t="n">
        <v>46188</v>
      </c>
      <c r="D389" s="70" t="n">
        <v>1683</v>
      </c>
      <c r="E389" s="72" t="inlineStr">
        <is>
          <t>EDSON AGUIAR DE SOUZA</t>
        </is>
      </c>
      <c r="F389" s="70" t="n">
        <v>34</v>
      </c>
      <c r="G389" s="72" t="inlineStr">
        <is>
          <t>Transferencia Pix</t>
        </is>
      </c>
      <c r="H389" s="70" t="n">
        <v>2110101</v>
      </c>
      <c r="I389" s="72" t="inlineStr">
        <is>
          <t>FORNECEDORES DE MERCADORIA</t>
        </is>
      </c>
      <c r="J389" s="70" t="n">
        <v>1255899</v>
      </c>
      <c r="L389" s="70" t="n">
        <v>1629621</v>
      </c>
      <c r="M389" s="72" t="inlineStr">
        <is>
          <t>01</t>
        </is>
      </c>
      <c r="N389" s="72" t="inlineStr">
        <is>
          <t>NFE</t>
        </is>
      </c>
      <c r="P389" s="70" t="n">
        <v>104</v>
      </c>
      <c r="Q389" s="72" t="inlineStr">
        <is>
          <t>DEBORA COSTA</t>
        </is>
      </c>
      <c r="R389" s="72" t="inlineStr">
        <is>
          <t>ESTOQUE DE MERCADORIAS</t>
        </is>
      </c>
      <c r="S389" s="70" t="n">
        <v>1130101</v>
      </c>
      <c r="T389" s="72" t="inlineStr">
        <is>
          <t>MERCADORIAS P/REVENDA</t>
        </is>
      </c>
      <c r="U389" s="73" t="n">
        <v>330</v>
      </c>
      <c r="W389" s="73" t="n">
        <v>0</v>
      </c>
      <c r="X389" s="72" t="inlineStr">
        <is>
          <t>NF 1629621 - DEBORA</t>
        </is>
      </c>
      <c r="Z389" s="59">
        <f>IF($T389="","",IFERROR(INDEX('Resumo Grupos'!$AC$3:$AC$200,MATCH($T389,'Resumo Grupos'!$AB$3:$AB$200,0)),"n/d"))</f>
        <v/>
      </c>
      <c r="AA389" s="59">
        <f>IF($T389="","",IF(COUNTIF('Resumo Grupos'!$AE$3:$AE$40,$T389)&gt;0,"NAO","SIM"))</f>
        <v/>
      </c>
    </row>
    <row r="390" ht="36.75" customHeight="1" s="60">
      <c r="A390" s="70" t="n">
        <v>1</v>
      </c>
      <c r="B390" s="71" t="n">
        <v>46188</v>
      </c>
      <c r="C390" s="71" t="n">
        <v>46188</v>
      </c>
      <c r="D390" s="70" t="n">
        <v>1683</v>
      </c>
      <c r="E390" s="72" t="inlineStr">
        <is>
          <t>EDSON AGUIAR DE SOUZA</t>
        </is>
      </c>
      <c r="F390" s="70" t="n">
        <v>34</v>
      </c>
      <c r="G390" s="72" t="inlineStr">
        <is>
          <t>Transferencia Pix</t>
        </is>
      </c>
      <c r="H390" s="70" t="n">
        <v>2110101</v>
      </c>
      <c r="I390" s="72" t="inlineStr">
        <is>
          <t>FORNECEDORES DE MERCADORIA</t>
        </is>
      </c>
      <c r="J390" s="70" t="n">
        <v>1255919</v>
      </c>
      <c r="L390" s="70" t="n">
        <v>1629632</v>
      </c>
      <c r="M390" s="72" t="inlineStr">
        <is>
          <t>01</t>
        </is>
      </c>
      <c r="N390" s="72" t="inlineStr">
        <is>
          <t>NFE</t>
        </is>
      </c>
      <c r="P390" s="70" t="n">
        <v>104</v>
      </c>
      <c r="Q390" s="72" t="inlineStr">
        <is>
          <t>DEBORA COSTA</t>
        </is>
      </c>
      <c r="R390" s="72" t="inlineStr">
        <is>
          <t>ESTOQUE DE MERCADORIAS</t>
        </is>
      </c>
      <c r="S390" s="70" t="n">
        <v>1130101</v>
      </c>
      <c r="T390" s="72" t="inlineStr">
        <is>
          <t>MERCADORIAS P/REVENDA</t>
        </is>
      </c>
      <c r="U390" s="73" t="n">
        <v>90</v>
      </c>
      <c r="W390" s="73" t="n">
        <v>0</v>
      </c>
      <c r="X390" s="72" t="inlineStr">
        <is>
          <t>NF 1629632 - DEBORA</t>
        </is>
      </c>
      <c r="Z390" s="59">
        <f>IF($T390="","",IFERROR(INDEX('Resumo Grupos'!$AC$3:$AC$200,MATCH($T390,'Resumo Grupos'!$AB$3:$AB$200,0)),"n/d"))</f>
        <v/>
      </c>
      <c r="AA390" s="59">
        <f>IF($T390="","",IF(COUNTIF('Resumo Grupos'!$AE$3:$AE$40,$T390)&gt;0,"NAO","SIM"))</f>
        <v/>
      </c>
    </row>
    <row r="391" ht="36.75" customHeight="1" s="60">
      <c r="A391" s="70" t="n">
        <v>1</v>
      </c>
      <c r="B391" s="71" t="n">
        <v>46188</v>
      </c>
      <c r="C391" s="71" t="n">
        <v>46188</v>
      </c>
      <c r="D391" s="70" t="n">
        <v>1683</v>
      </c>
      <c r="E391" s="72" t="inlineStr">
        <is>
          <t>EDSON AGUIAR DE SOUZA</t>
        </is>
      </c>
      <c r="F391" s="70" t="n">
        <v>34</v>
      </c>
      <c r="G391" s="72" t="inlineStr">
        <is>
          <t>Transferencia Pix</t>
        </is>
      </c>
      <c r="H391" s="70" t="n">
        <v>2110101</v>
      </c>
      <c r="I391" s="72" t="inlineStr">
        <is>
          <t>FORNECEDORES DE MERCADORIA</t>
        </is>
      </c>
      <c r="J391" s="70" t="n">
        <v>1255948</v>
      </c>
      <c r="L391" s="70" t="n">
        <v>1629645</v>
      </c>
      <c r="M391" s="72" t="inlineStr">
        <is>
          <t>01</t>
        </is>
      </c>
      <c r="N391" s="72" t="inlineStr">
        <is>
          <t>NFE</t>
        </is>
      </c>
      <c r="P391" s="70" t="n">
        <v>104</v>
      </c>
      <c r="Q391" s="72" t="inlineStr">
        <is>
          <t>DEBORA COSTA</t>
        </is>
      </c>
      <c r="R391" s="72" t="inlineStr">
        <is>
          <t>ESTOQUE DE MERCADORIAS</t>
        </is>
      </c>
      <c r="S391" s="70" t="n">
        <v>1130101</v>
      </c>
      <c r="T391" s="72" t="inlineStr">
        <is>
          <t>MERCADORIAS P/REVENDA</t>
        </is>
      </c>
      <c r="U391" s="73" t="n">
        <v>300</v>
      </c>
      <c r="W391" s="73" t="n">
        <v>0</v>
      </c>
      <c r="X391" s="72" t="inlineStr">
        <is>
          <t>NF 1629645 - DEBORA</t>
        </is>
      </c>
      <c r="Z391" s="59">
        <f>IF($T391="","",IFERROR(INDEX('Resumo Grupos'!$AC$3:$AC$200,MATCH($T391,'Resumo Grupos'!$AB$3:$AB$200,0)),"n/d"))</f>
        <v/>
      </c>
      <c r="AA391" s="59">
        <f>IF($T391="","",IF(COUNTIF('Resumo Grupos'!$AE$3:$AE$40,$T391)&gt;0,"NAO","SIM"))</f>
        <v/>
      </c>
    </row>
    <row r="392" ht="36.75" customHeight="1" s="60">
      <c r="A392" s="70" t="n">
        <v>1</v>
      </c>
      <c r="B392" s="71" t="n">
        <v>46188</v>
      </c>
      <c r="C392" s="71" t="n">
        <v>46188</v>
      </c>
      <c r="D392" s="70" t="n">
        <v>1683</v>
      </c>
      <c r="E392" s="72" t="inlineStr">
        <is>
          <t>EDSON AGUIAR DE SOUZA</t>
        </is>
      </c>
      <c r="F392" s="70" t="n">
        <v>34</v>
      </c>
      <c r="G392" s="72" t="inlineStr">
        <is>
          <t>Transferencia Pix</t>
        </is>
      </c>
      <c r="H392" s="70" t="n">
        <v>2110101</v>
      </c>
      <c r="I392" s="72" t="inlineStr">
        <is>
          <t>FORNECEDORES DE MERCADORIA</t>
        </is>
      </c>
      <c r="J392" s="70" t="n">
        <v>1256309</v>
      </c>
      <c r="L392" s="70" t="n">
        <v>1629661</v>
      </c>
      <c r="M392" s="72" t="inlineStr">
        <is>
          <t>01</t>
        </is>
      </c>
      <c r="N392" s="72" t="inlineStr">
        <is>
          <t>NFE</t>
        </is>
      </c>
      <c r="P392" s="70" t="n">
        <v>104</v>
      </c>
      <c r="Q392" s="72" t="inlineStr">
        <is>
          <t>DEBORA COSTA</t>
        </is>
      </c>
      <c r="R392" s="72" t="inlineStr">
        <is>
          <t>ESTOQUE DE MERCADORIAS</t>
        </is>
      </c>
      <c r="S392" s="70" t="n">
        <v>1130101</v>
      </c>
      <c r="T392" s="72" t="inlineStr">
        <is>
          <t>MERCADORIAS P/REVENDA</t>
        </is>
      </c>
      <c r="U392" s="73" t="n">
        <v>174</v>
      </c>
      <c r="W392" s="73" t="n">
        <v>0</v>
      </c>
      <c r="X392" s="72" t="inlineStr">
        <is>
          <t>NF 1629661 - DEBORA</t>
        </is>
      </c>
      <c r="Z392" s="59">
        <f>IF($T392="","",IFERROR(INDEX('Resumo Grupos'!$AC$3:$AC$200,MATCH($T392,'Resumo Grupos'!$AB$3:$AB$200,0)),"n/d"))</f>
        <v/>
      </c>
      <c r="AA392" s="59">
        <f>IF($T392="","",IF(COUNTIF('Resumo Grupos'!$AE$3:$AE$40,$T392)&gt;0,"NAO","SIM"))</f>
        <v/>
      </c>
    </row>
    <row r="393" ht="36.75" customHeight="1" s="60">
      <c r="A393" s="70" t="n">
        <v>1</v>
      </c>
      <c r="B393" s="71" t="n">
        <v>46188</v>
      </c>
      <c r="C393" s="71" t="n">
        <v>46188</v>
      </c>
      <c r="D393" s="70" t="n">
        <v>1683</v>
      </c>
      <c r="E393" s="72" t="inlineStr">
        <is>
          <t>EDSON AGUIAR DE SOUZA</t>
        </is>
      </c>
      <c r="F393" s="70" t="n">
        <v>34</v>
      </c>
      <c r="G393" s="72" t="inlineStr">
        <is>
          <t>Transferencia Pix</t>
        </is>
      </c>
      <c r="H393" s="70" t="n">
        <v>2110101</v>
      </c>
      <c r="I393" s="72" t="inlineStr">
        <is>
          <t>FORNECEDORES DE MERCADORIA</t>
        </is>
      </c>
      <c r="J393" s="70" t="n">
        <v>1256329</v>
      </c>
      <c r="L393" s="70" t="n">
        <v>1629707</v>
      </c>
      <c r="M393" s="72" t="inlineStr">
        <is>
          <t>01</t>
        </is>
      </c>
      <c r="N393" s="72" t="inlineStr">
        <is>
          <t>NFE</t>
        </is>
      </c>
      <c r="P393" s="70" t="n">
        <v>104</v>
      </c>
      <c r="Q393" s="72" t="inlineStr">
        <is>
          <t>DEBORA COSTA</t>
        </is>
      </c>
      <c r="R393" s="72" t="inlineStr">
        <is>
          <t>ESTOQUE DE MERCADORIAS</t>
        </is>
      </c>
      <c r="S393" s="70" t="n">
        <v>1130101</v>
      </c>
      <c r="T393" s="72" t="inlineStr">
        <is>
          <t>MERCADORIAS P/REVENDA</t>
        </is>
      </c>
      <c r="U393" s="73" t="n">
        <v>180</v>
      </c>
      <c r="W393" s="73" t="n">
        <v>0</v>
      </c>
      <c r="X393" s="72" t="inlineStr">
        <is>
          <t>NF 1629707 - DEBORA</t>
        </is>
      </c>
      <c r="Z393" s="59">
        <f>IF($T393="","",IFERROR(INDEX('Resumo Grupos'!$AC$3:$AC$200,MATCH($T393,'Resumo Grupos'!$AB$3:$AB$200,0)),"n/d"))</f>
        <v/>
      </c>
      <c r="AA393" s="59">
        <f>IF($T393="","",IF(COUNTIF('Resumo Grupos'!$AE$3:$AE$40,$T393)&gt;0,"NAO","SIM"))</f>
        <v/>
      </c>
    </row>
    <row r="394" ht="36.75" customHeight="1" s="60">
      <c r="A394" s="70" t="n">
        <v>1</v>
      </c>
      <c r="B394" s="71" t="n">
        <v>46188</v>
      </c>
      <c r="C394" s="71" t="n">
        <v>46188</v>
      </c>
      <c r="D394" s="70" t="n">
        <v>1830</v>
      </c>
      <c r="E394" s="72" t="inlineStr">
        <is>
          <t>NL SERVICOS MEDICOS LTDA</t>
        </is>
      </c>
      <c r="F394" s="70" t="n">
        <v>24</v>
      </c>
      <c r="G394" s="72" t="inlineStr">
        <is>
          <t>Compra a Prazo - Boletos</t>
        </is>
      </c>
      <c r="H394" s="70" t="n">
        <v>2110405</v>
      </c>
      <c r="I394" s="72" t="inlineStr">
        <is>
          <t>CONTAS A PAGAR</t>
        </is>
      </c>
      <c r="J394" s="70" t="n">
        <v>1256550</v>
      </c>
      <c r="L394" s="70" t="n">
        <v>853</v>
      </c>
      <c r="M394" s="72" t="inlineStr">
        <is>
          <t>01</t>
        </is>
      </c>
      <c r="N394" s="72" t="inlineStr">
        <is>
          <t>AVU</t>
        </is>
      </c>
      <c r="P394" s="70" t="n">
        <v>101</v>
      </c>
      <c r="Q394" s="72" t="inlineStr">
        <is>
          <t>KEILA LIMA</t>
        </is>
      </c>
      <c r="R394" s="72" t="inlineStr">
        <is>
          <t>DESPESAS NAO OPERACIONAIS</t>
        </is>
      </c>
      <c r="S394" s="70" t="n">
        <v>4220199</v>
      </c>
      <c r="T394" s="72" t="inlineStr">
        <is>
          <t>PAGAMENTOS OUTROS NAO OPERACIONAIS</t>
        </is>
      </c>
      <c r="U394" s="73" t="n">
        <v>284</v>
      </c>
      <c r="W394" s="73" t="n">
        <v>0</v>
      </c>
      <c r="X394" s="72" t="inlineStr">
        <is>
          <t>ASOS ESO MO1 E MO3 RATEADO - KEILA</t>
        </is>
      </c>
      <c r="Z394" s="59">
        <f>IF($T394="","",IFERROR(INDEX('Resumo Grupos'!$AC$3:$AC$200,MATCH($T394,'Resumo Grupos'!$AB$3:$AB$200,0)),"n/d"))</f>
        <v/>
      </c>
      <c r="AA394" s="59">
        <f>IF($T394="","",IF(COUNTIF('Resumo Grupos'!$AE$3:$AE$40,$T394)&gt;0,"NAO","SIM"))</f>
        <v/>
      </c>
    </row>
    <row r="395" ht="36.75" customHeight="1" s="60">
      <c r="A395" s="70" t="n">
        <v>1</v>
      </c>
      <c r="B395" s="71" t="n">
        <v>46188</v>
      </c>
      <c r="C395" s="71" t="n">
        <v>46188</v>
      </c>
      <c r="D395" s="70" t="n">
        <v>1830</v>
      </c>
      <c r="E395" s="72" t="inlineStr">
        <is>
          <t>NL SERVICOS MEDICOS LTDA</t>
        </is>
      </c>
      <c r="F395" s="70" t="n">
        <v>24</v>
      </c>
      <c r="G395" s="72" t="inlineStr">
        <is>
          <t>Compra a Prazo - Boletos</t>
        </is>
      </c>
      <c r="H395" s="70" t="n">
        <v>2110405</v>
      </c>
      <c r="I395" s="72" t="inlineStr">
        <is>
          <t>CONTAS A PAGAR</t>
        </is>
      </c>
      <c r="J395" s="70" t="n">
        <v>1256556</v>
      </c>
      <c r="L395" s="70" t="n">
        <v>521448</v>
      </c>
      <c r="M395" s="72" t="inlineStr">
        <is>
          <t>01</t>
        </is>
      </c>
      <c r="N395" s="72" t="inlineStr">
        <is>
          <t>AVU</t>
        </is>
      </c>
      <c r="P395" s="70" t="n">
        <v>101</v>
      </c>
      <c r="Q395" s="72" t="inlineStr">
        <is>
          <t>KEILA LIMA</t>
        </is>
      </c>
      <c r="R395" s="72" t="inlineStr">
        <is>
          <t>DESPESAS COM PESSOAL</t>
        </is>
      </c>
      <c r="S395" s="70" t="n">
        <v>4210319</v>
      </c>
      <c r="T395" s="72" t="inlineStr">
        <is>
          <t>ASO FUNCIONARIOS</t>
        </is>
      </c>
      <c r="U395" s="73" t="n">
        <v>93</v>
      </c>
      <c r="W395" s="73" t="n">
        <v>0</v>
      </c>
      <c r="X395" s="72" t="inlineStr">
        <is>
          <t>ASO MO1 ESO - KEILA</t>
        </is>
      </c>
      <c r="Z395" s="59">
        <f>IF($T395="","",IFERROR(INDEX('Resumo Grupos'!$AC$3:$AC$200,MATCH($T395,'Resumo Grupos'!$AB$3:$AB$200,0)),"n/d"))</f>
        <v/>
      </c>
      <c r="AA395" s="59">
        <f>IF($T395="","",IF(COUNTIF('Resumo Grupos'!$AE$3:$AE$40,$T395)&gt;0,"NAO","SIM"))</f>
        <v/>
      </c>
    </row>
    <row r="396" ht="36.75" customHeight="1" s="60">
      <c r="A396" s="70" t="n">
        <v>1</v>
      </c>
      <c r="B396" s="71" t="n">
        <v>46188</v>
      </c>
      <c r="C396" s="71" t="n">
        <v>46188</v>
      </c>
      <c r="D396" s="70" t="n">
        <v>1683</v>
      </c>
      <c r="E396" s="72" t="inlineStr">
        <is>
          <t>EDSON AGUIAR DE SOUZA</t>
        </is>
      </c>
      <c r="F396" s="70" t="n">
        <v>34</v>
      </c>
      <c r="G396" s="72" t="inlineStr">
        <is>
          <t>Transferencia Pix</t>
        </is>
      </c>
      <c r="H396" s="70" t="n">
        <v>2110101</v>
      </c>
      <c r="I396" s="72" t="inlineStr">
        <is>
          <t>FORNECEDORES DE MERCADORIA</t>
        </is>
      </c>
      <c r="J396" s="70" t="n">
        <v>1260370</v>
      </c>
      <c r="L396" s="70" t="n">
        <v>1632114</v>
      </c>
      <c r="M396" s="72" t="inlineStr">
        <is>
          <t>01</t>
        </is>
      </c>
      <c r="N396" s="72" t="inlineStr">
        <is>
          <t>NFE</t>
        </is>
      </c>
      <c r="P396" s="70" t="n">
        <v>104</v>
      </c>
      <c r="Q396" s="72" t="inlineStr">
        <is>
          <t>DEBORA COSTA</t>
        </is>
      </c>
      <c r="R396" s="72" t="inlineStr">
        <is>
          <t>ESTOQUE DE MERCADORIAS</t>
        </is>
      </c>
      <c r="S396" s="70" t="n">
        <v>1130101</v>
      </c>
      <c r="T396" s="72" t="inlineStr">
        <is>
          <t>MERCADORIAS P/REVENDA</t>
        </is>
      </c>
      <c r="U396" s="73" t="n">
        <v>270</v>
      </c>
      <c r="W396" s="73" t="n">
        <v>0</v>
      </c>
      <c r="X396" s="72" t="inlineStr">
        <is>
          <t>NF 1632114 - DEBORA</t>
        </is>
      </c>
      <c r="Z396" s="59">
        <f>IF($T396="","",IFERROR(INDEX('Resumo Grupos'!$AC$3:$AC$200,MATCH($T396,'Resumo Grupos'!$AB$3:$AB$200,0)),"n/d"))</f>
        <v/>
      </c>
      <c r="AA396" s="59">
        <f>IF($T396="","",IF(COUNTIF('Resumo Grupos'!$AE$3:$AE$40,$T396)&gt;0,"NAO","SIM"))</f>
        <v/>
      </c>
    </row>
    <row r="397" ht="36.75" customHeight="1" s="60">
      <c r="A397" s="70" t="n">
        <v>1</v>
      </c>
      <c r="B397" s="71" t="n">
        <v>46188</v>
      </c>
      <c r="C397" s="71" t="n">
        <v>46188</v>
      </c>
      <c r="D397" s="70" t="n">
        <v>1683</v>
      </c>
      <c r="E397" s="72" t="inlineStr">
        <is>
          <t>EDSON AGUIAR DE SOUZA</t>
        </is>
      </c>
      <c r="F397" s="70" t="n">
        <v>34</v>
      </c>
      <c r="G397" s="72" t="inlineStr">
        <is>
          <t>Transferencia Pix</t>
        </is>
      </c>
      <c r="H397" s="70" t="n">
        <v>2110101</v>
      </c>
      <c r="I397" s="72" t="inlineStr">
        <is>
          <t>FORNECEDORES DE MERCADORIA</t>
        </is>
      </c>
      <c r="J397" s="70" t="n">
        <v>1260456</v>
      </c>
      <c r="L397" s="70" t="n">
        <v>1632018</v>
      </c>
      <c r="M397" s="72" t="inlineStr">
        <is>
          <t>01</t>
        </is>
      </c>
      <c r="N397" s="72" t="inlineStr">
        <is>
          <t>NFE</t>
        </is>
      </c>
      <c r="P397" s="70" t="n">
        <v>104</v>
      </c>
      <c r="Q397" s="72" t="inlineStr">
        <is>
          <t>DEBORA COSTA</t>
        </is>
      </c>
      <c r="R397" s="72" t="inlineStr">
        <is>
          <t>ESTOQUE DE MERCADORIAS</t>
        </is>
      </c>
      <c r="S397" s="70" t="n">
        <v>1130101</v>
      </c>
      <c r="T397" s="72" t="inlineStr">
        <is>
          <t>MERCADORIAS P/REVENDA</t>
        </is>
      </c>
      <c r="U397" s="73" t="n">
        <v>174</v>
      </c>
      <c r="W397" s="73" t="n">
        <v>0</v>
      </c>
      <c r="X397" s="72" t="inlineStr">
        <is>
          <t>NF 1632018 - DEBORA</t>
        </is>
      </c>
      <c r="Z397" s="59">
        <f>IF($T397="","",IFERROR(INDEX('Resumo Grupos'!$AC$3:$AC$200,MATCH($T397,'Resumo Grupos'!$AB$3:$AB$200,0)),"n/d"))</f>
        <v/>
      </c>
      <c r="AA397" s="59">
        <f>IF($T397="","",IF(COUNTIF('Resumo Grupos'!$AE$3:$AE$40,$T397)&gt;0,"NAO","SIM"))</f>
        <v/>
      </c>
    </row>
    <row r="398" ht="36.75" customHeight="1" s="60">
      <c r="A398" s="70" t="n">
        <v>1</v>
      </c>
      <c r="B398" s="71" t="n">
        <v>46188</v>
      </c>
      <c r="C398" s="71" t="n">
        <v>46188</v>
      </c>
      <c r="D398" s="70" t="n">
        <v>1683</v>
      </c>
      <c r="E398" s="72" t="inlineStr">
        <is>
          <t>EDSON AGUIAR DE SOUZA</t>
        </is>
      </c>
      <c r="F398" s="70" t="n">
        <v>34</v>
      </c>
      <c r="G398" s="72" t="inlineStr">
        <is>
          <t>Transferencia Pix</t>
        </is>
      </c>
      <c r="H398" s="70" t="n">
        <v>2110101</v>
      </c>
      <c r="I398" s="72" t="inlineStr">
        <is>
          <t>FORNECEDORES DE MERCADORIA</t>
        </is>
      </c>
      <c r="J398" s="70" t="n">
        <v>1260483</v>
      </c>
      <c r="L398" s="70" t="n">
        <v>1632012</v>
      </c>
      <c r="M398" s="72" t="inlineStr">
        <is>
          <t>01</t>
        </is>
      </c>
      <c r="N398" s="72" t="inlineStr">
        <is>
          <t>NFE</t>
        </is>
      </c>
      <c r="P398" s="70" t="n">
        <v>104</v>
      </c>
      <c r="Q398" s="72" t="inlineStr">
        <is>
          <t>DEBORA COSTA</t>
        </is>
      </c>
      <c r="R398" s="72" t="inlineStr">
        <is>
          <t>ESTOQUE DE MERCADORIAS</t>
        </is>
      </c>
      <c r="S398" s="70" t="n">
        <v>1130101</v>
      </c>
      <c r="T398" s="72" t="inlineStr">
        <is>
          <t>MERCADORIAS P/REVENDA</t>
        </is>
      </c>
      <c r="U398" s="73" t="n">
        <v>189</v>
      </c>
      <c r="W398" s="73" t="n">
        <v>0</v>
      </c>
      <c r="X398" s="72" t="inlineStr">
        <is>
          <t>NF 1632012 - DEBORA</t>
        </is>
      </c>
      <c r="Z398" s="59">
        <f>IF($T398="","",IFERROR(INDEX('Resumo Grupos'!$AC$3:$AC$200,MATCH($T398,'Resumo Grupos'!$AB$3:$AB$200,0)),"n/d"))</f>
        <v/>
      </c>
      <c r="AA398" s="59">
        <f>IF($T398="","",IF(COUNTIF('Resumo Grupos'!$AE$3:$AE$40,$T398)&gt;0,"NAO","SIM"))</f>
        <v/>
      </c>
    </row>
    <row r="399" ht="36.75" customHeight="1" s="60">
      <c r="A399" s="70" t="n">
        <v>1</v>
      </c>
      <c r="B399" s="71" t="n">
        <v>46188</v>
      </c>
      <c r="C399" s="71" t="n">
        <v>46188</v>
      </c>
      <c r="D399" s="70" t="n">
        <v>1391</v>
      </c>
      <c r="E399" s="72" t="inlineStr">
        <is>
          <t>D N COMERCIO ATACADISTA DE EMBALAGENS E</t>
        </is>
      </c>
      <c r="F399" s="70" t="n">
        <v>13</v>
      </c>
      <c r="G399" s="72" t="inlineStr">
        <is>
          <t>Compra a Vista</t>
        </is>
      </c>
      <c r="H399" s="70" t="n">
        <v>2110101</v>
      </c>
      <c r="I399" s="72" t="inlineStr">
        <is>
          <t>FORNECEDORES DE MERCADORIA</t>
        </is>
      </c>
      <c r="J399" s="70" t="n">
        <v>1261046</v>
      </c>
      <c r="L399" s="70" t="n">
        <v>401</v>
      </c>
      <c r="M399" s="72" t="inlineStr">
        <is>
          <t>01</t>
        </is>
      </c>
      <c r="N399" s="72" t="inlineStr">
        <is>
          <t>NFE</t>
        </is>
      </c>
      <c r="P399" s="70" t="n">
        <v>103</v>
      </c>
      <c r="Q399" s="72" t="inlineStr">
        <is>
          <t>MILKA FRANCIS</t>
        </is>
      </c>
      <c r="R399" s="72" t="inlineStr">
        <is>
          <t>ESTOQUE DE MERCADORIAS</t>
        </is>
      </c>
      <c r="S399" s="70" t="n">
        <v>1130101</v>
      </c>
      <c r="T399" s="72" t="inlineStr">
        <is>
          <t>MERCADORIAS P/REVENDA</t>
        </is>
      </c>
      <c r="U399" s="73" t="n">
        <v>180</v>
      </c>
      <c r="W399" s="73" t="n">
        <v>180</v>
      </c>
      <c r="X399" s="72" t="inlineStr">
        <is>
          <t>NF 401 / PGTO EM 12/06/26 - MILKA</t>
        </is>
      </c>
      <c r="Z399" s="59">
        <f>IF($T399="","",IFERROR(INDEX('Resumo Grupos'!$AC$3:$AC$200,MATCH($T399,'Resumo Grupos'!$AB$3:$AB$200,0)),"n/d"))</f>
        <v/>
      </c>
      <c r="AA399" s="59">
        <f>IF($T399="","",IF(COUNTIF('Resumo Grupos'!$AE$3:$AE$40,$T399)&gt;0,"NAO","SIM"))</f>
        <v/>
      </c>
    </row>
    <row r="400" ht="36.75" customHeight="1" s="60">
      <c r="A400" s="70" t="n">
        <v>1</v>
      </c>
      <c r="B400" s="71" t="n">
        <v>46155</v>
      </c>
      <c r="C400" s="71" t="n">
        <v>46189</v>
      </c>
      <c r="D400" s="70" t="n">
        <v>1107</v>
      </c>
      <c r="E400" s="72" t="inlineStr">
        <is>
          <t>OESA COMERCIO E REPRESENTACOES S/A</t>
        </is>
      </c>
      <c r="F400" s="70" t="n">
        <v>24</v>
      </c>
      <c r="G400" s="72" t="inlineStr">
        <is>
          <t>Compra a Prazo - Boletos</t>
        </is>
      </c>
      <c r="H400" s="70" t="n">
        <v>2110101</v>
      </c>
      <c r="I400" s="72" t="inlineStr">
        <is>
          <t>FORNECEDORES DE MERCADORIA</t>
        </is>
      </c>
      <c r="J400" s="70" t="n">
        <v>1092319</v>
      </c>
      <c r="L400" s="70" t="n">
        <v>401029</v>
      </c>
      <c r="M400" s="72" t="inlineStr">
        <is>
          <t>03</t>
        </is>
      </c>
      <c r="N400" s="72" t="inlineStr">
        <is>
          <t>NFE</t>
        </is>
      </c>
      <c r="P400" s="70" t="n">
        <v>103</v>
      </c>
      <c r="Q400" s="72" t="inlineStr">
        <is>
          <t>MILKA FRANCIS</t>
        </is>
      </c>
      <c r="R400" s="72" t="inlineStr">
        <is>
          <t>ESTOQUE DE MERCADORIAS</t>
        </is>
      </c>
      <c r="S400" s="70" t="n">
        <v>1130101</v>
      </c>
      <c r="T400" s="72" t="inlineStr">
        <is>
          <t>MERCADORIAS P/REVENDA</t>
        </is>
      </c>
      <c r="U400" s="73" t="n">
        <v>2467.24</v>
      </c>
      <c r="W400" s="73" t="n">
        <v>0</v>
      </c>
      <c r="X400" s="72" t="inlineStr">
        <is>
          <t>NF401029 -3 MILKA</t>
        </is>
      </c>
      <c r="Z400" s="59">
        <f>IF($T400="","",IFERROR(INDEX('Resumo Grupos'!$AC$3:$AC$200,MATCH($T400,'Resumo Grupos'!$AB$3:$AB$200,0)),"n/d"))</f>
        <v/>
      </c>
      <c r="AA400" s="59">
        <f>IF($T400="","",IF(COUNTIF('Resumo Grupos'!$AE$3:$AE$40,$T400)&gt;0,"NAO","SIM"))</f>
        <v/>
      </c>
    </row>
    <row r="401" ht="27.75" customHeight="1" s="60">
      <c r="A401" s="70" t="n">
        <v>1</v>
      </c>
      <c r="B401" s="71" t="n">
        <v>46142</v>
      </c>
      <c r="C401" s="71" t="n">
        <v>46189</v>
      </c>
      <c r="D401" s="70" t="n">
        <v>607</v>
      </c>
      <c r="E401" s="72" t="inlineStr">
        <is>
          <t>PRIME PET DISTRIBUIDORA LTDA</t>
        </is>
      </c>
      <c r="F401" s="70" t="n">
        <v>24</v>
      </c>
      <c r="G401" s="72" t="inlineStr">
        <is>
          <t>Compra a Prazo - Boletos</t>
        </is>
      </c>
      <c r="H401" s="70" t="n">
        <v>2110101</v>
      </c>
      <c r="I401" s="72" t="inlineStr">
        <is>
          <t>FORNECEDORES DE MERCADORIA</t>
        </is>
      </c>
      <c r="J401" s="70" t="n">
        <v>1028242</v>
      </c>
      <c r="L401" s="70" t="n">
        <v>10262</v>
      </c>
      <c r="M401" s="72" t="inlineStr">
        <is>
          <t>03</t>
        </is>
      </c>
      <c r="N401" s="72" t="inlineStr">
        <is>
          <t>NFE</t>
        </is>
      </c>
      <c r="P401" s="70" t="n">
        <v>103</v>
      </c>
      <c r="Q401" s="72" t="inlineStr">
        <is>
          <t>MILKA FRANCIS</t>
        </is>
      </c>
      <c r="R401" s="72" t="inlineStr">
        <is>
          <t>ESTOQUE DE MERCADORIAS</t>
        </is>
      </c>
      <c r="S401" s="70" t="n">
        <v>1130101</v>
      </c>
      <c r="T401" s="72" t="inlineStr">
        <is>
          <t>MERCADORIAS P/REVENDA</t>
        </is>
      </c>
      <c r="U401" s="73" t="n">
        <v>1488.3</v>
      </c>
      <c r="W401" s="73" t="n">
        <v>0</v>
      </c>
      <c r="X401" s="72" t="inlineStr">
        <is>
          <t>NF 10262 -03/09 MILKA</t>
        </is>
      </c>
      <c r="Z401" s="59">
        <f>IF($T401="","",IFERROR(INDEX('Resumo Grupos'!$AC$3:$AC$200,MATCH($T401,'Resumo Grupos'!$AB$3:$AB$200,0)),"n/d"))</f>
        <v/>
      </c>
      <c r="AA401" s="59">
        <f>IF($T401="","",IF(COUNTIF('Resumo Grupos'!$AE$3:$AE$40,$T401)&gt;0,"NAO","SIM"))</f>
        <v/>
      </c>
    </row>
    <row r="402" ht="36.75" customHeight="1" s="60">
      <c r="A402" s="70" t="n">
        <v>1</v>
      </c>
      <c r="B402" s="71" t="n">
        <v>46164</v>
      </c>
      <c r="C402" s="71" t="n">
        <v>46189</v>
      </c>
      <c r="D402" s="70" t="n">
        <v>1107</v>
      </c>
      <c r="E402" s="72" t="inlineStr">
        <is>
          <t>OESA COMERCIO E REPRESENTACOES S/A</t>
        </is>
      </c>
      <c r="F402" s="70" t="n">
        <v>24</v>
      </c>
      <c r="G402" s="72" t="inlineStr">
        <is>
          <t>Compra a Prazo - Boletos</t>
        </is>
      </c>
      <c r="H402" s="70" t="n">
        <v>2110101</v>
      </c>
      <c r="I402" s="72" t="inlineStr">
        <is>
          <t>FORNECEDORES DE MERCADORIA</t>
        </is>
      </c>
      <c r="J402" s="70" t="n">
        <v>1138344</v>
      </c>
      <c r="L402" s="70" t="n">
        <v>404673</v>
      </c>
      <c r="M402" s="72" t="inlineStr">
        <is>
          <t>01</t>
        </is>
      </c>
      <c r="N402" s="72" t="inlineStr">
        <is>
          <t>NFE</t>
        </is>
      </c>
      <c r="P402" s="70" t="n">
        <v>103</v>
      </c>
      <c r="Q402" s="72" t="inlineStr">
        <is>
          <t>MILKA FRANCIS</t>
        </is>
      </c>
      <c r="R402" s="72" t="inlineStr">
        <is>
          <t>ESTOQUE DE MERCADORIAS</t>
        </is>
      </c>
      <c r="S402" s="70" t="n">
        <v>1130101</v>
      </c>
      <c r="T402" s="72" t="inlineStr">
        <is>
          <t>MERCADORIAS P/REVENDA</t>
        </is>
      </c>
      <c r="U402" s="73" t="n">
        <v>1947.59</v>
      </c>
      <c r="W402" s="73" t="n">
        <v>0</v>
      </c>
      <c r="X402" s="72" t="inlineStr">
        <is>
          <t>NF 404673-1 MILKA</t>
        </is>
      </c>
      <c r="Z402" s="59">
        <f>IF($T402="","",IFERROR(INDEX('Resumo Grupos'!$AC$3:$AC$200,MATCH($T402,'Resumo Grupos'!$AB$3:$AB$200,0)),"n/d"))</f>
        <v/>
      </c>
      <c r="AA402" s="59">
        <f>IF($T402="","",IF(COUNTIF('Resumo Grupos'!$AE$3:$AE$40,$T402)&gt;0,"NAO","SIM"))</f>
        <v/>
      </c>
    </row>
    <row r="403" ht="36.75" customHeight="1" s="60">
      <c r="A403" s="70" t="n">
        <v>1</v>
      </c>
      <c r="B403" s="71" t="n">
        <v>46170</v>
      </c>
      <c r="C403" s="71" t="n">
        <v>46189</v>
      </c>
      <c r="D403" s="70" t="n">
        <v>10046</v>
      </c>
      <c r="E403" s="72" t="inlineStr">
        <is>
          <t>L F BORATTO ABATEDOURO DE AVES LTDA</t>
        </is>
      </c>
      <c r="F403" s="70" t="n">
        <v>24</v>
      </c>
      <c r="G403" s="72" t="inlineStr">
        <is>
          <t>Compra a Prazo - Boletos</t>
        </is>
      </c>
      <c r="H403" s="70" t="n">
        <v>2110101</v>
      </c>
      <c r="I403" s="72" t="inlineStr">
        <is>
          <t>FORNECEDORES DE MERCADORIA</t>
        </is>
      </c>
      <c r="J403" s="70" t="n">
        <v>1167580</v>
      </c>
      <c r="L403" s="70" t="n">
        <v>1832</v>
      </c>
      <c r="M403" s="72" t="inlineStr">
        <is>
          <t>02</t>
        </is>
      </c>
      <c r="N403" s="72" t="inlineStr">
        <is>
          <t>NFE</t>
        </is>
      </c>
      <c r="P403" s="70" t="n">
        <v>103</v>
      </c>
      <c r="Q403" s="72" t="inlineStr">
        <is>
          <t>MILKA FRANCIS</t>
        </is>
      </c>
      <c r="R403" s="72" t="inlineStr">
        <is>
          <t>ESTOQUE DE MERCADORIAS</t>
        </is>
      </c>
      <c r="S403" s="70" t="n">
        <v>1130101</v>
      </c>
      <c r="T403" s="72" t="inlineStr">
        <is>
          <t>MERCADORIAS P/REVENDA</t>
        </is>
      </c>
      <c r="U403" s="73" t="n">
        <v>89.5</v>
      </c>
      <c r="W403" s="73" t="n">
        <v>0</v>
      </c>
      <c r="X403" s="72" t="inlineStr">
        <is>
          <t>NF 1832 - 2 MILKA</t>
        </is>
      </c>
      <c r="Z403" s="59">
        <f>IF($T403="","",IFERROR(INDEX('Resumo Grupos'!$AC$3:$AC$200,MATCH($T403,'Resumo Grupos'!$AB$3:$AB$200,0)),"n/d"))</f>
        <v/>
      </c>
      <c r="AA403" s="59">
        <f>IF($T403="","",IF(COUNTIF('Resumo Grupos'!$AE$3:$AE$40,$T403)&gt;0,"NAO","SIM"))</f>
        <v/>
      </c>
    </row>
    <row r="404" ht="36.75" customHeight="1" s="60">
      <c r="A404" s="70" t="n">
        <v>1</v>
      </c>
      <c r="B404" s="71" t="n">
        <v>46170</v>
      </c>
      <c r="C404" s="71" t="n">
        <v>46189</v>
      </c>
      <c r="D404" s="70" t="n">
        <v>1613</v>
      </c>
      <c r="E404" s="72" t="inlineStr">
        <is>
          <t>BRF S A</t>
        </is>
      </c>
      <c r="F404" s="70" t="n">
        <v>24</v>
      </c>
      <c r="G404" s="72" t="inlineStr">
        <is>
          <t>Compra a Prazo - Boletos</t>
        </is>
      </c>
      <c r="H404" s="70" t="n">
        <v>2110101</v>
      </c>
      <c r="I404" s="72" t="inlineStr">
        <is>
          <t>FORNECEDORES DE MERCADORIA</t>
        </is>
      </c>
      <c r="J404" s="70" t="n">
        <v>1167896</v>
      </c>
      <c r="L404" s="70" t="n">
        <v>1591095</v>
      </c>
      <c r="M404" s="72" t="inlineStr">
        <is>
          <t>03</t>
        </is>
      </c>
      <c r="N404" s="72" t="inlineStr">
        <is>
          <t>NFE</t>
        </is>
      </c>
      <c r="P404" s="70" t="n">
        <v>103</v>
      </c>
      <c r="Q404" s="72" t="inlineStr">
        <is>
          <t>MILKA FRANCIS</t>
        </is>
      </c>
      <c r="R404" s="72" t="inlineStr">
        <is>
          <t>ESTOQUE DE MERCADORIAS</t>
        </is>
      </c>
      <c r="S404" s="70" t="n">
        <v>1130101</v>
      </c>
      <c r="T404" s="72" t="inlineStr">
        <is>
          <t>MERCADORIAS P/REVENDA</t>
        </is>
      </c>
      <c r="U404" s="73" t="n">
        <v>416.3</v>
      </c>
      <c r="W404" s="73" t="n">
        <v>0</v>
      </c>
      <c r="X404" s="72" t="inlineStr">
        <is>
          <t>NF 1591095-03/03 MILKA</t>
        </is>
      </c>
      <c r="Z404" s="59">
        <f>IF($T404="","",IFERROR(INDEX('Resumo Grupos'!$AC$3:$AC$200,MATCH($T404,'Resumo Grupos'!$AB$3:$AB$200,0)),"n/d"))</f>
        <v/>
      </c>
      <c r="AA404" s="59">
        <f>IF($T404="","",IF(COUNTIF('Resumo Grupos'!$AE$3:$AE$40,$T404)&gt;0,"NAO","SIM"))</f>
        <v/>
      </c>
    </row>
    <row r="405" ht="36.75" customHeight="1" s="60">
      <c r="A405" s="70" t="n">
        <v>1</v>
      </c>
      <c r="B405" s="71" t="n">
        <v>46172</v>
      </c>
      <c r="C405" s="71" t="n">
        <v>46189</v>
      </c>
      <c r="D405" s="70" t="n">
        <v>1402</v>
      </c>
      <c r="E405" s="72" t="inlineStr">
        <is>
          <t>TRIPLASTIK COMERCIAL</t>
        </is>
      </c>
      <c r="F405" s="70" t="n">
        <v>24</v>
      </c>
      <c r="G405" s="72" t="inlineStr">
        <is>
          <t>Compra a Prazo - Boletos</t>
        </is>
      </c>
      <c r="H405" s="70" t="n">
        <v>2110102</v>
      </c>
      <c r="I405" s="72" t="inlineStr">
        <is>
          <t>OUTROS FORNECEDORES</t>
        </is>
      </c>
      <c r="J405" s="70" t="n">
        <v>1177019</v>
      </c>
      <c r="L405" s="70" t="n">
        <v>3070</v>
      </c>
      <c r="M405" s="72" t="inlineStr">
        <is>
          <t>01</t>
        </is>
      </c>
      <c r="N405" s="72" t="inlineStr">
        <is>
          <t>NFE</t>
        </is>
      </c>
      <c r="P405" s="70" t="n">
        <v>103</v>
      </c>
      <c r="Q405" s="72" t="inlineStr">
        <is>
          <t>MILKA FRANCIS</t>
        </is>
      </c>
      <c r="R405" s="72" t="inlineStr">
        <is>
          <t>DESPESAS OPERACIONAIS</t>
        </is>
      </c>
      <c r="S405" s="70" t="n">
        <v>4210204</v>
      </c>
      <c r="T405" s="72" t="inlineStr">
        <is>
          <t>MATERIAL DE CONSUMO</t>
        </is>
      </c>
      <c r="U405" s="73" t="n">
        <v>1382.3</v>
      </c>
      <c r="W405" s="73" t="n">
        <v>0</v>
      </c>
      <c r="X405" s="72" t="inlineStr">
        <is>
          <t>NF 3070 DESPESA - MILKA</t>
        </is>
      </c>
      <c r="Z405" s="59">
        <f>IF($T405="","",IFERROR(INDEX('Resumo Grupos'!$AC$3:$AC$200,MATCH($T405,'Resumo Grupos'!$AB$3:$AB$200,0)),"n/d"))</f>
        <v/>
      </c>
      <c r="AA405" s="59">
        <f>IF($T405="","",IF(COUNTIF('Resumo Grupos'!$AE$3:$AE$40,$T405)&gt;0,"NAO","SIM"))</f>
        <v/>
      </c>
    </row>
    <row r="406" ht="63.75" customHeight="1" s="60">
      <c r="A406" s="70" t="n">
        <v>1</v>
      </c>
      <c r="B406" s="71" t="n">
        <v>46172</v>
      </c>
      <c r="C406" s="71" t="n">
        <v>46189</v>
      </c>
      <c r="D406" s="70" t="n">
        <v>1842</v>
      </c>
      <c r="E406" s="72" t="inlineStr">
        <is>
          <t>INCORE SERVICOS DE MANUTENCAO DE EQUIPAM</t>
        </is>
      </c>
      <c r="F406" s="70" t="n">
        <v>24</v>
      </c>
      <c r="G406" s="72" t="inlineStr">
        <is>
          <t>Compra a Prazo - Boletos</t>
        </is>
      </c>
      <c r="H406" s="70" t="n">
        <v>2110102</v>
      </c>
      <c r="I406" s="72" t="inlineStr">
        <is>
          <t>OUTROS FORNECEDORES</t>
        </is>
      </c>
      <c r="J406" s="70" t="n">
        <v>1177040</v>
      </c>
      <c r="L406" s="70" t="n">
        <v>7422</v>
      </c>
      <c r="M406" s="72" t="inlineStr">
        <is>
          <t>01</t>
        </is>
      </c>
      <c r="N406" s="72" t="inlineStr">
        <is>
          <t>NFE</t>
        </is>
      </c>
      <c r="P406" s="70" t="n">
        <v>103</v>
      </c>
      <c r="Q406" s="72" t="inlineStr">
        <is>
          <t>MILKA FRANCIS</t>
        </is>
      </c>
      <c r="R406" s="72" t="inlineStr">
        <is>
          <t>DESPESAS OPERACIONAIS</t>
        </is>
      </c>
      <c r="S406" s="70" t="n">
        <v>4210204</v>
      </c>
      <c r="T406" s="72" t="inlineStr">
        <is>
          <t>MATERIAL DE CONSUMO</t>
        </is>
      </c>
      <c r="U406" s="73" t="n">
        <v>350</v>
      </c>
      <c r="W406" s="73" t="n">
        <v>0</v>
      </c>
      <c r="X406" s="72" t="inlineStr">
        <is>
          <t>NF 7422 DESPESA - MILKA</t>
        </is>
      </c>
      <c r="Z406" s="59">
        <f>IF($T406="","",IFERROR(INDEX('Resumo Grupos'!$AC$3:$AC$200,MATCH($T406,'Resumo Grupos'!$AB$3:$AB$200,0)),"n/d"))</f>
        <v/>
      </c>
      <c r="AA406" s="59">
        <f>IF($T406="","",IF(COUNTIF('Resumo Grupos'!$AE$3:$AE$40,$T406)&gt;0,"NAO","SIM"))</f>
        <v/>
      </c>
    </row>
    <row r="407" ht="36.75" customHeight="1" s="60">
      <c r="A407" s="70" t="n">
        <v>1</v>
      </c>
      <c r="B407" s="71" t="n">
        <v>46175</v>
      </c>
      <c r="C407" s="71" t="n">
        <v>46189</v>
      </c>
      <c r="D407" s="70" t="n">
        <v>794</v>
      </c>
      <c r="E407" s="72" t="inlineStr">
        <is>
          <t>EDMARA COMERCIO DE HIGIENE PESSOAL LTDA</t>
        </is>
      </c>
      <c r="F407" s="70" t="n">
        <v>24</v>
      </c>
      <c r="G407" s="72" t="inlineStr">
        <is>
          <t>Compra a Prazo - Boletos</t>
        </is>
      </c>
      <c r="H407" s="70" t="n">
        <v>2110101</v>
      </c>
      <c r="I407" s="72" t="inlineStr">
        <is>
          <t>FORNECEDORES DE MERCADORIA</t>
        </is>
      </c>
      <c r="J407" s="70" t="n">
        <v>1192775</v>
      </c>
      <c r="L407" s="70" t="n">
        <v>7862</v>
      </c>
      <c r="M407" s="72" t="inlineStr">
        <is>
          <t>02</t>
        </is>
      </c>
      <c r="N407" s="72" t="inlineStr">
        <is>
          <t>NFE</t>
        </is>
      </c>
      <c r="P407" s="70" t="n">
        <v>103</v>
      </c>
      <c r="Q407" s="72" t="inlineStr">
        <is>
          <t>MILKA FRANCIS</t>
        </is>
      </c>
      <c r="R407" s="72" t="inlineStr">
        <is>
          <t>ESTOQUE DE MERCADORIAS</t>
        </is>
      </c>
      <c r="S407" s="70" t="n">
        <v>1130101</v>
      </c>
      <c r="T407" s="72" t="inlineStr">
        <is>
          <t>MERCADORIAS P/REVENDA</t>
        </is>
      </c>
      <c r="U407" s="73" t="n">
        <v>1695.9</v>
      </c>
      <c r="W407" s="73" t="n">
        <v>0</v>
      </c>
      <c r="X407" s="72" t="inlineStr">
        <is>
          <t>4496-B/D NF7862 - MILKA</t>
        </is>
      </c>
      <c r="Z407" s="59">
        <f>IF($T407="","",IFERROR(INDEX('Resumo Grupos'!$AC$3:$AC$200,MATCH($T407,'Resumo Grupos'!$AB$3:$AB$200,0)),"n/d"))</f>
        <v/>
      </c>
      <c r="AA407" s="59">
        <f>IF($T407="","",IF(COUNTIF('Resumo Grupos'!$AE$3:$AE$40,$T407)&gt;0,"NAO","SIM"))</f>
        <v/>
      </c>
    </row>
    <row r="408" ht="54.75" customHeight="1" s="60">
      <c r="A408" s="70" t="n">
        <v>1</v>
      </c>
      <c r="B408" s="71" t="n">
        <v>46179</v>
      </c>
      <c r="C408" s="71" t="n">
        <v>46189</v>
      </c>
      <c r="D408" s="70" t="n">
        <v>1114</v>
      </c>
      <c r="E408" s="72" t="inlineStr">
        <is>
          <t>NT INDUSTRIA E COMERCIO DE PANIFICACAO L</t>
        </is>
      </c>
      <c r="F408" s="70" t="n">
        <v>24</v>
      </c>
      <c r="G408" s="72" t="inlineStr">
        <is>
          <t>Compra a Prazo - Boletos</t>
        </is>
      </c>
      <c r="H408" s="70" t="n">
        <v>2110101</v>
      </c>
      <c r="I408" s="72" t="inlineStr">
        <is>
          <t>FORNECEDORES DE MERCADORIA</t>
        </is>
      </c>
      <c r="J408" s="70" t="n">
        <v>1211417</v>
      </c>
      <c r="L408" s="70" t="n">
        <v>37407</v>
      </c>
      <c r="M408" s="72" t="inlineStr">
        <is>
          <t>01</t>
        </is>
      </c>
      <c r="N408" s="72" t="inlineStr">
        <is>
          <t>NFE</t>
        </is>
      </c>
      <c r="P408" s="70" t="n">
        <v>103</v>
      </c>
      <c r="Q408" s="72" t="inlineStr">
        <is>
          <t>MILKA FRANCIS</t>
        </is>
      </c>
      <c r="R408" s="72" t="inlineStr">
        <is>
          <t>ESTOQUE DE MERCADORIAS</t>
        </is>
      </c>
      <c r="S408" s="70" t="n">
        <v>1130101</v>
      </c>
      <c r="T408" s="72" t="inlineStr">
        <is>
          <t>MERCADORIAS P/REVENDA</t>
        </is>
      </c>
      <c r="U408" s="73" t="n">
        <v>5110.55</v>
      </c>
      <c r="W408" s="73" t="n">
        <v>0</v>
      </c>
      <c r="X408" s="72" t="inlineStr">
        <is>
          <t>NF 37407 - MILKA</t>
        </is>
      </c>
      <c r="Z408" s="59">
        <f>IF($T408="","",IFERROR(INDEX('Resumo Grupos'!$AC$3:$AC$200,MATCH($T408,'Resumo Grupos'!$AB$3:$AB$200,0)),"n/d"))</f>
        <v/>
      </c>
      <c r="AA408" s="59">
        <f>IF($T408="","",IF(COUNTIF('Resumo Grupos'!$AE$3:$AE$40,$T408)&gt;0,"NAO","SIM"))</f>
        <v/>
      </c>
    </row>
    <row r="409" ht="36.75" customHeight="1" s="60">
      <c r="A409" s="70" t="n">
        <v>1</v>
      </c>
      <c r="B409" s="71" t="n">
        <v>46179</v>
      </c>
      <c r="C409" s="71" t="n">
        <v>46189</v>
      </c>
      <c r="D409" s="70" t="n">
        <v>1723</v>
      </c>
      <c r="E409" s="72" t="inlineStr">
        <is>
          <t>COMERCIO DE FRIOS MANAUS LTDA</t>
        </is>
      </c>
      <c r="F409" s="70" t="n">
        <v>24</v>
      </c>
      <c r="G409" s="72" t="inlineStr">
        <is>
          <t>Compra a Prazo - Boletos</t>
        </is>
      </c>
      <c r="H409" s="70" t="n">
        <v>2110101</v>
      </c>
      <c r="I409" s="72" t="inlineStr">
        <is>
          <t>FORNECEDORES DE MERCADORIA</t>
        </is>
      </c>
      <c r="J409" s="70" t="n">
        <v>1212044</v>
      </c>
      <c r="L409" s="70" t="n">
        <v>171135</v>
      </c>
      <c r="M409" s="72" t="inlineStr">
        <is>
          <t>01</t>
        </is>
      </c>
      <c r="N409" s="72" t="inlineStr">
        <is>
          <t>NFE</t>
        </is>
      </c>
      <c r="P409" s="70" t="n">
        <v>103</v>
      </c>
      <c r="Q409" s="72" t="inlineStr">
        <is>
          <t>MILKA FRANCIS</t>
        </is>
      </c>
      <c r="R409" s="72" t="inlineStr">
        <is>
          <t>ESTOQUE DE MERCADORIAS</t>
        </is>
      </c>
      <c r="S409" s="70" t="n">
        <v>1130101</v>
      </c>
      <c r="T409" s="72" t="inlineStr">
        <is>
          <t>MERCADORIAS P/REVENDA</t>
        </is>
      </c>
      <c r="U409" s="73" t="n">
        <v>6167.15</v>
      </c>
      <c r="W409" s="73" t="n">
        <v>0</v>
      </c>
      <c r="X409" s="72" t="inlineStr">
        <is>
          <t>NF171135 - MILKA</t>
        </is>
      </c>
      <c r="Z409" s="59">
        <f>IF($T409="","",IFERROR(INDEX('Resumo Grupos'!$AC$3:$AC$200,MATCH($T409,'Resumo Grupos'!$AB$3:$AB$200,0)),"n/d"))</f>
        <v/>
      </c>
      <c r="AA409" s="59">
        <f>IF($T409="","",IF(COUNTIF('Resumo Grupos'!$AE$3:$AE$40,$T409)&gt;0,"NAO","SIM"))</f>
        <v/>
      </c>
    </row>
    <row r="410" ht="36.75" customHeight="1" s="60">
      <c r="A410" s="70" t="n">
        <v>1</v>
      </c>
      <c r="B410" s="71" t="n">
        <v>46182</v>
      </c>
      <c r="C410" s="71" t="n">
        <v>46189</v>
      </c>
      <c r="D410" s="70" t="n">
        <v>1625</v>
      </c>
      <c r="E410" s="72" t="inlineStr">
        <is>
          <t>MAXFRI DISTRIUIDORA LTDA</t>
        </is>
      </c>
      <c r="F410" s="70" t="n">
        <v>24</v>
      </c>
      <c r="G410" s="72" t="inlineStr">
        <is>
          <t>Compra a Prazo - Boletos</t>
        </is>
      </c>
      <c r="H410" s="70" t="n">
        <v>2110101</v>
      </c>
      <c r="I410" s="72" t="inlineStr">
        <is>
          <t>FORNECEDORES DE MERCADORIA</t>
        </is>
      </c>
      <c r="J410" s="70" t="n">
        <v>1227270</v>
      </c>
      <c r="L410" s="70" t="n">
        <v>14436</v>
      </c>
      <c r="M410" s="72" t="inlineStr">
        <is>
          <t>01</t>
        </is>
      </c>
      <c r="N410" s="72" t="inlineStr">
        <is>
          <t>NFE</t>
        </is>
      </c>
      <c r="P410" s="70" t="n">
        <v>103</v>
      </c>
      <c r="Q410" s="72" t="inlineStr">
        <is>
          <t>MILKA FRANCIS</t>
        </is>
      </c>
      <c r="R410" s="72" t="inlineStr">
        <is>
          <t>ESTOQUE DE MERCADORIAS</t>
        </is>
      </c>
      <c r="S410" s="70" t="n">
        <v>1130101</v>
      </c>
      <c r="T410" s="72" t="inlineStr">
        <is>
          <t>MERCADORIAS P/REVENDA</t>
        </is>
      </c>
      <c r="U410" s="73" t="n">
        <v>6787.8</v>
      </c>
      <c r="W410" s="73" t="n">
        <v>0</v>
      </c>
      <c r="X410" s="72" t="inlineStr">
        <is>
          <t>NF14436 -  MILKA</t>
        </is>
      </c>
      <c r="Z410" s="59">
        <f>IF($T410="","",IFERROR(INDEX('Resumo Grupos'!$AC$3:$AC$200,MATCH($T410,'Resumo Grupos'!$AB$3:$AB$200,0)),"n/d"))</f>
        <v/>
      </c>
      <c r="AA410" s="59">
        <f>IF($T410="","",IF(COUNTIF('Resumo Grupos'!$AE$3:$AE$40,$T410)&gt;0,"NAO","SIM"))</f>
        <v/>
      </c>
    </row>
    <row r="411" ht="36.75" customHeight="1" s="60">
      <c r="A411" s="70" t="n">
        <v>1</v>
      </c>
      <c r="B411" s="71" t="n">
        <v>46183</v>
      </c>
      <c r="C411" s="71" t="n">
        <v>46189</v>
      </c>
      <c r="D411" s="70" t="n">
        <v>1642</v>
      </c>
      <c r="E411" s="72" t="inlineStr">
        <is>
          <t>BROTHERS  INDUSTRIA DE ALIMENTOS LTDA</t>
        </is>
      </c>
      <c r="F411" s="70" t="n">
        <v>24</v>
      </c>
      <c r="G411" s="72" t="inlineStr">
        <is>
          <t>Compra a Prazo - Boletos</t>
        </is>
      </c>
      <c r="H411" s="70" t="n">
        <v>2110101</v>
      </c>
      <c r="I411" s="72" t="inlineStr">
        <is>
          <t>FORNECEDORES DE MERCADORIA</t>
        </is>
      </c>
      <c r="J411" s="70" t="n">
        <v>1230690</v>
      </c>
      <c r="L411" s="70" t="n">
        <v>1026088</v>
      </c>
      <c r="M411" s="72" t="inlineStr">
        <is>
          <t>01</t>
        </is>
      </c>
      <c r="N411" s="72" t="inlineStr">
        <is>
          <t>NFE</t>
        </is>
      </c>
      <c r="P411" s="70" t="n">
        <v>103</v>
      </c>
      <c r="Q411" s="72" t="inlineStr">
        <is>
          <t>MILKA FRANCIS</t>
        </is>
      </c>
      <c r="R411" s="72" t="inlineStr">
        <is>
          <t>ESTOQUE DE MERCADORIAS</t>
        </is>
      </c>
      <c r="S411" s="70" t="n">
        <v>1130101</v>
      </c>
      <c r="T411" s="72" t="inlineStr">
        <is>
          <t>MERCADORIAS P/REVENDA</t>
        </is>
      </c>
      <c r="U411" s="73" t="n">
        <v>644.15</v>
      </c>
      <c r="W411" s="73" t="n">
        <v>0</v>
      </c>
      <c r="X411" s="72" t="inlineStr">
        <is>
          <t>NF 1026088 - MILKA</t>
        </is>
      </c>
      <c r="Z411" s="59">
        <f>IF($T411="","",IFERROR(INDEX('Resumo Grupos'!$AC$3:$AC$200,MATCH($T411,'Resumo Grupos'!$AB$3:$AB$200,0)),"n/d"))</f>
        <v/>
      </c>
      <c r="AA411" s="59">
        <f>IF($T411="","",IF(COUNTIF('Resumo Grupos'!$AE$3:$AE$40,$T411)&gt;0,"NAO","SIM"))</f>
        <v/>
      </c>
    </row>
    <row r="412" ht="36.75" customHeight="1" s="60">
      <c r="A412" s="70" t="n">
        <v>1</v>
      </c>
      <c r="B412" s="71" t="n">
        <v>46183</v>
      </c>
      <c r="C412" s="71" t="n">
        <v>46189</v>
      </c>
      <c r="D412" s="70" t="n">
        <v>1363</v>
      </c>
      <c r="E412" s="72" t="inlineStr">
        <is>
          <t>JAB COMERCIO DE PRODUTOS ALIMENTICIOS LT</t>
        </is>
      </c>
      <c r="F412" s="70" t="n">
        <v>24</v>
      </c>
      <c r="G412" s="72" t="inlineStr">
        <is>
          <t>Compra a Prazo - Boletos</t>
        </is>
      </c>
      <c r="H412" s="70" t="n">
        <v>2110101</v>
      </c>
      <c r="I412" s="72" t="inlineStr">
        <is>
          <t>FORNECEDORES DE MERCADORIA</t>
        </is>
      </c>
      <c r="J412" s="70" t="n">
        <v>1230731</v>
      </c>
      <c r="L412" s="70" t="n">
        <v>3339</v>
      </c>
      <c r="M412" s="72" t="inlineStr">
        <is>
          <t>01</t>
        </is>
      </c>
      <c r="N412" s="72" t="inlineStr">
        <is>
          <t>NFE</t>
        </is>
      </c>
      <c r="P412" s="70" t="n">
        <v>103</v>
      </c>
      <c r="Q412" s="72" t="inlineStr">
        <is>
          <t>MILKA FRANCIS</t>
        </is>
      </c>
      <c r="R412" s="72" t="inlineStr">
        <is>
          <t>ESTOQUE DE MERCADORIAS</t>
        </is>
      </c>
      <c r="S412" s="70" t="n">
        <v>1130101</v>
      </c>
      <c r="T412" s="72" t="inlineStr">
        <is>
          <t>MERCADORIAS P/REVENDA</t>
        </is>
      </c>
      <c r="U412" s="73" t="n">
        <v>260</v>
      </c>
      <c r="W412" s="73" t="n">
        <v>0</v>
      </c>
      <c r="X412" s="72" t="inlineStr">
        <is>
          <t>NF 3339 SANTOPAO - MILKA</t>
        </is>
      </c>
      <c r="Z412" s="59">
        <f>IF($T412="","",IFERROR(INDEX('Resumo Grupos'!$AC$3:$AC$200,MATCH($T412,'Resumo Grupos'!$AB$3:$AB$200,0)),"n/d"))</f>
        <v/>
      </c>
      <c r="AA412" s="59">
        <f>IF($T412="","",IF(COUNTIF('Resumo Grupos'!$AE$3:$AE$40,$T412)&gt;0,"NAO","SIM"))</f>
        <v/>
      </c>
    </row>
    <row r="413" ht="36.75" customHeight="1" s="60">
      <c r="A413" s="70" t="n">
        <v>1</v>
      </c>
      <c r="B413" s="71" t="n">
        <v>46183</v>
      </c>
      <c r="C413" s="71" t="n">
        <v>46189</v>
      </c>
      <c r="D413" s="70" t="n">
        <v>1286</v>
      </c>
      <c r="E413" s="72" t="inlineStr">
        <is>
          <t>VITAPAN COMERCIO VAREJISTA DE PRODUTOS ALIMENTICIOS LTDA</t>
        </is>
      </c>
      <c r="F413" s="70" t="n">
        <v>24</v>
      </c>
      <c r="G413" s="72" t="inlineStr">
        <is>
          <t>Compra a Prazo - Boletos</t>
        </is>
      </c>
      <c r="H413" s="70" t="n">
        <v>2110101</v>
      </c>
      <c r="I413" s="72" t="inlineStr">
        <is>
          <t>FORNECEDORES DE MERCADORIA</t>
        </is>
      </c>
      <c r="J413" s="70" t="n">
        <v>1230747</v>
      </c>
      <c r="L413" s="70" t="n">
        <v>10060</v>
      </c>
      <c r="M413" s="72" t="inlineStr">
        <is>
          <t>01</t>
        </is>
      </c>
      <c r="N413" s="72" t="inlineStr">
        <is>
          <t>NFE</t>
        </is>
      </c>
      <c r="P413" s="70" t="n">
        <v>103</v>
      </c>
      <c r="Q413" s="72" t="inlineStr">
        <is>
          <t>MILKA FRANCIS</t>
        </is>
      </c>
      <c r="R413" s="72" t="inlineStr">
        <is>
          <t>ESTOQUE DE MERCADORIAS</t>
        </is>
      </c>
      <c r="S413" s="70" t="n">
        <v>1130101</v>
      </c>
      <c r="T413" s="72" t="inlineStr">
        <is>
          <t>MERCADORIAS P/REVENDA</t>
        </is>
      </c>
      <c r="U413" s="73" t="n">
        <v>1566</v>
      </c>
      <c r="W413" s="73" t="n">
        <v>0</v>
      </c>
      <c r="X413" s="72" t="inlineStr">
        <is>
          <t>NF 10060 - MILKA</t>
        </is>
      </c>
      <c r="Z413" s="59">
        <f>IF($T413="","",IFERROR(INDEX('Resumo Grupos'!$AC$3:$AC$200,MATCH($T413,'Resumo Grupos'!$AB$3:$AB$200,0)),"n/d"))</f>
        <v/>
      </c>
      <c r="AA413" s="59">
        <f>IF($T413="","",IF(COUNTIF('Resumo Grupos'!$AE$3:$AE$40,$T413)&gt;0,"NAO","SIM"))</f>
        <v/>
      </c>
    </row>
    <row r="414" ht="54.75" customHeight="1" s="60">
      <c r="A414" s="70" t="n">
        <v>1</v>
      </c>
      <c r="B414" s="71" t="n">
        <v>46183</v>
      </c>
      <c r="C414" s="71" t="n">
        <v>46189</v>
      </c>
      <c r="D414" s="70" t="n">
        <v>10018</v>
      </c>
      <c r="E414" s="72" t="inlineStr">
        <is>
          <t>ADRIANO FEITOSA OLIVEIRA LTDA</t>
        </is>
      </c>
      <c r="F414" s="70" t="n">
        <v>34</v>
      </c>
      <c r="G414" s="72" t="inlineStr">
        <is>
          <t>Transferencia Pix</t>
        </is>
      </c>
      <c r="H414" s="70" t="n">
        <v>2110101</v>
      </c>
      <c r="I414" s="72" t="inlineStr">
        <is>
          <t>FORNECEDORES DE MERCADORIA</t>
        </is>
      </c>
      <c r="J414" s="70" t="n">
        <v>1231130</v>
      </c>
      <c r="L414" s="70" t="n">
        <v>296</v>
      </c>
      <c r="M414" s="72" t="inlineStr">
        <is>
          <t>01</t>
        </is>
      </c>
      <c r="N414" s="72" t="inlineStr">
        <is>
          <t>NFE</t>
        </is>
      </c>
      <c r="P414" s="70" t="n">
        <v>103</v>
      </c>
      <c r="Q414" s="72" t="inlineStr">
        <is>
          <t>MILKA FRANCIS</t>
        </is>
      </c>
      <c r="R414" s="72" t="inlineStr">
        <is>
          <t>ESTOQUE DE MERCADORIAS</t>
        </is>
      </c>
      <c r="S414" s="70" t="n">
        <v>1130101</v>
      </c>
      <c r="T414" s="72" t="inlineStr">
        <is>
          <t>MERCADORIAS P/REVENDA</t>
        </is>
      </c>
      <c r="U414" s="73" t="n">
        <v>2213.39</v>
      </c>
      <c r="W414" s="73" t="n">
        <v>0</v>
      </c>
      <c r="X414" s="72" t="inlineStr">
        <is>
          <t>NF 296 - MILKA</t>
        </is>
      </c>
      <c r="Z414" s="59">
        <f>IF($T414="","",IFERROR(INDEX('Resumo Grupos'!$AC$3:$AC$200,MATCH($T414,'Resumo Grupos'!$AB$3:$AB$200,0)),"n/d"))</f>
        <v/>
      </c>
      <c r="AA414" s="59">
        <f>IF($T414="","",IF(COUNTIF('Resumo Grupos'!$AE$3:$AE$40,$T414)&gt;0,"NAO","SIM"))</f>
        <v/>
      </c>
    </row>
    <row r="415" ht="36.75" customHeight="1" s="60">
      <c r="A415" s="70" t="n">
        <v>1</v>
      </c>
      <c r="B415" s="71" t="n">
        <v>46186</v>
      </c>
      <c r="C415" s="71" t="n">
        <v>46189</v>
      </c>
      <c r="D415" s="70" t="n">
        <v>642</v>
      </c>
      <c r="E415" s="72" t="inlineStr">
        <is>
          <t>ADICSO FABIAN GONZALEZ MONTILLA 70302186</t>
        </is>
      </c>
      <c r="F415" s="70" t="n">
        <v>24</v>
      </c>
      <c r="G415" s="72" t="inlineStr">
        <is>
          <t>Compra a Prazo - Boletos</t>
        </is>
      </c>
      <c r="H415" s="70" t="n">
        <v>2110101</v>
      </c>
      <c r="I415" s="72" t="inlineStr">
        <is>
          <t>FORNECEDORES DE MERCADORIA</t>
        </is>
      </c>
      <c r="J415" s="70" t="n">
        <v>1243938</v>
      </c>
      <c r="L415" s="70" t="n">
        <v>495</v>
      </c>
      <c r="M415" s="72" t="inlineStr">
        <is>
          <t>01</t>
        </is>
      </c>
      <c r="N415" s="72" t="inlineStr">
        <is>
          <t>NFE</t>
        </is>
      </c>
      <c r="P415" s="70" t="n">
        <v>103</v>
      </c>
      <c r="Q415" s="72" t="inlineStr">
        <is>
          <t>MILKA FRANCIS</t>
        </is>
      </c>
      <c r="R415" s="72" t="inlineStr">
        <is>
          <t>ESTOQUE DE MERCADORIAS</t>
        </is>
      </c>
      <c r="S415" s="70" t="n">
        <v>1130101</v>
      </c>
      <c r="T415" s="72" t="inlineStr">
        <is>
          <t>MERCADORIAS P/REVENDA</t>
        </is>
      </c>
      <c r="U415" s="73" t="n">
        <v>960</v>
      </c>
      <c r="W415" s="73" t="n">
        <v>0</v>
      </c>
      <c r="X415" s="72" t="inlineStr">
        <is>
          <t>NF 495 BLOOM - MILKA</t>
        </is>
      </c>
      <c r="Z415" s="59">
        <f>IF($T415="","",IFERROR(INDEX('Resumo Grupos'!$AC$3:$AC$200,MATCH($T415,'Resumo Grupos'!$AB$3:$AB$200,0)),"n/d"))</f>
        <v/>
      </c>
      <c r="AA415" s="59">
        <f>IF($T415="","",IF(COUNTIF('Resumo Grupos'!$AE$3:$AE$40,$T415)&gt;0,"NAO","SIM"))</f>
        <v/>
      </c>
    </row>
    <row r="416" ht="54.75" customHeight="1" s="60">
      <c r="A416" s="70" t="n">
        <v>1</v>
      </c>
      <c r="B416" s="71" t="n">
        <v>46188</v>
      </c>
      <c r="C416" s="71" t="n">
        <v>46189</v>
      </c>
      <c r="D416" s="70" t="n">
        <v>1899</v>
      </c>
      <c r="E416" s="72" t="inlineStr">
        <is>
          <t>PANIFICADORA E CONFEITARIA REAL MADRI LTDA</t>
        </is>
      </c>
      <c r="F416" s="70" t="n">
        <v>24</v>
      </c>
      <c r="G416" s="72" t="inlineStr">
        <is>
          <t>Compra a Prazo - Boletos</t>
        </is>
      </c>
      <c r="H416" s="70" t="n">
        <v>2110101</v>
      </c>
      <c r="I416" s="72" t="inlineStr">
        <is>
          <t>FORNECEDORES DE MERCADORIA</t>
        </is>
      </c>
      <c r="J416" s="70" t="n">
        <v>1254895</v>
      </c>
      <c r="L416" s="70" t="n">
        <v>660</v>
      </c>
      <c r="M416" s="72" t="inlineStr">
        <is>
          <t>01</t>
        </is>
      </c>
      <c r="N416" s="72" t="inlineStr">
        <is>
          <t>NFE</t>
        </is>
      </c>
      <c r="P416" s="70" t="n">
        <v>103</v>
      </c>
      <c r="Q416" s="72" t="inlineStr">
        <is>
          <t>MILKA FRANCIS</t>
        </is>
      </c>
      <c r="R416" s="72" t="inlineStr">
        <is>
          <t>ESTOQUE DE MERCADORIAS</t>
        </is>
      </c>
      <c r="S416" s="70" t="n">
        <v>1130101</v>
      </c>
      <c r="T416" s="72" t="inlineStr">
        <is>
          <t>MERCADORIAS P/REVENDA</t>
        </is>
      </c>
      <c r="U416" s="73" t="n">
        <v>1400</v>
      </c>
      <c r="W416" s="73" t="n">
        <v>0</v>
      </c>
      <c r="X416" s="72" t="inlineStr">
        <is>
          <t>NF 660 - MILKA</t>
        </is>
      </c>
      <c r="Z416" s="59">
        <f>IF($T416="","",IFERROR(INDEX('Resumo Grupos'!$AC$3:$AC$200,MATCH($T416,'Resumo Grupos'!$AB$3:$AB$200,0)),"n/d"))</f>
        <v/>
      </c>
      <c r="AA416" s="59">
        <f>IF($T416="","",IF(COUNTIF('Resumo Grupos'!$AE$3:$AE$40,$T416)&gt;0,"NAO","SIM"))</f>
        <v/>
      </c>
    </row>
    <row r="417" ht="45.75" customHeight="1" s="60">
      <c r="A417" s="70" t="n">
        <v>1</v>
      </c>
      <c r="B417" s="71" t="n">
        <v>46189</v>
      </c>
      <c r="C417" s="71" t="n">
        <v>46189</v>
      </c>
      <c r="D417" s="70" t="n">
        <v>33</v>
      </c>
      <c r="E417" s="72" t="inlineStr">
        <is>
          <t>RENATO DE O AZEVEDO E CIA LTDA - EPP</t>
        </is>
      </c>
      <c r="F417" s="70" t="n">
        <v>34</v>
      </c>
      <c r="G417" s="72" t="inlineStr">
        <is>
          <t>Transferencia Pix</t>
        </is>
      </c>
      <c r="H417" s="70" t="n">
        <v>2110101</v>
      </c>
      <c r="I417" s="72" t="inlineStr">
        <is>
          <t>FORNECEDORES DE MERCADORIA</t>
        </is>
      </c>
      <c r="J417" s="70" t="n">
        <v>1260608</v>
      </c>
      <c r="L417" s="70" t="n">
        <v>5132</v>
      </c>
      <c r="M417" s="72" t="inlineStr">
        <is>
          <t>01</t>
        </is>
      </c>
      <c r="N417" s="72" t="inlineStr">
        <is>
          <t>NFE</t>
        </is>
      </c>
      <c r="P417" s="70" t="n">
        <v>104</v>
      </c>
      <c r="Q417" s="72" t="inlineStr">
        <is>
          <t>DEBORA COSTA</t>
        </is>
      </c>
      <c r="R417" s="72" t="inlineStr">
        <is>
          <t>ESTOQUE DE MERCADORIAS</t>
        </is>
      </c>
      <c r="S417" s="70" t="n">
        <v>1130101</v>
      </c>
      <c r="T417" s="72" t="inlineStr">
        <is>
          <t>MERCADORIAS P/REVENDA</t>
        </is>
      </c>
      <c r="U417" s="73" t="n">
        <v>600</v>
      </c>
      <c r="W417" s="73" t="n">
        <v>600</v>
      </c>
      <c r="X417" s="72" t="inlineStr">
        <is>
          <t>FARINHA 3 IRMAOS - DEBORA</t>
        </is>
      </c>
      <c r="Z417" s="59">
        <f>IF($T417="","",IFERROR(INDEX('Resumo Grupos'!$AC$3:$AC$200,MATCH($T417,'Resumo Grupos'!$AB$3:$AB$200,0)),"n/d"))</f>
        <v/>
      </c>
      <c r="AA417" s="59">
        <f>IF($T417="","",IF(COUNTIF('Resumo Grupos'!$AE$3:$AE$40,$T417)&gt;0,"NAO","SIM"))</f>
        <v/>
      </c>
    </row>
    <row r="418" ht="45.75" customHeight="1" s="60">
      <c r="A418" s="70" t="n">
        <v>1</v>
      </c>
      <c r="B418" s="71" t="n">
        <v>46189</v>
      </c>
      <c r="C418" s="71" t="n">
        <v>46189</v>
      </c>
      <c r="D418" s="70" t="n">
        <v>514</v>
      </c>
      <c r="E418" s="72" t="inlineStr">
        <is>
          <t>SANTANDER SA</t>
        </is>
      </c>
      <c r="F418" s="70" t="n">
        <v>34</v>
      </c>
      <c r="G418" s="72" t="inlineStr">
        <is>
          <t>Transferencia Pix</t>
        </is>
      </c>
      <c r="H418" s="70" t="n">
        <v>2110405</v>
      </c>
      <c r="I418" s="72" t="inlineStr">
        <is>
          <t>CONTAS A PAGAR</t>
        </is>
      </c>
      <c r="J418" s="70" t="n">
        <v>1261523</v>
      </c>
      <c r="L418" s="70" t="n">
        <v>523232</v>
      </c>
      <c r="M418" s="72" t="inlineStr">
        <is>
          <t>01</t>
        </is>
      </c>
      <c r="N418" s="72" t="inlineStr">
        <is>
          <t>AVU</t>
        </is>
      </c>
      <c r="P418" s="70" t="n">
        <v>102</v>
      </c>
      <c r="Q418" s="72" t="inlineStr">
        <is>
          <t>ANDREZA ANDRADE</t>
        </is>
      </c>
      <c r="R418" s="72" t="inlineStr">
        <is>
          <t>DESPESAS OPERACIONAIS</t>
        </is>
      </c>
      <c r="S418" s="70" t="n">
        <v>4210210</v>
      </c>
      <c r="T418" s="72" t="inlineStr">
        <is>
          <t>SEGUROS</t>
        </is>
      </c>
      <c r="U418" s="73" t="n">
        <v>689.17</v>
      </c>
      <c r="W418" s="73" t="n">
        <v>0</v>
      </c>
      <c r="X418" s="72" t="inlineStr">
        <is>
          <t>MENSALIDADE SEGURO BCO SANTANDER 1 VELHO</t>
        </is>
      </c>
      <c r="Z418" s="59">
        <f>IF($T418="","",IFERROR(INDEX('Resumo Grupos'!$AC$3:$AC$200,MATCH($T418,'Resumo Grupos'!$AB$3:$AB$200,0)),"n/d"))</f>
        <v/>
      </c>
      <c r="AA418" s="59">
        <f>IF($T418="","",IF(COUNTIF('Resumo Grupos'!$AE$3:$AE$40,$T418)&gt;0,"NAO","SIM"))</f>
        <v/>
      </c>
    </row>
    <row r="419" ht="36.75" customHeight="1" s="60">
      <c r="A419" s="70" t="n">
        <v>1</v>
      </c>
      <c r="B419" s="71" t="n">
        <v>46189</v>
      </c>
      <c r="C419" s="71" t="n">
        <v>46189</v>
      </c>
      <c r="D419" s="70" t="n">
        <v>33</v>
      </c>
      <c r="E419" s="72" t="inlineStr">
        <is>
          <t>RENATO DE O AZEVEDO E CIA LTDA - EPP</t>
        </is>
      </c>
      <c r="F419" s="70" t="n">
        <v>34</v>
      </c>
      <c r="G419" s="72" t="inlineStr">
        <is>
          <t>Transferencia Pix</t>
        </is>
      </c>
      <c r="H419" s="70" t="n">
        <v>2110101</v>
      </c>
      <c r="I419" s="72" t="inlineStr">
        <is>
          <t>FORNECEDORES DE MERCADORIA</t>
        </is>
      </c>
      <c r="J419" s="70" t="n">
        <v>1261694</v>
      </c>
      <c r="L419" s="70" t="n">
        <v>5134</v>
      </c>
      <c r="M419" s="72" t="inlineStr">
        <is>
          <t>01</t>
        </is>
      </c>
      <c r="N419" s="72" t="inlineStr">
        <is>
          <t>NFE</t>
        </is>
      </c>
      <c r="P419" s="70" t="n">
        <v>104</v>
      </c>
      <c r="Q419" s="72" t="inlineStr">
        <is>
          <t>DEBORA COSTA</t>
        </is>
      </c>
      <c r="R419" s="72" t="inlineStr">
        <is>
          <t>ESTOQUE DE MERCADORIAS</t>
        </is>
      </c>
      <c r="S419" s="70" t="n">
        <v>1130101</v>
      </c>
      <c r="T419" s="72" t="inlineStr">
        <is>
          <t>MERCADORIAS P/REVENDA</t>
        </is>
      </c>
      <c r="U419" s="73" t="n">
        <v>3238.73</v>
      </c>
      <c r="W419" s="73" t="n">
        <v>0</v>
      </c>
      <c r="X419" s="72" t="inlineStr">
        <is>
          <t>FEIRA SR RENATO - DEBORA</t>
        </is>
      </c>
      <c r="Z419" s="59">
        <f>IF($T419="","",IFERROR(INDEX('Resumo Grupos'!$AC$3:$AC$200,MATCH($T419,'Resumo Grupos'!$AB$3:$AB$200,0)),"n/d"))</f>
        <v/>
      </c>
      <c r="AA419" s="59">
        <f>IF($T419="","",IF(COUNTIF('Resumo Grupos'!$AE$3:$AE$40,$T419)&gt;0,"NAO","SIM"))</f>
        <v/>
      </c>
    </row>
    <row r="420" ht="45.75" customHeight="1" s="60">
      <c r="A420" s="70" t="n">
        <v>1</v>
      </c>
      <c r="B420" s="71" t="n">
        <v>46189</v>
      </c>
      <c r="C420" s="71" t="n">
        <v>46189</v>
      </c>
      <c r="D420" s="70" t="n">
        <v>1037</v>
      </c>
      <c r="E420" s="72" t="inlineStr">
        <is>
          <t>FEIRA</t>
        </is>
      </c>
      <c r="F420" s="70" t="n">
        <v>34</v>
      </c>
      <c r="G420" s="72" t="inlineStr">
        <is>
          <t>Transferencia Pix</t>
        </is>
      </c>
      <c r="H420" s="70" t="n">
        <v>1110202</v>
      </c>
      <c r="I420" s="72" t="inlineStr">
        <is>
          <t>BANCO ITAU Lj 01</t>
        </is>
      </c>
      <c r="J420" s="70" t="n">
        <v>1370412</v>
      </c>
      <c r="L420" s="70" t="n">
        <v>565665</v>
      </c>
      <c r="M420" s="72" t="inlineStr">
        <is>
          <t>01</t>
        </is>
      </c>
      <c r="N420" s="72" t="inlineStr">
        <is>
          <t>AVU</t>
        </is>
      </c>
      <c r="P420" s="70" t="n">
        <v>102</v>
      </c>
      <c r="Q420" s="72" t="inlineStr">
        <is>
          <t>ANDREZA ANDRADE</t>
        </is>
      </c>
      <c r="R420" s="72" t="inlineStr">
        <is>
          <t>DESPESAS NAO OPERACIONAIS</t>
        </is>
      </c>
      <c r="S420" s="70" t="n">
        <v>4220199</v>
      </c>
      <c r="T420" s="72" t="inlineStr">
        <is>
          <t>PAGAMENTOS OUTROS NAO OPERACIONAIS</t>
        </is>
      </c>
      <c r="U420" s="73" t="n">
        <v>2927.27</v>
      </c>
      <c r="W420" s="73" t="n">
        <v>0</v>
      </c>
      <c r="X420" s="72" t="inlineStr">
        <is>
          <t>SR. RENATO FEIRA LOJAS -ANDREZA</t>
        </is>
      </c>
      <c r="Z420" s="59">
        <f>IF($T420="","",IFERROR(INDEX('Resumo Grupos'!$AC$3:$AC$200,MATCH($T420,'Resumo Grupos'!$AB$3:$AB$200,0)),"n/d"))</f>
        <v/>
      </c>
      <c r="AA420" s="59">
        <f>IF($T420="","",IF(COUNTIF('Resumo Grupos'!$AE$3:$AE$40,$T420)&gt;0,"NAO","SIM"))</f>
        <v/>
      </c>
    </row>
    <row r="421" ht="36.75" customHeight="1" s="60">
      <c r="A421" s="70" t="n">
        <v>1</v>
      </c>
      <c r="B421" s="71" t="n">
        <v>46189</v>
      </c>
      <c r="C421" s="71" t="n">
        <v>46189</v>
      </c>
      <c r="D421" s="70" t="n">
        <v>578</v>
      </c>
      <c r="E421" s="72" t="inlineStr">
        <is>
          <t>DANIELE TEIXEIRA HUNHAPE</t>
        </is>
      </c>
      <c r="F421" s="70" t="n">
        <v>24</v>
      </c>
      <c r="G421" s="72" t="inlineStr">
        <is>
          <t>Compra a Prazo - Boletos</t>
        </is>
      </c>
      <c r="H421" s="70" t="n">
        <v>1110202</v>
      </c>
      <c r="I421" s="72" t="inlineStr">
        <is>
          <t>BANCO ITAU Lj 01</t>
        </is>
      </c>
      <c r="J421" s="70" t="n">
        <v>1450084</v>
      </c>
      <c r="L421" s="70" t="n">
        <v>596446</v>
      </c>
      <c r="M421" s="72" t="inlineStr">
        <is>
          <t>01</t>
        </is>
      </c>
      <c r="N421" s="72" t="inlineStr">
        <is>
          <t>AVU</t>
        </is>
      </c>
      <c r="P421" s="70" t="n">
        <v>101</v>
      </c>
      <c r="Q421" s="72" t="inlineStr">
        <is>
          <t>KEILA LIMA</t>
        </is>
      </c>
      <c r="R421" s="72" t="inlineStr">
        <is>
          <t>DESPESAS NAO OPERACIONAIS</t>
        </is>
      </c>
      <c r="S421" s="70" t="n">
        <v>4220199</v>
      </c>
      <c r="T421" s="72" t="inlineStr">
        <is>
          <t>PAGAMENTOS OUTROS NAO OPERACIONAIS</t>
        </is>
      </c>
      <c r="U421" s="73" t="n">
        <v>500</v>
      </c>
      <c r="W421" s="73" t="n">
        <v>0</v>
      </c>
      <c r="X421" s="72" t="inlineStr">
        <is>
          <t>PAG SEG TRABA LOJAS NAO SOMAR</t>
        </is>
      </c>
      <c r="Z421" s="59">
        <f>IF($T421="","",IFERROR(INDEX('Resumo Grupos'!$AC$3:$AC$200,MATCH($T421,'Resumo Grupos'!$AB$3:$AB$200,0)),"n/d"))</f>
        <v/>
      </c>
      <c r="AA421" s="59">
        <f>IF($T421="","",IF(COUNTIF('Resumo Grupos'!$AE$3:$AE$40,$T421)&gt;0,"NAO","SIM"))</f>
        <v/>
      </c>
    </row>
    <row r="422" ht="36.75" customHeight="1" s="60">
      <c r="A422" s="70" t="n">
        <v>1</v>
      </c>
      <c r="B422" s="71" t="n">
        <v>46189</v>
      </c>
      <c r="C422" s="71" t="n">
        <v>46189</v>
      </c>
      <c r="D422" s="70" t="n">
        <v>1137</v>
      </c>
      <c r="E422" s="72" t="inlineStr">
        <is>
          <t xml:space="preserve">FOLHA DE PAGAMENTO </t>
        </is>
      </c>
      <c r="F422" s="70" t="n">
        <v>34</v>
      </c>
      <c r="G422" s="72" t="inlineStr">
        <is>
          <t>Transferencia Pix</t>
        </is>
      </c>
      <c r="H422" s="70" t="n">
        <v>1110202</v>
      </c>
      <c r="I422" s="72" t="inlineStr">
        <is>
          <t>BANCO ITAU Lj 01</t>
        </is>
      </c>
      <c r="J422" s="70" t="n">
        <v>1450118</v>
      </c>
      <c r="L422" s="70" t="n">
        <v>596458</v>
      </c>
      <c r="M422" s="72" t="inlineStr">
        <is>
          <t>01</t>
        </is>
      </c>
      <c r="N422" s="72" t="inlineStr">
        <is>
          <t>AVU</t>
        </is>
      </c>
      <c r="P422" s="70" t="n">
        <v>101</v>
      </c>
      <c r="Q422" s="72" t="inlineStr">
        <is>
          <t>KEILA LIMA</t>
        </is>
      </c>
      <c r="R422" s="72" t="inlineStr">
        <is>
          <t>DESPESAS COM PESSOAL</t>
        </is>
      </c>
      <c r="S422" s="70" t="n">
        <v>4210301</v>
      </c>
      <c r="T422" s="72" t="inlineStr">
        <is>
          <t>SALARIOS</t>
        </is>
      </c>
      <c r="U422" s="73" t="n">
        <v>8050</v>
      </c>
      <c r="W422" s="73" t="n">
        <v>0</v>
      </c>
      <c r="X422" s="72" t="inlineStr">
        <is>
          <t>PG ADIANT SALARIO 06/26 MO 1 -KEILA</t>
        </is>
      </c>
      <c r="Z422" s="59">
        <f>IF($T422="","",IFERROR(INDEX('Resumo Grupos'!$AC$3:$AC$200,MATCH($T422,'Resumo Grupos'!$AB$3:$AB$200,0)),"n/d"))</f>
        <v/>
      </c>
      <c r="AA422" s="59">
        <f>IF($T422="","",IF(COUNTIF('Resumo Grupos'!$AE$3:$AE$40,$T422)&gt;0,"NAO","SIM"))</f>
        <v/>
      </c>
    </row>
    <row r="423" ht="27.75" customHeight="1" s="60">
      <c r="A423" s="70" t="n">
        <v>1</v>
      </c>
      <c r="B423" s="71" t="n">
        <v>46189</v>
      </c>
      <c r="C423" s="71" t="n">
        <v>46189</v>
      </c>
      <c r="D423" s="70" t="n">
        <v>578</v>
      </c>
      <c r="E423" s="72" t="inlineStr">
        <is>
          <t>DANIELE TEIXEIRA HUNHAPE</t>
        </is>
      </c>
      <c r="F423" s="70" t="n">
        <v>24</v>
      </c>
      <c r="G423" s="72" t="inlineStr">
        <is>
          <t>Compra a Prazo - Boletos</t>
        </is>
      </c>
      <c r="H423" s="70" t="n">
        <v>1110202</v>
      </c>
      <c r="I423" s="72" t="inlineStr">
        <is>
          <t>BANCO ITAU Lj 01</t>
        </is>
      </c>
      <c r="J423" s="70" t="n">
        <v>1450145</v>
      </c>
      <c r="L423" s="70" t="n">
        <v>596464</v>
      </c>
      <c r="M423" s="72" t="inlineStr">
        <is>
          <t>01</t>
        </is>
      </c>
      <c r="N423" s="72" t="inlineStr">
        <is>
          <t>AVU</t>
        </is>
      </c>
      <c r="P423" s="70" t="n">
        <v>101</v>
      </c>
      <c r="Q423" s="72" t="inlineStr">
        <is>
          <t>KEILA LIMA</t>
        </is>
      </c>
      <c r="R423" s="72" t="inlineStr">
        <is>
          <t>DESPESAS A APROPRIAR</t>
        </is>
      </c>
      <c r="S423" s="70" t="n">
        <v>1140101</v>
      </c>
      <c r="T423" s="72" t="inlineStr">
        <is>
          <t>MENSALIDADE SEGURANCA TRABAHO - EXCELLET</t>
        </is>
      </c>
      <c r="U423" s="73" t="n">
        <v>169.58</v>
      </c>
      <c r="W423" s="73" t="n">
        <v>0</v>
      </c>
      <c r="X423" s="72" t="inlineStr">
        <is>
          <t>MENSALIDADE SEG TRABALHO MO1 - KEILA</t>
        </is>
      </c>
      <c r="Z423" s="59">
        <f>IF($T423="","",IFERROR(INDEX('Resumo Grupos'!$AC$3:$AC$200,MATCH($T423,'Resumo Grupos'!$AB$3:$AB$200,0)),"n/d"))</f>
        <v/>
      </c>
      <c r="AA423" s="59">
        <f>IF($T423="","",IF(COUNTIF('Resumo Grupos'!$AE$3:$AE$40,$T423)&gt;0,"NAO","SIM"))</f>
        <v/>
      </c>
    </row>
    <row r="424" ht="36.75" customHeight="1" s="60">
      <c r="A424" s="70" t="n">
        <v>1</v>
      </c>
      <c r="B424" s="71" t="n">
        <v>46160</v>
      </c>
      <c r="C424" s="71" t="n">
        <v>46190</v>
      </c>
      <c r="D424" s="70" t="n">
        <v>815</v>
      </c>
      <c r="E424" s="72" t="inlineStr">
        <is>
          <t xml:space="preserve">ROBSON - ROBINHO </t>
        </is>
      </c>
      <c r="F424" s="70" t="n">
        <v>34</v>
      </c>
      <c r="G424" s="72" t="inlineStr">
        <is>
          <t>Transferencia Pix</t>
        </is>
      </c>
      <c r="H424" s="70" t="n">
        <v>2110405</v>
      </c>
      <c r="I424" s="72" t="inlineStr">
        <is>
          <t>CONTAS A PAGAR</t>
        </is>
      </c>
      <c r="J424" s="70" t="n">
        <v>1117358</v>
      </c>
      <c r="L424" s="70" t="n">
        <v>467458</v>
      </c>
      <c r="M424" s="72" t="inlineStr">
        <is>
          <t>01</t>
        </is>
      </c>
      <c r="N424" s="72" t="inlineStr">
        <is>
          <t>AVU</t>
        </is>
      </c>
      <c r="P424" s="70" t="n">
        <v>101</v>
      </c>
      <c r="Q424" s="72" t="inlineStr">
        <is>
          <t>KEILA LIMA</t>
        </is>
      </c>
      <c r="R424" s="72" t="inlineStr">
        <is>
          <t>EMPRESTIMOS BANCARIOS</t>
        </is>
      </c>
      <c r="S424" s="70" t="n">
        <v>2110901</v>
      </c>
      <c r="T424" s="72" t="inlineStr">
        <is>
          <t>EMPRESTIMOS BANCARIOS A PAGAR</t>
        </is>
      </c>
      <c r="U424" s="73" t="n">
        <v>6000</v>
      </c>
      <c r="W424" s="73" t="n">
        <v>0</v>
      </c>
      <c r="X424" s="72" t="inlineStr">
        <is>
          <t>JUROS DO EMPRESTIMO C/ ROBINHO 200MIL MO1 -KEILA</t>
        </is>
      </c>
      <c r="Z424" s="59">
        <f>IF($T424="","",IFERROR(INDEX('Resumo Grupos'!$AC$3:$AC$200,MATCH($T424,'Resumo Grupos'!$AB$3:$AB$200,0)),"n/d"))</f>
        <v/>
      </c>
      <c r="AA424" s="59">
        <f>IF($T424="","",IF(COUNTIF('Resumo Grupos'!$AE$3:$AE$40,$T424)&gt;0,"NAO","SIM"))</f>
        <v/>
      </c>
    </row>
    <row r="425" ht="36.75" customHeight="1" s="60">
      <c r="A425" s="70" t="n">
        <v>1</v>
      </c>
      <c r="B425" s="71" t="n">
        <v>46163</v>
      </c>
      <c r="C425" s="71" t="n">
        <v>46190</v>
      </c>
      <c r="D425" s="70" t="n">
        <v>10012</v>
      </c>
      <c r="E425" s="72" t="inlineStr">
        <is>
          <t>SB COMERCIO LTDA</t>
        </is>
      </c>
      <c r="F425" s="70" t="n">
        <v>24</v>
      </c>
      <c r="G425" s="72" t="inlineStr">
        <is>
          <t>Compra a Prazo - Boletos</t>
        </is>
      </c>
      <c r="H425" s="70" t="n">
        <v>2110101</v>
      </c>
      <c r="I425" s="72" t="inlineStr">
        <is>
          <t>FORNECEDORES DE MERCADORIA</t>
        </is>
      </c>
      <c r="J425" s="70" t="n">
        <v>1131679</v>
      </c>
      <c r="L425" s="70" t="n">
        <v>1952294</v>
      </c>
      <c r="M425" s="72" t="inlineStr">
        <is>
          <t>03</t>
        </is>
      </c>
      <c r="N425" s="72" t="inlineStr">
        <is>
          <t>NFE</t>
        </is>
      </c>
      <c r="P425" s="70" t="n">
        <v>103</v>
      </c>
      <c r="Q425" s="72" t="inlineStr">
        <is>
          <t>MILKA FRANCIS</t>
        </is>
      </c>
      <c r="R425" s="72" t="inlineStr">
        <is>
          <t>ESTOQUE DE MERCADORIAS</t>
        </is>
      </c>
      <c r="S425" s="70" t="n">
        <v>1130101</v>
      </c>
      <c r="T425" s="72" t="inlineStr">
        <is>
          <t>MERCADORIAS P/REVENDA</t>
        </is>
      </c>
      <c r="U425" s="73" t="n">
        <v>2899.4</v>
      </c>
      <c r="W425" s="73" t="n">
        <v>0</v>
      </c>
      <c r="X425" s="72" t="inlineStr">
        <is>
          <t>NF 1952294 -3 MILKA</t>
        </is>
      </c>
      <c r="Z425" s="59">
        <f>IF($T425="","",IFERROR(INDEX('Resumo Grupos'!$AC$3:$AC$200,MATCH($T425,'Resumo Grupos'!$AB$3:$AB$200,0)),"n/d"))</f>
        <v/>
      </c>
      <c r="AA425" s="59">
        <f>IF($T425="","",IF(COUNTIF('Resumo Grupos'!$AE$3:$AE$40,$T425)&gt;0,"NAO","SIM"))</f>
        <v/>
      </c>
    </row>
    <row r="426" ht="36.75" customHeight="1" s="60">
      <c r="A426" s="70" t="n">
        <v>1</v>
      </c>
      <c r="B426" s="71" t="n">
        <v>46164</v>
      </c>
      <c r="C426" s="71" t="n">
        <v>46190</v>
      </c>
      <c r="D426" s="70" t="n">
        <v>1608</v>
      </c>
      <c r="E426" s="72" t="inlineStr">
        <is>
          <t>DISTRIBUIDORA LOPES LTDA</t>
        </is>
      </c>
      <c r="F426" s="70" t="n">
        <v>24</v>
      </c>
      <c r="G426" s="72" t="inlineStr">
        <is>
          <t>Compra a Prazo - Boletos</t>
        </is>
      </c>
      <c r="H426" s="70" t="n">
        <v>2110101</v>
      </c>
      <c r="I426" s="72" t="inlineStr">
        <is>
          <t>FORNECEDORES DE MERCADORIA</t>
        </is>
      </c>
      <c r="J426" s="70" t="n">
        <v>1136135</v>
      </c>
      <c r="L426" s="70" t="n">
        <v>1658392</v>
      </c>
      <c r="M426" s="72" t="inlineStr">
        <is>
          <t>01</t>
        </is>
      </c>
      <c r="N426" s="72" t="inlineStr">
        <is>
          <t>NFE</t>
        </is>
      </c>
      <c r="P426" s="70" t="n">
        <v>103</v>
      </c>
      <c r="Q426" s="72" t="inlineStr">
        <is>
          <t>MILKA FRANCIS</t>
        </is>
      </c>
      <c r="R426" s="72" t="inlineStr">
        <is>
          <t>ESTOQUE DE MERCADORIAS</t>
        </is>
      </c>
      <c r="S426" s="70" t="n">
        <v>1130101</v>
      </c>
      <c r="T426" s="72" t="inlineStr">
        <is>
          <t>MERCADORIAS P/REVENDA</t>
        </is>
      </c>
      <c r="U426" s="73" t="n">
        <v>1593.66</v>
      </c>
      <c r="W426" s="73" t="n">
        <v>0</v>
      </c>
      <c r="X426" s="72" t="inlineStr">
        <is>
          <t>NF 1658392 - MILKA</t>
        </is>
      </c>
      <c r="Z426" s="59">
        <f>IF($T426="","",IFERROR(INDEX('Resumo Grupos'!$AC$3:$AC$200,MATCH($T426,'Resumo Grupos'!$AB$3:$AB$200,0)),"n/d"))</f>
        <v/>
      </c>
      <c r="AA426" s="59">
        <f>IF($T426="","",IF(COUNTIF('Resumo Grupos'!$AE$3:$AE$40,$T426)&gt;0,"NAO","SIM"))</f>
        <v/>
      </c>
    </row>
    <row r="427" ht="54.75" customHeight="1" s="60">
      <c r="A427" s="70" t="n">
        <v>1</v>
      </c>
      <c r="B427" s="71" t="n">
        <v>46170</v>
      </c>
      <c r="C427" s="71" t="n">
        <v>46190</v>
      </c>
      <c r="D427" s="70" t="n">
        <v>1635</v>
      </c>
      <c r="E427" s="72" t="inlineStr">
        <is>
          <t>BONNA VITTA INDUSTRIA E COMERCIO LTDA.</t>
        </is>
      </c>
      <c r="F427" s="70" t="n">
        <v>24</v>
      </c>
      <c r="G427" s="72" t="inlineStr">
        <is>
          <t>Compra a Prazo - Boletos</t>
        </is>
      </c>
      <c r="H427" s="70" t="n">
        <v>2110101</v>
      </c>
      <c r="I427" s="72" t="inlineStr">
        <is>
          <t>FORNECEDORES DE MERCADORIA</t>
        </is>
      </c>
      <c r="J427" s="70" t="n">
        <v>1167923</v>
      </c>
      <c r="L427" s="70" t="n">
        <v>517179</v>
      </c>
      <c r="M427" s="72" t="inlineStr">
        <is>
          <t>01</t>
        </is>
      </c>
      <c r="N427" s="72" t="inlineStr">
        <is>
          <t>NFE</t>
        </is>
      </c>
      <c r="P427" s="70" t="n">
        <v>103</v>
      </c>
      <c r="Q427" s="72" t="inlineStr">
        <is>
          <t>MILKA FRANCIS</t>
        </is>
      </c>
      <c r="R427" s="72" t="inlineStr">
        <is>
          <t>ESTOQUE DE MERCADORIAS</t>
        </is>
      </c>
      <c r="S427" s="70" t="n">
        <v>1130101</v>
      </c>
      <c r="T427" s="72" t="inlineStr">
        <is>
          <t>MERCADORIAS P/REVENDA</t>
        </is>
      </c>
      <c r="U427" s="73" t="n">
        <v>1398</v>
      </c>
      <c r="W427" s="73" t="n">
        <v>0</v>
      </c>
      <c r="X427" s="72" t="inlineStr">
        <is>
          <t>NF 517179 - MILKA</t>
        </is>
      </c>
      <c r="Z427" s="59">
        <f>IF($T427="","",IFERROR(INDEX('Resumo Grupos'!$AC$3:$AC$200,MATCH($T427,'Resumo Grupos'!$AB$3:$AB$200,0)),"n/d"))</f>
        <v/>
      </c>
      <c r="AA427" s="59">
        <f>IF($T427="","",IF(COUNTIF('Resumo Grupos'!$AE$3:$AE$40,$T427)&gt;0,"NAO","SIM"))</f>
        <v/>
      </c>
    </row>
    <row r="428" ht="54.75" customHeight="1" s="60">
      <c r="A428" s="70" t="n">
        <v>1</v>
      </c>
      <c r="B428" s="71" t="n">
        <v>46170</v>
      </c>
      <c r="C428" s="71" t="n">
        <v>46190</v>
      </c>
      <c r="D428" s="70" t="n">
        <v>1078</v>
      </c>
      <c r="E428" s="72" t="inlineStr">
        <is>
          <t>NATUREZA COMERCIO DE DESCARTAVEIS LTDA</t>
        </is>
      </c>
      <c r="F428" s="70" t="n">
        <v>24</v>
      </c>
      <c r="G428" s="72" t="inlineStr">
        <is>
          <t>Compra a Prazo - Boletos</t>
        </is>
      </c>
      <c r="H428" s="70" t="n">
        <v>2110101</v>
      </c>
      <c r="I428" s="72" t="inlineStr">
        <is>
          <t>FORNECEDORES DE MERCADORIA</t>
        </is>
      </c>
      <c r="J428" s="70" t="n">
        <v>1168251</v>
      </c>
      <c r="L428" s="70" t="n">
        <v>27274</v>
      </c>
      <c r="M428" s="72" t="inlineStr">
        <is>
          <t>03</t>
        </is>
      </c>
      <c r="N428" s="72" t="inlineStr">
        <is>
          <t>NFE</t>
        </is>
      </c>
      <c r="P428" s="70" t="n">
        <v>103</v>
      </c>
      <c r="Q428" s="72" t="inlineStr">
        <is>
          <t>MILKA FRANCIS</t>
        </is>
      </c>
      <c r="R428" s="72" t="inlineStr">
        <is>
          <t>ESTOQUE DE MERCADORIAS</t>
        </is>
      </c>
      <c r="S428" s="70" t="n">
        <v>1130101</v>
      </c>
      <c r="T428" s="72" t="inlineStr">
        <is>
          <t>MERCADORIAS P/REVENDA</t>
        </is>
      </c>
      <c r="U428" s="73" t="n">
        <v>105.48</v>
      </c>
      <c r="W428" s="73" t="n">
        <v>0</v>
      </c>
      <c r="X428" s="72" t="inlineStr">
        <is>
          <t>NF 27274-003/003 MILKA</t>
        </is>
      </c>
      <c r="Z428" s="59">
        <f>IF($T428="","",IFERROR(INDEX('Resumo Grupos'!$AC$3:$AC$200,MATCH($T428,'Resumo Grupos'!$AB$3:$AB$200,0)),"n/d"))</f>
        <v/>
      </c>
      <c r="AA428" s="59">
        <f>IF($T428="","",IF(COUNTIF('Resumo Grupos'!$AE$3:$AE$40,$T428)&gt;0,"NAO","SIM"))</f>
        <v/>
      </c>
    </row>
    <row r="429" ht="54.75" customHeight="1" s="60">
      <c r="A429" s="70" t="n">
        <v>1</v>
      </c>
      <c r="B429" s="71" t="n">
        <v>46172</v>
      </c>
      <c r="C429" s="71" t="n">
        <v>46190</v>
      </c>
      <c r="D429" s="70" t="n">
        <v>1699</v>
      </c>
      <c r="E429" s="72" t="inlineStr">
        <is>
          <t>L S M COMERCIO DE ALIMENTOS E NAVEGACAO</t>
        </is>
      </c>
      <c r="F429" s="70" t="n">
        <v>24</v>
      </c>
      <c r="G429" s="72" t="inlineStr">
        <is>
          <t>Compra a Prazo - Boletos</t>
        </is>
      </c>
      <c r="H429" s="70" t="n">
        <v>2110101</v>
      </c>
      <c r="I429" s="72" t="inlineStr">
        <is>
          <t>FORNECEDORES DE MERCADORIA</t>
        </is>
      </c>
      <c r="J429" s="70" t="n">
        <v>1176382</v>
      </c>
      <c r="L429" s="70" t="n">
        <v>302701</v>
      </c>
      <c r="M429" s="72" t="inlineStr">
        <is>
          <t>02</t>
        </is>
      </c>
      <c r="N429" s="72" t="inlineStr">
        <is>
          <t>NFE</t>
        </is>
      </c>
      <c r="P429" s="70" t="n">
        <v>103</v>
      </c>
      <c r="Q429" s="72" t="inlineStr">
        <is>
          <t>MILKA FRANCIS</t>
        </is>
      </c>
      <c r="R429" s="72" t="inlineStr">
        <is>
          <t>ESTOQUE DE MERCADORIAS</t>
        </is>
      </c>
      <c r="S429" s="70" t="n">
        <v>1130101</v>
      </c>
      <c r="T429" s="72" t="inlineStr">
        <is>
          <t>MERCADORIAS P/REVENDA</t>
        </is>
      </c>
      <c r="U429" s="73" t="n">
        <v>890</v>
      </c>
      <c r="W429" s="73" t="n">
        <v>0</v>
      </c>
      <c r="X429" s="72" t="inlineStr">
        <is>
          <t>NF 302701 - 2 MILKA</t>
        </is>
      </c>
      <c r="Z429" s="59">
        <f>IF($T429="","",IFERROR(INDEX('Resumo Grupos'!$AC$3:$AC$200,MATCH($T429,'Resumo Grupos'!$AB$3:$AB$200,0)),"n/d"))</f>
        <v/>
      </c>
      <c r="AA429" s="59">
        <f>IF($T429="","",IF(COUNTIF('Resumo Grupos'!$AE$3:$AE$40,$T429)&gt;0,"NAO","SIM"))</f>
        <v/>
      </c>
    </row>
    <row r="430" ht="36.75" customHeight="1" s="60">
      <c r="A430" s="70" t="n">
        <v>1</v>
      </c>
      <c r="B430" s="71" t="n">
        <v>46172</v>
      </c>
      <c r="C430" s="71" t="n">
        <v>46190</v>
      </c>
      <c r="D430" s="70" t="n">
        <v>1613</v>
      </c>
      <c r="E430" s="72" t="inlineStr">
        <is>
          <t>BRF S A</t>
        </is>
      </c>
      <c r="F430" s="70" t="n">
        <v>24</v>
      </c>
      <c r="G430" s="72" t="inlineStr">
        <is>
          <t>Compra a Prazo - Boletos</t>
        </is>
      </c>
      <c r="H430" s="70" t="n">
        <v>2110101</v>
      </c>
      <c r="I430" s="72" t="inlineStr">
        <is>
          <t>FORNECEDORES DE MERCADORIA</t>
        </is>
      </c>
      <c r="J430" s="70" t="n">
        <v>1176490</v>
      </c>
      <c r="L430" s="70" t="n">
        <v>1591358</v>
      </c>
      <c r="M430" s="72" t="inlineStr">
        <is>
          <t>02</t>
        </is>
      </c>
      <c r="N430" s="72" t="inlineStr">
        <is>
          <t>NFE</t>
        </is>
      </c>
      <c r="P430" s="70" t="n">
        <v>103</v>
      </c>
      <c r="Q430" s="72" t="inlineStr">
        <is>
          <t>MILKA FRANCIS</t>
        </is>
      </c>
      <c r="R430" s="72" t="inlineStr">
        <is>
          <t>ESTOQUE DE MERCADORIAS</t>
        </is>
      </c>
      <c r="S430" s="70" t="n">
        <v>1130101</v>
      </c>
      <c r="T430" s="72" t="inlineStr">
        <is>
          <t>MERCADORIAS P/REVENDA</t>
        </is>
      </c>
      <c r="U430" s="73" t="n">
        <v>3011.77</v>
      </c>
      <c r="W430" s="73" t="n">
        <v>0</v>
      </c>
      <c r="X430" s="72" t="inlineStr">
        <is>
          <t>NF1591358-02/02 MILKA</t>
        </is>
      </c>
      <c r="Z430" s="59">
        <f>IF($T430="","",IFERROR(INDEX('Resumo Grupos'!$AC$3:$AC$200,MATCH($T430,'Resumo Grupos'!$AB$3:$AB$200,0)),"n/d"))</f>
        <v/>
      </c>
      <c r="AA430" s="59">
        <f>IF($T430="","",IF(COUNTIF('Resumo Grupos'!$AE$3:$AE$40,$T430)&gt;0,"NAO","SIM"))</f>
        <v/>
      </c>
    </row>
    <row r="431" ht="36.75" customHeight="1" s="60">
      <c r="A431" s="70" t="n">
        <v>1</v>
      </c>
      <c r="B431" s="71" t="n">
        <v>46174</v>
      </c>
      <c r="C431" s="71" t="n">
        <v>46190</v>
      </c>
      <c r="D431" s="70" t="n">
        <v>10037</v>
      </c>
      <c r="E431" s="72" t="inlineStr">
        <is>
          <t>FORTVET DISTRIBUIDORA LTDA</t>
        </is>
      </c>
      <c r="F431" s="70" t="n">
        <v>24</v>
      </c>
      <c r="G431" s="72" t="inlineStr">
        <is>
          <t>Compra a Prazo - Boletos</t>
        </is>
      </c>
      <c r="H431" s="70" t="n">
        <v>2110101</v>
      </c>
      <c r="I431" s="72" t="inlineStr">
        <is>
          <t>FORNECEDORES DE MERCADORIA</t>
        </is>
      </c>
      <c r="J431" s="70" t="n">
        <v>1187048</v>
      </c>
      <c r="L431" s="70" t="n">
        <v>2069</v>
      </c>
      <c r="M431" s="72" t="inlineStr">
        <is>
          <t>01</t>
        </is>
      </c>
      <c r="N431" s="72" t="inlineStr">
        <is>
          <t>NFE</t>
        </is>
      </c>
      <c r="P431" s="70" t="n">
        <v>103</v>
      </c>
      <c r="Q431" s="72" t="inlineStr">
        <is>
          <t>MILKA FRANCIS</t>
        </is>
      </c>
      <c r="R431" s="72" t="inlineStr">
        <is>
          <t>ESTOQUE DE MERCADORIAS</t>
        </is>
      </c>
      <c r="S431" s="70" t="n">
        <v>1130101</v>
      </c>
      <c r="T431" s="72" t="inlineStr">
        <is>
          <t>MERCADORIAS P/REVENDA</t>
        </is>
      </c>
      <c r="U431" s="73" t="n">
        <v>1751.27</v>
      </c>
      <c r="W431" s="73" t="n">
        <v>0</v>
      </c>
      <c r="X431" s="72" t="inlineStr">
        <is>
          <t>NF 2069 - MILKA</t>
        </is>
      </c>
      <c r="Z431" s="59">
        <f>IF($T431="","",IFERROR(INDEX('Resumo Grupos'!$AC$3:$AC$200,MATCH($T431,'Resumo Grupos'!$AB$3:$AB$200,0)),"n/d"))</f>
        <v/>
      </c>
      <c r="AA431" s="59">
        <f>IF($T431="","",IF(COUNTIF('Resumo Grupos'!$AE$3:$AE$40,$T431)&gt;0,"NAO","SIM"))</f>
        <v/>
      </c>
    </row>
    <row r="432" ht="36.75" customHeight="1" s="60">
      <c r="A432" s="70" t="n">
        <v>1</v>
      </c>
      <c r="B432" s="71" t="n">
        <v>46182</v>
      </c>
      <c r="C432" s="71" t="n">
        <v>46190</v>
      </c>
      <c r="D432" s="70" t="n">
        <v>1670</v>
      </c>
      <c r="E432" s="72" t="inlineStr">
        <is>
          <t>AMAZONIA INDUSTRIA E COMERCIO DE POLPAS</t>
        </is>
      </c>
      <c r="F432" s="70" t="n">
        <v>24</v>
      </c>
      <c r="G432" s="72" t="inlineStr">
        <is>
          <t>Compra a Prazo - Boletos</t>
        </is>
      </c>
      <c r="H432" s="70" t="n">
        <v>2110101</v>
      </c>
      <c r="I432" s="72" t="inlineStr">
        <is>
          <t>FORNECEDORES DE MERCADORIA</t>
        </is>
      </c>
      <c r="J432" s="70" t="n">
        <v>1226943</v>
      </c>
      <c r="L432" s="70" t="n">
        <v>269857</v>
      </c>
      <c r="M432" s="72" t="inlineStr">
        <is>
          <t>01</t>
        </is>
      </c>
      <c r="N432" s="72" t="inlineStr">
        <is>
          <t>NFE</t>
        </is>
      </c>
      <c r="P432" s="70" t="n">
        <v>103</v>
      </c>
      <c r="Q432" s="72" t="inlineStr">
        <is>
          <t>MILKA FRANCIS</t>
        </is>
      </c>
      <c r="R432" s="72" t="inlineStr">
        <is>
          <t>ESTOQUE DE MERCADORIAS</t>
        </is>
      </c>
      <c r="S432" s="70" t="n">
        <v>1130101</v>
      </c>
      <c r="T432" s="72" t="inlineStr">
        <is>
          <t>MERCADORIAS P/REVENDA</t>
        </is>
      </c>
      <c r="U432" s="73" t="n">
        <v>528</v>
      </c>
      <c r="W432" s="73" t="n">
        <v>0</v>
      </c>
      <c r="X432" s="72" t="inlineStr">
        <is>
          <t>NF 269857 - MILKA</t>
        </is>
      </c>
      <c r="Z432" s="59">
        <f>IF($T432="","",IFERROR(INDEX('Resumo Grupos'!$AC$3:$AC$200,MATCH($T432,'Resumo Grupos'!$AB$3:$AB$200,0)),"n/d"))</f>
        <v/>
      </c>
      <c r="AA432" s="59">
        <f>IF($T432="","",IF(COUNTIF('Resumo Grupos'!$AE$3:$AE$40,$T432)&gt;0,"NAO","SIM"))</f>
        <v/>
      </c>
    </row>
    <row r="433" ht="54.75" customHeight="1" s="60">
      <c r="A433" s="70" t="n">
        <v>1</v>
      </c>
      <c r="B433" s="71" t="n">
        <v>46186</v>
      </c>
      <c r="C433" s="71" t="n">
        <v>46190</v>
      </c>
      <c r="D433" s="70" t="n">
        <v>754</v>
      </c>
      <c r="E433" s="72" t="inlineStr">
        <is>
          <t>SILVA E SANTOS FRIGORIFICO LTDA</t>
        </is>
      </c>
      <c r="F433" s="70" t="n">
        <v>24</v>
      </c>
      <c r="G433" s="72" t="inlineStr">
        <is>
          <t>Compra a Prazo - Boletos</t>
        </is>
      </c>
      <c r="H433" s="70" t="n">
        <v>2110101</v>
      </c>
      <c r="I433" s="72" t="inlineStr">
        <is>
          <t>FORNECEDORES DE MERCADORIA</t>
        </is>
      </c>
      <c r="J433" s="70" t="n">
        <v>1245200</v>
      </c>
      <c r="L433" s="70" t="n">
        <v>31021</v>
      </c>
      <c r="M433" s="72" t="inlineStr">
        <is>
          <t>01</t>
        </is>
      </c>
      <c r="N433" s="72" t="inlineStr">
        <is>
          <t>NFE</t>
        </is>
      </c>
      <c r="P433" s="70" t="n">
        <v>103</v>
      </c>
      <c r="Q433" s="72" t="inlineStr">
        <is>
          <t>MILKA FRANCIS</t>
        </is>
      </c>
      <c r="R433" s="72" t="inlineStr">
        <is>
          <t>ESTOQUE DE MERCADORIAS</t>
        </is>
      </c>
      <c r="S433" s="70" t="n">
        <v>1130101</v>
      </c>
      <c r="T433" s="72" t="inlineStr">
        <is>
          <t>MERCADORIAS P/REVENDA</t>
        </is>
      </c>
      <c r="U433" s="73" t="n">
        <v>3715</v>
      </c>
      <c r="W433" s="73" t="n">
        <v>0</v>
      </c>
      <c r="X433" s="72" t="inlineStr">
        <is>
          <t>NF31021 - MILKA</t>
        </is>
      </c>
      <c r="Z433" s="59">
        <f>IF($T433="","",IFERROR(INDEX('Resumo Grupos'!$AC$3:$AC$200,MATCH($T433,'Resumo Grupos'!$AB$3:$AB$200,0)),"n/d"))</f>
        <v/>
      </c>
      <c r="AA433" s="59">
        <f>IF($T433="","",IF(COUNTIF('Resumo Grupos'!$AE$3:$AE$40,$T433)&gt;0,"NAO","SIM"))</f>
        <v/>
      </c>
    </row>
    <row r="434" ht="45.75" customHeight="1" s="60">
      <c r="A434" s="70" t="n">
        <v>1</v>
      </c>
      <c r="B434" s="71" t="n">
        <v>46188</v>
      </c>
      <c r="C434" s="71" t="n">
        <v>46190</v>
      </c>
      <c r="D434" s="70" t="n">
        <v>10018</v>
      </c>
      <c r="E434" s="72" t="inlineStr">
        <is>
          <t>ADRIANO FEITOSA OLIVEIRA LTDA</t>
        </is>
      </c>
      <c r="F434" s="70" t="n">
        <v>34</v>
      </c>
      <c r="G434" s="72" t="inlineStr">
        <is>
          <t>Transferencia Pix</t>
        </is>
      </c>
      <c r="H434" s="70" t="n">
        <v>2110101</v>
      </c>
      <c r="I434" s="72" t="inlineStr">
        <is>
          <t>FORNECEDORES DE MERCADORIA</t>
        </is>
      </c>
      <c r="J434" s="70" t="n">
        <v>1254822</v>
      </c>
      <c r="L434" s="70" t="n">
        <v>298</v>
      </c>
      <c r="M434" s="72" t="inlineStr">
        <is>
          <t>01</t>
        </is>
      </c>
      <c r="N434" s="72" t="inlineStr">
        <is>
          <t>NFE</t>
        </is>
      </c>
      <c r="P434" s="70" t="n">
        <v>103</v>
      </c>
      <c r="Q434" s="72" t="inlineStr">
        <is>
          <t>MILKA FRANCIS</t>
        </is>
      </c>
      <c r="R434" s="72" t="inlineStr">
        <is>
          <t>ESTOQUE DE MERCADORIAS</t>
        </is>
      </c>
      <c r="S434" s="70" t="n">
        <v>1130101</v>
      </c>
      <c r="T434" s="72" t="inlineStr">
        <is>
          <t>MERCADORIAS P/REVENDA</t>
        </is>
      </c>
      <c r="U434" s="73" t="n">
        <v>2660</v>
      </c>
      <c r="W434" s="73" t="n">
        <v>0</v>
      </c>
      <c r="X434" s="72" t="inlineStr">
        <is>
          <t>NF 298 - MILKA</t>
        </is>
      </c>
      <c r="Z434" s="59">
        <f>IF($T434="","",IFERROR(INDEX('Resumo Grupos'!$AC$3:$AC$200,MATCH($T434,'Resumo Grupos'!$AB$3:$AB$200,0)),"n/d"))</f>
        <v/>
      </c>
      <c r="AA434" s="59">
        <f>IF($T434="","",IF(COUNTIF('Resumo Grupos'!$AE$3:$AE$40,$T434)&gt;0,"NAO","SIM"))</f>
        <v/>
      </c>
    </row>
    <row r="435" ht="36.75" customHeight="1" s="60">
      <c r="A435" s="70" t="n">
        <v>1</v>
      </c>
      <c r="B435" s="71" t="n">
        <v>46188</v>
      </c>
      <c r="C435" s="71" t="n">
        <v>46190</v>
      </c>
      <c r="D435" s="70" t="n">
        <v>1614</v>
      </c>
      <c r="E435" s="72" t="inlineStr">
        <is>
          <t>C. R. PARENTE ABREU</t>
        </is>
      </c>
      <c r="F435" s="70" t="n">
        <v>24</v>
      </c>
      <c r="G435" s="72" t="inlineStr">
        <is>
          <t>Compra a Prazo - Boletos</t>
        </is>
      </c>
      <c r="H435" s="70" t="n">
        <v>2110101</v>
      </c>
      <c r="I435" s="72" t="inlineStr">
        <is>
          <t>FORNECEDORES DE MERCADORIA</t>
        </is>
      </c>
      <c r="J435" s="70" t="n">
        <v>1255457</v>
      </c>
      <c r="L435" s="70" t="n">
        <v>11267</v>
      </c>
      <c r="M435" s="72" t="inlineStr">
        <is>
          <t>01</t>
        </is>
      </c>
      <c r="N435" s="72" t="inlineStr">
        <is>
          <t>NFE</t>
        </is>
      </c>
      <c r="P435" s="70" t="n">
        <v>103</v>
      </c>
      <c r="Q435" s="72" t="inlineStr">
        <is>
          <t>MILKA FRANCIS</t>
        </is>
      </c>
      <c r="R435" s="72" t="inlineStr">
        <is>
          <t>ESTOQUE DE MERCADORIAS</t>
        </is>
      </c>
      <c r="S435" s="70" t="n">
        <v>1130101</v>
      </c>
      <c r="T435" s="72" t="inlineStr">
        <is>
          <t>MERCADORIAS P/REVENDA</t>
        </is>
      </c>
      <c r="U435" s="73" t="n">
        <v>396.96</v>
      </c>
      <c r="W435" s="73" t="n">
        <v>0</v>
      </c>
      <c r="X435" s="72" t="inlineStr">
        <is>
          <t>NF11267 -1 MILKA</t>
        </is>
      </c>
      <c r="Z435" s="59">
        <f>IF($T435="","",IFERROR(INDEX('Resumo Grupos'!$AC$3:$AC$200,MATCH($T435,'Resumo Grupos'!$AB$3:$AB$200,0)),"n/d"))</f>
        <v/>
      </c>
      <c r="AA435" s="59">
        <f>IF($T435="","",IF(COUNTIF('Resumo Grupos'!$AE$3:$AE$40,$T435)&gt;0,"NAO","SIM"))</f>
        <v/>
      </c>
    </row>
    <row r="436" ht="45.75" customHeight="1" s="60">
      <c r="A436" s="70" t="n">
        <v>1</v>
      </c>
      <c r="B436" s="71" t="n">
        <v>46189</v>
      </c>
      <c r="C436" s="71" t="n">
        <v>46190</v>
      </c>
      <c r="D436" s="70" t="n">
        <v>33</v>
      </c>
      <c r="E436" s="72" t="inlineStr">
        <is>
          <t>RENATO DE O AZEVEDO E CIA LTDA - EPP</t>
        </is>
      </c>
      <c r="F436" s="70" t="n">
        <v>34</v>
      </c>
      <c r="G436" s="72" t="inlineStr">
        <is>
          <t>Transferencia Pix</t>
        </is>
      </c>
      <c r="H436" s="70" t="n">
        <v>2110101</v>
      </c>
      <c r="I436" s="72" t="inlineStr">
        <is>
          <t>FORNECEDORES DE MERCADORIA</t>
        </is>
      </c>
      <c r="J436" s="70" t="n">
        <v>1261388</v>
      </c>
      <c r="L436" s="70" t="n">
        <v>5133</v>
      </c>
      <c r="M436" s="72" t="inlineStr">
        <is>
          <t>01</t>
        </is>
      </c>
      <c r="N436" s="72" t="inlineStr">
        <is>
          <t>NFE</t>
        </is>
      </c>
      <c r="P436" s="70" t="n">
        <v>104</v>
      </c>
      <c r="Q436" s="72" t="inlineStr">
        <is>
          <t>DEBORA COSTA</t>
        </is>
      </c>
      <c r="R436" s="72" t="inlineStr">
        <is>
          <t>ESTOQUE DE MERCADORIAS</t>
        </is>
      </c>
      <c r="S436" s="70" t="n">
        <v>1130101</v>
      </c>
      <c r="T436" s="72" t="inlineStr">
        <is>
          <t>MERCADORIAS P/REVENDA</t>
        </is>
      </c>
      <c r="U436" s="73" t="n">
        <v>1446</v>
      </c>
      <c r="W436" s="73" t="n">
        <v>0</v>
      </c>
      <c r="X436" s="72" t="inlineStr">
        <is>
          <t>FEIRA CARLOS - DEBORA</t>
        </is>
      </c>
      <c r="Z436" s="59">
        <f>IF($T436="","",IFERROR(INDEX('Resumo Grupos'!$AC$3:$AC$200,MATCH($T436,'Resumo Grupos'!$AB$3:$AB$200,0)),"n/d"))</f>
        <v/>
      </c>
      <c r="AA436" s="59">
        <f>IF($T436="","",IF(COUNTIF('Resumo Grupos'!$AE$3:$AE$40,$T436)&gt;0,"NAO","SIM"))</f>
        <v/>
      </c>
    </row>
    <row r="437" ht="54.75" customHeight="1" s="60">
      <c r="A437" s="70" t="n">
        <v>1</v>
      </c>
      <c r="B437" s="71" t="n">
        <v>46189</v>
      </c>
      <c r="C437" s="71" t="n">
        <v>46190</v>
      </c>
      <c r="D437" s="70" t="n">
        <v>1615</v>
      </c>
      <c r="E437" s="72" t="inlineStr">
        <is>
          <t>COMERCIO E TRANSPORTE BRANDAO LTDA</t>
        </is>
      </c>
      <c r="F437" s="70" t="n">
        <v>34</v>
      </c>
      <c r="G437" s="72" t="inlineStr">
        <is>
          <t>Transferencia Pix</t>
        </is>
      </c>
      <c r="H437" s="70" t="n">
        <v>2110101</v>
      </c>
      <c r="I437" s="72" t="inlineStr">
        <is>
          <t>FORNECEDORES DE MERCADORIA</t>
        </is>
      </c>
      <c r="J437" s="70" t="n">
        <v>1261482</v>
      </c>
      <c r="L437" s="70" t="n">
        <v>14692</v>
      </c>
      <c r="M437" s="72" t="inlineStr">
        <is>
          <t>01</t>
        </is>
      </c>
      <c r="N437" s="72" t="inlineStr">
        <is>
          <t>NFE</t>
        </is>
      </c>
      <c r="P437" s="70" t="n">
        <v>104</v>
      </c>
      <c r="Q437" s="72" t="inlineStr">
        <is>
          <t>DEBORA COSTA</t>
        </is>
      </c>
      <c r="R437" s="72" t="inlineStr">
        <is>
          <t>ESTOQUE DE MERCADORIAS</t>
        </is>
      </c>
      <c r="S437" s="70" t="n">
        <v>1130101</v>
      </c>
      <c r="T437" s="72" t="inlineStr">
        <is>
          <t>MERCADORIAS P/REVENDA</t>
        </is>
      </c>
      <c r="U437" s="73" t="n">
        <v>880</v>
      </c>
      <c r="W437" s="73" t="n">
        <v>0</v>
      </c>
      <c r="X437" s="72" t="inlineStr">
        <is>
          <t>NF 14692 - DEBORA</t>
        </is>
      </c>
      <c r="Z437" s="59">
        <f>IF($T437="","",IFERROR(INDEX('Resumo Grupos'!$AC$3:$AC$200,MATCH($T437,'Resumo Grupos'!$AB$3:$AB$200,0)),"n/d"))</f>
        <v/>
      </c>
      <c r="AA437" s="59">
        <f>IF($T437="","",IF(COUNTIF('Resumo Grupos'!$AE$3:$AE$40,$T437)&gt;0,"NAO","SIM"))</f>
        <v/>
      </c>
    </row>
    <row r="438" ht="63.75" customHeight="1" s="60">
      <c r="A438" s="70" t="n">
        <v>1</v>
      </c>
      <c r="B438" s="71" t="n">
        <v>46189</v>
      </c>
      <c r="C438" s="71" t="n">
        <v>46190</v>
      </c>
      <c r="D438" s="70" t="n">
        <v>33</v>
      </c>
      <c r="E438" s="72" t="inlineStr">
        <is>
          <t>RENATO DE O AZEVEDO E CIA LTDA - EPP</t>
        </is>
      </c>
      <c r="F438" s="70" t="n">
        <v>34</v>
      </c>
      <c r="G438" s="72" t="inlineStr">
        <is>
          <t>Transferencia Pix</t>
        </is>
      </c>
      <c r="H438" s="70" t="n">
        <v>2110101</v>
      </c>
      <c r="I438" s="72" t="inlineStr">
        <is>
          <t>FORNECEDORES DE MERCADORIA</t>
        </is>
      </c>
      <c r="J438" s="70" t="n">
        <v>1262590</v>
      </c>
      <c r="L438" s="70" t="n">
        <v>5143</v>
      </c>
      <c r="M438" s="72" t="inlineStr">
        <is>
          <t>01</t>
        </is>
      </c>
      <c r="N438" s="72" t="inlineStr">
        <is>
          <t>NFE</t>
        </is>
      </c>
      <c r="P438" s="70" t="n">
        <v>104</v>
      </c>
      <c r="Q438" s="72" t="inlineStr">
        <is>
          <t>DEBORA COSTA</t>
        </is>
      </c>
      <c r="R438" s="72" t="inlineStr">
        <is>
          <t>ESTOQUE DE MERCADORIAS</t>
        </is>
      </c>
      <c r="S438" s="70" t="n">
        <v>1130101</v>
      </c>
      <c r="T438" s="72" t="inlineStr">
        <is>
          <t>MERCADORIAS P/REVENDA</t>
        </is>
      </c>
      <c r="U438" s="73" t="n">
        <v>1800</v>
      </c>
      <c r="W438" s="73" t="n">
        <v>0</v>
      </c>
      <c r="X438" s="72" t="inlineStr">
        <is>
          <t>FARINHA 3 IRMAOS - JOSE: PIX 92995316619 - DEBORA</t>
        </is>
      </c>
      <c r="Z438" s="59">
        <f>IF($T438="","",IFERROR(INDEX('Resumo Grupos'!$AC$3:$AC$200,MATCH($T438,'Resumo Grupos'!$AB$3:$AB$200,0)),"n/d"))</f>
        <v/>
      </c>
      <c r="AA438" s="59">
        <f>IF($T438="","",IF(COUNTIF('Resumo Grupos'!$AE$3:$AE$40,$T438)&gt;0,"NAO","SIM"))</f>
        <v/>
      </c>
    </row>
    <row r="439" ht="36.75" customHeight="1" s="60">
      <c r="A439" s="70" t="n">
        <v>1</v>
      </c>
      <c r="B439" s="71" t="n">
        <v>46190</v>
      </c>
      <c r="C439" s="71" t="n">
        <v>46190</v>
      </c>
      <c r="D439" s="70" t="n">
        <v>33</v>
      </c>
      <c r="E439" s="72" t="inlineStr">
        <is>
          <t>RENATO DE O AZEVEDO E CIA LTDA - EPP</t>
        </is>
      </c>
      <c r="F439" s="70" t="n">
        <v>13</v>
      </c>
      <c r="G439" s="72" t="inlineStr">
        <is>
          <t>Compra a Vista</t>
        </is>
      </c>
      <c r="H439" s="70" t="n">
        <v>2110101</v>
      </c>
      <c r="I439" s="72" t="inlineStr">
        <is>
          <t>FORNECEDORES DE MERCADORIA</t>
        </is>
      </c>
      <c r="J439" s="70" t="n">
        <v>1265003</v>
      </c>
      <c r="L439" s="70" t="n">
        <v>5144</v>
      </c>
      <c r="M439" s="72" t="inlineStr">
        <is>
          <t>01</t>
        </is>
      </c>
      <c r="N439" s="72" t="inlineStr">
        <is>
          <t>NFE</t>
        </is>
      </c>
      <c r="P439" s="70" t="n">
        <v>104</v>
      </c>
      <c r="Q439" s="72" t="inlineStr">
        <is>
          <t>DEBORA COSTA</t>
        </is>
      </c>
      <c r="R439" s="72" t="inlineStr">
        <is>
          <t>ESTOQUE DE MERCADORIAS</t>
        </is>
      </c>
      <c r="S439" s="70" t="n">
        <v>1130101</v>
      </c>
      <c r="T439" s="72" t="inlineStr">
        <is>
          <t>MERCADORIAS P/REVENDA</t>
        </is>
      </c>
      <c r="U439" s="73" t="n">
        <v>221</v>
      </c>
      <c r="W439" s="73" t="n">
        <v>221</v>
      </c>
      <c r="X439" s="72" t="inlineStr">
        <is>
          <t>ACAI DE ANORI - DEBORA</t>
        </is>
      </c>
      <c r="Z439" s="59">
        <f>IF($T439="","",IFERROR(INDEX('Resumo Grupos'!$AC$3:$AC$200,MATCH($T439,'Resumo Grupos'!$AB$3:$AB$200,0)),"n/d"))</f>
        <v/>
      </c>
      <c r="AA439" s="59">
        <f>IF($T439="","",IF(COUNTIF('Resumo Grupos'!$AE$3:$AE$40,$T439)&gt;0,"NAO","SIM"))</f>
        <v/>
      </c>
    </row>
    <row r="440" ht="36.75" customHeight="1" s="60">
      <c r="A440" s="70" t="n">
        <v>1</v>
      </c>
      <c r="B440" s="71" t="n">
        <v>46190</v>
      </c>
      <c r="C440" s="71" t="n">
        <v>46190</v>
      </c>
      <c r="D440" s="70" t="n">
        <v>33</v>
      </c>
      <c r="E440" s="72" t="inlineStr">
        <is>
          <t>RENATO DE O AZEVEDO E CIA LTDA - EPP</t>
        </is>
      </c>
      <c r="F440" s="70" t="n">
        <v>13</v>
      </c>
      <c r="G440" s="72" t="inlineStr">
        <is>
          <t>Compra a Vista</t>
        </is>
      </c>
      <c r="H440" s="70" t="n">
        <v>2110101</v>
      </c>
      <c r="I440" s="72" t="inlineStr">
        <is>
          <t>FORNECEDORES DE MERCADORIA</t>
        </is>
      </c>
      <c r="J440" s="70" t="n">
        <v>1265184</v>
      </c>
      <c r="L440" s="70" t="n">
        <v>5145</v>
      </c>
      <c r="M440" s="72" t="inlineStr">
        <is>
          <t>01</t>
        </is>
      </c>
      <c r="N440" s="72" t="inlineStr">
        <is>
          <t>NFE</t>
        </is>
      </c>
      <c r="P440" s="70" t="n">
        <v>104</v>
      </c>
      <c r="Q440" s="72" t="inlineStr">
        <is>
          <t>DEBORA COSTA</t>
        </is>
      </c>
      <c r="R440" s="72" t="inlineStr">
        <is>
          <t>ESTOQUE DE MERCADORIAS</t>
        </is>
      </c>
      <c r="S440" s="70" t="n">
        <v>1130101</v>
      </c>
      <c r="T440" s="72" t="inlineStr">
        <is>
          <t>MERCADORIAS P/REVENDA</t>
        </is>
      </c>
      <c r="U440" s="73" t="n">
        <v>325</v>
      </c>
      <c r="W440" s="73" t="n">
        <v>325</v>
      </c>
      <c r="X440" s="72" t="inlineStr">
        <is>
          <t>ACAI DE ANORI - DEBORA</t>
        </is>
      </c>
      <c r="Z440" s="59">
        <f>IF($T440="","",IFERROR(INDEX('Resumo Grupos'!$AC$3:$AC$200,MATCH($T440,'Resumo Grupos'!$AB$3:$AB$200,0)),"n/d"))</f>
        <v/>
      </c>
      <c r="AA440" s="59">
        <f>IF($T440="","",IF(COUNTIF('Resumo Grupos'!$AE$3:$AE$40,$T440)&gt;0,"NAO","SIM"))</f>
        <v/>
      </c>
    </row>
    <row r="441" ht="45.75" customHeight="1" s="60">
      <c r="A441" s="70" t="n">
        <v>1</v>
      </c>
      <c r="B441" s="71" t="n">
        <v>46190</v>
      </c>
      <c r="C441" s="71" t="n">
        <v>46190</v>
      </c>
      <c r="D441" s="70" t="n">
        <v>10009</v>
      </c>
      <c r="E441" s="72" t="inlineStr">
        <is>
          <t>NESTLÉ BRASIL LTDA.</t>
        </is>
      </c>
      <c r="F441" s="70" t="n">
        <v>24</v>
      </c>
      <c r="G441" s="72" t="inlineStr">
        <is>
          <t>Compra a Prazo - Boletos</t>
        </is>
      </c>
      <c r="H441" s="70" t="n">
        <v>2110101</v>
      </c>
      <c r="I441" s="72" t="inlineStr">
        <is>
          <t>FORNECEDORES DE MERCADORIA</t>
        </is>
      </c>
      <c r="J441" s="70" t="n">
        <v>1265196</v>
      </c>
      <c r="L441" s="70" t="n">
        <v>1414636</v>
      </c>
      <c r="M441" s="72" t="inlineStr">
        <is>
          <t>01</t>
        </is>
      </c>
      <c r="N441" s="72" t="inlineStr">
        <is>
          <t>NFE</t>
        </is>
      </c>
      <c r="P441" s="70" t="n">
        <v>103</v>
      </c>
      <c r="Q441" s="72" t="inlineStr">
        <is>
          <t>MILKA FRANCIS</t>
        </is>
      </c>
      <c r="R441" s="72" t="inlineStr">
        <is>
          <t>ESTOQUE DE MERCADORIAS</t>
        </is>
      </c>
      <c r="S441" s="70" t="n">
        <v>1130101</v>
      </c>
      <c r="T441" s="72" t="inlineStr">
        <is>
          <t>MERCADORIAS P/REVENDA</t>
        </is>
      </c>
      <c r="U441" s="73" t="n">
        <v>1397.26</v>
      </c>
      <c r="W441" s="73" t="n">
        <v>0</v>
      </c>
      <c r="X441" s="72" t="inlineStr">
        <is>
          <t>NF 1414636 -01 MILKA</t>
        </is>
      </c>
      <c r="Z441" s="59">
        <f>IF($T441="","",IFERROR(INDEX('Resumo Grupos'!$AC$3:$AC$200,MATCH($T441,'Resumo Grupos'!$AB$3:$AB$200,0)),"n/d"))</f>
        <v/>
      </c>
      <c r="AA441" s="59">
        <f>IF($T441="","",IF(COUNTIF('Resumo Grupos'!$AE$3:$AE$40,$T441)&gt;0,"NAO","SIM"))</f>
        <v/>
      </c>
    </row>
    <row r="442" ht="36.75" customHeight="1" s="60">
      <c r="A442" s="70" t="n">
        <v>1</v>
      </c>
      <c r="B442" s="71" t="n">
        <v>46190</v>
      </c>
      <c r="C442" s="71" t="n">
        <v>46190</v>
      </c>
      <c r="D442" s="70" t="n">
        <v>33</v>
      </c>
      <c r="E442" s="72" t="inlineStr">
        <is>
          <t>RENATO DE O AZEVEDO E CIA LTDA - EPP</t>
        </is>
      </c>
      <c r="F442" s="70" t="n">
        <v>13</v>
      </c>
      <c r="G442" s="72" t="inlineStr">
        <is>
          <t>Compra a Vista</t>
        </is>
      </c>
      <c r="H442" s="70" t="n">
        <v>2110101</v>
      </c>
      <c r="I442" s="72" t="inlineStr">
        <is>
          <t>FORNECEDORES DE MERCADORIA</t>
        </is>
      </c>
      <c r="J442" s="70" t="n">
        <v>1265303</v>
      </c>
      <c r="L442" s="70" t="n">
        <v>5146</v>
      </c>
      <c r="M442" s="72" t="inlineStr">
        <is>
          <t>01</t>
        </is>
      </c>
      <c r="N442" s="72" t="inlineStr">
        <is>
          <t>NFE</t>
        </is>
      </c>
      <c r="P442" s="70" t="n">
        <v>104</v>
      </c>
      <c r="Q442" s="72" t="inlineStr">
        <is>
          <t>DEBORA COSTA</t>
        </is>
      </c>
      <c r="R442" s="72" t="inlineStr">
        <is>
          <t>ESTOQUE DE MERCADORIAS</t>
        </is>
      </c>
      <c r="S442" s="70" t="n">
        <v>1130101</v>
      </c>
      <c r="T442" s="72" t="inlineStr">
        <is>
          <t>MERCADORIAS P/REVENDA</t>
        </is>
      </c>
      <c r="U442" s="73" t="n">
        <v>390</v>
      </c>
      <c r="W442" s="73" t="n">
        <v>390</v>
      </c>
      <c r="X442" s="72" t="inlineStr">
        <is>
          <t>ACAI DE ANORI - DEBORA</t>
        </is>
      </c>
      <c r="Z442" s="59">
        <f>IF($T442="","",IFERROR(INDEX('Resumo Grupos'!$AC$3:$AC$200,MATCH($T442,'Resumo Grupos'!$AB$3:$AB$200,0)),"n/d"))</f>
        <v/>
      </c>
      <c r="AA442" s="59">
        <f>IF($T442="","",IF(COUNTIF('Resumo Grupos'!$AE$3:$AE$40,$T442)&gt;0,"NAO","SIM"))</f>
        <v/>
      </c>
    </row>
    <row r="443" ht="36.75" customHeight="1" s="60">
      <c r="A443" s="70" t="n">
        <v>1</v>
      </c>
      <c r="B443" s="71" t="n">
        <v>46190</v>
      </c>
      <c r="C443" s="71" t="n">
        <v>46190</v>
      </c>
      <c r="D443" s="70" t="n">
        <v>33</v>
      </c>
      <c r="E443" s="72" t="inlineStr">
        <is>
          <t>RENATO DE O AZEVEDO E CIA LTDA - EPP</t>
        </is>
      </c>
      <c r="F443" s="70" t="n">
        <v>13</v>
      </c>
      <c r="G443" s="72" t="inlineStr">
        <is>
          <t>Compra a Vista</t>
        </is>
      </c>
      <c r="H443" s="70" t="n">
        <v>2110101</v>
      </c>
      <c r="I443" s="72" t="inlineStr">
        <is>
          <t>FORNECEDORES DE MERCADORIA</t>
        </is>
      </c>
      <c r="J443" s="70" t="n">
        <v>1265341</v>
      </c>
      <c r="L443" s="70" t="n">
        <v>5147</v>
      </c>
      <c r="M443" s="72" t="inlineStr">
        <is>
          <t>01</t>
        </is>
      </c>
      <c r="N443" s="72" t="inlineStr">
        <is>
          <t>NFE</t>
        </is>
      </c>
      <c r="P443" s="70" t="n">
        <v>104</v>
      </c>
      <c r="Q443" s="72" t="inlineStr">
        <is>
          <t>DEBORA COSTA</t>
        </is>
      </c>
      <c r="R443" s="72" t="inlineStr">
        <is>
          <t>ESTOQUE DE MERCADORIAS</t>
        </is>
      </c>
      <c r="S443" s="70" t="n">
        <v>1130101</v>
      </c>
      <c r="T443" s="72" t="inlineStr">
        <is>
          <t>MERCADORIAS P/REVENDA</t>
        </is>
      </c>
      <c r="U443" s="73" t="n">
        <v>260</v>
      </c>
      <c r="W443" s="73" t="n">
        <v>260</v>
      </c>
      <c r="X443" s="72" t="inlineStr">
        <is>
          <t>ACAI DE ANORI - DEBORA</t>
        </is>
      </c>
      <c r="Z443" s="59">
        <f>IF($T443="","",IFERROR(INDEX('Resumo Grupos'!$AC$3:$AC$200,MATCH($T443,'Resumo Grupos'!$AB$3:$AB$200,0)),"n/d"))</f>
        <v/>
      </c>
      <c r="AA443" s="59">
        <f>IF($T443="","",IF(COUNTIF('Resumo Grupos'!$AE$3:$AE$40,$T443)&gt;0,"NAO","SIM"))</f>
        <v/>
      </c>
    </row>
    <row r="444" ht="54.75" customHeight="1" s="60">
      <c r="A444" s="70" t="n">
        <v>1</v>
      </c>
      <c r="B444" s="71" t="n">
        <v>46190</v>
      </c>
      <c r="C444" s="71" t="n">
        <v>46190</v>
      </c>
      <c r="D444" s="70" t="n">
        <v>33</v>
      </c>
      <c r="E444" s="72" t="inlineStr">
        <is>
          <t>RENATO DE O AZEVEDO E CIA LTDA - EPP</t>
        </is>
      </c>
      <c r="F444" s="70" t="n">
        <v>13</v>
      </c>
      <c r="G444" s="72" t="inlineStr">
        <is>
          <t>Compra a Vista</t>
        </is>
      </c>
      <c r="H444" s="70" t="n">
        <v>2110101</v>
      </c>
      <c r="I444" s="72" t="inlineStr">
        <is>
          <t>FORNECEDORES DE MERCADORIA</t>
        </is>
      </c>
      <c r="J444" s="70" t="n">
        <v>1265382</v>
      </c>
      <c r="L444" s="70" t="n">
        <v>5148</v>
      </c>
      <c r="M444" s="72" t="inlineStr">
        <is>
          <t>01</t>
        </is>
      </c>
      <c r="N444" s="72" t="inlineStr">
        <is>
          <t>NFE</t>
        </is>
      </c>
      <c r="P444" s="70" t="n">
        <v>104</v>
      </c>
      <c r="Q444" s="72" t="inlineStr">
        <is>
          <t>DEBORA COSTA</t>
        </is>
      </c>
      <c r="R444" s="72" t="inlineStr">
        <is>
          <t>ESTOQUE DE MERCADORIAS</t>
        </is>
      </c>
      <c r="S444" s="70" t="n">
        <v>1130101</v>
      </c>
      <c r="T444" s="72" t="inlineStr">
        <is>
          <t>MERCADORIAS P/REVENDA</t>
        </is>
      </c>
      <c r="U444" s="73" t="n">
        <v>260</v>
      </c>
      <c r="W444" s="73" t="n">
        <v>260</v>
      </c>
      <c r="X444" s="72" t="inlineStr">
        <is>
          <t>ACAI DE ANORI - DEBORA</t>
        </is>
      </c>
      <c r="Z444" s="59">
        <f>IF($T444="","",IFERROR(INDEX('Resumo Grupos'!$AC$3:$AC$200,MATCH($T444,'Resumo Grupos'!$AB$3:$AB$200,0)),"n/d"))</f>
        <v/>
      </c>
      <c r="AA444" s="59">
        <f>IF($T444="","",IF(COUNTIF('Resumo Grupos'!$AE$3:$AE$40,$T444)&gt;0,"NAO","SIM"))</f>
        <v/>
      </c>
    </row>
    <row r="445" ht="36.75" customHeight="1" s="60">
      <c r="A445" s="70" t="n">
        <v>1</v>
      </c>
      <c r="B445" s="71" t="n">
        <v>46190</v>
      </c>
      <c r="C445" s="71" t="n">
        <v>46190</v>
      </c>
      <c r="D445" s="70" t="n">
        <v>33</v>
      </c>
      <c r="E445" s="72" t="inlineStr">
        <is>
          <t>RENATO DE O AZEVEDO E CIA LTDA - EPP</t>
        </is>
      </c>
      <c r="F445" s="70" t="n">
        <v>13</v>
      </c>
      <c r="G445" s="72" t="inlineStr">
        <is>
          <t>Compra a Vista</t>
        </is>
      </c>
      <c r="H445" s="70" t="n">
        <v>2110101</v>
      </c>
      <c r="I445" s="72" t="inlineStr">
        <is>
          <t>FORNECEDORES DE MERCADORIA</t>
        </is>
      </c>
      <c r="J445" s="70" t="n">
        <v>1265457</v>
      </c>
      <c r="L445" s="70" t="n">
        <v>5149</v>
      </c>
      <c r="M445" s="72" t="inlineStr">
        <is>
          <t>01</t>
        </is>
      </c>
      <c r="N445" s="72" t="inlineStr">
        <is>
          <t>NFE</t>
        </is>
      </c>
      <c r="P445" s="70" t="n">
        <v>104</v>
      </c>
      <c r="Q445" s="72" t="inlineStr">
        <is>
          <t>DEBORA COSTA</t>
        </is>
      </c>
      <c r="R445" s="72" t="inlineStr">
        <is>
          <t>ESTOQUE DE MERCADORIAS</t>
        </is>
      </c>
      <c r="S445" s="70" t="n">
        <v>1130101</v>
      </c>
      <c r="T445" s="72" t="inlineStr">
        <is>
          <t>MERCADORIAS P/REVENDA</t>
        </is>
      </c>
      <c r="U445" s="73" t="n">
        <v>260</v>
      </c>
      <c r="W445" s="73" t="n">
        <v>260</v>
      </c>
      <c r="X445" s="72" t="inlineStr">
        <is>
          <t>ACAI DE ANORI - DEBORA</t>
        </is>
      </c>
      <c r="Z445" s="59">
        <f>IF($T445="","",IFERROR(INDEX('Resumo Grupos'!$AC$3:$AC$200,MATCH($T445,'Resumo Grupos'!$AB$3:$AB$200,0)),"n/d"))</f>
        <v/>
      </c>
      <c r="AA445" s="59">
        <f>IF($T445="","",IF(COUNTIF('Resumo Grupos'!$AE$3:$AE$40,$T445)&gt;0,"NAO","SIM"))</f>
        <v/>
      </c>
    </row>
    <row r="446" ht="36.75" customHeight="1" s="60">
      <c r="A446" s="70" t="n">
        <v>1</v>
      </c>
      <c r="B446" s="71" t="n">
        <v>46190</v>
      </c>
      <c r="C446" s="71" t="n">
        <v>46190</v>
      </c>
      <c r="D446" s="70" t="n">
        <v>33</v>
      </c>
      <c r="E446" s="72" t="inlineStr">
        <is>
          <t>RENATO DE O AZEVEDO E CIA LTDA - EPP</t>
        </is>
      </c>
      <c r="F446" s="70" t="n">
        <v>13</v>
      </c>
      <c r="G446" s="72" t="inlineStr">
        <is>
          <t>Compra a Vista</t>
        </is>
      </c>
      <c r="H446" s="70" t="n">
        <v>2110101</v>
      </c>
      <c r="I446" s="72" t="inlineStr">
        <is>
          <t>FORNECEDORES DE MERCADORIA</t>
        </is>
      </c>
      <c r="J446" s="70" t="n">
        <v>1265764</v>
      </c>
      <c r="L446" s="70" t="n">
        <v>5150</v>
      </c>
      <c r="M446" s="72" t="inlineStr">
        <is>
          <t>01</t>
        </is>
      </c>
      <c r="N446" s="72" t="inlineStr">
        <is>
          <t>NFE</t>
        </is>
      </c>
      <c r="P446" s="70" t="n">
        <v>104</v>
      </c>
      <c r="Q446" s="72" t="inlineStr">
        <is>
          <t>DEBORA COSTA</t>
        </is>
      </c>
      <c r="R446" s="72" t="inlineStr">
        <is>
          <t>ESTOQUE DE MERCADORIAS</t>
        </is>
      </c>
      <c r="S446" s="70" t="n">
        <v>1130101</v>
      </c>
      <c r="T446" s="72" t="inlineStr">
        <is>
          <t>MERCADORIAS P/REVENDA</t>
        </is>
      </c>
      <c r="U446" s="73" t="n">
        <v>325</v>
      </c>
      <c r="W446" s="73" t="n">
        <v>325</v>
      </c>
      <c r="X446" s="72" t="inlineStr">
        <is>
          <t>ACAI DE ANORI - DEBORA</t>
        </is>
      </c>
      <c r="Z446" s="59">
        <f>IF($T446="","",IFERROR(INDEX('Resumo Grupos'!$AC$3:$AC$200,MATCH($T446,'Resumo Grupos'!$AB$3:$AB$200,0)),"n/d"))</f>
        <v/>
      </c>
      <c r="AA446" s="59">
        <f>IF($T446="","",IF(COUNTIF('Resumo Grupos'!$AE$3:$AE$40,$T446)&gt;0,"NAO","SIM"))</f>
        <v/>
      </c>
    </row>
    <row r="447" ht="36.75" customHeight="1" s="60">
      <c r="A447" s="70" t="n">
        <v>1</v>
      </c>
      <c r="B447" s="71" t="n">
        <v>46190</v>
      </c>
      <c r="C447" s="71" t="n">
        <v>46190</v>
      </c>
      <c r="D447" s="70" t="n">
        <v>33</v>
      </c>
      <c r="E447" s="72" t="inlineStr">
        <is>
          <t>RENATO DE O AZEVEDO E CIA LTDA - EPP</t>
        </is>
      </c>
      <c r="F447" s="70" t="n">
        <v>13</v>
      </c>
      <c r="G447" s="72" t="inlineStr">
        <is>
          <t>Compra a Vista</t>
        </is>
      </c>
      <c r="H447" s="70" t="n">
        <v>2110101</v>
      </c>
      <c r="I447" s="72" t="inlineStr">
        <is>
          <t>FORNECEDORES DE MERCADORIA</t>
        </is>
      </c>
      <c r="J447" s="70" t="n">
        <v>1265892</v>
      </c>
      <c r="L447" s="70" t="n">
        <v>5151</v>
      </c>
      <c r="M447" s="72" t="inlineStr">
        <is>
          <t>01</t>
        </is>
      </c>
      <c r="N447" s="72" t="inlineStr">
        <is>
          <t>NFE</t>
        </is>
      </c>
      <c r="P447" s="70" t="n">
        <v>104</v>
      </c>
      <c r="Q447" s="72" t="inlineStr">
        <is>
          <t>DEBORA COSTA</t>
        </is>
      </c>
      <c r="R447" s="72" t="inlineStr">
        <is>
          <t>ESTOQUE DE MERCADORIAS</t>
        </is>
      </c>
      <c r="S447" s="70" t="n">
        <v>1130101</v>
      </c>
      <c r="T447" s="72" t="inlineStr">
        <is>
          <t>MERCADORIAS P/REVENDA</t>
        </is>
      </c>
      <c r="U447" s="73" t="n">
        <v>350</v>
      </c>
      <c r="W447" s="73" t="n">
        <v>350</v>
      </c>
      <c r="X447" s="72" t="inlineStr">
        <is>
          <t>ACAI DE ANORI - DEBORA</t>
        </is>
      </c>
      <c r="Z447" s="59">
        <f>IF($T447="","",IFERROR(INDEX('Resumo Grupos'!$AC$3:$AC$200,MATCH($T447,'Resumo Grupos'!$AB$3:$AB$200,0)),"n/d"))</f>
        <v/>
      </c>
      <c r="AA447" s="59">
        <f>IF($T447="","",IF(COUNTIF('Resumo Grupos'!$AE$3:$AE$40,$T447)&gt;0,"NAO","SIM"))</f>
        <v/>
      </c>
    </row>
    <row r="448" ht="36.75" customHeight="1" s="60">
      <c r="A448" s="70" t="n">
        <v>1</v>
      </c>
      <c r="B448" s="71" t="n">
        <v>46190</v>
      </c>
      <c r="C448" s="71" t="n">
        <v>46190</v>
      </c>
      <c r="D448" s="70" t="n">
        <v>514</v>
      </c>
      <c r="E448" s="72" t="inlineStr">
        <is>
          <t>SANTANDER SA</t>
        </is>
      </c>
      <c r="F448" s="70" t="n">
        <v>34</v>
      </c>
      <c r="G448" s="72" t="inlineStr">
        <is>
          <t>Transferencia Pix</t>
        </is>
      </c>
      <c r="H448" s="70" t="n">
        <v>1110202</v>
      </c>
      <c r="I448" s="72" t="inlineStr">
        <is>
          <t>BANCO ITAU Lj 01</t>
        </is>
      </c>
      <c r="J448" s="70" t="n">
        <v>1370198</v>
      </c>
      <c r="L448" s="70" t="n">
        <v>565616</v>
      </c>
      <c r="M448" s="72" t="inlineStr">
        <is>
          <t>01</t>
        </is>
      </c>
      <c r="N448" s="72" t="inlineStr">
        <is>
          <t>AVU</t>
        </is>
      </c>
      <c r="P448" s="70" t="n">
        <v>102</v>
      </c>
      <c r="Q448" s="72" t="inlineStr">
        <is>
          <t>ANDREZA ANDRADE</t>
        </is>
      </c>
      <c r="R448" s="72" t="inlineStr">
        <is>
          <t>DESPESAS NAO OPERACIONAIS</t>
        </is>
      </c>
      <c r="S448" s="70" t="n">
        <v>4220199</v>
      </c>
      <c r="T448" s="72" t="inlineStr">
        <is>
          <t>PAGAMENTOS OUTROS NAO OPERACIONAIS</t>
        </is>
      </c>
      <c r="U448" s="73" t="n">
        <v>690</v>
      </c>
      <c r="W448" s="73" t="n">
        <v>0</v>
      </c>
      <c r="X448" s="72" t="inlineStr">
        <is>
          <t>COBERTURA DE CONTA BCO SANT 1 VELH-ANDREZA</t>
        </is>
      </c>
      <c r="Z448" s="59">
        <f>IF($T448="","",IFERROR(INDEX('Resumo Grupos'!$AC$3:$AC$200,MATCH($T448,'Resumo Grupos'!$AB$3:$AB$200,0)),"n/d"))</f>
        <v/>
      </c>
      <c r="AA448" s="59">
        <f>IF($T448="","",IF(COUNTIF('Resumo Grupos'!$AE$3:$AE$40,$T448)&gt;0,"NAO","SIM"))</f>
        <v/>
      </c>
    </row>
    <row r="449" ht="63.75" customHeight="1" s="60">
      <c r="A449" s="70" t="n">
        <v>1</v>
      </c>
      <c r="B449" s="71" t="n">
        <v>46191</v>
      </c>
      <c r="C449" s="71" t="n">
        <v>46191</v>
      </c>
      <c r="D449" s="70" t="n">
        <v>513</v>
      </c>
      <c r="E449" s="72" t="inlineStr">
        <is>
          <t>NET CLARO</t>
        </is>
      </c>
      <c r="F449" s="70" t="n">
        <v>24</v>
      </c>
      <c r="G449" s="72" t="inlineStr">
        <is>
          <t>Compra a Prazo - Boletos</t>
        </is>
      </c>
      <c r="H449" s="70" t="n">
        <v>1110202</v>
      </c>
      <c r="I449" s="72" t="inlineStr">
        <is>
          <t>BANCO ITAU Lj 01</t>
        </is>
      </c>
      <c r="J449" s="70" t="n">
        <v>1464535</v>
      </c>
      <c r="L449" s="70" t="n">
        <v>602070</v>
      </c>
      <c r="M449" s="72" t="inlineStr">
        <is>
          <t>01</t>
        </is>
      </c>
      <c r="N449" s="72" t="inlineStr">
        <is>
          <t>AVU</t>
        </is>
      </c>
      <c r="P449" s="70" t="n">
        <v>102</v>
      </c>
      <c r="Q449" s="72" t="inlineStr">
        <is>
          <t>ANDREZA ANDRADE</t>
        </is>
      </c>
      <c r="R449" s="72" t="inlineStr">
        <is>
          <t>DESPESAS OPERACIONAIS</t>
        </is>
      </c>
      <c r="S449" s="70" t="n">
        <v>4210206</v>
      </c>
      <c r="T449" s="72" t="inlineStr">
        <is>
          <t>TELEFONE</t>
        </is>
      </c>
      <c r="U449" s="73" t="n">
        <v>27.93</v>
      </c>
      <c r="W449" s="73" t="n">
        <v>0</v>
      </c>
      <c r="X449" s="72" t="inlineStr">
        <is>
          <t>DESPESA FONE DISK OLIVEIRA -ANDREZA</t>
        </is>
      </c>
      <c r="Z449" s="59">
        <f>IF($T449="","",IFERROR(INDEX('Resumo Grupos'!$AC$3:$AC$200,MATCH($T449,'Resumo Grupos'!$AB$3:$AB$200,0)),"n/d"))</f>
        <v/>
      </c>
      <c r="AA449" s="59">
        <f>IF($T449="","",IF(COUNTIF('Resumo Grupos'!$AE$3:$AE$40,$T449)&gt;0,"NAO","SIM"))</f>
        <v/>
      </c>
    </row>
    <row r="450" ht="36.75" customHeight="1" s="60">
      <c r="A450" s="70" t="n">
        <v>1</v>
      </c>
      <c r="B450" s="71" t="n">
        <v>46148</v>
      </c>
      <c r="C450" s="71" t="n">
        <v>46191</v>
      </c>
      <c r="D450" s="70" t="n">
        <v>607</v>
      </c>
      <c r="E450" s="72" t="inlineStr">
        <is>
          <t>PRIME PET DISTRIBUIDORA LTDA</t>
        </is>
      </c>
      <c r="F450" s="70" t="n">
        <v>24</v>
      </c>
      <c r="G450" s="72" t="inlineStr">
        <is>
          <t>Compra a Prazo - Boletos</t>
        </is>
      </c>
      <c r="H450" s="70" t="n">
        <v>2110101</v>
      </c>
      <c r="I450" s="72" t="inlineStr">
        <is>
          <t>FORNECEDORES DE MERCADORIA</t>
        </is>
      </c>
      <c r="J450" s="70" t="n">
        <v>1057743</v>
      </c>
      <c r="L450" s="70" t="n">
        <v>10336</v>
      </c>
      <c r="M450" s="72" t="inlineStr">
        <is>
          <t>03</t>
        </is>
      </c>
      <c r="N450" s="72" t="inlineStr">
        <is>
          <t>NFE</t>
        </is>
      </c>
      <c r="P450" s="70" t="n">
        <v>103</v>
      </c>
      <c r="Q450" s="72" t="inlineStr">
        <is>
          <t>MILKA FRANCIS</t>
        </is>
      </c>
      <c r="R450" s="72" t="inlineStr">
        <is>
          <t>ESTOQUE DE MERCADORIAS</t>
        </is>
      </c>
      <c r="S450" s="70" t="n">
        <v>1130101</v>
      </c>
      <c r="T450" s="72" t="inlineStr">
        <is>
          <t>MERCADORIAS P/REVENDA</t>
        </is>
      </c>
      <c r="U450" s="73" t="n">
        <v>250.35</v>
      </c>
      <c r="W450" s="73" t="n">
        <v>0</v>
      </c>
      <c r="X450" s="72" t="inlineStr">
        <is>
          <t>[NF 10336 -03 MILKA</t>
        </is>
      </c>
      <c r="Z450" s="59">
        <f>IF($T450="","",IFERROR(INDEX('Resumo Grupos'!$AC$3:$AC$200,MATCH($T450,'Resumo Grupos'!$AB$3:$AB$200,0)),"n/d"))</f>
        <v/>
      </c>
      <c r="AA450" s="59">
        <f>IF($T450="","",IF(COUNTIF('Resumo Grupos'!$AE$3:$AE$40,$T450)&gt;0,"NAO","SIM"))</f>
        <v/>
      </c>
    </row>
    <row r="451" ht="36.75" customHeight="1" s="60">
      <c r="A451" s="70" t="n">
        <v>1</v>
      </c>
      <c r="B451" s="71" t="n">
        <v>46154</v>
      </c>
      <c r="C451" s="71" t="n">
        <v>46191</v>
      </c>
      <c r="D451" s="70" t="n">
        <v>10011</v>
      </c>
      <c r="E451" s="72" t="inlineStr">
        <is>
          <t>OPPORTUNITY ALIMENTOS PARA ANIMAIS LTDA</t>
        </is>
      </c>
      <c r="F451" s="70" t="n">
        <v>24</v>
      </c>
      <c r="G451" s="72" t="inlineStr">
        <is>
          <t>Compra a Prazo - Boletos</t>
        </is>
      </c>
      <c r="H451" s="70" t="n">
        <v>2110101</v>
      </c>
      <c r="I451" s="72" t="inlineStr">
        <is>
          <t>FORNECEDORES DE MERCADORIA</t>
        </is>
      </c>
      <c r="J451" s="70" t="n">
        <v>1089077</v>
      </c>
      <c r="L451" s="70" t="n">
        <v>33621</v>
      </c>
      <c r="M451" s="72" t="inlineStr">
        <is>
          <t>03</t>
        </is>
      </c>
      <c r="N451" s="72" t="inlineStr">
        <is>
          <t>NFE</t>
        </is>
      </c>
      <c r="P451" s="70" t="n">
        <v>103</v>
      </c>
      <c r="Q451" s="72" t="inlineStr">
        <is>
          <t>MILKA FRANCIS</t>
        </is>
      </c>
      <c r="R451" s="72" t="inlineStr">
        <is>
          <t>ESTOQUE DE MERCADORIAS</t>
        </is>
      </c>
      <c r="S451" s="70" t="n">
        <v>1130101</v>
      </c>
      <c r="T451" s="72" t="inlineStr">
        <is>
          <t>MERCADORIAS P/REVENDA</t>
        </is>
      </c>
      <c r="U451" s="73" t="n">
        <v>2792.58</v>
      </c>
      <c r="W451" s="73" t="n">
        <v>0</v>
      </c>
      <c r="X451" s="72" t="inlineStr">
        <is>
          <t>NF 33621-3 MILKA</t>
        </is>
      </c>
      <c r="Z451" s="59">
        <f>IF($T451="","",IFERROR(INDEX('Resumo Grupos'!$AC$3:$AC$200,MATCH($T451,'Resumo Grupos'!$AB$3:$AB$200,0)),"n/d"))</f>
        <v/>
      </c>
      <c r="AA451" s="59">
        <f>IF($T451="","",IF(COUNTIF('Resumo Grupos'!$AE$3:$AE$40,$T451)&gt;0,"NAO","SIM"))</f>
        <v/>
      </c>
    </row>
    <row r="452" ht="27.75" customHeight="1" s="60">
      <c r="A452" s="70" t="n">
        <v>1</v>
      </c>
      <c r="B452" s="71" t="n">
        <v>46158</v>
      </c>
      <c r="C452" s="71" t="n">
        <v>46191</v>
      </c>
      <c r="D452" s="70" t="n">
        <v>1624</v>
      </c>
      <c r="E452" s="72" t="inlineStr">
        <is>
          <t>RISADINHA LTDA</t>
        </is>
      </c>
      <c r="F452" s="70" t="n">
        <v>24</v>
      </c>
      <c r="G452" s="72" t="inlineStr">
        <is>
          <t>Compra a Prazo - Boletos</t>
        </is>
      </c>
      <c r="H452" s="70" t="n">
        <v>2110101</v>
      </c>
      <c r="I452" s="72" t="inlineStr">
        <is>
          <t>FORNECEDORES DE MERCADORIA</t>
        </is>
      </c>
      <c r="J452" s="70" t="n">
        <v>1107368</v>
      </c>
      <c r="L452" s="70" t="n">
        <v>653787</v>
      </c>
      <c r="M452" s="72" t="inlineStr">
        <is>
          <t>03</t>
        </is>
      </c>
      <c r="N452" s="72" t="inlineStr">
        <is>
          <t>NFE</t>
        </is>
      </c>
      <c r="P452" s="70" t="n">
        <v>103</v>
      </c>
      <c r="Q452" s="72" t="inlineStr">
        <is>
          <t>MILKA FRANCIS</t>
        </is>
      </c>
      <c r="R452" s="72" t="inlineStr">
        <is>
          <t>ESTOQUE DE MERCADORIAS</t>
        </is>
      </c>
      <c r="S452" s="70" t="n">
        <v>1130101</v>
      </c>
      <c r="T452" s="72" t="inlineStr">
        <is>
          <t>MERCADORIAS P/REVENDA</t>
        </is>
      </c>
      <c r="U452" s="73" t="n">
        <v>2249.86</v>
      </c>
      <c r="W452" s="73" t="n">
        <v>0</v>
      </c>
      <c r="X452" s="72" t="inlineStr">
        <is>
          <t>NF 653787 - 3 MILKA</t>
        </is>
      </c>
      <c r="Z452" s="59">
        <f>IF($T452="","",IFERROR(INDEX('Resumo Grupos'!$AC$3:$AC$200,MATCH($T452,'Resumo Grupos'!$AB$3:$AB$200,0)),"n/d"))</f>
        <v/>
      </c>
      <c r="AA452" s="59">
        <f>IF($T452="","",IF(COUNTIF('Resumo Grupos'!$AE$3:$AE$40,$T452)&gt;0,"NAO","SIM"))</f>
        <v/>
      </c>
    </row>
    <row r="453" ht="45.75" customHeight="1" s="60">
      <c r="A453" s="70" t="n">
        <v>1</v>
      </c>
      <c r="B453" s="71" t="n">
        <v>46163</v>
      </c>
      <c r="C453" s="71" t="n">
        <v>46191</v>
      </c>
      <c r="D453" s="70" t="n">
        <v>1608</v>
      </c>
      <c r="E453" s="72" t="inlineStr">
        <is>
          <t>DISTRIBUIDORA LOPES LTDA</t>
        </is>
      </c>
      <c r="F453" s="70" t="n">
        <v>24</v>
      </c>
      <c r="G453" s="72" t="inlineStr">
        <is>
          <t>Compra a Prazo - Boletos</t>
        </is>
      </c>
      <c r="H453" s="70" t="n">
        <v>2110101</v>
      </c>
      <c r="I453" s="72" t="inlineStr">
        <is>
          <t>FORNECEDORES DE MERCADORIA</t>
        </is>
      </c>
      <c r="J453" s="70" t="n">
        <v>1131052</v>
      </c>
      <c r="L453" s="70" t="n">
        <v>1658555</v>
      </c>
      <c r="M453" s="72" t="inlineStr">
        <is>
          <t>01</t>
        </is>
      </c>
      <c r="N453" s="72" t="inlineStr">
        <is>
          <t>NFE</t>
        </is>
      </c>
      <c r="P453" s="70" t="n">
        <v>103</v>
      </c>
      <c r="Q453" s="72" t="inlineStr">
        <is>
          <t>MILKA FRANCIS</t>
        </is>
      </c>
      <c r="R453" s="72" t="inlineStr">
        <is>
          <t>ESTOQUE DE MERCADORIAS</t>
        </is>
      </c>
      <c r="S453" s="70" t="n">
        <v>1130101</v>
      </c>
      <c r="T453" s="72" t="inlineStr">
        <is>
          <t>MERCADORIAS P/REVENDA</t>
        </is>
      </c>
      <c r="U453" s="73" t="n">
        <v>1405.43</v>
      </c>
      <c r="W453" s="73" t="n">
        <v>0</v>
      </c>
      <c r="X453" s="72" t="inlineStr">
        <is>
          <t>NF 1658555 - MILKA</t>
        </is>
      </c>
      <c r="Z453" s="59">
        <f>IF($T453="","",IFERROR(INDEX('Resumo Grupos'!$AC$3:$AC$200,MATCH($T453,'Resumo Grupos'!$AB$3:$AB$200,0)),"n/d"))</f>
        <v/>
      </c>
      <c r="AA453" s="59">
        <f>IF($T453="","",IF(COUNTIF('Resumo Grupos'!$AE$3:$AE$40,$T453)&gt;0,"NAO","SIM"))</f>
        <v/>
      </c>
    </row>
    <row r="454" ht="45.75" customHeight="1" s="60">
      <c r="A454" s="70" t="n">
        <v>1</v>
      </c>
      <c r="B454" s="71" t="n">
        <v>46168</v>
      </c>
      <c r="C454" s="71" t="n">
        <v>46191</v>
      </c>
      <c r="D454" s="70" t="n">
        <v>10020</v>
      </c>
      <c r="E454" s="72" t="inlineStr">
        <is>
          <t>E. SALES DO NASCIMENTO</t>
        </is>
      </c>
      <c r="F454" s="70" t="n">
        <v>24</v>
      </c>
      <c r="G454" s="72" t="inlineStr">
        <is>
          <t>Compra a Prazo - Boletos</t>
        </is>
      </c>
      <c r="H454" s="70" t="n">
        <v>2110101</v>
      </c>
      <c r="I454" s="72" t="inlineStr">
        <is>
          <t>FORNECEDORES DE MERCADORIA</t>
        </is>
      </c>
      <c r="J454" s="70" t="n">
        <v>1156884</v>
      </c>
      <c r="L454" s="70" t="n">
        <v>573</v>
      </c>
      <c r="M454" s="72" t="inlineStr">
        <is>
          <t>04</t>
        </is>
      </c>
      <c r="N454" s="72" t="inlineStr">
        <is>
          <t>NFE</t>
        </is>
      </c>
      <c r="P454" s="70" t="n">
        <v>103</v>
      </c>
      <c r="Q454" s="72" t="inlineStr">
        <is>
          <t>MILKA FRANCIS</t>
        </is>
      </c>
      <c r="R454" s="72" t="inlineStr">
        <is>
          <t>ESTOQUE DE MERCADORIAS</t>
        </is>
      </c>
      <c r="S454" s="70" t="n">
        <v>1130101</v>
      </c>
      <c r="T454" s="72" t="inlineStr">
        <is>
          <t>MERCADORIAS P/REVENDA</t>
        </is>
      </c>
      <c r="U454" s="73" t="n">
        <v>503.26</v>
      </c>
      <c r="W454" s="73" t="n">
        <v>0</v>
      </c>
      <c r="X454" s="72" t="inlineStr">
        <is>
          <t>NF 573-04 MILKA</t>
        </is>
      </c>
      <c r="Z454" s="59">
        <f>IF($T454="","",IFERROR(INDEX('Resumo Grupos'!$AC$3:$AC$200,MATCH($T454,'Resumo Grupos'!$AB$3:$AB$200,0)),"n/d"))</f>
        <v/>
      </c>
      <c r="AA454" s="59">
        <f>IF($T454="","",IF(COUNTIF('Resumo Grupos'!$AE$3:$AE$40,$T454)&gt;0,"NAO","SIM"))</f>
        <v/>
      </c>
    </row>
    <row r="455" ht="45.75" customHeight="1" s="60">
      <c r="A455" s="70" t="n">
        <v>1</v>
      </c>
      <c r="B455" s="71" t="n">
        <v>46168</v>
      </c>
      <c r="C455" s="71" t="n">
        <v>46191</v>
      </c>
      <c r="D455" s="70" t="n">
        <v>1616</v>
      </c>
      <c r="E455" s="72" t="inlineStr">
        <is>
          <t>DURAES DISTRIBUIDORA DE ESTIVAS LTDA</t>
        </is>
      </c>
      <c r="F455" s="70" t="n">
        <v>24</v>
      </c>
      <c r="G455" s="72" t="inlineStr">
        <is>
          <t>Compra a Prazo - Boletos</t>
        </is>
      </c>
      <c r="H455" s="70" t="n">
        <v>2110101</v>
      </c>
      <c r="I455" s="72" t="inlineStr">
        <is>
          <t>FORNECEDORES DE MERCADORIA</t>
        </is>
      </c>
      <c r="J455" s="70" t="n">
        <v>1157756</v>
      </c>
      <c r="L455" s="70" t="n">
        <v>642821</v>
      </c>
      <c r="M455" s="72" t="inlineStr">
        <is>
          <t>02</t>
        </is>
      </c>
      <c r="N455" s="72" t="inlineStr">
        <is>
          <t>NFE</t>
        </is>
      </c>
      <c r="P455" s="70" t="n">
        <v>103</v>
      </c>
      <c r="Q455" s="72" t="inlineStr">
        <is>
          <t>MILKA FRANCIS</t>
        </is>
      </c>
      <c r="R455" s="72" t="inlineStr">
        <is>
          <t>ESTOQUE DE MERCADORIAS</t>
        </is>
      </c>
      <c r="S455" s="70" t="n">
        <v>1130101</v>
      </c>
      <c r="T455" s="72" t="inlineStr">
        <is>
          <t>MERCADORIAS P/REVENDA</t>
        </is>
      </c>
      <c r="U455" s="73" t="n">
        <v>1890.87</v>
      </c>
      <c r="W455" s="73" t="n">
        <v>0</v>
      </c>
      <c r="X455" s="72" t="inlineStr">
        <is>
          <t>NF 642821-2 MILKA</t>
        </is>
      </c>
      <c r="Z455" s="59">
        <f>IF($T455="","",IFERROR(INDEX('Resumo Grupos'!$AC$3:$AC$200,MATCH($T455,'Resumo Grupos'!$AB$3:$AB$200,0)),"n/d"))</f>
        <v/>
      </c>
      <c r="AA455" s="59">
        <f>IF($T455="","",IF(COUNTIF('Resumo Grupos'!$AE$3:$AE$40,$T455)&gt;0,"NAO","SIM"))</f>
        <v/>
      </c>
    </row>
    <row r="456" ht="27.75" customHeight="1" s="60">
      <c r="A456" s="70" t="n">
        <v>1</v>
      </c>
      <c r="B456" s="71" t="n">
        <v>46170</v>
      </c>
      <c r="C456" s="71" t="n">
        <v>46191</v>
      </c>
      <c r="D456" s="70" t="n">
        <v>1740</v>
      </c>
      <c r="E456" s="72" t="inlineStr">
        <is>
          <t>OCIDENTAL COMERCIO DE FRIOS LTDA</t>
        </is>
      </c>
      <c r="F456" s="70" t="n">
        <v>24</v>
      </c>
      <c r="G456" s="72" t="inlineStr">
        <is>
          <t>Compra a Prazo - Boletos</t>
        </is>
      </c>
      <c r="H456" s="70" t="n">
        <v>2110101</v>
      </c>
      <c r="I456" s="72" t="inlineStr">
        <is>
          <t>FORNECEDORES DE MERCADORIA</t>
        </is>
      </c>
      <c r="J456" s="70" t="n">
        <v>1167981</v>
      </c>
      <c r="L456" s="70" t="n">
        <v>1231083</v>
      </c>
      <c r="M456" s="72" t="inlineStr">
        <is>
          <t>01</t>
        </is>
      </c>
      <c r="N456" s="72" t="inlineStr">
        <is>
          <t>NFE</t>
        </is>
      </c>
      <c r="P456" s="70" t="n">
        <v>103</v>
      </c>
      <c r="Q456" s="72" t="inlineStr">
        <is>
          <t>MILKA FRANCIS</t>
        </is>
      </c>
      <c r="R456" s="72" t="inlineStr">
        <is>
          <t>ESTOQUE DE MERCADORIAS</t>
        </is>
      </c>
      <c r="S456" s="70" t="n">
        <v>1130101</v>
      </c>
      <c r="T456" s="72" t="inlineStr">
        <is>
          <t>MERCADORIAS P/REVENDA</t>
        </is>
      </c>
      <c r="U456" s="73" t="n">
        <v>853.29</v>
      </c>
      <c r="W456" s="73" t="n">
        <v>0</v>
      </c>
      <c r="X456" s="72" t="inlineStr">
        <is>
          <t>NF 1231083 - MILKA</t>
        </is>
      </c>
      <c r="Z456" s="59">
        <f>IF($T456="","",IFERROR(INDEX('Resumo Grupos'!$AC$3:$AC$200,MATCH($T456,'Resumo Grupos'!$AB$3:$AB$200,0)),"n/d"))</f>
        <v/>
      </c>
      <c r="AA456" s="59">
        <f>IF($T456="","",IF(COUNTIF('Resumo Grupos'!$AE$3:$AE$40,$T456)&gt;0,"NAO","SIM"))</f>
        <v/>
      </c>
    </row>
    <row r="457" ht="45.75" customHeight="1" s="60">
      <c r="A457" s="70" t="n">
        <v>1</v>
      </c>
      <c r="B457" s="71" t="n">
        <v>46171</v>
      </c>
      <c r="C457" s="71" t="n">
        <v>46191</v>
      </c>
      <c r="D457" s="70" t="n">
        <v>1611</v>
      </c>
      <c r="E457" s="72" t="inlineStr">
        <is>
          <t>MARTINS COM SERV DISTR SA</t>
        </is>
      </c>
      <c r="F457" s="70" t="n">
        <v>24</v>
      </c>
      <c r="G457" s="72" t="inlineStr">
        <is>
          <t>Compra a Prazo - Boletos</t>
        </is>
      </c>
      <c r="H457" s="70" t="n">
        <v>2110101</v>
      </c>
      <c r="I457" s="72" t="inlineStr">
        <is>
          <t>FORNECEDORES DE MERCADORIA</t>
        </is>
      </c>
      <c r="J457" s="70" t="n">
        <v>1171433</v>
      </c>
      <c r="L457" s="70" t="n">
        <v>488192</v>
      </c>
      <c r="M457" s="72" t="inlineStr">
        <is>
          <t>03</t>
        </is>
      </c>
      <c r="N457" s="72" t="inlineStr">
        <is>
          <t>AVU</t>
        </is>
      </c>
      <c r="P457" s="70" t="n">
        <v>103</v>
      </c>
      <c r="Q457" s="72" t="inlineStr">
        <is>
          <t>MILKA FRANCIS</t>
        </is>
      </c>
      <c r="R457" s="72" t="inlineStr">
        <is>
          <t>ESTOQUE DE MERCADORIAS</t>
        </is>
      </c>
      <c r="S457" s="70" t="n">
        <v>1130101</v>
      </c>
      <c r="T457" s="72" t="inlineStr">
        <is>
          <t>MERCADORIAS P/REVENDA</t>
        </is>
      </c>
      <c r="U457" s="73" t="n">
        <v>4056.85</v>
      </c>
      <c r="W457" s="73" t="n">
        <v>0</v>
      </c>
      <c r="X457" s="72" t="inlineStr">
        <is>
          <t>NF1762478/NF1762479/NF1762480/NF1762481 - 03 MILKA</t>
        </is>
      </c>
      <c r="Z457" s="59">
        <f>IF($T457="","",IFERROR(INDEX('Resumo Grupos'!$AC$3:$AC$200,MATCH($T457,'Resumo Grupos'!$AB$3:$AB$200,0)),"n/d"))</f>
        <v/>
      </c>
      <c r="AA457" s="59">
        <f>IF($T457="","",IF(COUNTIF('Resumo Grupos'!$AE$3:$AE$40,$T457)&gt;0,"NAO","SIM"))</f>
        <v/>
      </c>
    </row>
    <row r="458" ht="45.75" customHeight="1" s="60">
      <c r="A458" s="70" t="n">
        <v>1</v>
      </c>
      <c r="B458" s="71" t="n">
        <v>46182</v>
      </c>
      <c r="C458" s="71" t="n">
        <v>46191</v>
      </c>
      <c r="D458" s="70" t="n">
        <v>957</v>
      </c>
      <c r="E458" s="72" t="inlineStr">
        <is>
          <t>FUNNY PET DISTRIBUIDORA DE ALIMENTOS PAR</t>
        </is>
      </c>
      <c r="F458" s="70" t="n">
        <v>24</v>
      </c>
      <c r="G458" s="72" t="inlineStr">
        <is>
          <t>Compra a Prazo - Boletos</t>
        </is>
      </c>
      <c r="H458" s="70" t="n">
        <v>2110101</v>
      </c>
      <c r="I458" s="72" t="inlineStr">
        <is>
          <t>FORNECEDORES DE MERCADORIA</t>
        </is>
      </c>
      <c r="J458" s="70" t="n">
        <v>1227398</v>
      </c>
      <c r="L458" s="70" t="n">
        <v>20167</v>
      </c>
      <c r="M458" s="72" t="inlineStr">
        <is>
          <t>01</t>
        </is>
      </c>
      <c r="N458" s="72" t="inlineStr">
        <is>
          <t>NFE</t>
        </is>
      </c>
      <c r="P458" s="70" t="n">
        <v>103</v>
      </c>
      <c r="Q458" s="72" t="inlineStr">
        <is>
          <t>MILKA FRANCIS</t>
        </is>
      </c>
      <c r="R458" s="72" t="inlineStr">
        <is>
          <t>ESTOQUE DE MERCADORIAS</t>
        </is>
      </c>
      <c r="S458" s="70" t="n">
        <v>1130101</v>
      </c>
      <c r="T458" s="72" t="inlineStr">
        <is>
          <t>MERCADORIAS P/REVENDA</t>
        </is>
      </c>
      <c r="U458" s="73" t="n">
        <v>4521.75</v>
      </c>
      <c r="W458" s="73" t="n">
        <v>0</v>
      </c>
      <c r="X458" s="72" t="inlineStr">
        <is>
          <t>NF 20167 1- MILKA</t>
        </is>
      </c>
      <c r="Z458" s="59">
        <f>IF($T458="","",IFERROR(INDEX('Resumo Grupos'!$AC$3:$AC$200,MATCH($T458,'Resumo Grupos'!$AB$3:$AB$200,0)),"n/d"))</f>
        <v/>
      </c>
      <c r="AA458" s="59">
        <f>IF($T458="","",IF(COUNTIF('Resumo Grupos'!$AE$3:$AE$40,$T458)&gt;0,"NAO","SIM"))</f>
        <v/>
      </c>
    </row>
    <row r="459" ht="45.75" customHeight="1" s="60">
      <c r="A459" s="70" t="n">
        <v>1</v>
      </c>
      <c r="B459" s="71" t="n">
        <v>46182</v>
      </c>
      <c r="C459" s="71" t="n">
        <v>46191</v>
      </c>
      <c r="D459" s="70" t="n">
        <v>1705</v>
      </c>
      <c r="E459" s="72" t="inlineStr">
        <is>
          <t>BRASIL NORTE BEBIDAS S/A</t>
        </is>
      </c>
      <c r="F459" s="70" t="n">
        <v>24</v>
      </c>
      <c r="G459" s="72" t="inlineStr">
        <is>
          <t>Compra a Prazo - Boletos</t>
        </is>
      </c>
      <c r="H459" s="70" t="n">
        <v>2110101</v>
      </c>
      <c r="I459" s="72" t="inlineStr">
        <is>
          <t>FORNECEDORES DE MERCADORIA</t>
        </is>
      </c>
      <c r="J459" s="70" t="n">
        <v>1227988</v>
      </c>
      <c r="L459" s="70" t="n">
        <v>1863100</v>
      </c>
      <c r="M459" s="72" t="inlineStr">
        <is>
          <t>01</t>
        </is>
      </c>
      <c r="N459" s="72" t="inlineStr">
        <is>
          <t>NFE</t>
        </is>
      </c>
      <c r="P459" s="70" t="n">
        <v>103</v>
      </c>
      <c r="Q459" s="72" t="inlineStr">
        <is>
          <t>MILKA FRANCIS</t>
        </is>
      </c>
      <c r="R459" s="72" t="inlineStr">
        <is>
          <t>ESTOQUE DE MERCADORIAS</t>
        </is>
      </c>
      <c r="S459" s="70" t="n">
        <v>1130101</v>
      </c>
      <c r="T459" s="72" t="inlineStr">
        <is>
          <t>MERCADORIAS P/REVENDA</t>
        </is>
      </c>
      <c r="U459" s="73" t="n">
        <v>4277.67</v>
      </c>
      <c r="W459" s="73" t="n">
        <v>0</v>
      </c>
      <c r="X459" s="72" t="inlineStr">
        <is>
          <t>NF 1863100 - MILKA</t>
        </is>
      </c>
      <c r="Z459" s="59">
        <f>IF($T459="","",IFERROR(INDEX('Resumo Grupos'!$AC$3:$AC$200,MATCH($T459,'Resumo Grupos'!$AB$3:$AB$200,0)),"n/d"))</f>
        <v/>
      </c>
      <c r="AA459" s="59">
        <f>IF($T459="","",IF(COUNTIF('Resumo Grupos'!$AE$3:$AE$40,$T459)&gt;0,"NAO","SIM"))</f>
        <v/>
      </c>
    </row>
    <row r="460" ht="54.75" customHeight="1" s="60">
      <c r="A460" s="70" t="n">
        <v>1</v>
      </c>
      <c r="B460" s="71" t="n">
        <v>46182</v>
      </c>
      <c r="C460" s="71" t="n">
        <v>46191</v>
      </c>
      <c r="D460" s="70" t="n">
        <v>1705</v>
      </c>
      <c r="E460" s="72" t="inlineStr">
        <is>
          <t>BRASIL NORTE BEBIDAS S/A</t>
        </is>
      </c>
      <c r="F460" s="70" t="n">
        <v>24</v>
      </c>
      <c r="G460" s="72" t="inlineStr">
        <is>
          <t>Compra a Prazo - Boletos</t>
        </is>
      </c>
      <c r="H460" s="70" t="n">
        <v>2110101</v>
      </c>
      <c r="I460" s="72" t="inlineStr">
        <is>
          <t>FORNECEDORES DE MERCADORIA</t>
        </is>
      </c>
      <c r="J460" s="70" t="n">
        <v>1228090</v>
      </c>
      <c r="L460" s="70" t="n">
        <v>1149037</v>
      </c>
      <c r="M460" s="72" t="inlineStr">
        <is>
          <t>01</t>
        </is>
      </c>
      <c r="N460" s="72" t="inlineStr">
        <is>
          <t>NFE</t>
        </is>
      </c>
      <c r="P460" s="70" t="n">
        <v>103</v>
      </c>
      <c r="Q460" s="72" t="inlineStr">
        <is>
          <t>MILKA FRANCIS</t>
        </is>
      </c>
      <c r="R460" s="72" t="inlineStr">
        <is>
          <t>ESTOQUE DE MERCADORIAS</t>
        </is>
      </c>
      <c r="S460" s="70" t="n">
        <v>1130101</v>
      </c>
      <c r="T460" s="72" t="inlineStr">
        <is>
          <t>MERCADORIAS P/REVENDA</t>
        </is>
      </c>
      <c r="U460" s="73" t="n">
        <v>4071.75</v>
      </c>
      <c r="W460" s="73" t="n">
        <v>0</v>
      </c>
      <c r="X460" s="72" t="inlineStr">
        <is>
          <t>NF 1149037 - MILKA</t>
        </is>
      </c>
      <c r="Z460" s="59">
        <f>IF($T460="","",IFERROR(INDEX('Resumo Grupos'!$AC$3:$AC$200,MATCH($T460,'Resumo Grupos'!$AB$3:$AB$200,0)),"n/d"))</f>
        <v/>
      </c>
      <c r="AA460" s="59">
        <f>IF($T460="","",IF(COUNTIF('Resumo Grupos'!$AE$3:$AE$40,$T460)&gt;0,"NAO","SIM"))</f>
        <v/>
      </c>
    </row>
    <row r="461" ht="54.75" customHeight="1" s="60">
      <c r="A461" s="70" t="n">
        <v>1</v>
      </c>
      <c r="B461" s="71" t="n">
        <v>46184</v>
      </c>
      <c r="C461" s="71" t="n">
        <v>46191</v>
      </c>
      <c r="D461" s="70" t="n">
        <v>1601</v>
      </c>
      <c r="E461" s="72" t="inlineStr">
        <is>
          <t>CB COMERCIO E DISTRIBUIDORA DE ALIMENTOS</t>
        </is>
      </c>
      <c r="F461" s="70" t="n">
        <v>24</v>
      </c>
      <c r="G461" s="72" t="inlineStr">
        <is>
          <t>Compra a Prazo - Boletos</t>
        </is>
      </c>
      <c r="H461" s="70" t="n">
        <v>2110101</v>
      </c>
      <c r="I461" s="72" t="inlineStr">
        <is>
          <t>FORNECEDORES DE MERCADORIA</t>
        </is>
      </c>
      <c r="J461" s="70" t="n">
        <v>1236408</v>
      </c>
      <c r="L461" s="70" t="n">
        <v>843140</v>
      </c>
      <c r="M461" s="72" t="inlineStr">
        <is>
          <t>01</t>
        </is>
      </c>
      <c r="N461" s="72" t="inlineStr">
        <is>
          <t>NFE</t>
        </is>
      </c>
      <c r="P461" s="70" t="n">
        <v>103</v>
      </c>
      <c r="Q461" s="72" t="inlineStr">
        <is>
          <t>MILKA FRANCIS</t>
        </is>
      </c>
      <c r="R461" s="72" t="inlineStr">
        <is>
          <t>ESTOQUE DE MERCADORIAS</t>
        </is>
      </c>
      <c r="S461" s="70" t="n">
        <v>1130101</v>
      </c>
      <c r="T461" s="72" t="inlineStr">
        <is>
          <t>MERCADORIAS P/REVENDA</t>
        </is>
      </c>
      <c r="U461" s="73" t="n">
        <v>220.27</v>
      </c>
      <c r="W461" s="73" t="n">
        <v>0</v>
      </c>
      <c r="X461" s="72" t="inlineStr">
        <is>
          <t>938449-A/B  NF843140 - MILKA</t>
        </is>
      </c>
      <c r="Z461" s="59">
        <f>IF($T461="","",IFERROR(INDEX('Resumo Grupos'!$AC$3:$AC$200,MATCH($T461,'Resumo Grupos'!$AB$3:$AB$200,0)),"n/d"))</f>
        <v/>
      </c>
      <c r="AA461" s="59">
        <f>IF($T461="","",IF(COUNTIF('Resumo Grupos'!$AE$3:$AE$40,$T461)&gt;0,"NAO","SIM"))</f>
        <v/>
      </c>
    </row>
    <row r="462" ht="27.75" customHeight="1" s="60">
      <c r="A462" s="70" t="n">
        <v>1</v>
      </c>
      <c r="B462" s="71" t="n">
        <v>46186</v>
      </c>
      <c r="C462" s="71" t="n">
        <v>46191</v>
      </c>
      <c r="D462" s="70" t="n">
        <v>1614</v>
      </c>
      <c r="E462" s="72" t="inlineStr">
        <is>
          <t>C. R. PARENTE ABREU</t>
        </is>
      </c>
      <c r="F462" s="70" t="n">
        <v>24</v>
      </c>
      <c r="G462" s="72" t="inlineStr">
        <is>
          <t>Compra a Prazo - Boletos</t>
        </is>
      </c>
      <c r="H462" s="70" t="n">
        <v>2110101</v>
      </c>
      <c r="I462" s="72" t="inlineStr">
        <is>
          <t>FORNECEDORES DE MERCADORIA</t>
        </is>
      </c>
      <c r="J462" s="70" t="n">
        <v>1243964</v>
      </c>
      <c r="L462" s="70" t="n">
        <v>11250</v>
      </c>
      <c r="M462" s="72" t="inlineStr">
        <is>
          <t>02</t>
        </is>
      </c>
      <c r="N462" s="72" t="inlineStr">
        <is>
          <t>NFE</t>
        </is>
      </c>
      <c r="P462" s="70" t="n">
        <v>103</v>
      </c>
      <c r="Q462" s="72" t="inlineStr">
        <is>
          <t>MILKA FRANCIS</t>
        </is>
      </c>
      <c r="R462" s="72" t="inlineStr">
        <is>
          <t>ESTOQUE DE MERCADORIAS</t>
        </is>
      </c>
      <c r="S462" s="70" t="n">
        <v>1130101</v>
      </c>
      <c r="T462" s="72" t="inlineStr">
        <is>
          <t>MERCADORIAS P/REVENDA</t>
        </is>
      </c>
      <c r="U462" s="73" t="n">
        <v>566.1900000000001</v>
      </c>
      <c r="W462" s="73" t="n">
        <v>0</v>
      </c>
      <c r="X462" s="72" t="inlineStr">
        <is>
          <t>NF 11250 -2 MILKA</t>
        </is>
      </c>
      <c r="Z462" s="59">
        <f>IF($T462="","",IFERROR(INDEX('Resumo Grupos'!$AC$3:$AC$200,MATCH($T462,'Resumo Grupos'!$AB$3:$AB$200,0)),"n/d"))</f>
        <v/>
      </c>
      <c r="AA462" s="59">
        <f>IF($T462="","",IF(COUNTIF('Resumo Grupos'!$AE$3:$AE$40,$T462)&gt;0,"NAO","SIM"))</f>
        <v/>
      </c>
    </row>
    <row r="463" ht="45.75" customHeight="1" s="60">
      <c r="A463" s="70" t="n">
        <v>1</v>
      </c>
      <c r="B463" s="71" t="n">
        <v>46186</v>
      </c>
      <c r="C463" s="71" t="n">
        <v>46191</v>
      </c>
      <c r="D463" s="70" t="n">
        <v>33</v>
      </c>
      <c r="E463" s="72" t="inlineStr">
        <is>
          <t>RENATO DE O AZEVEDO E CIA LTDA - EPP</t>
        </is>
      </c>
      <c r="F463" s="70" t="n">
        <v>34</v>
      </c>
      <c r="G463" s="72" t="inlineStr">
        <is>
          <t>Transferencia Pix</t>
        </is>
      </c>
      <c r="H463" s="70" t="n">
        <v>2110101</v>
      </c>
      <c r="I463" s="72" t="inlineStr">
        <is>
          <t>FORNECEDORES DE MERCADORIA</t>
        </is>
      </c>
      <c r="J463" s="70" t="n">
        <v>1244611</v>
      </c>
      <c r="L463" s="70" t="n">
        <v>5115</v>
      </c>
      <c r="M463" s="72" t="inlineStr">
        <is>
          <t>01</t>
        </is>
      </c>
      <c r="N463" s="72" t="inlineStr">
        <is>
          <t>NFE</t>
        </is>
      </c>
      <c r="P463" s="70" t="n">
        <v>104</v>
      </c>
      <c r="Q463" s="72" t="inlineStr">
        <is>
          <t>DEBORA COSTA</t>
        </is>
      </c>
      <c r="R463" s="72" t="inlineStr">
        <is>
          <t>ESTOQUE DE MERCADORIAS</t>
        </is>
      </c>
      <c r="S463" s="70" t="n">
        <v>1130101</v>
      </c>
      <c r="T463" s="72" t="inlineStr">
        <is>
          <t>MERCADORIAS P/REVENDA</t>
        </is>
      </c>
      <c r="U463" s="73" t="n">
        <v>1100</v>
      </c>
      <c r="W463" s="73" t="n">
        <v>0</v>
      </c>
      <c r="X463" s="72" t="inlineStr">
        <is>
          <t>JOSE CLAUDIO D. DA SILVA - CHAVE PIX: 92991326372 - DEBORA</t>
        </is>
      </c>
      <c r="Z463" s="59">
        <f>IF($T463="","",IFERROR(INDEX('Resumo Grupos'!$AC$3:$AC$200,MATCH($T463,'Resumo Grupos'!$AB$3:$AB$200,0)),"n/d"))</f>
        <v/>
      </c>
      <c r="AA463" s="59">
        <f>IF($T463="","",IF(COUNTIF('Resumo Grupos'!$AE$3:$AE$40,$T463)&gt;0,"NAO","SIM"))</f>
        <v/>
      </c>
    </row>
    <row r="464" ht="36.75" customHeight="1" s="60">
      <c r="A464" s="70" t="n">
        <v>1</v>
      </c>
      <c r="B464" s="71" t="n">
        <v>46188</v>
      </c>
      <c r="C464" s="71" t="n">
        <v>46191</v>
      </c>
      <c r="D464" s="70" t="n">
        <v>1899</v>
      </c>
      <c r="E464" s="72" t="inlineStr">
        <is>
          <t>PANIFICADORA E CONFEITARIA REAL MADRI LTDA</t>
        </is>
      </c>
      <c r="F464" s="70" t="n">
        <v>24</v>
      </c>
      <c r="G464" s="72" t="inlineStr">
        <is>
          <t>Compra a Prazo - Boletos</t>
        </is>
      </c>
      <c r="H464" s="70" t="n">
        <v>2110101</v>
      </c>
      <c r="I464" s="72" t="inlineStr">
        <is>
          <t>FORNECEDORES DE MERCADORIA</t>
        </is>
      </c>
      <c r="J464" s="70" t="n">
        <v>1254937</v>
      </c>
      <c r="L464" s="70" t="n">
        <v>663</v>
      </c>
      <c r="M464" s="72" t="inlineStr">
        <is>
          <t>01</t>
        </is>
      </c>
      <c r="N464" s="72" t="inlineStr">
        <is>
          <t>NFE</t>
        </is>
      </c>
      <c r="P464" s="70" t="n">
        <v>103</v>
      </c>
      <c r="Q464" s="72" t="inlineStr">
        <is>
          <t>MILKA FRANCIS</t>
        </is>
      </c>
      <c r="R464" s="72" t="inlineStr">
        <is>
          <t>ESTOQUE DE MERCADORIAS</t>
        </is>
      </c>
      <c r="S464" s="70" t="n">
        <v>1130101</v>
      </c>
      <c r="T464" s="72" t="inlineStr">
        <is>
          <t>MERCADORIAS P/REVENDA</t>
        </is>
      </c>
      <c r="U464" s="73" t="n">
        <v>851.65</v>
      </c>
      <c r="W464" s="73" t="n">
        <v>0</v>
      </c>
      <c r="X464" s="72" t="inlineStr">
        <is>
          <t>NF 663 - MILKA</t>
        </is>
      </c>
      <c r="Z464" s="59">
        <f>IF($T464="","",IFERROR(INDEX('Resumo Grupos'!$AC$3:$AC$200,MATCH($T464,'Resumo Grupos'!$AB$3:$AB$200,0)),"n/d"))</f>
        <v/>
      </c>
      <c r="AA464" s="59">
        <f>IF($T464="","",IF(COUNTIF('Resumo Grupos'!$AE$3:$AE$40,$T464)&gt;0,"NAO","SIM"))</f>
        <v/>
      </c>
    </row>
    <row r="465" ht="36.75" customHeight="1" s="60">
      <c r="A465" s="70" t="n">
        <v>1</v>
      </c>
      <c r="B465" s="71" t="n">
        <v>46188</v>
      </c>
      <c r="C465" s="71" t="n">
        <v>46191</v>
      </c>
      <c r="D465" s="70" t="n">
        <v>1621</v>
      </c>
      <c r="E465" s="72" t="inlineStr">
        <is>
          <t>CRBS S/A</t>
        </is>
      </c>
      <c r="F465" s="70" t="n">
        <v>24</v>
      </c>
      <c r="G465" s="72" t="inlineStr">
        <is>
          <t>Compra a Prazo - Boletos</t>
        </is>
      </c>
      <c r="H465" s="70" t="n">
        <v>2110101</v>
      </c>
      <c r="I465" s="72" t="inlineStr">
        <is>
          <t>FORNECEDORES DE MERCADORIA</t>
        </is>
      </c>
      <c r="J465" s="70" t="n">
        <v>1255298</v>
      </c>
      <c r="L465" s="70" t="n">
        <v>852034</v>
      </c>
      <c r="M465" s="72" t="inlineStr">
        <is>
          <t>01</t>
        </is>
      </c>
      <c r="N465" s="72" t="inlineStr">
        <is>
          <t>NFE</t>
        </is>
      </c>
      <c r="P465" s="70" t="n">
        <v>103</v>
      </c>
      <c r="Q465" s="72" t="inlineStr">
        <is>
          <t>MILKA FRANCIS</t>
        </is>
      </c>
      <c r="R465" s="72" t="inlineStr">
        <is>
          <t>DESPESAS FINANCEIRAS</t>
        </is>
      </c>
      <c r="S465" s="70" t="n">
        <v>4210501</v>
      </c>
      <c r="T465" s="72" t="inlineStr">
        <is>
          <t>JUROS PAGOS A FORNECEDORES</t>
        </is>
      </c>
      <c r="U465" s="73" t="n">
        <v>4129.32</v>
      </c>
      <c r="W465" s="73" t="n">
        <v>0</v>
      </c>
      <c r="X465" s="72" t="inlineStr">
        <is>
          <t>NF 852034 - MILKA</t>
        </is>
      </c>
      <c r="Z465" s="59">
        <f>IF($T465="","",IFERROR(INDEX('Resumo Grupos'!$AC$3:$AC$200,MATCH($T465,'Resumo Grupos'!$AB$3:$AB$200,0)),"n/d"))</f>
        <v/>
      </c>
      <c r="AA465" s="59">
        <f>IF($T465="","",IF(COUNTIF('Resumo Grupos'!$AE$3:$AE$40,$T465)&gt;0,"NAO","SIM"))</f>
        <v/>
      </c>
    </row>
    <row r="466" ht="36.75" customHeight="1" s="60">
      <c r="A466" s="70" t="n">
        <v>1</v>
      </c>
      <c r="B466" s="71" t="n">
        <v>46188</v>
      </c>
      <c r="C466" s="71" t="n">
        <v>46191</v>
      </c>
      <c r="D466" s="70" t="n">
        <v>1024</v>
      </c>
      <c r="E466" s="72" t="inlineStr">
        <is>
          <t>REAL BEBIDAS DA AMAZONIA LTDA</t>
        </is>
      </c>
      <c r="F466" s="70" t="n">
        <v>24</v>
      </c>
      <c r="G466" s="72" t="inlineStr">
        <is>
          <t>Compra a Prazo - Boletos</t>
        </is>
      </c>
      <c r="H466" s="70" t="n">
        <v>2110101</v>
      </c>
      <c r="I466" s="72" t="inlineStr">
        <is>
          <t>FORNECEDORES DE MERCADORIA</t>
        </is>
      </c>
      <c r="J466" s="70" t="n">
        <v>1256431</v>
      </c>
      <c r="L466" s="70" t="n">
        <v>581434</v>
      </c>
      <c r="M466" s="72" t="inlineStr">
        <is>
          <t>01</t>
        </is>
      </c>
      <c r="N466" s="72" t="inlineStr">
        <is>
          <t>NFE</t>
        </is>
      </c>
      <c r="P466" s="70" t="n">
        <v>103</v>
      </c>
      <c r="Q466" s="72" t="inlineStr">
        <is>
          <t>MILKA FRANCIS</t>
        </is>
      </c>
      <c r="R466" s="72" t="inlineStr">
        <is>
          <t>ESTOQUE DE MERCADORIAS</t>
        </is>
      </c>
      <c r="S466" s="70" t="n">
        <v>1130101</v>
      </c>
      <c r="T466" s="72" t="inlineStr">
        <is>
          <t>MERCADORIAS P/REVENDA</t>
        </is>
      </c>
      <c r="U466" s="73" t="n">
        <v>829</v>
      </c>
      <c r="W466" s="73" t="n">
        <v>0</v>
      </c>
      <c r="X466" s="72" t="inlineStr">
        <is>
          <t>NF 581434 - MILKA</t>
        </is>
      </c>
      <c r="Z466" s="59">
        <f>IF($T466="","",IFERROR(INDEX('Resumo Grupos'!$AC$3:$AC$200,MATCH($T466,'Resumo Grupos'!$AB$3:$AB$200,0)),"n/d"))</f>
        <v/>
      </c>
      <c r="AA466" s="59">
        <f>IF($T466="","",IF(COUNTIF('Resumo Grupos'!$AE$3:$AE$40,$T466)&gt;0,"NAO","SIM"))</f>
        <v/>
      </c>
    </row>
    <row r="467" ht="36.75" customHeight="1" s="60">
      <c r="A467" s="70" t="n">
        <v>1</v>
      </c>
      <c r="B467" s="71" t="n">
        <v>46188</v>
      </c>
      <c r="C467" s="71" t="n">
        <v>46191</v>
      </c>
      <c r="D467" s="70" t="n">
        <v>581</v>
      </c>
      <c r="E467" s="72" t="inlineStr">
        <is>
          <t>LIMA E BARANDA COMERCIO DE PRODUTOS REGI</t>
        </is>
      </c>
      <c r="F467" s="70" t="n">
        <v>24</v>
      </c>
      <c r="G467" s="72" t="inlineStr">
        <is>
          <t>Compra a Prazo - Boletos</t>
        </is>
      </c>
      <c r="H467" s="70" t="n">
        <v>2110101</v>
      </c>
      <c r="I467" s="72" t="inlineStr">
        <is>
          <t>FORNECEDORES DE MERCADORIA</t>
        </is>
      </c>
      <c r="J467" s="70" t="n">
        <v>1256636</v>
      </c>
      <c r="L467" s="70" t="n">
        <v>30919</v>
      </c>
      <c r="M467" s="72" t="inlineStr">
        <is>
          <t>01</t>
        </is>
      </c>
      <c r="N467" s="72" t="inlineStr">
        <is>
          <t>NFE</t>
        </is>
      </c>
      <c r="P467" s="70" t="n">
        <v>103</v>
      </c>
      <c r="Q467" s="72" t="inlineStr">
        <is>
          <t>MILKA FRANCIS</t>
        </is>
      </c>
      <c r="R467" s="72" t="inlineStr">
        <is>
          <t>ESTOQUE DE MERCADORIAS</t>
        </is>
      </c>
      <c r="S467" s="70" t="n">
        <v>1130101</v>
      </c>
      <c r="T467" s="72" t="inlineStr">
        <is>
          <t>MERCADORIAS P/REVENDA</t>
        </is>
      </c>
      <c r="U467" s="73" t="n">
        <v>493.5</v>
      </c>
      <c r="W467" s="73" t="n">
        <v>0</v>
      </c>
      <c r="X467" s="72" t="inlineStr">
        <is>
          <t>NF 30919 - MILKA</t>
        </is>
      </c>
      <c r="Z467" s="59">
        <f>IF($T467="","",IFERROR(INDEX('Resumo Grupos'!$AC$3:$AC$200,MATCH($T467,'Resumo Grupos'!$AB$3:$AB$200,0)),"n/d"))</f>
        <v/>
      </c>
      <c r="AA467" s="59">
        <f>IF($T467="","",IF(COUNTIF('Resumo Grupos'!$AE$3:$AE$40,$T467)&gt;0,"NAO","SIM"))</f>
        <v/>
      </c>
    </row>
    <row r="468" ht="36.75" customHeight="1" s="60">
      <c r="A468" s="70" t="n">
        <v>1</v>
      </c>
      <c r="B468" s="71" t="n">
        <v>46188</v>
      </c>
      <c r="C468" s="71" t="n">
        <v>46191</v>
      </c>
      <c r="D468" s="70" t="n">
        <v>754</v>
      </c>
      <c r="E468" s="72" t="inlineStr">
        <is>
          <t>SILVA E SANTOS FRIGORIFICO LTDA</t>
        </is>
      </c>
      <c r="F468" s="70" t="n">
        <v>24</v>
      </c>
      <c r="G468" s="72" t="inlineStr">
        <is>
          <t>Compra a Prazo - Boletos</t>
        </is>
      </c>
      <c r="H468" s="70" t="n">
        <v>2110101</v>
      </c>
      <c r="I468" s="72" t="inlineStr">
        <is>
          <t>FORNECEDORES DE MERCADORIA</t>
        </is>
      </c>
      <c r="J468" s="70" t="n">
        <v>1256963</v>
      </c>
      <c r="L468" s="70" t="n">
        <v>31049</v>
      </c>
      <c r="M468" s="72" t="inlineStr">
        <is>
          <t>01</t>
        </is>
      </c>
      <c r="N468" s="72" t="inlineStr">
        <is>
          <t>NFE</t>
        </is>
      </c>
      <c r="P468" s="70" t="n">
        <v>103</v>
      </c>
      <c r="Q468" s="72" t="inlineStr">
        <is>
          <t>MILKA FRANCIS</t>
        </is>
      </c>
      <c r="R468" s="72" t="inlineStr">
        <is>
          <t>ESTOQUE DE MERCADORIAS</t>
        </is>
      </c>
      <c r="S468" s="70" t="n">
        <v>1130101</v>
      </c>
      <c r="T468" s="72" t="inlineStr">
        <is>
          <t>MERCADORIAS P/REVENDA</t>
        </is>
      </c>
      <c r="U468" s="73" t="n">
        <v>3542.5</v>
      </c>
      <c r="W468" s="73" t="n">
        <v>0</v>
      </c>
      <c r="X468" s="72" t="inlineStr">
        <is>
          <t>NF31049 - MILKA</t>
        </is>
      </c>
      <c r="Z468" s="59">
        <f>IF($T468="","",IFERROR(INDEX('Resumo Grupos'!$AC$3:$AC$200,MATCH($T468,'Resumo Grupos'!$AB$3:$AB$200,0)),"n/d"))</f>
        <v/>
      </c>
      <c r="AA468" s="59">
        <f>IF($T468="","",IF(COUNTIF('Resumo Grupos'!$AE$3:$AE$40,$T468)&gt;0,"NAO","SIM"))</f>
        <v/>
      </c>
    </row>
    <row r="469" ht="36.75" customHeight="1" s="60">
      <c r="A469" s="70" t="n">
        <v>1</v>
      </c>
      <c r="B469" s="71" t="n">
        <v>46189</v>
      </c>
      <c r="C469" s="71" t="n">
        <v>46191</v>
      </c>
      <c r="D469" s="70" t="n">
        <v>642</v>
      </c>
      <c r="E469" s="72" t="inlineStr">
        <is>
          <t>ADICSO FABIAN GONZALEZ MONTILLA 70302186</t>
        </is>
      </c>
      <c r="F469" s="70" t="n">
        <v>24</v>
      </c>
      <c r="G469" s="72" t="inlineStr">
        <is>
          <t>Compra a Prazo - Boletos</t>
        </is>
      </c>
      <c r="H469" s="70" t="n">
        <v>2110101</v>
      </c>
      <c r="I469" s="72" t="inlineStr">
        <is>
          <t>FORNECEDORES DE MERCADORIA</t>
        </is>
      </c>
      <c r="J469" s="70" t="n">
        <v>1261737</v>
      </c>
      <c r="L469" s="70" t="n">
        <v>500</v>
      </c>
      <c r="M469" s="72" t="inlineStr">
        <is>
          <t>01</t>
        </is>
      </c>
      <c r="N469" s="72" t="inlineStr">
        <is>
          <t>NFE</t>
        </is>
      </c>
      <c r="P469" s="70" t="n">
        <v>103</v>
      </c>
      <c r="Q469" s="72" t="inlineStr">
        <is>
          <t>MILKA FRANCIS</t>
        </is>
      </c>
      <c r="R469" s="72" t="inlineStr">
        <is>
          <t>ESTOQUE DE MERCADORIAS</t>
        </is>
      </c>
      <c r="S469" s="70" t="n">
        <v>1130101</v>
      </c>
      <c r="T469" s="72" t="inlineStr">
        <is>
          <t>MERCADORIAS P/REVENDA</t>
        </is>
      </c>
      <c r="U469" s="73" t="n">
        <v>540</v>
      </c>
      <c r="W469" s="73" t="n">
        <v>0</v>
      </c>
      <c r="X469" s="72" t="inlineStr">
        <is>
          <t>NF 500 BLOOM - MILKA</t>
        </is>
      </c>
      <c r="Z469" s="59">
        <f>IF($T469="","",IFERROR(INDEX('Resumo Grupos'!$AC$3:$AC$200,MATCH($T469,'Resumo Grupos'!$AB$3:$AB$200,0)),"n/d"))</f>
        <v/>
      </c>
      <c r="AA469" s="59">
        <f>IF($T469="","",IF(COUNTIF('Resumo Grupos'!$AE$3:$AE$40,$T469)&gt;0,"NAO","SIM"))</f>
        <v/>
      </c>
    </row>
    <row r="470" ht="36.75" customHeight="1" s="60">
      <c r="A470" s="70" t="n">
        <v>1</v>
      </c>
      <c r="B470" s="71" t="n">
        <v>46190</v>
      </c>
      <c r="C470" s="71" t="n">
        <v>46191</v>
      </c>
      <c r="D470" s="70" t="n">
        <v>1899</v>
      </c>
      <c r="E470" s="72" t="inlineStr">
        <is>
          <t>PANIFICADORA E CONFEITARIA REAL MADRI LTDA</t>
        </is>
      </c>
      <c r="F470" s="70" t="n">
        <v>24</v>
      </c>
      <c r="G470" s="72" t="inlineStr">
        <is>
          <t>Compra a Prazo - Boletos</t>
        </is>
      </c>
      <c r="H470" s="70" t="n">
        <v>2110101</v>
      </c>
      <c r="I470" s="72" t="inlineStr">
        <is>
          <t>FORNECEDORES DE MERCADORIA</t>
        </is>
      </c>
      <c r="J470" s="70" t="n">
        <v>1266173</v>
      </c>
      <c r="L470" s="70" t="n">
        <v>661</v>
      </c>
      <c r="M470" s="72" t="inlineStr">
        <is>
          <t>01</t>
        </is>
      </c>
      <c r="N470" s="72" t="inlineStr">
        <is>
          <t>NFE</t>
        </is>
      </c>
      <c r="P470" s="70" t="n">
        <v>103</v>
      </c>
      <c r="Q470" s="72" t="inlineStr">
        <is>
          <t>MILKA FRANCIS</t>
        </is>
      </c>
      <c r="R470" s="72" t="inlineStr">
        <is>
          <t>ESTOQUE DE MERCADORIAS</t>
        </is>
      </c>
      <c r="S470" s="70" t="n">
        <v>1130101</v>
      </c>
      <c r="T470" s="72" t="inlineStr">
        <is>
          <t>MERCADORIAS P/REVENDA</t>
        </is>
      </c>
      <c r="U470" s="73" t="n">
        <v>750</v>
      </c>
      <c r="W470" s="73" t="n">
        <v>0</v>
      </c>
      <c r="X470" s="72" t="inlineStr">
        <is>
          <t>NF 661 - MILKA</t>
        </is>
      </c>
      <c r="Z470" s="59">
        <f>IF($T470="","",IFERROR(INDEX('Resumo Grupos'!$AC$3:$AC$200,MATCH($T470,'Resumo Grupos'!$AB$3:$AB$200,0)),"n/d"))</f>
        <v/>
      </c>
      <c r="AA470" s="59">
        <f>IF($T470="","",IF(COUNTIF('Resumo Grupos'!$AE$3:$AE$40,$T470)&gt;0,"NAO","SIM"))</f>
        <v/>
      </c>
    </row>
    <row r="471" ht="36.75" customHeight="1" s="60">
      <c r="A471" s="70" t="n">
        <v>1</v>
      </c>
      <c r="B471" s="71" t="n">
        <v>46191</v>
      </c>
      <c r="C471" s="71" t="n">
        <v>46191</v>
      </c>
      <c r="D471" s="70" t="n">
        <v>514</v>
      </c>
      <c r="E471" s="72" t="inlineStr">
        <is>
          <t>SANTANDER SA</t>
        </is>
      </c>
      <c r="F471" s="70" t="n">
        <v>34</v>
      </c>
      <c r="G471" s="72" t="inlineStr">
        <is>
          <t>Transferencia Pix</t>
        </is>
      </c>
      <c r="H471" s="70" t="n">
        <v>2110405</v>
      </c>
      <c r="I471" s="72" t="inlineStr">
        <is>
          <t>CONTAS A PAGAR</t>
        </is>
      </c>
      <c r="J471" s="70" t="n">
        <v>1309516</v>
      </c>
      <c r="L471" s="70" t="n">
        <v>541968</v>
      </c>
      <c r="M471" s="72" t="inlineStr">
        <is>
          <t>01</t>
        </is>
      </c>
      <c r="N471" s="72" t="inlineStr">
        <is>
          <t>AVU</t>
        </is>
      </c>
      <c r="P471" s="70" t="n">
        <v>101</v>
      </c>
      <c r="Q471" s="72" t="inlineStr">
        <is>
          <t>KEILA LIMA</t>
        </is>
      </c>
      <c r="R471" s="72" t="inlineStr">
        <is>
          <t>EMPRESTIMOS BANCARIOS</t>
        </is>
      </c>
      <c r="S471" s="70" t="n">
        <v>2110901</v>
      </c>
      <c r="T471" s="72" t="inlineStr">
        <is>
          <t>EMPRESTIMOS BANCARIOS A PAGAR</t>
        </is>
      </c>
      <c r="U471" s="73" t="n">
        <v>3370.37</v>
      </c>
      <c r="W471" s="73" t="n">
        <v>0</v>
      </c>
      <c r="X471" s="72" t="inlineStr">
        <is>
          <t>EMPRESTIMO AYMORE ENERGIA SOLAR SANT 1 VELHO - KE</t>
        </is>
      </c>
      <c r="Z471" s="59">
        <f>IF($T471="","",IFERROR(INDEX('Resumo Grupos'!$AC$3:$AC$200,MATCH($T471,'Resumo Grupos'!$AB$3:$AB$200,0)),"n/d"))</f>
        <v/>
      </c>
      <c r="AA471" s="59">
        <f>IF($T471="","",IF(COUNTIF('Resumo Grupos'!$AE$3:$AE$40,$T471)&gt;0,"NAO","SIM"))</f>
        <v/>
      </c>
    </row>
    <row r="472" ht="36.75" customHeight="1" s="60">
      <c r="A472" s="70" t="n">
        <v>1</v>
      </c>
      <c r="B472" s="71" t="n">
        <v>46158</v>
      </c>
      <c r="C472" s="71" t="n">
        <v>46192</v>
      </c>
      <c r="D472" s="70" t="n">
        <v>1608</v>
      </c>
      <c r="E472" s="72" t="inlineStr">
        <is>
          <t>DISTRIBUIDORA LOPES LTDA</t>
        </is>
      </c>
      <c r="F472" s="70" t="n">
        <v>24</v>
      </c>
      <c r="G472" s="72" t="inlineStr">
        <is>
          <t>Compra a Prazo - Boletos</t>
        </is>
      </c>
      <c r="H472" s="70" t="n">
        <v>2110101</v>
      </c>
      <c r="I472" s="72" t="inlineStr">
        <is>
          <t>FORNECEDORES DE MERCADORIA</t>
        </is>
      </c>
      <c r="J472" s="70" t="n">
        <v>1107211</v>
      </c>
      <c r="L472" s="70" t="n">
        <v>1655460</v>
      </c>
      <c r="M472" s="72" t="inlineStr">
        <is>
          <t>03</t>
        </is>
      </c>
      <c r="N472" s="72" t="inlineStr">
        <is>
          <t>NFE</t>
        </is>
      </c>
      <c r="P472" s="70" t="n">
        <v>103</v>
      </c>
      <c r="Q472" s="72" t="inlineStr">
        <is>
          <t>MILKA FRANCIS</t>
        </is>
      </c>
      <c r="R472" s="72" t="inlineStr">
        <is>
          <t>ESTOQUE DE MERCADORIAS</t>
        </is>
      </c>
      <c r="S472" s="70" t="n">
        <v>1130101</v>
      </c>
      <c r="T472" s="72" t="inlineStr">
        <is>
          <t>MERCADORIAS P/REVENDA</t>
        </is>
      </c>
      <c r="U472" s="73" t="n">
        <v>1761.42</v>
      </c>
      <c r="W472" s="73" t="n">
        <v>0</v>
      </c>
      <c r="X472" s="72" t="inlineStr">
        <is>
          <t>NF 1655460-3 MILKA</t>
        </is>
      </c>
      <c r="Z472" s="59">
        <f>IF($T472="","",IFERROR(INDEX('Resumo Grupos'!$AC$3:$AC$200,MATCH($T472,'Resumo Grupos'!$AB$3:$AB$200,0)),"n/d"))</f>
        <v/>
      </c>
      <c r="AA472" s="59">
        <f>IF($T472="","",IF(COUNTIF('Resumo Grupos'!$AE$3:$AE$40,$T472)&gt;0,"NAO","SIM"))</f>
        <v/>
      </c>
    </row>
    <row r="473" ht="36.75" customHeight="1" s="60">
      <c r="A473" s="70" t="n">
        <v>1</v>
      </c>
      <c r="B473" s="71" t="n">
        <v>46165</v>
      </c>
      <c r="C473" s="71" t="n">
        <v>46192</v>
      </c>
      <c r="D473" s="70" t="n">
        <v>1705</v>
      </c>
      <c r="E473" s="72" t="inlineStr">
        <is>
          <t>BRASIL NORTE BEBIDAS S/A</t>
        </is>
      </c>
      <c r="F473" s="70" t="n">
        <v>24</v>
      </c>
      <c r="G473" s="72" t="inlineStr">
        <is>
          <t>Compra a Prazo - Boletos</t>
        </is>
      </c>
      <c r="H473" s="70" t="n">
        <v>2110101</v>
      </c>
      <c r="I473" s="72" t="inlineStr">
        <is>
          <t>FORNECEDORES DE MERCADORIA</t>
        </is>
      </c>
      <c r="J473" s="70" t="n">
        <v>1141589</v>
      </c>
      <c r="L473" s="70" t="n">
        <v>476457</v>
      </c>
      <c r="M473" s="72" t="inlineStr">
        <is>
          <t>01</t>
        </is>
      </c>
      <c r="N473" s="72" t="inlineStr">
        <is>
          <t>AVU</t>
        </is>
      </c>
      <c r="P473" s="70" t="n">
        <v>103</v>
      </c>
      <c r="Q473" s="72" t="inlineStr">
        <is>
          <t>MILKA FRANCIS</t>
        </is>
      </c>
      <c r="R473" s="72" t="inlineStr">
        <is>
          <t>ESTOQUE DE MERCADORIAS</t>
        </is>
      </c>
      <c r="S473" s="70" t="n">
        <v>1130101</v>
      </c>
      <c r="T473" s="72" t="inlineStr">
        <is>
          <t>MERCADORIAS P/REVENDA</t>
        </is>
      </c>
      <c r="U473" s="73" t="n">
        <v>185.19</v>
      </c>
      <c r="W473" s="73" t="n">
        <v>0</v>
      </c>
      <c r="X473" s="72" t="inlineStr">
        <is>
          <t>NF 1132868 C/TARIFA INCLUSA - MILKA</t>
        </is>
      </c>
      <c r="Z473" s="59">
        <f>IF($T473="","",IFERROR(INDEX('Resumo Grupos'!$AC$3:$AC$200,MATCH($T473,'Resumo Grupos'!$AB$3:$AB$200,0)),"n/d"))</f>
        <v/>
      </c>
      <c r="AA473" s="59">
        <f>IF($T473="","",IF(COUNTIF('Resumo Grupos'!$AE$3:$AE$40,$T473)&gt;0,"NAO","SIM"))</f>
        <v/>
      </c>
    </row>
    <row r="474" ht="36.75" customHeight="1" s="60">
      <c r="A474" s="70" t="n">
        <v>1</v>
      </c>
      <c r="B474" s="71" t="n">
        <v>46169</v>
      </c>
      <c r="C474" s="71" t="n">
        <v>46192</v>
      </c>
      <c r="D474" s="70" t="n">
        <v>1711</v>
      </c>
      <c r="E474" s="72" t="inlineStr">
        <is>
          <t>J. A. F. DE LIMA</t>
        </is>
      </c>
      <c r="F474" s="70" t="n">
        <v>24</v>
      </c>
      <c r="G474" s="72" t="inlineStr">
        <is>
          <t>Compra a Prazo - Boletos</t>
        </is>
      </c>
      <c r="H474" s="70" t="n">
        <v>2110101</v>
      </c>
      <c r="I474" s="72" t="inlineStr">
        <is>
          <t>FORNECEDORES DE MERCADORIA</t>
        </is>
      </c>
      <c r="J474" s="70" t="n">
        <v>1162093</v>
      </c>
      <c r="L474" s="70" t="n">
        <v>155121</v>
      </c>
      <c r="M474" s="72" t="inlineStr">
        <is>
          <t>02</t>
        </is>
      </c>
      <c r="N474" s="72" t="inlineStr">
        <is>
          <t>NFE</t>
        </is>
      </c>
      <c r="P474" s="70" t="n">
        <v>103</v>
      </c>
      <c r="Q474" s="72" t="inlineStr">
        <is>
          <t>MILKA FRANCIS</t>
        </is>
      </c>
      <c r="R474" s="72" t="inlineStr">
        <is>
          <t>ESTOQUE DE MERCADORIAS</t>
        </is>
      </c>
      <c r="S474" s="70" t="n">
        <v>1130101</v>
      </c>
      <c r="T474" s="72" t="inlineStr">
        <is>
          <t>MERCADORIAS P/REVENDA</t>
        </is>
      </c>
      <c r="U474" s="73" t="n">
        <v>1118.57</v>
      </c>
      <c r="W474" s="73" t="n">
        <v>0</v>
      </c>
      <c r="X474" s="72" t="inlineStr">
        <is>
          <t>NF 155121/2 MILKA</t>
        </is>
      </c>
      <c r="Z474" s="59">
        <f>IF($T474="","",IFERROR(INDEX('Resumo Grupos'!$AC$3:$AC$200,MATCH($T474,'Resumo Grupos'!$AB$3:$AB$200,0)),"n/d"))</f>
        <v/>
      </c>
      <c r="AA474" s="59">
        <f>IF($T474="","",IF(COUNTIF('Resumo Grupos'!$AE$3:$AE$40,$T474)&gt;0,"NAO","SIM"))</f>
        <v/>
      </c>
    </row>
    <row r="475" ht="36.75" customHeight="1" s="60">
      <c r="A475" s="70" t="n">
        <v>1</v>
      </c>
      <c r="B475" s="71" t="n">
        <v>46170</v>
      </c>
      <c r="C475" s="71" t="n">
        <v>46192</v>
      </c>
      <c r="D475" s="70" t="n">
        <v>1699</v>
      </c>
      <c r="E475" s="72" t="inlineStr">
        <is>
          <t>L S M COMERCIO DE ALIMENTOS E NAVEGACAO</t>
        </is>
      </c>
      <c r="F475" s="70" t="n">
        <v>24</v>
      </c>
      <c r="G475" s="72" t="inlineStr">
        <is>
          <t>Compra a Prazo - Boletos</t>
        </is>
      </c>
      <c r="H475" s="70" t="n">
        <v>2110101</v>
      </c>
      <c r="I475" s="72" t="inlineStr">
        <is>
          <t>FORNECEDORES DE MERCADORIA</t>
        </is>
      </c>
      <c r="J475" s="70" t="n">
        <v>1167683</v>
      </c>
      <c r="L475" s="70" t="n">
        <v>302508</v>
      </c>
      <c r="M475" s="72" t="inlineStr">
        <is>
          <t>02</t>
        </is>
      </c>
      <c r="N475" s="72" t="inlineStr">
        <is>
          <t>NFE</t>
        </is>
      </c>
      <c r="P475" s="70" t="n">
        <v>103</v>
      </c>
      <c r="Q475" s="72" t="inlineStr">
        <is>
          <t>MILKA FRANCIS</t>
        </is>
      </c>
      <c r="R475" s="72" t="inlineStr">
        <is>
          <t>ESTOQUE DE MERCADORIAS</t>
        </is>
      </c>
      <c r="S475" s="70" t="n">
        <v>1130101</v>
      </c>
      <c r="T475" s="72" t="inlineStr">
        <is>
          <t>MERCADORIAS P/REVENDA</t>
        </is>
      </c>
      <c r="U475" s="73" t="n">
        <v>769.83</v>
      </c>
      <c r="W475" s="73" t="n">
        <v>0</v>
      </c>
      <c r="X475" s="72" t="inlineStr">
        <is>
          <t>NF 302508 - 2 MILKA</t>
        </is>
      </c>
      <c r="Z475" s="59">
        <f>IF($T475="","",IFERROR(INDEX('Resumo Grupos'!$AC$3:$AC$200,MATCH($T475,'Resumo Grupos'!$AB$3:$AB$200,0)),"n/d"))</f>
        <v/>
      </c>
      <c r="AA475" s="59">
        <f>IF($T475="","",IF(COUNTIF('Resumo Grupos'!$AE$3:$AE$40,$T475)&gt;0,"NAO","SIM"))</f>
        <v/>
      </c>
    </row>
    <row r="476" ht="36.75" customHeight="1" s="60">
      <c r="A476" s="70" t="n">
        <v>1</v>
      </c>
      <c r="B476" s="71" t="n">
        <v>46171</v>
      </c>
      <c r="C476" s="71" t="n">
        <v>46192</v>
      </c>
      <c r="D476" s="70" t="n">
        <v>1666</v>
      </c>
      <c r="E476" s="72" t="inlineStr">
        <is>
          <t>SOUZA CRUZ LTDA.</t>
        </is>
      </c>
      <c r="F476" s="70" t="n">
        <v>24</v>
      </c>
      <c r="G476" s="72" t="inlineStr">
        <is>
          <t>Compra a Prazo - Boletos</t>
        </is>
      </c>
      <c r="H476" s="70" t="n">
        <v>2110101</v>
      </c>
      <c r="I476" s="72" t="inlineStr">
        <is>
          <t>FORNECEDORES DE MERCADORIA</t>
        </is>
      </c>
      <c r="J476" s="70" t="n">
        <v>1170738</v>
      </c>
      <c r="L476" s="70" t="n">
        <v>561905</v>
      </c>
      <c r="M476" s="72" t="inlineStr">
        <is>
          <t>03</t>
        </is>
      </c>
      <c r="N476" s="72" t="inlineStr">
        <is>
          <t>NFE</t>
        </is>
      </c>
      <c r="P476" s="70" t="n">
        <v>103</v>
      </c>
      <c r="Q476" s="72" t="inlineStr">
        <is>
          <t>MILKA FRANCIS</t>
        </is>
      </c>
      <c r="R476" s="72" t="inlineStr">
        <is>
          <t>ESTOQUE DE MERCADORIAS</t>
        </is>
      </c>
      <c r="S476" s="70" t="n">
        <v>1130101</v>
      </c>
      <c r="T476" s="72" t="inlineStr">
        <is>
          <t>MERCADORIAS P/REVENDA</t>
        </is>
      </c>
      <c r="U476" s="73" t="n">
        <v>3991.79</v>
      </c>
      <c r="W476" s="73" t="n">
        <v>0</v>
      </c>
      <c r="X476" s="72" t="inlineStr">
        <is>
          <t>NF 561905 -03 MILKA</t>
        </is>
      </c>
      <c r="Z476" s="59">
        <f>IF($T476="","",IFERROR(INDEX('Resumo Grupos'!$AC$3:$AC$200,MATCH($T476,'Resumo Grupos'!$AB$3:$AB$200,0)),"n/d"))</f>
        <v/>
      </c>
      <c r="AA476" s="59">
        <f>IF($T476="","",IF(COUNTIF('Resumo Grupos'!$AE$3:$AE$40,$T476)&gt;0,"NAO","SIM"))</f>
        <v/>
      </c>
    </row>
    <row r="477" ht="45.75" customHeight="1" s="60">
      <c r="A477" s="70" t="n">
        <v>1</v>
      </c>
      <c r="B477" s="71" t="n">
        <v>46172</v>
      </c>
      <c r="C477" s="71" t="n">
        <v>46192</v>
      </c>
      <c r="D477" s="70" t="n">
        <v>607</v>
      </c>
      <c r="E477" s="72" t="inlineStr">
        <is>
          <t>PRIME PET DISTRIBUIDORA LTDA</t>
        </is>
      </c>
      <c r="F477" s="70" t="n">
        <v>24</v>
      </c>
      <c r="G477" s="72" t="inlineStr">
        <is>
          <t>Compra a Prazo - Boletos</t>
        </is>
      </c>
      <c r="H477" s="70" t="n">
        <v>2110101</v>
      </c>
      <c r="I477" s="72" t="inlineStr">
        <is>
          <t>FORNECEDORES DE MERCADORIA</t>
        </is>
      </c>
      <c r="J477" s="70" t="n">
        <v>1177308</v>
      </c>
      <c r="L477" s="70" t="n">
        <v>10643</v>
      </c>
      <c r="M477" s="72" t="inlineStr">
        <is>
          <t>01</t>
        </is>
      </c>
      <c r="N477" s="72" t="inlineStr">
        <is>
          <t>NFE</t>
        </is>
      </c>
      <c r="P477" s="70" t="n">
        <v>103</v>
      </c>
      <c r="Q477" s="72" t="inlineStr">
        <is>
          <t>MILKA FRANCIS</t>
        </is>
      </c>
      <c r="R477" s="72" t="inlineStr">
        <is>
          <t>ESTOQUE DE MERCADORIAS</t>
        </is>
      </c>
      <c r="S477" s="70" t="n">
        <v>1130101</v>
      </c>
      <c r="T477" s="72" t="inlineStr">
        <is>
          <t>MERCADORIAS P/REVENDA</t>
        </is>
      </c>
      <c r="U477" s="73" t="n">
        <v>319.72</v>
      </c>
      <c r="W477" s="73" t="n">
        <v>0</v>
      </c>
      <c r="X477" s="72" t="inlineStr">
        <is>
          <t>NF 10643-01/05 MILKA</t>
        </is>
      </c>
      <c r="Z477" s="59">
        <f>IF($T477="","",IFERROR(INDEX('Resumo Grupos'!$AC$3:$AC$200,MATCH($T477,'Resumo Grupos'!$AB$3:$AB$200,0)),"n/d"))</f>
        <v/>
      </c>
      <c r="AA477" s="59">
        <f>IF($T477="","",IF(COUNTIF('Resumo Grupos'!$AE$3:$AE$40,$T477)&gt;0,"NAO","SIM"))</f>
        <v/>
      </c>
    </row>
    <row r="478" ht="45.75" customHeight="1" s="60">
      <c r="A478" s="70" t="n">
        <v>1</v>
      </c>
      <c r="B478" s="71" t="n">
        <v>46172</v>
      </c>
      <c r="C478" s="71" t="n">
        <v>46192</v>
      </c>
      <c r="D478" s="70" t="n">
        <v>10037</v>
      </c>
      <c r="E478" s="72" t="inlineStr">
        <is>
          <t>FORTVET DISTRIBUIDORA LTDA</t>
        </is>
      </c>
      <c r="F478" s="70" t="n">
        <v>24</v>
      </c>
      <c r="G478" s="72" t="inlineStr">
        <is>
          <t>Compra a Prazo - Boletos</t>
        </is>
      </c>
      <c r="H478" s="70" t="n">
        <v>2110101</v>
      </c>
      <c r="I478" s="72" t="inlineStr">
        <is>
          <t>FORNECEDORES DE MERCADORIA</t>
        </is>
      </c>
      <c r="J478" s="70" t="n">
        <v>1177340</v>
      </c>
      <c r="L478" s="70" t="n">
        <v>2068</v>
      </c>
      <c r="M478" s="72" t="inlineStr">
        <is>
          <t>02</t>
        </is>
      </c>
      <c r="N478" s="72" t="inlineStr">
        <is>
          <t>NFE</t>
        </is>
      </c>
      <c r="P478" s="70" t="n">
        <v>103</v>
      </c>
      <c r="Q478" s="72" t="inlineStr">
        <is>
          <t>MILKA FRANCIS</t>
        </is>
      </c>
      <c r="R478" s="72" t="inlineStr">
        <is>
          <t>ESTOQUE DE MERCADORIAS</t>
        </is>
      </c>
      <c r="S478" s="70" t="n">
        <v>1130101</v>
      </c>
      <c r="T478" s="72" t="inlineStr">
        <is>
          <t>MERCADORIAS P/REVENDA</t>
        </is>
      </c>
      <c r="U478" s="73" t="n">
        <v>1609.45</v>
      </c>
      <c r="W478" s="73" t="n">
        <v>0</v>
      </c>
      <c r="X478" s="72" t="inlineStr">
        <is>
          <t>NF2068-2 MILKA</t>
        </is>
      </c>
      <c r="Z478" s="59">
        <f>IF($T478="","",IFERROR(INDEX('Resumo Grupos'!$AC$3:$AC$200,MATCH($T478,'Resumo Grupos'!$AB$3:$AB$200,0)),"n/d"))</f>
        <v/>
      </c>
      <c r="AA478" s="59">
        <f>IF($T478="","",IF(COUNTIF('Resumo Grupos'!$AE$3:$AE$40,$T478)&gt;0,"NAO","SIM"))</f>
        <v/>
      </c>
    </row>
    <row r="479" ht="45.75" customHeight="1" s="60">
      <c r="A479" s="70" t="n">
        <v>1</v>
      </c>
      <c r="B479" s="71" t="n">
        <v>46175</v>
      </c>
      <c r="C479" s="71" t="n">
        <v>46192</v>
      </c>
      <c r="D479" s="70" t="n">
        <v>1608</v>
      </c>
      <c r="E479" s="72" t="inlineStr">
        <is>
          <t>DISTRIBUIDORA LOPES LTDA</t>
        </is>
      </c>
      <c r="F479" s="70" t="n">
        <v>24</v>
      </c>
      <c r="G479" s="72" t="inlineStr">
        <is>
          <t>Compra a Prazo - Boletos</t>
        </is>
      </c>
      <c r="H479" s="70" t="n">
        <v>2110101</v>
      </c>
      <c r="I479" s="72" t="inlineStr">
        <is>
          <t>FORNECEDORES DE MERCADORIA</t>
        </is>
      </c>
      <c r="J479" s="70" t="n">
        <v>1191825</v>
      </c>
      <c r="L479" s="70" t="n">
        <v>1664084</v>
      </c>
      <c r="M479" s="72" t="inlineStr">
        <is>
          <t>01</t>
        </is>
      </c>
      <c r="N479" s="72" t="inlineStr">
        <is>
          <t>NFE</t>
        </is>
      </c>
      <c r="P479" s="70" t="n">
        <v>103</v>
      </c>
      <c r="Q479" s="72" t="inlineStr">
        <is>
          <t>MILKA FRANCIS</t>
        </is>
      </c>
      <c r="R479" s="72" t="inlineStr">
        <is>
          <t>ESTOQUE DE MERCADORIAS</t>
        </is>
      </c>
      <c r="S479" s="70" t="n">
        <v>1130101</v>
      </c>
      <c r="T479" s="72" t="inlineStr">
        <is>
          <t>MERCADORIAS P/REVENDA</t>
        </is>
      </c>
      <c r="U479" s="73" t="n">
        <v>2151.28</v>
      </c>
      <c r="W479" s="73" t="n">
        <v>0</v>
      </c>
      <c r="X479" s="72" t="inlineStr">
        <is>
          <t>NF 1664084 - MILKA</t>
        </is>
      </c>
      <c r="Z479" s="59">
        <f>IF($T479="","",IFERROR(INDEX('Resumo Grupos'!$AC$3:$AC$200,MATCH($T479,'Resumo Grupos'!$AB$3:$AB$200,0)),"n/d"))</f>
        <v/>
      </c>
      <c r="AA479" s="59">
        <f>IF($T479="","",IF(COUNTIF('Resumo Grupos'!$AE$3:$AE$40,$T479)&gt;0,"NAO","SIM"))</f>
        <v/>
      </c>
    </row>
    <row r="480" ht="54.75" customHeight="1" s="60">
      <c r="A480" s="70" t="n">
        <v>1</v>
      </c>
      <c r="B480" s="71" t="n">
        <v>46179</v>
      </c>
      <c r="C480" s="71" t="n">
        <v>46192</v>
      </c>
      <c r="D480" s="70" t="n">
        <v>1749</v>
      </c>
      <c r="E480" s="72" t="inlineStr">
        <is>
          <t>ORIENTE COM. ATACADISTA E REPRES. LTDA</t>
        </is>
      </c>
      <c r="F480" s="70" t="n">
        <v>24</v>
      </c>
      <c r="G480" s="72" t="inlineStr">
        <is>
          <t>Compra a Prazo - Boletos</t>
        </is>
      </c>
      <c r="H480" s="70" t="n">
        <v>2110101</v>
      </c>
      <c r="I480" s="72" t="inlineStr">
        <is>
          <t>FORNECEDORES DE MERCADORIA</t>
        </is>
      </c>
      <c r="J480" s="70" t="n">
        <v>1212483</v>
      </c>
      <c r="L480" s="70" t="n">
        <v>1383</v>
      </c>
      <c r="M480" s="72" t="inlineStr">
        <is>
          <t>01</t>
        </is>
      </c>
      <c r="N480" s="72" t="inlineStr">
        <is>
          <t>NFE</t>
        </is>
      </c>
      <c r="P480" s="70" t="n">
        <v>103</v>
      </c>
      <c r="Q480" s="72" t="inlineStr">
        <is>
          <t>MILKA FRANCIS</t>
        </is>
      </c>
      <c r="R480" s="72" t="inlineStr">
        <is>
          <t>ESTOQUE DE MERCADORIAS</t>
        </is>
      </c>
      <c r="S480" s="70" t="n">
        <v>1130101</v>
      </c>
      <c r="T480" s="72" t="inlineStr">
        <is>
          <t>MERCADORIAS P/REVENDA</t>
        </is>
      </c>
      <c r="U480" s="73" t="n">
        <v>1857.2</v>
      </c>
      <c r="W480" s="73" t="n">
        <v>0</v>
      </c>
      <c r="X480" s="72" t="inlineStr">
        <is>
          <t>NF 1383 - MILKA</t>
        </is>
      </c>
      <c r="Z480" s="59">
        <f>IF($T480="","",IFERROR(INDEX('Resumo Grupos'!$AC$3:$AC$200,MATCH($T480,'Resumo Grupos'!$AB$3:$AB$200,0)),"n/d"))</f>
        <v/>
      </c>
      <c r="AA480" s="59">
        <f>IF($T480="","",IF(COUNTIF('Resumo Grupos'!$AE$3:$AE$40,$T480)&gt;0,"NAO","SIM"))</f>
        <v/>
      </c>
    </row>
    <row r="481" ht="54.75" customHeight="1" s="60">
      <c r="A481" s="70" t="n">
        <v>1</v>
      </c>
      <c r="B481" s="71" t="n">
        <v>46181</v>
      </c>
      <c r="C481" s="71" t="n">
        <v>46192</v>
      </c>
      <c r="D481" s="70" t="n">
        <v>1270</v>
      </c>
      <c r="E481" s="72" t="inlineStr">
        <is>
          <t>J. S. MOREIRA ALVES LTDA</t>
        </is>
      </c>
      <c r="F481" s="70" t="n">
        <v>24</v>
      </c>
      <c r="G481" s="72" t="inlineStr">
        <is>
          <t>Compra a Prazo - Boletos</t>
        </is>
      </c>
      <c r="H481" s="70" t="n">
        <v>2110101</v>
      </c>
      <c r="I481" s="72" t="inlineStr">
        <is>
          <t>FORNECEDORES DE MERCADORIA</t>
        </is>
      </c>
      <c r="J481" s="70" t="n">
        <v>1221640</v>
      </c>
      <c r="L481" s="70" t="n">
        <v>2488</v>
      </c>
      <c r="M481" s="72" t="inlineStr">
        <is>
          <t>01</t>
        </is>
      </c>
      <c r="N481" s="72" t="inlineStr">
        <is>
          <t>NFE</t>
        </is>
      </c>
      <c r="P481" s="70" t="n">
        <v>103</v>
      </c>
      <c r="Q481" s="72" t="inlineStr">
        <is>
          <t>MILKA FRANCIS</t>
        </is>
      </c>
      <c r="R481" s="72" t="inlineStr">
        <is>
          <t>ESTOQUE DE MERCADORIAS</t>
        </is>
      </c>
      <c r="S481" s="70" t="n">
        <v>1130101</v>
      </c>
      <c r="T481" s="72" t="inlineStr">
        <is>
          <t>MERCADORIAS P/REVENDA</t>
        </is>
      </c>
      <c r="U481" s="73" t="n">
        <v>574.5</v>
      </c>
      <c r="W481" s="73" t="n">
        <v>0</v>
      </c>
      <c r="X481" s="72" t="inlineStr">
        <is>
          <t>NF 2488 - MILKA</t>
        </is>
      </c>
      <c r="Z481" s="59">
        <f>IF($T481="","",IFERROR(INDEX('Resumo Grupos'!$AC$3:$AC$200,MATCH($T481,'Resumo Grupos'!$AB$3:$AB$200,0)),"n/d"))</f>
        <v/>
      </c>
      <c r="AA481" s="59">
        <f>IF($T481="","",IF(COUNTIF('Resumo Grupos'!$AE$3:$AE$40,$T481)&gt;0,"NAO","SIM"))</f>
        <v/>
      </c>
    </row>
    <row r="482" ht="54.75" customHeight="1" s="60">
      <c r="A482" s="70" t="n">
        <v>1</v>
      </c>
      <c r="B482" s="71" t="n">
        <v>46181</v>
      </c>
      <c r="C482" s="71" t="n">
        <v>46192</v>
      </c>
      <c r="D482" s="70" t="n">
        <v>1699</v>
      </c>
      <c r="E482" s="72" t="inlineStr">
        <is>
          <t>L S M COMERCIO DE ALIMENTOS E NAVEGACAO</t>
        </is>
      </c>
      <c r="F482" s="70" t="n">
        <v>24</v>
      </c>
      <c r="G482" s="72" t="inlineStr">
        <is>
          <t>Compra a Prazo - Boletos</t>
        </is>
      </c>
      <c r="H482" s="70" t="n">
        <v>2110101</v>
      </c>
      <c r="I482" s="72" t="inlineStr">
        <is>
          <t>FORNECEDORES DE MERCADORIA</t>
        </is>
      </c>
      <c r="J482" s="70" t="n">
        <v>1222961</v>
      </c>
      <c r="L482" s="70" t="n">
        <v>303409</v>
      </c>
      <c r="M482" s="72" t="inlineStr">
        <is>
          <t>01</t>
        </is>
      </c>
      <c r="N482" s="72" t="inlineStr">
        <is>
          <t>NFE</t>
        </is>
      </c>
      <c r="P482" s="70" t="n">
        <v>103</v>
      </c>
      <c r="Q482" s="72" t="inlineStr">
        <is>
          <t>MILKA FRANCIS</t>
        </is>
      </c>
      <c r="R482" s="72" t="inlineStr">
        <is>
          <t>ESTOQUE DE MERCADORIAS</t>
        </is>
      </c>
      <c r="S482" s="70" t="n">
        <v>1130101</v>
      </c>
      <c r="T482" s="72" t="inlineStr">
        <is>
          <t>MERCADORIAS P/REVENDA</t>
        </is>
      </c>
      <c r="U482" s="73" t="n">
        <v>1037.83</v>
      </c>
      <c r="W482" s="73" t="n">
        <v>0</v>
      </c>
      <c r="X482" s="72" t="inlineStr">
        <is>
          <t>NF 303409 -1 MILKA</t>
        </is>
      </c>
      <c r="Z482" s="59">
        <f>IF($T482="","",IFERROR(INDEX('Resumo Grupos'!$AC$3:$AC$200,MATCH($T482,'Resumo Grupos'!$AB$3:$AB$200,0)),"n/d"))</f>
        <v/>
      </c>
      <c r="AA482" s="59">
        <f>IF($T482="","",IF(COUNTIF('Resumo Grupos'!$AE$3:$AE$40,$T482)&gt;0,"NAO","SIM"))</f>
        <v/>
      </c>
    </row>
    <row r="483" ht="54.75" customHeight="1" s="60">
      <c r="A483" s="70" t="n">
        <v>1</v>
      </c>
      <c r="B483" s="71" t="n">
        <v>46182</v>
      </c>
      <c r="C483" s="71" t="n">
        <v>46192</v>
      </c>
      <c r="D483" s="70" t="n">
        <v>1114</v>
      </c>
      <c r="E483" s="72" t="inlineStr">
        <is>
          <t>NT INDUSTRIA E COMERCIO DE PANIFICACAO L</t>
        </is>
      </c>
      <c r="F483" s="70" t="n">
        <v>24</v>
      </c>
      <c r="G483" s="72" t="inlineStr">
        <is>
          <t>Compra a Prazo - Boletos</t>
        </is>
      </c>
      <c r="H483" s="70" t="n">
        <v>2110101</v>
      </c>
      <c r="I483" s="72" t="inlineStr">
        <is>
          <t>FORNECEDORES DE MERCADORIA</t>
        </is>
      </c>
      <c r="J483" s="70" t="n">
        <v>1227453</v>
      </c>
      <c r="L483" s="70" t="n">
        <v>37663</v>
      </c>
      <c r="M483" s="72" t="inlineStr">
        <is>
          <t>01</t>
        </is>
      </c>
      <c r="N483" s="72" t="inlineStr">
        <is>
          <t>NFE</t>
        </is>
      </c>
      <c r="P483" s="70" t="n">
        <v>103</v>
      </c>
      <c r="Q483" s="72" t="inlineStr">
        <is>
          <t>MILKA FRANCIS</t>
        </is>
      </c>
      <c r="R483" s="72" t="inlineStr">
        <is>
          <t>ESTOQUE DE MERCADORIAS</t>
        </is>
      </c>
      <c r="S483" s="70" t="n">
        <v>1130101</v>
      </c>
      <c r="T483" s="72" t="inlineStr">
        <is>
          <t>MERCADORIAS P/REVENDA</t>
        </is>
      </c>
      <c r="U483" s="73" t="n">
        <v>3462.45</v>
      </c>
      <c r="W483" s="73" t="n">
        <v>0</v>
      </c>
      <c r="X483" s="72" t="inlineStr">
        <is>
          <t>NF 37663 - MILKA</t>
        </is>
      </c>
      <c r="Z483" s="59">
        <f>IF($T483="","",IFERROR(INDEX('Resumo Grupos'!$AC$3:$AC$200,MATCH($T483,'Resumo Grupos'!$AB$3:$AB$200,0)),"n/d"))</f>
        <v/>
      </c>
      <c r="AA483" s="59">
        <f>IF($T483="","",IF(COUNTIF('Resumo Grupos'!$AE$3:$AE$40,$T483)&gt;0,"NAO","SIM"))</f>
        <v/>
      </c>
    </row>
    <row r="484" ht="45.75" customHeight="1" s="60">
      <c r="A484" s="70" t="n">
        <v>1</v>
      </c>
      <c r="B484" s="71" t="n">
        <v>46182</v>
      </c>
      <c r="C484" s="71" t="n">
        <v>46192</v>
      </c>
      <c r="D484" s="70" t="n">
        <v>10002</v>
      </c>
      <c r="E484" s="72" t="inlineStr">
        <is>
          <t>DA FRUTA DISTRIBUIDORA LTDA</t>
        </is>
      </c>
      <c r="F484" s="70" t="n">
        <v>24</v>
      </c>
      <c r="G484" s="72" t="inlineStr">
        <is>
          <t>Compra a Prazo - Boletos</t>
        </is>
      </c>
      <c r="H484" s="70" t="n">
        <v>2110101</v>
      </c>
      <c r="I484" s="72" t="inlineStr">
        <is>
          <t>FORNECEDORES DE MERCADORIA</t>
        </is>
      </c>
      <c r="J484" s="70" t="n">
        <v>1227461</v>
      </c>
      <c r="L484" s="70" t="n">
        <v>195679</v>
      </c>
      <c r="M484" s="72" t="inlineStr">
        <is>
          <t>01</t>
        </is>
      </c>
      <c r="N484" s="72" t="inlineStr">
        <is>
          <t>NFE</t>
        </is>
      </c>
      <c r="P484" s="70" t="n">
        <v>103</v>
      </c>
      <c r="Q484" s="72" t="inlineStr">
        <is>
          <t>MILKA FRANCIS</t>
        </is>
      </c>
      <c r="R484" s="72" t="inlineStr">
        <is>
          <t>ESTOQUE DE MERCADORIAS</t>
        </is>
      </c>
      <c r="S484" s="70" t="n">
        <v>1130101</v>
      </c>
      <c r="T484" s="72" t="inlineStr">
        <is>
          <t>MERCADORIAS P/REVENDA</t>
        </is>
      </c>
      <c r="U484" s="73" t="n">
        <v>632.9400000000001</v>
      </c>
      <c r="W484" s="73" t="n">
        <v>0</v>
      </c>
      <c r="X484" s="72" t="inlineStr">
        <is>
          <t>NF 195679 - MILKA</t>
        </is>
      </c>
      <c r="Z484" s="59">
        <f>IF($T484="","",IFERROR(INDEX('Resumo Grupos'!$AC$3:$AC$200,MATCH($T484,'Resumo Grupos'!$AB$3:$AB$200,0)),"n/d"))</f>
        <v/>
      </c>
      <c r="AA484" s="59">
        <f>IF($T484="","",IF(COUNTIF('Resumo Grupos'!$AE$3:$AE$40,$T484)&gt;0,"NAO","SIM"))</f>
        <v/>
      </c>
    </row>
    <row r="485" ht="36.75" customHeight="1" s="60">
      <c r="A485" s="70" t="n">
        <v>1</v>
      </c>
      <c r="B485" s="71" t="n">
        <v>46188</v>
      </c>
      <c r="C485" s="71" t="n">
        <v>46192</v>
      </c>
      <c r="D485" s="70" t="n">
        <v>1625</v>
      </c>
      <c r="E485" s="72" t="inlineStr">
        <is>
          <t>MAXFRI DISTRIUIDORA LTDA</t>
        </is>
      </c>
      <c r="F485" s="70" t="n">
        <v>34</v>
      </c>
      <c r="G485" s="72" t="inlineStr">
        <is>
          <t>Transferencia Pix</t>
        </is>
      </c>
      <c r="H485" s="70" t="n">
        <v>2110101</v>
      </c>
      <c r="I485" s="72" t="inlineStr">
        <is>
          <t>FORNECEDORES DE MERCADORIA</t>
        </is>
      </c>
      <c r="J485" s="70" t="n">
        <v>1257059</v>
      </c>
      <c r="L485" s="70" t="n">
        <v>14472</v>
      </c>
      <c r="M485" s="72" t="inlineStr">
        <is>
          <t>01</t>
        </is>
      </c>
      <c r="N485" s="72" t="inlineStr">
        <is>
          <t>NFE</t>
        </is>
      </c>
      <c r="P485" s="70" t="n">
        <v>103</v>
      </c>
      <c r="Q485" s="72" t="inlineStr">
        <is>
          <t>MILKA FRANCIS</t>
        </is>
      </c>
      <c r="R485" s="72" t="inlineStr">
        <is>
          <t>ESTOQUE DE MERCADORIAS</t>
        </is>
      </c>
      <c r="S485" s="70" t="n">
        <v>1130101</v>
      </c>
      <c r="T485" s="72" t="inlineStr">
        <is>
          <t>MERCADORIAS P/REVENDA</t>
        </is>
      </c>
      <c r="U485" s="73" t="n">
        <v>5744.5</v>
      </c>
      <c r="W485" s="73" t="n">
        <v>0</v>
      </c>
      <c r="X485" s="72" t="inlineStr">
        <is>
          <t>NF14472 - MILKA</t>
        </is>
      </c>
      <c r="Z485" s="59">
        <f>IF($T485="","",IFERROR(INDEX('Resumo Grupos'!$AC$3:$AC$200,MATCH($T485,'Resumo Grupos'!$AB$3:$AB$200,0)),"n/d"))</f>
        <v/>
      </c>
      <c r="AA485" s="59">
        <f>IF($T485="","",IF(COUNTIF('Resumo Grupos'!$AE$3:$AE$40,$T485)&gt;0,"NAO","SIM"))</f>
        <v/>
      </c>
    </row>
    <row r="486" ht="36.75" customHeight="1" s="60">
      <c r="A486" s="70" t="n">
        <v>1</v>
      </c>
      <c r="B486" s="71" t="n">
        <v>46182</v>
      </c>
      <c r="C486" s="71" t="n">
        <v>46192</v>
      </c>
      <c r="D486" s="70" t="n">
        <v>1815</v>
      </c>
      <c r="E486" s="72" t="inlineStr">
        <is>
          <t>J G COMERCIO DE PRODUTOS ALIMENTICIOS LTDA</t>
        </is>
      </c>
      <c r="F486" s="70" t="n">
        <v>24</v>
      </c>
      <c r="G486" s="72" t="inlineStr">
        <is>
          <t>Compra a Prazo - Boletos</t>
        </is>
      </c>
      <c r="H486" s="70" t="n">
        <v>2110101</v>
      </c>
      <c r="I486" s="72" t="inlineStr">
        <is>
          <t>FORNECEDORES DE MERCADORIA</t>
        </is>
      </c>
      <c r="J486" s="70" t="n">
        <v>1228300</v>
      </c>
      <c r="L486" s="70" t="n">
        <v>385264</v>
      </c>
      <c r="M486" s="72" t="inlineStr">
        <is>
          <t>02</t>
        </is>
      </c>
      <c r="N486" s="72" t="inlineStr">
        <is>
          <t>NFE</t>
        </is>
      </c>
      <c r="P486" s="70" t="n">
        <v>103</v>
      </c>
      <c r="Q486" s="72" t="inlineStr">
        <is>
          <t>MILKA FRANCIS</t>
        </is>
      </c>
      <c r="R486" s="72" t="inlineStr">
        <is>
          <t>ESTOQUE DE MERCADORIAS</t>
        </is>
      </c>
      <c r="S486" s="70" t="n">
        <v>1130101</v>
      </c>
      <c r="T486" s="72" t="inlineStr">
        <is>
          <t>MERCADORIAS P/REVENDA</t>
        </is>
      </c>
      <c r="U486" s="73" t="n">
        <v>1777.43</v>
      </c>
      <c r="W486" s="73" t="n">
        <v>0</v>
      </c>
      <c r="X486" s="72" t="inlineStr">
        <is>
          <t>448617-B/C  NF385264 - MILKA</t>
        </is>
      </c>
      <c r="Z486" s="59">
        <f>IF($T486="","",IFERROR(INDEX('Resumo Grupos'!$AC$3:$AC$200,MATCH($T486,'Resumo Grupos'!$AB$3:$AB$200,0)),"n/d"))</f>
        <v/>
      </c>
      <c r="AA486" s="59">
        <f>IF($T486="","",IF(COUNTIF('Resumo Grupos'!$AE$3:$AE$40,$T486)&gt;0,"NAO","SIM"))</f>
        <v/>
      </c>
    </row>
    <row r="487" ht="36.75" customHeight="1" s="60">
      <c r="A487" s="70" t="n">
        <v>1</v>
      </c>
      <c r="B487" s="71" t="n">
        <v>46188</v>
      </c>
      <c r="C487" s="71" t="n">
        <v>46192</v>
      </c>
      <c r="D487" s="70" t="n">
        <v>1328</v>
      </c>
      <c r="E487" s="72" t="inlineStr">
        <is>
          <t>NOVA FRIOS COMERCIO ATACADISTA DE LATICINIOS LTDA</t>
        </is>
      </c>
      <c r="F487" s="70" t="n">
        <v>24</v>
      </c>
      <c r="G487" s="72" t="inlineStr">
        <is>
          <t>Compra a Prazo - Boletos</t>
        </is>
      </c>
      <c r="H487" s="70" t="n">
        <v>2110101</v>
      </c>
      <c r="I487" s="72" t="inlineStr">
        <is>
          <t>FORNECEDORES DE MERCADORIA</t>
        </is>
      </c>
      <c r="J487" s="70" t="n">
        <v>1254875</v>
      </c>
      <c r="L487" s="70" t="n">
        <v>3756</v>
      </c>
      <c r="M487" s="72" t="inlineStr">
        <is>
          <t>01</t>
        </is>
      </c>
      <c r="N487" s="72" t="inlineStr">
        <is>
          <t>NFE</t>
        </is>
      </c>
      <c r="P487" s="70" t="n">
        <v>103</v>
      </c>
      <c r="Q487" s="72" t="inlineStr">
        <is>
          <t>MILKA FRANCIS</t>
        </is>
      </c>
      <c r="R487" s="72" t="inlineStr">
        <is>
          <t>ESTOQUE DE MERCADORIAS</t>
        </is>
      </c>
      <c r="S487" s="70" t="n">
        <v>1130101</v>
      </c>
      <c r="T487" s="72" t="inlineStr">
        <is>
          <t>MERCADORIAS P/REVENDA</t>
        </is>
      </c>
      <c r="U487" s="73" t="n">
        <v>290</v>
      </c>
      <c r="W487" s="73" t="n">
        <v>0</v>
      </c>
      <c r="X487" s="72" t="inlineStr">
        <is>
          <t>NF 3756 BODEGA DO PAO  - MILKA</t>
        </is>
      </c>
      <c r="Z487" s="59">
        <f>IF($T487="","",IFERROR(INDEX('Resumo Grupos'!$AC$3:$AC$200,MATCH($T487,'Resumo Grupos'!$AB$3:$AB$200,0)),"n/d"))</f>
        <v/>
      </c>
      <c r="AA487" s="59">
        <f>IF($T487="","",IF(COUNTIF('Resumo Grupos'!$AE$3:$AE$40,$T487)&gt;0,"NAO","SIM"))</f>
        <v/>
      </c>
    </row>
    <row r="488" ht="45.75" customHeight="1" s="60">
      <c r="A488" s="70" t="n">
        <v>1</v>
      </c>
      <c r="B488" s="71" t="n">
        <v>46188</v>
      </c>
      <c r="C488" s="71" t="n">
        <v>46192</v>
      </c>
      <c r="D488" s="70" t="n">
        <v>1286</v>
      </c>
      <c r="E488" s="72" t="inlineStr">
        <is>
          <t>VITAPAN COMERCIO VAREJISTA DE PRODUTOS ALIMENTICIOS LTDA</t>
        </is>
      </c>
      <c r="F488" s="70" t="n">
        <v>24</v>
      </c>
      <c r="G488" s="72" t="inlineStr">
        <is>
          <t>Compra a Prazo - Boletos</t>
        </is>
      </c>
      <c r="H488" s="70" t="n">
        <v>2110101</v>
      </c>
      <c r="I488" s="72" t="inlineStr">
        <is>
          <t>FORNECEDORES DE MERCADORIA</t>
        </is>
      </c>
      <c r="J488" s="70" t="n">
        <v>1255236</v>
      </c>
      <c r="L488" s="70" t="n">
        <v>10085</v>
      </c>
      <c r="M488" s="72" t="inlineStr">
        <is>
          <t>01</t>
        </is>
      </c>
      <c r="N488" s="72" t="inlineStr">
        <is>
          <t>NFE</t>
        </is>
      </c>
      <c r="P488" s="70" t="n">
        <v>103</v>
      </c>
      <c r="Q488" s="72" t="inlineStr">
        <is>
          <t>MILKA FRANCIS</t>
        </is>
      </c>
      <c r="R488" s="72" t="inlineStr">
        <is>
          <t>ESTOQUE DE MERCADORIAS</t>
        </is>
      </c>
      <c r="S488" s="70" t="n">
        <v>1130101</v>
      </c>
      <c r="T488" s="72" t="inlineStr">
        <is>
          <t>MERCADORIAS P/REVENDA</t>
        </is>
      </c>
      <c r="U488" s="73" t="n">
        <v>1458</v>
      </c>
      <c r="W488" s="73" t="n">
        <v>0</v>
      </c>
      <c r="X488" s="72" t="inlineStr">
        <is>
          <t>NF 10085 - MILKA</t>
        </is>
      </c>
      <c r="Z488" s="59">
        <f>IF($T488="","",IFERROR(INDEX('Resumo Grupos'!$AC$3:$AC$200,MATCH($T488,'Resumo Grupos'!$AB$3:$AB$200,0)),"n/d"))</f>
        <v/>
      </c>
      <c r="AA488" s="59">
        <f>IF($T488="","",IF(COUNTIF('Resumo Grupos'!$AE$3:$AE$40,$T488)&gt;0,"NAO","SIM"))</f>
        <v/>
      </c>
    </row>
    <row r="489" ht="36.75" customHeight="1" s="60">
      <c r="A489" s="70" t="n">
        <v>1</v>
      </c>
      <c r="B489" s="71" t="n">
        <v>46188</v>
      </c>
      <c r="C489" s="71" t="n">
        <v>46192</v>
      </c>
      <c r="D489" s="70" t="n">
        <v>1292</v>
      </c>
      <c r="E489" s="72" t="inlineStr">
        <is>
          <t>SAO JOSE COMERCIO DE LATICINIOS E FRIOS</t>
        </is>
      </c>
      <c r="F489" s="70" t="n">
        <v>24</v>
      </c>
      <c r="G489" s="72" t="inlineStr">
        <is>
          <t>Compra a Prazo - Boletos</t>
        </is>
      </c>
      <c r="H489" s="70" t="n">
        <v>2110102</v>
      </c>
      <c r="I489" s="72" t="inlineStr">
        <is>
          <t>OUTROS FORNECEDORES</t>
        </is>
      </c>
      <c r="J489" s="70" t="n">
        <v>1255264</v>
      </c>
      <c r="L489" s="70" t="n">
        <v>3396</v>
      </c>
      <c r="M489" s="72" t="inlineStr">
        <is>
          <t>01</t>
        </is>
      </c>
      <c r="N489" s="72" t="inlineStr">
        <is>
          <t>NFE</t>
        </is>
      </c>
      <c r="P489" s="70" t="n">
        <v>103</v>
      </c>
      <c r="Q489" s="72" t="inlineStr">
        <is>
          <t>MILKA FRANCIS</t>
        </is>
      </c>
      <c r="R489" s="72" t="inlineStr">
        <is>
          <t>DESPESAS OPERACIONAIS</t>
        </is>
      </c>
      <c r="S489" s="70" t="n">
        <v>4210204</v>
      </c>
      <c r="T489" s="72" t="inlineStr">
        <is>
          <t>MATERIAL DE CONSUMO</t>
        </is>
      </c>
      <c r="U489" s="73" t="n">
        <v>448.5</v>
      </c>
      <c r="W489" s="73" t="n">
        <v>0</v>
      </c>
      <c r="X489" s="72" t="inlineStr">
        <is>
          <t>NF 3396 SABORE/PADARIA - MILKA</t>
        </is>
      </c>
      <c r="Z489" s="59">
        <f>IF($T489="","",IFERROR(INDEX('Resumo Grupos'!$AC$3:$AC$200,MATCH($T489,'Resumo Grupos'!$AB$3:$AB$200,0)),"n/d"))</f>
        <v/>
      </c>
      <c r="AA489" s="59">
        <f>IF($T489="","",IF(COUNTIF('Resumo Grupos'!$AE$3:$AE$40,$T489)&gt;0,"NAO","SIM"))</f>
        <v/>
      </c>
    </row>
    <row r="490" ht="54.75" customHeight="1" s="60">
      <c r="A490" s="70" t="n">
        <v>1</v>
      </c>
      <c r="B490" s="71" t="n">
        <v>46188</v>
      </c>
      <c r="C490" s="71" t="n">
        <v>46192</v>
      </c>
      <c r="D490" s="70" t="n">
        <v>1292</v>
      </c>
      <c r="E490" s="72" t="inlineStr">
        <is>
          <t>SAO JOSE COMERCIO DE LATICINIOS E FRIOS</t>
        </is>
      </c>
      <c r="F490" s="70" t="n">
        <v>24</v>
      </c>
      <c r="G490" s="72" t="inlineStr">
        <is>
          <t>Compra a Prazo - Boletos</t>
        </is>
      </c>
      <c r="H490" s="70" t="n">
        <v>2110101</v>
      </c>
      <c r="I490" s="72" t="inlineStr">
        <is>
          <t>FORNECEDORES DE MERCADORIA</t>
        </is>
      </c>
      <c r="J490" s="70" t="n">
        <v>1255280</v>
      </c>
      <c r="L490" s="70" t="n">
        <v>3395</v>
      </c>
      <c r="M490" s="72" t="inlineStr">
        <is>
          <t>01</t>
        </is>
      </c>
      <c r="N490" s="72" t="inlineStr">
        <is>
          <t>NFE</t>
        </is>
      </c>
      <c r="P490" s="70" t="n">
        <v>103</v>
      </c>
      <c r="Q490" s="72" t="inlineStr">
        <is>
          <t>MILKA FRANCIS</t>
        </is>
      </c>
      <c r="R490" s="72" t="inlineStr">
        <is>
          <t>ESTOQUE DE MERCADORIAS</t>
        </is>
      </c>
      <c r="S490" s="70" t="n">
        <v>1130101</v>
      </c>
      <c r="T490" s="72" t="inlineStr">
        <is>
          <t>MERCADORIAS P/REVENDA</t>
        </is>
      </c>
      <c r="U490" s="73" t="n">
        <v>1548.5</v>
      </c>
      <c r="W490" s="73" t="n">
        <v>0</v>
      </c>
      <c r="X490" s="72" t="inlineStr">
        <is>
          <t>NF 3395 SABORE FATIADO - MILKA</t>
        </is>
      </c>
      <c r="Z490" s="59">
        <f>IF($T490="","",IFERROR(INDEX('Resumo Grupos'!$AC$3:$AC$200,MATCH($T490,'Resumo Grupos'!$AB$3:$AB$200,0)),"n/d"))</f>
        <v/>
      </c>
      <c r="AA490" s="59">
        <f>IF($T490="","",IF(COUNTIF('Resumo Grupos'!$AE$3:$AE$40,$T490)&gt;0,"NAO","SIM"))</f>
        <v/>
      </c>
    </row>
    <row r="491" ht="36.75" customHeight="1" s="60">
      <c r="A491" s="70" t="n">
        <v>1</v>
      </c>
      <c r="B491" s="71" t="n">
        <v>46188</v>
      </c>
      <c r="C491" s="71" t="n">
        <v>46192</v>
      </c>
      <c r="D491" s="70" t="n">
        <v>1621</v>
      </c>
      <c r="E491" s="72" t="inlineStr">
        <is>
          <t>CRBS S/A</t>
        </is>
      </c>
      <c r="F491" s="70" t="n">
        <v>24</v>
      </c>
      <c r="G491" s="72" t="inlineStr">
        <is>
          <t>Compra a Prazo - Boletos</t>
        </is>
      </c>
      <c r="H491" s="70" t="n">
        <v>2110101</v>
      </c>
      <c r="I491" s="72" t="inlineStr">
        <is>
          <t>FORNECEDORES DE MERCADORIA</t>
        </is>
      </c>
      <c r="J491" s="70" t="n">
        <v>1255420</v>
      </c>
      <c r="L491" s="70" t="n">
        <v>854458</v>
      </c>
      <c r="M491" s="72" t="inlineStr">
        <is>
          <t>01</t>
        </is>
      </c>
      <c r="N491" s="72" t="inlineStr">
        <is>
          <t>NFE</t>
        </is>
      </c>
      <c r="P491" s="70" t="n">
        <v>103</v>
      </c>
      <c r="Q491" s="72" t="inlineStr">
        <is>
          <t>MILKA FRANCIS</t>
        </is>
      </c>
      <c r="R491" s="72" t="inlineStr">
        <is>
          <t>ESTOQUE DE MERCADORIAS</t>
        </is>
      </c>
      <c r="S491" s="70" t="n">
        <v>1130101</v>
      </c>
      <c r="T491" s="72" t="inlineStr">
        <is>
          <t>MERCADORIAS P/REVENDA</t>
        </is>
      </c>
      <c r="U491" s="73" t="n">
        <v>1234.22</v>
      </c>
      <c r="W491" s="73" t="n">
        <v>0</v>
      </c>
      <c r="X491" s="72" t="inlineStr">
        <is>
          <t>NF 854458 - MILKA</t>
        </is>
      </c>
      <c r="Z491" s="59">
        <f>IF($T491="","",IFERROR(INDEX('Resumo Grupos'!$AC$3:$AC$200,MATCH($T491,'Resumo Grupos'!$AB$3:$AB$200,0)),"n/d"))</f>
        <v/>
      </c>
      <c r="AA491" s="59">
        <f>IF($T491="","",IF(COUNTIF('Resumo Grupos'!$AE$3:$AE$40,$T491)&gt;0,"NAO","SIM"))</f>
        <v/>
      </c>
    </row>
    <row r="492" ht="45.75" customHeight="1" s="60">
      <c r="A492" s="70" t="n">
        <v>1</v>
      </c>
      <c r="B492" s="71" t="n">
        <v>46189</v>
      </c>
      <c r="C492" s="71" t="n">
        <v>46192</v>
      </c>
      <c r="D492" s="70" t="n">
        <v>1947</v>
      </c>
      <c r="E492" s="72" t="inlineStr">
        <is>
          <t>E S O CONSULTORIA EIRELI</t>
        </is>
      </c>
      <c r="F492" s="70" t="n">
        <v>34</v>
      </c>
      <c r="G492" s="72" t="inlineStr">
        <is>
          <t>Transferencia Pix</t>
        </is>
      </c>
      <c r="H492" s="70" t="n">
        <v>2110405</v>
      </c>
      <c r="I492" s="72" t="inlineStr">
        <is>
          <t>CONTAS A PAGAR</t>
        </is>
      </c>
      <c r="J492" s="70" t="n">
        <v>1261579</v>
      </c>
      <c r="L492" s="70" t="n">
        <v>526</v>
      </c>
      <c r="M492" s="72" t="inlineStr">
        <is>
          <t>01</t>
        </is>
      </c>
      <c r="N492" s="72" t="inlineStr">
        <is>
          <t>AVU</t>
        </is>
      </c>
      <c r="P492" s="70" t="n">
        <v>101</v>
      </c>
      <c r="Q492" s="72" t="inlineStr">
        <is>
          <t>KEILA LIMA</t>
        </is>
      </c>
      <c r="R492" s="72" t="inlineStr">
        <is>
          <t>DESPESAS COM PESSOAL</t>
        </is>
      </c>
      <c r="S492" s="70" t="n">
        <v>4210303</v>
      </c>
      <c r="T492" s="72" t="inlineStr">
        <is>
          <t>INSS (PREVIDENCIA SOCIAL)</t>
        </is>
      </c>
      <c r="U492" s="73" t="n">
        <v>3321.68</v>
      </c>
      <c r="W492" s="73" t="n">
        <v>0</v>
      </c>
      <c r="X492" s="72" t="inlineStr">
        <is>
          <t>INSS MO1 05/26 - KEILA</t>
        </is>
      </c>
      <c r="Z492" s="59">
        <f>IF($T492="","",IFERROR(INDEX('Resumo Grupos'!$AC$3:$AC$200,MATCH($T492,'Resumo Grupos'!$AB$3:$AB$200,0)),"n/d"))</f>
        <v/>
      </c>
      <c r="AA492" s="59">
        <f>IF($T492="","",IF(COUNTIF('Resumo Grupos'!$AE$3:$AE$40,$T492)&gt;0,"NAO","SIM"))</f>
        <v/>
      </c>
    </row>
    <row r="493" ht="54.75" customHeight="1" s="60">
      <c r="A493" s="70" t="n">
        <v>1</v>
      </c>
      <c r="B493" s="71" t="n">
        <v>46189</v>
      </c>
      <c r="C493" s="71" t="n">
        <v>46192</v>
      </c>
      <c r="D493" s="70" t="n">
        <v>1947</v>
      </c>
      <c r="E493" s="72" t="inlineStr">
        <is>
          <t>E S O CONSULTORIA EIRELI</t>
        </is>
      </c>
      <c r="F493" s="70" t="n">
        <v>34</v>
      </c>
      <c r="G493" s="72" t="inlineStr">
        <is>
          <t>Transferencia Pix</t>
        </is>
      </c>
      <c r="H493" s="70" t="n">
        <v>2110405</v>
      </c>
      <c r="I493" s="72" t="inlineStr">
        <is>
          <t>CONTAS A PAGAR</t>
        </is>
      </c>
      <c r="J493" s="70" t="n">
        <v>1261584</v>
      </c>
      <c r="L493" s="70" t="n">
        <v>5</v>
      </c>
      <c r="M493" s="72" t="inlineStr">
        <is>
          <t>01</t>
        </is>
      </c>
      <c r="N493" s="72" t="inlineStr">
        <is>
          <t>AVU</t>
        </is>
      </c>
      <c r="P493" s="70" t="n">
        <v>101</v>
      </c>
      <c r="Q493" s="72" t="inlineStr">
        <is>
          <t>KEILA LIMA</t>
        </is>
      </c>
      <c r="R493" s="72" t="inlineStr">
        <is>
          <t>DESPESAS COM PESSOAL</t>
        </is>
      </c>
      <c r="S493" s="70" t="n">
        <v>4210302</v>
      </c>
      <c r="T493" s="72" t="inlineStr">
        <is>
          <t>FGTS</t>
        </is>
      </c>
      <c r="U493" s="73" t="n">
        <v>6452.57</v>
      </c>
      <c r="W493" s="73" t="n">
        <v>0</v>
      </c>
      <c r="X493" s="72" t="inlineStr">
        <is>
          <t>FGTS MO1 05/26 - KEILA</t>
        </is>
      </c>
      <c r="Z493" s="59">
        <f>IF($T493="","",IFERROR(INDEX('Resumo Grupos'!$AC$3:$AC$200,MATCH($T493,'Resumo Grupos'!$AB$3:$AB$200,0)),"n/d"))</f>
        <v/>
      </c>
      <c r="AA493" s="59">
        <f>IF($T493="","",IF(COUNTIF('Resumo Grupos'!$AE$3:$AE$40,$T493)&gt;0,"NAO","SIM"))</f>
        <v/>
      </c>
    </row>
    <row r="494" ht="45.75" customHeight="1" s="60">
      <c r="A494" s="70" t="n">
        <v>1</v>
      </c>
      <c r="B494" s="71" t="n">
        <v>46191</v>
      </c>
      <c r="C494" s="71" t="n">
        <v>46192</v>
      </c>
      <c r="D494" s="70" t="n">
        <v>1642</v>
      </c>
      <c r="E494" s="72" t="inlineStr">
        <is>
          <t>BROTHERS  INDUSTRIA DE ALIMENTOS LTDA</t>
        </is>
      </c>
      <c r="F494" s="70" t="n">
        <v>24</v>
      </c>
      <c r="G494" s="72" t="inlineStr">
        <is>
          <t>Compra a Prazo - Boletos</t>
        </is>
      </c>
      <c r="H494" s="70" t="n">
        <v>2110101</v>
      </c>
      <c r="I494" s="72" t="inlineStr">
        <is>
          <t>FORNECEDORES DE MERCADORIA</t>
        </is>
      </c>
      <c r="J494" s="70" t="n">
        <v>1269474</v>
      </c>
      <c r="L494" s="70" t="n">
        <v>1026816</v>
      </c>
      <c r="M494" s="72" t="inlineStr">
        <is>
          <t>01</t>
        </is>
      </c>
      <c r="N494" s="72" t="inlineStr">
        <is>
          <t>NFE</t>
        </is>
      </c>
      <c r="P494" s="70" t="n">
        <v>103</v>
      </c>
      <c r="Q494" s="72" t="inlineStr">
        <is>
          <t>MILKA FRANCIS</t>
        </is>
      </c>
      <c r="R494" s="72" t="inlineStr">
        <is>
          <t>ESTOQUE DE MERCADORIAS</t>
        </is>
      </c>
      <c r="S494" s="70" t="n">
        <v>1130101</v>
      </c>
      <c r="T494" s="72" t="inlineStr">
        <is>
          <t>MERCADORIAS P/REVENDA</t>
        </is>
      </c>
      <c r="U494" s="73" t="n">
        <v>726.08</v>
      </c>
      <c r="W494" s="73" t="n">
        <v>0</v>
      </c>
      <c r="X494" s="72" t="inlineStr">
        <is>
          <t>NF 1026816 - MILKA</t>
        </is>
      </c>
      <c r="Z494" s="59">
        <f>IF($T494="","",IFERROR(INDEX('Resumo Grupos'!$AC$3:$AC$200,MATCH($T494,'Resumo Grupos'!$AB$3:$AB$200,0)),"n/d"))</f>
        <v/>
      </c>
      <c r="AA494" s="59">
        <f>IF($T494="","",IF(COUNTIF('Resumo Grupos'!$AE$3:$AE$40,$T494)&gt;0,"NAO","SIM"))</f>
        <v/>
      </c>
    </row>
    <row r="495" ht="45.75" customHeight="1" s="60">
      <c r="A495" s="70" t="n">
        <v>1</v>
      </c>
      <c r="B495" s="71" t="n">
        <v>46192</v>
      </c>
      <c r="C495" s="71" t="n">
        <v>46192</v>
      </c>
      <c r="D495" s="70" t="n">
        <v>10026</v>
      </c>
      <c r="E495" s="72" t="inlineStr">
        <is>
          <t>SWTL SERVICOS DE INFORMATICA LTDA</t>
        </is>
      </c>
      <c r="F495" s="70" t="n">
        <v>24</v>
      </c>
      <c r="G495" s="72" t="inlineStr">
        <is>
          <t>Compra a Prazo - Boletos</t>
        </is>
      </c>
      <c r="H495" s="70" t="n">
        <v>2110405</v>
      </c>
      <c r="I495" s="72" t="inlineStr">
        <is>
          <t>CONTAS A PAGAR</t>
        </is>
      </c>
      <c r="J495" s="70" t="n">
        <v>1273703</v>
      </c>
      <c r="L495" s="70" t="n">
        <v>528630</v>
      </c>
      <c r="M495" s="72" t="inlineStr">
        <is>
          <t>01</t>
        </is>
      </c>
      <c r="N495" s="72" t="inlineStr">
        <is>
          <t>AVU</t>
        </is>
      </c>
      <c r="P495" s="70" t="n">
        <v>101</v>
      </c>
      <c r="Q495" s="72" t="inlineStr">
        <is>
          <t>KEILA LIMA</t>
        </is>
      </c>
      <c r="R495" s="72" t="inlineStr">
        <is>
          <t>BENS INTANGIVEIS</t>
        </is>
      </c>
      <c r="S495" s="70" t="n">
        <v>1240203</v>
      </c>
      <c r="T495" s="72" t="inlineStr">
        <is>
          <t>SISTEMAS APLICATIVOS</t>
        </is>
      </c>
      <c r="U495" s="73" t="n">
        <v>666.67</v>
      </c>
      <c r="W495" s="73" t="n">
        <v>0</v>
      </c>
      <c r="X495" s="72" t="inlineStr">
        <is>
          <t>MENSALIDADE CONSULTORIA SISTEMA CISS -KEILA</t>
        </is>
      </c>
      <c r="Z495" s="59">
        <f>IF($T495="","",IFERROR(INDEX('Resumo Grupos'!$AC$3:$AC$200,MATCH($T495,'Resumo Grupos'!$AB$3:$AB$200,0)),"n/d"))</f>
        <v/>
      </c>
      <c r="AA495" s="59">
        <f>IF($T495="","",IF(COUNTIF('Resumo Grupos'!$AE$3:$AE$40,$T495)&gt;0,"NAO","SIM"))</f>
        <v/>
      </c>
    </row>
    <row r="496" ht="45.75" customHeight="1" s="60">
      <c r="A496" s="70" t="n">
        <v>1</v>
      </c>
      <c r="B496" s="71" t="n">
        <v>46192</v>
      </c>
      <c r="C496" s="71" t="n">
        <v>46192</v>
      </c>
      <c r="D496" s="70" t="n">
        <v>10026</v>
      </c>
      <c r="E496" s="72" t="inlineStr">
        <is>
          <t>SWTL SERVICOS DE INFORMATICA LTDA</t>
        </is>
      </c>
      <c r="F496" s="70" t="n">
        <v>24</v>
      </c>
      <c r="G496" s="72" t="inlineStr">
        <is>
          <t>Compra a Prazo - Boletos</t>
        </is>
      </c>
      <c r="H496" s="70" t="n">
        <v>2110405</v>
      </c>
      <c r="I496" s="72" t="inlineStr">
        <is>
          <t>CONTAS A PAGAR</t>
        </is>
      </c>
      <c r="J496" s="70" t="n">
        <v>1273723</v>
      </c>
      <c r="L496" s="70" t="n">
        <v>528632</v>
      </c>
      <c r="M496" s="72" t="inlineStr">
        <is>
          <t>01</t>
        </is>
      </c>
      <c r="N496" s="72" t="inlineStr">
        <is>
          <t>AVU</t>
        </is>
      </c>
      <c r="P496" s="70" t="n">
        <v>101</v>
      </c>
      <c r="Q496" s="72" t="inlineStr">
        <is>
          <t>KEILA LIMA</t>
        </is>
      </c>
      <c r="R496" s="72" t="inlineStr">
        <is>
          <t>DESPESAS NAO OPERACIONAIS</t>
        </is>
      </c>
      <c r="S496" s="70" t="n">
        <v>4220199</v>
      </c>
      <c r="T496" s="72" t="inlineStr">
        <is>
          <t>PAGAMENTOS OUTROS NAO OPERACIONAIS</t>
        </is>
      </c>
      <c r="U496" s="73" t="n">
        <v>2000</v>
      </c>
      <c r="W496" s="73" t="n">
        <v>0</v>
      </c>
      <c r="X496" s="72" t="inlineStr">
        <is>
          <t>MENSALIDADE CONSULTORIA LOJAS NAO SOMAR RATEAD</t>
        </is>
      </c>
      <c r="Z496" s="59">
        <f>IF($T496="","",IFERROR(INDEX('Resumo Grupos'!$AC$3:$AC$200,MATCH($T496,'Resumo Grupos'!$AB$3:$AB$200,0)),"n/d"))</f>
        <v/>
      </c>
      <c r="AA496" s="59">
        <f>IF($T496="","",IF(COUNTIF('Resumo Grupos'!$AE$3:$AE$40,$T496)&gt;0,"NAO","SIM"))</f>
        <v/>
      </c>
    </row>
    <row r="497" ht="63.75" customHeight="1" s="60">
      <c r="A497" s="70" t="n">
        <v>1</v>
      </c>
      <c r="B497" s="71" t="n">
        <v>46192</v>
      </c>
      <c r="C497" s="71" t="n">
        <v>46192</v>
      </c>
      <c r="D497" s="70" t="n">
        <v>33</v>
      </c>
      <c r="E497" s="72" t="inlineStr">
        <is>
          <t>RENATO DE O AZEVEDO E CIA LTDA - EPP</t>
        </is>
      </c>
      <c r="F497" s="70" t="n">
        <v>34</v>
      </c>
      <c r="G497" s="72" t="inlineStr">
        <is>
          <t>Transferencia Pix</t>
        </is>
      </c>
      <c r="H497" s="70" t="n">
        <v>2110101</v>
      </c>
      <c r="I497" s="72" t="inlineStr">
        <is>
          <t>FORNECEDORES DE MERCADORIA</t>
        </is>
      </c>
      <c r="J497" s="70" t="n">
        <v>1273837</v>
      </c>
      <c r="L497" s="70" t="n">
        <v>5152</v>
      </c>
      <c r="M497" s="72" t="inlineStr">
        <is>
          <t>01</t>
        </is>
      </c>
      <c r="N497" s="72" t="inlineStr">
        <is>
          <t>NFE</t>
        </is>
      </c>
      <c r="P497" s="70" t="n">
        <v>104</v>
      </c>
      <c r="Q497" s="72" t="inlineStr">
        <is>
          <t>DEBORA COSTA</t>
        </is>
      </c>
      <c r="R497" s="72" t="inlineStr">
        <is>
          <t>ESTOQUE DE MERCADORIAS</t>
        </is>
      </c>
      <c r="S497" s="70" t="n">
        <v>1130101</v>
      </c>
      <c r="T497" s="72" t="inlineStr">
        <is>
          <t>MERCADORIAS P/REVENDA</t>
        </is>
      </c>
      <c r="U497" s="73" t="n">
        <v>3499.95</v>
      </c>
      <c r="W497" s="73" t="n">
        <v>0</v>
      </c>
      <c r="X497" s="72" t="inlineStr">
        <is>
          <t>FEIRA SR RENATO - DEBORA</t>
        </is>
      </c>
      <c r="Z497" s="59">
        <f>IF($T497="","",IFERROR(INDEX('Resumo Grupos'!$AC$3:$AC$200,MATCH($T497,'Resumo Grupos'!$AB$3:$AB$200,0)),"n/d"))</f>
        <v/>
      </c>
      <c r="AA497" s="59">
        <f>IF($T497="","",IF(COUNTIF('Resumo Grupos'!$AE$3:$AE$40,$T497)&gt;0,"NAO","SIM"))</f>
        <v/>
      </c>
    </row>
    <row r="498" ht="63.75" customHeight="1" s="60">
      <c r="A498" s="70" t="n">
        <v>1</v>
      </c>
      <c r="B498" s="71" t="n">
        <v>46195</v>
      </c>
      <c r="C498" s="71" t="n">
        <v>46192</v>
      </c>
      <c r="D498" s="70" t="n">
        <v>1391</v>
      </c>
      <c r="E498" s="72" t="inlineStr">
        <is>
          <t>D N COMERCIO ATACADISTA DE EMBALAGENS E</t>
        </is>
      </c>
      <c r="F498" s="70" t="n">
        <v>34</v>
      </c>
      <c r="G498" s="72" t="inlineStr">
        <is>
          <t>Transferencia Pix</t>
        </is>
      </c>
      <c r="H498" s="70" t="n">
        <v>2110101</v>
      </c>
      <c r="I498" s="72" t="inlineStr">
        <is>
          <t>FORNECEDORES DE MERCADORIA</t>
        </is>
      </c>
      <c r="J498" s="70" t="n">
        <v>1289245</v>
      </c>
      <c r="L498" s="70" t="n">
        <v>402</v>
      </c>
      <c r="M498" s="72" t="inlineStr">
        <is>
          <t>01</t>
        </is>
      </c>
      <c r="N498" s="72" t="inlineStr">
        <is>
          <t>NFE</t>
        </is>
      </c>
      <c r="P498" s="70" t="n">
        <v>103</v>
      </c>
      <c r="Q498" s="72" t="inlineStr">
        <is>
          <t>MILKA FRANCIS</t>
        </is>
      </c>
      <c r="R498" s="72" t="inlineStr">
        <is>
          <t>ESTOQUE DE MERCADORIAS</t>
        </is>
      </c>
      <c r="S498" s="70" t="n">
        <v>1130101</v>
      </c>
      <c r="T498" s="72" t="inlineStr">
        <is>
          <t>MERCADORIAS P/REVENDA</t>
        </is>
      </c>
      <c r="U498" s="73" t="n">
        <v>2485</v>
      </c>
      <c r="W498" s="73" t="n">
        <v>0</v>
      </c>
      <c r="X498" s="72" t="inlineStr">
        <is>
          <t>NF 402/ PGTO P/ CARLINDO EM 19/06/26 - MILKA</t>
        </is>
      </c>
      <c r="Z498" s="59">
        <f>IF($T498="","",IFERROR(INDEX('Resumo Grupos'!$AC$3:$AC$200,MATCH($T498,'Resumo Grupos'!$AB$3:$AB$200,0)),"n/d"))</f>
        <v/>
      </c>
      <c r="AA498" s="59">
        <f>IF($T498="","",IF(COUNTIF('Resumo Grupos'!$AE$3:$AE$40,$T498)&gt;0,"NAO","SIM"))</f>
        <v/>
      </c>
    </row>
    <row r="499" ht="45.75" customHeight="1" s="60">
      <c r="A499" s="70" t="n">
        <v>1</v>
      </c>
      <c r="B499" s="71" t="n">
        <v>46192</v>
      </c>
      <c r="C499" s="71" t="n">
        <v>46192</v>
      </c>
      <c r="D499" s="70" t="n">
        <v>978</v>
      </c>
      <c r="E499" s="72" t="inlineStr">
        <is>
          <t>GELO DANGELO FABRICACAO DE GELO LTDA</t>
        </is>
      </c>
      <c r="F499" s="70" t="n">
        <v>13</v>
      </c>
      <c r="G499" s="72" t="inlineStr">
        <is>
          <t>Compra a Vista</t>
        </is>
      </c>
      <c r="H499" s="70" t="n">
        <v>2110101</v>
      </c>
      <c r="I499" s="72" t="inlineStr">
        <is>
          <t>FORNECEDORES DE MERCADORIA</t>
        </is>
      </c>
      <c r="J499" s="70" t="n">
        <v>1309020</v>
      </c>
      <c r="L499" s="70" t="n">
        <v>298</v>
      </c>
      <c r="M499" s="72" t="inlineStr">
        <is>
          <t>01</t>
        </is>
      </c>
      <c r="N499" s="72" t="inlineStr">
        <is>
          <t>NFE</t>
        </is>
      </c>
      <c r="P499" s="70" t="n">
        <v>104</v>
      </c>
      <c r="Q499" s="72" t="inlineStr">
        <is>
          <t>DEBORA COSTA</t>
        </is>
      </c>
      <c r="R499" s="72" t="inlineStr">
        <is>
          <t>ESTOQUE DE MERCADORIAS</t>
        </is>
      </c>
      <c r="S499" s="70" t="n">
        <v>1130101</v>
      </c>
      <c r="T499" s="72" t="inlineStr">
        <is>
          <t>MERCADORIAS P/REVENDA</t>
        </is>
      </c>
      <c r="U499" s="73" t="n">
        <v>494</v>
      </c>
      <c r="W499" s="73" t="n">
        <v>0</v>
      </c>
      <c r="X499" s="72" t="inlineStr">
        <is>
          <t>NF 298 - DEBORA</t>
        </is>
      </c>
      <c r="Z499" s="59">
        <f>IF($T499="","",IFERROR(INDEX('Resumo Grupos'!$AC$3:$AC$200,MATCH($T499,'Resumo Grupos'!$AB$3:$AB$200,0)),"n/d"))</f>
        <v/>
      </c>
      <c r="AA499" s="59">
        <f>IF($T499="","",IF(COUNTIF('Resumo Grupos'!$AE$3:$AE$40,$T499)&gt;0,"NAO","SIM"))</f>
        <v/>
      </c>
    </row>
    <row r="500" ht="36.75" customHeight="1" s="60">
      <c r="A500" s="70" t="n">
        <v>1</v>
      </c>
      <c r="B500" s="71" t="n">
        <v>46192</v>
      </c>
      <c r="C500" s="71" t="n">
        <v>46192</v>
      </c>
      <c r="D500" s="70" t="n">
        <v>10035</v>
      </c>
      <c r="E500" s="72" t="inlineStr">
        <is>
          <t>J W N DOS SANTOS</t>
        </is>
      </c>
      <c r="F500" s="70" t="n">
        <v>34</v>
      </c>
      <c r="G500" s="72" t="inlineStr">
        <is>
          <t>Transferencia Pix</t>
        </is>
      </c>
      <c r="H500" s="70" t="n">
        <v>2110101</v>
      </c>
      <c r="I500" s="72" t="inlineStr">
        <is>
          <t>FORNECEDORES DE MERCADORIA</t>
        </is>
      </c>
      <c r="J500" s="70" t="n">
        <v>1309128</v>
      </c>
      <c r="L500" s="70" t="n">
        <v>314</v>
      </c>
      <c r="M500" s="72" t="inlineStr">
        <is>
          <t>01</t>
        </is>
      </c>
      <c r="N500" s="72" t="inlineStr">
        <is>
          <t>NFE</t>
        </is>
      </c>
      <c r="P500" s="70" t="n">
        <v>104</v>
      </c>
      <c r="Q500" s="72" t="inlineStr">
        <is>
          <t>DEBORA COSTA</t>
        </is>
      </c>
      <c r="R500" s="72" t="inlineStr">
        <is>
          <t>ESTOQUE DE MERCADORIAS</t>
        </is>
      </c>
      <c r="S500" s="70" t="n">
        <v>1130101</v>
      </c>
      <c r="T500" s="72" t="inlineStr">
        <is>
          <t>MERCADORIAS P/REVENDA</t>
        </is>
      </c>
      <c r="U500" s="73" t="n">
        <v>837</v>
      </c>
      <c r="W500" s="73" t="n">
        <v>0</v>
      </c>
      <c r="X500" s="72" t="inlineStr">
        <is>
          <t>NF 314 - DEBORA</t>
        </is>
      </c>
      <c r="Z500" s="59">
        <f>IF($T500="","",IFERROR(INDEX('Resumo Grupos'!$AC$3:$AC$200,MATCH($T500,'Resumo Grupos'!$AB$3:$AB$200,0)),"n/d"))</f>
        <v/>
      </c>
      <c r="AA500" s="59">
        <f>IF($T500="","",IF(COUNTIF('Resumo Grupos'!$AE$3:$AE$40,$T500)&gt;0,"NAO","SIM"))</f>
        <v/>
      </c>
    </row>
    <row r="501" ht="36.75" customHeight="1" s="60">
      <c r="A501" s="70" t="n">
        <v>1</v>
      </c>
      <c r="B501" s="71" t="n">
        <v>46192</v>
      </c>
      <c r="C501" s="71" t="n">
        <v>46192</v>
      </c>
      <c r="D501" s="70" t="n">
        <v>1741</v>
      </c>
      <c r="E501" s="72" t="inlineStr">
        <is>
          <t>A5 TECNOLOGIA E AUTOMACAO DE PESAGENS LT</t>
        </is>
      </c>
      <c r="F501" s="70" t="n">
        <v>34</v>
      </c>
      <c r="G501" s="72" t="inlineStr">
        <is>
          <t>Transferencia Pix</t>
        </is>
      </c>
      <c r="H501" s="70" t="n">
        <v>1110202</v>
      </c>
      <c r="I501" s="72" t="inlineStr">
        <is>
          <t>BANCO ITAU Lj 01</t>
        </is>
      </c>
      <c r="J501" s="70" t="n">
        <v>1449939</v>
      </c>
      <c r="L501" s="70" t="n">
        <v>596386</v>
      </c>
      <c r="M501" s="72" t="inlineStr">
        <is>
          <t>01</t>
        </is>
      </c>
      <c r="N501" s="72" t="inlineStr">
        <is>
          <t>AVU</t>
        </is>
      </c>
      <c r="P501" s="70" t="n">
        <v>101</v>
      </c>
      <c r="Q501" s="72" t="inlineStr">
        <is>
          <t>KEILA LIMA</t>
        </is>
      </c>
      <c r="R501" s="72" t="inlineStr">
        <is>
          <t>DESPESAS OPERACIONAIS</t>
        </is>
      </c>
      <c r="S501" s="70" t="n">
        <v>4210232</v>
      </c>
      <c r="T501" s="72" t="inlineStr">
        <is>
          <t>MANUTENÇÃO EQUIPAMENTOS DE INFORMATICA</t>
        </is>
      </c>
      <c r="U501" s="73" t="n">
        <v>285.68</v>
      </c>
      <c r="W501" s="73" t="n">
        <v>0</v>
      </c>
      <c r="X501" s="72" t="inlineStr">
        <is>
          <t>PG SERVICO BALANCA MO1 - KEILA</t>
        </is>
      </c>
      <c r="Z501" s="59">
        <f>IF($T501="","",IFERROR(INDEX('Resumo Grupos'!$AC$3:$AC$200,MATCH($T501,'Resumo Grupos'!$AB$3:$AB$200,0)),"n/d"))</f>
        <v/>
      </c>
      <c r="AA501" s="59">
        <f>IF($T501="","",IF(COUNTIF('Resumo Grupos'!$AE$3:$AE$40,$T501)&gt;0,"NAO","SIM"))</f>
        <v/>
      </c>
    </row>
    <row r="502" ht="36.75" customHeight="1" s="60">
      <c r="A502" s="70" t="n">
        <v>1</v>
      </c>
      <c r="B502" s="71" t="n">
        <v>46192</v>
      </c>
      <c r="C502" s="71" t="n">
        <v>46192</v>
      </c>
      <c r="D502" s="70" t="n">
        <v>1137</v>
      </c>
      <c r="E502" s="72" t="inlineStr">
        <is>
          <t xml:space="preserve">FOLHA DE PAGAMENTO </t>
        </is>
      </c>
      <c r="F502" s="70" t="n">
        <v>34</v>
      </c>
      <c r="G502" s="72" t="inlineStr">
        <is>
          <t>Transferencia Pix</t>
        </is>
      </c>
      <c r="H502" s="70" t="n">
        <v>1110202</v>
      </c>
      <c r="I502" s="72" t="inlineStr">
        <is>
          <t>BANCO ITAU Lj 01</t>
        </is>
      </c>
      <c r="J502" s="70" t="n">
        <v>1449972</v>
      </c>
      <c r="L502" s="70" t="n">
        <v>596397</v>
      </c>
      <c r="M502" s="72" t="inlineStr">
        <is>
          <t>01</t>
        </is>
      </c>
      <c r="N502" s="72" t="inlineStr">
        <is>
          <t>AVU</t>
        </is>
      </c>
      <c r="P502" s="70" t="n">
        <v>101</v>
      </c>
      <c r="Q502" s="72" t="inlineStr">
        <is>
          <t>KEILA LIMA</t>
        </is>
      </c>
      <c r="R502" s="72" t="inlineStr">
        <is>
          <t>DESPESAS COM PESSOAL</t>
        </is>
      </c>
      <c r="S502" s="70" t="n">
        <v>4210309</v>
      </c>
      <c r="T502" s="72" t="inlineStr">
        <is>
          <t>VALE TRANSPORTE</t>
        </is>
      </c>
      <c r="U502" s="73" t="n">
        <v>220</v>
      </c>
      <c r="W502" s="73" t="n">
        <v>0</v>
      </c>
      <c r="X502" s="72" t="inlineStr">
        <is>
          <t>PG VALE TRANSO ANDREZA 06/26 - KEILA</t>
        </is>
      </c>
      <c r="Z502" s="59">
        <f>IF($T502="","",IFERROR(INDEX('Resumo Grupos'!$AC$3:$AC$200,MATCH($T502,'Resumo Grupos'!$AB$3:$AB$200,0)),"n/d"))</f>
        <v/>
      </c>
      <c r="AA502" s="59">
        <f>IF($T502="","",IF(COUNTIF('Resumo Grupos'!$AE$3:$AE$40,$T502)&gt;0,"NAO","SIM"))</f>
        <v/>
      </c>
    </row>
    <row r="503" ht="36.75" customHeight="1" s="60">
      <c r="A503" s="70" t="n">
        <v>1</v>
      </c>
      <c r="B503" s="71" t="n">
        <v>46192</v>
      </c>
      <c r="C503" s="71" t="n">
        <v>46192</v>
      </c>
      <c r="D503" s="70" t="n">
        <v>17</v>
      </c>
      <c r="E503" s="72" t="inlineStr">
        <is>
          <t>NEYLIANE SILVA DE OLIVEIRA</t>
        </is>
      </c>
      <c r="F503" s="70" t="n">
        <v>24</v>
      </c>
      <c r="G503" s="72" t="inlineStr">
        <is>
          <t>Compra a Prazo - Boletos</t>
        </is>
      </c>
      <c r="H503" s="70" t="n">
        <v>1110202</v>
      </c>
      <c r="I503" s="72" t="inlineStr">
        <is>
          <t>BANCO ITAU Lj 01</t>
        </is>
      </c>
      <c r="J503" s="70" t="n">
        <v>1450000</v>
      </c>
      <c r="L503" s="70" t="n">
        <v>596409</v>
      </c>
      <c r="M503" s="72" t="inlineStr">
        <is>
          <t>01</t>
        </is>
      </c>
      <c r="N503" s="72" t="inlineStr">
        <is>
          <t>AVU</t>
        </is>
      </c>
      <c r="P503" s="70" t="n">
        <v>101</v>
      </c>
      <c r="Q503" s="72" t="inlineStr">
        <is>
          <t>KEILA LIMA</t>
        </is>
      </c>
      <c r="R503" s="72" t="inlineStr">
        <is>
          <t>DESPESAS NAO OPERACIONAIS</t>
        </is>
      </c>
      <c r="S503" s="70" t="n">
        <v>4220199</v>
      </c>
      <c r="T503" s="72" t="inlineStr">
        <is>
          <t>PAGAMENTOS OUTROS NAO OPERACIONAIS</t>
        </is>
      </c>
      <c r="U503" s="73" t="n">
        <v>448.38</v>
      </c>
      <c r="W503" s="73" t="n">
        <v>0</v>
      </c>
      <c r="X503" s="72" t="inlineStr">
        <is>
          <t>PL NEILA E RENATO E SOCIAL</t>
        </is>
      </c>
      <c r="Z503" s="59">
        <f>IF($T503="","",IFERROR(INDEX('Resumo Grupos'!$AC$3:$AC$200,MATCH($T503,'Resumo Grupos'!$AB$3:$AB$200,0)),"n/d"))</f>
        <v/>
      </c>
      <c r="AA503" s="59">
        <f>IF($T503="","",IF(COUNTIF('Resumo Grupos'!$AE$3:$AE$40,$T503)&gt;0,"NAO","SIM"))</f>
        <v/>
      </c>
    </row>
    <row r="504" ht="36.75" customHeight="1" s="60">
      <c r="A504" s="70" t="n">
        <v>1</v>
      </c>
      <c r="B504" s="71" t="n">
        <v>46157</v>
      </c>
      <c r="C504" s="71" t="n">
        <v>46193</v>
      </c>
      <c r="D504" s="70" t="n">
        <v>1671</v>
      </c>
      <c r="E504" s="72" t="inlineStr">
        <is>
          <t>TAPAJOS COM DE PERFUMARIA COSMETICOS E G</t>
        </is>
      </c>
      <c r="F504" s="70" t="n">
        <v>24</v>
      </c>
      <c r="G504" s="72" t="inlineStr">
        <is>
          <t>Compra a Prazo - Boletos</t>
        </is>
      </c>
      <c r="H504" s="70" t="n">
        <v>2110101</v>
      </c>
      <c r="I504" s="72" t="inlineStr">
        <is>
          <t>FORNECEDORES DE MERCADORIA</t>
        </is>
      </c>
      <c r="J504" s="70" t="n">
        <v>1101724</v>
      </c>
      <c r="L504" s="70" t="n">
        <v>461526</v>
      </c>
      <c r="M504" s="72" t="inlineStr">
        <is>
          <t>04</t>
        </is>
      </c>
      <c r="N504" s="72" t="inlineStr">
        <is>
          <t>AVU</t>
        </is>
      </c>
      <c r="P504" s="70" t="n">
        <v>103</v>
      </c>
      <c r="Q504" s="72" t="inlineStr">
        <is>
          <t>MILKA FRANCIS</t>
        </is>
      </c>
      <c r="R504" s="72" t="inlineStr">
        <is>
          <t>ESTOQUE DE MERCADORIAS</t>
        </is>
      </c>
      <c r="S504" s="70" t="n">
        <v>1130101</v>
      </c>
      <c r="T504" s="72" t="inlineStr">
        <is>
          <t>MERCADORIAS P/REVENDA</t>
        </is>
      </c>
      <c r="U504" s="73" t="n">
        <v>1703.51</v>
      </c>
      <c r="W504" s="73" t="n">
        <v>0</v>
      </c>
      <c r="X504" s="72" t="inlineStr">
        <is>
          <t>NF 569357-4 MILKA</t>
        </is>
      </c>
      <c r="Z504" s="59">
        <f>IF($T504="","",IFERROR(INDEX('Resumo Grupos'!$AC$3:$AC$200,MATCH($T504,'Resumo Grupos'!$AB$3:$AB$200,0)),"n/d"))</f>
        <v/>
      </c>
      <c r="AA504" s="59">
        <f>IF($T504="","",IF(COUNTIF('Resumo Grupos'!$AE$3:$AE$40,$T504)&gt;0,"NAO","SIM"))</f>
        <v/>
      </c>
    </row>
    <row r="505" ht="63.75" customHeight="1" s="60">
      <c r="A505" s="70" t="n">
        <v>1</v>
      </c>
      <c r="B505" s="71" t="n">
        <v>46162</v>
      </c>
      <c r="C505" s="71" t="n">
        <v>46193</v>
      </c>
      <c r="D505" s="70" t="n">
        <v>659</v>
      </c>
      <c r="E505" s="72" t="inlineStr">
        <is>
          <t xml:space="preserve">CENTRAL NACIONAL UNIMED </t>
        </is>
      </c>
      <c r="F505" s="70" t="n">
        <v>24</v>
      </c>
      <c r="G505" s="72" t="inlineStr">
        <is>
          <t>Compra a Prazo - Boletos</t>
        </is>
      </c>
      <c r="H505" s="70" t="n">
        <v>2110405</v>
      </c>
      <c r="I505" s="72" t="inlineStr">
        <is>
          <t>CONTAS A PAGAR</t>
        </is>
      </c>
      <c r="J505" s="70" t="n">
        <v>890485</v>
      </c>
      <c r="L505" s="70" t="n">
        <v>380080</v>
      </c>
      <c r="M505" s="72" t="inlineStr">
        <is>
          <t>03</t>
        </is>
      </c>
      <c r="N505" s="72" t="inlineStr">
        <is>
          <t>AVU</t>
        </is>
      </c>
      <c r="P505" s="70" t="n">
        <v>102</v>
      </c>
      <c r="Q505" s="72" t="inlineStr">
        <is>
          <t>ANDREZA ANDRADE</t>
        </is>
      </c>
      <c r="R505" s="72" t="inlineStr">
        <is>
          <t>DESPESAS COM PESSOAL</t>
        </is>
      </c>
      <c r="S505" s="70" t="n">
        <v>4210311</v>
      </c>
      <c r="T505" s="72" t="inlineStr">
        <is>
          <t>PLANOS DE SAUDE</t>
        </is>
      </c>
      <c r="U505" s="73" t="n">
        <v>6193.08</v>
      </c>
      <c r="W505" s="73" t="n">
        <v>0</v>
      </c>
      <c r="X505" s="72" t="inlineStr">
        <is>
          <t>PLANO DE SAUDE MO1 NEILA-RENATO-MARIAS - KEILA</t>
        </is>
      </c>
      <c r="Z505" s="59">
        <f>IF($T505="","",IFERROR(INDEX('Resumo Grupos'!$AC$3:$AC$200,MATCH($T505,'Resumo Grupos'!$AB$3:$AB$200,0)),"n/d"))</f>
        <v/>
      </c>
      <c r="AA505" s="59">
        <f>IF($T505="","",IF(COUNTIF('Resumo Grupos'!$AE$3:$AE$40,$T505)&gt;0,"NAO","SIM"))</f>
        <v/>
      </c>
    </row>
    <row r="506" ht="63.75" customHeight="1" s="60">
      <c r="A506" s="70" t="n">
        <v>1</v>
      </c>
      <c r="B506" s="71" t="n">
        <v>46170</v>
      </c>
      <c r="C506" s="71" t="n">
        <v>46193</v>
      </c>
      <c r="D506" s="70" t="n">
        <v>1659</v>
      </c>
      <c r="E506" s="72" t="inlineStr">
        <is>
          <t>ADRIANA DISTRIBUIDORA DE PRODUTOS ALIMEN</t>
        </is>
      </c>
      <c r="F506" s="70" t="n">
        <v>24</v>
      </c>
      <c r="G506" s="72" t="inlineStr">
        <is>
          <t>Compra a Prazo - Boletos</t>
        </is>
      </c>
      <c r="H506" s="70" t="n">
        <v>2110101</v>
      </c>
      <c r="I506" s="72" t="inlineStr">
        <is>
          <t>FORNECEDORES DE MERCADORIA</t>
        </is>
      </c>
      <c r="J506" s="70" t="n">
        <v>1168612</v>
      </c>
      <c r="L506" s="70" t="n">
        <v>875267</v>
      </c>
      <c r="M506" s="72" t="inlineStr">
        <is>
          <t>02</t>
        </is>
      </c>
      <c r="N506" s="72" t="inlineStr">
        <is>
          <t>NFE</t>
        </is>
      </c>
      <c r="P506" s="70" t="n">
        <v>103</v>
      </c>
      <c r="Q506" s="72" t="inlineStr">
        <is>
          <t>MILKA FRANCIS</t>
        </is>
      </c>
      <c r="R506" s="72" t="inlineStr">
        <is>
          <t>ESTOQUE DE MERCADORIAS</t>
        </is>
      </c>
      <c r="S506" s="70" t="n">
        <v>1130101</v>
      </c>
      <c r="T506" s="72" t="inlineStr">
        <is>
          <t>MERCADORIAS P/REVENDA</t>
        </is>
      </c>
      <c r="U506" s="73" t="n">
        <v>769.97</v>
      </c>
      <c r="W506" s="73" t="n">
        <v>0</v>
      </c>
      <c r="X506" s="72" t="inlineStr">
        <is>
          <t>NF 875267-2 MILKA</t>
        </is>
      </c>
      <c r="Z506" s="59">
        <f>IF($T506="","",IFERROR(INDEX('Resumo Grupos'!$AC$3:$AC$200,MATCH($T506,'Resumo Grupos'!$AB$3:$AB$200,0)),"n/d"))</f>
        <v/>
      </c>
      <c r="AA506" s="59">
        <f>IF($T506="","",IF(COUNTIF('Resumo Grupos'!$AE$3:$AE$40,$T506)&gt;0,"NAO","SIM"))</f>
        <v/>
      </c>
    </row>
    <row r="507" ht="27.75" customHeight="1" s="60">
      <c r="A507" s="70" t="n">
        <v>1</v>
      </c>
      <c r="B507" s="71" t="n">
        <v>46172</v>
      </c>
      <c r="C507" s="71" t="n">
        <v>46193</v>
      </c>
      <c r="D507" s="70" t="n">
        <v>1636</v>
      </c>
      <c r="E507" s="72" t="inlineStr">
        <is>
          <t>DUNORTE DISTRIBUIDORA DE PRODUTOS DE CONSUMO LTDA</t>
        </is>
      </c>
      <c r="F507" s="70" t="n">
        <v>24</v>
      </c>
      <c r="G507" s="72" t="inlineStr">
        <is>
          <t>Compra a Prazo - Boletos</t>
        </is>
      </c>
      <c r="H507" s="70" t="n">
        <v>2110102</v>
      </c>
      <c r="I507" s="72" t="inlineStr">
        <is>
          <t>OUTROS FORNECEDORES</t>
        </is>
      </c>
      <c r="J507" s="70" t="n">
        <v>1176992</v>
      </c>
      <c r="L507" s="70" t="n">
        <v>3191311</v>
      </c>
      <c r="M507" s="72" t="inlineStr">
        <is>
          <t>01</t>
        </is>
      </c>
      <c r="N507" s="72" t="inlineStr">
        <is>
          <t>NFE</t>
        </is>
      </c>
      <c r="P507" s="70" t="n">
        <v>103</v>
      </c>
      <c r="Q507" s="72" t="inlineStr">
        <is>
          <t>MILKA FRANCIS</t>
        </is>
      </c>
      <c r="R507" s="72" t="inlineStr">
        <is>
          <t>DESPESAS OPERACIONAIS</t>
        </is>
      </c>
      <c r="S507" s="70" t="n">
        <v>4210204</v>
      </c>
      <c r="T507" s="72" t="inlineStr">
        <is>
          <t>MATERIAL DE CONSUMO</t>
        </is>
      </c>
      <c r="U507" s="73" t="n">
        <v>700.22</v>
      </c>
      <c r="W507" s="73" t="n">
        <v>0</v>
      </c>
      <c r="X507" s="72" t="inlineStr">
        <is>
          <t>NF 3191311 DESPESA - MILKA</t>
        </is>
      </c>
      <c r="Z507" s="59">
        <f>IF($T507="","",IFERROR(INDEX('Resumo Grupos'!$AC$3:$AC$200,MATCH($T507,'Resumo Grupos'!$AB$3:$AB$200,0)),"n/d"))</f>
        <v/>
      </c>
      <c r="AA507" s="59">
        <f>IF($T507="","",IF(COUNTIF('Resumo Grupos'!$AE$3:$AE$40,$T507)&gt;0,"NAO","SIM"))</f>
        <v/>
      </c>
    </row>
    <row r="508" ht="36.75" customHeight="1" s="60">
      <c r="A508" s="70" t="n">
        <v>1</v>
      </c>
      <c r="B508" s="71" t="n">
        <v>46181</v>
      </c>
      <c r="C508" s="71" t="n">
        <v>46193</v>
      </c>
      <c r="D508" s="70" t="n">
        <v>1695</v>
      </c>
      <c r="E508" s="72" t="inlineStr">
        <is>
          <t>BRAGA TABACARIA EIRELI ME</t>
        </is>
      </c>
      <c r="F508" s="70" t="n">
        <v>24</v>
      </c>
      <c r="G508" s="72" t="inlineStr">
        <is>
          <t>Compra a Prazo - Boletos</t>
        </is>
      </c>
      <c r="H508" s="70" t="n">
        <v>2110101</v>
      </c>
      <c r="I508" s="72" t="inlineStr">
        <is>
          <t>FORNECEDORES DE MERCADORIA</t>
        </is>
      </c>
      <c r="J508" s="70" t="n">
        <v>1222097</v>
      </c>
      <c r="L508" s="70" t="n">
        <v>18532</v>
      </c>
      <c r="M508" s="72" t="inlineStr">
        <is>
          <t>02</t>
        </is>
      </c>
      <c r="N508" s="72" t="inlineStr">
        <is>
          <t>NFE</t>
        </is>
      </c>
      <c r="P508" s="70" t="n">
        <v>103</v>
      </c>
      <c r="Q508" s="72" t="inlineStr">
        <is>
          <t>MILKA FRANCIS</t>
        </is>
      </c>
      <c r="R508" s="72" t="inlineStr">
        <is>
          <t>ESTOQUE DE MERCADORIAS</t>
        </is>
      </c>
      <c r="S508" s="70" t="n">
        <v>1130101</v>
      </c>
      <c r="T508" s="72" t="inlineStr">
        <is>
          <t>MERCADORIAS P/REVENDA</t>
        </is>
      </c>
      <c r="U508" s="73" t="n">
        <v>807.41</v>
      </c>
      <c r="W508" s="73" t="n">
        <v>0</v>
      </c>
      <c r="X508" s="72" t="inlineStr">
        <is>
          <t>NF 18532-02 MILKA</t>
        </is>
      </c>
      <c r="Z508" s="59">
        <f>IF($T508="","",IFERROR(INDEX('Resumo Grupos'!$AC$3:$AC$200,MATCH($T508,'Resumo Grupos'!$AB$3:$AB$200,0)),"n/d"))</f>
        <v/>
      </c>
      <c r="AA508" s="59">
        <f>IF($T508="","",IF(COUNTIF('Resumo Grupos'!$AE$3:$AE$40,$T508)&gt;0,"NAO","SIM"))</f>
        <v/>
      </c>
    </row>
    <row r="509" ht="45.75" customHeight="1" s="60">
      <c r="A509" s="70" t="n">
        <v>1</v>
      </c>
      <c r="B509" s="71" t="n">
        <v>46181</v>
      </c>
      <c r="C509" s="71" t="n">
        <v>46193</v>
      </c>
      <c r="D509" s="70" t="n">
        <v>542</v>
      </c>
      <c r="E509" s="72" t="inlineStr">
        <is>
          <t>LUANA SAUNDERS TORRES DE MELO MARQUES</t>
        </is>
      </c>
      <c r="F509" s="70" t="n">
        <v>34</v>
      </c>
      <c r="G509" s="72" t="inlineStr">
        <is>
          <t>Transferencia Pix</t>
        </is>
      </c>
      <c r="H509" s="70" t="n">
        <v>2110405</v>
      </c>
      <c r="I509" s="72" t="inlineStr">
        <is>
          <t>CONTAS A PAGAR</t>
        </is>
      </c>
      <c r="J509" s="70" t="n">
        <v>1223656</v>
      </c>
      <c r="L509" s="70" t="n">
        <v>508652</v>
      </c>
      <c r="M509" s="72" t="inlineStr">
        <is>
          <t>01</t>
        </is>
      </c>
      <c r="N509" s="72" t="inlineStr">
        <is>
          <t>AVU</t>
        </is>
      </c>
      <c r="P509" s="70" t="n">
        <v>101</v>
      </c>
      <c r="Q509" s="72" t="inlineStr">
        <is>
          <t>KEILA LIMA</t>
        </is>
      </c>
      <c r="R509" s="72" t="inlineStr">
        <is>
          <t>DESPESAS COMERCIAIS</t>
        </is>
      </c>
      <c r="S509" s="70" t="n">
        <v>4210107</v>
      </c>
      <c r="T509" s="72" t="inlineStr">
        <is>
          <t>PROPAGANDA PUBLICIDADE</t>
        </is>
      </c>
      <c r="U509" s="73" t="n">
        <v>467.17</v>
      </c>
      <c r="W509" s="73" t="n">
        <v>0</v>
      </c>
      <c r="X509" s="72" t="inlineStr">
        <is>
          <t>MENSALIDADE INSTAGRAM PARTE MO1 - KEILA</t>
        </is>
      </c>
      <c r="Z509" s="59">
        <f>IF($T509="","",IFERROR(INDEX('Resumo Grupos'!$AC$3:$AC$200,MATCH($T509,'Resumo Grupos'!$AB$3:$AB$200,0)),"n/d"))</f>
        <v/>
      </c>
      <c r="AA509" s="59">
        <f>IF($T509="","",IF(COUNTIF('Resumo Grupos'!$AE$3:$AE$40,$T509)&gt;0,"NAO","SIM"))</f>
        <v/>
      </c>
    </row>
    <row r="510" ht="63.75" customHeight="1" s="60">
      <c r="A510" s="70" t="n">
        <v>1</v>
      </c>
      <c r="B510" s="71" t="n">
        <v>46181</v>
      </c>
      <c r="C510" s="71" t="n">
        <v>46193</v>
      </c>
      <c r="D510" s="70" t="n">
        <v>542</v>
      </c>
      <c r="E510" s="72" t="inlineStr">
        <is>
          <t>LUANA SAUNDERS TORRES DE MELO MARQUES</t>
        </is>
      </c>
      <c r="F510" s="70" t="n">
        <v>34</v>
      </c>
      <c r="G510" s="72" t="inlineStr">
        <is>
          <t>Transferencia Pix</t>
        </is>
      </c>
      <c r="H510" s="70" t="n">
        <v>2110405</v>
      </c>
      <c r="I510" s="72" t="inlineStr">
        <is>
          <t>CONTAS A PAGAR</t>
        </is>
      </c>
      <c r="J510" s="70" t="n">
        <v>1223659</v>
      </c>
      <c r="L510" s="70" t="n">
        <v>508655</v>
      </c>
      <c r="M510" s="72" t="inlineStr">
        <is>
          <t>01</t>
        </is>
      </c>
      <c r="N510" s="72" t="inlineStr">
        <is>
          <t>AVU</t>
        </is>
      </c>
      <c r="P510" s="70" t="n">
        <v>101</v>
      </c>
      <c r="Q510" s="72" t="inlineStr">
        <is>
          <t>KEILA LIMA</t>
        </is>
      </c>
      <c r="R510" s="72" t="inlineStr">
        <is>
          <t>DESPESAS NAO OPERACIONAIS</t>
        </is>
      </c>
      <c r="S510" s="70" t="n">
        <v>4220199</v>
      </c>
      <c r="T510" s="72" t="inlineStr">
        <is>
          <t>PAGAMENTOS OUTROS NAO OPERACIONAIS</t>
        </is>
      </c>
      <c r="U510" s="73" t="n">
        <v>900</v>
      </c>
      <c r="W510" s="73" t="n">
        <v>0</v>
      </c>
      <c r="X510" s="72" t="inlineStr">
        <is>
          <t>MENSALIDADE INSTAGRAM LOJAS - NAO SOMAR</t>
        </is>
      </c>
      <c r="Z510" s="59">
        <f>IF($T510="","",IFERROR(INDEX('Resumo Grupos'!$AC$3:$AC$200,MATCH($T510,'Resumo Grupos'!$AB$3:$AB$200,0)),"n/d"))</f>
        <v/>
      </c>
      <c r="AA510" s="59">
        <f>IF($T510="","",IF(COUNTIF('Resumo Grupos'!$AE$3:$AE$40,$T510)&gt;0,"NAO","SIM"))</f>
        <v/>
      </c>
    </row>
    <row r="511" ht="63.75" customHeight="1" s="60">
      <c r="A511" s="70" t="n">
        <v>1</v>
      </c>
      <c r="B511" s="71" t="n">
        <v>46182</v>
      </c>
      <c r="C511" s="71" t="n">
        <v>46193</v>
      </c>
      <c r="D511" s="70" t="n">
        <v>10028</v>
      </c>
      <c r="E511" s="72" t="inlineStr">
        <is>
          <t>EYES NWHERE SISTEMAS INTELIGENTES DE IMAGEM SA</t>
        </is>
      </c>
      <c r="F511" s="70" t="n">
        <v>24</v>
      </c>
      <c r="G511" s="72" t="inlineStr">
        <is>
          <t>Compra a Prazo - Boletos</t>
        </is>
      </c>
      <c r="H511" s="70" t="n">
        <v>2110405</v>
      </c>
      <c r="I511" s="72" t="inlineStr">
        <is>
          <t>CONTAS A PAGAR</t>
        </is>
      </c>
      <c r="J511" s="70" t="n">
        <v>1226688</v>
      </c>
      <c r="L511" s="70" t="n">
        <v>509853</v>
      </c>
      <c r="M511" s="72" t="inlineStr">
        <is>
          <t>01</t>
        </is>
      </c>
      <c r="N511" s="72" t="inlineStr">
        <is>
          <t>AVU</t>
        </is>
      </c>
      <c r="P511" s="70" t="n">
        <v>101</v>
      </c>
      <c r="Q511" s="72" t="inlineStr">
        <is>
          <t>KEILA LIMA</t>
        </is>
      </c>
      <c r="R511" s="72" t="inlineStr">
        <is>
          <t>DESPESAS COM PESSOAL</t>
        </is>
      </c>
      <c r="S511" s="70" t="n">
        <v>4210315</v>
      </c>
      <c r="T511" s="72" t="inlineStr">
        <is>
          <t>INTERNET</t>
        </is>
      </c>
      <c r="U511" s="73" t="n">
        <v>595.9</v>
      </c>
      <c r="W511" s="73" t="n">
        <v>0</v>
      </c>
      <c r="X511" s="72" t="inlineStr">
        <is>
          <t>MENSALIDADE INTERNET MO1 - KEILA</t>
        </is>
      </c>
      <c r="Z511" s="59">
        <f>IF($T511="","",IFERROR(INDEX('Resumo Grupos'!$AC$3:$AC$200,MATCH($T511,'Resumo Grupos'!$AB$3:$AB$200,0)),"n/d"))</f>
        <v/>
      </c>
      <c r="AA511" s="59">
        <f>IF($T511="","",IF(COUNTIF('Resumo Grupos'!$AE$3:$AE$40,$T511)&gt;0,"NAO","SIM"))</f>
        <v/>
      </c>
    </row>
    <row r="512" ht="63.75" customHeight="1" s="60">
      <c r="A512" s="70" t="n">
        <v>1</v>
      </c>
      <c r="B512" s="71" t="n">
        <v>46192</v>
      </c>
      <c r="C512" s="71" t="n">
        <v>46193</v>
      </c>
      <c r="D512" s="70" t="n">
        <v>33</v>
      </c>
      <c r="E512" s="72" t="inlineStr">
        <is>
          <t>RENATO DE O AZEVEDO E CIA LTDA - EPP</t>
        </is>
      </c>
      <c r="F512" s="70" t="n">
        <v>34</v>
      </c>
      <c r="G512" s="72" t="inlineStr">
        <is>
          <t>Transferencia Pix</t>
        </is>
      </c>
      <c r="H512" s="70" t="n">
        <v>2110101</v>
      </c>
      <c r="I512" s="72" t="inlineStr">
        <is>
          <t>FORNECEDORES DE MERCADORIA</t>
        </is>
      </c>
      <c r="J512" s="70" t="n">
        <v>1273979</v>
      </c>
      <c r="L512" s="70" t="n">
        <v>5153</v>
      </c>
      <c r="M512" s="72" t="inlineStr">
        <is>
          <t>01</t>
        </is>
      </c>
      <c r="N512" s="72" t="inlineStr">
        <is>
          <t>NFE</t>
        </is>
      </c>
      <c r="P512" s="70" t="n">
        <v>104</v>
      </c>
      <c r="Q512" s="72" t="inlineStr">
        <is>
          <t>DEBORA COSTA</t>
        </is>
      </c>
      <c r="R512" s="72" t="inlineStr">
        <is>
          <t>ESTOQUE DE MERCADORIAS</t>
        </is>
      </c>
      <c r="S512" s="70" t="n">
        <v>1130101</v>
      </c>
      <c r="T512" s="72" t="inlineStr">
        <is>
          <t>MERCADORIAS P/REVENDA</t>
        </is>
      </c>
      <c r="U512" s="73" t="n">
        <v>3182</v>
      </c>
      <c r="W512" s="73" t="n">
        <v>0</v>
      </c>
      <c r="X512" s="72" t="inlineStr">
        <is>
          <t>FEIRA CARLOS - DEBORA</t>
        </is>
      </c>
      <c r="Z512" s="59">
        <f>IF($T512="","",IFERROR(INDEX('Resumo Grupos'!$AC$3:$AC$200,MATCH($T512,'Resumo Grupos'!$AB$3:$AB$200,0)),"n/d"))</f>
        <v/>
      </c>
      <c r="AA512" s="59">
        <f>IF($T512="","",IF(COUNTIF('Resumo Grupos'!$AE$3:$AE$40,$T512)&gt;0,"NAO","SIM"))</f>
        <v/>
      </c>
    </row>
    <row r="513" ht="36.75" customHeight="1" s="60">
      <c r="A513" s="70" t="n">
        <v>1</v>
      </c>
      <c r="B513" s="71" t="n">
        <v>46192</v>
      </c>
      <c r="C513" s="71" t="n">
        <v>46193</v>
      </c>
      <c r="D513" s="70" t="n">
        <v>1615</v>
      </c>
      <c r="E513" s="72" t="inlineStr">
        <is>
          <t>COMERCIO E TRANSPORTE BRANDAO LTDA</t>
        </is>
      </c>
      <c r="F513" s="70" t="n">
        <v>34</v>
      </c>
      <c r="G513" s="72" t="inlineStr">
        <is>
          <t>Transferencia Pix</t>
        </is>
      </c>
      <c r="H513" s="70" t="n">
        <v>2110101</v>
      </c>
      <c r="I513" s="72" t="inlineStr">
        <is>
          <t>FORNECEDORES DE MERCADORIA</t>
        </is>
      </c>
      <c r="J513" s="70" t="n">
        <v>1274036</v>
      </c>
      <c r="L513" s="70" t="n">
        <v>14713</v>
      </c>
      <c r="M513" s="72" t="inlineStr">
        <is>
          <t>01</t>
        </is>
      </c>
      <c r="N513" s="72" t="inlineStr">
        <is>
          <t>NFE</t>
        </is>
      </c>
      <c r="P513" s="70" t="n">
        <v>104</v>
      </c>
      <c r="Q513" s="72" t="inlineStr">
        <is>
          <t>DEBORA COSTA</t>
        </is>
      </c>
      <c r="R513" s="72" t="inlineStr">
        <is>
          <t>ESTOQUE DE MERCADORIAS</t>
        </is>
      </c>
      <c r="S513" s="70" t="n">
        <v>1130101</v>
      </c>
      <c r="T513" s="72" t="inlineStr">
        <is>
          <t>MERCADORIAS P/REVENDA</t>
        </is>
      </c>
      <c r="U513" s="73" t="n">
        <v>870</v>
      </c>
      <c r="W513" s="73" t="n">
        <v>0</v>
      </c>
      <c r="X513" s="72" t="inlineStr">
        <is>
          <t>NF 14713 - DEBORA</t>
        </is>
      </c>
      <c r="Z513" s="59">
        <f>IF($T513="","",IFERROR(INDEX('Resumo Grupos'!$AC$3:$AC$200,MATCH($T513,'Resumo Grupos'!$AB$3:$AB$200,0)),"n/d"))</f>
        <v/>
      </c>
      <c r="AA513" s="59">
        <f>IF($T513="","",IF(COUNTIF('Resumo Grupos'!$AE$3:$AE$40,$T513)&gt;0,"NAO","SIM"))</f>
        <v/>
      </c>
    </row>
    <row r="514" ht="36.75" customHeight="1" s="60">
      <c r="A514" s="70" t="n">
        <v>1</v>
      </c>
      <c r="B514" s="71" t="n">
        <v>46192</v>
      </c>
      <c r="C514" s="71" t="n">
        <v>46193</v>
      </c>
      <c r="D514" s="70" t="n">
        <v>33</v>
      </c>
      <c r="E514" s="72" t="inlineStr">
        <is>
          <t>RENATO DE O AZEVEDO E CIA LTDA - EPP</t>
        </is>
      </c>
      <c r="F514" s="70" t="n">
        <v>34</v>
      </c>
      <c r="G514" s="72" t="inlineStr">
        <is>
          <t>Transferencia Pix</t>
        </is>
      </c>
      <c r="H514" s="70" t="n">
        <v>2110101</v>
      </c>
      <c r="I514" s="72" t="inlineStr">
        <is>
          <t>FORNECEDORES DE MERCADORIA</t>
        </is>
      </c>
      <c r="J514" s="70" t="n">
        <v>1274061</v>
      </c>
      <c r="L514" s="70" t="n">
        <v>528761</v>
      </c>
      <c r="M514" s="72" t="inlineStr">
        <is>
          <t>01</t>
        </is>
      </c>
      <c r="N514" s="72" t="inlineStr">
        <is>
          <t>AVU</t>
        </is>
      </c>
      <c r="P514" s="70" t="n">
        <v>104</v>
      </c>
      <c r="Q514" s="72" t="inlineStr">
        <is>
          <t>DEBORA COSTA</t>
        </is>
      </c>
      <c r="R514" s="72" t="inlineStr">
        <is>
          <t>ESTOQUE DE MERCADORIAS</t>
        </is>
      </c>
      <c r="S514" s="70" t="n">
        <v>1130101</v>
      </c>
      <c r="T514" s="72" t="inlineStr">
        <is>
          <t>MERCADORIAS P/REVENDA</t>
        </is>
      </c>
      <c r="U514" s="73" t="n">
        <v>160</v>
      </c>
      <c r="W514" s="73" t="n">
        <v>0</v>
      </c>
      <c r="X514" s="72" t="inlineStr">
        <is>
          <t>CAMARAO COM E SEM CASCA - FEIRA CARLOS - DEBORA</t>
        </is>
      </c>
      <c r="Z514" s="59">
        <f>IF($T514="","",IFERROR(INDEX('Resumo Grupos'!$AC$3:$AC$200,MATCH($T514,'Resumo Grupos'!$AB$3:$AB$200,0)),"n/d"))</f>
        <v/>
      </c>
      <c r="AA514" s="59">
        <f>IF($T514="","",IF(COUNTIF('Resumo Grupos'!$AE$3:$AE$40,$T514)&gt;0,"NAO","SIM"))</f>
        <v/>
      </c>
    </row>
    <row r="515" ht="36.75" customHeight="1" s="60">
      <c r="A515" s="70" t="n">
        <v>1</v>
      </c>
      <c r="B515" s="71" t="n">
        <v>46193</v>
      </c>
      <c r="C515" s="71" t="n">
        <v>46194</v>
      </c>
      <c r="D515" s="70" t="n">
        <v>821</v>
      </c>
      <c r="E515" s="72" t="inlineStr">
        <is>
          <t>ADF DISTRIBUIDORA DE BEBIDAS LTDA</t>
        </is>
      </c>
      <c r="F515" s="70" t="n">
        <v>24</v>
      </c>
      <c r="G515" s="72" t="inlineStr">
        <is>
          <t>Compra a Prazo - Boletos</t>
        </is>
      </c>
      <c r="H515" s="70" t="n">
        <v>2110101</v>
      </c>
      <c r="I515" s="72" t="inlineStr">
        <is>
          <t>FORNECEDORES DE MERCADORIA</t>
        </is>
      </c>
      <c r="J515" s="70" t="n">
        <v>1279942</v>
      </c>
      <c r="L515" s="70" t="n">
        <v>462083</v>
      </c>
      <c r="M515" s="72" t="inlineStr">
        <is>
          <t>01</t>
        </is>
      </c>
      <c r="N515" s="72" t="inlineStr">
        <is>
          <t>NFE</t>
        </is>
      </c>
      <c r="P515" s="70" t="n">
        <v>103</v>
      </c>
      <c r="Q515" s="72" t="inlineStr">
        <is>
          <t>MILKA FRANCIS</t>
        </is>
      </c>
      <c r="R515" s="72" t="inlineStr">
        <is>
          <t>ESTOQUE DE MERCADORIAS</t>
        </is>
      </c>
      <c r="S515" s="70" t="n">
        <v>1130101</v>
      </c>
      <c r="T515" s="72" t="inlineStr">
        <is>
          <t>MERCADORIAS P/REVENDA</t>
        </is>
      </c>
      <c r="U515" s="73" t="n">
        <v>472.36</v>
      </c>
      <c r="W515" s="73" t="n">
        <v>0</v>
      </c>
      <c r="X515" s="72" t="inlineStr">
        <is>
          <t>NF 462083 - MILKA</t>
        </is>
      </c>
      <c r="Z515" s="59">
        <f>IF($T515="","",IFERROR(INDEX('Resumo Grupos'!$AC$3:$AC$200,MATCH($T515,'Resumo Grupos'!$AB$3:$AB$200,0)),"n/d"))</f>
        <v/>
      </c>
      <c r="AA515" s="59">
        <f>IF($T515="","",IF(COUNTIF('Resumo Grupos'!$AE$3:$AE$40,$T515)&gt;0,"NAO","SIM"))</f>
        <v/>
      </c>
    </row>
    <row r="516" ht="36.75" customHeight="1" s="60">
      <c r="A516" s="70" t="n">
        <v>1</v>
      </c>
      <c r="B516" s="71" t="n">
        <v>46162</v>
      </c>
      <c r="C516" s="71" t="n">
        <v>46195</v>
      </c>
      <c r="D516" s="70" t="n">
        <v>1932</v>
      </c>
      <c r="E516" s="72" t="inlineStr">
        <is>
          <t>OI S.A</t>
        </is>
      </c>
      <c r="F516" s="70" t="n">
        <v>24</v>
      </c>
      <c r="G516" s="72" t="inlineStr">
        <is>
          <t>Compra a Prazo - Boletos</t>
        </is>
      </c>
      <c r="H516" s="70" t="n">
        <v>2110405</v>
      </c>
      <c r="I516" s="72" t="inlineStr">
        <is>
          <t>CONTAS A PAGAR</t>
        </is>
      </c>
      <c r="J516" s="70" t="n">
        <v>1127049</v>
      </c>
      <c r="L516" s="70" t="n">
        <v>471110</v>
      </c>
      <c r="M516" s="72" t="inlineStr">
        <is>
          <t>01</t>
        </is>
      </c>
      <c r="N516" s="72" t="inlineStr">
        <is>
          <t>AVU</t>
        </is>
      </c>
      <c r="P516" s="70" t="n">
        <v>101</v>
      </c>
      <c r="Q516" s="72" t="inlineStr">
        <is>
          <t>KEILA LIMA</t>
        </is>
      </c>
      <c r="R516" s="72" t="inlineStr">
        <is>
          <t>DESPESAS COM PESSOAL</t>
        </is>
      </c>
      <c r="S516" s="70" t="n">
        <v>4210315</v>
      </c>
      <c r="T516" s="72" t="inlineStr">
        <is>
          <t>INTERNET</t>
        </is>
      </c>
      <c r="U516" s="73" t="n">
        <v>139.97</v>
      </c>
      <c r="W516" s="73" t="n">
        <v>0</v>
      </c>
      <c r="X516" s="72" t="inlineStr">
        <is>
          <t>INTERNET OI MO1 - KEILA</t>
        </is>
      </c>
      <c r="Z516" s="59">
        <f>IF($T516="","",IFERROR(INDEX('Resumo Grupos'!$AC$3:$AC$200,MATCH($T516,'Resumo Grupos'!$AB$3:$AB$200,0)),"n/d"))</f>
        <v/>
      </c>
      <c r="AA516" s="59">
        <f>IF($T516="","",IF(COUNTIF('Resumo Grupos'!$AE$3:$AE$40,$T516)&gt;0,"NAO","SIM"))</f>
        <v/>
      </c>
    </row>
    <row r="517" ht="36.75" customHeight="1" s="60">
      <c r="A517" s="70" t="n">
        <v>1</v>
      </c>
      <c r="B517" s="71" t="n">
        <v>46164</v>
      </c>
      <c r="C517" s="71" t="n">
        <v>46195</v>
      </c>
      <c r="D517" s="70" t="n">
        <v>1636</v>
      </c>
      <c r="E517" s="72" t="inlineStr">
        <is>
          <t>DUNORTE DISTRIBUIDORA DE PRODUTOS DE CONSUMO LTDA</t>
        </is>
      </c>
      <c r="F517" s="70" t="n">
        <v>24</v>
      </c>
      <c r="G517" s="72" t="inlineStr">
        <is>
          <t>Compra a Prazo - Boletos</t>
        </is>
      </c>
      <c r="H517" s="70" t="n">
        <v>2110101</v>
      </c>
      <c r="I517" s="72" t="inlineStr">
        <is>
          <t>FORNECEDORES DE MERCADORIA</t>
        </is>
      </c>
      <c r="J517" s="70" t="n">
        <v>1136636</v>
      </c>
      <c r="L517" s="70" t="n">
        <v>474644</v>
      </c>
      <c r="M517" s="72" t="inlineStr">
        <is>
          <t>03</t>
        </is>
      </c>
      <c r="N517" s="72" t="inlineStr">
        <is>
          <t>AVU</t>
        </is>
      </c>
      <c r="P517" s="70" t="n">
        <v>103</v>
      </c>
      <c r="Q517" s="72" t="inlineStr">
        <is>
          <t>MILKA FRANCIS</t>
        </is>
      </c>
      <c r="R517" s="72" t="inlineStr">
        <is>
          <t>ESTOQUE DE MERCADORIAS</t>
        </is>
      </c>
      <c r="S517" s="70" t="n">
        <v>1130101</v>
      </c>
      <c r="T517" s="72" t="inlineStr">
        <is>
          <t>MERCADORIAS P/REVENDA</t>
        </is>
      </c>
      <c r="U517" s="73" t="n">
        <v>1181.23</v>
      </c>
      <c r="W517" s="73" t="n">
        <v>0</v>
      </c>
      <c r="X517" s="72" t="inlineStr">
        <is>
          <t>NF 3189025 -3 C/TARIFA INCLUSA MILKA</t>
        </is>
      </c>
      <c r="Z517" s="59">
        <f>IF($T517="","",IFERROR(INDEX('Resumo Grupos'!$AC$3:$AC$200,MATCH($T517,'Resumo Grupos'!$AB$3:$AB$200,0)),"n/d"))</f>
        <v/>
      </c>
      <c r="AA517" s="59">
        <f>IF($T517="","",IF(COUNTIF('Resumo Grupos'!$AE$3:$AE$40,$T517)&gt;0,"NAO","SIM"))</f>
        <v/>
      </c>
    </row>
    <row r="518" ht="36.75" customHeight="1" s="60">
      <c r="A518" s="70" t="n">
        <v>1</v>
      </c>
      <c r="B518" s="71" t="n">
        <v>46171</v>
      </c>
      <c r="C518" s="71" t="n">
        <v>46195</v>
      </c>
      <c r="D518" s="70" t="n">
        <v>1697</v>
      </c>
      <c r="E518" s="72" t="inlineStr">
        <is>
          <t>ROCHA E PAIVA LTDA</t>
        </is>
      </c>
      <c r="F518" s="70" t="n">
        <v>24</v>
      </c>
      <c r="G518" s="72" t="inlineStr">
        <is>
          <t>Compra a Prazo - Boletos</t>
        </is>
      </c>
      <c r="H518" s="70" t="n">
        <v>2110101</v>
      </c>
      <c r="I518" s="72" t="inlineStr">
        <is>
          <t>FORNECEDORES DE MERCADORIA</t>
        </is>
      </c>
      <c r="J518" s="70" t="n">
        <v>1172006</v>
      </c>
      <c r="L518" s="70" t="n">
        <v>206086</v>
      </c>
      <c r="M518" s="72" t="inlineStr">
        <is>
          <t>01</t>
        </is>
      </c>
      <c r="N518" s="72" t="inlineStr">
        <is>
          <t>NFE</t>
        </is>
      </c>
      <c r="P518" s="70" t="n">
        <v>103</v>
      </c>
      <c r="Q518" s="72" t="inlineStr">
        <is>
          <t>MILKA FRANCIS</t>
        </is>
      </c>
      <c r="R518" s="72" t="inlineStr">
        <is>
          <t>ESTOQUE DE MERCADORIAS</t>
        </is>
      </c>
      <c r="S518" s="70" t="n">
        <v>1130101</v>
      </c>
      <c r="T518" s="72" t="inlineStr">
        <is>
          <t>MERCADORIAS P/REVENDA</t>
        </is>
      </c>
      <c r="U518" s="73" t="n">
        <v>889.02</v>
      </c>
      <c r="W518" s="73" t="n">
        <v>0</v>
      </c>
      <c r="X518" s="72" t="inlineStr">
        <is>
          <t>NF 206086 - MILKA</t>
        </is>
      </c>
      <c r="Z518" s="59">
        <f>IF($T518="","",IFERROR(INDEX('Resumo Grupos'!$AC$3:$AC$200,MATCH($T518,'Resumo Grupos'!$AB$3:$AB$200,0)),"n/d"))</f>
        <v/>
      </c>
      <c r="AA518" s="59">
        <f>IF($T518="","",IF(COUNTIF('Resumo Grupos'!$AE$3:$AE$40,$T518)&gt;0,"NAO","SIM"))</f>
        <v/>
      </c>
    </row>
    <row r="519" ht="36.75" customHeight="1" s="60">
      <c r="A519" s="70" t="n">
        <v>1</v>
      </c>
      <c r="B519" s="71" t="n">
        <v>46172</v>
      </c>
      <c r="C519" s="71" t="n">
        <v>46195</v>
      </c>
      <c r="D519" s="70" t="n">
        <v>1637</v>
      </c>
      <c r="E519" s="72" t="inlineStr">
        <is>
          <t>ATACADAO S.A.</t>
        </is>
      </c>
      <c r="F519" s="70" t="n">
        <v>24</v>
      </c>
      <c r="G519" s="72" t="inlineStr">
        <is>
          <t>Compra a Prazo - Boletos</t>
        </is>
      </c>
      <c r="H519" s="70" t="n">
        <v>2110101</v>
      </c>
      <c r="I519" s="72" t="inlineStr">
        <is>
          <t>FORNECEDORES DE MERCADORIA</t>
        </is>
      </c>
      <c r="J519" s="70" t="n">
        <v>1176620</v>
      </c>
      <c r="L519" s="70" t="n">
        <v>1882653</v>
      </c>
      <c r="M519" s="72" t="inlineStr">
        <is>
          <t>01</t>
        </is>
      </c>
      <c r="N519" s="72" t="inlineStr">
        <is>
          <t>NFE</t>
        </is>
      </c>
      <c r="P519" s="70" t="n">
        <v>103</v>
      </c>
      <c r="Q519" s="72" t="inlineStr">
        <is>
          <t>MILKA FRANCIS</t>
        </is>
      </c>
      <c r="R519" s="72" t="inlineStr">
        <is>
          <t>ESTOQUE DE MERCADORIAS</t>
        </is>
      </c>
      <c r="S519" s="70" t="n">
        <v>1130101</v>
      </c>
      <c r="T519" s="72" t="inlineStr">
        <is>
          <t>MERCADORIAS P/REVENDA</t>
        </is>
      </c>
      <c r="U519" s="73" t="n">
        <v>1769.94</v>
      </c>
      <c r="W519" s="73" t="n">
        <v>0</v>
      </c>
      <c r="X519" s="72" t="inlineStr">
        <is>
          <t>NF 1882653 - MILKA</t>
        </is>
      </c>
      <c r="Z519" s="59">
        <f>IF($T519="","",IFERROR(INDEX('Resumo Grupos'!$AC$3:$AC$200,MATCH($T519,'Resumo Grupos'!$AB$3:$AB$200,0)),"n/d"))</f>
        <v/>
      </c>
      <c r="AA519" s="59">
        <f>IF($T519="","",IF(COUNTIF('Resumo Grupos'!$AE$3:$AE$40,$T519)&gt;0,"NAO","SIM"))</f>
        <v/>
      </c>
    </row>
    <row r="520" ht="45.75" customHeight="1" s="60">
      <c r="A520" s="70" t="n">
        <v>1</v>
      </c>
      <c r="B520" s="71" t="n">
        <v>46175</v>
      </c>
      <c r="C520" s="71" t="n">
        <v>46195</v>
      </c>
      <c r="D520" s="70" t="n">
        <v>10017</v>
      </c>
      <c r="E520" s="72" t="inlineStr">
        <is>
          <t>PIARARA COMERCIO, IMPORTACAO E EXPORTACAO LTDA</t>
        </is>
      </c>
      <c r="F520" s="70" t="n">
        <v>24</v>
      </c>
      <c r="G520" s="72" t="inlineStr">
        <is>
          <t>Compra a Prazo - Boletos</t>
        </is>
      </c>
      <c r="H520" s="70" t="n">
        <v>2110101</v>
      </c>
      <c r="I520" s="72" t="inlineStr">
        <is>
          <t>FORNECEDORES DE MERCADORIA</t>
        </is>
      </c>
      <c r="J520" s="70" t="n">
        <v>1193162</v>
      </c>
      <c r="L520" s="70" t="n">
        <v>192998</v>
      </c>
      <c r="M520" s="72" t="inlineStr">
        <is>
          <t>01</t>
        </is>
      </c>
      <c r="N520" s="72" t="inlineStr">
        <is>
          <t>NFE</t>
        </is>
      </c>
      <c r="P520" s="70" t="n">
        <v>103</v>
      </c>
      <c r="Q520" s="72" t="inlineStr">
        <is>
          <t>MILKA FRANCIS</t>
        </is>
      </c>
      <c r="R520" s="72" t="inlineStr">
        <is>
          <t>ESTOQUE DE MERCADORIAS</t>
        </is>
      </c>
      <c r="S520" s="70" t="n">
        <v>1130101</v>
      </c>
      <c r="T520" s="72" t="inlineStr">
        <is>
          <t>MERCADORIAS P/REVENDA</t>
        </is>
      </c>
      <c r="U520" s="73" t="n">
        <v>1864.49</v>
      </c>
      <c r="W520" s="73" t="n">
        <v>0</v>
      </c>
      <c r="X520" s="72" t="inlineStr">
        <is>
          <t>NF 192998 - MILKA</t>
        </is>
      </c>
      <c r="Z520" s="59">
        <f>IF($T520="","",IFERROR(INDEX('Resumo Grupos'!$AC$3:$AC$200,MATCH($T520,'Resumo Grupos'!$AB$3:$AB$200,0)),"n/d"))</f>
        <v/>
      </c>
      <c r="AA520" s="59">
        <f>IF($T520="","",IF(COUNTIF('Resumo Grupos'!$AE$3:$AE$40,$T520)&gt;0,"NAO","SIM"))</f>
        <v/>
      </c>
    </row>
    <row r="521" ht="45.75" customHeight="1" s="60">
      <c r="A521" s="70" t="n">
        <v>1</v>
      </c>
      <c r="B521" s="71" t="n">
        <v>46175</v>
      </c>
      <c r="C521" s="71" t="n">
        <v>46195</v>
      </c>
      <c r="D521" s="70" t="n">
        <v>1667</v>
      </c>
      <c r="E521" s="72" t="inlineStr">
        <is>
          <t>FENNIX BRASIL DISTRIBUIDORA DE PRODUTOS</t>
        </is>
      </c>
      <c r="F521" s="70" t="n">
        <v>24</v>
      </c>
      <c r="G521" s="72" t="inlineStr">
        <is>
          <t>Compra a Prazo - Boletos</t>
        </is>
      </c>
      <c r="H521" s="70" t="n">
        <v>2110101</v>
      </c>
      <c r="I521" s="72" t="inlineStr">
        <is>
          <t>FORNECEDORES DE MERCADORIA</t>
        </is>
      </c>
      <c r="J521" s="70" t="n">
        <v>1193234</v>
      </c>
      <c r="L521" s="70" t="n">
        <v>496470</v>
      </c>
      <c r="M521" s="72" t="inlineStr">
        <is>
          <t>01</t>
        </is>
      </c>
      <c r="N521" s="72" t="inlineStr">
        <is>
          <t>AVU</t>
        </is>
      </c>
      <c r="P521" s="70" t="n">
        <v>103</v>
      </c>
      <c r="Q521" s="72" t="inlineStr">
        <is>
          <t>MILKA FRANCIS</t>
        </is>
      </c>
      <c r="R521" s="72" t="inlineStr">
        <is>
          <t>ESTOQUE DE MERCADORIAS</t>
        </is>
      </c>
      <c r="S521" s="70" t="n">
        <v>1130101</v>
      </c>
      <c r="T521" s="72" t="inlineStr">
        <is>
          <t>MERCADORIAS P/REVENDA</t>
        </is>
      </c>
      <c r="U521" s="73" t="n">
        <v>903.0599999999999</v>
      </c>
      <c r="W521" s="73" t="n">
        <v>0</v>
      </c>
      <c r="X521" s="72" t="inlineStr">
        <is>
          <t>NF 394340 C/TARIFA INCLUSA - MILKA</t>
        </is>
      </c>
      <c r="Z521" s="59">
        <f>IF($T521="","",IFERROR(INDEX('Resumo Grupos'!$AC$3:$AC$200,MATCH($T521,'Resumo Grupos'!$AB$3:$AB$200,0)),"n/d"))</f>
        <v/>
      </c>
      <c r="AA521" s="59">
        <f>IF($T521="","",IF(COUNTIF('Resumo Grupos'!$AE$3:$AE$40,$T521)&gt;0,"NAO","SIM"))</f>
        <v/>
      </c>
    </row>
    <row r="522" ht="45.75" customHeight="1" s="60">
      <c r="A522" s="70" t="n">
        <v>1</v>
      </c>
      <c r="B522" s="71" t="n">
        <v>46181</v>
      </c>
      <c r="C522" s="71" t="n">
        <v>46195</v>
      </c>
      <c r="D522" s="70" t="n">
        <v>1659</v>
      </c>
      <c r="E522" s="72" t="inlineStr">
        <is>
          <t>ADRIANA DISTRIBUIDORA DE PRODUTOS ALIMEN</t>
        </is>
      </c>
      <c r="F522" s="70" t="n">
        <v>24</v>
      </c>
      <c r="G522" s="72" t="inlineStr">
        <is>
          <t>Compra a Prazo - Boletos</t>
        </is>
      </c>
      <c r="H522" s="70" t="n">
        <v>2110101</v>
      </c>
      <c r="I522" s="72" t="inlineStr">
        <is>
          <t>FORNECEDORES DE MERCADORIA</t>
        </is>
      </c>
      <c r="J522" s="70" t="n">
        <v>1223005</v>
      </c>
      <c r="L522" s="70" t="n">
        <v>876740</v>
      </c>
      <c r="M522" s="72" t="inlineStr">
        <is>
          <t>01</t>
        </is>
      </c>
      <c r="N522" s="72" t="inlineStr">
        <is>
          <t>NFE</t>
        </is>
      </c>
      <c r="P522" s="70" t="n">
        <v>103</v>
      </c>
      <c r="Q522" s="72" t="inlineStr">
        <is>
          <t>MILKA FRANCIS</t>
        </is>
      </c>
      <c r="R522" s="72" t="inlineStr">
        <is>
          <t>ESTOQUE DE MERCADORIAS</t>
        </is>
      </c>
      <c r="S522" s="70" t="n">
        <v>1130101</v>
      </c>
      <c r="T522" s="72" t="inlineStr">
        <is>
          <t>MERCADORIAS P/REVENDA</t>
        </is>
      </c>
      <c r="U522" s="73" t="n">
        <v>584.1900000000001</v>
      </c>
      <c r="W522" s="73" t="n">
        <v>0</v>
      </c>
      <c r="X522" s="72" t="inlineStr">
        <is>
          <t>NF 876740 -1 MILKA</t>
        </is>
      </c>
      <c r="Z522" s="59">
        <f>IF($T522="","",IFERROR(INDEX('Resumo Grupos'!$AC$3:$AC$200,MATCH($T522,'Resumo Grupos'!$AB$3:$AB$200,0)),"n/d"))</f>
        <v/>
      </c>
      <c r="AA522" s="59">
        <f>IF($T522="","",IF(COUNTIF('Resumo Grupos'!$AE$3:$AE$40,$T522)&gt;0,"NAO","SIM"))</f>
        <v/>
      </c>
    </row>
    <row r="523" ht="36.75" customHeight="1" s="60">
      <c r="A523" s="70" t="n">
        <v>1</v>
      </c>
      <c r="B523" s="71" t="n">
        <v>46182</v>
      </c>
      <c r="C523" s="71" t="n">
        <v>46195</v>
      </c>
      <c r="D523" s="70" t="n">
        <v>1666</v>
      </c>
      <c r="E523" s="72" t="inlineStr">
        <is>
          <t>SOUZA CRUZ LTDA.</t>
        </is>
      </c>
      <c r="F523" s="70" t="n">
        <v>24</v>
      </c>
      <c r="G523" s="72" t="inlineStr">
        <is>
          <t>Compra a Prazo - Boletos</t>
        </is>
      </c>
      <c r="H523" s="70" t="n">
        <v>2110101</v>
      </c>
      <c r="I523" s="72" t="inlineStr">
        <is>
          <t>FORNECEDORES DE MERCADORIA</t>
        </is>
      </c>
      <c r="J523" s="70" t="n">
        <v>1226844</v>
      </c>
      <c r="L523" s="70" t="n">
        <v>562604</v>
      </c>
      <c r="M523" s="72" t="inlineStr">
        <is>
          <t>01</t>
        </is>
      </c>
      <c r="N523" s="72" t="inlineStr">
        <is>
          <t>NFE</t>
        </is>
      </c>
      <c r="P523" s="70" t="n">
        <v>103</v>
      </c>
      <c r="Q523" s="72" t="inlineStr">
        <is>
          <t>MILKA FRANCIS</t>
        </is>
      </c>
      <c r="R523" s="72" t="inlineStr">
        <is>
          <t>ESTOQUE DE MERCADORIAS</t>
        </is>
      </c>
      <c r="S523" s="70" t="n">
        <v>1130101</v>
      </c>
      <c r="T523" s="72" t="inlineStr">
        <is>
          <t>MERCADORIAS P/REVENDA</t>
        </is>
      </c>
      <c r="U523" s="73" t="n">
        <v>4347.21</v>
      </c>
      <c r="W523" s="73" t="n">
        <v>0</v>
      </c>
      <c r="X523" s="72" t="inlineStr">
        <is>
          <t>NF 562604 -01 MILKA</t>
        </is>
      </c>
      <c r="Z523" s="59">
        <f>IF($T523="","",IFERROR(INDEX('Resumo Grupos'!$AC$3:$AC$200,MATCH($T523,'Resumo Grupos'!$AB$3:$AB$200,0)),"n/d"))</f>
        <v/>
      </c>
      <c r="AA523" s="59">
        <f>IF($T523="","",IF(COUNTIF('Resumo Grupos'!$AE$3:$AE$40,$T523)&gt;0,"NAO","SIM"))</f>
        <v/>
      </c>
    </row>
    <row r="524" ht="36.75" customHeight="1" s="60">
      <c r="A524" s="70" t="n">
        <v>1</v>
      </c>
      <c r="B524" s="71" t="n">
        <v>46182</v>
      </c>
      <c r="C524" s="71" t="n">
        <v>46195</v>
      </c>
      <c r="D524" s="70" t="n">
        <v>666</v>
      </c>
      <c r="E524" s="72" t="inlineStr">
        <is>
          <t>NSB COMERCIO ATACADISTA E VAREJISTA DE P</t>
        </is>
      </c>
      <c r="F524" s="70" t="n">
        <v>24</v>
      </c>
      <c r="G524" s="72" t="inlineStr">
        <is>
          <t>Compra a Prazo - Boletos</t>
        </is>
      </c>
      <c r="H524" s="70" t="n">
        <v>2110101</v>
      </c>
      <c r="I524" s="72" t="inlineStr">
        <is>
          <t>FORNECEDORES DE MERCADORIA</t>
        </is>
      </c>
      <c r="J524" s="70" t="n">
        <v>1228251</v>
      </c>
      <c r="L524" s="70" t="n">
        <v>7726</v>
      </c>
      <c r="M524" s="72" t="inlineStr">
        <is>
          <t>02</t>
        </is>
      </c>
      <c r="N524" s="72" t="inlineStr">
        <is>
          <t>NFE</t>
        </is>
      </c>
      <c r="P524" s="70" t="n">
        <v>103</v>
      </c>
      <c r="Q524" s="72" t="inlineStr">
        <is>
          <t>MILKA FRANCIS</t>
        </is>
      </c>
      <c r="R524" s="72" t="inlineStr">
        <is>
          <t>ESTOQUE DE MERCADORIAS</t>
        </is>
      </c>
      <c r="S524" s="70" t="n">
        <v>1130101</v>
      </c>
      <c r="T524" s="72" t="inlineStr">
        <is>
          <t>MERCADORIAS P/REVENDA</t>
        </is>
      </c>
      <c r="U524" s="73" t="n">
        <v>287.8</v>
      </c>
      <c r="W524" s="73" t="n">
        <v>0</v>
      </c>
      <c r="X524" s="72" t="inlineStr">
        <is>
          <t>NF 7726 -02 MILKA</t>
        </is>
      </c>
      <c r="Z524" s="59">
        <f>IF($T524="","",IFERROR(INDEX('Resumo Grupos'!$AC$3:$AC$200,MATCH($T524,'Resumo Grupos'!$AB$3:$AB$200,0)),"n/d"))</f>
        <v/>
      </c>
      <c r="AA524" s="59">
        <f>IF($T524="","",IF(COUNTIF('Resumo Grupos'!$AE$3:$AE$40,$T524)&gt;0,"NAO","SIM"))</f>
        <v/>
      </c>
    </row>
    <row r="525" ht="36.75" customHeight="1" s="60">
      <c r="A525" s="70" t="n">
        <v>1</v>
      </c>
      <c r="B525" s="71" t="n">
        <v>46182</v>
      </c>
      <c r="C525" s="71" t="n">
        <v>46195</v>
      </c>
      <c r="D525" s="70" t="n">
        <v>794</v>
      </c>
      <c r="E525" s="72" t="inlineStr">
        <is>
          <t>EDMARA COMERCIO DE HIGIENE PESSOAL LTDA</t>
        </is>
      </c>
      <c r="F525" s="70" t="n">
        <v>24</v>
      </c>
      <c r="G525" s="72" t="inlineStr">
        <is>
          <t>Compra a Prazo - Boletos</t>
        </is>
      </c>
      <c r="H525" s="70" t="n">
        <v>2110102</v>
      </c>
      <c r="I525" s="72" t="inlineStr">
        <is>
          <t>OUTROS FORNECEDORES</t>
        </is>
      </c>
      <c r="J525" s="70" t="n">
        <v>1228326</v>
      </c>
      <c r="L525" s="70" t="n">
        <v>8026</v>
      </c>
      <c r="M525" s="72" t="inlineStr">
        <is>
          <t>01</t>
        </is>
      </c>
      <c r="N525" s="72" t="inlineStr">
        <is>
          <t>NFE</t>
        </is>
      </c>
      <c r="P525" s="70" t="n">
        <v>103</v>
      </c>
      <c r="Q525" s="72" t="inlineStr">
        <is>
          <t>MILKA FRANCIS</t>
        </is>
      </c>
      <c r="R525" s="72" t="inlineStr">
        <is>
          <t>DESPESAS OPERACIONAIS</t>
        </is>
      </c>
      <c r="S525" s="70" t="n">
        <v>4210204</v>
      </c>
      <c r="T525" s="72" t="inlineStr">
        <is>
          <t>MATERIAL DE CONSUMO</t>
        </is>
      </c>
      <c r="U525" s="73" t="n">
        <v>575</v>
      </c>
      <c r="W525" s="73" t="n">
        <v>0</v>
      </c>
      <c r="X525" s="72" t="inlineStr">
        <is>
          <t>NF 8026 - MILKA</t>
        </is>
      </c>
      <c r="Z525" s="59">
        <f>IF($T525="","",IFERROR(INDEX('Resumo Grupos'!$AC$3:$AC$200,MATCH($T525,'Resumo Grupos'!$AB$3:$AB$200,0)),"n/d"))</f>
        <v/>
      </c>
      <c r="AA525" s="59">
        <f>IF($T525="","",IF(COUNTIF('Resumo Grupos'!$AE$3:$AE$40,$T525)&gt;0,"NAO","SIM"))</f>
        <v/>
      </c>
    </row>
    <row r="526" ht="45.75" customHeight="1" s="60">
      <c r="A526" s="70" t="n">
        <v>1</v>
      </c>
      <c r="B526" s="71" t="n">
        <v>46183</v>
      </c>
      <c r="C526" s="71" t="n">
        <v>46195</v>
      </c>
      <c r="D526" s="70" t="n">
        <v>1357</v>
      </c>
      <c r="E526" s="72" t="inlineStr">
        <is>
          <t>DISPPAN DISTRIBUIDORA DE PRODUTOS PARA PANIFICACAO LTDA</t>
        </is>
      </c>
      <c r="F526" s="70" t="n">
        <v>24</v>
      </c>
      <c r="G526" s="72" t="inlineStr">
        <is>
          <t>Compra a Prazo - Boletos</t>
        </is>
      </c>
      <c r="H526" s="70" t="n">
        <v>2110102</v>
      </c>
      <c r="I526" s="72" t="inlineStr">
        <is>
          <t>OUTROS FORNECEDORES</t>
        </is>
      </c>
      <c r="J526" s="70" t="n">
        <v>1231571</v>
      </c>
      <c r="L526" s="70" t="n">
        <v>278802</v>
      </c>
      <c r="M526" s="72" t="inlineStr">
        <is>
          <t>02</t>
        </is>
      </c>
      <c r="N526" s="72" t="inlineStr">
        <is>
          <t>NFE</t>
        </is>
      </c>
      <c r="P526" s="70" t="n">
        <v>103</v>
      </c>
      <c r="Q526" s="72" t="inlineStr">
        <is>
          <t>MILKA FRANCIS</t>
        </is>
      </c>
      <c r="R526" s="72" t="inlineStr">
        <is>
          <t>DESPESAS OPERACIONAIS</t>
        </is>
      </c>
      <c r="S526" s="70" t="n">
        <v>4210204</v>
      </c>
      <c r="T526" s="72" t="inlineStr">
        <is>
          <t>MATERIAL DE CONSUMO</t>
        </is>
      </c>
      <c r="U526" s="73" t="n">
        <v>474.05</v>
      </c>
      <c r="W526" s="73" t="n">
        <v>0</v>
      </c>
      <c r="X526" s="72" t="inlineStr">
        <is>
          <t>NF 278802 -2 MILKA</t>
        </is>
      </c>
      <c r="Z526" s="59">
        <f>IF($T526="","",IFERROR(INDEX('Resumo Grupos'!$AC$3:$AC$200,MATCH($T526,'Resumo Grupos'!$AB$3:$AB$200,0)),"n/d"))</f>
        <v/>
      </c>
      <c r="AA526" s="59">
        <f>IF($T526="","",IF(COUNTIF('Resumo Grupos'!$AE$3:$AE$40,$T526)&gt;0,"NAO","SIM"))</f>
        <v/>
      </c>
    </row>
    <row r="527" ht="45.75" customHeight="1" s="60">
      <c r="A527" s="70" t="n">
        <v>1</v>
      </c>
      <c r="B527" s="71" t="n">
        <v>46188</v>
      </c>
      <c r="C527" s="71" t="n">
        <v>46195</v>
      </c>
      <c r="D527" s="70" t="n">
        <v>1614</v>
      </c>
      <c r="E527" s="72" t="inlineStr">
        <is>
          <t>C. R. PARENTE ABREU</t>
        </is>
      </c>
      <c r="F527" s="70" t="n">
        <v>24</v>
      </c>
      <c r="G527" s="72" t="inlineStr">
        <is>
          <t>Compra a Prazo - Boletos</t>
        </is>
      </c>
      <c r="H527" s="70" t="n">
        <v>2110101</v>
      </c>
      <c r="I527" s="72" t="inlineStr">
        <is>
          <t>FORNECEDORES DE MERCADORIA</t>
        </is>
      </c>
      <c r="J527" s="70" t="n">
        <v>1255457</v>
      </c>
      <c r="L527" s="70" t="n">
        <v>11267</v>
      </c>
      <c r="M527" s="72" t="inlineStr">
        <is>
          <t>02</t>
        </is>
      </c>
      <c r="N527" s="72" t="inlineStr">
        <is>
          <t>NFE</t>
        </is>
      </c>
      <c r="P527" s="70" t="n">
        <v>103</v>
      </c>
      <c r="Q527" s="72" t="inlineStr">
        <is>
          <t>MILKA FRANCIS</t>
        </is>
      </c>
      <c r="R527" s="72" t="inlineStr">
        <is>
          <t>ESTOQUE DE MERCADORIAS</t>
        </is>
      </c>
      <c r="S527" s="70" t="n">
        <v>1130101</v>
      </c>
      <c r="T527" s="72" t="inlineStr">
        <is>
          <t>MERCADORIAS P/REVENDA</t>
        </is>
      </c>
      <c r="U527" s="73" t="n">
        <v>396.96</v>
      </c>
      <c r="W527" s="73" t="n">
        <v>0</v>
      </c>
      <c r="X527" s="72" t="inlineStr">
        <is>
          <t>NF11267 -2 MILKA</t>
        </is>
      </c>
      <c r="Z527" s="59">
        <f>IF($T527="","",IFERROR(INDEX('Resumo Grupos'!$AC$3:$AC$200,MATCH($T527,'Resumo Grupos'!$AB$3:$AB$200,0)),"n/d"))</f>
        <v/>
      </c>
      <c r="AA527" s="59">
        <f>IF($T527="","",IF(COUNTIF('Resumo Grupos'!$AE$3:$AE$40,$T527)&gt;0,"NAO","SIM"))</f>
        <v/>
      </c>
    </row>
    <row r="528" ht="54.75" customHeight="1" s="60">
      <c r="A528" s="70" t="n">
        <v>1</v>
      </c>
      <c r="B528" s="71" t="n">
        <v>46192</v>
      </c>
      <c r="C528" s="71" t="n">
        <v>46195</v>
      </c>
      <c r="D528" s="70" t="n">
        <v>1614</v>
      </c>
      <c r="E528" s="72" t="inlineStr">
        <is>
          <t>C. R. PARENTE ABREU</t>
        </is>
      </c>
      <c r="F528" s="70" t="n">
        <v>24</v>
      </c>
      <c r="G528" s="72" t="inlineStr">
        <is>
          <t>Compra a Prazo - Boletos</t>
        </is>
      </c>
      <c r="H528" s="70" t="n">
        <v>2110101</v>
      </c>
      <c r="I528" s="72" t="inlineStr">
        <is>
          <t>FORNECEDORES DE MERCADORIA</t>
        </is>
      </c>
      <c r="J528" s="70" t="n">
        <v>1274116</v>
      </c>
      <c r="L528" s="70" t="n">
        <v>11292</v>
      </c>
      <c r="M528" s="72" t="inlineStr">
        <is>
          <t>01</t>
        </is>
      </c>
      <c r="N528" s="72" t="inlineStr">
        <is>
          <t>NFE</t>
        </is>
      </c>
      <c r="P528" s="70" t="n">
        <v>103</v>
      </c>
      <c r="Q528" s="72" t="inlineStr">
        <is>
          <t>MILKA FRANCIS</t>
        </is>
      </c>
      <c r="R528" s="72" t="inlineStr">
        <is>
          <t>ESTOQUE DE MERCADORIAS</t>
        </is>
      </c>
      <c r="S528" s="70" t="n">
        <v>1130101</v>
      </c>
      <c r="T528" s="72" t="inlineStr">
        <is>
          <t>MERCADORIAS P/REVENDA</t>
        </is>
      </c>
      <c r="U528" s="73" t="n">
        <v>516.96</v>
      </c>
      <c r="W528" s="73" t="n">
        <v>0</v>
      </c>
      <c r="X528" s="72" t="inlineStr">
        <is>
          <t>NF 11292-1 MILKA</t>
        </is>
      </c>
      <c r="Z528" s="59">
        <f>IF($T528="","",IFERROR(INDEX('Resumo Grupos'!$AC$3:$AC$200,MATCH($T528,'Resumo Grupos'!$AB$3:$AB$200,0)),"n/d"))</f>
        <v/>
      </c>
      <c r="AA528" s="59">
        <f>IF($T528="","",IF(COUNTIF('Resumo Grupos'!$AE$3:$AE$40,$T528)&gt;0,"NAO","SIM"))</f>
        <v/>
      </c>
    </row>
    <row r="529" ht="54.75" customHeight="1" s="60">
      <c r="A529" s="70" t="n">
        <v>1</v>
      </c>
      <c r="B529" s="71" t="n">
        <v>46190</v>
      </c>
      <c r="C529" s="71" t="n">
        <v>46195</v>
      </c>
      <c r="D529" s="70" t="n">
        <v>1328</v>
      </c>
      <c r="E529" s="72" t="inlineStr">
        <is>
          <t>NOVA FRIOS COMERCIO ATACADISTA DE LATICINIOS LTDA</t>
        </is>
      </c>
      <c r="F529" s="70" t="n">
        <v>24</v>
      </c>
      <c r="G529" s="72" t="inlineStr">
        <is>
          <t>Compra a Prazo - Boletos</t>
        </is>
      </c>
      <c r="H529" s="70" t="n">
        <v>2110101</v>
      </c>
      <c r="I529" s="72" t="inlineStr">
        <is>
          <t>FORNECEDORES DE MERCADORIA</t>
        </is>
      </c>
      <c r="J529" s="70" t="n">
        <v>1264922</v>
      </c>
      <c r="L529" s="70" t="n">
        <v>3784</v>
      </c>
      <c r="M529" s="72" t="inlineStr">
        <is>
          <t>01</t>
        </is>
      </c>
      <c r="N529" s="72" t="inlineStr">
        <is>
          <t>NFE</t>
        </is>
      </c>
      <c r="P529" s="70" t="n">
        <v>103</v>
      </c>
      <c r="Q529" s="72" t="inlineStr">
        <is>
          <t>MILKA FRANCIS</t>
        </is>
      </c>
      <c r="R529" s="72" t="inlineStr">
        <is>
          <t>ESTOQUE DE MERCADORIAS</t>
        </is>
      </c>
      <c r="S529" s="70" t="n">
        <v>1130101</v>
      </c>
      <c r="T529" s="72" t="inlineStr">
        <is>
          <t>MERCADORIAS P/REVENDA</t>
        </is>
      </c>
      <c r="U529" s="73" t="n">
        <v>213</v>
      </c>
      <c r="W529" s="73" t="n">
        <v>0</v>
      </c>
      <c r="X529" s="72" t="inlineStr">
        <is>
          <t>NF 3784 BODEGA - MILKA</t>
        </is>
      </c>
      <c r="Z529" s="59">
        <f>IF($T529="","",IFERROR(INDEX('Resumo Grupos'!$AC$3:$AC$200,MATCH($T529,'Resumo Grupos'!$AB$3:$AB$200,0)),"n/d"))</f>
        <v/>
      </c>
      <c r="AA529" s="59">
        <f>IF($T529="","",IF(COUNTIF('Resumo Grupos'!$AE$3:$AE$40,$T529)&gt;0,"NAO","SIM"))</f>
        <v/>
      </c>
    </row>
    <row r="530" ht="27.75" customHeight="1" s="60">
      <c r="A530" s="70" t="n">
        <v>1</v>
      </c>
      <c r="B530" s="71" t="n">
        <v>46190</v>
      </c>
      <c r="C530" s="71" t="n">
        <v>46195</v>
      </c>
      <c r="D530" s="70" t="n">
        <v>947</v>
      </c>
      <c r="E530" s="72" t="inlineStr">
        <is>
          <t xml:space="preserve">HINOVA PAYMENTS </t>
        </is>
      </c>
      <c r="F530" s="70" t="n">
        <v>24</v>
      </c>
      <c r="G530" s="72" t="inlineStr">
        <is>
          <t>Compra a Prazo - Boletos</t>
        </is>
      </c>
      <c r="H530" s="70" t="n">
        <v>2110405</v>
      </c>
      <c r="I530" s="72" t="inlineStr">
        <is>
          <t>CONTAS A PAGAR</t>
        </is>
      </c>
      <c r="J530" s="70" t="n">
        <v>1265180</v>
      </c>
      <c r="L530" s="70" t="n">
        <v>524785</v>
      </c>
      <c r="M530" s="72" t="inlineStr">
        <is>
          <t>01</t>
        </is>
      </c>
      <c r="N530" s="72" t="inlineStr">
        <is>
          <t>AVU</t>
        </is>
      </c>
      <c r="P530" s="70" t="n">
        <v>101</v>
      </c>
      <c r="Q530" s="72" t="inlineStr">
        <is>
          <t>KEILA LIMA</t>
        </is>
      </c>
      <c r="R530" s="72" t="inlineStr">
        <is>
          <t>BENS TANGIVEIS</t>
        </is>
      </c>
      <c r="S530" s="70" t="n">
        <v>1240105</v>
      </c>
      <c r="T530" s="72" t="inlineStr">
        <is>
          <t>VEICULOS</t>
        </is>
      </c>
      <c r="U530" s="73" t="n">
        <v>129</v>
      </c>
      <c r="W530" s="73" t="n">
        <v>0</v>
      </c>
      <c r="X530" s="72" t="inlineStr">
        <is>
          <t>MENSALIDADE RASTREADOR MOTO MO1 DELIVERY - KEILA</t>
        </is>
      </c>
      <c r="Z530" s="59">
        <f>IF($T530="","",IFERROR(INDEX('Resumo Grupos'!$AC$3:$AC$200,MATCH($T530,'Resumo Grupos'!$AB$3:$AB$200,0)),"n/d"))</f>
        <v/>
      </c>
      <c r="AA530" s="59">
        <f>IF($T530="","",IF(COUNTIF('Resumo Grupos'!$AE$3:$AE$40,$T530)&gt;0,"NAO","SIM"))</f>
        <v/>
      </c>
    </row>
    <row r="531" ht="27.75" customHeight="1" s="60">
      <c r="A531" s="70" t="n">
        <v>1</v>
      </c>
      <c r="B531" s="71" t="n">
        <v>46190</v>
      </c>
      <c r="C531" s="71" t="n">
        <v>46195</v>
      </c>
      <c r="D531" s="70" t="n">
        <v>1899</v>
      </c>
      <c r="E531" s="72" t="inlineStr">
        <is>
          <t>PANIFICADORA E CONFEITARIA REAL MADRI LTDA</t>
        </is>
      </c>
      <c r="F531" s="70" t="n">
        <v>24</v>
      </c>
      <c r="G531" s="72" t="inlineStr">
        <is>
          <t>Compra a Prazo - Boletos</t>
        </is>
      </c>
      <c r="H531" s="70" t="n">
        <v>2110101</v>
      </c>
      <c r="I531" s="72" t="inlineStr">
        <is>
          <t>FORNECEDORES DE MERCADORIA</t>
        </is>
      </c>
      <c r="J531" s="70" t="n">
        <v>1266166</v>
      </c>
      <c r="L531" s="70" t="n">
        <v>667</v>
      </c>
      <c r="M531" s="72" t="inlineStr">
        <is>
          <t>01</t>
        </is>
      </c>
      <c r="N531" s="72" t="inlineStr">
        <is>
          <t>NFE</t>
        </is>
      </c>
      <c r="P531" s="70" t="n">
        <v>103</v>
      </c>
      <c r="Q531" s="72" t="inlineStr">
        <is>
          <t>MILKA FRANCIS</t>
        </is>
      </c>
      <c r="R531" s="72" t="inlineStr">
        <is>
          <t>ESTOQUE DE MERCADORIAS</t>
        </is>
      </c>
      <c r="S531" s="70" t="n">
        <v>1130101</v>
      </c>
      <c r="T531" s="72" t="inlineStr">
        <is>
          <t>MERCADORIAS P/REVENDA</t>
        </is>
      </c>
      <c r="U531" s="73" t="n">
        <v>1400</v>
      </c>
      <c r="W531" s="73" t="n">
        <v>0</v>
      </c>
      <c r="X531" s="72" t="inlineStr">
        <is>
          <t>NF 667 - MILKA</t>
        </is>
      </c>
      <c r="Z531" s="59">
        <f>IF($T531="","",IFERROR(INDEX('Resumo Grupos'!$AC$3:$AC$200,MATCH($T531,'Resumo Grupos'!$AB$3:$AB$200,0)),"n/d"))</f>
        <v/>
      </c>
      <c r="AA531" s="59">
        <f>IF($T531="","",IF(COUNTIF('Resumo Grupos'!$AE$3:$AE$40,$T531)&gt;0,"NAO","SIM"))</f>
        <v/>
      </c>
    </row>
    <row r="532" ht="45.75" customHeight="1" s="60">
      <c r="A532" s="70" t="n">
        <v>1</v>
      </c>
      <c r="B532" s="71" t="n">
        <v>46190</v>
      </c>
      <c r="C532" s="71" t="n">
        <v>46195</v>
      </c>
      <c r="D532" s="70" t="n">
        <v>1899</v>
      </c>
      <c r="E532" s="72" t="inlineStr">
        <is>
          <t>PANIFICADORA E CONFEITARIA REAL MADRI LTDA</t>
        </is>
      </c>
      <c r="F532" s="70" t="n">
        <v>24</v>
      </c>
      <c r="G532" s="72" t="inlineStr">
        <is>
          <t>Compra a Prazo - Boletos</t>
        </is>
      </c>
      <c r="H532" s="70" t="n">
        <v>2110101</v>
      </c>
      <c r="I532" s="72" t="inlineStr">
        <is>
          <t>FORNECEDORES DE MERCADORIA</t>
        </is>
      </c>
      <c r="J532" s="70" t="n">
        <v>1266346</v>
      </c>
      <c r="L532" s="70" t="n">
        <v>665</v>
      </c>
      <c r="M532" s="72" t="inlineStr">
        <is>
          <t>01</t>
        </is>
      </c>
      <c r="N532" s="72" t="inlineStr">
        <is>
          <t>NFE</t>
        </is>
      </c>
      <c r="P532" s="70" t="n">
        <v>103</v>
      </c>
      <c r="Q532" s="72" t="inlineStr">
        <is>
          <t>MILKA FRANCIS</t>
        </is>
      </c>
      <c r="R532" s="72" t="inlineStr">
        <is>
          <t>ESTOQUE DE MERCADORIAS</t>
        </is>
      </c>
      <c r="S532" s="70" t="n">
        <v>1130101</v>
      </c>
      <c r="T532" s="72" t="inlineStr">
        <is>
          <t>MERCADORIAS P/REVENDA</t>
        </is>
      </c>
      <c r="U532" s="73" t="n">
        <v>319.63</v>
      </c>
      <c r="W532" s="73" t="n">
        <v>0</v>
      </c>
      <c r="X532" s="72" t="inlineStr">
        <is>
          <t>NF 665 - MILKA</t>
        </is>
      </c>
      <c r="Z532" s="59">
        <f>IF($T532="","",IFERROR(INDEX('Resumo Grupos'!$AC$3:$AC$200,MATCH($T532,'Resumo Grupos'!$AB$3:$AB$200,0)),"n/d"))</f>
        <v/>
      </c>
      <c r="AA532" s="59">
        <f>IF($T532="","",IF(COUNTIF('Resumo Grupos'!$AE$3:$AE$40,$T532)&gt;0,"NAO","SIM"))</f>
        <v/>
      </c>
    </row>
    <row r="533" ht="36.75" customHeight="1" s="60">
      <c r="A533" s="70" t="n">
        <v>1</v>
      </c>
      <c r="B533" s="71" t="n">
        <v>46191</v>
      </c>
      <c r="C533" s="71" t="n">
        <v>46195</v>
      </c>
      <c r="D533" s="70" t="n">
        <v>1455</v>
      </c>
      <c r="E533" s="72" t="inlineStr">
        <is>
          <t>J. R. L. NASCIMENTO PANIFICADORA</t>
        </is>
      </c>
      <c r="F533" s="70" t="n">
        <v>24</v>
      </c>
      <c r="G533" s="72" t="inlineStr">
        <is>
          <t>Compra a Prazo - Boletos</t>
        </is>
      </c>
      <c r="H533" s="70" t="n">
        <v>2110101</v>
      </c>
      <c r="I533" s="72" t="inlineStr">
        <is>
          <t>FORNECEDORES DE MERCADORIA</t>
        </is>
      </c>
      <c r="J533" s="70" t="n">
        <v>1269922</v>
      </c>
      <c r="L533" s="70" t="n">
        <v>954</v>
      </c>
      <c r="M533" s="72" t="inlineStr">
        <is>
          <t>01</t>
        </is>
      </c>
      <c r="N533" s="72" t="inlineStr">
        <is>
          <t>NFE</t>
        </is>
      </c>
      <c r="P533" s="70" t="n">
        <v>103</v>
      </c>
      <c r="Q533" s="72" t="inlineStr">
        <is>
          <t>MILKA FRANCIS</t>
        </is>
      </c>
      <c r="R533" s="72" t="inlineStr">
        <is>
          <t>ESTOQUE DE MERCADORIAS</t>
        </is>
      </c>
      <c r="S533" s="70" t="n">
        <v>1130101</v>
      </c>
      <c r="T533" s="72" t="inlineStr">
        <is>
          <t>MERCADORIAS P/REVENDA</t>
        </is>
      </c>
      <c r="U533" s="73" t="n">
        <v>990</v>
      </c>
      <c r="W533" s="73" t="n">
        <v>0</v>
      </c>
      <c r="X533" s="72" t="inlineStr">
        <is>
          <t>NF 954 CASA ITALIA - MILKA</t>
        </is>
      </c>
      <c r="Z533" s="59">
        <f>IF($T533="","",IFERROR(INDEX('Resumo Grupos'!$AC$3:$AC$200,MATCH($T533,'Resumo Grupos'!$AB$3:$AB$200,0)),"n/d"))</f>
        <v/>
      </c>
      <c r="AA533" s="59">
        <f>IF($T533="","",IF(COUNTIF('Resumo Grupos'!$AE$3:$AE$40,$T533)&gt;0,"NAO","SIM"))</f>
        <v/>
      </c>
    </row>
    <row r="534" ht="36.75" customHeight="1" s="60">
      <c r="A534" s="70" t="n">
        <v>1</v>
      </c>
      <c r="B534" s="71" t="n">
        <v>46191</v>
      </c>
      <c r="C534" s="71" t="n">
        <v>46195</v>
      </c>
      <c r="D534" s="70" t="n">
        <v>1631</v>
      </c>
      <c r="E534" s="72" t="inlineStr">
        <is>
          <t>T. M. L. DA SILVA LTDA</t>
        </is>
      </c>
      <c r="F534" s="70" t="n">
        <v>24</v>
      </c>
      <c r="G534" s="72" t="inlineStr">
        <is>
          <t>Compra a Prazo - Boletos</t>
        </is>
      </c>
      <c r="H534" s="70" t="n">
        <v>2110101</v>
      </c>
      <c r="I534" s="72" t="inlineStr">
        <is>
          <t>FORNECEDORES DE MERCADORIA</t>
        </is>
      </c>
      <c r="J534" s="70" t="n">
        <v>1269931</v>
      </c>
      <c r="L534" s="70" t="n">
        <v>15024</v>
      </c>
      <c r="M534" s="72" t="inlineStr">
        <is>
          <t>01</t>
        </is>
      </c>
      <c r="N534" s="72" t="inlineStr">
        <is>
          <t>NFE</t>
        </is>
      </c>
      <c r="P534" s="70" t="n">
        <v>103</v>
      </c>
      <c r="Q534" s="72" t="inlineStr">
        <is>
          <t>MILKA FRANCIS</t>
        </is>
      </c>
      <c r="R534" s="72" t="inlineStr">
        <is>
          <t>ESTOQUE DE MERCADORIAS</t>
        </is>
      </c>
      <c r="S534" s="70" t="n">
        <v>1130101</v>
      </c>
      <c r="T534" s="72" t="inlineStr">
        <is>
          <t>MERCADORIAS P/REVENDA</t>
        </is>
      </c>
      <c r="U534" s="73" t="n">
        <v>614.59</v>
      </c>
      <c r="W534" s="73" t="n">
        <v>0</v>
      </c>
      <c r="X534" s="72" t="inlineStr">
        <is>
          <t>NF 15024 AMAZONGURT - MILKA</t>
        </is>
      </c>
      <c r="Z534" s="59">
        <f>IF($T534="","",IFERROR(INDEX('Resumo Grupos'!$AC$3:$AC$200,MATCH($T534,'Resumo Grupos'!$AB$3:$AB$200,0)),"n/d"))</f>
        <v/>
      </c>
      <c r="AA534" s="59">
        <f>IF($T534="","",IF(COUNTIF('Resumo Grupos'!$AE$3:$AE$40,$T534)&gt;0,"NAO","SIM"))</f>
        <v/>
      </c>
    </row>
    <row r="535" ht="36.75" customHeight="1" s="60">
      <c r="A535" s="70" t="n">
        <v>1</v>
      </c>
      <c r="B535" s="71" t="n">
        <v>46191</v>
      </c>
      <c r="C535" s="71" t="n">
        <v>46195</v>
      </c>
      <c r="D535" s="70" t="n">
        <v>1650</v>
      </c>
      <c r="E535" s="72" t="inlineStr">
        <is>
          <t>FRUTAL INDUSTRIA E COMERCIO LTDA</t>
        </is>
      </c>
      <c r="F535" s="70" t="n">
        <v>24</v>
      </c>
      <c r="G535" s="72" t="inlineStr">
        <is>
          <t>Compra a Prazo - Boletos</t>
        </is>
      </c>
      <c r="H535" s="70" t="n">
        <v>2110101</v>
      </c>
      <c r="I535" s="72" t="inlineStr">
        <is>
          <t>FORNECEDORES DE MERCADORIA</t>
        </is>
      </c>
      <c r="J535" s="70" t="n">
        <v>1269936</v>
      </c>
      <c r="L535" s="70" t="n">
        <v>223520</v>
      </c>
      <c r="M535" s="72" t="inlineStr">
        <is>
          <t>01</t>
        </is>
      </c>
      <c r="N535" s="72" t="inlineStr">
        <is>
          <t>NFE</t>
        </is>
      </c>
      <c r="P535" s="70" t="n">
        <v>103</v>
      </c>
      <c r="Q535" s="72" t="inlineStr">
        <is>
          <t>MILKA FRANCIS</t>
        </is>
      </c>
      <c r="R535" s="72" t="inlineStr">
        <is>
          <t>ESTOQUE DE MERCADORIAS</t>
        </is>
      </c>
      <c r="S535" s="70" t="n">
        <v>1130101</v>
      </c>
      <c r="T535" s="72" t="inlineStr">
        <is>
          <t>MERCADORIAS P/REVENDA</t>
        </is>
      </c>
      <c r="U535" s="73" t="n">
        <v>590.84</v>
      </c>
      <c r="W535" s="73" t="n">
        <v>0</v>
      </c>
      <c r="X535" s="72" t="inlineStr">
        <is>
          <t>NF 223520 - MILKA</t>
        </is>
      </c>
      <c r="Z535" s="59">
        <f>IF($T535="","",IFERROR(INDEX('Resumo Grupos'!$AC$3:$AC$200,MATCH($T535,'Resumo Grupos'!$AB$3:$AB$200,0)),"n/d"))</f>
        <v/>
      </c>
      <c r="AA535" s="59">
        <f>IF($T535="","",IF(COUNTIF('Resumo Grupos'!$AE$3:$AE$40,$T535)&gt;0,"NAO","SIM"))</f>
        <v/>
      </c>
    </row>
    <row r="536" ht="54.75" customHeight="1" s="60">
      <c r="A536" s="70" t="n">
        <v>1</v>
      </c>
      <c r="B536" s="71" t="n">
        <v>46191</v>
      </c>
      <c r="C536" s="71" t="n">
        <v>46195</v>
      </c>
      <c r="D536" s="70" t="n">
        <v>10018</v>
      </c>
      <c r="E536" s="72" t="inlineStr">
        <is>
          <t>ADRIANO FEITOSA OLIVEIRA LTDA</t>
        </is>
      </c>
      <c r="F536" s="70" t="n">
        <v>34</v>
      </c>
      <c r="G536" s="72" t="inlineStr">
        <is>
          <t>Transferencia Pix</t>
        </is>
      </c>
      <c r="H536" s="70" t="n">
        <v>2110101</v>
      </c>
      <c r="I536" s="72" t="inlineStr">
        <is>
          <t>FORNECEDORES DE MERCADORIA</t>
        </is>
      </c>
      <c r="J536" s="70" t="n">
        <v>1270154</v>
      </c>
      <c r="L536" s="70" t="n">
        <v>302</v>
      </c>
      <c r="M536" s="72" t="inlineStr">
        <is>
          <t>01</t>
        </is>
      </c>
      <c r="N536" s="72" t="inlineStr">
        <is>
          <t>NFE</t>
        </is>
      </c>
      <c r="P536" s="70" t="n">
        <v>103</v>
      </c>
      <c r="Q536" s="72" t="inlineStr">
        <is>
          <t>MILKA FRANCIS</t>
        </is>
      </c>
      <c r="R536" s="72" t="inlineStr">
        <is>
          <t>ESTOQUE DE MERCADORIAS</t>
        </is>
      </c>
      <c r="S536" s="70" t="n">
        <v>1130101</v>
      </c>
      <c r="T536" s="72" t="inlineStr">
        <is>
          <t>MERCADORIAS P/REVENDA</t>
        </is>
      </c>
      <c r="U536" s="73" t="n">
        <v>1850</v>
      </c>
      <c r="W536" s="73" t="n">
        <v>0</v>
      </c>
      <c r="X536" s="72" t="inlineStr">
        <is>
          <t>NF 302 - MILKA</t>
        </is>
      </c>
      <c r="Z536" s="59">
        <f>IF($T536="","",IFERROR(INDEX('Resumo Grupos'!$AC$3:$AC$200,MATCH($T536,'Resumo Grupos'!$AB$3:$AB$200,0)),"n/d"))</f>
        <v/>
      </c>
      <c r="AA536" s="59">
        <f>IF($T536="","",IF(COUNTIF('Resumo Grupos'!$AE$3:$AE$40,$T536)&gt;0,"NAO","SIM"))</f>
        <v/>
      </c>
    </row>
    <row r="537" ht="36.75" customHeight="1" s="60">
      <c r="A537" s="70" t="n">
        <v>1</v>
      </c>
      <c r="B537" s="71" t="n">
        <v>46192</v>
      </c>
      <c r="C537" s="71" t="n">
        <v>46195</v>
      </c>
      <c r="D537" s="70" t="n">
        <v>1947</v>
      </c>
      <c r="E537" s="72" t="inlineStr">
        <is>
          <t>E S O CONSULTORIA EIRELI</t>
        </is>
      </c>
      <c r="F537" s="70" t="n">
        <v>34</v>
      </c>
      <c r="G537" s="72" t="inlineStr">
        <is>
          <t>Transferencia Pix</t>
        </is>
      </c>
      <c r="H537" s="70" t="n">
        <v>2110405</v>
      </c>
      <c r="I537" s="72" t="inlineStr">
        <is>
          <t>CONTAS A PAGAR</t>
        </is>
      </c>
      <c r="J537" s="70" t="n">
        <v>1273026</v>
      </c>
      <c r="L537" s="70" t="n">
        <v>528400</v>
      </c>
      <c r="M537" s="72" t="inlineStr">
        <is>
          <t>01</t>
        </is>
      </c>
      <c r="N537" s="72" t="inlineStr">
        <is>
          <t>AVU</t>
        </is>
      </c>
      <c r="P537" s="70" t="n">
        <v>101</v>
      </c>
      <c r="Q537" s="72" t="inlineStr">
        <is>
          <t>KEILA LIMA</t>
        </is>
      </c>
      <c r="R537" s="72" t="inlineStr">
        <is>
          <t>IMPOSTOS E CONTRIBUICOES A PAGAR</t>
        </is>
      </c>
      <c r="S537" s="70" t="n">
        <v>2110707</v>
      </c>
      <c r="T537" s="72" t="inlineStr">
        <is>
          <t>SIMPLES FEDERAL A PAGAR</t>
        </is>
      </c>
      <c r="U537" s="73" t="n">
        <v>5355.91</v>
      </c>
      <c r="W537" s="73" t="n">
        <v>0</v>
      </c>
      <c r="X537" s="72" t="inlineStr">
        <is>
          <t>SIMPLES ESO MO1 05/26 - KEILA</t>
        </is>
      </c>
      <c r="Z537" s="59">
        <f>IF($T537="","",IFERROR(INDEX('Resumo Grupos'!$AC$3:$AC$200,MATCH($T537,'Resumo Grupos'!$AB$3:$AB$200,0)),"n/d"))</f>
        <v/>
      </c>
      <c r="AA537" s="59">
        <f>IF($T537="","",IF(COUNTIF('Resumo Grupos'!$AE$3:$AE$40,$T537)&gt;0,"NAO","SIM"))</f>
        <v/>
      </c>
    </row>
    <row r="538" ht="36.75" customHeight="1" s="60">
      <c r="A538" s="70" t="n">
        <v>1</v>
      </c>
      <c r="B538" s="71" t="n">
        <v>46192</v>
      </c>
      <c r="C538" s="71" t="n">
        <v>46195</v>
      </c>
      <c r="D538" s="70" t="n">
        <v>1807</v>
      </c>
      <c r="E538" s="72" t="inlineStr">
        <is>
          <t>SEFAZ DAR</t>
        </is>
      </c>
      <c r="F538" s="70" t="n">
        <v>24</v>
      </c>
      <c r="G538" s="72" t="inlineStr">
        <is>
          <t>Compra a Prazo - Boletos</t>
        </is>
      </c>
      <c r="H538" s="70" t="n">
        <v>2110405</v>
      </c>
      <c r="I538" s="72" t="inlineStr">
        <is>
          <t>CONTAS A PAGAR</t>
        </is>
      </c>
      <c r="J538" s="70" t="n">
        <v>1273104</v>
      </c>
      <c r="L538" s="70" t="n">
        <v>528435</v>
      </c>
      <c r="M538" s="72" t="inlineStr">
        <is>
          <t>01</t>
        </is>
      </c>
      <c r="N538" s="72" t="inlineStr">
        <is>
          <t>AVU</t>
        </is>
      </c>
      <c r="P538" s="70" t="n">
        <v>101</v>
      </c>
      <c r="Q538" s="72" t="inlineStr">
        <is>
          <t>KEILA LIMA</t>
        </is>
      </c>
      <c r="R538" s="72" t="inlineStr">
        <is>
          <t>IMPOSTOS E CONTRIBUICOES A PAGAR</t>
        </is>
      </c>
      <c r="S538" s="70" t="n">
        <v>2110701</v>
      </c>
      <c r="T538" s="72" t="inlineStr">
        <is>
          <t>ICMS A PAGAR</t>
        </is>
      </c>
      <c r="U538" s="73" t="n">
        <v>5171.19</v>
      </c>
      <c r="W538" s="73" t="n">
        <v>0</v>
      </c>
      <c r="X538" s="72" t="inlineStr">
        <is>
          <t>ICMS MO1 05/26 -KEILA</t>
        </is>
      </c>
      <c r="Z538" s="59">
        <f>IF($T538="","",IFERROR(INDEX('Resumo Grupos'!$AC$3:$AC$200,MATCH($T538,'Resumo Grupos'!$AB$3:$AB$200,0)),"n/d"))</f>
        <v/>
      </c>
      <c r="AA538" s="59">
        <f>IF($T538="","",IF(COUNTIF('Resumo Grupos'!$AE$3:$AE$40,$T538)&gt;0,"NAO","SIM"))</f>
        <v/>
      </c>
    </row>
    <row r="539" ht="36.75" customHeight="1" s="60">
      <c r="A539" s="70" t="n">
        <v>1</v>
      </c>
      <c r="B539" s="71" t="n">
        <v>46195</v>
      </c>
      <c r="C539" s="71" t="n">
        <v>46195</v>
      </c>
      <c r="D539" s="70" t="n">
        <v>306</v>
      </c>
      <c r="E539" s="72" t="inlineStr">
        <is>
          <t>P. A. P. CAVALCANTE LTDA</t>
        </is>
      </c>
      <c r="F539" s="70" t="n">
        <v>34</v>
      </c>
      <c r="G539" s="72" t="inlineStr">
        <is>
          <t>Transferencia Pix</t>
        </is>
      </c>
      <c r="H539" s="70" t="n">
        <v>2110405</v>
      </c>
      <c r="I539" s="72" t="inlineStr">
        <is>
          <t>CONTAS A PAGAR</t>
        </is>
      </c>
      <c r="J539" s="70" t="n">
        <v>1289474</v>
      </c>
      <c r="L539" s="70" t="n">
        <v>534453</v>
      </c>
      <c r="M539" s="72" t="inlineStr">
        <is>
          <t>01</t>
        </is>
      </c>
      <c r="N539" s="72" t="inlineStr">
        <is>
          <t>AVU</t>
        </is>
      </c>
      <c r="P539" s="70" t="n">
        <v>102</v>
      </c>
      <c r="Q539" s="72" t="inlineStr">
        <is>
          <t>ANDREZA ANDRADE</t>
        </is>
      </c>
      <c r="R539" s="72" t="inlineStr">
        <is>
          <t>DESPESAS NAO OPERACIONAIS</t>
        </is>
      </c>
      <c r="S539" s="70" t="n">
        <v>4220199</v>
      </c>
      <c r="T539" s="72" t="inlineStr">
        <is>
          <t>PAGAMENTOS OUTROS NAO OPERACIONAIS</t>
        </is>
      </c>
      <c r="U539" s="73" t="n">
        <v>1000</v>
      </c>
      <c r="W539" s="73" t="n">
        <v>0</v>
      </c>
      <c r="X539" s="72" t="inlineStr">
        <is>
          <t xml:space="preserve">dinheiro trocado mo1 </t>
        </is>
      </c>
      <c r="Z539" s="59">
        <f>IF($T539="","",IFERROR(INDEX('Resumo Grupos'!$AC$3:$AC$200,MATCH($T539,'Resumo Grupos'!$AB$3:$AB$200,0)),"n/d"))</f>
        <v/>
      </c>
      <c r="AA539" s="59">
        <f>IF($T539="","",IF(COUNTIF('Resumo Grupos'!$AE$3:$AE$40,$T539)&gt;0,"NAO","SIM"))</f>
        <v/>
      </c>
    </row>
    <row r="540" ht="36.75" customHeight="1" s="60">
      <c r="A540" s="70" t="n">
        <v>1</v>
      </c>
      <c r="B540" s="71" t="n">
        <v>46195</v>
      </c>
      <c r="C540" s="71" t="n">
        <v>46195</v>
      </c>
      <c r="D540" s="70" t="n">
        <v>1000001</v>
      </c>
      <c r="E540" s="72" t="inlineStr">
        <is>
          <t>CISS CONSULTORIA EM INFORMATICA, SERVICOS E SOFTWARE S/A</t>
        </is>
      </c>
      <c r="F540" s="70" t="n">
        <v>24</v>
      </c>
      <c r="G540" s="72" t="inlineStr">
        <is>
          <t>Compra a Prazo - Boletos</t>
        </is>
      </c>
      <c r="H540" s="70" t="n">
        <v>2110405</v>
      </c>
      <c r="I540" s="72" t="inlineStr">
        <is>
          <t>CONTAS A PAGAR</t>
        </is>
      </c>
      <c r="J540" s="70" t="n">
        <v>1289587</v>
      </c>
      <c r="L540" s="70" t="n">
        <v>534492</v>
      </c>
      <c r="M540" s="72" t="inlineStr">
        <is>
          <t>01</t>
        </is>
      </c>
      <c r="N540" s="72" t="inlineStr">
        <is>
          <t>AVU</t>
        </is>
      </c>
      <c r="P540" s="70" t="n">
        <v>102</v>
      </c>
      <c r="Q540" s="72" t="inlineStr">
        <is>
          <t>ANDREZA ANDRADE</t>
        </is>
      </c>
      <c r="R540" s="72" t="inlineStr">
        <is>
          <t>DESPESAS NAO OPERACIONAIS</t>
        </is>
      </c>
      <c r="S540" s="70" t="n">
        <v>4220199</v>
      </c>
      <c r="T540" s="72" t="inlineStr">
        <is>
          <t>PAGAMENTOS OUTROS NAO OPERACIONAIS</t>
        </is>
      </c>
      <c r="U540" s="73" t="n">
        <v>142.9</v>
      </c>
      <c r="W540" s="73" t="n">
        <v>0</v>
      </c>
      <c r="X540" s="72" t="inlineStr">
        <is>
          <t>MENSALIDADE SISTEMA LOJAS</t>
        </is>
      </c>
      <c r="Z540" s="59">
        <f>IF($T540="","",IFERROR(INDEX('Resumo Grupos'!$AC$3:$AC$200,MATCH($T540,'Resumo Grupos'!$AB$3:$AB$200,0)),"n/d"))</f>
        <v/>
      </c>
      <c r="AA540" s="59">
        <f>IF($T540="","",IF(COUNTIF('Resumo Grupos'!$AE$3:$AE$40,$T540)&gt;0,"NAO","SIM"))</f>
        <v/>
      </c>
    </row>
    <row r="541" ht="36.75" customHeight="1" s="60">
      <c r="A541" s="70" t="n">
        <v>1</v>
      </c>
      <c r="B541" s="71" t="n">
        <v>46195</v>
      </c>
      <c r="C541" s="71" t="n">
        <v>46195</v>
      </c>
      <c r="D541" s="70" t="n">
        <v>1000001</v>
      </c>
      <c r="E541" s="72" t="inlineStr">
        <is>
          <t>CISS CONSULTORIA EM INFORMATICA, SERVICOS E SOFTWARE S/A</t>
        </is>
      </c>
      <c r="F541" s="70" t="n">
        <v>24</v>
      </c>
      <c r="G541" s="72" t="inlineStr">
        <is>
          <t>Compra a Prazo - Boletos</t>
        </is>
      </c>
      <c r="H541" s="70" t="n">
        <v>2110405</v>
      </c>
      <c r="I541" s="72" t="inlineStr">
        <is>
          <t>CONTAS A PAGAR</t>
        </is>
      </c>
      <c r="J541" s="70" t="n">
        <v>1289587</v>
      </c>
      <c r="L541" s="70" t="n">
        <v>534492</v>
      </c>
      <c r="M541" s="72" t="inlineStr">
        <is>
          <t>02</t>
        </is>
      </c>
      <c r="N541" s="72" t="inlineStr">
        <is>
          <t>AVU</t>
        </is>
      </c>
      <c r="P541" s="70" t="n">
        <v>102</v>
      </c>
      <c r="Q541" s="72" t="inlineStr">
        <is>
          <t>ANDREZA ANDRADE</t>
        </is>
      </c>
      <c r="R541" s="72" t="inlineStr">
        <is>
          <t>DESPESAS NAO OPERACIONAIS</t>
        </is>
      </c>
      <c r="S541" s="70" t="n">
        <v>4220199</v>
      </c>
      <c r="T541" s="72" t="inlineStr">
        <is>
          <t>PAGAMENTOS OUTROS NAO OPERACIONAIS</t>
        </is>
      </c>
      <c r="U541" s="73" t="n">
        <v>589.29</v>
      </c>
      <c r="W541" s="73" t="n">
        <v>0</v>
      </c>
      <c r="X541" s="72" t="inlineStr">
        <is>
          <t>MENSALIDADE SISTEMA LOJAS</t>
        </is>
      </c>
      <c r="Z541" s="59">
        <f>IF($T541="","",IFERROR(INDEX('Resumo Grupos'!$AC$3:$AC$200,MATCH($T541,'Resumo Grupos'!$AB$3:$AB$200,0)),"n/d"))</f>
        <v/>
      </c>
      <c r="AA541" s="59">
        <f>IF($T541="","",IF(COUNTIF('Resumo Grupos'!$AE$3:$AE$40,$T541)&gt;0,"NAO","SIM"))</f>
        <v/>
      </c>
    </row>
    <row r="542" ht="36.75" customHeight="1" s="60">
      <c r="A542" s="70" t="n">
        <v>1</v>
      </c>
      <c r="B542" s="71" t="n">
        <v>46195</v>
      </c>
      <c r="C542" s="71" t="n">
        <v>46195</v>
      </c>
      <c r="D542" s="70" t="n">
        <v>1000001</v>
      </c>
      <c r="E542" s="72" t="inlineStr">
        <is>
          <t>CISS CONSULTORIA EM INFORMATICA, SERVICOS E SOFTWARE S/A</t>
        </is>
      </c>
      <c r="F542" s="70" t="n">
        <v>24</v>
      </c>
      <c r="G542" s="72" t="inlineStr">
        <is>
          <t>Compra a Prazo - Boletos</t>
        </is>
      </c>
      <c r="H542" s="70" t="n">
        <v>2110405</v>
      </c>
      <c r="I542" s="72" t="inlineStr">
        <is>
          <t>CONTAS A PAGAR</t>
        </is>
      </c>
      <c r="J542" s="70" t="n">
        <v>1289587</v>
      </c>
      <c r="L542" s="70" t="n">
        <v>534492</v>
      </c>
      <c r="M542" s="72" t="inlineStr">
        <is>
          <t>03</t>
        </is>
      </c>
      <c r="N542" s="72" t="inlineStr">
        <is>
          <t>AVU</t>
        </is>
      </c>
      <c r="P542" s="70" t="n">
        <v>102</v>
      </c>
      <c r="Q542" s="72" t="inlineStr">
        <is>
          <t>ANDREZA ANDRADE</t>
        </is>
      </c>
      <c r="R542" s="72" t="inlineStr">
        <is>
          <t>DESPESAS NAO OPERACIONAIS</t>
        </is>
      </c>
      <c r="S542" s="70" t="n">
        <v>4220199</v>
      </c>
      <c r="T542" s="72" t="inlineStr">
        <is>
          <t>PAGAMENTOS OUTROS NAO OPERACIONAIS</t>
        </is>
      </c>
      <c r="U542" s="73" t="n">
        <v>1342.68</v>
      </c>
      <c r="W542" s="73" t="n">
        <v>0</v>
      </c>
      <c r="X542" s="72" t="inlineStr">
        <is>
          <t>MENSALIDADE SISTEMA LOJAS</t>
        </is>
      </c>
      <c r="Z542" s="59">
        <f>IF($T542="","",IFERROR(INDEX('Resumo Grupos'!$AC$3:$AC$200,MATCH($T542,'Resumo Grupos'!$AB$3:$AB$200,0)),"n/d"))</f>
        <v/>
      </c>
      <c r="AA542" s="59">
        <f>IF($T542="","",IF(COUNTIF('Resumo Grupos'!$AE$3:$AE$40,$T542)&gt;0,"NAO","SIM"))</f>
        <v/>
      </c>
    </row>
    <row r="543" ht="27.75" customHeight="1" s="60">
      <c r="A543" s="70" t="n">
        <v>1</v>
      </c>
      <c r="B543" s="71" t="n">
        <v>46195</v>
      </c>
      <c r="C543" s="71" t="n">
        <v>46195</v>
      </c>
      <c r="D543" s="70" t="n">
        <v>578</v>
      </c>
      <c r="E543" s="72" t="inlineStr">
        <is>
          <t>DANIELE TEIXEIRA HUNHAPE</t>
        </is>
      </c>
      <c r="F543" s="70" t="n">
        <v>24</v>
      </c>
      <c r="G543" s="72" t="inlineStr">
        <is>
          <t>Compra a Prazo - Boletos</t>
        </is>
      </c>
      <c r="H543" s="70" t="n">
        <v>1110202</v>
      </c>
      <c r="I543" s="72" t="inlineStr">
        <is>
          <t>BANCO ITAU Lj 01</t>
        </is>
      </c>
      <c r="J543" s="70" t="n">
        <v>1289597</v>
      </c>
      <c r="L543" s="70" t="n">
        <v>534500</v>
      </c>
      <c r="M543" s="72" t="inlineStr">
        <is>
          <t>01</t>
        </is>
      </c>
      <c r="N543" s="72" t="inlineStr">
        <is>
          <t>AVU</t>
        </is>
      </c>
      <c r="P543" s="70" t="n">
        <v>102</v>
      </c>
      <c r="Q543" s="72" t="inlineStr">
        <is>
          <t>ANDREZA ANDRADE</t>
        </is>
      </c>
      <c r="R543" s="72" t="inlineStr">
        <is>
          <t>DESPESAS NAO OPERACIONAIS</t>
        </is>
      </c>
      <c r="S543" s="70" t="n">
        <v>4220199</v>
      </c>
      <c r="T543" s="72" t="inlineStr">
        <is>
          <t>PAGAMENTOS OUTROS NAO OPERACIONAIS</t>
        </is>
      </c>
      <c r="U543" s="73" t="n">
        <v>500</v>
      </c>
      <c r="W543" s="73" t="n">
        <v>0</v>
      </c>
      <c r="X543" s="72" t="inlineStr">
        <is>
          <t>SEGURANÇA TRABALHO RATLOJAS</t>
        </is>
      </c>
      <c r="Z543" s="59">
        <f>IF($T543="","",IFERROR(INDEX('Resumo Grupos'!$AC$3:$AC$200,MATCH($T543,'Resumo Grupos'!$AB$3:$AB$200,0)),"n/d"))</f>
        <v/>
      </c>
      <c r="AA543" s="59">
        <f>IF($T543="","",IF(COUNTIF('Resumo Grupos'!$AE$3:$AE$40,$T543)&gt;0,"NAO","SIM"))</f>
        <v/>
      </c>
    </row>
    <row r="544" ht="45.75" customHeight="1" s="60">
      <c r="A544" s="70" t="n">
        <v>1</v>
      </c>
      <c r="B544" s="71" t="n">
        <v>46195</v>
      </c>
      <c r="C544" s="71" t="n">
        <v>46195</v>
      </c>
      <c r="D544" s="70" t="n">
        <v>33</v>
      </c>
      <c r="E544" s="72" t="inlineStr">
        <is>
          <t>RENATO DE O AZEVEDO E CIA LTDA - EPP</t>
        </is>
      </c>
      <c r="F544" s="70" t="n">
        <v>13</v>
      </c>
      <c r="G544" s="72" t="inlineStr">
        <is>
          <t>Compra a Vista</t>
        </is>
      </c>
      <c r="H544" s="70" t="n">
        <v>2110101</v>
      </c>
      <c r="I544" s="72" t="inlineStr">
        <is>
          <t>FORNECEDORES DE MERCADORIA</t>
        </is>
      </c>
      <c r="J544" s="70" t="n">
        <v>1290725</v>
      </c>
      <c r="L544" s="70" t="n">
        <v>5168</v>
      </c>
      <c r="M544" s="72" t="inlineStr">
        <is>
          <t>01</t>
        </is>
      </c>
      <c r="N544" s="72" t="inlineStr">
        <is>
          <t>NFE</t>
        </is>
      </c>
      <c r="P544" s="70" t="n">
        <v>104</v>
      </c>
      <c r="Q544" s="72" t="inlineStr">
        <is>
          <t>DEBORA COSTA</t>
        </is>
      </c>
      <c r="R544" s="72" t="inlineStr">
        <is>
          <t>ESTOQUE DE MERCADORIAS</t>
        </is>
      </c>
      <c r="S544" s="70" t="n">
        <v>1130101</v>
      </c>
      <c r="T544" s="72" t="inlineStr">
        <is>
          <t>MERCADORIAS P/REVENDA</t>
        </is>
      </c>
      <c r="U544" s="73" t="n">
        <v>360</v>
      </c>
      <c r="W544" s="73" t="n">
        <v>360</v>
      </c>
      <c r="X544" s="72" t="inlineStr">
        <is>
          <t>COMPRA DE PITAYA - DEBORA</t>
        </is>
      </c>
      <c r="Z544" s="59">
        <f>IF($T544="","",IFERROR(INDEX('Resumo Grupos'!$AC$3:$AC$200,MATCH($T544,'Resumo Grupos'!$AB$3:$AB$200,0)),"n/d"))</f>
        <v/>
      </c>
      <c r="AA544" s="59">
        <f>IF($T544="","",IF(COUNTIF('Resumo Grupos'!$AE$3:$AE$40,$T544)&gt;0,"NAO","SIM"))</f>
        <v/>
      </c>
    </row>
    <row r="545" ht="36.75" customHeight="1" s="60">
      <c r="A545" s="70" t="n">
        <v>1</v>
      </c>
      <c r="B545" s="71" t="n">
        <v>46195</v>
      </c>
      <c r="C545" s="71" t="n">
        <v>46195</v>
      </c>
      <c r="D545" s="70" t="n">
        <v>978</v>
      </c>
      <c r="E545" s="72" t="inlineStr">
        <is>
          <t>GELO DANGELO FABRICACAO DE GELO LTDA</t>
        </is>
      </c>
      <c r="F545" s="70" t="n">
        <v>13</v>
      </c>
      <c r="G545" s="72" t="inlineStr">
        <is>
          <t>Compra a Vista</t>
        </is>
      </c>
      <c r="H545" s="70" t="n">
        <v>2110101</v>
      </c>
      <c r="I545" s="72" t="inlineStr">
        <is>
          <t>FORNECEDORES DE MERCADORIA</t>
        </is>
      </c>
      <c r="J545" s="70" t="n">
        <v>1309027</v>
      </c>
      <c r="L545" s="70" t="n">
        <v>305</v>
      </c>
      <c r="M545" s="72" t="inlineStr">
        <is>
          <t>01</t>
        </is>
      </c>
      <c r="N545" s="72" t="inlineStr">
        <is>
          <t>NFE</t>
        </is>
      </c>
      <c r="P545" s="70" t="n">
        <v>104</v>
      </c>
      <c r="Q545" s="72" t="inlineStr">
        <is>
          <t>DEBORA COSTA</t>
        </is>
      </c>
      <c r="R545" s="72" t="inlineStr">
        <is>
          <t>ESTOQUE DE MERCADORIAS</t>
        </is>
      </c>
      <c r="S545" s="70" t="n">
        <v>1130101</v>
      </c>
      <c r="T545" s="72" t="inlineStr">
        <is>
          <t>MERCADORIAS P/REVENDA</t>
        </is>
      </c>
      <c r="U545" s="73" t="n">
        <v>405.5</v>
      </c>
      <c r="W545" s="73" t="n">
        <v>0</v>
      </c>
      <c r="X545" s="72" t="inlineStr">
        <is>
          <t>NF 305 - DEBORA</t>
        </is>
      </c>
      <c r="Z545" s="59">
        <f>IF($T545="","",IFERROR(INDEX('Resumo Grupos'!$AC$3:$AC$200,MATCH($T545,'Resumo Grupos'!$AB$3:$AB$200,0)),"n/d"))</f>
        <v/>
      </c>
      <c r="AA545" s="59">
        <f>IF($T545="","",IF(COUNTIF('Resumo Grupos'!$AE$3:$AE$40,$T545)&gt;0,"NAO","SIM"))</f>
        <v/>
      </c>
    </row>
    <row r="546" ht="27.75" customHeight="1" s="60">
      <c r="A546" s="70" t="n">
        <v>1</v>
      </c>
      <c r="B546" s="71" t="n">
        <v>46195</v>
      </c>
      <c r="C546" s="71" t="n">
        <v>46195</v>
      </c>
      <c r="D546" s="70" t="n">
        <v>10086</v>
      </c>
      <c r="E546" s="72" t="inlineStr">
        <is>
          <t>66.356.670 FRANCISCO CARLOS FERNANDES COSTA</t>
        </is>
      </c>
      <c r="F546" s="70" t="n">
        <v>13</v>
      </c>
      <c r="G546" s="72" t="inlineStr">
        <is>
          <t>Compra a Vista</t>
        </is>
      </c>
      <c r="H546" s="70" t="n">
        <v>2110101</v>
      </c>
      <c r="I546" s="72" t="inlineStr">
        <is>
          <t>FORNECEDORES DE MERCADORIA</t>
        </is>
      </c>
      <c r="J546" s="70" t="n">
        <v>1309360</v>
      </c>
      <c r="L546" s="70" t="n">
        <v>9</v>
      </c>
      <c r="M546" s="72" t="inlineStr">
        <is>
          <t>01</t>
        </is>
      </c>
      <c r="N546" s="72" t="inlineStr">
        <is>
          <t>NFE</t>
        </is>
      </c>
      <c r="P546" s="70" t="n">
        <v>104</v>
      </c>
      <c r="Q546" s="72" t="inlineStr">
        <is>
          <t>DEBORA COSTA</t>
        </is>
      </c>
      <c r="R546" s="72" t="inlineStr">
        <is>
          <t>ESTOQUE DE MERCADORIAS</t>
        </is>
      </c>
      <c r="S546" s="70" t="n">
        <v>1130101</v>
      </c>
      <c r="T546" s="72" t="inlineStr">
        <is>
          <t>MERCADORIAS P/REVENDA</t>
        </is>
      </c>
      <c r="U546" s="73" t="n">
        <v>240</v>
      </c>
      <c r="W546" s="73" t="n">
        <v>0</v>
      </c>
      <c r="X546" s="72" t="inlineStr">
        <is>
          <t>NF 9 - DEBORA</t>
        </is>
      </c>
      <c r="Z546" s="59">
        <f>IF($T546="","",IFERROR(INDEX('Resumo Grupos'!$AC$3:$AC$200,MATCH($T546,'Resumo Grupos'!$AB$3:$AB$200,0)),"n/d"))</f>
        <v/>
      </c>
      <c r="AA546" s="59">
        <f>IF($T546="","",IF(COUNTIF('Resumo Grupos'!$AE$3:$AE$40,$T546)&gt;0,"NAO","SIM"))</f>
        <v/>
      </c>
    </row>
    <row r="547" ht="54.75" customHeight="1" s="60">
      <c r="A547" s="70" t="n">
        <v>1</v>
      </c>
      <c r="B547" s="71" t="n">
        <v>46195</v>
      </c>
      <c r="C547" s="71" t="n">
        <v>46195</v>
      </c>
      <c r="D547" s="70" t="n">
        <v>10086</v>
      </c>
      <c r="E547" s="72" t="inlineStr">
        <is>
          <t>66.356.670 FRANCISCO CARLOS FERNANDES COSTA</t>
        </is>
      </c>
      <c r="F547" s="70" t="n">
        <v>13</v>
      </c>
      <c r="G547" s="72" t="inlineStr">
        <is>
          <t>Compra a Vista</t>
        </is>
      </c>
      <c r="H547" s="70" t="n">
        <v>2110101</v>
      </c>
      <c r="I547" s="72" t="inlineStr">
        <is>
          <t>FORNECEDORES DE MERCADORIA</t>
        </is>
      </c>
      <c r="J547" s="70" t="n">
        <v>1309398</v>
      </c>
      <c r="L547" s="70" t="n">
        <v>8</v>
      </c>
      <c r="M547" s="72" t="inlineStr">
        <is>
          <t>01</t>
        </is>
      </c>
      <c r="N547" s="72" t="inlineStr">
        <is>
          <t>NFE</t>
        </is>
      </c>
      <c r="P547" s="70" t="n">
        <v>104</v>
      </c>
      <c r="Q547" s="72" t="inlineStr">
        <is>
          <t>DEBORA COSTA</t>
        </is>
      </c>
      <c r="R547" s="72" t="inlineStr">
        <is>
          <t>ESTOQUE DE MERCADORIAS</t>
        </is>
      </c>
      <c r="S547" s="70" t="n">
        <v>1130101</v>
      </c>
      <c r="T547" s="72" t="inlineStr">
        <is>
          <t>MERCADORIAS P/REVENDA</t>
        </is>
      </c>
      <c r="U547" s="73" t="n">
        <v>640</v>
      </c>
      <c r="W547" s="73" t="n">
        <v>640</v>
      </c>
      <c r="X547" s="72" t="inlineStr">
        <is>
          <t>NF 8 - DEBORA</t>
        </is>
      </c>
      <c r="Z547" s="59">
        <f>IF($T547="","",IFERROR(INDEX('Resumo Grupos'!$AC$3:$AC$200,MATCH($T547,'Resumo Grupos'!$AB$3:$AB$200,0)),"n/d"))</f>
        <v/>
      </c>
      <c r="AA547" s="59">
        <f>IF($T547="","",IF(COUNTIF('Resumo Grupos'!$AE$3:$AE$40,$T547)&gt;0,"NAO","SIM"))</f>
        <v/>
      </c>
    </row>
    <row r="548" ht="45.75" customHeight="1" s="60">
      <c r="A548" s="70" t="n">
        <v>1</v>
      </c>
      <c r="B548" s="71" t="n">
        <v>46195</v>
      </c>
      <c r="C548" s="71" t="n">
        <v>46195</v>
      </c>
      <c r="D548" s="70" t="n">
        <v>10086</v>
      </c>
      <c r="E548" s="72" t="inlineStr">
        <is>
          <t>66.356.670 FRANCISCO CARLOS FERNANDES COSTA</t>
        </is>
      </c>
      <c r="F548" s="70" t="n">
        <v>13</v>
      </c>
      <c r="G548" s="72" t="inlineStr">
        <is>
          <t>Compra a Vista</t>
        </is>
      </c>
      <c r="H548" s="70" t="n">
        <v>2110101</v>
      </c>
      <c r="I548" s="72" t="inlineStr">
        <is>
          <t>FORNECEDORES DE MERCADORIA</t>
        </is>
      </c>
      <c r="J548" s="70" t="n">
        <v>1309449</v>
      </c>
      <c r="L548" s="70" t="n">
        <v>7</v>
      </c>
      <c r="M548" s="72" t="inlineStr">
        <is>
          <t>01</t>
        </is>
      </c>
      <c r="N548" s="72" t="inlineStr">
        <is>
          <t>NFE</t>
        </is>
      </c>
      <c r="P548" s="70" t="n">
        <v>104</v>
      </c>
      <c r="Q548" s="72" t="inlineStr">
        <is>
          <t>DEBORA COSTA</t>
        </is>
      </c>
      <c r="R548" s="72" t="inlineStr">
        <is>
          <t>ESTOQUE DE MERCADORIAS</t>
        </is>
      </c>
      <c r="S548" s="70" t="n">
        <v>1130101</v>
      </c>
      <c r="T548" s="72" t="inlineStr">
        <is>
          <t>MERCADORIAS P/REVENDA</t>
        </is>
      </c>
      <c r="U548" s="73" t="n">
        <v>340</v>
      </c>
      <c r="W548" s="73" t="n">
        <v>340</v>
      </c>
      <c r="X548" s="72" t="inlineStr">
        <is>
          <t>NF 7 - DEBORA</t>
        </is>
      </c>
      <c r="Z548" s="59">
        <f>IF($T548="","",IFERROR(INDEX('Resumo Grupos'!$AC$3:$AC$200,MATCH($T548,'Resumo Grupos'!$AB$3:$AB$200,0)),"n/d"))</f>
        <v/>
      </c>
      <c r="AA548" s="59">
        <f>IF($T548="","",IF(COUNTIF('Resumo Grupos'!$AE$3:$AE$40,$T548)&gt;0,"NAO","SIM"))</f>
        <v/>
      </c>
    </row>
    <row r="549" ht="45.75" customHeight="1" s="60">
      <c r="A549" s="70" t="n">
        <v>1</v>
      </c>
      <c r="B549" s="71" t="n">
        <v>46195</v>
      </c>
      <c r="C549" s="71" t="n">
        <v>46195</v>
      </c>
      <c r="D549" s="70" t="n">
        <v>10086</v>
      </c>
      <c r="E549" s="72" t="inlineStr">
        <is>
          <t>66.356.670 FRANCISCO CARLOS FERNANDES COSTA</t>
        </is>
      </c>
      <c r="F549" s="70" t="n">
        <v>13</v>
      </c>
      <c r="G549" s="72" t="inlineStr">
        <is>
          <t>Compra a Vista</t>
        </is>
      </c>
      <c r="H549" s="70" t="n">
        <v>2110101</v>
      </c>
      <c r="I549" s="72" t="inlineStr">
        <is>
          <t>FORNECEDORES DE MERCADORIA</t>
        </is>
      </c>
      <c r="J549" s="70" t="n">
        <v>1309532</v>
      </c>
      <c r="L549" s="70" t="n">
        <v>6</v>
      </c>
      <c r="M549" s="72" t="inlineStr">
        <is>
          <t>01</t>
        </is>
      </c>
      <c r="N549" s="72" t="inlineStr">
        <is>
          <t>NFE</t>
        </is>
      </c>
      <c r="P549" s="70" t="n">
        <v>104</v>
      </c>
      <c r="Q549" s="72" t="inlineStr">
        <is>
          <t>DEBORA COSTA</t>
        </is>
      </c>
      <c r="R549" s="72" t="inlineStr">
        <is>
          <t>ESTOQUE DE MERCADORIAS</t>
        </is>
      </c>
      <c r="S549" s="70" t="n">
        <v>1130101</v>
      </c>
      <c r="T549" s="72" t="inlineStr">
        <is>
          <t>MERCADORIAS P/REVENDA</t>
        </is>
      </c>
      <c r="U549" s="73" t="n">
        <v>280</v>
      </c>
      <c r="W549" s="73" t="n">
        <v>280</v>
      </c>
      <c r="X549" s="72" t="inlineStr">
        <is>
          <t>NF 6 - DEBORA</t>
        </is>
      </c>
      <c r="Z549" s="59">
        <f>IF($T549="","",IFERROR(INDEX('Resumo Grupos'!$AC$3:$AC$200,MATCH($T549,'Resumo Grupos'!$AB$3:$AB$200,0)),"n/d"))</f>
        <v/>
      </c>
      <c r="AA549" s="59">
        <f>IF($T549="","",IF(COUNTIF('Resumo Grupos'!$AE$3:$AE$40,$T549)&gt;0,"NAO","SIM"))</f>
        <v/>
      </c>
    </row>
    <row r="550" ht="45.75" customHeight="1" s="60">
      <c r="A550" s="70" t="n">
        <v>1</v>
      </c>
      <c r="B550" s="71" t="n">
        <v>46195</v>
      </c>
      <c r="C550" s="71" t="n">
        <v>46195</v>
      </c>
      <c r="D550" s="70" t="n">
        <v>515</v>
      </c>
      <c r="E550" s="72" t="inlineStr">
        <is>
          <t>ITAU SA</t>
        </is>
      </c>
      <c r="F550" s="70" t="n">
        <v>34</v>
      </c>
      <c r="G550" s="72" t="inlineStr">
        <is>
          <t>Transferencia Pix</t>
        </is>
      </c>
      <c r="H550" s="70" t="n">
        <v>1110202</v>
      </c>
      <c r="I550" s="72" t="inlineStr">
        <is>
          <t>BANCO ITAU Lj 01</t>
        </is>
      </c>
      <c r="J550" s="70" t="n">
        <v>1340663</v>
      </c>
      <c r="L550" s="70" t="n">
        <v>553894</v>
      </c>
      <c r="M550" s="72" t="inlineStr">
        <is>
          <t>01</t>
        </is>
      </c>
      <c r="N550" s="72" t="inlineStr">
        <is>
          <t>AVU</t>
        </is>
      </c>
      <c r="P550" s="70" t="n">
        <v>102</v>
      </c>
      <c r="Q550" s="72" t="inlineStr">
        <is>
          <t>ANDREZA ANDRADE</t>
        </is>
      </c>
      <c r="R550" s="72" t="inlineStr">
        <is>
          <t>DESPESAS NAO OPERACIONAIS</t>
        </is>
      </c>
      <c r="S550" s="70" t="n">
        <v>4220199</v>
      </c>
      <c r="T550" s="72" t="inlineStr">
        <is>
          <t>PAGAMENTOS OUTROS NAO OPERACIONAIS</t>
        </is>
      </c>
      <c r="U550" s="73" t="n">
        <v>40000</v>
      </c>
      <c r="W550" s="73" t="n">
        <v>0</v>
      </c>
      <c r="X550" s="72" t="inlineStr">
        <is>
          <t>COBERTURA DE CONTA  BB 1NV-ANDREZA</t>
        </is>
      </c>
      <c r="Z550" s="59">
        <f>IF($T550="","",IFERROR(INDEX('Resumo Grupos'!$AC$3:$AC$200,MATCH($T550,'Resumo Grupos'!$AB$3:$AB$200,0)),"n/d"))</f>
        <v/>
      </c>
      <c r="AA550" s="59">
        <f>IF($T550="","",IF(COUNTIF('Resumo Grupos'!$AE$3:$AE$40,$T550)&gt;0,"NAO","SIM"))</f>
        <v/>
      </c>
    </row>
    <row r="551" ht="45.75" customHeight="1" s="60">
      <c r="A551" s="70" t="n">
        <v>1</v>
      </c>
      <c r="B551" s="71" t="n">
        <v>46105</v>
      </c>
      <c r="C551" s="71" t="n">
        <v>46196</v>
      </c>
      <c r="D551" s="70" t="n">
        <v>607</v>
      </c>
      <c r="E551" s="72" t="inlineStr">
        <is>
          <t>PRIME PET DISTRIBUIDORA LTDA</t>
        </is>
      </c>
      <c r="F551" s="70" t="n">
        <v>24</v>
      </c>
      <c r="G551" s="72" t="inlineStr">
        <is>
          <t>Compra a Prazo - Boletos</t>
        </is>
      </c>
      <c r="H551" s="70" t="n">
        <v>2110101</v>
      </c>
      <c r="I551" s="72" t="inlineStr">
        <is>
          <t>FORNECEDORES DE MERCADORIA</t>
        </is>
      </c>
      <c r="J551" s="70" t="n">
        <v>848141</v>
      </c>
      <c r="L551" s="70" t="n">
        <v>9409</v>
      </c>
      <c r="M551" s="72" t="inlineStr">
        <is>
          <t>10</t>
        </is>
      </c>
      <c r="N551" s="72" t="inlineStr">
        <is>
          <t>NFE</t>
        </is>
      </c>
      <c r="P551" s="70" t="n">
        <v>103</v>
      </c>
      <c r="Q551" s="72" t="inlineStr">
        <is>
          <t>MILKA FRANCIS</t>
        </is>
      </c>
      <c r="R551" s="72" t="inlineStr">
        <is>
          <t>ESTOQUE DE MERCADORIAS</t>
        </is>
      </c>
      <c r="S551" s="70" t="n">
        <v>1130101</v>
      </c>
      <c r="T551" s="72" t="inlineStr">
        <is>
          <t>MERCADORIAS P/REVENDA</t>
        </is>
      </c>
      <c r="U551" s="73" t="n">
        <v>2195.35</v>
      </c>
      <c r="W551" s="73" t="n">
        <v>0</v>
      </c>
      <c r="X551" s="72" t="inlineStr">
        <is>
          <t>NF 9409 - 10/10 MILKA</t>
        </is>
      </c>
      <c r="Z551" s="59">
        <f>IF($T551="","",IFERROR(INDEX('Resumo Grupos'!$AC$3:$AC$200,MATCH($T551,'Resumo Grupos'!$AB$3:$AB$200,0)),"n/d"))</f>
        <v/>
      </c>
      <c r="AA551" s="59">
        <f>IF($T551="","",IF(COUNTIF('Resumo Grupos'!$AE$3:$AE$40,$T551)&gt;0,"NAO","SIM"))</f>
        <v/>
      </c>
    </row>
    <row r="552" ht="45.75" customHeight="1" s="60">
      <c r="A552" s="70" t="n">
        <v>1</v>
      </c>
      <c r="B552" s="71" t="n">
        <v>46126</v>
      </c>
      <c r="C552" s="71" t="n">
        <v>46196</v>
      </c>
      <c r="D552" s="70" t="n">
        <v>17</v>
      </c>
      <c r="E552" s="72" t="inlineStr">
        <is>
          <t>NEYLIANE SILVA DE OLIVEIRA</t>
        </is>
      </c>
      <c r="F552" s="70" t="n">
        <v>24</v>
      </c>
      <c r="G552" s="72" t="inlineStr">
        <is>
          <t>Compra a Prazo - Boletos</t>
        </is>
      </c>
      <c r="H552" s="70" t="n">
        <v>2110405</v>
      </c>
      <c r="I552" s="72" t="inlineStr">
        <is>
          <t>CONTAS A PAGAR</t>
        </is>
      </c>
      <c r="J552" s="70" t="n">
        <v>950724</v>
      </c>
      <c r="L552" s="70" t="n">
        <v>403362</v>
      </c>
      <c r="M552" s="72" t="inlineStr">
        <is>
          <t>03</t>
        </is>
      </c>
      <c r="N552" s="72" t="inlineStr">
        <is>
          <t>AVU</t>
        </is>
      </c>
      <c r="P552" s="70" t="n">
        <v>101</v>
      </c>
      <c r="Q552" s="72" t="inlineStr">
        <is>
          <t>KEILA LIMA</t>
        </is>
      </c>
      <c r="R552" s="72" t="inlineStr">
        <is>
          <t>DESPESAS NAO OPERACIONAIS</t>
        </is>
      </c>
      <c r="S552" s="70" t="n">
        <v>4220199</v>
      </c>
      <c r="T552" s="72" t="inlineStr">
        <is>
          <t>PAGAMENTOS OUTROS NAO OPERACIONAIS</t>
        </is>
      </c>
      <c r="U552" s="73" t="n">
        <v>2720.81</v>
      </c>
      <c r="W552" s="73" t="n">
        <v>0</v>
      </c>
      <c r="X552" s="72" t="inlineStr">
        <is>
          <t xml:space="preserve">PL NEILA CARRO 03/36 </t>
        </is>
      </c>
      <c r="Z552" s="59">
        <f>IF($T552="","",IFERROR(INDEX('Resumo Grupos'!$AC$3:$AC$200,MATCH($T552,'Resumo Grupos'!$AB$3:$AB$200,0)),"n/d"))</f>
        <v/>
      </c>
      <c r="AA552" s="59">
        <f>IF($T552="","",IF(COUNTIF('Resumo Grupos'!$AE$3:$AE$40,$T552)&gt;0,"NAO","SIM"))</f>
        <v/>
      </c>
    </row>
    <row r="553" ht="54.75" customHeight="1" s="60">
      <c r="A553" s="70" t="n">
        <v>1</v>
      </c>
      <c r="B553" s="71" t="n">
        <v>46154</v>
      </c>
      <c r="C553" s="71" t="n">
        <v>46196</v>
      </c>
      <c r="D553" s="70" t="n">
        <v>10011</v>
      </c>
      <c r="E553" s="72" t="inlineStr">
        <is>
          <t>OPPORTUNITY ALIMENTOS PARA ANIMAIS LTDA</t>
        </is>
      </c>
      <c r="F553" s="70" t="n">
        <v>24</v>
      </c>
      <c r="G553" s="72" t="inlineStr">
        <is>
          <t>Compra a Prazo - Boletos</t>
        </is>
      </c>
      <c r="H553" s="70" t="n">
        <v>2110101</v>
      </c>
      <c r="I553" s="72" t="inlineStr">
        <is>
          <t>FORNECEDORES DE MERCADORIA</t>
        </is>
      </c>
      <c r="J553" s="70" t="n">
        <v>1088997</v>
      </c>
      <c r="L553" s="70" t="n">
        <v>33622</v>
      </c>
      <c r="M553" s="72" t="inlineStr">
        <is>
          <t>03</t>
        </is>
      </c>
      <c r="N553" s="72" t="inlineStr">
        <is>
          <t>NFE</t>
        </is>
      </c>
      <c r="P553" s="70" t="n">
        <v>103</v>
      </c>
      <c r="Q553" s="72" t="inlineStr">
        <is>
          <t>MILKA FRANCIS</t>
        </is>
      </c>
      <c r="R553" s="72" t="inlineStr">
        <is>
          <t>ESTOQUE DE MERCADORIAS</t>
        </is>
      </c>
      <c r="S553" s="70" t="n">
        <v>1130101</v>
      </c>
      <c r="T553" s="72" t="inlineStr">
        <is>
          <t>MERCADORIAS P/REVENDA</t>
        </is>
      </c>
      <c r="U553" s="73" t="n">
        <v>1326</v>
      </c>
      <c r="W553" s="73" t="n">
        <v>0</v>
      </c>
      <c r="X553" s="72" t="inlineStr">
        <is>
          <t>NF 33622 - 3 MILKA</t>
        </is>
      </c>
      <c r="Z553" s="59">
        <f>IF($T553="","",IFERROR(INDEX('Resumo Grupos'!$AC$3:$AC$200,MATCH($T553,'Resumo Grupos'!$AB$3:$AB$200,0)),"n/d"))</f>
        <v/>
      </c>
      <c r="AA553" s="59">
        <f>IF($T553="","",IF(COUNTIF('Resumo Grupos'!$AE$3:$AE$40,$T553)&gt;0,"NAO","SIM"))</f>
        <v/>
      </c>
    </row>
    <row r="554" ht="36.75" customHeight="1" s="60">
      <c r="A554" s="70" t="n">
        <v>1</v>
      </c>
      <c r="B554" s="71" t="n">
        <v>46175</v>
      </c>
      <c r="C554" s="71" t="n">
        <v>46196</v>
      </c>
      <c r="D554" s="70" t="n">
        <v>794</v>
      </c>
      <c r="E554" s="72" t="inlineStr">
        <is>
          <t>EDMARA COMERCIO DE HIGIENE PESSOAL LTDA</t>
        </is>
      </c>
      <c r="F554" s="70" t="n">
        <v>24</v>
      </c>
      <c r="G554" s="72" t="inlineStr">
        <is>
          <t>Compra a Prazo - Boletos</t>
        </is>
      </c>
      <c r="H554" s="70" t="n">
        <v>2110101</v>
      </c>
      <c r="I554" s="72" t="inlineStr">
        <is>
          <t>FORNECEDORES DE MERCADORIA</t>
        </is>
      </c>
      <c r="J554" s="70" t="n">
        <v>1192775</v>
      </c>
      <c r="L554" s="70" t="n">
        <v>7862</v>
      </c>
      <c r="M554" s="72" t="inlineStr">
        <is>
          <t>03</t>
        </is>
      </c>
      <c r="N554" s="72" t="inlineStr">
        <is>
          <t>NFE</t>
        </is>
      </c>
      <c r="P554" s="70" t="n">
        <v>103</v>
      </c>
      <c r="Q554" s="72" t="inlineStr">
        <is>
          <t>MILKA FRANCIS</t>
        </is>
      </c>
      <c r="R554" s="72" t="inlineStr">
        <is>
          <t>ESTOQUE DE MERCADORIAS</t>
        </is>
      </c>
      <c r="S554" s="70" t="n">
        <v>1130101</v>
      </c>
      <c r="T554" s="72" t="inlineStr">
        <is>
          <t>MERCADORIAS P/REVENDA</t>
        </is>
      </c>
      <c r="U554" s="73" t="n">
        <v>1695.9</v>
      </c>
      <c r="W554" s="73" t="n">
        <v>0</v>
      </c>
      <c r="X554" s="72" t="inlineStr">
        <is>
          <t>4496-C/D NF7862 - MILKA</t>
        </is>
      </c>
      <c r="Z554" s="59">
        <f>IF($T554="","",IFERROR(INDEX('Resumo Grupos'!$AC$3:$AC$200,MATCH($T554,'Resumo Grupos'!$AB$3:$AB$200,0)),"n/d"))</f>
        <v/>
      </c>
      <c r="AA554" s="59">
        <f>IF($T554="","",IF(COUNTIF('Resumo Grupos'!$AE$3:$AE$40,$T554)&gt;0,"NAO","SIM"))</f>
        <v/>
      </c>
    </row>
    <row r="555" ht="36.75" customHeight="1" s="60">
      <c r="A555" s="70" t="n">
        <v>1</v>
      </c>
      <c r="B555" s="71" t="n">
        <v>46183</v>
      </c>
      <c r="C555" s="71" t="n">
        <v>46196</v>
      </c>
      <c r="D555" s="70" t="n">
        <v>1114</v>
      </c>
      <c r="E555" s="72" t="inlineStr">
        <is>
          <t>NT INDUSTRIA E COMERCIO DE PANIFICACAO L</t>
        </is>
      </c>
      <c r="F555" s="70" t="n">
        <v>24</v>
      </c>
      <c r="G555" s="72" t="inlineStr">
        <is>
          <t>Compra a Prazo - Boletos</t>
        </is>
      </c>
      <c r="H555" s="70" t="n">
        <v>2110101</v>
      </c>
      <c r="I555" s="72" t="inlineStr">
        <is>
          <t>FORNECEDORES DE MERCADORIA</t>
        </is>
      </c>
      <c r="J555" s="70" t="n">
        <v>1230698</v>
      </c>
      <c r="L555" s="70" t="n">
        <v>37950</v>
      </c>
      <c r="M555" s="72" t="inlineStr">
        <is>
          <t>01</t>
        </is>
      </c>
      <c r="N555" s="72" t="inlineStr">
        <is>
          <t>NFE</t>
        </is>
      </c>
      <c r="P555" s="70" t="n">
        <v>103</v>
      </c>
      <c r="Q555" s="72" t="inlineStr">
        <is>
          <t>MILKA FRANCIS</t>
        </is>
      </c>
      <c r="R555" s="72" t="inlineStr">
        <is>
          <t>ESTOQUE DE MERCADORIAS</t>
        </is>
      </c>
      <c r="S555" s="70" t="n">
        <v>1130101</v>
      </c>
      <c r="T555" s="72" t="inlineStr">
        <is>
          <t>MERCADORIAS P/REVENDA</t>
        </is>
      </c>
      <c r="U555" s="73" t="n">
        <v>5799.6</v>
      </c>
      <c r="W555" s="73" t="n">
        <v>0</v>
      </c>
      <c r="X555" s="72" t="inlineStr">
        <is>
          <t>NF 37950 - MILKA</t>
        </is>
      </c>
      <c r="Z555" s="59">
        <f>IF($T555="","",IFERROR(INDEX('Resumo Grupos'!$AC$3:$AC$200,MATCH($T555,'Resumo Grupos'!$AB$3:$AB$200,0)),"n/d"))</f>
        <v/>
      </c>
      <c r="AA555" s="59">
        <f>IF($T555="","",IF(COUNTIF('Resumo Grupos'!$AE$3:$AE$40,$T555)&gt;0,"NAO","SIM"))</f>
        <v/>
      </c>
    </row>
    <row r="556" ht="36.75" customHeight="1" s="60">
      <c r="A556" s="70" t="n">
        <v>1</v>
      </c>
      <c r="B556" s="71" t="n">
        <v>46183</v>
      </c>
      <c r="C556" s="71" t="n">
        <v>46196</v>
      </c>
      <c r="D556" s="70" t="n">
        <v>1697</v>
      </c>
      <c r="E556" s="72" t="inlineStr">
        <is>
          <t>ROCHA E PAIVA LTDA</t>
        </is>
      </c>
      <c r="F556" s="70" t="n">
        <v>24</v>
      </c>
      <c r="G556" s="72" t="inlineStr">
        <is>
          <t>Compra a Prazo - Boletos</t>
        </is>
      </c>
      <c r="H556" s="70" t="n">
        <v>2110102</v>
      </c>
      <c r="I556" s="72" t="inlineStr">
        <is>
          <t>OUTROS FORNECEDORES</t>
        </is>
      </c>
      <c r="J556" s="70" t="n">
        <v>1231622</v>
      </c>
      <c r="L556" s="70" t="n">
        <v>207140</v>
      </c>
      <c r="M556" s="72" t="inlineStr">
        <is>
          <t>01</t>
        </is>
      </c>
      <c r="N556" s="72" t="inlineStr">
        <is>
          <t>NFE</t>
        </is>
      </c>
      <c r="P556" s="70" t="n">
        <v>103</v>
      </c>
      <c r="Q556" s="72" t="inlineStr">
        <is>
          <t>MILKA FRANCIS</t>
        </is>
      </c>
      <c r="R556" s="72" t="inlineStr">
        <is>
          <t>DESPESAS OPERACIONAIS</t>
        </is>
      </c>
      <c r="S556" s="70" t="n">
        <v>4210204</v>
      </c>
      <c r="T556" s="72" t="inlineStr">
        <is>
          <t>MATERIAL DE CONSUMO</t>
        </is>
      </c>
      <c r="U556" s="73" t="n">
        <v>622.46</v>
      </c>
      <c r="W556" s="73" t="n">
        <v>0</v>
      </c>
      <c r="X556" s="72" t="inlineStr">
        <is>
          <t>NF 207140-1 DESPESA - MILKA</t>
        </is>
      </c>
      <c r="Z556" s="59">
        <f>IF($T556="","",IFERROR(INDEX('Resumo Grupos'!$AC$3:$AC$200,MATCH($T556,'Resumo Grupos'!$AB$3:$AB$200,0)),"n/d"))</f>
        <v/>
      </c>
      <c r="AA556" s="59">
        <f>IF($T556="","",IF(COUNTIF('Resumo Grupos'!$AE$3:$AE$40,$T556)&gt;0,"NAO","SIM"))</f>
        <v/>
      </c>
    </row>
    <row r="557" ht="36.75" customHeight="1" s="60">
      <c r="A557" s="70" t="n">
        <v>1</v>
      </c>
      <c r="B557" s="71" t="n">
        <v>46184</v>
      </c>
      <c r="C557" s="71" t="n">
        <v>46196</v>
      </c>
      <c r="D557" s="70" t="n">
        <v>1745</v>
      </c>
      <c r="E557" s="72" t="inlineStr">
        <is>
          <t>TRES CORACOES ALIMENTOS S.A.</t>
        </is>
      </c>
      <c r="F557" s="70" t="n">
        <v>24</v>
      </c>
      <c r="G557" s="72" t="inlineStr">
        <is>
          <t>Compra a Prazo - Boletos</t>
        </is>
      </c>
      <c r="H557" s="70" t="n">
        <v>2110101</v>
      </c>
      <c r="I557" s="72" t="inlineStr">
        <is>
          <t>FORNECEDORES DE MERCADORIA</t>
        </is>
      </c>
      <c r="J557" s="70" t="n">
        <v>1236138</v>
      </c>
      <c r="L557" s="70" t="n">
        <v>346214</v>
      </c>
      <c r="M557" s="72" t="inlineStr">
        <is>
          <t>01</t>
        </is>
      </c>
      <c r="N557" s="72" t="inlineStr">
        <is>
          <t>NFE</t>
        </is>
      </c>
      <c r="P557" s="70" t="n">
        <v>103</v>
      </c>
      <c r="Q557" s="72" t="inlineStr">
        <is>
          <t>MILKA FRANCIS</t>
        </is>
      </c>
      <c r="R557" s="72" t="inlineStr">
        <is>
          <t>ESTOQUE DE MERCADORIAS</t>
        </is>
      </c>
      <c r="S557" s="70" t="n">
        <v>1130101</v>
      </c>
      <c r="T557" s="72" t="inlineStr">
        <is>
          <t>MERCADORIAS P/REVENDA</t>
        </is>
      </c>
      <c r="U557" s="73" t="n">
        <v>1199.99</v>
      </c>
      <c r="W557" s="73" t="n">
        <v>0</v>
      </c>
      <c r="X557" s="72" t="inlineStr">
        <is>
          <t>NF346214 -01 MILKA</t>
        </is>
      </c>
      <c r="Z557" s="59">
        <f>IF($T557="","",IFERROR(INDEX('Resumo Grupos'!$AC$3:$AC$200,MATCH($T557,'Resumo Grupos'!$AB$3:$AB$200,0)),"n/d"))</f>
        <v/>
      </c>
      <c r="AA557" s="59">
        <f>IF($T557="","",IF(COUNTIF('Resumo Grupos'!$AE$3:$AE$40,$T557)&gt;0,"NAO","SIM"))</f>
        <v/>
      </c>
    </row>
    <row r="558" ht="36.75" customHeight="1" s="60">
      <c r="A558" s="70" t="n">
        <v>1</v>
      </c>
      <c r="B558" s="71" t="n">
        <v>46188</v>
      </c>
      <c r="C558" s="71" t="n">
        <v>46196</v>
      </c>
      <c r="D558" s="70" t="n">
        <v>1723</v>
      </c>
      <c r="E558" s="72" t="inlineStr">
        <is>
          <t>COMERCIO DE FRIOS MANAUS LTDA</t>
        </is>
      </c>
      <c r="F558" s="70" t="n">
        <v>24</v>
      </c>
      <c r="G558" s="72" t="inlineStr">
        <is>
          <t>Compra a Prazo - Boletos</t>
        </is>
      </c>
      <c r="H558" s="70" t="n">
        <v>2110101</v>
      </c>
      <c r="I558" s="72" t="inlineStr">
        <is>
          <t>FORNECEDORES DE MERCADORIA</t>
        </is>
      </c>
      <c r="J558" s="70" t="n">
        <v>1257667</v>
      </c>
      <c r="L558" s="70" t="n">
        <v>171508</v>
      </c>
      <c r="M558" s="72" t="inlineStr">
        <is>
          <t>01</t>
        </is>
      </c>
      <c r="N558" s="72" t="inlineStr">
        <is>
          <t>NFE</t>
        </is>
      </c>
      <c r="P558" s="70" t="n">
        <v>103</v>
      </c>
      <c r="Q558" s="72" t="inlineStr">
        <is>
          <t>MILKA FRANCIS</t>
        </is>
      </c>
      <c r="R558" s="72" t="inlineStr">
        <is>
          <t>ESTOQUE DE MERCADORIAS</t>
        </is>
      </c>
      <c r="S558" s="70" t="n">
        <v>1130101</v>
      </c>
      <c r="T558" s="72" t="inlineStr">
        <is>
          <t>MERCADORIAS P/REVENDA</t>
        </is>
      </c>
      <c r="U558" s="73" t="n">
        <v>9050.799999999999</v>
      </c>
      <c r="W558" s="73" t="n">
        <v>0</v>
      </c>
      <c r="X558" s="72" t="inlineStr">
        <is>
          <t xml:space="preserve"> NF171508 - MILKA</t>
        </is>
      </c>
      <c r="Z558" s="59">
        <f>IF($T558="","",IFERROR(INDEX('Resumo Grupos'!$AC$3:$AC$200,MATCH($T558,'Resumo Grupos'!$AB$3:$AB$200,0)),"n/d"))</f>
        <v/>
      </c>
      <c r="AA558" s="59">
        <f>IF($T558="","",IF(COUNTIF('Resumo Grupos'!$AE$3:$AE$40,$T558)&gt;0,"NAO","SIM"))</f>
        <v/>
      </c>
    </row>
    <row r="559" ht="45.75" customHeight="1" s="60">
      <c r="A559" s="70" t="n">
        <v>1</v>
      </c>
      <c r="B559" s="71" t="n">
        <v>46189</v>
      </c>
      <c r="C559" s="71" t="n">
        <v>46196</v>
      </c>
      <c r="D559" s="70" t="n">
        <v>1815</v>
      </c>
      <c r="E559" s="72" t="inlineStr">
        <is>
          <t>J G COMERCIO DE PRODUTOS ALIMENTICIOS LTDA</t>
        </is>
      </c>
      <c r="F559" s="70" t="n">
        <v>24</v>
      </c>
      <c r="G559" s="72" t="inlineStr">
        <is>
          <t>Compra a Prazo - Boletos</t>
        </is>
      </c>
      <c r="H559" s="70" t="n">
        <v>2110101</v>
      </c>
      <c r="I559" s="72" t="inlineStr">
        <is>
          <t>FORNECEDORES DE MERCADORIA</t>
        </is>
      </c>
      <c r="J559" s="70" t="n">
        <v>1262226</v>
      </c>
      <c r="L559" s="70" t="n">
        <v>387396</v>
      </c>
      <c r="M559" s="72" t="inlineStr">
        <is>
          <t>01</t>
        </is>
      </c>
      <c r="N559" s="72" t="inlineStr">
        <is>
          <t>NFE</t>
        </is>
      </c>
      <c r="P559" s="70" t="n">
        <v>103</v>
      </c>
      <c r="Q559" s="72" t="inlineStr">
        <is>
          <t>MILKA FRANCIS</t>
        </is>
      </c>
      <c r="R559" s="72" t="inlineStr">
        <is>
          <t>ESTOQUE DE MERCADORIAS</t>
        </is>
      </c>
      <c r="S559" s="70" t="n">
        <v>1130101</v>
      </c>
      <c r="T559" s="72" t="inlineStr">
        <is>
          <t>MERCADORIAS P/REVENDA</t>
        </is>
      </c>
      <c r="U559" s="73" t="n">
        <v>1107.75</v>
      </c>
      <c r="W559" s="73" t="n">
        <v>0</v>
      </c>
      <c r="X559" s="72" t="inlineStr">
        <is>
          <t>451009-A/C  NF387396 - MILKA</t>
        </is>
      </c>
      <c r="Z559" s="59">
        <f>IF($T559="","",IFERROR(INDEX('Resumo Grupos'!$AC$3:$AC$200,MATCH($T559,'Resumo Grupos'!$AB$3:$AB$200,0)),"n/d"))</f>
        <v/>
      </c>
      <c r="AA559" s="59">
        <f>IF($T559="","",IF(COUNTIF('Resumo Grupos'!$AE$3:$AE$40,$T559)&gt;0,"NAO","SIM"))</f>
        <v/>
      </c>
    </row>
    <row r="560" ht="36.75" customHeight="1" s="60">
      <c r="A560" s="70" t="n">
        <v>1</v>
      </c>
      <c r="B560" s="71" t="n">
        <v>46190</v>
      </c>
      <c r="C560" s="71" t="n">
        <v>46196</v>
      </c>
      <c r="D560" s="70" t="n">
        <v>1642</v>
      </c>
      <c r="E560" s="72" t="inlineStr">
        <is>
          <t>BROTHERS  INDUSTRIA DE ALIMENTOS LTDA</t>
        </is>
      </c>
      <c r="F560" s="70" t="n">
        <v>24</v>
      </c>
      <c r="G560" s="72" t="inlineStr">
        <is>
          <t>Compra a Prazo - Boletos</t>
        </is>
      </c>
      <c r="H560" s="70" t="n">
        <v>2110101</v>
      </c>
      <c r="I560" s="72" t="inlineStr">
        <is>
          <t>FORNECEDORES DE MERCADORIA</t>
        </is>
      </c>
      <c r="J560" s="70" t="n">
        <v>1266376</v>
      </c>
      <c r="L560" s="70" t="n">
        <v>1027236</v>
      </c>
      <c r="M560" s="72" t="inlineStr">
        <is>
          <t>01</t>
        </is>
      </c>
      <c r="N560" s="72" t="inlineStr">
        <is>
          <t>NFE</t>
        </is>
      </c>
      <c r="P560" s="70" t="n">
        <v>103</v>
      </c>
      <c r="Q560" s="72" t="inlineStr">
        <is>
          <t>MILKA FRANCIS</t>
        </is>
      </c>
      <c r="R560" s="72" t="inlineStr">
        <is>
          <t>ESTOQUE DE MERCADORIAS</t>
        </is>
      </c>
      <c r="S560" s="70" t="n">
        <v>1130101</v>
      </c>
      <c r="T560" s="72" t="inlineStr">
        <is>
          <t>MERCADORIAS P/REVENDA</t>
        </is>
      </c>
      <c r="U560" s="73" t="n">
        <v>516.15</v>
      </c>
      <c r="W560" s="73" t="n">
        <v>0</v>
      </c>
      <c r="X560" s="72" t="inlineStr">
        <is>
          <t>NF 1027236 - MILKA</t>
        </is>
      </c>
      <c r="Z560" s="59">
        <f>IF($T560="","",IFERROR(INDEX('Resumo Grupos'!$AC$3:$AC$200,MATCH($T560,'Resumo Grupos'!$AB$3:$AB$200,0)),"n/d"))</f>
        <v/>
      </c>
      <c r="AA560" s="59">
        <f>IF($T560="","",IF(COUNTIF('Resumo Grupos'!$AE$3:$AE$40,$T560)&gt;0,"NAO","SIM"))</f>
        <v/>
      </c>
    </row>
    <row r="561" ht="36.75" customHeight="1" s="60">
      <c r="A561" s="70" t="n">
        <v>1</v>
      </c>
      <c r="B561" s="71" t="n">
        <v>46191</v>
      </c>
      <c r="C561" s="71" t="n">
        <v>46196</v>
      </c>
      <c r="D561" s="70" t="n">
        <v>1286</v>
      </c>
      <c r="E561" s="72" t="inlineStr">
        <is>
          <t>VITAPAN COMERCIO VAREJISTA DE PRODUTOS ALIMENTICIOS LTDA</t>
        </is>
      </c>
      <c r="F561" s="70" t="n">
        <v>24</v>
      </c>
      <c r="G561" s="72" t="inlineStr">
        <is>
          <t>Compra a Prazo - Boletos</t>
        </is>
      </c>
      <c r="H561" s="70" t="n">
        <v>2110101</v>
      </c>
      <c r="I561" s="72" t="inlineStr">
        <is>
          <t>FORNECEDORES DE MERCADORIA</t>
        </is>
      </c>
      <c r="J561" s="70" t="n">
        <v>1269852</v>
      </c>
      <c r="L561" s="70" t="n">
        <v>10108</v>
      </c>
      <c r="M561" s="72" t="inlineStr">
        <is>
          <t>01</t>
        </is>
      </c>
      <c r="N561" s="72" t="inlineStr">
        <is>
          <t>NFE</t>
        </is>
      </c>
      <c r="P561" s="70" t="n">
        <v>103</v>
      </c>
      <c r="Q561" s="72" t="inlineStr">
        <is>
          <t>MILKA FRANCIS</t>
        </is>
      </c>
      <c r="R561" s="72" t="inlineStr">
        <is>
          <t>ESTOQUE DE MERCADORIAS</t>
        </is>
      </c>
      <c r="S561" s="70" t="n">
        <v>1130101</v>
      </c>
      <c r="T561" s="72" t="inlineStr">
        <is>
          <t>MERCADORIAS P/REVENDA</t>
        </is>
      </c>
      <c r="U561" s="73" t="n">
        <v>864</v>
      </c>
      <c r="W561" s="73" t="n">
        <v>0</v>
      </c>
      <c r="X561" s="72" t="inlineStr">
        <is>
          <t xml:space="preserve"> NF 10108 - MILKA</t>
        </is>
      </c>
      <c r="Z561" s="59">
        <f>IF($T561="","",IFERROR(INDEX('Resumo Grupos'!$AC$3:$AC$200,MATCH($T561,'Resumo Grupos'!$AB$3:$AB$200,0)),"n/d"))</f>
        <v/>
      </c>
      <c r="AA561" s="59">
        <f>IF($T561="","",IF(COUNTIF('Resumo Grupos'!$AE$3:$AE$40,$T561)&gt;0,"NAO","SIM"))</f>
        <v/>
      </c>
    </row>
    <row r="562" ht="36.75" customHeight="1" s="60">
      <c r="A562" s="70" t="n">
        <v>1</v>
      </c>
      <c r="B562" s="71" t="n">
        <v>46191</v>
      </c>
      <c r="C562" s="71" t="n">
        <v>46196</v>
      </c>
      <c r="D562" s="70" t="n">
        <v>10009</v>
      </c>
      <c r="E562" s="72" t="inlineStr">
        <is>
          <t>NESTLÉ BRASIL LTDA.</t>
        </is>
      </c>
      <c r="F562" s="70" t="n">
        <v>24</v>
      </c>
      <c r="G562" s="72" t="inlineStr">
        <is>
          <t>Compra a Prazo - Boletos</t>
        </is>
      </c>
      <c r="H562" s="70" t="n">
        <v>2110101</v>
      </c>
      <c r="I562" s="72" t="inlineStr">
        <is>
          <t>FORNECEDORES DE MERCADORIA</t>
        </is>
      </c>
      <c r="J562" s="70" t="n">
        <v>1269942</v>
      </c>
      <c r="L562" s="70" t="n">
        <v>1414215</v>
      </c>
      <c r="M562" s="72" t="inlineStr">
        <is>
          <t>01</t>
        </is>
      </c>
      <c r="N562" s="72" t="inlineStr">
        <is>
          <t>NFE</t>
        </is>
      </c>
      <c r="P562" s="70" t="n">
        <v>103</v>
      </c>
      <c r="Q562" s="72" t="inlineStr">
        <is>
          <t>MILKA FRANCIS</t>
        </is>
      </c>
      <c r="R562" s="72" t="inlineStr">
        <is>
          <t>ESTOQUE DE MERCADORIAS</t>
        </is>
      </c>
      <c r="S562" s="70" t="n">
        <v>1130101</v>
      </c>
      <c r="T562" s="72" t="inlineStr">
        <is>
          <t>MERCADORIAS P/REVENDA</t>
        </is>
      </c>
      <c r="U562" s="73" t="n">
        <v>414.93</v>
      </c>
      <c r="W562" s="73" t="n">
        <v>0</v>
      </c>
      <c r="X562" s="72" t="inlineStr">
        <is>
          <t>NF 1414215 - MILKA</t>
        </is>
      </c>
      <c r="Z562" s="59">
        <f>IF($T562="","",IFERROR(INDEX('Resumo Grupos'!$AC$3:$AC$200,MATCH($T562,'Resumo Grupos'!$AB$3:$AB$200,0)),"n/d"))</f>
        <v/>
      </c>
      <c r="AA562" s="59">
        <f>IF($T562="","",IF(COUNTIF('Resumo Grupos'!$AE$3:$AE$40,$T562)&gt;0,"NAO","SIM"))</f>
        <v/>
      </c>
    </row>
    <row r="563" ht="27.75" customHeight="1" s="60">
      <c r="A563" s="70" t="n">
        <v>1</v>
      </c>
      <c r="B563" s="71" t="n">
        <v>46191</v>
      </c>
      <c r="C563" s="71" t="n">
        <v>46196</v>
      </c>
      <c r="D563" s="70" t="n">
        <v>10009</v>
      </c>
      <c r="E563" s="72" t="inlineStr">
        <is>
          <t>NESTLÉ BRASIL LTDA.</t>
        </is>
      </c>
      <c r="F563" s="70" t="n">
        <v>24</v>
      </c>
      <c r="G563" s="72" t="inlineStr">
        <is>
          <t>Compra a Prazo - Boletos</t>
        </is>
      </c>
      <c r="H563" s="70" t="n">
        <v>2110101</v>
      </c>
      <c r="I563" s="72" t="inlineStr">
        <is>
          <t>FORNECEDORES DE MERCADORIA</t>
        </is>
      </c>
      <c r="J563" s="70" t="n">
        <v>1269964</v>
      </c>
      <c r="L563" s="70" t="n">
        <v>1414432</v>
      </c>
      <c r="M563" s="72" t="inlineStr">
        <is>
          <t>01</t>
        </is>
      </c>
      <c r="N563" s="72" t="inlineStr">
        <is>
          <t>NFE</t>
        </is>
      </c>
      <c r="P563" s="70" t="n">
        <v>103</v>
      </c>
      <c r="Q563" s="72" t="inlineStr">
        <is>
          <t>MILKA FRANCIS</t>
        </is>
      </c>
      <c r="R563" s="72" t="inlineStr">
        <is>
          <t>ESTOQUE DE MERCADORIAS</t>
        </is>
      </c>
      <c r="S563" s="70" t="n">
        <v>1130101</v>
      </c>
      <c r="T563" s="72" t="inlineStr">
        <is>
          <t>MERCADORIAS P/REVENDA</t>
        </is>
      </c>
      <c r="U563" s="73" t="n">
        <v>1685.95</v>
      </c>
      <c r="W563" s="73" t="n">
        <v>0</v>
      </c>
      <c r="X563" s="72" t="inlineStr">
        <is>
          <t>NF 1414432 - MILKA</t>
        </is>
      </c>
      <c r="Z563" s="59">
        <f>IF($T563="","",IFERROR(INDEX('Resumo Grupos'!$AC$3:$AC$200,MATCH($T563,'Resumo Grupos'!$AB$3:$AB$200,0)),"n/d"))</f>
        <v/>
      </c>
      <c r="AA563" s="59">
        <f>IF($T563="","",IF(COUNTIF('Resumo Grupos'!$AE$3:$AE$40,$T563)&gt;0,"NAO","SIM"))</f>
        <v/>
      </c>
    </row>
    <row r="564" ht="45.75" customHeight="1" s="60">
      <c r="A564" s="70" t="n">
        <v>1</v>
      </c>
      <c r="B564" s="71" t="n">
        <v>46192</v>
      </c>
      <c r="C564" s="71" t="n">
        <v>46196</v>
      </c>
      <c r="D564" s="70" t="n">
        <v>1899</v>
      </c>
      <c r="E564" s="72" t="inlineStr">
        <is>
          <t>PANIFICADORA E CONFEITARIA REAL MADRI LTDA</t>
        </is>
      </c>
      <c r="F564" s="70" t="n">
        <v>24</v>
      </c>
      <c r="G564" s="72" t="inlineStr">
        <is>
          <t>Compra a Prazo - Boletos</t>
        </is>
      </c>
      <c r="H564" s="70" t="n">
        <v>2110101</v>
      </c>
      <c r="I564" s="72" t="inlineStr">
        <is>
          <t>FORNECEDORES DE MERCADORIA</t>
        </is>
      </c>
      <c r="J564" s="70" t="n">
        <v>1272620</v>
      </c>
      <c r="L564" s="70" t="n">
        <v>668</v>
      </c>
      <c r="M564" s="72" t="inlineStr">
        <is>
          <t>01</t>
        </is>
      </c>
      <c r="N564" s="72" t="inlineStr">
        <is>
          <t>NFE</t>
        </is>
      </c>
      <c r="P564" s="70" t="n">
        <v>103</v>
      </c>
      <c r="Q564" s="72" t="inlineStr">
        <is>
          <t>MILKA FRANCIS</t>
        </is>
      </c>
      <c r="R564" s="72" t="inlineStr">
        <is>
          <t>ESTOQUE DE MERCADORIAS</t>
        </is>
      </c>
      <c r="S564" s="70" t="n">
        <v>1130101</v>
      </c>
      <c r="T564" s="72" t="inlineStr">
        <is>
          <t>MERCADORIAS P/REVENDA</t>
        </is>
      </c>
      <c r="U564" s="73" t="n">
        <v>362</v>
      </c>
      <c r="W564" s="73" t="n">
        <v>0</v>
      </c>
      <c r="X564" s="72" t="inlineStr">
        <is>
          <t>NF 668 - MILKA</t>
        </is>
      </c>
      <c r="Z564" s="59">
        <f>IF($T564="","",IFERROR(INDEX('Resumo Grupos'!$AC$3:$AC$200,MATCH($T564,'Resumo Grupos'!$AB$3:$AB$200,0)),"n/d"))</f>
        <v/>
      </c>
      <c r="AA564" s="59">
        <f>IF($T564="","",IF(COUNTIF('Resumo Grupos'!$AE$3:$AE$40,$T564)&gt;0,"NAO","SIM"))</f>
        <v/>
      </c>
    </row>
    <row r="565" ht="45.75" customHeight="1" s="60">
      <c r="A565" s="70" t="n">
        <v>1</v>
      </c>
      <c r="B565" s="71" t="n">
        <v>46192</v>
      </c>
      <c r="C565" s="71" t="n">
        <v>46196</v>
      </c>
      <c r="D565" s="70" t="n">
        <v>1292</v>
      </c>
      <c r="E565" s="72" t="inlineStr">
        <is>
          <t>SAO JOSE COMERCIO DE LATICINIOS E FRIOS</t>
        </is>
      </c>
      <c r="F565" s="70" t="n">
        <v>24</v>
      </c>
      <c r="G565" s="72" t="inlineStr">
        <is>
          <t>Compra a Prazo - Boletos</t>
        </is>
      </c>
      <c r="H565" s="70" t="n">
        <v>2110101</v>
      </c>
      <c r="I565" s="72" t="inlineStr">
        <is>
          <t>FORNECEDORES DE MERCADORIA</t>
        </is>
      </c>
      <c r="J565" s="70" t="n">
        <v>1272643</v>
      </c>
      <c r="L565" s="70" t="n">
        <v>3413</v>
      </c>
      <c r="M565" s="72" t="inlineStr">
        <is>
          <t>01</t>
        </is>
      </c>
      <c r="N565" s="72" t="inlineStr">
        <is>
          <t>NFE</t>
        </is>
      </c>
      <c r="P565" s="70" t="n">
        <v>103</v>
      </c>
      <c r="Q565" s="72" t="inlineStr">
        <is>
          <t>MILKA FRANCIS</t>
        </is>
      </c>
      <c r="R565" s="72" t="inlineStr">
        <is>
          <t>ESTOQUE DE MERCADORIAS</t>
        </is>
      </c>
      <c r="S565" s="70" t="n">
        <v>1130101</v>
      </c>
      <c r="T565" s="72" t="inlineStr">
        <is>
          <t>MERCADORIAS P/REVENDA</t>
        </is>
      </c>
      <c r="U565" s="73" t="n">
        <v>1444</v>
      </c>
      <c r="W565" s="73" t="n">
        <v>0</v>
      </c>
      <c r="X565" s="72" t="inlineStr">
        <is>
          <t>NF 3413 SABORE FATIADO - MILKA</t>
        </is>
      </c>
      <c r="Z565" s="59">
        <f>IF($T565="","",IFERROR(INDEX('Resumo Grupos'!$AC$3:$AC$200,MATCH($T565,'Resumo Grupos'!$AB$3:$AB$200,0)),"n/d"))</f>
        <v/>
      </c>
      <c r="AA565" s="59">
        <f>IF($T565="","",IF(COUNTIF('Resumo Grupos'!$AE$3:$AE$40,$T565)&gt;0,"NAO","SIM"))</f>
        <v/>
      </c>
    </row>
    <row r="566" ht="45.75" customHeight="1" s="60">
      <c r="A566" s="70" t="n">
        <v>1</v>
      </c>
      <c r="B566" s="71" t="n">
        <v>46193</v>
      </c>
      <c r="C566" s="71" t="n">
        <v>46196</v>
      </c>
      <c r="D566" s="70" t="n">
        <v>642</v>
      </c>
      <c r="E566" s="72" t="inlineStr">
        <is>
          <t>ADICSO FABIAN GONZALEZ MONTILLA 70302186</t>
        </is>
      </c>
      <c r="F566" s="70" t="n">
        <v>24</v>
      </c>
      <c r="G566" s="72" t="inlineStr">
        <is>
          <t>Compra a Prazo - Boletos</t>
        </is>
      </c>
      <c r="H566" s="70" t="n">
        <v>2110101</v>
      </c>
      <c r="I566" s="72" t="inlineStr">
        <is>
          <t>FORNECEDORES DE MERCADORIA</t>
        </is>
      </c>
      <c r="J566" s="70" t="n">
        <v>1279904</v>
      </c>
      <c r="L566" s="70" t="n">
        <v>503</v>
      </c>
      <c r="M566" s="72" t="inlineStr">
        <is>
          <t>01</t>
        </is>
      </c>
      <c r="N566" s="72" t="inlineStr">
        <is>
          <t>NFE</t>
        </is>
      </c>
      <c r="P566" s="70" t="n">
        <v>103</v>
      </c>
      <c r="Q566" s="72" t="inlineStr">
        <is>
          <t>MILKA FRANCIS</t>
        </is>
      </c>
      <c r="R566" s="72" t="inlineStr">
        <is>
          <t>ESTOQUE DE MERCADORIAS</t>
        </is>
      </c>
      <c r="S566" s="70" t="n">
        <v>1130101</v>
      </c>
      <c r="T566" s="72" t="inlineStr">
        <is>
          <t>MERCADORIAS P/REVENDA</t>
        </is>
      </c>
      <c r="U566" s="73" t="n">
        <v>900</v>
      </c>
      <c r="W566" s="73" t="n">
        <v>0</v>
      </c>
      <c r="X566" s="72" t="inlineStr">
        <is>
          <t>NF 503 BLOOM - MILKA</t>
        </is>
      </c>
      <c r="Z566" s="59">
        <f>IF($T566="","",IFERROR(INDEX('Resumo Grupos'!$AC$3:$AC$200,MATCH($T566,'Resumo Grupos'!$AB$3:$AB$200,0)),"n/d"))</f>
        <v/>
      </c>
      <c r="AA566" s="59">
        <f>IF($T566="","",IF(COUNTIF('Resumo Grupos'!$AE$3:$AE$40,$T566)&gt;0,"NAO","SIM"))</f>
        <v/>
      </c>
    </row>
    <row r="567" ht="45.75" customHeight="1" s="60">
      <c r="A567" s="70" t="n">
        <v>1</v>
      </c>
      <c r="B567" s="71" t="n">
        <v>46193</v>
      </c>
      <c r="C567" s="71" t="n">
        <v>46196</v>
      </c>
      <c r="D567" s="70" t="n">
        <v>1899</v>
      </c>
      <c r="E567" s="72" t="inlineStr">
        <is>
          <t>PANIFICADORA E CONFEITARIA REAL MADRI LTDA</t>
        </is>
      </c>
      <c r="F567" s="70" t="n">
        <v>24</v>
      </c>
      <c r="G567" s="72" t="inlineStr">
        <is>
          <t>Compra a Prazo - Boletos</t>
        </is>
      </c>
      <c r="H567" s="70" t="n">
        <v>2110101</v>
      </c>
      <c r="I567" s="72" t="inlineStr">
        <is>
          <t>FORNECEDORES DE MERCADORIA</t>
        </is>
      </c>
      <c r="J567" s="70" t="n">
        <v>1279917</v>
      </c>
      <c r="L567" s="70" t="n">
        <v>670</v>
      </c>
      <c r="M567" s="72" t="inlineStr">
        <is>
          <t>01</t>
        </is>
      </c>
      <c r="N567" s="72" t="inlineStr">
        <is>
          <t>NFE</t>
        </is>
      </c>
      <c r="P567" s="70" t="n">
        <v>103</v>
      </c>
      <c r="Q567" s="72" t="inlineStr">
        <is>
          <t>MILKA FRANCIS</t>
        </is>
      </c>
      <c r="R567" s="72" t="inlineStr">
        <is>
          <t>ESTOQUE DE MERCADORIAS</t>
        </is>
      </c>
      <c r="S567" s="70" t="n">
        <v>1130101</v>
      </c>
      <c r="T567" s="72" t="inlineStr">
        <is>
          <t>MERCADORIAS P/REVENDA</t>
        </is>
      </c>
      <c r="U567" s="73" t="n">
        <v>384.5</v>
      </c>
      <c r="W567" s="73" t="n">
        <v>0</v>
      </c>
      <c r="X567" s="72" t="inlineStr">
        <is>
          <t>NF 670 - MILKA</t>
        </is>
      </c>
      <c r="Z567" s="59">
        <f>IF($T567="","",IFERROR(INDEX('Resumo Grupos'!$AC$3:$AC$200,MATCH($T567,'Resumo Grupos'!$AB$3:$AB$200,0)),"n/d"))</f>
        <v/>
      </c>
      <c r="AA567" s="59">
        <f>IF($T567="","",IF(COUNTIF('Resumo Grupos'!$AE$3:$AE$40,$T567)&gt;0,"NAO","SIM"))</f>
        <v/>
      </c>
    </row>
    <row r="568" ht="45.75" customHeight="1" s="60">
      <c r="A568" s="70" t="n">
        <v>1</v>
      </c>
      <c r="B568" s="71" t="n">
        <v>46196</v>
      </c>
      <c r="C568" s="71" t="n">
        <v>46196</v>
      </c>
      <c r="D568" s="70" t="n">
        <v>1757</v>
      </c>
      <c r="E568" s="72" t="inlineStr">
        <is>
          <t>DESPESA COZINHA</t>
        </is>
      </c>
      <c r="F568" s="70" t="n">
        <v>34</v>
      </c>
      <c r="G568" s="72" t="inlineStr">
        <is>
          <t>Transferencia Pix</t>
        </is>
      </c>
      <c r="H568" s="70" t="n">
        <v>2110405</v>
      </c>
      <c r="I568" s="72" t="inlineStr">
        <is>
          <t>CONTAS A PAGAR</t>
        </is>
      </c>
      <c r="J568" s="70" t="n">
        <v>1295459</v>
      </c>
      <c r="L568" s="70" t="n">
        <v>536510</v>
      </c>
      <c r="M568" s="72" t="inlineStr">
        <is>
          <t>01</t>
        </is>
      </c>
      <c r="N568" s="72" t="inlineStr">
        <is>
          <t>AVU</t>
        </is>
      </c>
      <c r="P568" s="70" t="n">
        <v>101</v>
      </c>
      <c r="Q568" s="72" t="inlineStr">
        <is>
          <t>KEILA LIMA</t>
        </is>
      </c>
      <c r="R568" s="72" t="inlineStr">
        <is>
          <t>DESPESAS OPERACIONAIS</t>
        </is>
      </c>
      <c r="S568" s="70" t="n">
        <v>4210223</v>
      </c>
      <c r="T568" s="72" t="inlineStr">
        <is>
          <t>GAS LOJA</t>
        </is>
      </c>
      <c r="U568" s="73" t="n">
        <v>615</v>
      </c>
      <c r="W568" s="73" t="n">
        <v>0</v>
      </c>
      <c r="X568" s="72" t="inlineStr">
        <is>
          <t>GAS DE COZINHA 5 BOTIJAS</t>
        </is>
      </c>
      <c r="Z568" s="59">
        <f>IF($T568="","",IFERROR(INDEX('Resumo Grupos'!$AC$3:$AC$200,MATCH($T568,'Resumo Grupos'!$AB$3:$AB$200,0)),"n/d"))</f>
        <v/>
      </c>
      <c r="AA568" s="59">
        <f>IF($T568="","",IF(COUNTIF('Resumo Grupos'!$AE$3:$AE$40,$T568)&gt;0,"NAO","SIM"))</f>
        <v/>
      </c>
    </row>
    <row r="569" ht="27.75" customHeight="1" s="60">
      <c r="A569" s="70" t="n">
        <v>1</v>
      </c>
      <c r="B569" s="71" t="n">
        <v>46196</v>
      </c>
      <c r="C569" s="71" t="n">
        <v>46196</v>
      </c>
      <c r="D569" s="70" t="n">
        <v>33</v>
      </c>
      <c r="E569" s="72" t="inlineStr">
        <is>
          <t>RENATO DE O AZEVEDO E CIA LTDA - EPP</t>
        </is>
      </c>
      <c r="F569" s="70" t="n">
        <v>34</v>
      </c>
      <c r="G569" s="72" t="inlineStr">
        <is>
          <t>Transferencia Pix</t>
        </is>
      </c>
      <c r="H569" s="70" t="n">
        <v>2110101</v>
      </c>
      <c r="I569" s="72" t="inlineStr">
        <is>
          <t>FORNECEDORES DE MERCADORIA</t>
        </is>
      </c>
      <c r="J569" s="70" t="n">
        <v>1295521</v>
      </c>
      <c r="L569" s="70" t="n">
        <v>5169</v>
      </c>
      <c r="M569" s="72" t="inlineStr">
        <is>
          <t>01</t>
        </is>
      </c>
      <c r="N569" s="72" t="inlineStr">
        <is>
          <t>NFE</t>
        </is>
      </c>
      <c r="P569" s="70" t="n">
        <v>104</v>
      </c>
      <c r="Q569" s="72" t="inlineStr">
        <is>
          <t>DEBORA COSTA</t>
        </is>
      </c>
      <c r="R569" s="72" t="inlineStr">
        <is>
          <t>ESTOQUE DE MERCADORIAS</t>
        </is>
      </c>
      <c r="S569" s="70" t="n">
        <v>1130101</v>
      </c>
      <c r="T569" s="72" t="inlineStr">
        <is>
          <t>MERCADORIAS P/REVENDA</t>
        </is>
      </c>
      <c r="U569" s="73" t="n">
        <v>2460</v>
      </c>
      <c r="W569" s="73" t="n">
        <v>0</v>
      </c>
      <c r="X569" s="72" t="inlineStr">
        <is>
          <t>FEIRA SR RENATO - DEBORA</t>
        </is>
      </c>
      <c r="Z569" s="59">
        <f>IF($T569="","",IFERROR(INDEX('Resumo Grupos'!$AC$3:$AC$200,MATCH($T569,'Resumo Grupos'!$AB$3:$AB$200,0)),"n/d"))</f>
        <v/>
      </c>
      <c r="AA569" s="59">
        <f>IF($T569="","",IF(COUNTIF('Resumo Grupos'!$AE$3:$AE$40,$T569)&gt;0,"NAO","SIM"))</f>
        <v/>
      </c>
    </row>
    <row r="570" ht="27.75" customHeight="1" s="60">
      <c r="A570" s="70" t="n">
        <v>1</v>
      </c>
      <c r="B570" s="71" t="n">
        <v>46196</v>
      </c>
      <c r="C570" s="71" t="n">
        <v>46196</v>
      </c>
      <c r="D570" s="70" t="n">
        <v>1037</v>
      </c>
      <c r="E570" s="72" t="inlineStr">
        <is>
          <t>FEIRA</t>
        </is>
      </c>
      <c r="F570" s="70" t="n">
        <v>34</v>
      </c>
      <c r="G570" s="72" t="inlineStr">
        <is>
          <t>Transferencia Pix</t>
        </is>
      </c>
      <c r="H570" s="70" t="n">
        <v>2110405</v>
      </c>
      <c r="I570" s="72" t="inlineStr">
        <is>
          <t>CONTAS A PAGAR</t>
        </is>
      </c>
      <c r="J570" s="70" t="n">
        <v>1295741</v>
      </c>
      <c r="L570" s="70" t="n">
        <v>536589</v>
      </c>
      <c r="M570" s="72" t="inlineStr">
        <is>
          <t>01</t>
        </is>
      </c>
      <c r="N570" s="72" t="inlineStr">
        <is>
          <t>AVU</t>
        </is>
      </c>
      <c r="P570" s="70" t="n">
        <v>101</v>
      </c>
      <c r="Q570" s="72" t="inlineStr">
        <is>
          <t>KEILA LIMA</t>
        </is>
      </c>
      <c r="R570" s="72" t="inlineStr">
        <is>
          <t>DESPESAS NAO OPERACIONAIS</t>
        </is>
      </c>
      <c r="S570" s="70" t="n">
        <v>4220199</v>
      </c>
      <c r="T570" s="72" t="inlineStr">
        <is>
          <t>PAGAMENTOS OUTROS NAO OPERACIONAIS</t>
        </is>
      </c>
      <c r="U570" s="73" t="n">
        <v>4103</v>
      </c>
      <c r="W570" s="73" t="n">
        <v>0</v>
      </c>
      <c r="X570" s="72" t="inlineStr">
        <is>
          <t>FEIRA LOJAS - NAO SOMAR</t>
        </is>
      </c>
      <c r="Z570" s="59">
        <f>IF($T570="","",IFERROR(INDEX('Resumo Grupos'!$AC$3:$AC$200,MATCH($T570,'Resumo Grupos'!$AB$3:$AB$200,0)),"n/d"))</f>
        <v/>
      </c>
      <c r="AA570" s="59">
        <f>IF($T570="","",IF(COUNTIF('Resumo Grupos'!$AE$3:$AE$40,$T570)&gt;0,"NAO","SIM"))</f>
        <v/>
      </c>
    </row>
    <row r="571" ht="45.75" customHeight="1" s="60">
      <c r="A571" s="70" t="n">
        <v>1</v>
      </c>
      <c r="B571" s="71" t="n">
        <v>46196</v>
      </c>
      <c r="C571" s="71" t="n">
        <v>46196</v>
      </c>
      <c r="D571" s="70" t="n">
        <v>10086</v>
      </c>
      <c r="E571" s="72" t="inlineStr">
        <is>
          <t>66.356.670 FRANCISCO CARLOS FERNANDES COSTA</t>
        </is>
      </c>
      <c r="F571" s="70" t="n">
        <v>13</v>
      </c>
      <c r="G571" s="72" t="inlineStr">
        <is>
          <t>Compra a Vista</t>
        </is>
      </c>
      <c r="H571" s="70" t="n">
        <v>2110101</v>
      </c>
      <c r="I571" s="72" t="inlineStr">
        <is>
          <t>FORNECEDORES DE MERCADORIA</t>
        </is>
      </c>
      <c r="J571" s="70" t="n">
        <v>1309564</v>
      </c>
      <c r="L571" s="70" t="n">
        <v>32</v>
      </c>
      <c r="M571" s="72" t="inlineStr">
        <is>
          <t>01</t>
        </is>
      </c>
      <c r="N571" s="72" t="inlineStr">
        <is>
          <t>NFE</t>
        </is>
      </c>
      <c r="P571" s="70" t="n">
        <v>104</v>
      </c>
      <c r="Q571" s="72" t="inlineStr">
        <is>
          <t>DEBORA COSTA</t>
        </is>
      </c>
      <c r="R571" s="72" t="inlineStr">
        <is>
          <t>ESTOQUE DE MERCADORIAS</t>
        </is>
      </c>
      <c r="S571" s="70" t="n">
        <v>1130101</v>
      </c>
      <c r="T571" s="72" t="inlineStr">
        <is>
          <t>MERCADORIAS P/REVENDA</t>
        </is>
      </c>
      <c r="U571" s="73" t="n">
        <v>240</v>
      </c>
      <c r="W571" s="73" t="n">
        <v>0</v>
      </c>
      <c r="X571" s="72" t="inlineStr">
        <is>
          <t>NF 32 - DEBORA</t>
        </is>
      </c>
      <c r="Z571" s="59">
        <f>IF($T571="","",IFERROR(INDEX('Resumo Grupos'!$AC$3:$AC$200,MATCH($T571,'Resumo Grupos'!$AB$3:$AB$200,0)),"n/d"))</f>
        <v/>
      </c>
      <c r="AA571" s="59">
        <f>IF($T571="","",IF(COUNTIF('Resumo Grupos'!$AE$3:$AE$40,$T571)&gt;0,"NAO","SIM"))</f>
        <v/>
      </c>
    </row>
    <row r="572" ht="45.75" customHeight="1" s="60">
      <c r="A572" s="70" t="n">
        <v>1</v>
      </c>
      <c r="B572" s="71" t="n">
        <v>46163</v>
      </c>
      <c r="C572" s="71" t="n">
        <v>46197</v>
      </c>
      <c r="D572" s="70" t="n">
        <v>10012</v>
      </c>
      <c r="E572" s="72" t="inlineStr">
        <is>
          <t>SB COMERCIO LTDA</t>
        </is>
      </c>
      <c r="F572" s="70" t="n">
        <v>24</v>
      </c>
      <c r="G572" s="72" t="inlineStr">
        <is>
          <t>Compra a Prazo - Boletos</t>
        </is>
      </c>
      <c r="H572" s="70" t="n">
        <v>2110101</v>
      </c>
      <c r="I572" s="72" t="inlineStr">
        <is>
          <t>FORNECEDORES DE MERCADORIA</t>
        </is>
      </c>
      <c r="J572" s="70" t="n">
        <v>1131679</v>
      </c>
      <c r="L572" s="70" t="n">
        <v>1952294</v>
      </c>
      <c r="M572" s="72" t="inlineStr">
        <is>
          <t>04</t>
        </is>
      </c>
      <c r="N572" s="72" t="inlineStr">
        <is>
          <t>NFE</t>
        </is>
      </c>
      <c r="P572" s="70" t="n">
        <v>103</v>
      </c>
      <c r="Q572" s="72" t="inlineStr">
        <is>
          <t>MILKA FRANCIS</t>
        </is>
      </c>
      <c r="R572" s="72" t="inlineStr">
        <is>
          <t>ESTOQUE DE MERCADORIAS</t>
        </is>
      </c>
      <c r="S572" s="70" t="n">
        <v>1130101</v>
      </c>
      <c r="T572" s="72" t="inlineStr">
        <is>
          <t>MERCADORIAS P/REVENDA</t>
        </is>
      </c>
      <c r="U572" s="73" t="n">
        <v>2899.41</v>
      </c>
      <c r="W572" s="73" t="n">
        <v>0</v>
      </c>
      <c r="X572" s="72" t="inlineStr">
        <is>
          <t>NF 1952294 -4 MILKA</t>
        </is>
      </c>
      <c r="Z572" s="59">
        <f>IF($T572="","",IFERROR(INDEX('Resumo Grupos'!$AC$3:$AC$200,MATCH($T572,'Resumo Grupos'!$AB$3:$AB$200,0)),"n/d"))</f>
        <v/>
      </c>
      <c r="AA572" s="59">
        <f>IF($T572="","",IF(COUNTIF('Resumo Grupos'!$AE$3:$AE$40,$T572)&gt;0,"NAO","SIM"))</f>
        <v/>
      </c>
    </row>
    <row r="573" ht="45.75" customHeight="1" s="60">
      <c r="A573" s="70" t="n">
        <v>1</v>
      </c>
      <c r="B573" s="71" t="n">
        <v>46170</v>
      </c>
      <c r="C573" s="71" t="n">
        <v>46197</v>
      </c>
      <c r="D573" s="70" t="n">
        <v>1608</v>
      </c>
      <c r="E573" s="72" t="inlineStr">
        <is>
          <t>DISTRIBUIDORA LOPES LTDA</t>
        </is>
      </c>
      <c r="F573" s="70" t="n">
        <v>24</v>
      </c>
      <c r="G573" s="72" t="inlineStr">
        <is>
          <t>Compra a Prazo - Boletos</t>
        </is>
      </c>
      <c r="H573" s="70" t="n">
        <v>2110101</v>
      </c>
      <c r="I573" s="72" t="inlineStr">
        <is>
          <t>FORNECEDORES DE MERCADORIA</t>
        </is>
      </c>
      <c r="J573" s="70" t="n">
        <v>1167056</v>
      </c>
      <c r="L573" s="70" t="n">
        <v>1662315</v>
      </c>
      <c r="M573" s="72" t="inlineStr">
        <is>
          <t>01</t>
        </is>
      </c>
      <c r="N573" s="72" t="inlineStr">
        <is>
          <t>NFE</t>
        </is>
      </c>
      <c r="P573" s="70" t="n">
        <v>103</v>
      </c>
      <c r="Q573" s="72" t="inlineStr">
        <is>
          <t>MILKA FRANCIS</t>
        </is>
      </c>
      <c r="R573" s="72" t="inlineStr">
        <is>
          <t>ESTOQUE DE MERCADORIAS</t>
        </is>
      </c>
      <c r="S573" s="70" t="n">
        <v>1130101</v>
      </c>
      <c r="T573" s="72" t="inlineStr">
        <is>
          <t>MERCADORIAS P/REVENDA</t>
        </is>
      </c>
      <c r="U573" s="73" t="n">
        <v>1176.19</v>
      </c>
      <c r="W573" s="73" t="n">
        <v>0</v>
      </c>
      <c r="X573" s="72" t="inlineStr">
        <is>
          <t>NF 1662315 - MILKA</t>
        </is>
      </c>
      <c r="Z573" s="59">
        <f>IF($T573="","",IFERROR(INDEX('Resumo Grupos'!$AC$3:$AC$200,MATCH($T573,'Resumo Grupos'!$AB$3:$AB$200,0)),"n/d"))</f>
        <v/>
      </c>
      <c r="AA573" s="59">
        <f>IF($T573="","",IF(COUNTIF('Resumo Grupos'!$AE$3:$AE$40,$T573)&gt;0,"NAO","SIM"))</f>
        <v/>
      </c>
    </row>
    <row r="574" ht="27.75" customHeight="1" s="60">
      <c r="A574" s="70" t="n">
        <v>1</v>
      </c>
      <c r="B574" s="71" t="n">
        <v>46170</v>
      </c>
      <c r="C574" s="71" t="n">
        <v>46197</v>
      </c>
      <c r="D574" s="70" t="n">
        <v>1668</v>
      </c>
      <c r="E574" s="72" t="inlineStr">
        <is>
          <t>NATUREZA COMERCIO DE DESCARTAVEIS LTDA</t>
        </is>
      </c>
      <c r="F574" s="70" t="n">
        <v>24</v>
      </c>
      <c r="G574" s="72" t="inlineStr">
        <is>
          <t>Compra a Prazo - Boletos</t>
        </is>
      </c>
      <c r="H574" s="70" t="n">
        <v>2110102</v>
      </c>
      <c r="I574" s="72" t="inlineStr">
        <is>
          <t>OUTROS FORNECEDORES</t>
        </is>
      </c>
      <c r="J574" s="70" t="n">
        <v>1167817</v>
      </c>
      <c r="L574" s="70" t="n">
        <v>722979</v>
      </c>
      <c r="M574" s="72" t="inlineStr">
        <is>
          <t>01</t>
        </is>
      </c>
      <c r="N574" s="72" t="inlineStr">
        <is>
          <t>NFE</t>
        </is>
      </c>
      <c r="P574" s="70" t="n">
        <v>103</v>
      </c>
      <c r="Q574" s="72" t="inlineStr">
        <is>
          <t>MILKA FRANCIS</t>
        </is>
      </c>
      <c r="R574" s="72" t="inlineStr">
        <is>
          <t>DESPESAS OPERACIONAIS</t>
        </is>
      </c>
      <c r="S574" s="70" t="n">
        <v>4210204</v>
      </c>
      <c r="T574" s="72" t="inlineStr">
        <is>
          <t>MATERIAL DE CONSUMO</t>
        </is>
      </c>
      <c r="U574" s="73" t="n">
        <v>1487.84</v>
      </c>
      <c r="W574" s="73" t="n">
        <v>0</v>
      </c>
      <c r="X574" s="72" t="inlineStr">
        <is>
          <t>NF 722979 - MILKA</t>
        </is>
      </c>
      <c r="Z574" s="59">
        <f>IF($T574="","",IFERROR(INDEX('Resumo Grupos'!$AC$3:$AC$200,MATCH($T574,'Resumo Grupos'!$AB$3:$AB$200,0)),"n/d"))</f>
        <v/>
      </c>
      <c r="AA574" s="59">
        <f>IF($T574="","",IF(COUNTIF('Resumo Grupos'!$AE$3:$AE$40,$T574)&gt;0,"NAO","SIM"))</f>
        <v/>
      </c>
    </row>
    <row r="575" ht="27.75" customHeight="1" s="60">
      <c r="A575" s="70" t="n">
        <v>1</v>
      </c>
      <c r="B575" s="71" t="n">
        <v>46171</v>
      </c>
      <c r="C575" s="71" t="n">
        <v>46197</v>
      </c>
      <c r="D575" s="70" t="n">
        <v>1668</v>
      </c>
      <c r="E575" s="72" t="inlineStr">
        <is>
          <t>NATUREZA COMERCIO DE DESCARTAVEIS LTDA</t>
        </is>
      </c>
      <c r="F575" s="70" t="n">
        <v>24</v>
      </c>
      <c r="G575" s="72" t="inlineStr">
        <is>
          <t>Compra a Prazo - Boletos</t>
        </is>
      </c>
      <c r="H575" s="70" t="n">
        <v>2110101</v>
      </c>
      <c r="I575" s="72" t="inlineStr">
        <is>
          <t>FORNECEDORES DE MERCADORIA</t>
        </is>
      </c>
      <c r="J575" s="70" t="n">
        <v>1172093</v>
      </c>
      <c r="L575" s="70" t="n">
        <v>722978</v>
      </c>
      <c r="M575" s="72" t="inlineStr">
        <is>
          <t>01</t>
        </is>
      </c>
      <c r="N575" s="72" t="inlineStr">
        <is>
          <t>NFE</t>
        </is>
      </c>
      <c r="P575" s="70" t="n">
        <v>103</v>
      </c>
      <c r="Q575" s="72" t="inlineStr">
        <is>
          <t>MILKA FRANCIS</t>
        </is>
      </c>
      <c r="R575" s="72" t="inlineStr">
        <is>
          <t>ESTOQUE DE MERCADORIAS</t>
        </is>
      </c>
      <c r="S575" s="70" t="n">
        <v>1130101</v>
      </c>
      <c r="T575" s="72" t="inlineStr">
        <is>
          <t>MERCADORIAS P/REVENDA</t>
        </is>
      </c>
      <c r="U575" s="73" t="n">
        <v>393.31</v>
      </c>
      <c r="W575" s="73" t="n">
        <v>0</v>
      </c>
      <c r="X575" s="72" t="inlineStr">
        <is>
          <t>NF 722978 - MILKA</t>
        </is>
      </c>
      <c r="Z575" s="59">
        <f>IF($T575="","",IFERROR(INDEX('Resumo Grupos'!$AC$3:$AC$200,MATCH($T575,'Resumo Grupos'!$AB$3:$AB$200,0)),"n/d"))</f>
        <v/>
      </c>
      <c r="AA575" s="59">
        <f>IF($T575="","",IF(COUNTIF('Resumo Grupos'!$AE$3:$AE$40,$T575)&gt;0,"NAO","SIM"))</f>
        <v/>
      </c>
    </row>
    <row r="576" ht="36.75" customHeight="1" s="60">
      <c r="A576" s="70" t="n">
        <v>1</v>
      </c>
      <c r="B576" s="71" t="n">
        <v>46172</v>
      </c>
      <c r="C576" s="71" t="n">
        <v>46197</v>
      </c>
      <c r="D576" s="70" t="n">
        <v>607</v>
      </c>
      <c r="E576" s="72" t="inlineStr">
        <is>
          <t>PRIME PET DISTRIBUIDORA LTDA</t>
        </is>
      </c>
      <c r="F576" s="70" t="n">
        <v>24</v>
      </c>
      <c r="G576" s="72" t="inlineStr">
        <is>
          <t>Compra a Prazo - Boletos</t>
        </is>
      </c>
      <c r="H576" s="70" t="n">
        <v>2110101</v>
      </c>
      <c r="I576" s="72" t="inlineStr">
        <is>
          <t>FORNECEDORES DE MERCADORIA</t>
        </is>
      </c>
      <c r="J576" s="70" t="n">
        <v>1177249</v>
      </c>
      <c r="L576" s="70" t="n">
        <v>10589</v>
      </c>
      <c r="M576" s="72" t="inlineStr">
        <is>
          <t>02</t>
        </is>
      </c>
      <c r="N576" s="72" t="inlineStr">
        <is>
          <t>NFE</t>
        </is>
      </c>
      <c r="P576" s="70" t="n">
        <v>103</v>
      </c>
      <c r="Q576" s="72" t="inlineStr">
        <is>
          <t>MILKA FRANCIS</t>
        </is>
      </c>
      <c r="R576" s="72" t="inlineStr">
        <is>
          <t>ESTOQUE DE MERCADORIAS</t>
        </is>
      </c>
      <c r="S576" s="70" t="n">
        <v>1130101</v>
      </c>
      <c r="T576" s="72" t="inlineStr">
        <is>
          <t>MERCADORIAS P/REVENDA</t>
        </is>
      </c>
      <c r="U576" s="73" t="n">
        <v>1060.9</v>
      </c>
      <c r="W576" s="73" t="n">
        <v>0</v>
      </c>
      <c r="X576" s="72" t="inlineStr">
        <is>
          <t>NF 10589-02/05 MILKA</t>
        </is>
      </c>
      <c r="Z576" s="59">
        <f>IF($T576="","",IFERROR(INDEX('Resumo Grupos'!$AC$3:$AC$200,MATCH($T576,'Resumo Grupos'!$AB$3:$AB$200,0)),"n/d"))</f>
        <v/>
      </c>
      <c r="AA576" s="59">
        <f>IF($T576="","",IF(COUNTIF('Resumo Grupos'!$AE$3:$AE$40,$T576)&gt;0,"NAO","SIM"))</f>
        <v/>
      </c>
    </row>
    <row r="577" ht="36.75" customHeight="1" s="60">
      <c r="A577" s="70" t="n">
        <v>1</v>
      </c>
      <c r="B577" s="71" t="n">
        <v>46178</v>
      </c>
      <c r="C577" s="71" t="n">
        <v>46197</v>
      </c>
      <c r="D577" s="70" t="n">
        <v>1608</v>
      </c>
      <c r="E577" s="72" t="inlineStr">
        <is>
          <t>DISTRIBUIDORA LOPES LTDA</t>
        </is>
      </c>
      <c r="F577" s="70" t="n">
        <v>24</v>
      </c>
      <c r="G577" s="72" t="inlineStr">
        <is>
          <t>Compra a Prazo - Boletos</t>
        </is>
      </c>
      <c r="H577" s="70" t="n">
        <v>2110101</v>
      </c>
      <c r="I577" s="72" t="inlineStr">
        <is>
          <t>FORNECEDORES DE MERCADORIA</t>
        </is>
      </c>
      <c r="J577" s="70" t="n">
        <v>1207747</v>
      </c>
      <c r="L577" s="70" t="n">
        <v>1667674</v>
      </c>
      <c r="M577" s="72" t="inlineStr">
        <is>
          <t>01</t>
        </is>
      </c>
      <c r="N577" s="72" t="inlineStr">
        <is>
          <t>NFE</t>
        </is>
      </c>
      <c r="P577" s="70" t="n">
        <v>103</v>
      </c>
      <c r="Q577" s="72" t="inlineStr">
        <is>
          <t>MILKA FRANCIS</t>
        </is>
      </c>
      <c r="R577" s="72" t="inlineStr">
        <is>
          <t>ESTOQUE DE MERCADORIAS</t>
        </is>
      </c>
      <c r="S577" s="70" t="n">
        <v>1130101</v>
      </c>
      <c r="T577" s="72" t="inlineStr">
        <is>
          <t>MERCADORIAS P/REVENDA</t>
        </is>
      </c>
      <c r="U577" s="73" t="n">
        <v>1541.96</v>
      </c>
      <c r="W577" s="73" t="n">
        <v>0</v>
      </c>
      <c r="X577" s="72" t="inlineStr">
        <is>
          <t>NF 1667674 - MILKA</t>
        </is>
      </c>
      <c r="Z577" s="59">
        <f>IF($T577="","",IFERROR(INDEX('Resumo Grupos'!$AC$3:$AC$200,MATCH($T577,'Resumo Grupos'!$AB$3:$AB$200,0)),"n/d"))</f>
        <v/>
      </c>
      <c r="AA577" s="59">
        <f>IF($T577="","",IF(COUNTIF('Resumo Grupos'!$AE$3:$AE$40,$T577)&gt;0,"NAO","SIM"))</f>
        <v/>
      </c>
    </row>
    <row r="578" ht="45.75" customHeight="1" s="60">
      <c r="A578" s="70" t="n">
        <v>1</v>
      </c>
      <c r="B578" s="71" t="n">
        <v>46182</v>
      </c>
      <c r="C578" s="71" t="n">
        <v>46197</v>
      </c>
      <c r="D578" s="70" t="n">
        <v>1612</v>
      </c>
      <c r="E578" s="72" t="inlineStr">
        <is>
          <t>EMPRESA BRASILEIRA DE DISTRIBUICAO LTDA</t>
        </is>
      </c>
      <c r="F578" s="70" t="n">
        <v>24</v>
      </c>
      <c r="G578" s="72" t="inlineStr">
        <is>
          <t>Compra a Prazo - Boletos</t>
        </is>
      </c>
      <c r="H578" s="70" t="n">
        <v>2110101</v>
      </c>
      <c r="I578" s="72" t="inlineStr">
        <is>
          <t>FORNECEDORES DE MERCADORIA</t>
        </is>
      </c>
      <c r="J578" s="70" t="n">
        <v>1227467</v>
      </c>
      <c r="L578" s="70" t="n">
        <v>2290278</v>
      </c>
      <c r="M578" s="72" t="inlineStr">
        <is>
          <t>01</t>
        </is>
      </c>
      <c r="N578" s="72" t="inlineStr">
        <is>
          <t>NFE</t>
        </is>
      </c>
      <c r="P578" s="70" t="n">
        <v>103</v>
      </c>
      <c r="Q578" s="72" t="inlineStr">
        <is>
          <t>MILKA FRANCIS</t>
        </is>
      </c>
      <c r="R578" s="72" t="inlineStr">
        <is>
          <t>ESTOQUE DE MERCADORIAS</t>
        </is>
      </c>
      <c r="S578" s="70" t="n">
        <v>1130101</v>
      </c>
      <c r="T578" s="72" t="inlineStr">
        <is>
          <t>MERCADORIAS P/REVENDA</t>
        </is>
      </c>
      <c r="U578" s="73" t="n">
        <v>1303.9</v>
      </c>
      <c r="W578" s="73" t="n">
        <v>0</v>
      </c>
      <c r="X578" s="72" t="inlineStr">
        <is>
          <t>NF 2290278 - MILKA</t>
        </is>
      </c>
      <c r="Z578" s="59">
        <f>IF($T578="","",IFERROR(INDEX('Resumo Grupos'!$AC$3:$AC$200,MATCH($T578,'Resumo Grupos'!$AB$3:$AB$200,0)),"n/d"))</f>
        <v/>
      </c>
      <c r="AA578" s="59">
        <f>IF($T578="","",IF(COUNTIF('Resumo Grupos'!$AE$3:$AE$40,$T578)&gt;0,"NAO","SIM"))</f>
        <v/>
      </c>
    </row>
    <row r="579" ht="36.75" customHeight="1" s="60">
      <c r="A579" s="70" t="n">
        <v>1</v>
      </c>
      <c r="B579" s="71" t="n">
        <v>46184</v>
      </c>
      <c r="C579" s="71" t="n">
        <v>46197</v>
      </c>
      <c r="D579" s="70" t="n">
        <v>1612</v>
      </c>
      <c r="E579" s="72" t="inlineStr">
        <is>
          <t>EMPRESA BRASILEIRA DE DISTRIBUICAO LTDA</t>
        </is>
      </c>
      <c r="F579" s="70" t="n">
        <v>24</v>
      </c>
      <c r="G579" s="72" t="inlineStr">
        <is>
          <t>Compra a Prazo - Boletos</t>
        </is>
      </c>
      <c r="H579" s="70" t="n">
        <v>2110101</v>
      </c>
      <c r="I579" s="72" t="inlineStr">
        <is>
          <t>FORNECEDORES DE MERCADORIA</t>
        </is>
      </c>
      <c r="J579" s="70" t="n">
        <v>1235909</v>
      </c>
      <c r="L579" s="70" t="n">
        <v>2291498</v>
      </c>
      <c r="M579" s="72" t="inlineStr">
        <is>
          <t>01</t>
        </is>
      </c>
      <c r="N579" s="72" t="inlineStr">
        <is>
          <t>NFE</t>
        </is>
      </c>
      <c r="P579" s="70" t="n">
        <v>103</v>
      </c>
      <c r="Q579" s="72" t="inlineStr">
        <is>
          <t>MILKA FRANCIS</t>
        </is>
      </c>
      <c r="R579" s="72" t="inlineStr">
        <is>
          <t>ESTOQUE DE MERCADORIAS</t>
        </is>
      </c>
      <c r="S579" s="70" t="n">
        <v>1130101</v>
      </c>
      <c r="T579" s="72" t="inlineStr">
        <is>
          <t>MERCADORIAS P/REVENDA</t>
        </is>
      </c>
      <c r="U579" s="73" t="n">
        <v>786.11</v>
      </c>
      <c r="W579" s="73" t="n">
        <v>0</v>
      </c>
      <c r="X579" s="72" t="inlineStr">
        <is>
          <t>NF 2291498-1 MILKA</t>
        </is>
      </c>
      <c r="Z579" s="59">
        <f>IF($T579="","",IFERROR(INDEX('Resumo Grupos'!$AC$3:$AC$200,MATCH($T579,'Resumo Grupos'!$AB$3:$AB$200,0)),"n/d"))</f>
        <v/>
      </c>
      <c r="AA579" s="59">
        <f>IF($T579="","",IF(COUNTIF('Resumo Grupos'!$AE$3:$AE$40,$T579)&gt;0,"NAO","SIM"))</f>
        <v/>
      </c>
    </row>
    <row r="580" ht="36.75" customHeight="1" s="60">
      <c r="A580" s="70" t="n">
        <v>1</v>
      </c>
      <c r="B580" s="71" t="n">
        <v>46189</v>
      </c>
      <c r="C580" s="71" t="n">
        <v>46197</v>
      </c>
      <c r="D580" s="70" t="n">
        <v>1613</v>
      </c>
      <c r="E580" s="72" t="inlineStr">
        <is>
          <t>BRF S A</t>
        </is>
      </c>
      <c r="F580" s="70" t="n">
        <v>24</v>
      </c>
      <c r="G580" s="72" t="inlineStr">
        <is>
          <t>Compra a Prazo - Boletos</t>
        </is>
      </c>
      <c r="H580" s="70" t="n">
        <v>2110101</v>
      </c>
      <c r="I580" s="72" t="inlineStr">
        <is>
          <t>FORNECEDORES DE MERCADORIA</t>
        </is>
      </c>
      <c r="J580" s="70" t="n">
        <v>1260864</v>
      </c>
      <c r="L580" s="70" t="n">
        <v>1595987</v>
      </c>
      <c r="M580" s="72" t="inlineStr">
        <is>
          <t>01</t>
        </is>
      </c>
      <c r="N580" s="72" t="inlineStr">
        <is>
          <t>NFE</t>
        </is>
      </c>
      <c r="P580" s="70" t="n">
        <v>103</v>
      </c>
      <c r="Q580" s="72" t="inlineStr">
        <is>
          <t>MILKA FRANCIS</t>
        </is>
      </c>
      <c r="R580" s="72" t="inlineStr">
        <is>
          <t>ESTOQUE DE MERCADORIAS</t>
        </is>
      </c>
      <c r="S580" s="70" t="n">
        <v>1130101</v>
      </c>
      <c r="T580" s="72" t="inlineStr">
        <is>
          <t>MERCADORIAS P/REVENDA</t>
        </is>
      </c>
      <c r="U580" s="73" t="n">
        <v>5942.06</v>
      </c>
      <c r="W580" s="73" t="n">
        <v>0</v>
      </c>
      <c r="X580" s="72" t="inlineStr">
        <is>
          <t>NF 1595987-01/02 - MILKA</t>
        </is>
      </c>
      <c r="Z580" s="59">
        <f>IF($T580="","",IFERROR(INDEX('Resumo Grupos'!$AC$3:$AC$200,MATCH($T580,'Resumo Grupos'!$AB$3:$AB$200,0)),"n/d"))</f>
        <v/>
      </c>
      <c r="AA580" s="59">
        <f>IF($T580="","",IF(COUNTIF('Resumo Grupos'!$AE$3:$AE$40,$T580)&gt;0,"NAO","SIM"))</f>
        <v/>
      </c>
    </row>
    <row r="581" ht="36.75" customHeight="1" s="60">
      <c r="A581" s="70" t="n">
        <v>1</v>
      </c>
      <c r="B581" s="71" t="n">
        <v>46190</v>
      </c>
      <c r="C581" s="71" t="n">
        <v>46197</v>
      </c>
      <c r="D581" s="70" t="n">
        <v>10009</v>
      </c>
      <c r="E581" s="72" t="inlineStr">
        <is>
          <t>NESTLÉ BRASIL LTDA.</t>
        </is>
      </c>
      <c r="F581" s="70" t="n">
        <v>24</v>
      </c>
      <c r="G581" s="72" t="inlineStr">
        <is>
          <t>Compra a Prazo - Boletos</t>
        </is>
      </c>
      <c r="H581" s="70" t="n">
        <v>2110101</v>
      </c>
      <c r="I581" s="72" t="inlineStr">
        <is>
          <t>FORNECEDORES DE MERCADORIA</t>
        </is>
      </c>
      <c r="J581" s="70" t="n">
        <v>1265196</v>
      </c>
      <c r="L581" s="70" t="n">
        <v>1414636</v>
      </c>
      <c r="M581" s="72" t="inlineStr">
        <is>
          <t>02</t>
        </is>
      </c>
      <c r="N581" s="72" t="inlineStr">
        <is>
          <t>NFE</t>
        </is>
      </c>
      <c r="P581" s="70" t="n">
        <v>103</v>
      </c>
      <c r="Q581" s="72" t="inlineStr">
        <is>
          <t>MILKA FRANCIS</t>
        </is>
      </c>
      <c r="R581" s="72" t="inlineStr">
        <is>
          <t>ESTOQUE DE MERCADORIAS</t>
        </is>
      </c>
      <c r="S581" s="70" t="n">
        <v>1130101</v>
      </c>
      <c r="T581" s="72" t="inlineStr">
        <is>
          <t>MERCADORIAS P/REVENDA</t>
        </is>
      </c>
      <c r="U581" s="73" t="n">
        <v>1356.17</v>
      </c>
      <c r="W581" s="73" t="n">
        <v>0</v>
      </c>
      <c r="X581" s="72" t="inlineStr">
        <is>
          <t>NF 1414636 -02 MILKA</t>
        </is>
      </c>
      <c r="Z581" s="59">
        <f>IF($T581="","",IFERROR(INDEX('Resumo Grupos'!$AC$3:$AC$200,MATCH($T581,'Resumo Grupos'!$AB$3:$AB$200,0)),"n/d"))</f>
        <v/>
      </c>
      <c r="AA581" s="59">
        <f>IF($T581="","",IF(COUNTIF('Resumo Grupos'!$AE$3:$AE$40,$T581)&gt;0,"NAO","SIM"))</f>
        <v/>
      </c>
    </row>
    <row r="582" ht="36.75" customHeight="1" s="60">
      <c r="A582" s="70" t="n">
        <v>1</v>
      </c>
      <c r="B582" s="71" t="n">
        <v>46190</v>
      </c>
      <c r="C582" s="71" t="n">
        <v>46197</v>
      </c>
      <c r="D582" s="70" t="n">
        <v>10065</v>
      </c>
      <c r="E582" s="72" t="inlineStr">
        <is>
          <t>64.225.624 ROBERTO REIS AROUCHE</t>
        </is>
      </c>
      <c r="F582" s="70" t="n">
        <v>24</v>
      </c>
      <c r="G582" s="72" t="inlineStr">
        <is>
          <t>Compra a Prazo - Boletos</t>
        </is>
      </c>
      <c r="H582" s="70" t="n">
        <v>2110101</v>
      </c>
      <c r="I582" s="72" t="inlineStr">
        <is>
          <t>FORNECEDORES DE MERCADORIA</t>
        </is>
      </c>
      <c r="J582" s="70" t="n">
        <v>1266127</v>
      </c>
      <c r="L582" s="70" t="n">
        <v>58</v>
      </c>
      <c r="M582" s="72" t="inlineStr">
        <is>
          <t>01</t>
        </is>
      </c>
      <c r="N582" s="72" t="inlineStr">
        <is>
          <t>NFE</t>
        </is>
      </c>
      <c r="P582" s="70" t="n">
        <v>103</v>
      </c>
      <c r="Q582" s="72" t="inlineStr">
        <is>
          <t>MILKA FRANCIS</t>
        </is>
      </c>
      <c r="R582" s="72" t="inlineStr">
        <is>
          <t>ESTOQUE DE MERCADORIAS</t>
        </is>
      </c>
      <c r="S582" s="70" t="n">
        <v>1130101</v>
      </c>
      <c r="T582" s="72" t="inlineStr">
        <is>
          <t>MERCADORIAS P/REVENDA</t>
        </is>
      </c>
      <c r="U582" s="73" t="n">
        <v>144</v>
      </c>
      <c r="W582" s="73" t="n">
        <v>0</v>
      </c>
      <c r="X582" s="72" t="inlineStr">
        <is>
          <t xml:space="preserve">NF 58 AROUCHE - MILKA </t>
        </is>
      </c>
      <c r="Z582" s="59">
        <f>IF($T582="","",IFERROR(INDEX('Resumo Grupos'!$AC$3:$AC$200,MATCH($T582,'Resumo Grupos'!$AB$3:$AB$200,0)),"n/d"))</f>
        <v/>
      </c>
      <c r="AA582" s="59">
        <f>IF($T582="","",IF(COUNTIF('Resumo Grupos'!$AE$3:$AE$40,$T582)&gt;0,"NAO","SIM"))</f>
        <v/>
      </c>
    </row>
    <row r="583" ht="36.75" customHeight="1" s="60">
      <c r="A583" s="70" t="n">
        <v>1</v>
      </c>
      <c r="B583" s="71" t="n">
        <v>46191</v>
      </c>
      <c r="C583" s="71" t="n">
        <v>46197</v>
      </c>
      <c r="D583" s="70" t="n">
        <v>1363</v>
      </c>
      <c r="E583" s="72" t="inlineStr">
        <is>
          <t>JAB COMERCIO DE PRODUTOS ALIMENTICIOS LT</t>
        </is>
      </c>
      <c r="F583" s="70" t="n">
        <v>24</v>
      </c>
      <c r="G583" s="72" t="inlineStr">
        <is>
          <t>Compra a Prazo - Boletos</t>
        </is>
      </c>
      <c r="H583" s="70" t="n">
        <v>2110101</v>
      </c>
      <c r="I583" s="72" t="inlineStr">
        <is>
          <t>FORNECEDORES DE MERCADORIA</t>
        </is>
      </c>
      <c r="J583" s="70" t="n">
        <v>1269857</v>
      </c>
      <c r="L583" s="70" t="n">
        <v>3394</v>
      </c>
      <c r="M583" s="72" t="inlineStr">
        <is>
          <t>01</t>
        </is>
      </c>
      <c r="N583" s="72" t="inlineStr">
        <is>
          <t>NFE</t>
        </is>
      </c>
      <c r="P583" s="70" t="n">
        <v>103</v>
      </c>
      <c r="Q583" s="72" t="inlineStr">
        <is>
          <t>MILKA FRANCIS</t>
        </is>
      </c>
      <c r="R583" s="72" t="inlineStr">
        <is>
          <t>ESTOQUE DE MERCADORIAS</t>
        </is>
      </c>
      <c r="S583" s="70" t="n">
        <v>1130101</v>
      </c>
      <c r="T583" s="72" t="inlineStr">
        <is>
          <t>MERCADORIAS P/REVENDA</t>
        </is>
      </c>
      <c r="U583" s="73" t="n">
        <v>310</v>
      </c>
      <c r="W583" s="73" t="n">
        <v>0</v>
      </c>
      <c r="X583" s="72" t="inlineStr">
        <is>
          <t>NF 3394 SANTO PAO - MILKA</t>
        </is>
      </c>
      <c r="Z583" s="59">
        <f>IF($T583="","",IFERROR(INDEX('Resumo Grupos'!$AC$3:$AC$200,MATCH($T583,'Resumo Grupos'!$AB$3:$AB$200,0)),"n/d"))</f>
        <v/>
      </c>
      <c r="AA583" s="59">
        <f>IF($T583="","",IF(COUNTIF('Resumo Grupos'!$AE$3:$AE$40,$T583)&gt;0,"NAO","SIM"))</f>
        <v/>
      </c>
    </row>
    <row r="584" ht="36.75" customHeight="1" s="60">
      <c r="A584" s="70" t="n">
        <v>1</v>
      </c>
      <c r="B584" s="71" t="n">
        <v>46192</v>
      </c>
      <c r="C584" s="71" t="n">
        <v>46197</v>
      </c>
      <c r="D584" s="70" t="n">
        <v>1819</v>
      </c>
      <c r="E584" s="72" t="inlineStr">
        <is>
          <t>LELE FABRICACAO DE MASSAS LTDA</t>
        </is>
      </c>
      <c r="F584" s="70" t="n">
        <v>24</v>
      </c>
      <c r="G584" s="72" t="inlineStr">
        <is>
          <t>Compra a Prazo - Boletos</t>
        </is>
      </c>
      <c r="H584" s="70" t="n">
        <v>2110101</v>
      </c>
      <c r="I584" s="72" t="inlineStr">
        <is>
          <t>FORNECEDORES DE MERCADORIA</t>
        </is>
      </c>
      <c r="J584" s="70" t="n">
        <v>1272440</v>
      </c>
      <c r="L584" s="70" t="n">
        <v>16062</v>
      </c>
      <c r="M584" s="72" t="inlineStr">
        <is>
          <t>01</t>
        </is>
      </c>
      <c r="N584" s="72" t="inlineStr">
        <is>
          <t>NFE</t>
        </is>
      </c>
      <c r="P584" s="70" t="n">
        <v>103</v>
      </c>
      <c r="Q584" s="72" t="inlineStr">
        <is>
          <t>MILKA FRANCIS</t>
        </is>
      </c>
      <c r="R584" s="72" t="inlineStr">
        <is>
          <t>ESTOQUE DE MERCADORIAS</t>
        </is>
      </c>
      <c r="S584" s="70" t="n">
        <v>1130101</v>
      </c>
      <c r="T584" s="72" t="inlineStr">
        <is>
          <t>MERCADORIAS P/REVENDA</t>
        </is>
      </c>
      <c r="U584" s="73" t="n">
        <v>480</v>
      </c>
      <c r="W584" s="73" t="n">
        <v>0</v>
      </c>
      <c r="X584" s="72" t="inlineStr">
        <is>
          <t>NF16062 - MILKA</t>
        </is>
      </c>
      <c r="Z584" s="59">
        <f>IF($T584="","",IFERROR(INDEX('Resumo Grupos'!$AC$3:$AC$200,MATCH($T584,'Resumo Grupos'!$AB$3:$AB$200,0)),"n/d"))</f>
        <v/>
      </c>
      <c r="AA584" s="59">
        <f>IF($T584="","",IF(COUNTIF('Resumo Grupos'!$AE$3:$AE$40,$T584)&gt;0,"NAO","SIM"))</f>
        <v/>
      </c>
    </row>
    <row r="585" ht="36.75" customHeight="1" s="60">
      <c r="A585" s="70" t="n">
        <v>1</v>
      </c>
      <c r="B585" s="71" t="n">
        <v>46195</v>
      </c>
      <c r="C585" s="71" t="n">
        <v>46197</v>
      </c>
      <c r="D585" s="70" t="n">
        <v>1899</v>
      </c>
      <c r="E585" s="72" t="inlineStr">
        <is>
          <t>PANIFICADORA E CONFEITARIA REAL MADRI LTDA</t>
        </is>
      </c>
      <c r="F585" s="70" t="n">
        <v>24</v>
      </c>
      <c r="G585" s="72" t="inlineStr">
        <is>
          <t>Compra a Prazo - Boletos</t>
        </is>
      </c>
      <c r="H585" s="70" t="n">
        <v>2110101</v>
      </c>
      <c r="I585" s="72" t="inlineStr">
        <is>
          <t>FORNECEDORES DE MERCADORIA</t>
        </is>
      </c>
      <c r="J585" s="70" t="n">
        <v>1289255</v>
      </c>
      <c r="L585" s="70" t="n">
        <v>671</v>
      </c>
      <c r="M585" s="72" t="inlineStr">
        <is>
          <t>01</t>
        </is>
      </c>
      <c r="N585" s="72" t="inlineStr">
        <is>
          <t>NFE</t>
        </is>
      </c>
      <c r="P585" s="70" t="n">
        <v>103</v>
      </c>
      <c r="Q585" s="72" t="inlineStr">
        <is>
          <t>MILKA FRANCIS</t>
        </is>
      </c>
      <c r="R585" s="72" t="inlineStr">
        <is>
          <t>ESTOQUE DE MERCADORIAS</t>
        </is>
      </c>
      <c r="S585" s="70" t="n">
        <v>1130101</v>
      </c>
      <c r="T585" s="72" t="inlineStr">
        <is>
          <t>MERCADORIAS P/REVENDA</t>
        </is>
      </c>
      <c r="U585" s="73" t="n">
        <v>750</v>
      </c>
      <c r="W585" s="73" t="n">
        <v>0</v>
      </c>
      <c r="X585" s="72" t="inlineStr">
        <is>
          <t>NF 671 - MILKA</t>
        </is>
      </c>
      <c r="Z585" s="59">
        <f>IF($T585="","",IFERROR(INDEX('Resumo Grupos'!$AC$3:$AC$200,MATCH($T585,'Resumo Grupos'!$AB$3:$AB$200,0)),"n/d"))</f>
        <v/>
      </c>
      <c r="AA585" s="59">
        <f>IF($T585="","",IF(COUNTIF('Resumo Grupos'!$AE$3:$AE$40,$T585)&gt;0,"NAO","SIM"))</f>
        <v/>
      </c>
    </row>
    <row r="586" ht="36.75" customHeight="1" s="60">
      <c r="A586" s="70" t="n">
        <v>1</v>
      </c>
      <c r="B586" s="71" t="n">
        <v>46195</v>
      </c>
      <c r="C586" s="71" t="n">
        <v>46197</v>
      </c>
      <c r="D586" s="70" t="n">
        <v>1614</v>
      </c>
      <c r="E586" s="72" t="inlineStr">
        <is>
          <t>C. R. PARENTE ABREU</t>
        </is>
      </c>
      <c r="F586" s="70" t="n">
        <v>24</v>
      </c>
      <c r="G586" s="72" t="inlineStr">
        <is>
          <t>Compra a Prazo - Boletos</t>
        </is>
      </c>
      <c r="H586" s="70" t="n">
        <v>2110101</v>
      </c>
      <c r="I586" s="72" t="inlineStr">
        <is>
          <t>FORNECEDORES DE MERCADORIA</t>
        </is>
      </c>
      <c r="J586" s="70" t="n">
        <v>1289995</v>
      </c>
      <c r="L586" s="70" t="n">
        <v>11298</v>
      </c>
      <c r="M586" s="72" t="inlineStr">
        <is>
          <t>01</t>
        </is>
      </c>
      <c r="N586" s="72" t="inlineStr">
        <is>
          <t>NFE</t>
        </is>
      </c>
      <c r="P586" s="70" t="n">
        <v>103</v>
      </c>
      <c r="Q586" s="72" t="inlineStr">
        <is>
          <t>MILKA FRANCIS</t>
        </is>
      </c>
      <c r="R586" s="72" t="inlineStr">
        <is>
          <t>ESTOQUE DE MERCADORIAS</t>
        </is>
      </c>
      <c r="S586" s="70" t="n">
        <v>1130101</v>
      </c>
      <c r="T586" s="72" t="inlineStr">
        <is>
          <t>MERCADORIAS P/REVENDA</t>
        </is>
      </c>
      <c r="U586" s="73" t="n">
        <v>364.8</v>
      </c>
      <c r="W586" s="73" t="n">
        <v>0</v>
      </c>
      <c r="X586" s="72" t="inlineStr">
        <is>
          <t>NF11298-1 MILKA</t>
        </is>
      </c>
      <c r="Z586" s="59">
        <f>IF($T586="","",IFERROR(INDEX('Resumo Grupos'!$AC$3:$AC$200,MATCH($T586,'Resumo Grupos'!$AB$3:$AB$200,0)),"n/d"))</f>
        <v/>
      </c>
      <c r="AA586" s="59">
        <f>IF($T586="","",IF(COUNTIF('Resumo Grupos'!$AE$3:$AE$40,$T586)&gt;0,"NAO","SIM"))</f>
        <v/>
      </c>
    </row>
    <row r="587" ht="54.75" customHeight="1" s="60">
      <c r="A587" s="70" t="n">
        <v>1</v>
      </c>
      <c r="B587" s="71" t="n">
        <v>46196</v>
      </c>
      <c r="C587" s="71" t="n">
        <v>46197</v>
      </c>
      <c r="D587" s="70" t="n">
        <v>33</v>
      </c>
      <c r="E587" s="72" t="inlineStr">
        <is>
          <t>RENATO DE O AZEVEDO E CIA LTDA - EPP</t>
        </is>
      </c>
      <c r="F587" s="70" t="n">
        <v>34</v>
      </c>
      <c r="G587" s="72" t="inlineStr">
        <is>
          <t>Transferencia Pix</t>
        </is>
      </c>
      <c r="H587" s="70" t="n">
        <v>2110101</v>
      </c>
      <c r="I587" s="72" t="inlineStr">
        <is>
          <t>FORNECEDORES DE MERCADORIA</t>
        </is>
      </c>
      <c r="J587" s="70" t="n">
        <v>1295699</v>
      </c>
      <c r="L587" s="70" t="n">
        <v>5170</v>
      </c>
      <c r="M587" s="72" t="inlineStr">
        <is>
          <t>01</t>
        </is>
      </c>
      <c r="N587" s="72" t="inlineStr">
        <is>
          <t>NFE</t>
        </is>
      </c>
      <c r="P587" s="70" t="n">
        <v>104</v>
      </c>
      <c r="Q587" s="72" t="inlineStr">
        <is>
          <t>DEBORA COSTA</t>
        </is>
      </c>
      <c r="R587" s="72" t="inlineStr">
        <is>
          <t>ESTOQUE DE MERCADORIAS</t>
        </is>
      </c>
      <c r="S587" s="70" t="n">
        <v>1130101</v>
      </c>
      <c r="T587" s="72" t="inlineStr">
        <is>
          <t>MERCADORIAS P/REVENDA</t>
        </is>
      </c>
      <c r="U587" s="73" t="n">
        <v>1323</v>
      </c>
      <c r="W587" s="73" t="n">
        <v>0</v>
      </c>
      <c r="X587" s="72" t="inlineStr">
        <is>
          <t>FEIRA CARLOS - DEBORA</t>
        </is>
      </c>
      <c r="Z587" s="59">
        <f>IF($T587="","",IFERROR(INDEX('Resumo Grupos'!$AC$3:$AC$200,MATCH($T587,'Resumo Grupos'!$AB$3:$AB$200,0)),"n/d"))</f>
        <v/>
      </c>
      <c r="AA587" s="59">
        <f>IF($T587="","",IF(COUNTIF('Resumo Grupos'!$AE$3:$AE$40,$T587)&gt;0,"NAO","SIM"))</f>
        <v/>
      </c>
    </row>
    <row r="588" ht="54.75" customHeight="1" s="60">
      <c r="A588" s="70" t="n">
        <v>1</v>
      </c>
      <c r="B588" s="71" t="n">
        <v>46196</v>
      </c>
      <c r="C588" s="71" t="n">
        <v>46197</v>
      </c>
      <c r="D588" s="70" t="n">
        <v>1615</v>
      </c>
      <c r="E588" s="72" t="inlineStr">
        <is>
          <t>COMERCIO E TRANSPORTE BRANDAO LTDA</t>
        </is>
      </c>
      <c r="F588" s="70" t="n">
        <v>34</v>
      </c>
      <c r="G588" s="72" t="inlineStr">
        <is>
          <t>Transferencia Pix</t>
        </is>
      </c>
      <c r="H588" s="70" t="n">
        <v>2110101</v>
      </c>
      <c r="I588" s="72" t="inlineStr">
        <is>
          <t>FORNECEDORES DE MERCADORIA</t>
        </is>
      </c>
      <c r="J588" s="70" t="n">
        <v>1295750</v>
      </c>
      <c r="L588" s="70" t="n">
        <v>14736</v>
      </c>
      <c r="M588" s="72" t="inlineStr">
        <is>
          <t>01</t>
        </is>
      </c>
      <c r="N588" s="72" t="inlineStr">
        <is>
          <t>NFE</t>
        </is>
      </c>
      <c r="P588" s="70" t="n">
        <v>104</v>
      </c>
      <c r="Q588" s="72" t="inlineStr">
        <is>
          <t>DEBORA COSTA</t>
        </is>
      </c>
      <c r="R588" s="72" t="inlineStr">
        <is>
          <t>ESTOQUE DE MERCADORIAS</t>
        </is>
      </c>
      <c r="S588" s="70" t="n">
        <v>1130101</v>
      </c>
      <c r="T588" s="72" t="inlineStr">
        <is>
          <t>MERCADORIAS P/REVENDA</t>
        </is>
      </c>
      <c r="U588" s="73" t="n">
        <v>390</v>
      </c>
      <c r="W588" s="73" t="n">
        <v>0</v>
      </c>
      <c r="X588" s="72" t="inlineStr">
        <is>
          <t>NF 14736 - DEBORA</t>
        </is>
      </c>
      <c r="Z588" s="59">
        <f>IF($T588="","",IFERROR(INDEX('Resumo Grupos'!$AC$3:$AC$200,MATCH($T588,'Resumo Grupos'!$AB$3:$AB$200,0)),"n/d"))</f>
        <v/>
      </c>
      <c r="AA588" s="59">
        <f>IF($T588="","",IF(COUNTIF('Resumo Grupos'!$AE$3:$AE$40,$T588)&gt;0,"NAO","SIM"))</f>
        <v/>
      </c>
    </row>
    <row r="589" ht="36.75" customHeight="1" s="60">
      <c r="A589" s="70" t="n">
        <v>1</v>
      </c>
      <c r="B589" s="71" t="n">
        <v>46198</v>
      </c>
      <c r="C589" s="71" t="n">
        <v>46197</v>
      </c>
      <c r="D589" s="70" t="n">
        <v>536</v>
      </c>
      <c r="E589" s="72" t="inlineStr">
        <is>
          <t xml:space="preserve">X TEC TECNOLOGIA </t>
        </is>
      </c>
      <c r="F589" s="70" t="n">
        <v>24</v>
      </c>
      <c r="G589" s="72" t="inlineStr">
        <is>
          <t>Compra a Prazo - Boletos</t>
        </is>
      </c>
      <c r="H589" s="70" t="n">
        <v>2110405</v>
      </c>
      <c r="I589" s="72" t="inlineStr">
        <is>
          <t>CONTAS A PAGAR</t>
        </is>
      </c>
      <c r="J589" s="70" t="n">
        <v>847424</v>
      </c>
      <c r="L589" s="70" t="n">
        <v>363545</v>
      </c>
      <c r="M589" s="72" t="inlineStr">
        <is>
          <t>04</t>
        </is>
      </c>
      <c r="N589" s="72" t="inlineStr">
        <is>
          <t>AVU</t>
        </is>
      </c>
      <c r="P589" s="70" t="n">
        <v>102</v>
      </c>
      <c r="Q589" s="72" t="inlineStr">
        <is>
          <t>ANDREZA ANDRADE</t>
        </is>
      </c>
      <c r="R589" s="72" t="inlineStr">
        <is>
          <t>DESPESAS OPERACIONAIS</t>
        </is>
      </c>
      <c r="S589" s="70" t="n">
        <v>4210227</v>
      </c>
      <c r="T589" s="72" t="inlineStr">
        <is>
          <t>DESPESAS LOJA</t>
        </is>
      </c>
      <c r="U589" s="73" t="n">
        <v>1001.34</v>
      </c>
      <c r="W589" s="73" t="n">
        <v>0</v>
      </c>
      <c r="X589" s="72" t="inlineStr">
        <is>
          <t>BOLETO ENERGIA  SOLAR PRESTIMO MO1-ANDREZA</t>
        </is>
      </c>
      <c r="Z589" s="59">
        <f>IF($T589="","",IFERROR(INDEX('Resumo Grupos'!$AC$3:$AC$200,MATCH($T589,'Resumo Grupos'!$AB$3:$AB$200,0)),"n/d"))</f>
        <v/>
      </c>
      <c r="AA589" s="59">
        <f>IF($T589="","",IF(COUNTIF('Resumo Grupos'!$AE$3:$AE$40,$T589)&gt;0,"NAO","SIM"))</f>
        <v/>
      </c>
    </row>
    <row r="590" ht="36.75" customHeight="1" s="60">
      <c r="A590" s="70" t="n">
        <v>1</v>
      </c>
      <c r="B590" s="71" t="n">
        <v>46197</v>
      </c>
      <c r="C590" s="71" t="n">
        <v>46197</v>
      </c>
      <c r="D590" s="70" t="n">
        <v>10086</v>
      </c>
      <c r="E590" s="72" t="inlineStr">
        <is>
          <t>66.356.670 FRANCISCO CARLOS FERNANDES COSTA</t>
        </is>
      </c>
      <c r="F590" s="70" t="n">
        <v>13</v>
      </c>
      <c r="G590" s="72" t="inlineStr">
        <is>
          <t>Compra a Vista</t>
        </is>
      </c>
      <c r="H590" s="70" t="n">
        <v>2110101</v>
      </c>
      <c r="I590" s="72" t="inlineStr">
        <is>
          <t>FORNECEDORES DE MERCADORIA</t>
        </is>
      </c>
      <c r="J590" s="70" t="n">
        <v>1309308</v>
      </c>
      <c r="L590" s="70" t="n">
        <v>35</v>
      </c>
      <c r="M590" s="72" t="inlineStr">
        <is>
          <t>01</t>
        </is>
      </c>
      <c r="N590" s="72" t="inlineStr">
        <is>
          <t>NFE</t>
        </is>
      </c>
      <c r="P590" s="70" t="n">
        <v>104</v>
      </c>
      <c r="Q590" s="72" t="inlineStr">
        <is>
          <t>DEBORA COSTA</t>
        </is>
      </c>
      <c r="R590" s="72" t="inlineStr">
        <is>
          <t>ESTOQUE DE MERCADORIAS</t>
        </is>
      </c>
      <c r="S590" s="70" t="n">
        <v>1130101</v>
      </c>
      <c r="T590" s="72" t="inlineStr">
        <is>
          <t>MERCADORIAS P/REVENDA</t>
        </is>
      </c>
      <c r="U590" s="73" t="n">
        <v>320</v>
      </c>
      <c r="W590" s="73" t="n">
        <v>0</v>
      </c>
      <c r="X590" s="72" t="inlineStr">
        <is>
          <t>NF 35 - DEBORA</t>
        </is>
      </c>
      <c r="Z590" s="59">
        <f>IF($T590="","",IFERROR(INDEX('Resumo Grupos'!$AC$3:$AC$200,MATCH($T590,'Resumo Grupos'!$AB$3:$AB$200,0)),"n/d"))</f>
        <v/>
      </c>
      <c r="AA590" s="59">
        <f>IF($T590="","",IF(COUNTIF('Resumo Grupos'!$AE$3:$AE$40,$T590)&gt;0,"NAO","SIM"))</f>
        <v/>
      </c>
    </row>
    <row r="591" ht="54.75" customHeight="1" s="60">
      <c r="A591" s="70" t="n">
        <v>1</v>
      </c>
      <c r="B591" s="71" t="n">
        <v>46038</v>
      </c>
      <c r="C591" s="71" t="n">
        <v>46198</v>
      </c>
      <c r="D591" s="70" t="n">
        <v>10039</v>
      </c>
      <c r="E591" s="72" t="inlineStr">
        <is>
          <t>L S C DA SILVA PRADO LTDA</t>
        </is>
      </c>
      <c r="F591" s="70" t="n">
        <v>36</v>
      </c>
      <c r="G591" s="72" t="inlineStr">
        <is>
          <t>Cartao BB 1 Novo Visa 0499 Venc 25</t>
        </is>
      </c>
      <c r="H591" s="70" t="n">
        <v>2110102</v>
      </c>
      <c r="I591" s="72" t="inlineStr">
        <is>
          <t>OUTROS FORNECEDORES</t>
        </is>
      </c>
      <c r="J591" s="70" t="n">
        <v>532309</v>
      </c>
      <c r="L591" s="70" t="n">
        <v>2543</v>
      </c>
      <c r="M591" s="72" t="inlineStr">
        <is>
          <t>06</t>
        </is>
      </c>
      <c r="N591" s="72" t="inlineStr">
        <is>
          <t>NFE</t>
        </is>
      </c>
      <c r="P591" s="70" t="n">
        <v>101</v>
      </c>
      <c r="Q591" s="72" t="inlineStr">
        <is>
          <t>KEILA LIMA</t>
        </is>
      </c>
      <c r="R591" s="72" t="inlineStr">
        <is>
          <t>DESPESAS OPERACIONAIS</t>
        </is>
      </c>
      <c r="S591" s="70" t="n">
        <v>4210204</v>
      </c>
      <c r="T591" s="72" t="inlineStr">
        <is>
          <t>MATERIAL DE CONSUMO</t>
        </is>
      </c>
      <c r="U591" s="73" t="n">
        <v>285.77</v>
      </c>
      <c r="W591" s="73" t="n">
        <v>0</v>
      </c>
      <c r="X591" s="72" t="inlineStr">
        <is>
          <t>NF 2543 PARC 06/12 - KEILA CAIXA DE SOM</t>
        </is>
      </c>
      <c r="Z591" s="59">
        <f>IF($T591="","",IFERROR(INDEX('Resumo Grupos'!$AC$3:$AC$200,MATCH($T591,'Resumo Grupos'!$AB$3:$AB$200,0)),"n/d"))</f>
        <v/>
      </c>
      <c r="AA591" s="59">
        <f>IF($T591="","",IF(COUNTIF('Resumo Grupos'!$AE$3:$AE$40,$T591)&gt;0,"NAO","SIM"))</f>
        <v/>
      </c>
    </row>
    <row r="592" ht="54.75" customHeight="1" s="60">
      <c r="A592" s="70" t="n">
        <v>1</v>
      </c>
      <c r="B592" s="71" t="n">
        <v>46039</v>
      </c>
      <c r="C592" s="71" t="n">
        <v>46198</v>
      </c>
      <c r="D592" s="70" t="n">
        <v>438</v>
      </c>
      <c r="E592" s="72" t="inlineStr">
        <is>
          <t>A C DUARTE DE CASTRO EPP.</t>
        </is>
      </c>
      <c r="F592" s="70" t="n">
        <v>36</v>
      </c>
      <c r="G592" s="72" t="inlineStr">
        <is>
          <t>Cartao BB 1 Novo Visa 0499 Venc 25</t>
        </is>
      </c>
      <c r="H592" s="70" t="n">
        <v>2110101</v>
      </c>
      <c r="I592" s="72" t="inlineStr">
        <is>
          <t>FORNECEDORES DE MERCADORIA</t>
        </is>
      </c>
      <c r="J592" s="70" t="n">
        <v>535198</v>
      </c>
      <c r="L592" s="70" t="n">
        <v>6277</v>
      </c>
      <c r="M592" s="72" t="inlineStr">
        <is>
          <t>05</t>
        </is>
      </c>
      <c r="N592" s="72" t="inlineStr">
        <is>
          <t>NFE</t>
        </is>
      </c>
      <c r="P592" s="70" t="n">
        <v>103</v>
      </c>
      <c r="Q592" s="72" t="inlineStr">
        <is>
          <t>MILKA FRANCIS</t>
        </is>
      </c>
      <c r="R592" s="72" t="inlineStr">
        <is>
          <t>ESTOQUE DE MERCADORIAS</t>
        </is>
      </c>
      <c r="S592" s="70" t="n">
        <v>1130101</v>
      </c>
      <c r="T592" s="72" t="inlineStr">
        <is>
          <t>MERCADORIAS P/REVENDA</t>
        </is>
      </c>
      <c r="U592" s="73" t="n">
        <v>666.67</v>
      </c>
      <c r="W592" s="73" t="n">
        <v>0</v>
      </c>
      <c r="X592" s="72" t="inlineStr">
        <is>
          <t>NF 6277 / PARC 05/06 - MILKA</t>
        </is>
      </c>
      <c r="Z592" s="59">
        <f>IF($T592="","",IFERROR(INDEX('Resumo Grupos'!$AC$3:$AC$200,MATCH($T592,'Resumo Grupos'!$AB$3:$AB$200,0)),"n/d"))</f>
        <v/>
      </c>
      <c r="AA592" s="59">
        <f>IF($T592="","",IF(COUNTIF('Resumo Grupos'!$AE$3:$AE$40,$T592)&gt;0,"NAO","SIM"))</f>
        <v/>
      </c>
    </row>
    <row r="593" ht="54.75" customHeight="1" s="60">
      <c r="A593" s="70" t="n">
        <v>1</v>
      </c>
      <c r="B593" s="71" t="n">
        <v>46078</v>
      </c>
      <c r="C593" s="71" t="n">
        <v>46198</v>
      </c>
      <c r="D593" s="70" t="n">
        <v>10039</v>
      </c>
      <c r="E593" s="72" t="inlineStr">
        <is>
          <t>L S C DA SILVA PRADO LTDA</t>
        </is>
      </c>
      <c r="F593" s="70" t="n">
        <v>36</v>
      </c>
      <c r="G593" s="72" t="inlineStr">
        <is>
          <t>Cartao BB 1 Novo Visa 0499 Venc 25</t>
        </is>
      </c>
      <c r="H593" s="70" t="n">
        <v>2110405</v>
      </c>
      <c r="I593" s="72" t="inlineStr">
        <is>
          <t>CONTAS A PAGAR</t>
        </is>
      </c>
      <c r="J593" s="70" t="n">
        <v>717562</v>
      </c>
      <c r="L593" s="70" t="n">
        <v>313465</v>
      </c>
      <c r="M593" s="72" t="inlineStr">
        <is>
          <t>05</t>
        </is>
      </c>
      <c r="N593" s="72" t="inlineStr">
        <is>
          <t>AVU</t>
        </is>
      </c>
      <c r="P593" s="70" t="n">
        <v>103</v>
      </c>
      <c r="Q593" s="72" t="inlineStr">
        <is>
          <t>MILKA FRANCIS</t>
        </is>
      </c>
      <c r="R593" s="72" t="inlineStr">
        <is>
          <t>BENS TANGIVEIS</t>
        </is>
      </c>
      <c r="S593" s="70" t="n">
        <v>1240103</v>
      </c>
      <c r="T593" s="72" t="inlineStr">
        <is>
          <t>MAQUINAS E EQUIPAMENTOS</t>
        </is>
      </c>
      <c r="U593" s="73" t="n">
        <v>212.45</v>
      </c>
      <c r="W593" s="73" t="n">
        <v>0</v>
      </c>
      <c r="X593" s="72" t="inlineStr">
        <is>
          <t>NF 2676 / PARC 5/6 - MILKA</t>
        </is>
      </c>
      <c r="Z593" s="59">
        <f>IF($T593="","",IFERROR(INDEX('Resumo Grupos'!$AC$3:$AC$200,MATCH($T593,'Resumo Grupos'!$AB$3:$AB$200,0)),"n/d"))</f>
        <v/>
      </c>
      <c r="AA593" s="59">
        <f>IF($T593="","",IF(COUNTIF('Resumo Grupos'!$AE$3:$AE$40,$T593)&gt;0,"NAO","SIM"))</f>
        <v/>
      </c>
    </row>
    <row r="594" ht="63.75" customHeight="1" s="60">
      <c r="A594" s="70" t="n">
        <v>1</v>
      </c>
      <c r="B594" s="71" t="n">
        <v>46085</v>
      </c>
      <c r="C594" s="71" t="n">
        <v>46198</v>
      </c>
      <c r="D594" s="70" t="n">
        <v>500</v>
      </c>
      <c r="E594" s="72" t="inlineStr">
        <is>
          <t>REFRIAL DISTRIBUIDORA COMERCIAL DE MAQUI</t>
        </is>
      </c>
      <c r="F594" s="70" t="n">
        <v>36</v>
      </c>
      <c r="G594" s="72" t="inlineStr">
        <is>
          <t>Cartao BB 1 Novo Visa 0499 Venc 25</t>
        </is>
      </c>
      <c r="H594" s="70" t="n">
        <v>2110101</v>
      </c>
      <c r="I594" s="72" t="inlineStr">
        <is>
          <t>FORNECEDORES DE MERCADORIA</t>
        </is>
      </c>
      <c r="J594" s="70" t="n">
        <v>808801</v>
      </c>
      <c r="L594" s="70" t="n">
        <v>349045</v>
      </c>
      <c r="M594" s="72" t="inlineStr">
        <is>
          <t>04</t>
        </is>
      </c>
      <c r="N594" s="72" t="inlineStr">
        <is>
          <t>AVU</t>
        </is>
      </c>
      <c r="P594" s="70" t="n">
        <v>103</v>
      </c>
      <c r="Q594" s="72" t="inlineStr">
        <is>
          <t>MILKA FRANCIS</t>
        </is>
      </c>
      <c r="R594" s="72" t="inlineStr">
        <is>
          <t>CONTAS A PAGAR</t>
        </is>
      </c>
      <c r="S594" s="70" t="n">
        <v>2110405</v>
      </c>
      <c r="T594" s="72" t="inlineStr">
        <is>
          <t>CONTAS A PAGAR</t>
        </is>
      </c>
      <c r="U594" s="73" t="n">
        <v>399.1</v>
      </c>
      <c r="W594" s="73" t="n">
        <v>0</v>
      </c>
      <c r="X594" s="72" t="inlineStr">
        <is>
          <t>DESPESA LOJA /NF 154967 / 4PARC - MILKA</t>
        </is>
      </c>
      <c r="Z594" s="59">
        <f>IF($T594="","",IFERROR(INDEX('Resumo Grupos'!$AC$3:$AC$200,MATCH($T594,'Resumo Grupos'!$AB$3:$AB$200,0)),"n/d"))</f>
        <v/>
      </c>
      <c r="AA594" s="59">
        <f>IF($T594="","",IF(COUNTIF('Resumo Grupos'!$AE$3:$AE$40,$T594)&gt;0,"NAO","SIM"))</f>
        <v/>
      </c>
    </row>
    <row r="595" ht="45.75" customHeight="1" s="60">
      <c r="A595" s="70" t="n">
        <v>1</v>
      </c>
      <c r="B595" s="71" t="n">
        <v>46098</v>
      </c>
      <c r="C595" s="71" t="n">
        <v>46198</v>
      </c>
      <c r="D595" s="70" t="n">
        <v>468</v>
      </c>
      <c r="E595" s="72" t="inlineStr">
        <is>
          <t>M.R.G COMERCIO DE MAQUINAS EIRELI.</t>
        </is>
      </c>
      <c r="F595" s="70" t="n">
        <v>36</v>
      </c>
      <c r="G595" s="72" t="inlineStr">
        <is>
          <t>Cartao BB 1 Novo Visa 0499 Venc 25</t>
        </is>
      </c>
      <c r="H595" s="70" t="n">
        <v>2110101</v>
      </c>
      <c r="I595" s="72" t="inlineStr">
        <is>
          <t>FORNECEDORES DE MERCADORIA</t>
        </is>
      </c>
      <c r="J595" s="70" t="n">
        <v>826843</v>
      </c>
      <c r="L595" s="70" t="n">
        <v>355659</v>
      </c>
      <c r="M595" s="72" t="inlineStr">
        <is>
          <t>03</t>
        </is>
      </c>
      <c r="N595" s="72" t="inlineStr">
        <is>
          <t>AVU</t>
        </is>
      </c>
      <c r="P595" s="70" t="n">
        <v>103</v>
      </c>
      <c r="Q595" s="72" t="inlineStr">
        <is>
          <t>MILKA FRANCIS</t>
        </is>
      </c>
      <c r="R595" s="72" t="inlineStr">
        <is>
          <t>ESTOQUE DE MERCADORIAS</t>
        </is>
      </c>
      <c r="S595" s="70" t="n">
        <v>1130101</v>
      </c>
      <c r="T595" s="72" t="inlineStr">
        <is>
          <t>MERCADORIAS P/REVENDA</t>
        </is>
      </c>
      <c r="U595" s="73" t="n">
        <v>233.33</v>
      </c>
      <c r="W595" s="73" t="n">
        <v>0</v>
      </c>
      <c r="X595" s="72" t="inlineStr">
        <is>
          <t>NF 14298 / 3PARC / REFORMA PADARIA  - MILKA</t>
        </is>
      </c>
      <c r="Z595" s="59">
        <f>IF($T595="","",IFERROR(INDEX('Resumo Grupos'!$AC$3:$AC$200,MATCH($T595,'Resumo Grupos'!$AB$3:$AB$200,0)),"n/d"))</f>
        <v/>
      </c>
      <c r="AA595" s="59">
        <f>IF($T595="","",IF(COUNTIF('Resumo Grupos'!$AE$3:$AE$40,$T595)&gt;0,"NAO","SIM"))</f>
        <v/>
      </c>
    </row>
    <row r="596" ht="63.75" customHeight="1" s="60">
      <c r="A596" s="70" t="n">
        <v>1</v>
      </c>
      <c r="B596" s="71" t="n">
        <v>46120</v>
      </c>
      <c r="C596" s="71" t="n">
        <v>46198</v>
      </c>
      <c r="D596" s="70" t="n">
        <v>500</v>
      </c>
      <c r="E596" s="72" t="inlineStr">
        <is>
          <t>REFRIAL DISTRIBUIDORA COMERCIAL DE MAQUI</t>
        </is>
      </c>
      <c r="F596" s="70" t="n">
        <v>36</v>
      </c>
      <c r="G596" s="72" t="inlineStr">
        <is>
          <t>Cartao BB 1 Novo Visa 0499 Venc 25</t>
        </is>
      </c>
      <c r="H596" s="70" t="n">
        <v>2110405</v>
      </c>
      <c r="I596" s="72" t="inlineStr">
        <is>
          <t>CONTAS A PAGAR</t>
        </is>
      </c>
      <c r="J596" s="70" t="n">
        <v>920498</v>
      </c>
      <c r="L596" s="70" t="n">
        <v>391987</v>
      </c>
      <c r="M596" s="72" t="inlineStr">
        <is>
          <t>03</t>
        </is>
      </c>
      <c r="N596" s="72" t="inlineStr">
        <is>
          <t>AVU</t>
        </is>
      </c>
      <c r="P596" s="70" t="n">
        <v>103</v>
      </c>
      <c r="Q596" s="72" t="inlineStr">
        <is>
          <t>MILKA FRANCIS</t>
        </is>
      </c>
      <c r="R596" s="72" t="inlineStr">
        <is>
          <t>BENS TANGIVEIS</t>
        </is>
      </c>
      <c r="S596" s="70" t="n">
        <v>1240103</v>
      </c>
      <c r="T596" s="72" t="inlineStr">
        <is>
          <t>MAQUINAS E EQUIPAMENTOS</t>
        </is>
      </c>
      <c r="U596" s="73" t="n">
        <v>4934.34</v>
      </c>
      <c r="W596" s="73" t="n">
        <v>0</v>
      </c>
      <c r="X596" s="72" t="inlineStr">
        <is>
          <t>NF 156023 PARC 03/10 - MILKA</t>
        </is>
      </c>
      <c r="Z596" s="59">
        <f>IF($T596="","",IFERROR(INDEX('Resumo Grupos'!$AC$3:$AC$200,MATCH($T596,'Resumo Grupos'!$AB$3:$AB$200,0)),"n/d"))</f>
        <v/>
      </c>
      <c r="AA596" s="59">
        <f>IF($T596="","",IF(COUNTIF('Resumo Grupos'!$AE$3:$AE$40,$T596)&gt;0,"NAO","SIM"))</f>
        <v/>
      </c>
    </row>
    <row r="597" ht="45.75" customHeight="1" s="60">
      <c r="A597" s="70" t="n">
        <v>1</v>
      </c>
      <c r="B597" s="71" t="n">
        <v>46094</v>
      </c>
      <c r="C597" s="71" t="n">
        <v>46198</v>
      </c>
      <c r="D597" s="70" t="n">
        <v>468</v>
      </c>
      <c r="E597" s="72" t="inlineStr">
        <is>
          <t>M.R.G COMERCIO DE MAQUINAS EIRELI.</t>
        </is>
      </c>
      <c r="F597" s="70" t="n">
        <v>36</v>
      </c>
      <c r="G597" s="72" t="inlineStr">
        <is>
          <t>Cartao BB 1 Novo Visa 0499 Venc 25</t>
        </is>
      </c>
      <c r="H597" s="70" t="n">
        <v>2110405</v>
      </c>
      <c r="I597" s="72" t="inlineStr">
        <is>
          <t>CONTAS A PAGAR</t>
        </is>
      </c>
      <c r="J597" s="70" t="n">
        <v>1024118</v>
      </c>
      <c r="L597" s="70" t="n">
        <v>14289</v>
      </c>
      <c r="M597" s="72" t="inlineStr">
        <is>
          <t>03</t>
        </is>
      </c>
      <c r="N597" s="72" t="inlineStr">
        <is>
          <t>AVU</t>
        </is>
      </c>
      <c r="P597" s="70" t="n">
        <v>101</v>
      </c>
      <c r="Q597" s="72" t="inlineStr">
        <is>
          <t>KEILA LIMA</t>
        </is>
      </c>
      <c r="R597" s="72" t="inlineStr">
        <is>
          <t>BENS TANGIVEIS</t>
        </is>
      </c>
      <c r="S597" s="70" t="n">
        <v>1240103</v>
      </c>
      <c r="T597" s="72" t="inlineStr">
        <is>
          <t>MAQUINAS E EQUIPAMENTOS</t>
        </is>
      </c>
      <c r="U597" s="73" t="n">
        <v>1197</v>
      </c>
      <c r="W597" s="73" t="n">
        <v>0</v>
      </c>
      <c r="X597" s="72" t="inlineStr">
        <is>
          <t>NF 14289</t>
        </is>
      </c>
      <c r="Z597" s="59">
        <f>IF($T597="","",IFERROR(INDEX('Resumo Grupos'!$AC$3:$AC$200,MATCH($T597,'Resumo Grupos'!$AB$3:$AB$200,0)),"n/d"))</f>
        <v/>
      </c>
      <c r="AA597" s="59">
        <f>IF($T597="","",IF(COUNTIF('Resumo Grupos'!$AE$3:$AE$40,$T597)&gt;0,"NAO","SIM"))</f>
        <v/>
      </c>
    </row>
    <row r="598" ht="36.75" customHeight="1" s="60">
      <c r="A598" s="70" t="n">
        <v>1</v>
      </c>
      <c r="B598" s="71" t="n">
        <v>46168</v>
      </c>
      <c r="C598" s="71" t="n">
        <v>46198</v>
      </c>
      <c r="D598" s="70" t="n">
        <v>10020</v>
      </c>
      <c r="E598" s="72" t="inlineStr">
        <is>
          <t>E. SALES DO NASCIMENTO</t>
        </is>
      </c>
      <c r="F598" s="70" t="n">
        <v>24</v>
      </c>
      <c r="G598" s="72" t="inlineStr">
        <is>
          <t>Compra a Prazo - Boletos</t>
        </is>
      </c>
      <c r="H598" s="70" t="n">
        <v>2110101</v>
      </c>
      <c r="I598" s="72" t="inlineStr">
        <is>
          <t>FORNECEDORES DE MERCADORIA</t>
        </is>
      </c>
      <c r="J598" s="70" t="n">
        <v>1156884</v>
      </c>
      <c r="L598" s="70" t="n">
        <v>573</v>
      </c>
      <c r="M598" s="72" t="inlineStr">
        <is>
          <t>05</t>
        </is>
      </c>
      <c r="N598" s="72" t="inlineStr">
        <is>
          <t>NFE</t>
        </is>
      </c>
      <c r="P598" s="70" t="n">
        <v>103</v>
      </c>
      <c r="Q598" s="72" t="inlineStr">
        <is>
          <t>MILKA FRANCIS</t>
        </is>
      </c>
      <c r="R598" s="72" t="inlineStr">
        <is>
          <t>ESTOQUE DE MERCADORIAS</t>
        </is>
      </c>
      <c r="S598" s="70" t="n">
        <v>1130101</v>
      </c>
      <c r="T598" s="72" t="inlineStr">
        <is>
          <t>MERCADORIAS P/REVENDA</t>
        </is>
      </c>
      <c r="U598" s="73" t="n">
        <v>503.26</v>
      </c>
      <c r="W598" s="73" t="n">
        <v>0</v>
      </c>
      <c r="X598" s="72" t="inlineStr">
        <is>
          <t>NF 573-05 MILKA</t>
        </is>
      </c>
      <c r="Z598" s="59">
        <f>IF($T598="","",IFERROR(INDEX('Resumo Grupos'!$AC$3:$AC$200,MATCH($T598,'Resumo Grupos'!$AB$3:$AB$200,0)),"n/d"))</f>
        <v/>
      </c>
      <c r="AA598" s="59">
        <f>IF($T598="","",IF(COUNTIF('Resumo Grupos'!$AE$3:$AE$40,$T598)&gt;0,"NAO","SIM"))</f>
        <v/>
      </c>
    </row>
    <row r="599" ht="36.75" customHeight="1" s="60">
      <c r="A599" s="70" t="n">
        <v>1</v>
      </c>
      <c r="B599" s="71" t="n">
        <v>46182</v>
      </c>
      <c r="C599" s="71" t="n">
        <v>46198</v>
      </c>
      <c r="D599" s="70" t="n">
        <v>1666</v>
      </c>
      <c r="E599" s="72" t="inlineStr">
        <is>
          <t>SOUZA CRUZ LTDA.</t>
        </is>
      </c>
      <c r="F599" s="70" t="n">
        <v>24</v>
      </c>
      <c r="G599" s="72" t="inlineStr">
        <is>
          <t>Compra a Prazo - Boletos</t>
        </is>
      </c>
      <c r="H599" s="70" t="n">
        <v>2110101</v>
      </c>
      <c r="I599" s="72" t="inlineStr">
        <is>
          <t>FORNECEDORES DE MERCADORIA</t>
        </is>
      </c>
      <c r="J599" s="70" t="n">
        <v>1226844</v>
      </c>
      <c r="L599" s="70" t="n">
        <v>562604</v>
      </c>
      <c r="M599" s="72" t="inlineStr">
        <is>
          <t>02</t>
        </is>
      </c>
      <c r="N599" s="72" t="inlineStr">
        <is>
          <t>NFE</t>
        </is>
      </c>
      <c r="P599" s="70" t="n">
        <v>103</v>
      </c>
      <c r="Q599" s="72" t="inlineStr">
        <is>
          <t>MILKA FRANCIS</t>
        </is>
      </c>
      <c r="R599" s="72" t="inlineStr">
        <is>
          <t>ESTOQUE DE MERCADORIAS</t>
        </is>
      </c>
      <c r="S599" s="70" t="n">
        <v>1130101</v>
      </c>
      <c r="T599" s="72" t="inlineStr">
        <is>
          <t>MERCADORIAS P/REVENDA</t>
        </is>
      </c>
      <c r="U599" s="73" t="n">
        <v>4347.22</v>
      </c>
      <c r="W599" s="73" t="n">
        <v>0</v>
      </c>
      <c r="X599" s="72" t="inlineStr">
        <is>
          <t>NF 562604 -02 MILKA</t>
        </is>
      </c>
      <c r="Z599" s="59">
        <f>IF($T599="","",IFERROR(INDEX('Resumo Grupos'!$AC$3:$AC$200,MATCH($T599,'Resumo Grupos'!$AB$3:$AB$200,0)),"n/d"))</f>
        <v/>
      </c>
      <c r="AA599" s="59">
        <f>IF($T599="","",IF(COUNTIF('Resumo Grupos'!$AE$3:$AE$40,$T599)&gt;0,"NAO","SIM"))</f>
        <v/>
      </c>
    </row>
    <row r="600" ht="36.75" customHeight="1" s="60">
      <c r="A600" s="70" t="n">
        <v>1</v>
      </c>
      <c r="B600" s="71" t="n">
        <v>46184</v>
      </c>
      <c r="C600" s="71" t="n">
        <v>46198</v>
      </c>
      <c r="D600" s="70" t="n">
        <v>1601</v>
      </c>
      <c r="E600" s="72" t="inlineStr">
        <is>
          <t>CB COMERCIO E DISTRIBUIDORA DE ALIMENTOS</t>
        </is>
      </c>
      <c r="F600" s="70" t="n">
        <v>24</v>
      </c>
      <c r="G600" s="72" t="inlineStr">
        <is>
          <t>Compra a Prazo - Boletos</t>
        </is>
      </c>
      <c r="H600" s="70" t="n">
        <v>2110101</v>
      </c>
      <c r="I600" s="72" t="inlineStr">
        <is>
          <t>FORNECEDORES DE MERCADORIA</t>
        </is>
      </c>
      <c r="J600" s="70" t="n">
        <v>1236408</v>
      </c>
      <c r="L600" s="70" t="n">
        <v>843140</v>
      </c>
      <c r="M600" s="72" t="inlineStr">
        <is>
          <t>02</t>
        </is>
      </c>
      <c r="N600" s="72" t="inlineStr">
        <is>
          <t>NFE</t>
        </is>
      </c>
      <c r="P600" s="70" t="n">
        <v>103</v>
      </c>
      <c r="Q600" s="72" t="inlineStr">
        <is>
          <t>MILKA FRANCIS</t>
        </is>
      </c>
      <c r="R600" s="72" t="inlineStr">
        <is>
          <t>ESTOQUE DE MERCADORIAS</t>
        </is>
      </c>
      <c r="S600" s="70" t="n">
        <v>1130101</v>
      </c>
      <c r="T600" s="72" t="inlineStr">
        <is>
          <t>MERCADORIAS P/REVENDA</t>
        </is>
      </c>
      <c r="U600" s="73" t="n">
        <v>220.27</v>
      </c>
      <c r="W600" s="73" t="n">
        <v>0</v>
      </c>
      <c r="X600" s="72" t="inlineStr">
        <is>
          <t>938449-B/B  NF843140 - MILKA</t>
        </is>
      </c>
      <c r="Z600" s="59">
        <f>IF($T600="","",IFERROR(INDEX('Resumo Grupos'!$AC$3:$AC$200,MATCH($T600,'Resumo Grupos'!$AB$3:$AB$200,0)),"n/d"))</f>
        <v/>
      </c>
      <c r="AA600" s="59">
        <f>IF($T600="","",IF(COUNTIF('Resumo Grupos'!$AE$3:$AE$40,$T600)&gt;0,"NAO","SIM"))</f>
        <v/>
      </c>
    </row>
    <row r="601" ht="36.75" customHeight="1" s="60">
      <c r="A601" s="70" t="n">
        <v>1</v>
      </c>
      <c r="B601" s="71" t="n">
        <v>46189</v>
      </c>
      <c r="C601" s="71" t="n">
        <v>46198</v>
      </c>
      <c r="D601" s="70" t="n">
        <v>1723</v>
      </c>
      <c r="E601" s="72" t="inlineStr">
        <is>
          <t>COMERCIO DE FRIOS MANAUS LTDA</t>
        </is>
      </c>
      <c r="F601" s="70" t="n">
        <v>24</v>
      </c>
      <c r="G601" s="72" t="inlineStr">
        <is>
          <t>Compra a Prazo - Boletos</t>
        </is>
      </c>
      <c r="H601" s="70" t="n">
        <v>2110101</v>
      </c>
      <c r="I601" s="72" t="inlineStr">
        <is>
          <t>FORNECEDORES DE MERCADORIA</t>
        </is>
      </c>
      <c r="J601" s="70" t="n">
        <v>1261851</v>
      </c>
      <c r="L601" s="70" t="n">
        <v>171572</v>
      </c>
      <c r="M601" s="72" t="inlineStr">
        <is>
          <t>01</t>
        </is>
      </c>
      <c r="N601" s="72" t="inlineStr">
        <is>
          <t>NFE</t>
        </is>
      </c>
      <c r="P601" s="70" t="n">
        <v>103</v>
      </c>
      <c r="Q601" s="72" t="inlineStr">
        <is>
          <t>MILKA FRANCIS</t>
        </is>
      </c>
      <c r="R601" s="72" t="inlineStr">
        <is>
          <t>ESTOQUE DE MERCADORIAS</t>
        </is>
      </c>
      <c r="S601" s="70" t="n">
        <v>1130101</v>
      </c>
      <c r="T601" s="72" t="inlineStr">
        <is>
          <t>MERCADORIAS P/REVENDA</t>
        </is>
      </c>
      <c r="U601" s="73" t="n">
        <v>5792</v>
      </c>
      <c r="W601" s="73" t="n">
        <v>0</v>
      </c>
      <c r="X601" s="72" t="inlineStr">
        <is>
          <t>NF171572 - MILKA</t>
        </is>
      </c>
      <c r="Z601" s="59">
        <f>IF($T601="","",IFERROR(INDEX('Resumo Grupos'!$AC$3:$AC$200,MATCH($T601,'Resumo Grupos'!$AB$3:$AB$200,0)),"n/d"))</f>
        <v/>
      </c>
      <c r="AA601" s="59">
        <f>IF($T601="","",IF(COUNTIF('Resumo Grupos'!$AE$3:$AE$40,$T601)&gt;0,"NAO","SIM"))</f>
        <v/>
      </c>
    </row>
    <row r="602" ht="36.75" customHeight="1" s="60">
      <c r="A602" s="70" t="n">
        <v>1</v>
      </c>
      <c r="B602" s="71" t="n">
        <v>46192</v>
      </c>
      <c r="C602" s="71" t="n">
        <v>46198</v>
      </c>
      <c r="D602" s="70" t="n">
        <v>1621</v>
      </c>
      <c r="E602" s="72" t="inlineStr">
        <is>
          <t>CRBS S/A</t>
        </is>
      </c>
      <c r="F602" s="70" t="n">
        <v>24</v>
      </c>
      <c r="G602" s="72" t="inlineStr">
        <is>
          <t>Compra a Prazo - Boletos</t>
        </is>
      </c>
      <c r="H602" s="70" t="n">
        <v>2110101</v>
      </c>
      <c r="I602" s="72" t="inlineStr">
        <is>
          <t>FORNECEDORES DE MERCADORIA</t>
        </is>
      </c>
      <c r="J602" s="70" t="n">
        <v>1273522</v>
      </c>
      <c r="L602" s="70" t="n">
        <v>863939</v>
      </c>
      <c r="M602" s="72" t="inlineStr">
        <is>
          <t>01</t>
        </is>
      </c>
      <c r="N602" s="72" t="inlineStr">
        <is>
          <t>NFE</t>
        </is>
      </c>
      <c r="P602" s="70" t="n">
        <v>103</v>
      </c>
      <c r="Q602" s="72" t="inlineStr">
        <is>
          <t>MILKA FRANCIS</t>
        </is>
      </c>
      <c r="R602" s="72" t="inlineStr">
        <is>
          <t>ESTOQUE DE MERCADORIAS</t>
        </is>
      </c>
      <c r="S602" s="70" t="n">
        <v>1130101</v>
      </c>
      <c r="T602" s="72" t="inlineStr">
        <is>
          <t>MERCADORIAS P/REVENDA</t>
        </is>
      </c>
      <c r="U602" s="73" t="n">
        <v>4715.67</v>
      </c>
      <c r="W602" s="73" t="n">
        <v>0</v>
      </c>
      <c r="X602" s="72" t="inlineStr">
        <is>
          <t>NF 863939 - MILKA</t>
        </is>
      </c>
      <c r="Z602" s="59">
        <f>IF($T602="","",IFERROR(INDEX('Resumo Grupos'!$AC$3:$AC$200,MATCH($T602,'Resumo Grupos'!$AB$3:$AB$200,0)),"n/d"))</f>
        <v/>
      </c>
      <c r="AA602" s="59">
        <f>IF($T602="","",IF(COUNTIF('Resumo Grupos'!$AE$3:$AE$40,$T602)&gt;0,"NAO","SIM"))</f>
        <v/>
      </c>
    </row>
    <row r="603" ht="36.75" customHeight="1" s="60">
      <c r="A603" s="70" t="n">
        <v>1</v>
      </c>
      <c r="B603" s="71" t="n">
        <v>46192</v>
      </c>
      <c r="C603" s="71" t="n">
        <v>46198</v>
      </c>
      <c r="D603" s="70" t="n">
        <v>1625</v>
      </c>
      <c r="E603" s="72" t="inlineStr">
        <is>
          <t>MAXFRI DISTRIUIDORA LTDA</t>
        </is>
      </c>
      <c r="F603" s="70" t="n">
        <v>24</v>
      </c>
      <c r="G603" s="72" t="inlineStr">
        <is>
          <t>Compra a Prazo - Boletos</t>
        </is>
      </c>
      <c r="H603" s="70" t="n">
        <v>2110101</v>
      </c>
      <c r="I603" s="72" t="inlineStr">
        <is>
          <t>FORNECEDORES DE MERCADORIA</t>
        </is>
      </c>
      <c r="J603" s="70" t="n">
        <v>1274336</v>
      </c>
      <c r="L603" s="70" t="n">
        <v>14506</v>
      </c>
      <c r="M603" s="72" t="inlineStr">
        <is>
          <t>01</t>
        </is>
      </c>
      <c r="N603" s="72" t="inlineStr">
        <is>
          <t>NFE</t>
        </is>
      </c>
      <c r="P603" s="70" t="n">
        <v>103</v>
      </c>
      <c r="Q603" s="72" t="inlineStr">
        <is>
          <t>MILKA FRANCIS</t>
        </is>
      </c>
      <c r="R603" s="72" t="inlineStr">
        <is>
          <t>ESTOQUE DE MERCADORIAS</t>
        </is>
      </c>
      <c r="S603" s="70" t="n">
        <v>1130101</v>
      </c>
      <c r="T603" s="72" t="inlineStr">
        <is>
          <t>MERCADORIAS P/REVENDA</t>
        </is>
      </c>
      <c r="U603" s="73" t="n">
        <v>7700.86</v>
      </c>
      <c r="W603" s="73" t="n">
        <v>0</v>
      </c>
      <c r="X603" s="72" t="inlineStr">
        <is>
          <t>NF14506 -  MILKA</t>
        </is>
      </c>
      <c r="Z603" s="59">
        <f>IF($T603="","",IFERROR(INDEX('Resumo Grupos'!$AC$3:$AC$200,MATCH($T603,'Resumo Grupos'!$AB$3:$AB$200,0)),"n/d"))</f>
        <v/>
      </c>
      <c r="AA603" s="59">
        <f>IF($T603="","",IF(COUNTIF('Resumo Grupos'!$AE$3:$AE$40,$T603)&gt;0,"NAO","SIM"))</f>
        <v/>
      </c>
    </row>
    <row r="604" ht="36.75" customHeight="1" s="60">
      <c r="A604" s="70" t="n">
        <v>1</v>
      </c>
      <c r="B604" s="71" t="n">
        <v>46195</v>
      </c>
      <c r="C604" s="71" t="n">
        <v>46198</v>
      </c>
      <c r="D604" s="70" t="n">
        <v>1899</v>
      </c>
      <c r="E604" s="72" t="inlineStr">
        <is>
          <t>PANIFICADORA E CONFEITARIA REAL MADRI LTDA</t>
        </is>
      </c>
      <c r="F604" s="70" t="n">
        <v>24</v>
      </c>
      <c r="G604" s="72" t="inlineStr">
        <is>
          <t>Compra a Prazo - Boletos</t>
        </is>
      </c>
      <c r="H604" s="70" t="n">
        <v>2110101</v>
      </c>
      <c r="I604" s="72" t="inlineStr">
        <is>
          <t>FORNECEDORES DE MERCADORIA</t>
        </is>
      </c>
      <c r="J604" s="70" t="n">
        <v>1289269</v>
      </c>
      <c r="L604" s="70" t="n">
        <v>673</v>
      </c>
      <c r="M604" s="72" t="inlineStr">
        <is>
          <t>01</t>
        </is>
      </c>
      <c r="N604" s="72" t="inlineStr">
        <is>
          <t>NFE</t>
        </is>
      </c>
      <c r="P604" s="70" t="n">
        <v>103</v>
      </c>
      <c r="Q604" s="72" t="inlineStr">
        <is>
          <t>MILKA FRANCIS</t>
        </is>
      </c>
      <c r="R604" s="72" t="inlineStr">
        <is>
          <t>ESTOQUE DE MERCADORIAS</t>
        </is>
      </c>
      <c r="S604" s="70" t="n">
        <v>1130101</v>
      </c>
      <c r="T604" s="72" t="inlineStr">
        <is>
          <t>MERCADORIAS P/REVENDA</t>
        </is>
      </c>
      <c r="U604" s="73" t="n">
        <v>991.55</v>
      </c>
      <c r="W604" s="73" t="n">
        <v>0</v>
      </c>
      <c r="X604" s="72" t="inlineStr">
        <is>
          <t>NF 673 - MILKA</t>
        </is>
      </c>
      <c r="Z604" s="59">
        <f>IF($T604="","",IFERROR(INDEX('Resumo Grupos'!$AC$3:$AC$200,MATCH($T604,'Resumo Grupos'!$AB$3:$AB$200,0)),"n/d"))</f>
        <v/>
      </c>
      <c r="AA604" s="59">
        <f>IF($T604="","",IF(COUNTIF('Resumo Grupos'!$AE$3:$AE$40,$T604)&gt;0,"NAO","SIM"))</f>
        <v/>
      </c>
    </row>
    <row r="605" ht="36.75" customHeight="1" s="60">
      <c r="A605" s="70" t="n">
        <v>1</v>
      </c>
      <c r="B605" s="71" t="n">
        <v>46195</v>
      </c>
      <c r="C605" s="71" t="n">
        <v>46198</v>
      </c>
      <c r="D605" s="70" t="n">
        <v>560</v>
      </c>
      <c r="E605" s="72" t="inlineStr">
        <is>
          <t>KAROLINY RODRIGUES SOUZA VENANCIO 915783</t>
        </is>
      </c>
      <c r="F605" s="70" t="n">
        <v>24</v>
      </c>
      <c r="G605" s="72" t="inlineStr">
        <is>
          <t>Compra a Prazo - Boletos</t>
        </is>
      </c>
      <c r="H605" s="70" t="n">
        <v>2110101</v>
      </c>
      <c r="I605" s="72" t="inlineStr">
        <is>
          <t>FORNECEDORES DE MERCADORIA</t>
        </is>
      </c>
      <c r="J605" s="70" t="n">
        <v>1289427</v>
      </c>
      <c r="L605" s="70" t="n">
        <v>1693</v>
      </c>
      <c r="M605" s="72" t="inlineStr">
        <is>
          <t>01</t>
        </is>
      </c>
      <c r="N605" s="72" t="inlineStr">
        <is>
          <t>NFE</t>
        </is>
      </c>
      <c r="P605" s="70" t="n">
        <v>103</v>
      </c>
      <c r="Q605" s="72" t="inlineStr">
        <is>
          <t>MILKA FRANCIS</t>
        </is>
      </c>
      <c r="R605" s="72" t="inlineStr">
        <is>
          <t>ESTOQUE DE MERCADORIAS</t>
        </is>
      </c>
      <c r="S605" s="70" t="n">
        <v>1130101</v>
      </c>
      <c r="T605" s="72" t="inlineStr">
        <is>
          <t>MERCADORIAS P/REVENDA</t>
        </is>
      </c>
      <c r="U605" s="73" t="n">
        <v>450</v>
      </c>
      <c r="W605" s="73" t="n">
        <v>0</v>
      </c>
      <c r="X605" s="72" t="inlineStr">
        <is>
          <t>NF 1693 DONA MARIA  - MILKA</t>
        </is>
      </c>
      <c r="Z605" s="59">
        <f>IF($T605="","",IFERROR(INDEX('Resumo Grupos'!$AC$3:$AC$200,MATCH($T605,'Resumo Grupos'!$AB$3:$AB$200,0)),"n/d"))</f>
        <v/>
      </c>
      <c r="AA605" s="59">
        <f>IF($T605="","",IF(COUNTIF('Resumo Grupos'!$AE$3:$AE$40,$T605)&gt;0,"NAO","SIM"))</f>
        <v/>
      </c>
    </row>
    <row r="606" ht="36.75" customHeight="1" s="60">
      <c r="A606" s="70" t="n">
        <v>1</v>
      </c>
      <c r="B606" s="71" t="n">
        <v>46195</v>
      </c>
      <c r="C606" s="71" t="n">
        <v>46198</v>
      </c>
      <c r="D606" s="70" t="n">
        <v>10019</v>
      </c>
      <c r="E606" s="72" t="inlineStr">
        <is>
          <t>FALCAO INDUSTRIA DE ALIMENTOS LTDA</t>
        </is>
      </c>
      <c r="F606" s="70" t="n">
        <v>24</v>
      </c>
      <c r="G606" s="72" t="inlineStr">
        <is>
          <t>Compra a Prazo - Boletos</t>
        </is>
      </c>
      <c r="H606" s="70" t="n">
        <v>2110101</v>
      </c>
      <c r="I606" s="72" t="inlineStr">
        <is>
          <t>FORNECEDORES DE MERCADORIA</t>
        </is>
      </c>
      <c r="J606" s="70" t="n">
        <v>1289498</v>
      </c>
      <c r="L606" s="70" t="n">
        <v>534462</v>
      </c>
      <c r="M606" s="72" t="inlineStr">
        <is>
          <t>01</t>
        </is>
      </c>
      <c r="N606" s="72" t="inlineStr">
        <is>
          <t>AVU</t>
        </is>
      </c>
      <c r="P606" s="70" t="n">
        <v>103</v>
      </c>
      <c r="Q606" s="72" t="inlineStr">
        <is>
          <t>MILKA FRANCIS</t>
        </is>
      </c>
      <c r="R606" s="72" t="inlineStr">
        <is>
          <t>ESTOQUE DE MERCADORIAS</t>
        </is>
      </c>
      <c r="S606" s="70" t="n">
        <v>1130101</v>
      </c>
      <c r="T606" s="72" t="inlineStr">
        <is>
          <t>MERCADORIAS P/REVENDA</t>
        </is>
      </c>
      <c r="U606" s="73" t="n">
        <v>3066.5</v>
      </c>
      <c r="W606" s="73" t="n">
        <v>0</v>
      </c>
      <c r="X606" s="72" t="inlineStr">
        <is>
          <t>77054/1  NF30443 - MILKA</t>
        </is>
      </c>
      <c r="Z606" s="59">
        <f>IF($T606="","",IFERROR(INDEX('Resumo Grupos'!$AC$3:$AC$200,MATCH($T606,'Resumo Grupos'!$AB$3:$AB$200,0)),"n/d"))</f>
        <v/>
      </c>
      <c r="AA606" s="59">
        <f>IF($T606="","",IF(COUNTIF('Resumo Grupos'!$AE$3:$AE$40,$T606)&gt;0,"NAO","SIM"))</f>
        <v/>
      </c>
    </row>
    <row r="607" ht="36.75" customHeight="1" s="60">
      <c r="A607" s="70" t="n">
        <v>1</v>
      </c>
      <c r="B607" s="71" t="n">
        <v>46195</v>
      </c>
      <c r="C607" s="71" t="n">
        <v>46198</v>
      </c>
      <c r="D607" s="70" t="n">
        <v>1609</v>
      </c>
      <c r="E607" s="72" t="inlineStr">
        <is>
          <t>H. L. DO NASCIMENTO</t>
        </is>
      </c>
      <c r="F607" s="70" t="n">
        <v>24</v>
      </c>
      <c r="G607" s="72" t="inlineStr">
        <is>
          <t>Compra a Prazo - Boletos</t>
        </is>
      </c>
      <c r="H607" s="70" t="n">
        <v>2110101</v>
      </c>
      <c r="I607" s="72" t="inlineStr">
        <is>
          <t>FORNECEDORES DE MERCADORIA</t>
        </is>
      </c>
      <c r="J607" s="70" t="n">
        <v>1289506</v>
      </c>
      <c r="L607" s="70" t="n">
        <v>5675</v>
      </c>
      <c r="M607" s="72" t="inlineStr">
        <is>
          <t>01</t>
        </is>
      </c>
      <c r="N607" s="72" t="inlineStr">
        <is>
          <t>NFE</t>
        </is>
      </c>
      <c r="P607" s="70" t="n">
        <v>103</v>
      </c>
      <c r="Q607" s="72" t="inlineStr">
        <is>
          <t>MILKA FRANCIS</t>
        </is>
      </c>
      <c r="R607" s="72" t="inlineStr">
        <is>
          <t>ESTOQUE DE MERCADORIAS</t>
        </is>
      </c>
      <c r="S607" s="70" t="n">
        <v>1130101</v>
      </c>
      <c r="T607" s="72" t="inlineStr">
        <is>
          <t>MERCADORIAS P/REVENDA</t>
        </is>
      </c>
      <c r="U607" s="73" t="n">
        <v>567.3</v>
      </c>
      <c r="W607" s="73" t="n">
        <v>0</v>
      </c>
      <c r="X607" s="72" t="inlineStr">
        <is>
          <t>NF 5675 FAZENDINHA - MILKA</t>
        </is>
      </c>
      <c r="Z607" s="59">
        <f>IF($T607="","",IFERROR(INDEX('Resumo Grupos'!$AC$3:$AC$200,MATCH($T607,'Resumo Grupos'!$AB$3:$AB$200,0)),"n/d"))</f>
        <v/>
      </c>
      <c r="AA607" s="59">
        <f>IF($T607="","",IF(COUNTIF('Resumo Grupos'!$AE$3:$AE$40,$T607)&gt;0,"NAO","SIM"))</f>
        <v/>
      </c>
    </row>
    <row r="608" ht="45.75" customHeight="1" s="60">
      <c r="A608" s="70" t="n">
        <v>1</v>
      </c>
      <c r="B608" s="71" t="n">
        <v>46195</v>
      </c>
      <c r="C608" s="71" t="n">
        <v>46198</v>
      </c>
      <c r="D608" s="70" t="n">
        <v>581</v>
      </c>
      <c r="E608" s="72" t="inlineStr">
        <is>
          <t>LIMA E BARANDA COMERCIO DE PRODUTOS REGI</t>
        </is>
      </c>
      <c r="F608" s="70" t="n">
        <v>24</v>
      </c>
      <c r="G608" s="72" t="inlineStr">
        <is>
          <t>Compra a Prazo - Boletos</t>
        </is>
      </c>
      <c r="H608" s="70" t="n">
        <v>2110101</v>
      </c>
      <c r="I608" s="72" t="inlineStr">
        <is>
          <t>FORNECEDORES DE MERCADORIA</t>
        </is>
      </c>
      <c r="J608" s="70" t="n">
        <v>1289632</v>
      </c>
      <c r="L608" s="70" t="n">
        <v>31034</v>
      </c>
      <c r="M608" s="72" t="inlineStr">
        <is>
          <t>01</t>
        </is>
      </c>
      <c r="N608" s="72" t="inlineStr">
        <is>
          <t>NFE</t>
        </is>
      </c>
      <c r="P608" s="70" t="n">
        <v>103</v>
      </c>
      <c r="Q608" s="72" t="inlineStr">
        <is>
          <t>MILKA FRANCIS</t>
        </is>
      </c>
      <c r="R608" s="72" t="inlineStr">
        <is>
          <t>ESTOQUE DE MERCADORIAS</t>
        </is>
      </c>
      <c r="S608" s="70" t="n">
        <v>1130101</v>
      </c>
      <c r="T608" s="72" t="inlineStr">
        <is>
          <t>MERCADORIAS P/REVENDA</t>
        </is>
      </c>
      <c r="U608" s="73" t="n">
        <v>233.5</v>
      </c>
      <c r="W608" s="73" t="n">
        <v>0</v>
      </c>
      <c r="X608" s="72" t="inlineStr">
        <is>
          <t>NF 31034 - MILKA</t>
        </is>
      </c>
      <c r="Z608" s="59">
        <f>IF($T608="","",IFERROR(INDEX('Resumo Grupos'!$AC$3:$AC$200,MATCH($T608,'Resumo Grupos'!$AB$3:$AB$200,0)),"n/d"))</f>
        <v/>
      </c>
      <c r="AA608" s="59">
        <f>IF($T608="","",IF(COUNTIF('Resumo Grupos'!$AE$3:$AE$40,$T608)&gt;0,"NAO","SIM"))</f>
        <v/>
      </c>
    </row>
    <row r="609" ht="63.75" customHeight="1" s="60">
      <c r="A609" s="70" t="n">
        <v>1</v>
      </c>
      <c r="B609" s="71" t="n">
        <v>46197</v>
      </c>
      <c r="C609" s="71" t="n">
        <v>46198</v>
      </c>
      <c r="D609" s="70" t="n">
        <v>642</v>
      </c>
      <c r="E609" s="72" t="inlineStr">
        <is>
          <t>ADICSO FABIAN GONZALEZ MONTILLA 70302186</t>
        </is>
      </c>
      <c r="F609" s="70" t="n">
        <v>24</v>
      </c>
      <c r="G609" s="72" t="inlineStr">
        <is>
          <t>Compra a Prazo - Boletos</t>
        </is>
      </c>
      <c r="H609" s="70" t="n">
        <v>2110101</v>
      </c>
      <c r="I609" s="72" t="inlineStr">
        <is>
          <t>FORNECEDORES DE MERCADORIA</t>
        </is>
      </c>
      <c r="J609" s="70" t="n">
        <v>1299594</v>
      </c>
      <c r="L609" s="70" t="n">
        <v>508</v>
      </c>
      <c r="M609" s="72" t="inlineStr">
        <is>
          <t>01</t>
        </is>
      </c>
      <c r="N609" s="72" t="inlineStr">
        <is>
          <t>NFE</t>
        </is>
      </c>
      <c r="P609" s="70" t="n">
        <v>103</v>
      </c>
      <c r="Q609" s="72" t="inlineStr">
        <is>
          <t>MILKA FRANCIS</t>
        </is>
      </c>
      <c r="R609" s="72" t="inlineStr">
        <is>
          <t>ESTOQUE DE MERCADORIAS</t>
        </is>
      </c>
      <c r="S609" s="70" t="n">
        <v>1130101</v>
      </c>
      <c r="T609" s="72" t="inlineStr">
        <is>
          <t>MERCADORIAS P/REVENDA</t>
        </is>
      </c>
      <c r="U609" s="73" t="n">
        <v>660</v>
      </c>
      <c r="W609" s="73" t="n">
        <v>0</v>
      </c>
      <c r="X609" s="72" t="inlineStr">
        <is>
          <t>NF 508 BLOOM - MILKA</t>
        </is>
      </c>
      <c r="Z609" s="59">
        <f>IF($T609="","",IFERROR(INDEX('Resumo Grupos'!$AC$3:$AC$200,MATCH($T609,'Resumo Grupos'!$AB$3:$AB$200,0)),"n/d"))</f>
        <v/>
      </c>
      <c r="AA609" s="59">
        <f>IF($T609="","",IF(COUNTIF('Resumo Grupos'!$AE$3:$AE$40,$T609)&gt;0,"NAO","SIM"))</f>
        <v/>
      </c>
    </row>
    <row r="610" ht="36.75" customHeight="1" s="60">
      <c r="A610" s="70" t="n">
        <v>1</v>
      </c>
      <c r="B610" s="71" t="n">
        <v>46198</v>
      </c>
      <c r="C610" s="71" t="n">
        <v>46198</v>
      </c>
      <c r="D610" s="70" t="n">
        <v>17</v>
      </c>
      <c r="E610" s="72" t="inlineStr">
        <is>
          <t>NEYLIANE SILVA DE OLIVEIRA</t>
        </is>
      </c>
      <c r="F610" s="70" t="n">
        <v>34</v>
      </c>
      <c r="G610" s="72" t="inlineStr">
        <is>
          <t>Transferencia Pix</t>
        </is>
      </c>
      <c r="H610" s="70" t="n">
        <v>2110405</v>
      </c>
      <c r="I610" s="72" t="inlineStr">
        <is>
          <t>CONTAS A PAGAR</t>
        </is>
      </c>
      <c r="J610" s="70" t="n">
        <v>1305866</v>
      </c>
      <c r="L610" s="70" t="n">
        <v>540359</v>
      </c>
      <c r="M610" s="72" t="inlineStr">
        <is>
          <t>01</t>
        </is>
      </c>
      <c r="N610" s="72" t="inlineStr">
        <is>
          <t>AVU</t>
        </is>
      </c>
      <c r="P610" s="70" t="n">
        <v>102</v>
      </c>
      <c r="Q610" s="72" t="inlineStr">
        <is>
          <t>ANDREZA ANDRADE</t>
        </is>
      </c>
      <c r="R610" s="72" t="inlineStr">
        <is>
          <t>DESPESAS NAO OPERACIONAIS</t>
        </is>
      </c>
      <c r="S610" s="70" t="n">
        <v>4220199</v>
      </c>
      <c r="T610" s="72" t="inlineStr">
        <is>
          <t>PAGAMENTOS OUTROS NAO OPERACIONAIS</t>
        </is>
      </c>
      <c r="U610" s="73" t="n">
        <v>4800</v>
      </c>
      <c r="W610" s="73" t="n">
        <v>0</v>
      </c>
      <c r="X610" s="72" t="inlineStr">
        <is>
          <t>pl neila alugeul casa-andreza</t>
        </is>
      </c>
      <c r="Z610" s="59">
        <f>IF($T610="","",IFERROR(INDEX('Resumo Grupos'!$AC$3:$AC$200,MATCH($T610,'Resumo Grupos'!$AB$3:$AB$200,0)),"n/d"))</f>
        <v/>
      </c>
      <c r="AA610" s="59">
        <f>IF($T610="","",IF(COUNTIF('Resumo Grupos'!$AE$3:$AE$40,$T610)&gt;0,"NAO","SIM"))</f>
        <v/>
      </c>
    </row>
    <row r="611" ht="36.75" customHeight="1" s="60">
      <c r="A611" s="70" t="n">
        <v>1</v>
      </c>
      <c r="B611" s="71" t="n">
        <v>46198</v>
      </c>
      <c r="C611" s="71" t="n">
        <v>46198</v>
      </c>
      <c r="D611" s="70" t="n">
        <v>875</v>
      </c>
      <c r="E611" s="72" t="inlineStr">
        <is>
          <t>A. CORREA JUNIOR</t>
        </is>
      </c>
      <c r="F611" s="70" t="n">
        <v>36</v>
      </c>
      <c r="G611" s="72" t="inlineStr">
        <is>
          <t>Cartao BB 1 Novo Visa 0499 Venc 25</t>
        </is>
      </c>
      <c r="H611" s="70" t="n">
        <v>2110101</v>
      </c>
      <c r="I611" s="72" t="inlineStr">
        <is>
          <t>FORNECEDORES DE MERCADORIA</t>
        </is>
      </c>
      <c r="J611" s="70" t="n">
        <v>1305944</v>
      </c>
      <c r="L611" s="70" t="n">
        <v>540382</v>
      </c>
      <c r="M611" s="72" t="inlineStr">
        <is>
          <t>01</t>
        </is>
      </c>
      <c r="N611" s="72" t="inlineStr">
        <is>
          <t>AVU</t>
        </is>
      </c>
      <c r="P611" s="70" t="n">
        <v>102</v>
      </c>
      <c r="Q611" s="72" t="inlineStr">
        <is>
          <t>ANDREZA ANDRADE</t>
        </is>
      </c>
      <c r="R611" s="72" t="inlineStr">
        <is>
          <t>ESTOQUE DE MERCADORIAS</t>
        </is>
      </c>
      <c r="S611" s="70" t="n">
        <v>1130101</v>
      </c>
      <c r="T611" s="72" t="inlineStr">
        <is>
          <t>MERCADORIAS P/REVENDA</t>
        </is>
      </c>
      <c r="U611" s="73" t="n">
        <v>2564.18</v>
      </c>
      <c r="W611" s="73" t="n">
        <v>0</v>
      </c>
      <c r="X611" s="72" t="inlineStr">
        <is>
          <t>MP JRACESSORIOS 01/3-ANDREZA</t>
        </is>
      </c>
      <c r="Z611" s="59">
        <f>IF($T611="","",IFERROR(INDEX('Resumo Grupos'!$AC$3:$AC$200,MATCH($T611,'Resumo Grupos'!$AB$3:$AB$200,0)),"n/d"))</f>
        <v/>
      </c>
      <c r="AA611" s="59">
        <f>IF($T611="","",IF(COUNTIF('Resumo Grupos'!$AE$3:$AE$40,$T611)&gt;0,"NAO","SIM"))</f>
        <v/>
      </c>
    </row>
    <row r="612" ht="36.75" customHeight="1" s="60">
      <c r="A612" s="70" t="n">
        <v>1</v>
      </c>
      <c r="B612" s="71" t="n">
        <v>46198</v>
      </c>
      <c r="C612" s="71" t="n">
        <v>46198</v>
      </c>
      <c r="D612" s="70" t="n">
        <v>954</v>
      </c>
      <c r="E612" s="72" t="inlineStr">
        <is>
          <t>PETROVAN DERIVADOS DE PETROLEO LTDA</t>
        </is>
      </c>
      <c r="F612" s="70" t="n">
        <v>36</v>
      </c>
      <c r="G612" s="72" t="inlineStr">
        <is>
          <t>Cartao BB 1 Novo Visa 0499 Venc 25</t>
        </is>
      </c>
      <c r="H612" s="70" t="n">
        <v>2110405</v>
      </c>
      <c r="I612" s="72" t="inlineStr">
        <is>
          <t>CONTAS A PAGAR</t>
        </is>
      </c>
      <c r="J612" s="70" t="n">
        <v>1306019</v>
      </c>
      <c r="L612" s="70" t="n">
        <v>540403</v>
      </c>
      <c r="M612" s="72" t="inlineStr">
        <is>
          <t>01</t>
        </is>
      </c>
      <c r="N612" s="72" t="inlineStr">
        <is>
          <t>AVU</t>
        </is>
      </c>
      <c r="P612" s="70" t="n">
        <v>101</v>
      </c>
      <c r="Q612" s="72" t="inlineStr">
        <is>
          <t>KEILA LIMA</t>
        </is>
      </c>
      <c r="R612" s="72" t="inlineStr">
        <is>
          <t>DESPESAS OPERACIONAIS</t>
        </is>
      </c>
      <c r="S612" s="70" t="n">
        <v>4210209</v>
      </c>
      <c r="T612" s="72" t="inlineStr">
        <is>
          <t>COMBUSTIVEIS</t>
        </is>
      </c>
      <c r="U612" s="73" t="n">
        <v>462.4</v>
      </c>
      <c r="W612" s="73" t="n">
        <v>0</v>
      </c>
      <c r="X612" s="72" t="inlineStr">
        <is>
          <t>COMBUSTIVEL S10 RENATO - KEILA</t>
        </is>
      </c>
      <c r="Z612" s="59">
        <f>IF($T612="","",IFERROR(INDEX('Resumo Grupos'!$AC$3:$AC$200,MATCH($T612,'Resumo Grupos'!$AB$3:$AB$200,0)),"n/d"))</f>
        <v/>
      </c>
      <c r="AA612" s="59">
        <f>IF($T612="","",IF(COUNTIF('Resumo Grupos'!$AE$3:$AE$40,$T612)&gt;0,"NAO","SIM"))</f>
        <v/>
      </c>
    </row>
    <row r="613" ht="45.75" customHeight="1" s="60">
      <c r="A613" s="70" t="n">
        <v>1</v>
      </c>
      <c r="B613" s="71" t="n">
        <v>46198</v>
      </c>
      <c r="C613" s="71" t="n">
        <v>46198</v>
      </c>
      <c r="D613" s="70" t="n">
        <v>1779</v>
      </c>
      <c r="E613" s="72" t="inlineStr">
        <is>
          <t>BANCO DO BRASIL SA</t>
        </is>
      </c>
      <c r="F613" s="70" t="n">
        <v>34</v>
      </c>
      <c r="G613" s="72" t="inlineStr">
        <is>
          <t>Transferencia Pix</t>
        </is>
      </c>
      <c r="H613" s="70" t="n">
        <v>2110405</v>
      </c>
      <c r="I613" s="72" t="inlineStr">
        <is>
          <t>CONTAS A PAGAR</t>
        </is>
      </c>
      <c r="J613" s="70" t="n">
        <v>1306041</v>
      </c>
      <c r="L613" s="70" t="n">
        <v>540409</v>
      </c>
      <c r="M613" s="72" t="inlineStr">
        <is>
          <t>01</t>
        </is>
      </c>
      <c r="N613" s="72" t="inlineStr">
        <is>
          <t>AVU</t>
        </is>
      </c>
      <c r="P613" s="70" t="n">
        <v>102</v>
      </c>
      <c r="Q613" s="72" t="inlineStr">
        <is>
          <t>ANDREZA ANDRADE</t>
        </is>
      </c>
      <c r="R613" s="72" t="inlineStr">
        <is>
          <t>DESPESAS NAO OPERACIONAIS</t>
        </is>
      </c>
      <c r="S613" s="70" t="n">
        <v>4220199</v>
      </c>
      <c r="T613" s="72" t="inlineStr">
        <is>
          <t>PAGAMENTOS OUTROS NAO OPERACIONAIS</t>
        </is>
      </c>
      <c r="U613" s="73" t="n">
        <v>8700</v>
      </c>
      <c r="W613" s="73" t="n">
        <v>0</v>
      </c>
      <c r="X613" s="72" t="inlineStr">
        <is>
          <t>COBERTURA DE CONTA BB 1NV-ANDREZA</t>
        </is>
      </c>
      <c r="Z613" s="59">
        <f>IF($T613="","",IFERROR(INDEX('Resumo Grupos'!$AC$3:$AC$200,MATCH($T613,'Resumo Grupos'!$AB$3:$AB$200,0)),"n/d"))</f>
        <v/>
      </c>
      <c r="AA613" s="59">
        <f>IF($T613="","",IF(COUNTIF('Resumo Grupos'!$AE$3:$AE$40,$T613)&gt;0,"NAO","SIM"))</f>
        <v/>
      </c>
    </row>
    <row r="614" ht="72.75" customHeight="1" s="60">
      <c r="A614" s="70" t="n">
        <v>1</v>
      </c>
      <c r="B614" s="71" t="n">
        <v>46198</v>
      </c>
      <c r="C614" s="71" t="n">
        <v>46198</v>
      </c>
      <c r="D614" s="70" t="n">
        <v>978</v>
      </c>
      <c r="E614" s="72" t="inlineStr">
        <is>
          <t>GELO DANGELO FABRICACAO DE GELO LTDA</t>
        </is>
      </c>
      <c r="F614" s="70" t="n">
        <v>13</v>
      </c>
      <c r="G614" s="72" t="inlineStr">
        <is>
          <t>Compra a Vista</t>
        </is>
      </c>
      <c r="H614" s="70" t="n">
        <v>2110101</v>
      </c>
      <c r="I614" s="72" t="inlineStr">
        <is>
          <t>FORNECEDORES DE MERCADORIA</t>
        </is>
      </c>
      <c r="J614" s="70" t="n">
        <v>1308996</v>
      </c>
      <c r="L614" s="70" t="n">
        <v>318</v>
      </c>
      <c r="M614" s="72" t="inlineStr">
        <is>
          <t>01</t>
        </is>
      </c>
      <c r="N614" s="72" t="inlineStr">
        <is>
          <t>NFE</t>
        </is>
      </c>
      <c r="P614" s="70" t="n">
        <v>104</v>
      </c>
      <c r="Q614" s="72" t="inlineStr">
        <is>
          <t>DEBORA COSTA</t>
        </is>
      </c>
      <c r="R614" s="72" t="inlineStr">
        <is>
          <t>ESTOQUE DE MERCADORIAS</t>
        </is>
      </c>
      <c r="S614" s="70" t="n">
        <v>1130101</v>
      </c>
      <c r="T614" s="72" t="inlineStr">
        <is>
          <t>MERCADORIAS P/REVENDA</t>
        </is>
      </c>
      <c r="U614" s="73" t="n">
        <v>416.5</v>
      </c>
      <c r="W614" s="73" t="n">
        <v>0</v>
      </c>
      <c r="X614" s="72" t="inlineStr">
        <is>
          <t>NF 318 - DEBORA</t>
        </is>
      </c>
      <c r="Z614" s="59">
        <f>IF($T614="","",IFERROR(INDEX('Resumo Grupos'!$AC$3:$AC$200,MATCH($T614,'Resumo Grupos'!$AB$3:$AB$200,0)),"n/d"))</f>
        <v/>
      </c>
      <c r="AA614" s="59">
        <f>IF($T614="","",IF(COUNTIF('Resumo Grupos'!$AE$3:$AE$40,$T614)&gt;0,"NAO","SIM"))</f>
        <v/>
      </c>
    </row>
    <row r="615" ht="45.75" customHeight="1" s="60">
      <c r="A615" s="70" t="n">
        <v>1</v>
      </c>
      <c r="B615" s="71" t="n">
        <v>46198</v>
      </c>
      <c r="C615" s="71" t="n">
        <v>46198</v>
      </c>
      <c r="D615" s="70" t="n">
        <v>1173</v>
      </c>
      <c r="E615" s="72" t="inlineStr">
        <is>
          <t>MELISSA COMERCIO E DISTRIBUIDORA DE GAS</t>
        </is>
      </c>
      <c r="F615" s="70" t="n">
        <v>13</v>
      </c>
      <c r="G615" s="72" t="inlineStr">
        <is>
          <t>Compra a Vista</t>
        </is>
      </c>
      <c r="H615" s="70" t="n">
        <v>2110101</v>
      </c>
      <c r="I615" s="72" t="inlineStr">
        <is>
          <t>FORNECEDORES DE MERCADORIA</t>
        </is>
      </c>
      <c r="J615" s="70" t="n">
        <v>1309245</v>
      </c>
      <c r="L615" s="70" t="n">
        <v>1020</v>
      </c>
      <c r="M615" s="72" t="inlineStr">
        <is>
          <t>01</t>
        </is>
      </c>
      <c r="N615" s="72" t="inlineStr">
        <is>
          <t>NFE</t>
        </is>
      </c>
      <c r="P615" s="70" t="n">
        <v>104</v>
      </c>
      <c r="Q615" s="72" t="inlineStr">
        <is>
          <t>DEBORA COSTA</t>
        </is>
      </c>
      <c r="R615" s="72" t="inlineStr">
        <is>
          <t>ESTOQUE DE MERCADORIAS</t>
        </is>
      </c>
      <c r="S615" s="70" t="n">
        <v>1130101</v>
      </c>
      <c r="T615" s="72" t="inlineStr">
        <is>
          <t>MERCADORIAS P/REVENDA</t>
        </is>
      </c>
      <c r="U615" s="73" t="n">
        <v>180</v>
      </c>
      <c r="W615" s="73" t="n">
        <v>0</v>
      </c>
      <c r="X615" s="72" t="inlineStr">
        <is>
          <t>NF 1020 - DEBORA</t>
        </is>
      </c>
      <c r="Z615" s="59">
        <f>IF($T615="","",IFERROR(INDEX('Resumo Grupos'!$AC$3:$AC$200,MATCH($T615,'Resumo Grupos'!$AB$3:$AB$200,0)),"n/d"))</f>
        <v/>
      </c>
      <c r="AA615" s="59">
        <f>IF($T615="","",IF(COUNTIF('Resumo Grupos'!$AE$3:$AE$40,$T615)&gt;0,"NAO","SIM"))</f>
        <v/>
      </c>
    </row>
    <row r="616" ht="45.75" customHeight="1" s="60">
      <c r="A616" s="70" t="n">
        <v>1</v>
      </c>
      <c r="B616" s="71" t="n">
        <v>46198</v>
      </c>
      <c r="C616" s="71" t="n">
        <v>46198</v>
      </c>
      <c r="D616" s="70" t="n">
        <v>10086</v>
      </c>
      <c r="E616" s="72" t="inlineStr">
        <is>
          <t>66.356.670 FRANCISCO CARLOS FERNANDES COSTA</t>
        </is>
      </c>
      <c r="F616" s="70" t="n">
        <v>13</v>
      </c>
      <c r="G616" s="72" t="inlineStr">
        <is>
          <t>Compra a Vista</t>
        </is>
      </c>
      <c r="H616" s="70" t="n">
        <v>2110101</v>
      </c>
      <c r="I616" s="72" t="inlineStr">
        <is>
          <t>FORNECEDORES DE MERCADORIA</t>
        </is>
      </c>
      <c r="J616" s="70" t="n">
        <v>1312804</v>
      </c>
      <c r="L616" s="70" t="n">
        <v>47</v>
      </c>
      <c r="M616" s="72" t="inlineStr">
        <is>
          <t>01</t>
        </is>
      </c>
      <c r="N616" s="72" t="inlineStr">
        <is>
          <t>NFE</t>
        </is>
      </c>
      <c r="P616" s="70" t="n">
        <v>104</v>
      </c>
      <c r="Q616" s="72" t="inlineStr">
        <is>
          <t>DEBORA COSTA</t>
        </is>
      </c>
      <c r="R616" s="72" t="inlineStr">
        <is>
          <t>ESTOQUE DE MERCADORIAS</t>
        </is>
      </c>
      <c r="S616" s="70" t="n">
        <v>1130101</v>
      </c>
      <c r="T616" s="72" t="inlineStr">
        <is>
          <t>MERCADORIAS P/REVENDA</t>
        </is>
      </c>
      <c r="U616" s="73" t="n">
        <v>640</v>
      </c>
      <c r="W616" s="73" t="n">
        <v>0</v>
      </c>
      <c r="X616" s="72" t="inlineStr">
        <is>
          <t>NF 47 - DEBORA</t>
        </is>
      </c>
      <c r="Z616" s="59">
        <f>IF($T616="","",IFERROR(INDEX('Resumo Grupos'!$AC$3:$AC$200,MATCH($T616,'Resumo Grupos'!$AB$3:$AB$200,0)),"n/d"))</f>
        <v/>
      </c>
      <c r="AA616" s="59">
        <f>IF($T616="","",IF(COUNTIF('Resumo Grupos'!$AE$3:$AE$40,$T616)&gt;0,"NAO","SIM"))</f>
        <v/>
      </c>
    </row>
    <row r="617" ht="36.75" customHeight="1" s="60">
      <c r="A617" s="70" t="n">
        <v>1</v>
      </c>
      <c r="B617" s="71" t="n">
        <v>46198</v>
      </c>
      <c r="C617" s="71" t="n">
        <v>46198</v>
      </c>
      <c r="D617" s="70" t="n">
        <v>1137</v>
      </c>
      <c r="E617" s="72" t="inlineStr">
        <is>
          <t xml:space="preserve">FOLHA DE PAGAMENTO </t>
        </is>
      </c>
      <c r="F617" s="70" t="n">
        <v>34</v>
      </c>
      <c r="G617" s="72" t="inlineStr">
        <is>
          <t>Transferencia Pix</t>
        </is>
      </c>
      <c r="H617" s="70" t="n">
        <v>2110405</v>
      </c>
      <c r="I617" s="72" t="inlineStr">
        <is>
          <t>CONTAS A PAGAR</t>
        </is>
      </c>
      <c r="J617" s="70" t="n">
        <v>1313075</v>
      </c>
      <c r="L617" s="70" t="n">
        <v>543668</v>
      </c>
      <c r="M617" s="72" t="inlineStr">
        <is>
          <t>01</t>
        </is>
      </c>
      <c r="N617" s="72" t="inlineStr">
        <is>
          <t>AVU</t>
        </is>
      </c>
      <c r="P617" s="70" t="n">
        <v>101</v>
      </c>
      <c r="Q617" s="72" t="inlineStr">
        <is>
          <t>KEILA LIMA</t>
        </is>
      </c>
      <c r="R617" s="72" t="inlineStr">
        <is>
          <t>DESPESAS COM PESSOAL</t>
        </is>
      </c>
      <c r="S617" s="70" t="n">
        <v>4210301</v>
      </c>
      <c r="T617" s="72" t="inlineStr">
        <is>
          <t>SALARIOS</t>
        </is>
      </c>
      <c r="U617" s="73" t="n">
        <v>750</v>
      </c>
      <c r="W617" s="73" t="n">
        <v>0</v>
      </c>
      <c r="X617" s="72" t="inlineStr">
        <is>
          <t>ADIANT SALARIO 06/26</t>
        </is>
      </c>
      <c r="Z617" s="59">
        <f>IF($T617="","",IFERROR(INDEX('Resumo Grupos'!$AC$3:$AC$200,MATCH($T617,'Resumo Grupos'!$AB$3:$AB$200,0)),"n/d"))</f>
        <v/>
      </c>
      <c r="AA617" s="59">
        <f>IF($T617="","",IF(COUNTIF('Resumo Grupos'!$AE$3:$AE$40,$T617)&gt;0,"NAO","SIM"))</f>
        <v/>
      </c>
    </row>
    <row r="618" ht="36.75" customHeight="1" s="60">
      <c r="A618" s="70" t="n">
        <v>1</v>
      </c>
      <c r="B618" s="71" t="n">
        <v>46232</v>
      </c>
      <c r="C618" s="71" t="n">
        <v>46198</v>
      </c>
      <c r="D618" s="70" t="n">
        <v>1064</v>
      </c>
      <c r="E618" s="72" t="inlineStr">
        <is>
          <t>MIR IMPORTACAO E EXPORTACAO LTDA</t>
        </is>
      </c>
      <c r="F618" s="70" t="n">
        <v>36</v>
      </c>
      <c r="G618" s="72" t="inlineStr">
        <is>
          <t>Cartao BB 1 Novo Visa 0499 Venc 25</t>
        </is>
      </c>
      <c r="H618" s="70" t="n">
        <v>1110202</v>
      </c>
      <c r="I618" s="72" t="inlineStr">
        <is>
          <t>BANCO ITAU Lj 01</t>
        </is>
      </c>
      <c r="J618" s="70" t="n">
        <v>1469530</v>
      </c>
      <c r="L618" s="70" t="n">
        <v>603893</v>
      </c>
      <c r="M618" s="72" t="inlineStr">
        <is>
          <t>02</t>
        </is>
      </c>
      <c r="N618" s="72" t="inlineStr">
        <is>
          <t>AVU</t>
        </is>
      </c>
      <c r="P618" s="70" t="n">
        <v>102</v>
      </c>
      <c r="Q618" s="72" t="inlineStr">
        <is>
          <t>ANDREZA ANDRADE</t>
        </is>
      </c>
      <c r="R618" s="72" t="inlineStr">
        <is>
          <t>DESPESAS OPERACIONAIS</t>
        </is>
      </c>
      <c r="S618" s="70" t="n">
        <v>4210227</v>
      </c>
      <c r="T618" s="72" t="inlineStr">
        <is>
          <t>DESPESAS LOJA</t>
        </is>
      </c>
      <c r="U618" s="73" t="n">
        <v>256.58</v>
      </c>
      <c r="W618" s="73" t="n">
        <v>0</v>
      </c>
      <c r="X618" s="72" t="inlineStr">
        <is>
          <t>COMPRA/RAMSONS/GELADEIRA P/ COZINHA -ANDREZA NF39685</t>
        </is>
      </c>
      <c r="Z618" s="59">
        <f>IF($T618="","",IFERROR(INDEX('Resumo Grupos'!$AC$3:$AC$200,MATCH($T618,'Resumo Grupos'!$AB$3:$AB$200,0)),"n/d"))</f>
        <v/>
      </c>
      <c r="AA618" s="59">
        <f>IF($T618="","",IF(COUNTIF('Resumo Grupos'!$AE$3:$AE$40,$T618)&gt;0,"NAO","SIM"))</f>
        <v/>
      </c>
    </row>
    <row r="619" ht="36.75" customHeight="1" s="60">
      <c r="A619" s="70" t="n">
        <v>1</v>
      </c>
      <c r="B619" s="71" t="n">
        <v>46142</v>
      </c>
      <c r="C619" s="71" t="n">
        <v>46199</v>
      </c>
      <c r="D619" s="70" t="n">
        <v>607</v>
      </c>
      <c r="E619" s="72" t="inlineStr">
        <is>
          <t>PRIME PET DISTRIBUIDORA LTDA</t>
        </is>
      </c>
      <c r="F619" s="70" t="n">
        <v>24</v>
      </c>
      <c r="G619" s="72" t="inlineStr">
        <is>
          <t>Compra a Prazo - Boletos</t>
        </is>
      </c>
      <c r="H619" s="70" t="n">
        <v>2110101</v>
      </c>
      <c r="I619" s="72" t="inlineStr">
        <is>
          <t>FORNECEDORES DE MERCADORIA</t>
        </is>
      </c>
      <c r="J619" s="70" t="n">
        <v>1028242</v>
      </c>
      <c r="L619" s="70" t="n">
        <v>10262</v>
      </c>
      <c r="M619" s="72" t="inlineStr">
        <is>
          <t>04</t>
        </is>
      </c>
      <c r="N619" s="72" t="inlineStr">
        <is>
          <t>NFE</t>
        </is>
      </c>
      <c r="P619" s="70" t="n">
        <v>103</v>
      </c>
      <c r="Q619" s="72" t="inlineStr">
        <is>
          <t>MILKA FRANCIS</t>
        </is>
      </c>
      <c r="R619" s="72" t="inlineStr">
        <is>
          <t>ESTOQUE DE MERCADORIAS</t>
        </is>
      </c>
      <c r="S619" s="70" t="n">
        <v>1130101</v>
      </c>
      <c r="T619" s="72" t="inlineStr">
        <is>
          <t>MERCADORIAS P/REVENDA</t>
        </is>
      </c>
      <c r="U619" s="73" t="n">
        <v>1488.3</v>
      </c>
      <c r="W619" s="73" t="n">
        <v>0</v>
      </c>
      <c r="X619" s="72" t="inlineStr">
        <is>
          <t>NF 10262 -04/09 MILKA</t>
        </is>
      </c>
      <c r="Z619" s="59">
        <f>IF($T619="","",IFERROR(INDEX('Resumo Grupos'!$AC$3:$AC$200,MATCH($T619,'Resumo Grupos'!$AB$3:$AB$200,0)),"n/d"))</f>
        <v/>
      </c>
      <c r="AA619" s="59">
        <f>IF($T619="","",IF(COUNTIF('Resumo Grupos'!$AE$3:$AE$40,$T619)&gt;0,"NAO","SIM"))</f>
        <v/>
      </c>
    </row>
    <row r="620" ht="36.75" customHeight="1" s="60">
      <c r="A620" s="70" t="n">
        <v>1</v>
      </c>
      <c r="B620" s="71" t="n">
        <v>46172</v>
      </c>
      <c r="C620" s="71" t="n">
        <v>46199</v>
      </c>
      <c r="D620" s="70" t="n">
        <v>10037</v>
      </c>
      <c r="E620" s="72" t="inlineStr">
        <is>
          <t>FORTVET DISTRIBUIDORA LTDA</t>
        </is>
      </c>
      <c r="F620" s="70" t="n">
        <v>24</v>
      </c>
      <c r="G620" s="72" t="inlineStr">
        <is>
          <t>Compra a Prazo - Boletos</t>
        </is>
      </c>
      <c r="H620" s="70" t="n">
        <v>2110101</v>
      </c>
      <c r="I620" s="72" t="inlineStr">
        <is>
          <t>FORNECEDORES DE MERCADORIA</t>
        </is>
      </c>
      <c r="J620" s="70" t="n">
        <v>1177340</v>
      </c>
      <c r="L620" s="70" t="n">
        <v>2068</v>
      </c>
      <c r="M620" s="72" t="inlineStr">
        <is>
          <t>03</t>
        </is>
      </c>
      <c r="N620" s="72" t="inlineStr">
        <is>
          <t>NFE</t>
        </is>
      </c>
      <c r="P620" s="70" t="n">
        <v>103</v>
      </c>
      <c r="Q620" s="72" t="inlineStr">
        <is>
          <t>MILKA FRANCIS</t>
        </is>
      </c>
      <c r="R620" s="72" t="inlineStr">
        <is>
          <t>ESTOQUE DE MERCADORIAS</t>
        </is>
      </c>
      <c r="S620" s="70" t="n">
        <v>1130101</v>
      </c>
      <c r="T620" s="72" t="inlineStr">
        <is>
          <t>MERCADORIAS P/REVENDA</t>
        </is>
      </c>
      <c r="U620" s="73" t="n">
        <v>1609.45</v>
      </c>
      <c r="W620" s="73" t="n">
        <v>0</v>
      </c>
      <c r="X620" s="72" t="inlineStr">
        <is>
          <t>NF2068-3 MILKA</t>
        </is>
      </c>
      <c r="Z620" s="59">
        <f>IF($T620="","",IFERROR(INDEX('Resumo Grupos'!$AC$3:$AC$200,MATCH($T620,'Resumo Grupos'!$AB$3:$AB$200,0)),"n/d"))</f>
        <v/>
      </c>
      <c r="AA620" s="59">
        <f>IF($T620="","",IF(COUNTIF('Resumo Grupos'!$AE$3:$AE$40,$T620)&gt;0,"NAO","SIM"))</f>
        <v/>
      </c>
    </row>
    <row r="621" ht="36.75" customHeight="1" s="60">
      <c r="A621" s="70" t="n">
        <v>1</v>
      </c>
      <c r="B621" s="71" t="n">
        <v>46169</v>
      </c>
      <c r="C621" s="71" t="n">
        <v>46199</v>
      </c>
      <c r="D621" s="70" t="n">
        <v>1711</v>
      </c>
      <c r="E621" s="72" t="inlineStr">
        <is>
          <t>J. A. F. DE LIMA</t>
        </is>
      </c>
      <c r="F621" s="70" t="n">
        <v>24</v>
      </c>
      <c r="G621" s="72" t="inlineStr">
        <is>
          <t>Compra a Prazo - Boletos</t>
        </is>
      </c>
      <c r="H621" s="70" t="n">
        <v>2110101</v>
      </c>
      <c r="I621" s="72" t="inlineStr">
        <is>
          <t>FORNECEDORES DE MERCADORIA</t>
        </is>
      </c>
      <c r="J621" s="70" t="n">
        <v>1162093</v>
      </c>
      <c r="L621" s="70" t="n">
        <v>155121</v>
      </c>
      <c r="M621" s="72" t="inlineStr">
        <is>
          <t>03</t>
        </is>
      </c>
      <c r="N621" s="72" t="inlineStr">
        <is>
          <t>NFE</t>
        </is>
      </c>
      <c r="P621" s="70" t="n">
        <v>103</v>
      </c>
      <c r="Q621" s="72" t="inlineStr">
        <is>
          <t>MILKA FRANCIS</t>
        </is>
      </c>
      <c r="R621" s="72" t="inlineStr">
        <is>
          <t>ESTOQUE DE MERCADORIAS</t>
        </is>
      </c>
      <c r="S621" s="70" t="n">
        <v>1130101</v>
      </c>
      <c r="T621" s="72" t="inlineStr">
        <is>
          <t>MERCADORIAS P/REVENDA</t>
        </is>
      </c>
      <c r="U621" s="73" t="n">
        <v>1118.57</v>
      </c>
      <c r="W621" s="73" t="n">
        <v>0</v>
      </c>
      <c r="X621" s="72" t="inlineStr">
        <is>
          <t>NF 155121/3 MILKA</t>
        </is>
      </c>
      <c r="Z621" s="59">
        <f>IF($T621="","",IFERROR(INDEX('Resumo Grupos'!$AC$3:$AC$200,MATCH($T621,'Resumo Grupos'!$AB$3:$AB$200,0)),"n/d"))</f>
        <v/>
      </c>
      <c r="AA621" s="59">
        <f>IF($T621="","",IF(COUNTIF('Resumo Grupos'!$AE$3:$AE$40,$T621)&gt;0,"NAO","SIM"))</f>
        <v/>
      </c>
    </row>
    <row r="622" ht="36.75" customHeight="1" s="60">
      <c r="A622" s="70" t="n">
        <v>1</v>
      </c>
      <c r="B622" s="71" t="n">
        <v>46170</v>
      </c>
      <c r="C622" s="71" t="n">
        <v>46199</v>
      </c>
      <c r="D622" s="70" t="n">
        <v>1699</v>
      </c>
      <c r="E622" s="72" t="inlineStr">
        <is>
          <t>L S M COMERCIO DE ALIMENTOS E NAVEGACAO</t>
        </is>
      </c>
      <c r="F622" s="70" t="n">
        <v>24</v>
      </c>
      <c r="G622" s="72" t="inlineStr">
        <is>
          <t>Compra a Prazo - Boletos</t>
        </is>
      </c>
      <c r="H622" s="70" t="n">
        <v>2110101</v>
      </c>
      <c r="I622" s="72" t="inlineStr">
        <is>
          <t>FORNECEDORES DE MERCADORIA</t>
        </is>
      </c>
      <c r="J622" s="70" t="n">
        <v>1167683</v>
      </c>
      <c r="L622" s="70" t="n">
        <v>302508</v>
      </c>
      <c r="M622" s="72" t="inlineStr">
        <is>
          <t>03</t>
        </is>
      </c>
      <c r="N622" s="72" t="inlineStr">
        <is>
          <t>NFE</t>
        </is>
      </c>
      <c r="P622" s="70" t="n">
        <v>103</v>
      </c>
      <c r="Q622" s="72" t="inlineStr">
        <is>
          <t>MILKA FRANCIS</t>
        </is>
      </c>
      <c r="R622" s="72" t="inlineStr">
        <is>
          <t>ESTOQUE DE MERCADORIAS</t>
        </is>
      </c>
      <c r="S622" s="70" t="n">
        <v>1130101</v>
      </c>
      <c r="T622" s="72" t="inlineStr">
        <is>
          <t>MERCADORIAS P/REVENDA</t>
        </is>
      </c>
      <c r="U622" s="73" t="n">
        <v>769.84</v>
      </c>
      <c r="W622" s="73" t="n">
        <v>0</v>
      </c>
      <c r="X622" s="72" t="inlineStr">
        <is>
          <t>NF 302508 - 3 MILKA</t>
        </is>
      </c>
      <c r="Z622" s="59">
        <f>IF($T622="","",IFERROR(INDEX('Resumo Grupos'!$AC$3:$AC$200,MATCH($T622,'Resumo Grupos'!$AB$3:$AB$200,0)),"n/d"))</f>
        <v/>
      </c>
      <c r="AA622" s="59">
        <f>IF($T622="","",IF(COUNTIF('Resumo Grupos'!$AE$3:$AE$40,$T622)&gt;0,"NAO","SIM"))</f>
        <v/>
      </c>
    </row>
    <row r="623" ht="36.75" customHeight="1" s="60">
      <c r="A623" s="70" t="n">
        <v>1</v>
      </c>
      <c r="B623" s="71" t="n">
        <v>46179</v>
      </c>
      <c r="C623" s="71" t="n">
        <v>46199</v>
      </c>
      <c r="D623" s="70" t="n">
        <v>1740</v>
      </c>
      <c r="E623" s="72" t="inlineStr">
        <is>
          <t>OCIDENTAL COMERCIO DE FRIOS LTDA</t>
        </is>
      </c>
      <c r="F623" s="70" t="n">
        <v>24</v>
      </c>
      <c r="G623" s="72" t="inlineStr">
        <is>
          <t>Compra a Prazo - Boletos</t>
        </is>
      </c>
      <c r="H623" s="70" t="n">
        <v>2110101</v>
      </c>
      <c r="I623" s="72" t="inlineStr">
        <is>
          <t>FORNECEDORES DE MERCADORIA</t>
        </is>
      </c>
      <c r="J623" s="70" t="n">
        <v>1211026</v>
      </c>
      <c r="L623" s="70" t="n">
        <v>1233736</v>
      </c>
      <c r="M623" s="72" t="inlineStr">
        <is>
          <t>01</t>
        </is>
      </c>
      <c r="N623" s="72" t="inlineStr">
        <is>
          <t>NFE</t>
        </is>
      </c>
      <c r="P623" s="70" t="n">
        <v>103</v>
      </c>
      <c r="Q623" s="72" t="inlineStr">
        <is>
          <t>MILKA FRANCIS</t>
        </is>
      </c>
      <c r="R623" s="72" t="inlineStr">
        <is>
          <t>ESTOQUE DE MERCADORIAS</t>
        </is>
      </c>
      <c r="S623" s="70" t="n">
        <v>1130101</v>
      </c>
      <c r="T623" s="72" t="inlineStr">
        <is>
          <t>MERCADORIAS P/REVENDA</t>
        </is>
      </c>
      <c r="U623" s="73" t="n">
        <v>1105.12</v>
      </c>
      <c r="W623" s="73" t="n">
        <v>0</v>
      </c>
      <c r="X623" s="72" t="inlineStr">
        <is>
          <t>NF1233736 - MILKA</t>
        </is>
      </c>
      <c r="Z623" s="59">
        <f>IF($T623="","",IFERROR(INDEX('Resumo Grupos'!$AC$3:$AC$200,MATCH($T623,'Resumo Grupos'!$AB$3:$AB$200,0)),"n/d"))</f>
        <v/>
      </c>
      <c r="AA623" s="59">
        <f>IF($T623="","",IF(COUNTIF('Resumo Grupos'!$AE$3:$AE$40,$T623)&gt;0,"NAO","SIM"))</f>
        <v/>
      </c>
    </row>
    <row r="624" ht="18.75" customHeight="1" s="60">
      <c r="A624" s="70" t="n">
        <v>1</v>
      </c>
      <c r="B624" s="71" t="n">
        <v>46181</v>
      </c>
      <c r="C624" s="71" t="n">
        <v>46199</v>
      </c>
      <c r="D624" s="70" t="n">
        <v>1699</v>
      </c>
      <c r="E624" s="72" t="inlineStr">
        <is>
          <t>L S M COMERCIO DE ALIMENTOS E NAVEGACAO</t>
        </is>
      </c>
      <c r="F624" s="70" t="n">
        <v>24</v>
      </c>
      <c r="G624" s="72" t="inlineStr">
        <is>
          <t>Compra a Prazo - Boletos</t>
        </is>
      </c>
      <c r="H624" s="70" t="n">
        <v>2110101</v>
      </c>
      <c r="I624" s="72" t="inlineStr">
        <is>
          <t>FORNECEDORES DE MERCADORIA</t>
        </is>
      </c>
      <c r="J624" s="70" t="n">
        <v>1222961</v>
      </c>
      <c r="L624" s="70" t="n">
        <v>303409</v>
      </c>
      <c r="M624" s="72" t="inlineStr">
        <is>
          <t>02</t>
        </is>
      </c>
      <c r="N624" s="72" t="inlineStr">
        <is>
          <t>NFE</t>
        </is>
      </c>
      <c r="P624" s="70" t="n">
        <v>103</v>
      </c>
      <c r="Q624" s="72" t="inlineStr">
        <is>
          <t>MILKA FRANCIS</t>
        </is>
      </c>
      <c r="R624" s="72" t="inlineStr">
        <is>
          <t>ESTOQUE DE MERCADORIAS</t>
        </is>
      </c>
      <c r="S624" s="70" t="n">
        <v>1130101</v>
      </c>
      <c r="T624" s="72" t="inlineStr">
        <is>
          <t>MERCADORIAS P/REVENDA</t>
        </is>
      </c>
      <c r="U624" s="73" t="n">
        <v>1037.83</v>
      </c>
      <c r="W624" s="73" t="n">
        <v>0</v>
      </c>
      <c r="X624" s="72" t="inlineStr">
        <is>
          <t>NF 303409 -2 MILKA</t>
        </is>
      </c>
      <c r="Z624" s="59">
        <f>IF($T624="","",IFERROR(INDEX('Resumo Grupos'!$AC$3:$AC$200,MATCH($T624,'Resumo Grupos'!$AB$3:$AB$200,0)),"n/d"))</f>
        <v/>
      </c>
      <c r="AA624" s="59">
        <f>IF($T624="","",IF(COUNTIF('Resumo Grupos'!$AE$3:$AE$40,$T624)&gt;0,"NAO","SIM"))</f>
        <v/>
      </c>
    </row>
    <row r="625" ht="18.75" customHeight="1" s="60">
      <c r="A625" s="70" t="n">
        <v>1</v>
      </c>
      <c r="B625" s="71" t="n">
        <v>46182</v>
      </c>
      <c r="C625" s="71" t="n">
        <v>46199</v>
      </c>
      <c r="D625" s="70" t="n">
        <v>1626</v>
      </c>
      <c r="E625" s="72" t="inlineStr">
        <is>
          <t>FENNIX BRASIL DISTRIBUIDORA DE PRODUTOS</t>
        </is>
      </c>
      <c r="F625" s="70" t="n">
        <v>24</v>
      </c>
      <c r="G625" s="72" t="inlineStr">
        <is>
          <t>Compra a Prazo - Boletos</t>
        </is>
      </c>
      <c r="H625" s="70" t="n">
        <v>2110101</v>
      </c>
      <c r="I625" s="72" t="inlineStr">
        <is>
          <t>FORNECEDORES DE MERCADORIA</t>
        </is>
      </c>
      <c r="J625" s="70" t="n">
        <v>1227561</v>
      </c>
      <c r="L625" s="70" t="n">
        <v>308378</v>
      </c>
      <c r="M625" s="72" t="inlineStr">
        <is>
          <t>01</t>
        </is>
      </c>
      <c r="N625" s="72" t="inlineStr">
        <is>
          <t>NFE</t>
        </is>
      </c>
      <c r="P625" s="70" t="n">
        <v>103</v>
      </c>
      <c r="Q625" s="72" t="inlineStr">
        <is>
          <t>MILKA FRANCIS</t>
        </is>
      </c>
      <c r="R625" s="72" t="inlineStr">
        <is>
          <t>ESTOQUE DE MERCADORIAS</t>
        </is>
      </c>
      <c r="S625" s="70" t="n">
        <v>1130101</v>
      </c>
      <c r="T625" s="72" t="inlineStr">
        <is>
          <t>MERCADORIAS P/REVENDA</t>
        </is>
      </c>
      <c r="U625" s="73" t="n">
        <v>2826.62</v>
      </c>
      <c r="W625" s="73" t="n">
        <v>0</v>
      </c>
      <c r="X625" s="72" t="inlineStr">
        <is>
          <t>NF 308378 - MILKA</t>
        </is>
      </c>
      <c r="Z625" s="59">
        <f>IF($T625="","",IFERROR(INDEX('Resumo Grupos'!$AC$3:$AC$200,MATCH($T625,'Resumo Grupos'!$AB$3:$AB$200,0)),"n/d"))</f>
        <v/>
      </c>
      <c r="AA625" s="59">
        <f>IF($T625="","",IF(COUNTIF('Resumo Grupos'!$AE$3:$AE$40,$T625)&gt;0,"NAO","SIM"))</f>
        <v/>
      </c>
    </row>
    <row r="626" ht="18.75" customHeight="1" s="60">
      <c r="A626" s="70" t="n">
        <v>1</v>
      </c>
      <c r="B626" s="71" t="n">
        <v>46182</v>
      </c>
      <c r="C626" s="71" t="n">
        <v>46199</v>
      </c>
      <c r="D626" s="70" t="n">
        <v>1815</v>
      </c>
      <c r="E626" s="72" t="inlineStr">
        <is>
          <t>J G COMERCIO DE PRODUTOS ALIMENTICIOS LTDA</t>
        </is>
      </c>
      <c r="F626" s="70" t="n">
        <v>24</v>
      </c>
      <c r="G626" s="72" t="inlineStr">
        <is>
          <t>Compra a Prazo - Boletos</t>
        </is>
      </c>
      <c r="H626" s="70" t="n">
        <v>2110101</v>
      </c>
      <c r="I626" s="72" t="inlineStr">
        <is>
          <t>FORNECEDORES DE MERCADORIA</t>
        </is>
      </c>
      <c r="J626" s="70" t="n">
        <v>1228300</v>
      </c>
      <c r="L626" s="70" t="n">
        <v>385264</v>
      </c>
      <c r="M626" s="72" t="inlineStr">
        <is>
          <t>03</t>
        </is>
      </c>
      <c r="N626" s="72" t="inlineStr">
        <is>
          <t>NFE</t>
        </is>
      </c>
      <c r="P626" s="70" t="n">
        <v>103</v>
      </c>
      <c r="Q626" s="72" t="inlineStr">
        <is>
          <t>MILKA FRANCIS</t>
        </is>
      </c>
      <c r="R626" s="72" t="inlineStr">
        <is>
          <t>ESTOQUE DE MERCADORIAS</t>
        </is>
      </c>
      <c r="S626" s="70" t="n">
        <v>1130101</v>
      </c>
      <c r="T626" s="72" t="inlineStr">
        <is>
          <t>MERCADORIAS P/REVENDA</t>
        </is>
      </c>
      <c r="U626" s="73" t="n">
        <v>1777.44</v>
      </c>
      <c r="W626" s="73" t="n">
        <v>0</v>
      </c>
      <c r="X626" s="72" t="inlineStr">
        <is>
          <t>448617-C/C  NF385264 - MILKA</t>
        </is>
      </c>
      <c r="Z626" s="59">
        <f>IF($T626="","",IFERROR(INDEX('Resumo Grupos'!$AC$3:$AC$200,MATCH($T626,'Resumo Grupos'!$AB$3:$AB$200,0)),"n/d"))</f>
        <v/>
      </c>
      <c r="AA626" s="59">
        <f>IF($T626="","",IF(COUNTIF('Resumo Grupos'!$AE$3:$AE$40,$T626)&gt;0,"NAO","SIM"))</f>
        <v/>
      </c>
    </row>
    <row r="627" ht="45.75" customHeight="1" s="60">
      <c r="A627" s="70" t="n">
        <v>1</v>
      </c>
      <c r="B627" s="71" t="n">
        <v>46188</v>
      </c>
      <c r="C627" s="71" t="n">
        <v>46199</v>
      </c>
      <c r="D627" s="70" t="n">
        <v>1114</v>
      </c>
      <c r="E627" s="72" t="inlineStr">
        <is>
          <t>NT INDUSTRIA E COMERCIO DE PANIFICACAO L</t>
        </is>
      </c>
      <c r="F627" s="70" t="n">
        <v>24</v>
      </c>
      <c r="G627" s="72" t="inlineStr">
        <is>
          <t>Compra a Prazo - Boletos</t>
        </is>
      </c>
      <c r="H627" s="70" t="n">
        <v>2110101</v>
      </c>
      <c r="I627" s="72" t="inlineStr">
        <is>
          <t>FORNECEDORES DE MERCADORIA</t>
        </is>
      </c>
      <c r="J627" s="70" t="n">
        <v>1255467</v>
      </c>
      <c r="L627" s="70" t="n">
        <v>38246</v>
      </c>
      <c r="M627" s="72" t="inlineStr">
        <is>
          <t>01</t>
        </is>
      </c>
      <c r="N627" s="72" t="inlineStr">
        <is>
          <t>NFE</t>
        </is>
      </c>
      <c r="P627" s="70" t="n">
        <v>103</v>
      </c>
      <c r="Q627" s="72" t="inlineStr">
        <is>
          <t>MILKA FRANCIS</t>
        </is>
      </c>
      <c r="R627" s="72" t="inlineStr">
        <is>
          <t>ESTOQUE DE MERCADORIAS</t>
        </is>
      </c>
      <c r="S627" s="70" t="n">
        <v>1130101</v>
      </c>
      <c r="T627" s="72" t="inlineStr">
        <is>
          <t>MERCADORIAS P/REVENDA</t>
        </is>
      </c>
      <c r="U627" s="73" t="n">
        <v>5589.49</v>
      </c>
      <c r="W627" s="73" t="n">
        <v>0</v>
      </c>
      <c r="X627" s="72" t="inlineStr">
        <is>
          <t>NF 38246 - MILKA</t>
        </is>
      </c>
      <c r="Z627" s="59">
        <f>IF($T627="","",IFERROR(INDEX('Resumo Grupos'!$AC$3:$AC$200,MATCH($T627,'Resumo Grupos'!$AB$3:$AB$200,0)),"n/d"))</f>
        <v/>
      </c>
      <c r="AA627" s="59">
        <f>IF($T627="","",IF(COUNTIF('Resumo Grupos'!$AE$3:$AE$40,$T627)&gt;0,"NAO","SIM"))</f>
        <v/>
      </c>
    </row>
    <row r="628" ht="45.75" customHeight="1" s="60">
      <c r="A628" s="70" t="n">
        <v>1</v>
      </c>
      <c r="B628" s="71" t="n">
        <v>46188</v>
      </c>
      <c r="C628" s="71" t="n">
        <v>46199</v>
      </c>
      <c r="D628" s="70" t="n">
        <v>1666</v>
      </c>
      <c r="E628" s="72" t="inlineStr">
        <is>
          <t>SOUZA CRUZ LTDA.</t>
        </is>
      </c>
      <c r="F628" s="70" t="n">
        <v>24</v>
      </c>
      <c r="G628" s="72" t="inlineStr">
        <is>
          <t>Compra a Prazo - Boletos</t>
        </is>
      </c>
      <c r="H628" s="70" t="n">
        <v>2110101</v>
      </c>
      <c r="I628" s="72" t="inlineStr">
        <is>
          <t>FORNECEDORES DE MERCADORIA</t>
        </is>
      </c>
      <c r="J628" s="70" t="n">
        <v>1256489</v>
      </c>
      <c r="L628" s="70" t="n">
        <v>563233</v>
      </c>
      <c r="M628" s="72" t="inlineStr">
        <is>
          <t>01</t>
        </is>
      </c>
      <c r="N628" s="72" t="inlineStr">
        <is>
          <t>NFE</t>
        </is>
      </c>
      <c r="P628" s="70" t="n">
        <v>103</v>
      </c>
      <c r="Q628" s="72" t="inlineStr">
        <is>
          <t>MILKA FRANCIS</t>
        </is>
      </c>
      <c r="R628" s="72" t="inlineStr">
        <is>
          <t>ESTOQUE DE MERCADORIAS</t>
        </is>
      </c>
      <c r="S628" s="70" t="n">
        <v>1130101</v>
      </c>
      <c r="T628" s="72" t="inlineStr">
        <is>
          <t>MERCADORIAS P/REVENDA</t>
        </is>
      </c>
      <c r="U628" s="73" t="n">
        <v>5018.57</v>
      </c>
      <c r="W628" s="73" t="n">
        <v>0</v>
      </c>
      <c r="X628" s="72" t="inlineStr">
        <is>
          <t>NF 563233 -01 MILKA</t>
        </is>
      </c>
      <c r="Z628" s="59">
        <f>IF($T628="","",IFERROR(INDEX('Resumo Grupos'!$AC$3:$AC$200,MATCH($T628,'Resumo Grupos'!$AB$3:$AB$200,0)),"n/d"))</f>
        <v/>
      </c>
      <c r="AA628" s="59">
        <f>IF($T628="","",IF(COUNTIF('Resumo Grupos'!$AE$3:$AE$40,$T628)&gt;0,"NAO","SIM"))</f>
        <v/>
      </c>
    </row>
    <row r="629" ht="45.75" customHeight="1" s="60">
      <c r="A629" s="70" t="n">
        <v>1</v>
      </c>
      <c r="B629" s="71" t="n">
        <v>46188</v>
      </c>
      <c r="C629" s="71" t="n">
        <v>46199</v>
      </c>
      <c r="D629" s="70" t="n">
        <v>10017</v>
      </c>
      <c r="E629" s="72" t="inlineStr">
        <is>
          <t>PIARARA COMERCIO, IMPORTACAO E EXPORTACAO LTDA</t>
        </is>
      </c>
      <c r="F629" s="70" t="n">
        <v>24</v>
      </c>
      <c r="G629" s="72" t="inlineStr">
        <is>
          <t>Compra a Prazo - Boletos</t>
        </is>
      </c>
      <c r="H629" s="70" t="n">
        <v>2110101</v>
      </c>
      <c r="I629" s="72" t="inlineStr">
        <is>
          <t>FORNECEDORES DE MERCADORIA</t>
        </is>
      </c>
      <c r="J629" s="70" t="n">
        <v>1256691</v>
      </c>
      <c r="L629" s="70" t="n">
        <v>193354</v>
      </c>
      <c r="M629" s="72" t="inlineStr">
        <is>
          <t>01</t>
        </is>
      </c>
      <c r="N629" s="72" t="inlineStr">
        <is>
          <t>NFE</t>
        </is>
      </c>
      <c r="P629" s="70" t="n">
        <v>103</v>
      </c>
      <c r="Q629" s="72" t="inlineStr">
        <is>
          <t>MILKA FRANCIS</t>
        </is>
      </c>
      <c r="R629" s="72" t="inlineStr">
        <is>
          <t>ESTOQUE DE MERCADORIAS</t>
        </is>
      </c>
      <c r="S629" s="70" t="n">
        <v>1130101</v>
      </c>
      <c r="T629" s="72" t="inlineStr">
        <is>
          <t>MERCADORIAS P/REVENDA</t>
        </is>
      </c>
      <c r="U629" s="73" t="n">
        <v>372.1</v>
      </c>
      <c r="W629" s="73" t="n">
        <v>0</v>
      </c>
      <c r="X629" s="72" t="inlineStr">
        <is>
          <t>NF193354-1 MILKA</t>
        </is>
      </c>
      <c r="Z629" s="59">
        <f>IF($T629="","",IFERROR(INDEX('Resumo Grupos'!$AC$3:$AC$200,MATCH($T629,'Resumo Grupos'!$AB$3:$AB$200,0)),"n/d"))</f>
        <v/>
      </c>
      <c r="AA629" s="59">
        <f>IF($T629="","",IF(COUNTIF('Resumo Grupos'!$AE$3:$AE$40,$T629)&gt;0,"NAO","SIM"))</f>
        <v/>
      </c>
    </row>
    <row r="630" ht="45.75" customHeight="1" s="60">
      <c r="A630" s="70" t="n">
        <v>1</v>
      </c>
      <c r="B630" s="71" t="n">
        <v>46189</v>
      </c>
      <c r="C630" s="71" t="n">
        <v>46199</v>
      </c>
      <c r="D630" s="70" t="n">
        <v>1723</v>
      </c>
      <c r="E630" s="72" t="inlineStr">
        <is>
          <t>COMERCIO DE FRIOS MANAUS LTDA</t>
        </is>
      </c>
      <c r="F630" s="70" t="n">
        <v>24</v>
      </c>
      <c r="G630" s="72" t="inlineStr">
        <is>
          <t>Compra a Prazo - Boletos</t>
        </is>
      </c>
      <c r="H630" s="70" t="n">
        <v>2110101</v>
      </c>
      <c r="I630" s="72" t="inlineStr">
        <is>
          <t>FORNECEDORES DE MERCADORIA</t>
        </is>
      </c>
      <c r="J630" s="70" t="n">
        <v>1261946</v>
      </c>
      <c r="L630" s="70" t="n">
        <v>171594</v>
      </c>
      <c r="M630" s="72" t="inlineStr">
        <is>
          <t>01</t>
        </is>
      </c>
      <c r="N630" s="72" t="inlineStr">
        <is>
          <t>NFE</t>
        </is>
      </c>
      <c r="P630" s="70" t="n">
        <v>103</v>
      </c>
      <c r="Q630" s="72" t="inlineStr">
        <is>
          <t>MILKA FRANCIS</t>
        </is>
      </c>
      <c r="R630" s="72" t="inlineStr">
        <is>
          <t>ESTOQUE DE MERCADORIAS</t>
        </is>
      </c>
      <c r="S630" s="70" t="n">
        <v>1130101</v>
      </c>
      <c r="T630" s="72" t="inlineStr">
        <is>
          <t>MERCADORIAS P/REVENDA</t>
        </is>
      </c>
      <c r="U630" s="73" t="n">
        <v>5975.8</v>
      </c>
      <c r="W630" s="73" t="n">
        <v>0</v>
      </c>
      <c r="X630" s="72" t="inlineStr">
        <is>
          <t>NF171594 - MILKA</t>
        </is>
      </c>
      <c r="Z630" s="59">
        <f>IF($T630="","",IFERROR(INDEX('Resumo Grupos'!$AC$3:$AC$200,MATCH($T630,'Resumo Grupos'!$AB$3:$AB$200,0)),"n/d"))</f>
        <v/>
      </c>
      <c r="AA630" s="59">
        <f>IF($T630="","",IF(COUNTIF('Resumo Grupos'!$AE$3:$AE$40,$T630)&gt;0,"NAO","SIM"))</f>
        <v/>
      </c>
    </row>
    <row r="631" ht="36.75" customHeight="1" s="60">
      <c r="A631" s="70" t="n">
        <v>1</v>
      </c>
      <c r="B631" s="71" t="n">
        <v>46192</v>
      </c>
      <c r="C631" s="71" t="n">
        <v>46199</v>
      </c>
      <c r="D631" s="70" t="n">
        <v>1614</v>
      </c>
      <c r="E631" s="72" t="inlineStr">
        <is>
          <t>C. R. PARENTE ABREU</t>
        </is>
      </c>
      <c r="F631" s="70" t="n">
        <v>24</v>
      </c>
      <c r="G631" s="72" t="inlineStr">
        <is>
          <t>Compra a Prazo - Boletos</t>
        </is>
      </c>
      <c r="H631" s="70" t="n">
        <v>2110101</v>
      </c>
      <c r="I631" s="72" t="inlineStr">
        <is>
          <t>FORNECEDORES DE MERCADORIA</t>
        </is>
      </c>
      <c r="J631" s="70" t="n">
        <v>1274116</v>
      </c>
      <c r="L631" s="70" t="n">
        <v>11292</v>
      </c>
      <c r="M631" s="72" t="inlineStr">
        <is>
          <t>02</t>
        </is>
      </c>
      <c r="N631" s="72" t="inlineStr">
        <is>
          <t>NFE</t>
        </is>
      </c>
      <c r="P631" s="70" t="n">
        <v>103</v>
      </c>
      <c r="Q631" s="72" t="inlineStr">
        <is>
          <t>MILKA FRANCIS</t>
        </is>
      </c>
      <c r="R631" s="72" t="inlineStr">
        <is>
          <t>ESTOQUE DE MERCADORIAS</t>
        </is>
      </c>
      <c r="S631" s="70" t="n">
        <v>1130101</v>
      </c>
      <c r="T631" s="72" t="inlineStr">
        <is>
          <t>MERCADORIAS P/REVENDA</t>
        </is>
      </c>
      <c r="U631" s="73" t="n">
        <v>516.96</v>
      </c>
      <c r="W631" s="73" t="n">
        <v>0</v>
      </c>
      <c r="X631" s="72" t="inlineStr">
        <is>
          <t>NF 11292-2 MILKA</t>
        </is>
      </c>
      <c r="Z631" s="59">
        <f>IF($T631="","",IFERROR(INDEX('Resumo Grupos'!$AC$3:$AC$200,MATCH($T631,'Resumo Grupos'!$AB$3:$AB$200,0)),"n/d"))</f>
        <v/>
      </c>
      <c r="AA631" s="59">
        <f>IF($T631="","",IF(COUNTIF('Resumo Grupos'!$AE$3:$AE$40,$T631)&gt;0,"NAO","SIM"))</f>
        <v/>
      </c>
    </row>
    <row r="632" ht="36.75" customHeight="1" s="60">
      <c r="A632" s="70" t="n">
        <v>1</v>
      </c>
      <c r="B632" s="71" t="n">
        <v>46192</v>
      </c>
      <c r="C632" s="71" t="n">
        <v>46199</v>
      </c>
      <c r="D632" s="70" t="n">
        <v>1625</v>
      </c>
      <c r="E632" s="72" t="inlineStr">
        <is>
          <t>MAXFRI DISTRIUIDORA LTDA</t>
        </is>
      </c>
      <c r="F632" s="70" t="n">
        <v>24</v>
      </c>
      <c r="G632" s="72" t="inlineStr">
        <is>
          <t>Compra a Prazo - Boletos</t>
        </is>
      </c>
      <c r="H632" s="70" t="n">
        <v>2110101</v>
      </c>
      <c r="I632" s="72" t="inlineStr">
        <is>
          <t>FORNECEDORES DE MERCADORIA</t>
        </is>
      </c>
      <c r="J632" s="70" t="n">
        <v>1274505</v>
      </c>
      <c r="L632" s="70" t="n">
        <v>14516</v>
      </c>
      <c r="M632" s="72" t="inlineStr">
        <is>
          <t>01</t>
        </is>
      </c>
      <c r="N632" s="72" t="inlineStr">
        <is>
          <t>NFE</t>
        </is>
      </c>
      <c r="P632" s="70" t="n">
        <v>103</v>
      </c>
      <c r="Q632" s="72" t="inlineStr">
        <is>
          <t>MILKA FRANCIS</t>
        </is>
      </c>
      <c r="R632" s="72" t="inlineStr">
        <is>
          <t>ESTOQUE DE MERCADORIAS</t>
        </is>
      </c>
      <c r="S632" s="70" t="n">
        <v>1130101</v>
      </c>
      <c r="T632" s="72" t="inlineStr">
        <is>
          <t>MERCADORIAS P/REVENDA</t>
        </is>
      </c>
      <c r="U632" s="73" t="n">
        <v>9768.9</v>
      </c>
      <c r="W632" s="73" t="n">
        <v>0</v>
      </c>
      <c r="X632" s="72" t="inlineStr">
        <is>
          <t>NF14516 - MILKA</t>
        </is>
      </c>
      <c r="Z632" s="59">
        <f>IF($T632="","",IFERROR(INDEX('Resumo Grupos'!$AC$3:$AC$200,MATCH($T632,'Resumo Grupos'!$AB$3:$AB$200,0)),"n/d"))</f>
        <v/>
      </c>
      <c r="AA632" s="59">
        <f>IF($T632="","",IF(COUNTIF('Resumo Grupos'!$AE$3:$AE$40,$T632)&gt;0,"NAO","SIM"))</f>
        <v/>
      </c>
    </row>
    <row r="633" ht="36.75" customHeight="1" s="60">
      <c r="A633" s="70" t="n">
        <v>1</v>
      </c>
      <c r="B633" s="71" t="n">
        <v>46193</v>
      </c>
      <c r="C633" s="71" t="n">
        <v>46199</v>
      </c>
      <c r="D633" s="70" t="n">
        <v>1363</v>
      </c>
      <c r="E633" s="72" t="inlineStr">
        <is>
          <t>JAB COMERCIO DE PRODUTOS ALIMENTICIOS LT</t>
        </is>
      </c>
      <c r="F633" s="70" t="n">
        <v>24</v>
      </c>
      <c r="G633" s="72" t="inlineStr">
        <is>
          <t>Compra a Prazo - Boletos</t>
        </is>
      </c>
      <c r="H633" s="70" t="n">
        <v>2110101</v>
      </c>
      <c r="I633" s="72" t="inlineStr">
        <is>
          <t>FORNECEDORES DE MERCADORIA</t>
        </is>
      </c>
      <c r="J633" s="70" t="n">
        <v>1279751</v>
      </c>
      <c r="L633" s="70" t="n">
        <v>3405</v>
      </c>
      <c r="M633" s="72" t="inlineStr">
        <is>
          <t>01</t>
        </is>
      </c>
      <c r="N633" s="72" t="inlineStr">
        <is>
          <t>NFE</t>
        </is>
      </c>
      <c r="P633" s="70" t="n">
        <v>103</v>
      </c>
      <c r="Q633" s="72" t="inlineStr">
        <is>
          <t>MILKA FRANCIS</t>
        </is>
      </c>
      <c r="R633" s="72" t="inlineStr">
        <is>
          <t>ESTOQUE DE MERCADORIAS</t>
        </is>
      </c>
      <c r="S633" s="70" t="n">
        <v>1130101</v>
      </c>
      <c r="T633" s="72" t="inlineStr">
        <is>
          <t>MERCADORIAS P/REVENDA</t>
        </is>
      </c>
      <c r="U633" s="73" t="n">
        <v>320</v>
      </c>
      <c r="W633" s="73" t="n">
        <v>0</v>
      </c>
      <c r="X633" s="72" t="inlineStr">
        <is>
          <t>NF 3405 SANTO PAO - MILKA</t>
        </is>
      </c>
      <c r="Z633" s="59">
        <f>IF($T633="","",IFERROR(INDEX('Resumo Grupos'!$AC$3:$AC$200,MATCH($T633,'Resumo Grupos'!$AB$3:$AB$200,0)),"n/d"))</f>
        <v/>
      </c>
      <c r="AA633" s="59">
        <f>IF($T633="","",IF(COUNTIF('Resumo Grupos'!$AE$3:$AE$40,$T633)&gt;0,"NAO","SIM"))</f>
        <v/>
      </c>
    </row>
    <row r="634" ht="36.75" customHeight="1" s="60">
      <c r="A634" s="70" t="n">
        <v>1</v>
      </c>
      <c r="B634" s="71" t="n">
        <v>46195</v>
      </c>
      <c r="C634" s="71" t="n">
        <v>46199</v>
      </c>
      <c r="D634" s="70" t="n">
        <v>1286</v>
      </c>
      <c r="E634" s="72" t="inlineStr">
        <is>
          <t>VITAPAN COMERCIO VAREJISTA DE PRODUTOS ALIMENTICIOS LTDA</t>
        </is>
      </c>
      <c r="F634" s="70" t="n">
        <v>24</v>
      </c>
      <c r="G634" s="72" t="inlineStr">
        <is>
          <t>Compra a Prazo - Boletos</t>
        </is>
      </c>
      <c r="H634" s="70" t="n">
        <v>2110101</v>
      </c>
      <c r="I634" s="72" t="inlineStr">
        <is>
          <t>FORNECEDORES DE MERCADORIA</t>
        </is>
      </c>
      <c r="J634" s="70" t="n">
        <v>1289273</v>
      </c>
      <c r="L634" s="70" t="n">
        <v>10134</v>
      </c>
      <c r="M634" s="72" t="inlineStr">
        <is>
          <t>01</t>
        </is>
      </c>
      <c r="N634" s="72" t="inlineStr">
        <is>
          <t>NFE</t>
        </is>
      </c>
      <c r="P634" s="70" t="n">
        <v>103</v>
      </c>
      <c r="Q634" s="72" t="inlineStr">
        <is>
          <t>MILKA FRANCIS</t>
        </is>
      </c>
      <c r="R634" s="72" t="inlineStr">
        <is>
          <t>ESTOQUE DE MERCADORIAS</t>
        </is>
      </c>
      <c r="S634" s="70" t="n">
        <v>1130101</v>
      </c>
      <c r="T634" s="72" t="inlineStr">
        <is>
          <t>MERCADORIAS P/REVENDA</t>
        </is>
      </c>
      <c r="U634" s="73" t="n">
        <v>1134</v>
      </c>
      <c r="W634" s="73" t="n">
        <v>0</v>
      </c>
      <c r="X634" s="72" t="inlineStr">
        <is>
          <t>NF 10134 -MILKA</t>
        </is>
      </c>
      <c r="Z634" s="59">
        <f>IF($T634="","",IFERROR(INDEX('Resumo Grupos'!$AC$3:$AC$200,MATCH($T634,'Resumo Grupos'!$AB$3:$AB$200,0)),"n/d"))</f>
        <v/>
      </c>
      <c r="AA634" s="59">
        <f>IF($T634="","",IF(COUNTIF('Resumo Grupos'!$AE$3:$AE$40,$T634)&gt;0,"NAO","SIM"))</f>
        <v/>
      </c>
    </row>
    <row r="635" ht="45.75" customHeight="1" s="60">
      <c r="A635" s="70" t="n">
        <v>1</v>
      </c>
      <c r="B635" s="71" t="n">
        <v>46195</v>
      </c>
      <c r="C635" s="71" t="n">
        <v>46199</v>
      </c>
      <c r="D635" s="70" t="n">
        <v>1292</v>
      </c>
      <c r="E635" s="72" t="inlineStr">
        <is>
          <t>SAO JOSE COMERCIO DE LATICINIOS E FRIOS</t>
        </is>
      </c>
      <c r="F635" s="70" t="n">
        <v>24</v>
      </c>
      <c r="G635" s="72" t="inlineStr">
        <is>
          <t>Compra a Prazo - Boletos</t>
        </is>
      </c>
      <c r="H635" s="70" t="n">
        <v>2110101</v>
      </c>
      <c r="I635" s="72" t="inlineStr">
        <is>
          <t>FORNECEDORES DE MERCADORIA</t>
        </is>
      </c>
      <c r="J635" s="70" t="n">
        <v>1289612</v>
      </c>
      <c r="L635" s="70" t="n">
        <v>3442</v>
      </c>
      <c r="M635" s="72" t="inlineStr">
        <is>
          <t>01</t>
        </is>
      </c>
      <c r="N635" s="72" t="inlineStr">
        <is>
          <t>NFE</t>
        </is>
      </c>
      <c r="P635" s="70" t="n">
        <v>103</v>
      </c>
      <c r="Q635" s="72" t="inlineStr">
        <is>
          <t>MILKA FRANCIS</t>
        </is>
      </c>
      <c r="R635" s="72" t="inlineStr">
        <is>
          <t>ESTOQUE DE MERCADORIAS</t>
        </is>
      </c>
      <c r="S635" s="70" t="n">
        <v>1130101</v>
      </c>
      <c r="T635" s="72" t="inlineStr">
        <is>
          <t>MERCADORIAS P/REVENDA</t>
        </is>
      </c>
      <c r="U635" s="73" t="n">
        <v>854.5</v>
      </c>
      <c r="W635" s="73" t="n">
        <v>0</v>
      </c>
      <c r="X635" s="72" t="inlineStr">
        <is>
          <t>6756787  NF3442 - MILKA</t>
        </is>
      </c>
      <c r="Z635" s="59">
        <f>IF($T635="","",IFERROR(INDEX('Resumo Grupos'!$AC$3:$AC$200,MATCH($T635,'Resumo Grupos'!$AB$3:$AB$200,0)),"n/d"))</f>
        <v/>
      </c>
      <c r="AA635" s="59">
        <f>IF($T635="","",IF(COUNTIF('Resumo Grupos'!$AE$3:$AE$40,$T635)&gt;0,"NAO","SIM"))</f>
        <v/>
      </c>
    </row>
    <row r="636" ht="36.75" customHeight="1" s="60">
      <c r="A636" s="70" t="n">
        <v>1</v>
      </c>
      <c r="B636" s="71" t="n">
        <v>46195</v>
      </c>
      <c r="C636" s="71" t="n">
        <v>46199</v>
      </c>
      <c r="D636" s="70" t="n">
        <v>1695</v>
      </c>
      <c r="E636" s="72" t="inlineStr">
        <is>
          <t>BRAGA TABACARIA EIRELI ME</t>
        </is>
      </c>
      <c r="F636" s="70" t="n">
        <v>24</v>
      </c>
      <c r="G636" s="72" t="inlineStr">
        <is>
          <t>Compra a Prazo - Boletos</t>
        </is>
      </c>
      <c r="H636" s="70" t="n">
        <v>2110101</v>
      </c>
      <c r="I636" s="72" t="inlineStr">
        <is>
          <t>FORNECEDORES DE MERCADORIA</t>
        </is>
      </c>
      <c r="J636" s="70" t="n">
        <v>1289622</v>
      </c>
      <c r="L636" s="70" t="n">
        <v>18761</v>
      </c>
      <c r="M636" s="72" t="inlineStr">
        <is>
          <t>01</t>
        </is>
      </c>
      <c r="N636" s="72" t="inlineStr">
        <is>
          <t>NFE</t>
        </is>
      </c>
      <c r="P636" s="70" t="n">
        <v>103</v>
      </c>
      <c r="Q636" s="72" t="inlineStr">
        <is>
          <t>MILKA FRANCIS</t>
        </is>
      </c>
      <c r="R636" s="72" t="inlineStr">
        <is>
          <t>ESTOQUE DE MERCADORIAS</t>
        </is>
      </c>
      <c r="S636" s="70" t="n">
        <v>1130101</v>
      </c>
      <c r="T636" s="72" t="inlineStr">
        <is>
          <t>MERCADORIAS P/REVENDA</t>
        </is>
      </c>
      <c r="U636" s="73" t="n">
        <v>467.2</v>
      </c>
      <c r="W636" s="73" t="n">
        <v>0</v>
      </c>
      <c r="X636" s="72" t="inlineStr">
        <is>
          <t>NF 18761-01 MILKA</t>
        </is>
      </c>
      <c r="Z636" s="59">
        <f>IF($T636="","",IFERROR(INDEX('Resumo Grupos'!$AC$3:$AC$200,MATCH($T636,'Resumo Grupos'!$AB$3:$AB$200,0)),"n/d"))</f>
        <v/>
      </c>
      <c r="AA636" s="59">
        <f>IF($T636="","",IF(COUNTIF('Resumo Grupos'!$AE$3:$AE$40,$T636)&gt;0,"NAO","SIM"))</f>
        <v/>
      </c>
    </row>
    <row r="637" ht="36.75" customHeight="1" s="60">
      <c r="A637" s="70" t="n">
        <v>1</v>
      </c>
      <c r="B637" s="71" t="n">
        <v>46195</v>
      </c>
      <c r="C637" s="71" t="n">
        <v>46199</v>
      </c>
      <c r="D637" s="70" t="n">
        <v>1658</v>
      </c>
      <c r="E637" s="72" t="inlineStr">
        <is>
          <t>FORT COMERCIO DE BEBIDA LTDA</t>
        </is>
      </c>
      <c r="F637" s="70" t="n">
        <v>24</v>
      </c>
      <c r="G637" s="72" t="inlineStr">
        <is>
          <t>Compra a Prazo - Boletos</t>
        </is>
      </c>
      <c r="H637" s="70" t="n">
        <v>2110101</v>
      </c>
      <c r="I637" s="72" t="inlineStr">
        <is>
          <t>FORNECEDORES DE MERCADORIA</t>
        </is>
      </c>
      <c r="J637" s="70" t="n">
        <v>1289665</v>
      </c>
      <c r="L637" s="70" t="n">
        <v>141086</v>
      </c>
      <c r="M637" s="72" t="inlineStr">
        <is>
          <t>01</t>
        </is>
      </c>
      <c r="N637" s="72" t="inlineStr">
        <is>
          <t>NFE</t>
        </is>
      </c>
      <c r="P637" s="70" t="n">
        <v>103</v>
      </c>
      <c r="Q637" s="72" t="inlineStr">
        <is>
          <t>MILKA FRANCIS</t>
        </is>
      </c>
      <c r="R637" s="72" t="inlineStr">
        <is>
          <t>ESTOQUE DE MERCADORIAS</t>
        </is>
      </c>
      <c r="S637" s="70" t="n">
        <v>1130101</v>
      </c>
      <c r="T637" s="72" t="inlineStr">
        <is>
          <t>MERCADORIAS P/REVENDA</t>
        </is>
      </c>
      <c r="U637" s="73" t="n">
        <v>953.9</v>
      </c>
      <c r="W637" s="73" t="n">
        <v>0</v>
      </c>
      <c r="X637" s="72" t="inlineStr">
        <is>
          <t>NF 141086 - MILKA</t>
        </is>
      </c>
      <c r="Z637" s="59">
        <f>IF($T637="","",IFERROR(INDEX('Resumo Grupos'!$AC$3:$AC$200,MATCH($T637,'Resumo Grupos'!$AB$3:$AB$200,0)),"n/d"))</f>
        <v/>
      </c>
      <c r="AA637" s="59">
        <f>IF($T637="","",IF(COUNTIF('Resumo Grupos'!$AE$3:$AE$40,$T637)&gt;0,"NAO","SIM"))</f>
        <v/>
      </c>
    </row>
    <row r="638" ht="36.75" customHeight="1" s="60">
      <c r="A638" s="70" t="n">
        <v>1</v>
      </c>
      <c r="B638" s="71" t="n">
        <v>46195</v>
      </c>
      <c r="C638" s="71" t="n">
        <v>46199</v>
      </c>
      <c r="D638" s="70" t="n">
        <v>1328</v>
      </c>
      <c r="E638" s="72" t="inlineStr">
        <is>
          <t>NOVA FRIOS COMERCIO ATACADISTA DE LATICINIOS LTDA</t>
        </is>
      </c>
      <c r="F638" s="70" t="n">
        <v>24</v>
      </c>
      <c r="G638" s="72" t="inlineStr">
        <is>
          <t>Compra a Prazo - Boletos</t>
        </is>
      </c>
      <c r="H638" s="70" t="n">
        <v>2110101</v>
      </c>
      <c r="I638" s="72" t="inlineStr">
        <is>
          <t>FORNECEDORES DE MERCADORIA</t>
        </is>
      </c>
      <c r="J638" s="70" t="n">
        <v>1289688</v>
      </c>
      <c r="L638" s="70" t="n">
        <v>3830</v>
      </c>
      <c r="M638" s="72" t="inlineStr">
        <is>
          <t>01</t>
        </is>
      </c>
      <c r="N638" s="72" t="inlineStr">
        <is>
          <t>NFE</t>
        </is>
      </c>
      <c r="P638" s="70" t="n">
        <v>103</v>
      </c>
      <c r="Q638" s="72" t="inlineStr">
        <is>
          <t>MILKA FRANCIS</t>
        </is>
      </c>
      <c r="R638" s="72" t="inlineStr">
        <is>
          <t>ESTOQUE DE MERCADORIAS</t>
        </is>
      </c>
      <c r="S638" s="70" t="n">
        <v>1130101</v>
      </c>
      <c r="T638" s="72" t="inlineStr">
        <is>
          <t>MERCADORIAS P/REVENDA</t>
        </is>
      </c>
      <c r="U638" s="73" t="n">
        <v>226.4</v>
      </c>
      <c r="W638" s="73" t="n">
        <v>0</v>
      </c>
      <c r="X638" s="72" t="inlineStr">
        <is>
          <t>NF 3830 BODEGA DO PAO - MILKA</t>
        </is>
      </c>
      <c r="Z638" s="59">
        <f>IF($T638="","",IFERROR(INDEX('Resumo Grupos'!$AC$3:$AC$200,MATCH($T638,'Resumo Grupos'!$AB$3:$AB$200,0)),"n/d"))</f>
        <v/>
      </c>
      <c r="AA638" s="59">
        <f>IF($T638="","",IF(COUNTIF('Resumo Grupos'!$AE$3:$AE$40,$T638)&gt;0,"NAO","SIM"))</f>
        <v/>
      </c>
    </row>
    <row r="639" ht="36.75" customHeight="1" s="60">
      <c r="A639" s="70" t="n">
        <v>1</v>
      </c>
      <c r="B639" s="71" t="n">
        <v>46197</v>
      </c>
      <c r="C639" s="71" t="n">
        <v>46199</v>
      </c>
      <c r="D639" s="70" t="n">
        <v>928</v>
      </c>
      <c r="E639" s="72" t="inlineStr">
        <is>
          <t>FAROL FINANCEIRO</t>
        </is>
      </c>
      <c r="F639" s="70" t="n">
        <v>24</v>
      </c>
      <c r="G639" s="72" t="inlineStr">
        <is>
          <t>Compra a Prazo - Boletos</t>
        </is>
      </c>
      <c r="H639" s="70" t="n">
        <v>2110405</v>
      </c>
      <c r="I639" s="72" t="inlineStr">
        <is>
          <t>CONTAS A PAGAR</t>
        </is>
      </c>
      <c r="J639" s="70" t="n">
        <v>1299925</v>
      </c>
      <c r="L639" s="70" t="n">
        <v>538239</v>
      </c>
      <c r="M639" s="72" t="inlineStr">
        <is>
          <t>01</t>
        </is>
      </c>
      <c r="N639" s="72" t="inlineStr">
        <is>
          <t>AVU</t>
        </is>
      </c>
      <c r="P639" s="70" t="n">
        <v>101</v>
      </c>
      <c r="Q639" s="72" t="inlineStr">
        <is>
          <t>KEILA LIMA</t>
        </is>
      </c>
      <c r="R639" s="72" t="inlineStr">
        <is>
          <t>DESPESAS COM PESSOAL</t>
        </is>
      </c>
      <c r="S639" s="70" t="n">
        <v>421033</v>
      </c>
      <c r="T639" s="72" t="inlineStr">
        <is>
          <t>MENSALIDADE CONCILIACAO BANCARIA</t>
        </is>
      </c>
      <c r="U639" s="73" t="n">
        <v>299.9</v>
      </c>
      <c r="W639" s="73" t="n">
        <v>0</v>
      </c>
      <c r="X639" s="72" t="inlineStr">
        <is>
          <t>MENS CONCILIACAO MO1 - KEILA</t>
        </is>
      </c>
      <c r="Z639" s="59">
        <f>IF($T639="","",IFERROR(INDEX('Resumo Grupos'!$AC$3:$AC$200,MATCH($T639,'Resumo Grupos'!$AB$3:$AB$200,0)),"n/d"))</f>
        <v/>
      </c>
      <c r="AA639" s="59">
        <f>IF($T639="","",IF(COUNTIF('Resumo Grupos'!$AE$3:$AE$40,$T639)&gt;0,"NAO","SIM"))</f>
        <v/>
      </c>
    </row>
    <row r="640" ht="36.75" customHeight="1" s="60">
      <c r="A640" s="70" t="n">
        <v>1</v>
      </c>
      <c r="B640" s="71" t="n">
        <v>46197</v>
      </c>
      <c r="C640" s="71" t="n">
        <v>46199</v>
      </c>
      <c r="D640" s="70" t="n">
        <v>10018</v>
      </c>
      <c r="E640" s="72" t="inlineStr">
        <is>
          <t>ADRIANO FEITOSA OLIVEIRA LTDA</t>
        </is>
      </c>
      <c r="F640" s="70" t="n">
        <v>34</v>
      </c>
      <c r="G640" s="72" t="inlineStr">
        <is>
          <t>Transferencia Pix</t>
        </is>
      </c>
      <c r="H640" s="70" t="n">
        <v>2110101</v>
      </c>
      <c r="I640" s="72" t="inlineStr">
        <is>
          <t>FORNECEDORES DE MERCADORIA</t>
        </is>
      </c>
      <c r="J640" s="70" t="n">
        <v>1300675</v>
      </c>
      <c r="L640" s="70" t="n">
        <v>312</v>
      </c>
      <c r="M640" s="72" t="inlineStr">
        <is>
          <t>01</t>
        </is>
      </c>
      <c r="N640" s="72" t="inlineStr">
        <is>
          <t>NFE</t>
        </is>
      </c>
      <c r="P640" s="70" t="n">
        <v>103</v>
      </c>
      <c r="Q640" s="72" t="inlineStr">
        <is>
          <t>MILKA FRANCIS</t>
        </is>
      </c>
      <c r="R640" s="72" t="inlineStr">
        <is>
          <t>ESTOQUE DE MERCADORIAS</t>
        </is>
      </c>
      <c r="S640" s="70" t="n">
        <v>1130101</v>
      </c>
      <c r="T640" s="72" t="inlineStr">
        <is>
          <t>MERCADORIAS P/REVENDA</t>
        </is>
      </c>
      <c r="U640" s="73" t="n">
        <v>2945</v>
      </c>
      <c r="W640" s="73" t="n">
        <v>0</v>
      </c>
      <c r="X640" s="72" t="inlineStr">
        <is>
          <t>NF 312 - MILKA</t>
        </is>
      </c>
      <c r="Z640" s="59">
        <f>IF($T640="","",IFERROR(INDEX('Resumo Grupos'!$AC$3:$AC$200,MATCH($T640,'Resumo Grupos'!$AB$3:$AB$200,0)),"n/d"))</f>
        <v/>
      </c>
      <c r="AA640" s="59">
        <f>IF($T640="","",IF(COUNTIF('Resumo Grupos'!$AE$3:$AE$40,$T640)&gt;0,"NAO","SIM"))</f>
        <v/>
      </c>
    </row>
    <row r="641" ht="45.75" customHeight="1" s="60">
      <c r="A641" s="70" t="n">
        <v>1</v>
      </c>
      <c r="B641" s="71" t="n">
        <v>46198</v>
      </c>
      <c r="C641" s="71" t="n">
        <v>46199</v>
      </c>
      <c r="D641" s="70" t="n">
        <v>1947</v>
      </c>
      <c r="E641" s="72" t="inlineStr">
        <is>
          <t>E S O CONSULTORIA EIRELI</t>
        </is>
      </c>
      <c r="F641" s="70" t="n">
        <v>24</v>
      </c>
      <c r="G641" s="72" t="inlineStr">
        <is>
          <t>Compra a Prazo - Boletos</t>
        </is>
      </c>
      <c r="H641" s="70" t="n">
        <v>2110405</v>
      </c>
      <c r="I641" s="72" t="inlineStr">
        <is>
          <t>CONTAS A PAGAR</t>
        </is>
      </c>
      <c r="J641" s="70" t="n">
        <v>1306077</v>
      </c>
      <c r="L641" s="70" t="n">
        <v>540417</v>
      </c>
      <c r="M641" s="72" t="inlineStr">
        <is>
          <t>01</t>
        </is>
      </c>
      <c r="N641" s="72" t="inlineStr">
        <is>
          <t>AVU</t>
        </is>
      </c>
      <c r="P641" s="70" t="n">
        <v>101</v>
      </c>
      <c r="Q641" s="72" t="inlineStr">
        <is>
          <t>KEILA LIMA</t>
        </is>
      </c>
      <c r="R641" s="72" t="inlineStr">
        <is>
          <t>DESPESAS OPERACIONAIS</t>
        </is>
      </c>
      <c r="S641" s="70" t="n">
        <v>4210234</v>
      </c>
      <c r="T641" s="72" t="inlineStr">
        <is>
          <t>CERTIFICADO DIGITAL</t>
        </is>
      </c>
      <c r="U641" s="73" t="n">
        <v>105.16</v>
      </c>
      <c r="W641" s="73" t="n">
        <v>0</v>
      </c>
      <c r="X641" s="72" t="inlineStr">
        <is>
          <t>CERTIFICADO ESO PARTE MO1 - KEILA</t>
        </is>
      </c>
      <c r="Z641" s="59">
        <f>IF($T641="","",IFERROR(INDEX('Resumo Grupos'!$AC$3:$AC$200,MATCH($T641,'Resumo Grupos'!$AB$3:$AB$200,0)),"n/d"))</f>
        <v/>
      </c>
      <c r="AA641" s="59">
        <f>IF($T641="","",IF(COUNTIF('Resumo Grupos'!$AE$3:$AE$40,$T641)&gt;0,"NAO","SIM"))</f>
        <v/>
      </c>
    </row>
    <row r="642" ht="45.75" customHeight="1" s="60">
      <c r="A642" s="70" t="n">
        <v>1</v>
      </c>
      <c r="B642" s="71" t="n">
        <v>46199</v>
      </c>
      <c r="C642" s="71" t="n">
        <v>46199</v>
      </c>
      <c r="D642" s="70" t="n">
        <v>33</v>
      </c>
      <c r="E642" s="72" t="inlineStr">
        <is>
          <t>RENATO DE O AZEVEDO E CIA LTDA - EPP</t>
        </is>
      </c>
      <c r="F642" s="70" t="n">
        <v>34</v>
      </c>
      <c r="G642" s="72" t="inlineStr">
        <is>
          <t>Transferencia Pix</t>
        </is>
      </c>
      <c r="H642" s="70" t="n">
        <v>2110101</v>
      </c>
      <c r="I642" s="72" t="inlineStr">
        <is>
          <t>FORNECEDORES DE MERCADORIA</t>
        </is>
      </c>
      <c r="J642" s="70" t="n">
        <v>1310034</v>
      </c>
      <c r="L642" s="70" t="n">
        <v>5191</v>
      </c>
      <c r="M642" s="72" t="inlineStr">
        <is>
          <t>01</t>
        </is>
      </c>
      <c r="N642" s="72" t="inlineStr">
        <is>
          <t>NFE</t>
        </is>
      </c>
      <c r="P642" s="70" t="n">
        <v>104</v>
      </c>
      <c r="Q642" s="72" t="inlineStr">
        <is>
          <t>DEBORA COSTA</t>
        </is>
      </c>
      <c r="R642" s="72" t="inlineStr">
        <is>
          <t>ESTOQUE DE MERCADORIAS</t>
        </is>
      </c>
      <c r="S642" s="70" t="n">
        <v>1130101</v>
      </c>
      <c r="T642" s="72" t="inlineStr">
        <is>
          <t>MERCADORIAS P/REVENDA</t>
        </is>
      </c>
      <c r="U642" s="73" t="n">
        <v>4132.55</v>
      </c>
      <c r="W642" s="73" t="n">
        <v>0</v>
      </c>
      <c r="X642" s="72" t="inlineStr">
        <is>
          <t>FEIRA SR RENATO - DEBORA</t>
        </is>
      </c>
      <c r="Z642" s="59">
        <f>IF($T642="","",IFERROR(INDEX('Resumo Grupos'!$AC$3:$AC$200,MATCH($T642,'Resumo Grupos'!$AB$3:$AB$200,0)),"n/d"))</f>
        <v/>
      </c>
      <c r="AA642" s="59">
        <f>IF($T642="","",IF(COUNTIF('Resumo Grupos'!$AE$3:$AE$40,$T642)&gt;0,"NAO","SIM"))</f>
        <v/>
      </c>
    </row>
    <row r="643" ht="45.75" customHeight="1" s="60">
      <c r="A643" s="70" t="n">
        <v>1</v>
      </c>
      <c r="B643" s="71" t="n">
        <v>46199</v>
      </c>
      <c r="C643" s="71" t="n">
        <v>46199</v>
      </c>
      <c r="D643" s="70" t="n">
        <v>1783</v>
      </c>
      <c r="E643" s="72" t="inlineStr">
        <is>
          <t>LOURIVAL ALMEIDA DA SILVA 17128784845</t>
        </is>
      </c>
      <c r="F643" s="70" t="n">
        <v>13</v>
      </c>
      <c r="G643" s="72" t="inlineStr">
        <is>
          <t>Compra a Vista</t>
        </is>
      </c>
      <c r="H643" s="70" t="n">
        <v>2110101</v>
      </c>
      <c r="I643" s="72" t="inlineStr">
        <is>
          <t>FORNECEDORES DE MERCADORIA</t>
        </is>
      </c>
      <c r="J643" s="70" t="n">
        <v>1312820</v>
      </c>
      <c r="L643" s="70" t="n">
        <v>508</v>
      </c>
      <c r="M643" s="72" t="inlineStr">
        <is>
          <t>01</t>
        </is>
      </c>
      <c r="N643" s="72" t="inlineStr">
        <is>
          <t>NFE</t>
        </is>
      </c>
      <c r="P643" s="70" t="n">
        <v>104</v>
      </c>
      <c r="Q643" s="72" t="inlineStr">
        <is>
          <t>DEBORA COSTA</t>
        </is>
      </c>
      <c r="R643" s="72" t="inlineStr">
        <is>
          <t>ESTOQUE DE MERCADORIAS</t>
        </is>
      </c>
      <c r="S643" s="70" t="n">
        <v>1130101</v>
      </c>
      <c r="T643" s="72" t="inlineStr">
        <is>
          <t>MERCADORIAS P/REVENDA</t>
        </is>
      </c>
      <c r="U643" s="73" t="n">
        <v>160.32</v>
      </c>
      <c r="W643" s="73" t="n">
        <v>0</v>
      </c>
      <c r="X643" s="72" t="inlineStr">
        <is>
          <t>NF 508 - DEBORA</t>
        </is>
      </c>
      <c r="Z643" s="59">
        <f>IF($T643="","",IFERROR(INDEX('Resumo Grupos'!$AC$3:$AC$200,MATCH($T643,'Resumo Grupos'!$AB$3:$AB$200,0)),"n/d"))</f>
        <v/>
      </c>
      <c r="AA643" s="59">
        <f>IF($T643="","",IF(COUNTIF('Resumo Grupos'!$AE$3:$AE$40,$T643)&gt;0,"NAO","SIM"))</f>
        <v/>
      </c>
    </row>
    <row r="644" ht="36.75" customHeight="1" s="60">
      <c r="A644" s="70" t="n">
        <v>1</v>
      </c>
      <c r="B644" s="71" t="n">
        <v>46199</v>
      </c>
      <c r="C644" s="71" t="n">
        <v>46199</v>
      </c>
      <c r="D644" s="70" t="n">
        <v>515</v>
      </c>
      <c r="E644" s="72" t="inlineStr">
        <is>
          <t>ITAU SA</t>
        </is>
      </c>
      <c r="F644" s="70" t="n">
        <v>34</v>
      </c>
      <c r="G644" s="72" t="inlineStr">
        <is>
          <t>Transferencia Pix</t>
        </is>
      </c>
      <c r="H644" s="70" t="n">
        <v>1110202</v>
      </c>
      <c r="I644" s="72" t="inlineStr">
        <is>
          <t>BANCO ITAU Lj 01</t>
        </is>
      </c>
      <c r="J644" s="70" t="n">
        <v>1449649</v>
      </c>
      <c r="L644" s="70" t="n">
        <v>596294</v>
      </c>
      <c r="M644" s="72" t="inlineStr">
        <is>
          <t>01</t>
        </is>
      </c>
      <c r="N644" s="72" t="inlineStr">
        <is>
          <t>AVU</t>
        </is>
      </c>
      <c r="P644" s="70" t="n">
        <v>102</v>
      </c>
      <c r="Q644" s="72" t="inlineStr">
        <is>
          <t>ANDREZA ANDRADE</t>
        </is>
      </c>
      <c r="R644" s="72" t="inlineStr">
        <is>
          <t>DESPESAS FINANCEIRAS</t>
        </is>
      </c>
      <c r="S644" s="70" t="n">
        <v>4210502</v>
      </c>
      <c r="T644" s="72" t="inlineStr">
        <is>
          <t>JUROS S/ EMPRESTIMOS</t>
        </is>
      </c>
      <c r="U644" s="73" t="n">
        <v>8876.120000000001</v>
      </c>
      <c r="W644" s="73" t="n">
        <v>0</v>
      </c>
      <c r="X644" s="72" t="inlineStr">
        <is>
          <t>JUROS CONTA 63511-7 ITAU 1NV-ANDREZA</t>
        </is>
      </c>
      <c r="Z644" s="59">
        <f>IF($T644="","",IFERROR(INDEX('Resumo Grupos'!$AC$3:$AC$200,MATCH($T644,'Resumo Grupos'!$AB$3:$AB$200,0)),"n/d"))</f>
        <v/>
      </c>
      <c r="AA644" s="59">
        <f>IF($T644="","",IF(COUNTIF('Resumo Grupos'!$AE$3:$AE$40,$T644)&gt;0,"NAO","SIM"))</f>
        <v/>
      </c>
    </row>
    <row r="645" ht="36.75" customHeight="1" s="60">
      <c r="A645" s="70" t="n">
        <v>1</v>
      </c>
      <c r="B645" s="71" t="n">
        <v>46199</v>
      </c>
      <c r="C645" s="71" t="n">
        <v>46199</v>
      </c>
      <c r="D645" s="70" t="n">
        <v>1000001</v>
      </c>
      <c r="E645" s="72" t="inlineStr">
        <is>
          <t>CISS CONSULTORIA EM INFORMATICA, SERVICOS E SOFTWARE S/A</t>
        </is>
      </c>
      <c r="F645" s="70" t="n">
        <v>24</v>
      </c>
      <c r="G645" s="72" t="inlineStr">
        <is>
          <t>Compra a Prazo - Boletos</t>
        </is>
      </c>
      <c r="H645" s="70" t="n">
        <v>1110202</v>
      </c>
      <c r="I645" s="72" t="inlineStr">
        <is>
          <t>BANCO ITAU Lj 01</t>
        </is>
      </c>
      <c r="J645" s="70" t="n">
        <v>1449665</v>
      </c>
      <c r="L645" s="70" t="n">
        <v>596299</v>
      </c>
      <c r="M645" s="72" t="inlineStr">
        <is>
          <t>01</t>
        </is>
      </c>
      <c r="N645" s="72" t="inlineStr">
        <is>
          <t>AVU</t>
        </is>
      </c>
      <c r="P645" s="70" t="n">
        <v>102</v>
      </c>
      <c r="Q645" s="72" t="inlineStr">
        <is>
          <t>ANDREZA ANDRADE</t>
        </is>
      </c>
      <c r="R645" s="72" t="inlineStr">
        <is>
          <t>DESPESAS NAO OPERACIONAIS</t>
        </is>
      </c>
      <c r="S645" s="70" t="n">
        <v>4220199</v>
      </c>
      <c r="T645" s="72" t="inlineStr">
        <is>
          <t>PAGAMENTOS OUTROS NAO OPERACIONAIS</t>
        </is>
      </c>
      <c r="U645" s="73" t="n">
        <v>342.86</v>
      </c>
      <c r="W645" s="73" t="n">
        <v>0</v>
      </c>
      <c r="X645" s="72" t="inlineStr">
        <is>
          <t>MENSALIDADE SISTEMA CISS LOJAS -ANDREZA</t>
        </is>
      </c>
      <c r="Z645" s="59">
        <f>IF($T645="","",IFERROR(INDEX('Resumo Grupos'!$AC$3:$AC$200,MATCH($T645,'Resumo Grupos'!$AB$3:$AB$200,0)),"n/d"))</f>
        <v/>
      </c>
      <c r="AA645" s="59">
        <f>IF($T645="","",IF(COUNTIF('Resumo Grupos'!$AE$3:$AE$40,$T645)&gt;0,"NAO","SIM"))</f>
        <v/>
      </c>
    </row>
    <row r="646" ht="36.75" customHeight="1" s="60">
      <c r="A646" s="70" t="n">
        <v>1</v>
      </c>
      <c r="B646" s="71" t="n">
        <v>46199</v>
      </c>
      <c r="C646" s="71" t="n">
        <v>46199</v>
      </c>
      <c r="D646" s="70" t="n">
        <v>1947</v>
      </c>
      <c r="E646" s="72" t="inlineStr">
        <is>
          <t>E S O CONSULTORIA EIRELI</t>
        </is>
      </c>
      <c r="F646" s="70" t="n">
        <v>24</v>
      </c>
      <c r="G646" s="72" t="inlineStr">
        <is>
          <t>Compra a Prazo - Boletos</t>
        </is>
      </c>
      <c r="H646" s="70" t="n">
        <v>1110202</v>
      </c>
      <c r="I646" s="72" t="inlineStr">
        <is>
          <t>BANCO ITAU Lj 01</t>
        </is>
      </c>
      <c r="J646" s="70" t="n">
        <v>1450064</v>
      </c>
      <c r="L646" s="70" t="n">
        <v>596438</v>
      </c>
      <c r="M646" s="72" t="inlineStr">
        <is>
          <t>01</t>
        </is>
      </c>
      <c r="N646" s="72" t="inlineStr">
        <is>
          <t>AVU</t>
        </is>
      </c>
      <c r="P646" s="70" t="n">
        <v>101</v>
      </c>
      <c r="Q646" s="72" t="inlineStr">
        <is>
          <t>KEILA LIMA</t>
        </is>
      </c>
      <c r="R646" s="72" t="inlineStr">
        <is>
          <t>DESPESAS NAO OPERACIONAIS</t>
        </is>
      </c>
      <c r="S646" s="70" t="n">
        <v>4220199</v>
      </c>
      <c r="T646" s="72" t="inlineStr">
        <is>
          <t>PAGAMENTOS OUTROS NAO OPERACIONAIS</t>
        </is>
      </c>
      <c r="U646" s="73" t="n">
        <v>210</v>
      </c>
      <c r="W646" s="73" t="n">
        <v>0</v>
      </c>
      <c r="X646" s="72" t="inlineStr">
        <is>
          <t xml:space="preserve">NAO SOMAR CERTIFICADO ESO LOJAS </t>
        </is>
      </c>
      <c r="Z646" s="59">
        <f>IF($T646="","",IFERROR(INDEX('Resumo Grupos'!$AC$3:$AC$200,MATCH($T646,'Resumo Grupos'!$AB$3:$AB$200,0)),"n/d"))</f>
        <v/>
      </c>
      <c r="AA646" s="59">
        <f>IF($T646="","",IF(COUNTIF('Resumo Grupos'!$AE$3:$AE$40,$T646)&gt;0,"NAO","SIM"))</f>
        <v/>
      </c>
    </row>
    <row r="647" ht="36.75" customHeight="1" s="60">
      <c r="A647" s="70" t="n">
        <v>1</v>
      </c>
      <c r="B647" s="71" t="n">
        <v>46170</v>
      </c>
      <c r="C647" s="71" t="n">
        <v>46200</v>
      </c>
      <c r="D647" s="70" t="n">
        <v>1659</v>
      </c>
      <c r="E647" s="72" t="inlineStr">
        <is>
          <t>ADRIANA DISTRIBUIDORA DE PRODUTOS ALIMEN</t>
        </is>
      </c>
      <c r="F647" s="70" t="n">
        <v>24</v>
      </c>
      <c r="G647" s="72" t="inlineStr">
        <is>
          <t>Compra a Prazo - Boletos</t>
        </is>
      </c>
      <c r="H647" s="70" t="n">
        <v>2110101</v>
      </c>
      <c r="I647" s="72" t="inlineStr">
        <is>
          <t>FORNECEDORES DE MERCADORIA</t>
        </is>
      </c>
      <c r="J647" s="70" t="n">
        <v>1168612</v>
      </c>
      <c r="L647" s="70" t="n">
        <v>875267</v>
      </c>
      <c r="M647" s="72" t="inlineStr">
        <is>
          <t>03</t>
        </is>
      </c>
      <c r="N647" s="72" t="inlineStr">
        <is>
          <t>NFE</t>
        </is>
      </c>
      <c r="P647" s="70" t="n">
        <v>103</v>
      </c>
      <c r="Q647" s="72" t="inlineStr">
        <is>
          <t>MILKA FRANCIS</t>
        </is>
      </c>
      <c r="R647" s="72" t="inlineStr">
        <is>
          <t>ESTOQUE DE MERCADORIAS</t>
        </is>
      </c>
      <c r="S647" s="70" t="n">
        <v>1130101</v>
      </c>
      <c r="T647" s="72" t="inlineStr">
        <is>
          <t>MERCADORIAS P/REVENDA</t>
        </is>
      </c>
      <c r="U647" s="73" t="n">
        <v>769.97</v>
      </c>
      <c r="W647" s="73" t="n">
        <v>0</v>
      </c>
      <c r="X647" s="72" t="inlineStr">
        <is>
          <t>NF 875267-3 MILKA</t>
        </is>
      </c>
      <c r="Z647" s="59">
        <f>IF($T647="","",IFERROR(INDEX('Resumo Grupos'!$AC$3:$AC$200,MATCH($T647,'Resumo Grupos'!$AB$3:$AB$200,0)),"n/d"))</f>
        <v/>
      </c>
      <c r="AA647" s="59">
        <f>IF($T647="","",IF(COUNTIF('Resumo Grupos'!$AE$3:$AE$40,$T647)&gt;0,"NAO","SIM"))</f>
        <v/>
      </c>
    </row>
    <row r="648" ht="27.75" customHeight="1" s="60">
      <c r="A648" s="70" t="n">
        <v>1</v>
      </c>
      <c r="B648" s="71" t="n">
        <v>46181</v>
      </c>
      <c r="C648" s="71" t="n">
        <v>46200</v>
      </c>
      <c r="D648" s="70" t="n">
        <v>1695</v>
      </c>
      <c r="E648" s="72" t="inlineStr">
        <is>
          <t>BRAGA TABACARIA EIRELI ME</t>
        </is>
      </c>
      <c r="F648" s="70" t="n">
        <v>24</v>
      </c>
      <c r="G648" s="72" t="inlineStr">
        <is>
          <t>Compra a Prazo - Boletos</t>
        </is>
      </c>
      <c r="H648" s="70" t="n">
        <v>2110101</v>
      </c>
      <c r="I648" s="72" t="inlineStr">
        <is>
          <t>FORNECEDORES DE MERCADORIA</t>
        </is>
      </c>
      <c r="J648" s="70" t="n">
        <v>1222097</v>
      </c>
      <c r="L648" s="70" t="n">
        <v>18532</v>
      </c>
      <c r="M648" s="72" t="inlineStr">
        <is>
          <t>03</t>
        </is>
      </c>
      <c r="N648" s="72" t="inlineStr">
        <is>
          <t>NFE</t>
        </is>
      </c>
      <c r="P648" s="70" t="n">
        <v>103</v>
      </c>
      <c r="Q648" s="72" t="inlineStr">
        <is>
          <t>MILKA FRANCIS</t>
        </is>
      </c>
      <c r="R648" s="72" t="inlineStr">
        <is>
          <t>ESTOQUE DE MERCADORIAS</t>
        </is>
      </c>
      <c r="S648" s="70" t="n">
        <v>1130101</v>
      </c>
      <c r="T648" s="72" t="inlineStr">
        <is>
          <t>MERCADORIAS P/REVENDA</t>
        </is>
      </c>
      <c r="U648" s="73" t="n">
        <v>807.4</v>
      </c>
      <c r="W648" s="73" t="n">
        <v>0</v>
      </c>
      <c r="X648" s="72" t="inlineStr">
        <is>
          <t>NF 18532-03 MILKA</t>
        </is>
      </c>
      <c r="Z648" s="59">
        <f>IF($T648="","",IFERROR(INDEX('Resumo Grupos'!$AC$3:$AC$200,MATCH($T648,'Resumo Grupos'!$AB$3:$AB$200,0)),"n/d"))</f>
        <v/>
      </c>
      <c r="AA648" s="59">
        <f>IF($T648="","",IF(COUNTIF('Resumo Grupos'!$AE$3:$AE$40,$T648)&gt;0,"NAO","SIM"))</f>
        <v/>
      </c>
    </row>
    <row r="649" ht="36.75" customHeight="1" s="60">
      <c r="A649" s="70" t="n">
        <v>1</v>
      </c>
      <c r="B649" s="71" t="n">
        <v>46181</v>
      </c>
      <c r="C649" s="71" t="n">
        <v>46200</v>
      </c>
      <c r="D649" s="70" t="n">
        <v>1608</v>
      </c>
      <c r="E649" s="72" t="inlineStr">
        <is>
          <t>DISTRIBUIDORA LOPES LTDA</t>
        </is>
      </c>
      <c r="F649" s="70" t="n">
        <v>24</v>
      </c>
      <c r="G649" s="72" t="inlineStr">
        <is>
          <t>Compra a Prazo - Boletos</t>
        </is>
      </c>
      <c r="H649" s="70" t="n">
        <v>2110101</v>
      </c>
      <c r="I649" s="72" t="inlineStr">
        <is>
          <t>FORNECEDORES DE MERCADORIA</t>
        </is>
      </c>
      <c r="J649" s="70" t="n">
        <v>1223463</v>
      </c>
      <c r="L649" s="70" t="n">
        <v>1669083</v>
      </c>
      <c r="M649" s="72" t="inlineStr">
        <is>
          <t>01</t>
        </is>
      </c>
      <c r="N649" s="72" t="inlineStr">
        <is>
          <t>NFE</t>
        </is>
      </c>
      <c r="P649" s="70" t="n">
        <v>103</v>
      </c>
      <c r="Q649" s="72" t="inlineStr">
        <is>
          <t>MILKA FRANCIS</t>
        </is>
      </c>
      <c r="R649" s="72" t="inlineStr">
        <is>
          <t>ESTOQUE DE MERCADORIAS</t>
        </is>
      </c>
      <c r="S649" s="70" t="n">
        <v>1130101</v>
      </c>
      <c r="T649" s="72" t="inlineStr">
        <is>
          <t>MERCADORIAS P/REVENDA</t>
        </is>
      </c>
      <c r="U649" s="73" t="n">
        <v>2209.54</v>
      </c>
      <c r="W649" s="73" t="n">
        <v>0</v>
      </c>
      <c r="X649" s="72" t="inlineStr">
        <is>
          <t>NF 1669083</t>
        </is>
      </c>
      <c r="Z649" s="59">
        <f>IF($T649="","",IFERROR(INDEX('Resumo Grupos'!$AC$3:$AC$200,MATCH($T649,'Resumo Grupos'!$AB$3:$AB$200,0)),"n/d"))</f>
        <v/>
      </c>
      <c r="AA649" s="59">
        <f>IF($T649="","",IF(COUNTIF('Resumo Grupos'!$AE$3:$AE$40,$T649)&gt;0,"NAO","SIM"))</f>
        <v/>
      </c>
    </row>
    <row r="650" ht="36.75" customHeight="1" s="60">
      <c r="A650" s="70" t="n">
        <v>1</v>
      </c>
      <c r="B650" s="71" t="n">
        <v>46184</v>
      </c>
      <c r="C650" s="71" t="n">
        <v>46200</v>
      </c>
      <c r="D650" s="70" t="n">
        <v>1659</v>
      </c>
      <c r="E650" s="72" t="inlineStr">
        <is>
          <t>ADRIANA DISTRIBUIDORA DE PRODUTOS ALIMEN</t>
        </is>
      </c>
      <c r="F650" s="70" t="n">
        <v>24</v>
      </c>
      <c r="G650" s="72" t="inlineStr">
        <is>
          <t>Compra a Prazo - Boletos</t>
        </is>
      </c>
      <c r="H650" s="70" t="n">
        <v>2110101</v>
      </c>
      <c r="I650" s="72" t="inlineStr">
        <is>
          <t>FORNECEDORES DE MERCADORIA</t>
        </is>
      </c>
      <c r="J650" s="70" t="n">
        <v>1236079</v>
      </c>
      <c r="L650" s="70" t="n">
        <v>877771</v>
      </c>
      <c r="M650" s="72" t="inlineStr">
        <is>
          <t>01</t>
        </is>
      </c>
      <c r="N650" s="72" t="inlineStr">
        <is>
          <t>NFE</t>
        </is>
      </c>
      <c r="P650" s="70" t="n">
        <v>103</v>
      </c>
      <c r="Q650" s="72" t="inlineStr">
        <is>
          <t>MILKA FRANCIS</t>
        </is>
      </c>
      <c r="R650" s="72" t="inlineStr">
        <is>
          <t>ESTOQUE DE MERCADORIAS</t>
        </is>
      </c>
      <c r="S650" s="70" t="n">
        <v>1130101</v>
      </c>
      <c r="T650" s="72" t="inlineStr">
        <is>
          <t>MERCADORIAS P/REVENDA</t>
        </is>
      </c>
      <c r="U650" s="73" t="n">
        <v>456.25</v>
      </c>
      <c r="W650" s="73" t="n">
        <v>0</v>
      </c>
      <c r="X650" s="72" t="inlineStr">
        <is>
          <t>NF 877771 - MILKA</t>
        </is>
      </c>
      <c r="Z650" s="59">
        <f>IF($T650="","",IFERROR(INDEX('Resumo Grupos'!$AC$3:$AC$200,MATCH($T650,'Resumo Grupos'!$AB$3:$AB$200,0)),"n/d"))</f>
        <v/>
      </c>
      <c r="AA650" s="59">
        <f>IF($T650="","",IF(COUNTIF('Resumo Grupos'!$AE$3:$AE$40,$T650)&gt;0,"NAO","SIM"))</f>
        <v/>
      </c>
    </row>
    <row r="651" ht="36.75" customHeight="1" s="60">
      <c r="A651" s="70" t="n">
        <v>1</v>
      </c>
      <c r="B651" s="71" t="n">
        <v>46184</v>
      </c>
      <c r="C651" s="71" t="n">
        <v>46200</v>
      </c>
      <c r="D651" s="70" t="n">
        <v>1659</v>
      </c>
      <c r="E651" s="72" t="inlineStr">
        <is>
          <t>ADRIANA DISTRIBUIDORA DE PRODUTOS ALIMEN</t>
        </is>
      </c>
      <c r="F651" s="70" t="n">
        <v>24</v>
      </c>
      <c r="G651" s="72" t="inlineStr">
        <is>
          <t>Compra a Prazo - Boletos</t>
        </is>
      </c>
      <c r="H651" s="70" t="n">
        <v>2110101</v>
      </c>
      <c r="I651" s="72" t="inlineStr">
        <is>
          <t>FORNECEDORES DE MERCADORIA</t>
        </is>
      </c>
      <c r="J651" s="70" t="n">
        <v>1236106</v>
      </c>
      <c r="L651" s="70" t="n">
        <v>877772</v>
      </c>
      <c r="M651" s="72" t="inlineStr">
        <is>
          <t>01</t>
        </is>
      </c>
      <c r="N651" s="72" t="inlineStr">
        <is>
          <t>NFE</t>
        </is>
      </c>
      <c r="P651" s="70" t="n">
        <v>103</v>
      </c>
      <c r="Q651" s="72" t="inlineStr">
        <is>
          <t>MILKA FRANCIS</t>
        </is>
      </c>
      <c r="R651" s="72" t="inlineStr">
        <is>
          <t>ESTOQUE DE MERCADORIAS</t>
        </is>
      </c>
      <c r="S651" s="70" t="n">
        <v>1130101</v>
      </c>
      <c r="T651" s="72" t="inlineStr">
        <is>
          <t>MERCADORIAS P/REVENDA</t>
        </is>
      </c>
      <c r="U651" s="73" t="n">
        <v>376.07</v>
      </c>
      <c r="W651" s="73" t="n">
        <v>0</v>
      </c>
      <c r="X651" s="72" t="inlineStr">
        <is>
          <t>NF 877772-1 MILKA</t>
        </is>
      </c>
      <c r="Z651" s="59">
        <f>IF($T651="","",IFERROR(INDEX('Resumo Grupos'!$AC$3:$AC$200,MATCH($T651,'Resumo Grupos'!$AB$3:$AB$200,0)),"n/d"))</f>
        <v/>
      </c>
      <c r="AA651" s="59">
        <f>IF($T651="","",IF(COUNTIF('Resumo Grupos'!$AE$3:$AE$40,$T651)&gt;0,"NAO","SIM"))</f>
        <v/>
      </c>
    </row>
    <row r="652" ht="82.5" customHeight="1" s="60">
      <c r="A652" s="70" t="n">
        <v>1</v>
      </c>
      <c r="B652" s="71" t="n">
        <v>46188</v>
      </c>
      <c r="C652" s="71" t="n">
        <v>46200</v>
      </c>
      <c r="D652" s="70" t="n">
        <v>1672</v>
      </c>
      <c r="E652" s="72" t="inlineStr">
        <is>
          <t>MARE DISTRIBUIDORA DE BEBIDAS E DE PRODUTOS ALIMENTICIOS LTDA</t>
        </is>
      </c>
      <c r="F652" s="70" t="n">
        <v>24</v>
      </c>
      <c r="G652" s="72" t="inlineStr">
        <is>
          <t>Compra a Prazo - Boletos</t>
        </is>
      </c>
      <c r="H652" s="70" t="n">
        <v>2110101</v>
      </c>
      <c r="I652" s="72" t="inlineStr">
        <is>
          <t>FORNECEDORES DE MERCADORIA</t>
        </is>
      </c>
      <c r="J652" s="70" t="n">
        <v>1255515</v>
      </c>
      <c r="L652" s="70" t="n">
        <v>1366480</v>
      </c>
      <c r="M652" s="72" t="inlineStr">
        <is>
          <t>01</t>
        </is>
      </c>
      <c r="N652" s="72" t="inlineStr">
        <is>
          <t>NFE</t>
        </is>
      </c>
      <c r="P652" s="70" t="n">
        <v>103</v>
      </c>
      <c r="Q652" s="72" t="inlineStr">
        <is>
          <t>MILKA FRANCIS</t>
        </is>
      </c>
      <c r="R652" s="72" t="inlineStr">
        <is>
          <t>ESTOQUE DE MERCADORIAS</t>
        </is>
      </c>
      <c r="S652" s="70" t="n">
        <v>1130101</v>
      </c>
      <c r="T652" s="72" t="inlineStr">
        <is>
          <t>MERCADORIAS P/REVENDA</t>
        </is>
      </c>
      <c r="U652" s="73" t="n">
        <v>954</v>
      </c>
      <c r="W652" s="73" t="n">
        <v>0</v>
      </c>
      <c r="X652" s="72" t="inlineStr">
        <is>
          <t>NF 1366480 - MILKA</t>
        </is>
      </c>
      <c r="Z652" s="59">
        <f>IF($T652="","",IFERROR(INDEX('Resumo Grupos'!$AC$3:$AC$200,MATCH($T652,'Resumo Grupos'!$AB$3:$AB$200,0)),"n/d"))</f>
        <v/>
      </c>
      <c r="AA652" s="59">
        <f>IF($T652="","",IF(COUNTIF('Resumo Grupos'!$AE$3:$AE$40,$T652)&gt;0,"NAO","SIM"))</f>
        <v/>
      </c>
    </row>
    <row r="653" ht="36.75" customHeight="1" s="60">
      <c r="A653" s="70" t="n">
        <v>1</v>
      </c>
      <c r="B653" s="71" t="n">
        <v>46188</v>
      </c>
      <c r="C653" s="71" t="n">
        <v>46200</v>
      </c>
      <c r="D653" s="70" t="n">
        <v>1672</v>
      </c>
      <c r="E653" s="72" t="inlineStr">
        <is>
          <t>MARE DISTRIBUIDORA DE BEBIDAS E DE PRODUTOS ALIMENTICIOS LTDA</t>
        </is>
      </c>
      <c r="F653" s="70" t="n">
        <v>24</v>
      </c>
      <c r="G653" s="72" t="inlineStr">
        <is>
          <t>Compra a Prazo - Boletos</t>
        </is>
      </c>
      <c r="H653" s="70" t="n">
        <v>2110101</v>
      </c>
      <c r="I653" s="72" t="inlineStr">
        <is>
          <t>FORNECEDORES DE MERCADORIA</t>
        </is>
      </c>
      <c r="J653" s="70" t="n">
        <v>1255563</v>
      </c>
      <c r="L653" s="70" t="n">
        <v>1367200</v>
      </c>
      <c r="M653" s="72" t="inlineStr">
        <is>
          <t>01</t>
        </is>
      </c>
      <c r="N653" s="72" t="inlineStr">
        <is>
          <t>NFE</t>
        </is>
      </c>
      <c r="P653" s="70" t="n">
        <v>103</v>
      </c>
      <c r="Q653" s="72" t="inlineStr">
        <is>
          <t>MILKA FRANCIS</t>
        </is>
      </c>
      <c r="R653" s="72" t="inlineStr">
        <is>
          <t>ESTOQUE DE MERCADORIAS</t>
        </is>
      </c>
      <c r="S653" s="70" t="n">
        <v>1130101</v>
      </c>
      <c r="T653" s="72" t="inlineStr">
        <is>
          <t>MERCADORIAS P/REVENDA</t>
        </is>
      </c>
      <c r="U653" s="73" t="n">
        <v>2200.3</v>
      </c>
      <c r="W653" s="73" t="n">
        <v>0</v>
      </c>
      <c r="X653" s="72" t="inlineStr">
        <is>
          <t>NF 1367200 - MILKA</t>
        </is>
      </c>
      <c r="Z653" s="59">
        <f>IF($T653="","",IFERROR(INDEX('Resumo Grupos'!$AC$3:$AC$200,MATCH($T653,'Resumo Grupos'!$AB$3:$AB$200,0)),"n/d"))</f>
        <v/>
      </c>
      <c r="AA653" s="59">
        <f>IF($T653="","",IF(COUNTIF('Resumo Grupos'!$AE$3:$AE$40,$T653)&gt;0,"NAO","SIM"))</f>
        <v/>
      </c>
    </row>
    <row r="654" ht="36.75" customHeight="1" s="60">
      <c r="A654" s="70" t="n">
        <v>1</v>
      </c>
      <c r="B654" s="71" t="n">
        <v>46189</v>
      </c>
      <c r="C654" s="71" t="n">
        <v>46200</v>
      </c>
      <c r="D654" s="70" t="n">
        <v>1812</v>
      </c>
      <c r="E654" s="72" t="inlineStr">
        <is>
          <t>A K LIMA DE ANDRADE</t>
        </is>
      </c>
      <c r="F654" s="70" t="n">
        <v>24</v>
      </c>
      <c r="G654" s="72" t="inlineStr">
        <is>
          <t>Compra a Prazo - Boletos</t>
        </is>
      </c>
      <c r="H654" s="70" t="n">
        <v>2110101</v>
      </c>
      <c r="I654" s="72" t="inlineStr">
        <is>
          <t>FORNECEDORES DE MERCADORIA</t>
        </is>
      </c>
      <c r="J654" s="70" t="n">
        <v>1261480</v>
      </c>
      <c r="L654" s="70" t="n">
        <v>2720</v>
      </c>
      <c r="M654" s="72" t="inlineStr">
        <is>
          <t>01</t>
        </is>
      </c>
      <c r="N654" s="72" t="inlineStr">
        <is>
          <t>NFE</t>
        </is>
      </c>
      <c r="P654" s="70" t="n">
        <v>103</v>
      </c>
      <c r="Q654" s="72" t="inlineStr">
        <is>
          <t>MILKA FRANCIS</t>
        </is>
      </c>
      <c r="R654" s="72" t="inlineStr">
        <is>
          <t>ESTOQUE DE MERCADORIAS</t>
        </is>
      </c>
      <c r="S654" s="70" t="n">
        <v>1130101</v>
      </c>
      <c r="T654" s="72" t="inlineStr">
        <is>
          <t>MERCADORIAS P/REVENDA</t>
        </is>
      </c>
      <c r="U654" s="73" t="n">
        <v>434.5</v>
      </c>
      <c r="W654" s="73" t="n">
        <v>0</v>
      </c>
      <c r="X654" s="72" t="inlineStr">
        <is>
          <t>NF 2720 SP CEREAL - MILKA</t>
        </is>
      </c>
      <c r="Z654" s="59">
        <f>IF($T654="","",IFERROR(INDEX('Resumo Grupos'!$AC$3:$AC$200,MATCH($T654,'Resumo Grupos'!$AB$3:$AB$200,0)),"n/d"))</f>
        <v/>
      </c>
      <c r="AA654" s="59">
        <f>IF($T654="","",IF(COUNTIF('Resumo Grupos'!$AE$3:$AE$40,$T654)&gt;0,"NAO","SIM"))</f>
        <v/>
      </c>
    </row>
    <row r="655" ht="36.75" customHeight="1" s="60">
      <c r="A655" s="70" t="n">
        <v>1</v>
      </c>
      <c r="B655" s="71" t="n">
        <v>46192</v>
      </c>
      <c r="C655" s="71" t="n">
        <v>46200</v>
      </c>
      <c r="D655" s="70" t="n">
        <v>1705</v>
      </c>
      <c r="E655" s="72" t="inlineStr">
        <is>
          <t>BRASIL NORTE BEBIDAS S/A</t>
        </is>
      </c>
      <c r="F655" s="70" t="n">
        <v>24</v>
      </c>
      <c r="G655" s="72" t="inlineStr">
        <is>
          <t>Compra a Prazo - Boletos</t>
        </is>
      </c>
      <c r="H655" s="70" t="n">
        <v>2110101</v>
      </c>
      <c r="I655" s="72" t="inlineStr">
        <is>
          <t>FORNECEDORES DE MERCADORIA</t>
        </is>
      </c>
      <c r="J655" s="70" t="n">
        <v>1272650</v>
      </c>
      <c r="L655" s="70" t="n">
        <v>1879436</v>
      </c>
      <c r="M655" s="72" t="inlineStr">
        <is>
          <t>01</t>
        </is>
      </c>
      <c r="N655" s="72" t="inlineStr">
        <is>
          <t>NFE</t>
        </is>
      </c>
      <c r="P655" s="70" t="n">
        <v>103</v>
      </c>
      <c r="Q655" s="72" t="inlineStr">
        <is>
          <t>MILKA FRANCIS</t>
        </is>
      </c>
      <c r="R655" s="72" t="inlineStr">
        <is>
          <t>ESTOQUE DE MERCADORIAS</t>
        </is>
      </c>
      <c r="S655" s="70" t="n">
        <v>1130101</v>
      </c>
      <c r="T655" s="72" t="inlineStr">
        <is>
          <t>MERCADORIAS P/REVENDA</t>
        </is>
      </c>
      <c r="U655" s="73" t="n">
        <v>5794.4</v>
      </c>
      <c r="W655" s="73" t="n">
        <v>0</v>
      </c>
      <c r="X655" s="72" t="inlineStr">
        <is>
          <t>NF 1879436 - MILKA</t>
        </is>
      </c>
      <c r="Z655" s="59">
        <f>IF($T655="","",IFERROR(INDEX('Resumo Grupos'!$AC$3:$AC$200,MATCH($T655,'Resumo Grupos'!$AB$3:$AB$200,0)),"n/d"))</f>
        <v/>
      </c>
      <c r="AA655" s="59">
        <f>IF($T655="","",IF(COUNTIF('Resumo Grupos'!$AE$3:$AE$40,$T655)&gt;0,"NAO","SIM"))</f>
        <v/>
      </c>
    </row>
    <row r="656" ht="36.75" customHeight="1" s="60">
      <c r="A656" s="70" t="n">
        <v>1</v>
      </c>
      <c r="B656" s="71" t="n">
        <v>46195</v>
      </c>
      <c r="C656" s="71" t="n">
        <v>46200</v>
      </c>
      <c r="D656" s="70" t="n">
        <v>754</v>
      </c>
      <c r="E656" s="72" t="inlineStr">
        <is>
          <t>SILVA E SANTOS FRIGORIFICO LTDA</t>
        </is>
      </c>
      <c r="F656" s="70" t="n">
        <v>24</v>
      </c>
      <c r="G656" s="72" t="inlineStr">
        <is>
          <t>Compra a Prazo - Boletos</t>
        </is>
      </c>
      <c r="H656" s="70" t="n">
        <v>2110101</v>
      </c>
      <c r="I656" s="72" t="inlineStr">
        <is>
          <t>FORNECEDORES DE MERCADORIA</t>
        </is>
      </c>
      <c r="J656" s="70" t="n">
        <v>1289125</v>
      </c>
      <c r="L656" s="70" t="n">
        <v>31244</v>
      </c>
      <c r="M656" s="72" t="inlineStr">
        <is>
          <t>01</t>
        </is>
      </c>
      <c r="N656" s="72" t="inlineStr">
        <is>
          <t>NFE</t>
        </is>
      </c>
      <c r="P656" s="70" t="n">
        <v>103</v>
      </c>
      <c r="Q656" s="72" t="inlineStr">
        <is>
          <t>MILKA FRANCIS</t>
        </is>
      </c>
      <c r="R656" s="72" t="inlineStr">
        <is>
          <t>ESTOQUE DE MERCADORIAS</t>
        </is>
      </c>
      <c r="S656" s="70" t="n">
        <v>1130101</v>
      </c>
      <c r="T656" s="72" t="inlineStr">
        <is>
          <t>MERCADORIAS P/REVENDA</t>
        </is>
      </c>
      <c r="U656" s="73" t="n">
        <v>1840</v>
      </c>
      <c r="W656" s="73" t="n">
        <v>0</v>
      </c>
      <c r="X656" s="72" t="inlineStr">
        <is>
          <t>NF 31244 - MILKA</t>
        </is>
      </c>
      <c r="Z656" s="59">
        <f>IF($T656="","",IFERROR(INDEX('Resumo Grupos'!$AC$3:$AC$200,MATCH($T656,'Resumo Grupos'!$AB$3:$AB$200,0)),"n/d"))</f>
        <v/>
      </c>
      <c r="AA656" s="59">
        <f>IF($T656="","",IF(COUNTIF('Resumo Grupos'!$AE$3:$AE$40,$T656)&gt;0,"NAO","SIM"))</f>
        <v/>
      </c>
    </row>
    <row r="657" ht="45.75" customHeight="1" s="60">
      <c r="A657" s="70" t="n">
        <v>1</v>
      </c>
      <c r="B657" s="71" t="n">
        <v>46195</v>
      </c>
      <c r="C657" s="71" t="n">
        <v>46200</v>
      </c>
      <c r="D657" s="70" t="n">
        <v>754</v>
      </c>
      <c r="E657" s="72" t="inlineStr">
        <is>
          <t>SILVA E SANTOS FRIGORIFICO LTDA</t>
        </is>
      </c>
      <c r="F657" s="70" t="n">
        <v>24</v>
      </c>
      <c r="G657" s="72" t="inlineStr">
        <is>
          <t>Compra a Prazo - Boletos</t>
        </is>
      </c>
      <c r="H657" s="70" t="n">
        <v>2110101</v>
      </c>
      <c r="I657" s="72" t="inlineStr">
        <is>
          <t>FORNECEDORES DE MERCADORIA</t>
        </is>
      </c>
      <c r="J657" s="70" t="n">
        <v>1289188</v>
      </c>
      <c r="L657" s="70" t="n">
        <v>31245</v>
      </c>
      <c r="M657" s="72" t="inlineStr">
        <is>
          <t>01</t>
        </is>
      </c>
      <c r="N657" s="72" t="inlineStr">
        <is>
          <t>NFE</t>
        </is>
      </c>
      <c r="P657" s="70" t="n">
        <v>103</v>
      </c>
      <c r="Q657" s="72" t="inlineStr">
        <is>
          <t>MILKA FRANCIS</t>
        </is>
      </c>
      <c r="R657" s="72" t="inlineStr">
        <is>
          <t>ESTOQUE DE MERCADORIAS</t>
        </is>
      </c>
      <c r="S657" s="70" t="n">
        <v>1130101</v>
      </c>
      <c r="T657" s="72" t="inlineStr">
        <is>
          <t>MERCADORIAS P/REVENDA</t>
        </is>
      </c>
      <c r="U657" s="73" t="n">
        <v>3337.5</v>
      </c>
      <c r="W657" s="73" t="n">
        <v>0</v>
      </c>
      <c r="X657" s="72" t="inlineStr">
        <is>
          <t>NF 31245 - MILKA</t>
        </is>
      </c>
      <c r="Z657" s="59">
        <f>IF($T657="","",IFERROR(INDEX('Resumo Grupos'!$AC$3:$AC$200,MATCH($T657,'Resumo Grupos'!$AB$3:$AB$200,0)),"n/d"))</f>
        <v/>
      </c>
      <c r="AA657" s="59">
        <f>IF($T657="","",IF(COUNTIF('Resumo Grupos'!$AE$3:$AE$40,$T657)&gt;0,"NAO","SIM"))</f>
        <v/>
      </c>
    </row>
    <row r="658" ht="45.75" customHeight="1" s="60">
      <c r="A658" s="70" t="n">
        <v>1</v>
      </c>
      <c r="B658" s="71" t="n">
        <v>46195</v>
      </c>
      <c r="C658" s="71" t="n">
        <v>46200</v>
      </c>
      <c r="D658" s="70" t="n">
        <v>1625</v>
      </c>
      <c r="E658" s="72" t="inlineStr">
        <is>
          <t>MAXFRI DISTRIUIDORA LTDA</t>
        </is>
      </c>
      <c r="F658" s="70" t="n">
        <v>24</v>
      </c>
      <c r="G658" s="72" t="inlineStr">
        <is>
          <t>Compra a Prazo - Boletos</t>
        </is>
      </c>
      <c r="H658" s="70" t="n">
        <v>2110101</v>
      </c>
      <c r="I658" s="72" t="inlineStr">
        <is>
          <t>FORNECEDORES DE MERCADORIA</t>
        </is>
      </c>
      <c r="J658" s="70" t="n">
        <v>1289204</v>
      </c>
      <c r="L658" s="70" t="n">
        <v>14526</v>
      </c>
      <c r="M658" s="72" t="inlineStr">
        <is>
          <t>01</t>
        </is>
      </c>
      <c r="N658" s="72" t="inlineStr">
        <is>
          <t>NFE</t>
        </is>
      </c>
      <c r="P658" s="70" t="n">
        <v>103</v>
      </c>
      <c r="Q658" s="72" t="inlineStr">
        <is>
          <t>MILKA FRANCIS</t>
        </is>
      </c>
      <c r="R658" s="72" t="inlineStr">
        <is>
          <t>ESTOQUE DE MERCADORIAS</t>
        </is>
      </c>
      <c r="S658" s="70" t="n">
        <v>1130101</v>
      </c>
      <c r="T658" s="72" t="inlineStr">
        <is>
          <t>MERCADORIAS P/REVENDA</t>
        </is>
      </c>
      <c r="U658" s="73" t="n">
        <v>8271.059999999999</v>
      </c>
      <c r="W658" s="73" t="n">
        <v>0</v>
      </c>
      <c r="X658" s="72" t="inlineStr">
        <is>
          <t>NF14526 - MILKA</t>
        </is>
      </c>
      <c r="Z658" s="59">
        <f>IF($T658="","",IFERROR(INDEX('Resumo Grupos'!$AC$3:$AC$200,MATCH($T658,'Resumo Grupos'!$AB$3:$AB$200,0)),"n/d"))</f>
        <v/>
      </c>
      <c r="AA658" s="59">
        <f>IF($T658="","",IF(COUNTIF('Resumo Grupos'!$AE$3:$AE$40,$T658)&gt;0,"NAO","SIM"))</f>
        <v/>
      </c>
    </row>
    <row r="659" ht="45.75" customHeight="1" s="60">
      <c r="A659" s="70" t="n">
        <v>1</v>
      </c>
      <c r="B659" s="71" t="n">
        <v>46199</v>
      </c>
      <c r="C659" s="71" t="n">
        <v>46200</v>
      </c>
      <c r="D659" s="70" t="n">
        <v>33</v>
      </c>
      <c r="E659" s="72" t="inlineStr">
        <is>
          <t>RENATO DE O AZEVEDO E CIA LTDA - EPP</t>
        </is>
      </c>
      <c r="F659" s="70" t="n">
        <v>34</v>
      </c>
      <c r="G659" s="72" t="inlineStr">
        <is>
          <t>Transferencia Pix</t>
        </is>
      </c>
      <c r="H659" s="70" t="n">
        <v>2110101</v>
      </c>
      <c r="I659" s="72" t="inlineStr">
        <is>
          <t>FORNECEDORES DE MERCADORIA</t>
        </is>
      </c>
      <c r="J659" s="70" t="n">
        <v>1310202</v>
      </c>
      <c r="L659" s="70" t="n">
        <v>5196</v>
      </c>
      <c r="M659" s="72" t="inlineStr">
        <is>
          <t>01</t>
        </is>
      </c>
      <c r="N659" s="72" t="inlineStr">
        <is>
          <t>NFE</t>
        </is>
      </c>
      <c r="P659" s="70" t="n">
        <v>104</v>
      </c>
      <c r="Q659" s="72" t="inlineStr">
        <is>
          <t>DEBORA COSTA</t>
        </is>
      </c>
      <c r="R659" s="72" t="inlineStr">
        <is>
          <t>ESTOQUE DE MERCADORIAS</t>
        </is>
      </c>
      <c r="S659" s="70" t="n">
        <v>1130101</v>
      </c>
      <c r="T659" s="72" t="inlineStr">
        <is>
          <t>MERCADORIAS P/REVENDA</t>
        </is>
      </c>
      <c r="U659" s="73" t="n">
        <v>2596</v>
      </c>
      <c r="W659" s="73" t="n">
        <v>0</v>
      </c>
      <c r="X659" s="72" t="inlineStr">
        <is>
          <t>FEIRA CARLOS - DEBORA</t>
        </is>
      </c>
      <c r="Z659" s="59">
        <f>IF($T659="","",IFERROR(INDEX('Resumo Grupos'!$AC$3:$AC$200,MATCH($T659,'Resumo Grupos'!$AB$3:$AB$200,0)),"n/d"))</f>
        <v/>
      </c>
      <c r="AA659" s="59">
        <f>IF($T659="","",IF(COUNTIF('Resumo Grupos'!$AE$3:$AE$40,$T659)&gt;0,"NAO","SIM"))</f>
        <v/>
      </c>
    </row>
    <row r="660" ht="45.75" customHeight="1" s="60">
      <c r="A660" s="70" t="n">
        <v>1</v>
      </c>
      <c r="B660" s="71" t="n">
        <v>46199</v>
      </c>
      <c r="C660" s="71" t="n">
        <v>46200</v>
      </c>
      <c r="D660" s="70" t="n">
        <v>1615</v>
      </c>
      <c r="E660" s="72" t="inlineStr">
        <is>
          <t>COMERCIO E TRANSPORTE BRANDAO LTDA</t>
        </is>
      </c>
      <c r="F660" s="70" t="n">
        <v>34</v>
      </c>
      <c r="G660" s="72" t="inlineStr">
        <is>
          <t>Transferencia Pix</t>
        </is>
      </c>
      <c r="H660" s="70" t="n">
        <v>2110101</v>
      </c>
      <c r="I660" s="72" t="inlineStr">
        <is>
          <t>FORNECEDORES DE MERCADORIA</t>
        </is>
      </c>
      <c r="J660" s="70" t="n">
        <v>1310365</v>
      </c>
      <c r="L660" s="70" t="n">
        <v>14752</v>
      </c>
      <c r="M660" s="72" t="inlineStr">
        <is>
          <t>01</t>
        </is>
      </c>
      <c r="N660" s="72" t="inlineStr">
        <is>
          <t>NFE</t>
        </is>
      </c>
      <c r="P660" s="70" t="n">
        <v>104</v>
      </c>
      <c r="Q660" s="72" t="inlineStr">
        <is>
          <t>DEBORA COSTA</t>
        </is>
      </c>
      <c r="R660" s="72" t="inlineStr">
        <is>
          <t>ESTOQUE DE MERCADORIAS</t>
        </is>
      </c>
      <c r="S660" s="70" t="n">
        <v>1130101</v>
      </c>
      <c r="T660" s="72" t="inlineStr">
        <is>
          <t>MERCADORIAS P/REVENDA</t>
        </is>
      </c>
      <c r="U660" s="73" t="n">
        <v>1000</v>
      </c>
      <c r="W660" s="73" t="n">
        <v>0</v>
      </c>
      <c r="X660" s="72" t="inlineStr">
        <is>
          <t>NF 14752 - DEBORA</t>
        </is>
      </c>
      <c r="Z660" s="59">
        <f>IF($T660="","",IFERROR(INDEX('Resumo Grupos'!$AC$3:$AC$200,MATCH($T660,'Resumo Grupos'!$AB$3:$AB$200,0)),"n/d"))</f>
        <v/>
      </c>
      <c r="AA660" s="59">
        <f>IF($T660="","",IF(COUNTIF('Resumo Grupos'!$AE$3:$AE$40,$T660)&gt;0,"NAO","SIM"))</f>
        <v/>
      </c>
    </row>
    <row r="661" ht="36.75" customHeight="1" s="60">
      <c r="A661" s="70" t="n">
        <v>1</v>
      </c>
      <c r="B661" s="71" t="n">
        <v>46199</v>
      </c>
      <c r="C661" s="71" t="n">
        <v>46200</v>
      </c>
      <c r="D661" s="70" t="n">
        <v>33</v>
      </c>
      <c r="E661" s="72" t="inlineStr">
        <is>
          <t>RENATO DE O AZEVEDO E CIA LTDA - EPP</t>
        </is>
      </c>
      <c r="F661" s="70" t="n">
        <v>34</v>
      </c>
      <c r="G661" s="72" t="inlineStr">
        <is>
          <t>Transferencia Pix</t>
        </is>
      </c>
      <c r="H661" s="70" t="n">
        <v>2110101</v>
      </c>
      <c r="I661" s="72" t="inlineStr">
        <is>
          <t>FORNECEDORES DE MERCADORIA</t>
        </is>
      </c>
      <c r="J661" s="70" t="n">
        <v>1310381</v>
      </c>
      <c r="L661" s="70" t="n">
        <v>542335</v>
      </c>
      <c r="M661" s="72" t="inlineStr">
        <is>
          <t>01</t>
        </is>
      </c>
      <c r="N661" s="72" t="inlineStr">
        <is>
          <t>AVU</t>
        </is>
      </c>
      <c r="P661" s="70" t="n">
        <v>104</v>
      </c>
      <c r="Q661" s="72" t="inlineStr">
        <is>
          <t>DEBORA COSTA</t>
        </is>
      </c>
      <c r="R661" s="72" t="inlineStr">
        <is>
          <t>ESTOQUE DE MERCADORIAS</t>
        </is>
      </c>
      <c r="S661" s="70" t="n">
        <v>1130101</v>
      </c>
      <c r="T661" s="72" t="inlineStr">
        <is>
          <t>MERCADORIAS P/REVENDA</t>
        </is>
      </c>
      <c r="U661" s="73" t="n">
        <v>160</v>
      </c>
      <c r="W661" s="73" t="n">
        <v>0</v>
      </c>
      <c r="X661" s="72" t="inlineStr">
        <is>
          <t>CAMARAO COM E SEM CASCA - FEIRA CARLOS - DEBORA</t>
        </is>
      </c>
      <c r="Z661" s="59">
        <f>IF($T661="","",IFERROR(INDEX('Resumo Grupos'!$AC$3:$AC$200,MATCH($T661,'Resumo Grupos'!$AB$3:$AB$200,0)),"n/d"))</f>
        <v/>
      </c>
      <c r="AA661" s="59">
        <f>IF($T661="","",IF(COUNTIF('Resumo Grupos'!$AE$3:$AE$40,$T661)&gt;0,"NAO","SIM"))</f>
        <v/>
      </c>
    </row>
    <row r="662" ht="45.75" customHeight="1" s="60">
      <c r="A662" s="70" t="n">
        <v>1</v>
      </c>
      <c r="B662" s="71" t="n">
        <v>46200</v>
      </c>
      <c r="C662" s="71" t="n">
        <v>46200</v>
      </c>
      <c r="D662" s="70" t="n">
        <v>978</v>
      </c>
      <c r="E662" s="72" t="inlineStr">
        <is>
          <t>GELO DANGELO FABRICACAO DE GELO LTDA</t>
        </is>
      </c>
      <c r="F662" s="70" t="n">
        <v>13</v>
      </c>
      <c r="G662" s="72" t="inlineStr">
        <is>
          <t>Compra a Vista</t>
        </is>
      </c>
      <c r="H662" s="70" t="n">
        <v>2110101</v>
      </c>
      <c r="I662" s="72" t="inlineStr">
        <is>
          <t>FORNECEDORES DE MERCADORIA</t>
        </is>
      </c>
      <c r="J662" s="70" t="n">
        <v>1313023</v>
      </c>
      <c r="L662" s="70" t="n">
        <v>325</v>
      </c>
      <c r="M662" s="72" t="inlineStr">
        <is>
          <t>01</t>
        </is>
      </c>
      <c r="N662" s="72" t="inlineStr">
        <is>
          <t>NFE</t>
        </is>
      </c>
      <c r="P662" s="70" t="n">
        <v>104</v>
      </c>
      <c r="Q662" s="72" t="inlineStr">
        <is>
          <t>DEBORA COSTA</t>
        </is>
      </c>
      <c r="R662" s="72" t="inlineStr">
        <is>
          <t>ESTOQUE DE MERCADORIAS</t>
        </is>
      </c>
      <c r="S662" s="70" t="n">
        <v>1130101</v>
      </c>
      <c r="T662" s="72" t="inlineStr">
        <is>
          <t>MERCADORIAS P/REVENDA</t>
        </is>
      </c>
      <c r="U662" s="73" t="n">
        <v>380</v>
      </c>
      <c r="W662" s="73" t="n">
        <v>0</v>
      </c>
      <c r="X662" s="72" t="inlineStr">
        <is>
          <t>NF 325 - DEBORA</t>
        </is>
      </c>
      <c r="Z662" s="59">
        <f>IF($T662="","",IFERROR(INDEX('Resumo Grupos'!$AC$3:$AC$200,MATCH($T662,'Resumo Grupos'!$AB$3:$AB$200,0)),"n/d"))</f>
        <v/>
      </c>
      <c r="AA662" s="59">
        <f>IF($T662="","",IF(COUNTIF('Resumo Grupos'!$AE$3:$AE$40,$T662)&gt;0,"NAO","SIM"))</f>
        <v/>
      </c>
    </row>
    <row r="663" ht="45.75" customHeight="1" s="60">
      <c r="A663" s="70" t="n">
        <v>1</v>
      </c>
      <c r="B663" s="71" t="n">
        <v>46200</v>
      </c>
      <c r="C663" s="71" t="n">
        <v>46200</v>
      </c>
      <c r="D663" s="70" t="n">
        <v>1187</v>
      </c>
      <c r="E663" s="72" t="inlineStr">
        <is>
          <t>JACKSON ROCHA NUNES</t>
        </is>
      </c>
      <c r="F663" s="70" t="n">
        <v>13</v>
      </c>
      <c r="G663" s="72" t="inlineStr">
        <is>
          <t>Compra a Vista</t>
        </is>
      </c>
      <c r="H663" s="70" t="n">
        <v>2110101</v>
      </c>
      <c r="I663" s="72" t="inlineStr">
        <is>
          <t>FORNECEDORES DE MERCADORIA</t>
        </is>
      </c>
      <c r="J663" s="70" t="n">
        <v>1360419</v>
      </c>
      <c r="L663" s="70" t="n">
        <v>225</v>
      </c>
      <c r="M663" s="72" t="inlineStr">
        <is>
          <t>01</t>
        </is>
      </c>
      <c r="N663" s="72" t="inlineStr">
        <is>
          <t>NFE</t>
        </is>
      </c>
      <c r="P663" s="70" t="n">
        <v>104</v>
      </c>
      <c r="Q663" s="72" t="inlineStr">
        <is>
          <t>DEBORA COSTA</t>
        </is>
      </c>
      <c r="R663" s="72" t="inlineStr">
        <is>
          <t>ESTOQUE DE MERCADORIAS</t>
        </is>
      </c>
      <c r="S663" s="70" t="n">
        <v>1130101</v>
      </c>
      <c r="T663" s="72" t="inlineStr">
        <is>
          <t>MERCADORIAS P/REVENDA</t>
        </is>
      </c>
      <c r="U663" s="73" t="n">
        <v>750</v>
      </c>
      <c r="W663" s="73" t="n">
        <v>0</v>
      </c>
      <c r="X663" s="72" t="inlineStr">
        <is>
          <t>NF 225 - DEBORA</t>
        </is>
      </c>
      <c r="Z663" s="59">
        <f>IF($T663="","",IFERROR(INDEX('Resumo Grupos'!$AC$3:$AC$200,MATCH($T663,'Resumo Grupos'!$AB$3:$AB$200,0)),"n/d"))</f>
        <v/>
      </c>
      <c r="AA663" s="59">
        <f>IF($T663="","",IF(COUNTIF('Resumo Grupos'!$AE$3:$AE$40,$T663)&gt;0,"NAO","SIM"))</f>
        <v/>
      </c>
    </row>
    <row r="664" ht="45.75" customHeight="1" s="60">
      <c r="A664" s="70" t="n">
        <v>1</v>
      </c>
      <c r="B664" s="71" t="n">
        <v>46148</v>
      </c>
      <c r="C664" s="71" t="n">
        <v>46201</v>
      </c>
      <c r="D664" s="70" t="n">
        <v>607</v>
      </c>
      <c r="E664" s="72" t="inlineStr">
        <is>
          <t>PRIME PET DISTRIBUIDORA LTDA</t>
        </is>
      </c>
      <c r="F664" s="70" t="n">
        <v>24</v>
      </c>
      <c r="G664" s="72" t="inlineStr">
        <is>
          <t>Compra a Prazo - Boletos</t>
        </is>
      </c>
      <c r="H664" s="70" t="n">
        <v>2110101</v>
      </c>
      <c r="I664" s="72" t="inlineStr">
        <is>
          <t>FORNECEDORES DE MERCADORIA</t>
        </is>
      </c>
      <c r="J664" s="70" t="n">
        <v>1057743</v>
      </c>
      <c r="L664" s="70" t="n">
        <v>10336</v>
      </c>
      <c r="M664" s="72" t="inlineStr">
        <is>
          <t>04</t>
        </is>
      </c>
      <c r="N664" s="72" t="inlineStr">
        <is>
          <t>NFE</t>
        </is>
      </c>
      <c r="P664" s="70" t="n">
        <v>103</v>
      </c>
      <c r="Q664" s="72" t="inlineStr">
        <is>
          <t>MILKA FRANCIS</t>
        </is>
      </c>
      <c r="R664" s="72" t="inlineStr">
        <is>
          <t>ESTOQUE DE MERCADORIAS</t>
        </is>
      </c>
      <c r="S664" s="70" t="n">
        <v>1130101</v>
      </c>
      <c r="T664" s="72" t="inlineStr">
        <is>
          <t>MERCADORIAS P/REVENDA</t>
        </is>
      </c>
      <c r="U664" s="73" t="n">
        <v>250.35</v>
      </c>
      <c r="W664" s="73" t="n">
        <v>0</v>
      </c>
      <c r="X664" s="72" t="inlineStr">
        <is>
          <t>NF 10336 -04 MILKA</t>
        </is>
      </c>
      <c r="Z664" s="59">
        <f>IF($T664="","",IFERROR(INDEX('Resumo Grupos'!$AC$3:$AC$200,MATCH($T664,'Resumo Grupos'!$AB$3:$AB$200,0)),"n/d"))</f>
        <v/>
      </c>
      <c r="AA664" s="59">
        <f>IF($T664="","",IF(COUNTIF('Resumo Grupos'!$AE$3:$AE$40,$T664)&gt;0,"NAO","SIM"))</f>
        <v/>
      </c>
    </row>
    <row r="665" ht="72.75" customHeight="1" s="60">
      <c r="A665" s="70" t="n">
        <v>1</v>
      </c>
      <c r="B665" s="71" t="n">
        <v>46154</v>
      </c>
      <c r="C665" s="71" t="n">
        <v>46201</v>
      </c>
      <c r="D665" s="70" t="n">
        <v>10011</v>
      </c>
      <c r="E665" s="72" t="inlineStr">
        <is>
          <t>OPPORTUNITY ALIMENTOS PARA ANIMAIS LTDA</t>
        </is>
      </c>
      <c r="F665" s="70" t="n">
        <v>24</v>
      </c>
      <c r="G665" s="72" t="inlineStr">
        <is>
          <t>Compra a Prazo - Boletos</t>
        </is>
      </c>
      <c r="H665" s="70" t="n">
        <v>2110101</v>
      </c>
      <c r="I665" s="72" t="inlineStr">
        <is>
          <t>FORNECEDORES DE MERCADORIA</t>
        </is>
      </c>
      <c r="J665" s="70" t="n">
        <v>1089077</v>
      </c>
      <c r="L665" s="70" t="n">
        <v>33621</v>
      </c>
      <c r="M665" s="72" t="inlineStr">
        <is>
          <t>04</t>
        </is>
      </c>
      <c r="N665" s="72" t="inlineStr">
        <is>
          <t>NFE</t>
        </is>
      </c>
      <c r="P665" s="70" t="n">
        <v>103</v>
      </c>
      <c r="Q665" s="72" t="inlineStr">
        <is>
          <t>MILKA FRANCIS</t>
        </is>
      </c>
      <c r="R665" s="72" t="inlineStr">
        <is>
          <t>ESTOQUE DE MERCADORIAS</t>
        </is>
      </c>
      <c r="S665" s="70" t="n">
        <v>1130101</v>
      </c>
      <c r="T665" s="72" t="inlineStr">
        <is>
          <t>MERCADORIAS P/REVENDA</t>
        </is>
      </c>
      <c r="U665" s="73" t="n">
        <v>2792.58</v>
      </c>
      <c r="W665" s="73" t="n">
        <v>0</v>
      </c>
      <c r="X665" s="72" t="inlineStr">
        <is>
          <t>NF 33621-4 MILKA</t>
        </is>
      </c>
      <c r="Z665" s="59">
        <f>IF($T665="","",IFERROR(INDEX('Resumo Grupos'!$AC$3:$AC$200,MATCH($T665,'Resumo Grupos'!$AB$3:$AB$200,0)),"n/d"))</f>
        <v/>
      </c>
      <c r="AA665" s="59">
        <f>IF($T665="","",IF(COUNTIF('Resumo Grupos'!$AE$3:$AE$40,$T665)&gt;0,"NAO","SIM"))</f>
        <v/>
      </c>
    </row>
    <row r="666" ht="36.75" customHeight="1" s="60">
      <c r="A666" s="70" t="n">
        <v>1</v>
      </c>
      <c r="B666" s="71" t="n">
        <v>46182</v>
      </c>
      <c r="C666" s="71" t="n">
        <v>46201</v>
      </c>
      <c r="D666" s="70" t="n">
        <v>957</v>
      </c>
      <c r="E666" s="72" t="inlineStr">
        <is>
          <t>FUNNY PET DISTRIBUIDORA DE ALIMENTOS PAR</t>
        </is>
      </c>
      <c r="F666" s="70" t="n">
        <v>24</v>
      </c>
      <c r="G666" s="72" t="inlineStr">
        <is>
          <t>Compra a Prazo - Boletos</t>
        </is>
      </c>
      <c r="H666" s="70" t="n">
        <v>2110101</v>
      </c>
      <c r="I666" s="72" t="inlineStr">
        <is>
          <t>FORNECEDORES DE MERCADORIA</t>
        </is>
      </c>
      <c r="J666" s="70" t="n">
        <v>1227398</v>
      </c>
      <c r="L666" s="70" t="n">
        <v>20167</v>
      </c>
      <c r="M666" s="72" t="inlineStr">
        <is>
          <t>02</t>
        </is>
      </c>
      <c r="N666" s="72" t="inlineStr">
        <is>
          <t>NFE</t>
        </is>
      </c>
      <c r="P666" s="70" t="n">
        <v>103</v>
      </c>
      <c r="Q666" s="72" t="inlineStr">
        <is>
          <t>MILKA FRANCIS</t>
        </is>
      </c>
      <c r="R666" s="72" t="inlineStr">
        <is>
          <t>ESTOQUE DE MERCADORIAS</t>
        </is>
      </c>
      <c r="S666" s="70" t="n">
        <v>1130101</v>
      </c>
      <c r="T666" s="72" t="inlineStr">
        <is>
          <t>MERCADORIAS P/REVENDA</t>
        </is>
      </c>
      <c r="U666" s="73" t="n">
        <v>4521.75</v>
      </c>
      <c r="W666" s="73" t="n">
        <v>0</v>
      </c>
      <c r="X666" s="72" t="inlineStr">
        <is>
          <t>NF 20167 2- MILKA</t>
        </is>
      </c>
      <c r="Z666" s="59">
        <f>IF($T666="","",IFERROR(INDEX('Resumo Grupos'!$AC$3:$AC$200,MATCH($T666,'Resumo Grupos'!$AB$3:$AB$200,0)),"n/d"))</f>
        <v/>
      </c>
      <c r="AA666" s="59">
        <f>IF($T666="","",IF(COUNTIF('Resumo Grupos'!$AE$3:$AE$40,$T666)&gt;0,"NAO","SIM"))</f>
        <v/>
      </c>
    </row>
    <row r="667" ht="36.75" customHeight="1" s="60">
      <c r="A667" s="70" t="n">
        <v>1</v>
      </c>
      <c r="B667" s="71" t="n">
        <v>46189</v>
      </c>
      <c r="C667" s="71" t="n">
        <v>46201</v>
      </c>
      <c r="D667" s="70" t="n">
        <v>1671</v>
      </c>
      <c r="E667" s="72" t="inlineStr">
        <is>
          <t>TAPAJOS COM DE PERFUMARIA COSMETICOS E G</t>
        </is>
      </c>
      <c r="F667" s="70" t="n">
        <v>24</v>
      </c>
      <c r="G667" s="72" t="inlineStr">
        <is>
          <t>Compra a Prazo - Boletos</t>
        </is>
      </c>
      <c r="H667" s="70" t="n">
        <v>2110101</v>
      </c>
      <c r="I667" s="72" t="inlineStr">
        <is>
          <t>FORNECEDORES DE MERCADORIA</t>
        </is>
      </c>
      <c r="J667" s="70" t="n">
        <v>1260807</v>
      </c>
      <c r="L667" s="70" t="n">
        <v>574740</v>
      </c>
      <c r="M667" s="72" t="inlineStr">
        <is>
          <t>01</t>
        </is>
      </c>
      <c r="N667" s="72" t="inlineStr">
        <is>
          <t>NFE</t>
        </is>
      </c>
      <c r="P667" s="70" t="n">
        <v>101</v>
      </c>
      <c r="Q667" s="72" t="inlineStr">
        <is>
          <t>KEILA LIMA</t>
        </is>
      </c>
      <c r="R667" s="72" t="inlineStr">
        <is>
          <t>ESTOQUE DE MERCADORIAS</t>
        </is>
      </c>
      <c r="S667" s="70" t="n">
        <v>1130101</v>
      </c>
      <c r="T667" s="72" t="inlineStr">
        <is>
          <t>MERCADORIAS P/REVENDA</t>
        </is>
      </c>
      <c r="U667" s="73" t="n">
        <v>372.96</v>
      </c>
      <c r="W667" s="73" t="n">
        <v>0</v>
      </c>
      <c r="X667" s="72" t="inlineStr">
        <is>
          <t>NF 574740 - KEILA</t>
        </is>
      </c>
      <c r="Z667" s="59">
        <f>IF($T667="","",IFERROR(INDEX('Resumo Grupos'!$AC$3:$AC$200,MATCH($T667,'Resumo Grupos'!$AB$3:$AB$200,0)),"n/d"))</f>
        <v/>
      </c>
      <c r="AA667" s="59">
        <f>IF($T667="","",IF(COUNTIF('Resumo Grupos'!$AE$3:$AE$40,$T667)&gt;0,"NAO","SIM"))</f>
        <v/>
      </c>
    </row>
    <row r="668" ht="45.75" customHeight="1" s="60">
      <c r="A668" s="70" t="n">
        <v>1</v>
      </c>
      <c r="B668" s="71" t="n">
        <v>46192</v>
      </c>
      <c r="C668" s="71" t="n">
        <v>46201</v>
      </c>
      <c r="D668" s="70" t="n">
        <v>1613</v>
      </c>
      <c r="E668" s="72" t="inlineStr">
        <is>
          <t>BRF S A</t>
        </is>
      </c>
      <c r="F668" s="70" t="n">
        <v>24</v>
      </c>
      <c r="G668" s="72" t="inlineStr">
        <is>
          <t>Compra a Prazo - Boletos</t>
        </is>
      </c>
      <c r="H668" s="70" t="n">
        <v>2110101</v>
      </c>
      <c r="I668" s="72" t="inlineStr">
        <is>
          <t>FORNECEDORES DE MERCADORIA</t>
        </is>
      </c>
      <c r="J668" s="70" t="n">
        <v>1272759</v>
      </c>
      <c r="L668" s="70" t="n">
        <v>1597184</v>
      </c>
      <c r="M668" s="72" t="inlineStr">
        <is>
          <t>01</t>
        </is>
      </c>
      <c r="N668" s="72" t="inlineStr">
        <is>
          <t>NFE</t>
        </is>
      </c>
      <c r="P668" s="70" t="n">
        <v>103</v>
      </c>
      <c r="Q668" s="72" t="inlineStr">
        <is>
          <t>MILKA FRANCIS</t>
        </is>
      </c>
      <c r="R668" s="72" t="inlineStr">
        <is>
          <t>ESTOQUE DE MERCADORIAS</t>
        </is>
      </c>
      <c r="S668" s="70" t="n">
        <v>1130101</v>
      </c>
      <c r="T668" s="72" t="inlineStr">
        <is>
          <t>MERCADORIAS P/REVENDA</t>
        </is>
      </c>
      <c r="U668" s="73" t="n">
        <v>607.27</v>
      </c>
      <c r="W668" s="73" t="n">
        <v>0</v>
      </c>
      <c r="X668" s="72" t="inlineStr">
        <is>
          <t>NF 1597184-01/02 MILKA</t>
        </is>
      </c>
      <c r="Z668" s="59">
        <f>IF($T668="","",IFERROR(INDEX('Resumo Grupos'!$AC$3:$AC$200,MATCH($T668,'Resumo Grupos'!$AB$3:$AB$200,0)),"n/d"))</f>
        <v/>
      </c>
      <c r="AA668" s="59">
        <f>IF($T668="","",IF(COUNTIF('Resumo Grupos'!$AE$3:$AE$40,$T668)&gt;0,"NAO","SIM"))</f>
        <v/>
      </c>
    </row>
    <row r="669" ht="36.75" customHeight="1" s="60">
      <c r="A669" s="70" t="n">
        <v>1</v>
      </c>
      <c r="B669" s="71" t="n">
        <v>46195</v>
      </c>
      <c r="C669" s="71" t="n">
        <v>46201</v>
      </c>
      <c r="D669" s="70" t="n">
        <v>10085</v>
      </c>
      <c r="E669" s="72" t="inlineStr">
        <is>
          <t>COARI DISTRIBUIDORA DE BEBIDAS LTDA</t>
        </is>
      </c>
      <c r="F669" s="70" t="n">
        <v>24</v>
      </c>
      <c r="G669" s="72" t="inlineStr">
        <is>
          <t>Compra a Prazo - Boletos</t>
        </is>
      </c>
      <c r="H669" s="70" t="n">
        <v>2110101</v>
      </c>
      <c r="I669" s="72" t="inlineStr">
        <is>
          <t>FORNECEDORES DE MERCADORIA</t>
        </is>
      </c>
      <c r="J669" s="70" t="n">
        <v>1291255</v>
      </c>
      <c r="L669" s="70" t="n">
        <v>253</v>
      </c>
      <c r="M669" s="72" t="inlineStr">
        <is>
          <t>01</t>
        </is>
      </c>
      <c r="N669" s="72" t="inlineStr">
        <is>
          <t>NFE</t>
        </is>
      </c>
      <c r="P669" s="70" t="n">
        <v>103</v>
      </c>
      <c r="Q669" s="72" t="inlineStr">
        <is>
          <t>MILKA FRANCIS</t>
        </is>
      </c>
      <c r="R669" s="72" t="inlineStr">
        <is>
          <t>ESTOQUE DE MERCADORIAS</t>
        </is>
      </c>
      <c r="S669" s="70" t="n">
        <v>1130101</v>
      </c>
      <c r="T669" s="72" t="inlineStr">
        <is>
          <t>MERCADORIAS P/REVENDA</t>
        </is>
      </c>
      <c r="U669" s="73" t="n">
        <v>498.13</v>
      </c>
      <c r="W669" s="73" t="n">
        <v>0</v>
      </c>
      <c r="X669" s="72" t="inlineStr">
        <is>
          <t>NF 253 - MILKA</t>
        </is>
      </c>
      <c r="Z669" s="59">
        <f>IF($T669="","",IFERROR(INDEX('Resumo Grupos'!$AC$3:$AC$200,MATCH($T669,'Resumo Grupos'!$AB$3:$AB$200,0)),"n/d"))</f>
        <v/>
      </c>
      <c r="AA669" s="59">
        <f>IF($T669="","",IF(COUNTIF('Resumo Grupos'!$AE$3:$AE$40,$T669)&gt;0,"NAO","SIM"))</f>
        <v/>
      </c>
    </row>
    <row r="670" ht="36.75" customHeight="1" s="60">
      <c r="A670" s="70" t="n">
        <v>1</v>
      </c>
      <c r="B670" s="71" t="n">
        <v>46172</v>
      </c>
      <c r="C670" s="71" t="n">
        <v>46202</v>
      </c>
      <c r="D670" s="70" t="n">
        <v>607</v>
      </c>
      <c r="E670" s="72" t="inlineStr">
        <is>
          <t>PRIME PET DISTRIBUIDORA LTDA</t>
        </is>
      </c>
      <c r="F670" s="70" t="n">
        <v>24</v>
      </c>
      <c r="G670" s="72" t="inlineStr">
        <is>
          <t>Compra a Prazo - Boletos</t>
        </is>
      </c>
      <c r="H670" s="70" t="n">
        <v>2110101</v>
      </c>
      <c r="I670" s="72" t="inlineStr">
        <is>
          <t>FORNECEDORES DE MERCADORIA</t>
        </is>
      </c>
      <c r="J670" s="70" t="n">
        <v>1177308</v>
      </c>
      <c r="L670" s="70" t="n">
        <v>10643</v>
      </c>
      <c r="M670" s="72" t="inlineStr">
        <is>
          <t>02</t>
        </is>
      </c>
      <c r="N670" s="72" t="inlineStr">
        <is>
          <t>NFE</t>
        </is>
      </c>
      <c r="P670" s="70" t="n">
        <v>103</v>
      </c>
      <c r="Q670" s="72" t="inlineStr">
        <is>
          <t>MILKA FRANCIS</t>
        </is>
      </c>
      <c r="R670" s="72" t="inlineStr">
        <is>
          <t>ESTOQUE DE MERCADORIAS</t>
        </is>
      </c>
      <c r="S670" s="70" t="n">
        <v>1130101</v>
      </c>
      <c r="T670" s="72" t="inlineStr">
        <is>
          <t>MERCADORIAS P/REVENDA</t>
        </is>
      </c>
      <c r="U670" s="73" t="n">
        <v>319.72</v>
      </c>
      <c r="W670" s="73" t="n">
        <v>0</v>
      </c>
      <c r="X670" s="72" t="inlineStr">
        <is>
          <t>NF 10643-02/05 MILKA</t>
        </is>
      </c>
      <c r="Z670" s="59">
        <f>IF($T670="","",IFERROR(INDEX('Resumo Grupos'!$AC$3:$AC$200,MATCH($T670,'Resumo Grupos'!$AB$3:$AB$200,0)),"n/d"))</f>
        <v/>
      </c>
      <c r="AA670" s="59">
        <f>IF($T670="","",IF(COUNTIF('Resumo Grupos'!$AE$3:$AE$40,$T670)&gt;0,"NAO","SIM"))</f>
        <v/>
      </c>
    </row>
    <row r="671" ht="36.75" customHeight="1" s="60">
      <c r="A671" s="70" t="n">
        <v>1</v>
      </c>
      <c r="B671" s="71" t="n">
        <v>46181</v>
      </c>
      <c r="C671" s="71" t="n">
        <v>46202</v>
      </c>
      <c r="D671" s="70" t="n">
        <v>1659</v>
      </c>
      <c r="E671" s="72" t="inlineStr">
        <is>
          <t>ADRIANA DISTRIBUIDORA DE PRODUTOS ALIMEN</t>
        </is>
      </c>
      <c r="F671" s="70" t="n">
        <v>24</v>
      </c>
      <c r="G671" s="72" t="inlineStr">
        <is>
          <t>Compra a Prazo - Boletos</t>
        </is>
      </c>
      <c r="H671" s="70" t="n">
        <v>2110101</v>
      </c>
      <c r="I671" s="72" t="inlineStr">
        <is>
          <t>FORNECEDORES DE MERCADORIA</t>
        </is>
      </c>
      <c r="J671" s="70" t="n">
        <v>1223005</v>
      </c>
      <c r="L671" s="70" t="n">
        <v>876740</v>
      </c>
      <c r="M671" s="72" t="inlineStr">
        <is>
          <t>02</t>
        </is>
      </c>
      <c r="N671" s="72" t="inlineStr">
        <is>
          <t>NFE</t>
        </is>
      </c>
      <c r="P671" s="70" t="n">
        <v>103</v>
      </c>
      <c r="Q671" s="72" t="inlineStr">
        <is>
          <t>MILKA FRANCIS</t>
        </is>
      </c>
      <c r="R671" s="72" t="inlineStr">
        <is>
          <t>ESTOQUE DE MERCADORIAS</t>
        </is>
      </c>
      <c r="S671" s="70" t="n">
        <v>1130101</v>
      </c>
      <c r="T671" s="72" t="inlineStr">
        <is>
          <t>MERCADORIAS P/REVENDA</t>
        </is>
      </c>
      <c r="U671" s="73" t="n">
        <v>584.1799999999999</v>
      </c>
      <c r="W671" s="73" t="n">
        <v>0</v>
      </c>
      <c r="X671" s="72" t="inlineStr">
        <is>
          <t>NF 876740 -2 MILKA</t>
        </is>
      </c>
      <c r="Z671" s="59">
        <f>IF($T671="","",IFERROR(INDEX('Resumo Grupos'!$AC$3:$AC$200,MATCH($T671,'Resumo Grupos'!$AB$3:$AB$200,0)),"n/d"))</f>
        <v/>
      </c>
      <c r="AA671" s="59">
        <f>IF($T671="","",IF(COUNTIF('Resumo Grupos'!$AE$3:$AE$40,$T671)&gt;0,"NAO","SIM"))</f>
        <v/>
      </c>
    </row>
    <row r="672" ht="36.75" customHeight="1" s="60">
      <c r="A672" s="70" t="n">
        <v>1</v>
      </c>
      <c r="B672" s="71" t="n">
        <v>46182</v>
      </c>
      <c r="C672" s="71" t="n">
        <v>46202</v>
      </c>
      <c r="D672" s="70" t="n">
        <v>1666</v>
      </c>
      <c r="E672" s="72" t="inlineStr">
        <is>
          <t>SOUZA CRUZ LTDA.</t>
        </is>
      </c>
      <c r="F672" s="70" t="n">
        <v>24</v>
      </c>
      <c r="G672" s="72" t="inlineStr">
        <is>
          <t>Compra a Prazo - Boletos</t>
        </is>
      </c>
      <c r="H672" s="70" t="n">
        <v>2110101</v>
      </c>
      <c r="I672" s="72" t="inlineStr">
        <is>
          <t>FORNECEDORES DE MERCADORIA</t>
        </is>
      </c>
      <c r="J672" s="70" t="n">
        <v>1226844</v>
      </c>
      <c r="L672" s="70" t="n">
        <v>562604</v>
      </c>
      <c r="M672" s="72" t="inlineStr">
        <is>
          <t>03</t>
        </is>
      </c>
      <c r="N672" s="72" t="inlineStr">
        <is>
          <t>NFE</t>
        </is>
      </c>
      <c r="P672" s="70" t="n">
        <v>103</v>
      </c>
      <c r="Q672" s="72" t="inlineStr">
        <is>
          <t>MILKA FRANCIS</t>
        </is>
      </c>
      <c r="R672" s="72" t="inlineStr">
        <is>
          <t>ESTOQUE DE MERCADORIAS</t>
        </is>
      </c>
      <c r="S672" s="70" t="n">
        <v>1130101</v>
      </c>
      <c r="T672" s="72" t="inlineStr">
        <is>
          <t>MERCADORIAS P/REVENDA</t>
        </is>
      </c>
      <c r="U672" s="73" t="n">
        <v>4478.95</v>
      </c>
      <c r="W672" s="73" t="n">
        <v>0</v>
      </c>
      <c r="X672" s="72" t="inlineStr">
        <is>
          <t>NF 562604 -03 MILKA</t>
        </is>
      </c>
      <c r="Z672" s="59">
        <f>IF($T672="","",IFERROR(INDEX('Resumo Grupos'!$AC$3:$AC$200,MATCH($T672,'Resumo Grupos'!$AB$3:$AB$200,0)),"n/d"))</f>
        <v/>
      </c>
      <c r="AA672" s="59">
        <f>IF($T672="","",IF(COUNTIF('Resumo Grupos'!$AE$3:$AE$40,$T672)&gt;0,"NAO","SIM"))</f>
        <v/>
      </c>
    </row>
    <row r="673" ht="36.75" customHeight="1" s="60">
      <c r="A673" s="70" t="n">
        <v>1</v>
      </c>
      <c r="B673" s="71" t="n">
        <v>46182</v>
      </c>
      <c r="C673" s="71" t="n">
        <v>46202</v>
      </c>
      <c r="D673" s="70" t="n">
        <v>666</v>
      </c>
      <c r="E673" s="72" t="inlineStr">
        <is>
          <t>NSB COMERCIO ATACADISTA E VAREJISTA DE P</t>
        </is>
      </c>
      <c r="F673" s="70" t="n">
        <v>24</v>
      </c>
      <c r="G673" s="72" t="inlineStr">
        <is>
          <t>Compra a Prazo - Boletos</t>
        </is>
      </c>
      <c r="H673" s="70" t="n">
        <v>2110101</v>
      </c>
      <c r="I673" s="72" t="inlineStr">
        <is>
          <t>FORNECEDORES DE MERCADORIA</t>
        </is>
      </c>
      <c r="J673" s="70" t="n">
        <v>1228251</v>
      </c>
      <c r="L673" s="70" t="n">
        <v>7726</v>
      </c>
      <c r="M673" s="72" t="inlineStr">
        <is>
          <t>03</t>
        </is>
      </c>
      <c r="N673" s="72" t="inlineStr">
        <is>
          <t>NFE</t>
        </is>
      </c>
      <c r="P673" s="70" t="n">
        <v>103</v>
      </c>
      <c r="Q673" s="72" t="inlineStr">
        <is>
          <t>MILKA FRANCIS</t>
        </is>
      </c>
      <c r="R673" s="72" t="inlineStr">
        <is>
          <t>ESTOQUE DE MERCADORIAS</t>
        </is>
      </c>
      <c r="S673" s="70" t="n">
        <v>1130101</v>
      </c>
      <c r="T673" s="72" t="inlineStr">
        <is>
          <t>MERCADORIAS P/REVENDA</t>
        </is>
      </c>
      <c r="U673" s="73" t="n">
        <v>287.8</v>
      </c>
      <c r="W673" s="73" t="n">
        <v>0</v>
      </c>
      <c r="X673" s="72" t="inlineStr">
        <is>
          <t>NF 7726 -03 MILKA</t>
        </is>
      </c>
      <c r="Z673" s="59">
        <f>IF($T673="","",IFERROR(INDEX('Resumo Grupos'!$AC$3:$AC$200,MATCH($T673,'Resumo Grupos'!$AB$3:$AB$200,0)),"n/d"))</f>
        <v/>
      </c>
      <c r="AA673" s="59">
        <f>IF($T673="","",IF(COUNTIF('Resumo Grupos'!$AE$3:$AE$40,$T673)&gt;0,"NAO","SIM"))</f>
        <v/>
      </c>
    </row>
    <row r="674" ht="45.75" customHeight="1" s="60">
      <c r="A674" s="70" t="n">
        <v>1</v>
      </c>
      <c r="B674" s="71" t="n">
        <v>46184</v>
      </c>
      <c r="C674" s="71" t="n">
        <v>46202</v>
      </c>
      <c r="D674" s="70" t="n">
        <v>1218</v>
      </c>
      <c r="E674" s="72" t="inlineStr">
        <is>
          <t>E. D. SENA &amp; CIA LTDA</t>
        </is>
      </c>
      <c r="F674" s="70" t="n">
        <v>24</v>
      </c>
      <c r="G674" s="72" t="inlineStr">
        <is>
          <t>Compra a Prazo - Boletos</t>
        </is>
      </c>
      <c r="H674" s="70" t="n">
        <v>2110101</v>
      </c>
      <c r="I674" s="72" t="inlineStr">
        <is>
          <t>FORNECEDORES DE MERCADORIA</t>
        </is>
      </c>
      <c r="J674" s="70" t="n">
        <v>1235655</v>
      </c>
      <c r="L674" s="70" t="n">
        <v>9271</v>
      </c>
      <c r="M674" s="72" t="inlineStr">
        <is>
          <t>01</t>
        </is>
      </c>
      <c r="N674" s="72" t="inlineStr">
        <is>
          <t>NFE</t>
        </is>
      </c>
      <c r="P674" s="70" t="n">
        <v>103</v>
      </c>
      <c r="Q674" s="72" t="inlineStr">
        <is>
          <t>MILKA FRANCIS</t>
        </is>
      </c>
      <c r="R674" s="72" t="inlineStr">
        <is>
          <t>ESTOQUE DE MERCADORIAS</t>
        </is>
      </c>
      <c r="S674" s="70" t="n">
        <v>1130101</v>
      </c>
      <c r="T674" s="72" t="inlineStr">
        <is>
          <t>MERCADORIAS P/REVENDA</t>
        </is>
      </c>
      <c r="U674" s="73" t="n">
        <v>543</v>
      </c>
      <c r="W674" s="73" t="n">
        <v>0</v>
      </c>
      <c r="X674" s="72" t="inlineStr">
        <is>
          <t>NF 5372 - MILKA</t>
        </is>
      </c>
      <c r="Z674" s="59">
        <f>IF($T674="","",IFERROR(INDEX('Resumo Grupos'!$AC$3:$AC$200,MATCH($T674,'Resumo Grupos'!$AB$3:$AB$200,0)),"n/d"))</f>
        <v/>
      </c>
      <c r="AA674" s="59">
        <f>IF($T674="","",IF(COUNTIF('Resumo Grupos'!$AE$3:$AE$40,$T674)&gt;0,"NAO","SIM"))</f>
        <v/>
      </c>
    </row>
    <row r="675" ht="36.75" customHeight="1" s="60">
      <c r="A675" s="70" t="n">
        <v>1</v>
      </c>
      <c r="B675" s="71" t="n">
        <v>46188</v>
      </c>
      <c r="C675" s="71" t="n">
        <v>46202</v>
      </c>
      <c r="D675" s="70" t="n">
        <v>1637</v>
      </c>
      <c r="E675" s="72" t="inlineStr">
        <is>
          <t>ATACADAO S.A.</t>
        </is>
      </c>
      <c r="F675" s="70" t="n">
        <v>24</v>
      </c>
      <c r="G675" s="72" t="inlineStr">
        <is>
          <t>Compra a Prazo - Boletos</t>
        </is>
      </c>
      <c r="H675" s="70" t="n">
        <v>2110101</v>
      </c>
      <c r="I675" s="72" t="inlineStr">
        <is>
          <t>FORNECEDORES DE MERCADORIA</t>
        </is>
      </c>
      <c r="J675" s="70" t="n">
        <v>1255926</v>
      </c>
      <c r="L675" s="70" t="n">
        <v>1888443</v>
      </c>
      <c r="M675" s="72" t="inlineStr">
        <is>
          <t>01</t>
        </is>
      </c>
      <c r="N675" s="72" t="inlineStr">
        <is>
          <t>NFE</t>
        </is>
      </c>
      <c r="P675" s="70" t="n">
        <v>103</v>
      </c>
      <c r="Q675" s="72" t="inlineStr">
        <is>
          <t>MILKA FRANCIS</t>
        </is>
      </c>
      <c r="R675" s="72" t="inlineStr">
        <is>
          <t>ESTOQUE DE MERCADORIAS</t>
        </is>
      </c>
      <c r="S675" s="70" t="n">
        <v>1130101</v>
      </c>
      <c r="T675" s="72" t="inlineStr">
        <is>
          <t>MERCADORIAS P/REVENDA</t>
        </is>
      </c>
      <c r="U675" s="73" t="n">
        <v>1599.9</v>
      </c>
      <c r="W675" s="73" t="n">
        <v>0</v>
      </c>
      <c r="X675" s="72" t="inlineStr">
        <is>
          <t>NF 1888443 - MILKA</t>
        </is>
      </c>
      <c r="Z675" s="59">
        <f>IF($T675="","",IFERROR(INDEX('Resumo Grupos'!$AC$3:$AC$200,MATCH($T675,'Resumo Grupos'!$AB$3:$AB$200,0)),"n/d"))</f>
        <v/>
      </c>
      <c r="AA675" s="59">
        <f>IF($T675="","",IF(COUNTIF('Resumo Grupos'!$AE$3:$AE$40,$T675)&gt;0,"NAO","SIM"))</f>
        <v/>
      </c>
    </row>
    <row r="676" ht="36.75" customHeight="1" s="60">
      <c r="A676" s="70" t="n">
        <v>1</v>
      </c>
      <c r="B676" s="71" t="n">
        <v>46189</v>
      </c>
      <c r="C676" s="71" t="n">
        <v>46202</v>
      </c>
      <c r="D676" s="70" t="n">
        <v>1678</v>
      </c>
      <c r="E676" s="72" t="inlineStr">
        <is>
          <t>AGM COMERCIO E DISTRIBUIDORA DE MATERIAS DE PERFUMARIA E LIMPEZA LTDA</t>
        </is>
      </c>
      <c r="F676" s="70" t="n">
        <v>24</v>
      </c>
      <c r="G676" s="72" t="inlineStr">
        <is>
          <t>Compra a Prazo - Boletos</t>
        </is>
      </c>
      <c r="H676" s="70" t="n">
        <v>2110101</v>
      </c>
      <c r="I676" s="72" t="inlineStr">
        <is>
          <t>FORNECEDORES DE MERCADORIA</t>
        </is>
      </c>
      <c r="J676" s="70" t="n">
        <v>1262147</v>
      </c>
      <c r="L676" s="70" t="n">
        <v>160841</v>
      </c>
      <c r="M676" s="72" t="inlineStr">
        <is>
          <t>01</t>
        </is>
      </c>
      <c r="N676" s="72" t="inlineStr">
        <is>
          <t>NFE</t>
        </is>
      </c>
      <c r="P676" s="70" t="n">
        <v>103</v>
      </c>
      <c r="Q676" s="72" t="inlineStr">
        <is>
          <t>MILKA FRANCIS</t>
        </is>
      </c>
      <c r="R676" s="72" t="inlineStr">
        <is>
          <t>ESTOQUE DE MERCADORIAS</t>
        </is>
      </c>
      <c r="S676" s="70" t="n">
        <v>1130101</v>
      </c>
      <c r="T676" s="72" t="inlineStr">
        <is>
          <t>MERCADORIAS P/REVENDA</t>
        </is>
      </c>
      <c r="U676" s="73" t="n">
        <v>465.5</v>
      </c>
      <c r="W676" s="73" t="n">
        <v>0</v>
      </c>
      <c r="X676" s="72" t="inlineStr">
        <is>
          <t>NF 160841 - MILKA</t>
        </is>
      </c>
      <c r="Z676" s="59">
        <f>IF($T676="","",IFERROR(INDEX('Resumo Grupos'!$AC$3:$AC$200,MATCH($T676,'Resumo Grupos'!$AB$3:$AB$200,0)),"n/d"))</f>
        <v/>
      </c>
      <c r="AA676" s="59">
        <f>IF($T676="","",IF(COUNTIF('Resumo Grupos'!$AE$3:$AE$40,$T676)&gt;0,"NAO","SIM"))</f>
        <v/>
      </c>
    </row>
    <row r="677" ht="36.75" customHeight="1" s="60">
      <c r="A677" s="70" t="n">
        <v>1</v>
      </c>
      <c r="B677" s="71" t="n">
        <v>46190</v>
      </c>
      <c r="C677" s="71" t="n">
        <v>46202</v>
      </c>
      <c r="D677" s="70" t="n">
        <v>1196</v>
      </c>
      <c r="E677" s="72" t="inlineStr">
        <is>
          <t>VICTORIA COMERCIO INTERNACIONAL DE ALIME</t>
        </is>
      </c>
      <c r="F677" s="70" t="n">
        <v>24</v>
      </c>
      <c r="G677" s="72" t="inlineStr">
        <is>
          <t>Compra a Prazo - Boletos</t>
        </is>
      </c>
      <c r="H677" s="70" t="n">
        <v>2110101</v>
      </c>
      <c r="I677" s="72" t="inlineStr">
        <is>
          <t>FORNECEDORES DE MERCADORIA</t>
        </is>
      </c>
      <c r="J677" s="70" t="n">
        <v>1265535</v>
      </c>
      <c r="L677" s="70" t="n">
        <v>11722</v>
      </c>
      <c r="M677" s="72" t="inlineStr">
        <is>
          <t>01</t>
        </is>
      </c>
      <c r="N677" s="72" t="inlineStr">
        <is>
          <t>NFE</t>
        </is>
      </c>
      <c r="P677" s="70" t="n">
        <v>103</v>
      </c>
      <c r="Q677" s="72" t="inlineStr">
        <is>
          <t>MILKA FRANCIS</t>
        </is>
      </c>
      <c r="R677" s="72" t="inlineStr">
        <is>
          <t>ESTOQUE DE MERCADORIAS</t>
        </is>
      </c>
      <c r="S677" s="70" t="n">
        <v>1130101</v>
      </c>
      <c r="T677" s="72" t="inlineStr">
        <is>
          <t>MERCADORIAS P/REVENDA</t>
        </is>
      </c>
      <c r="U677" s="73" t="n">
        <v>642.15</v>
      </c>
      <c r="W677" s="73" t="n">
        <v>0</v>
      </c>
      <c r="X677" s="72" t="inlineStr">
        <is>
          <t>12298-A/B  NF11722 - MILKA</t>
        </is>
      </c>
      <c r="Z677" s="59">
        <f>IF($T677="","",IFERROR(INDEX('Resumo Grupos'!$AC$3:$AC$200,MATCH($T677,'Resumo Grupos'!$AB$3:$AB$200,0)),"n/d"))</f>
        <v/>
      </c>
      <c r="AA677" s="59">
        <f>IF($T677="","",IF(COUNTIF('Resumo Grupos'!$AE$3:$AE$40,$T677)&gt;0,"NAO","SIM"))</f>
        <v/>
      </c>
    </row>
    <row r="678" ht="27.75" customHeight="1" s="60">
      <c r="A678" s="70" t="n">
        <v>1</v>
      </c>
      <c r="B678" s="71" t="n">
        <v>46190</v>
      </c>
      <c r="C678" s="71" t="n">
        <v>46202</v>
      </c>
      <c r="D678" s="70" t="n">
        <v>1699</v>
      </c>
      <c r="E678" s="72" t="inlineStr">
        <is>
          <t>L S M COMERCIO DE ALIMENTOS E NAVEGACAO</t>
        </is>
      </c>
      <c r="F678" s="70" t="n">
        <v>24</v>
      </c>
      <c r="G678" s="72" t="inlineStr">
        <is>
          <t>Compra a Prazo - Boletos</t>
        </is>
      </c>
      <c r="H678" s="70" t="n">
        <v>2110101</v>
      </c>
      <c r="I678" s="72" t="inlineStr">
        <is>
          <t>FORNECEDORES DE MERCADORIA</t>
        </is>
      </c>
      <c r="J678" s="70" t="n">
        <v>1265996</v>
      </c>
      <c r="L678" s="70" t="n">
        <v>304778</v>
      </c>
      <c r="M678" s="72" t="inlineStr">
        <is>
          <t>01</t>
        </is>
      </c>
      <c r="N678" s="72" t="inlineStr">
        <is>
          <t>NFE</t>
        </is>
      </c>
      <c r="P678" s="70" t="n">
        <v>103</v>
      </c>
      <c r="Q678" s="72" t="inlineStr">
        <is>
          <t>MILKA FRANCIS</t>
        </is>
      </c>
      <c r="R678" s="72" t="inlineStr">
        <is>
          <t>ESTOQUE DE MERCADORIAS</t>
        </is>
      </c>
      <c r="S678" s="70" t="n">
        <v>1130101</v>
      </c>
      <c r="T678" s="72" t="inlineStr">
        <is>
          <t>MERCADORIAS P/REVENDA</t>
        </is>
      </c>
      <c r="U678" s="73" t="n">
        <v>375.5</v>
      </c>
      <c r="W678" s="73" t="n">
        <v>0</v>
      </c>
      <c r="X678" s="72" t="inlineStr">
        <is>
          <t>NF 304778 -1 MILKA</t>
        </is>
      </c>
      <c r="Z678" s="59">
        <f>IF($T678="","",IFERROR(INDEX('Resumo Grupos'!$AC$3:$AC$200,MATCH($T678,'Resumo Grupos'!$AB$3:$AB$200,0)),"n/d"))</f>
        <v/>
      </c>
      <c r="AA678" s="59">
        <f>IF($T678="","",IF(COUNTIF('Resumo Grupos'!$AE$3:$AE$40,$T678)&gt;0,"NAO","SIM"))</f>
        <v/>
      </c>
    </row>
    <row r="679" ht="63.75" customHeight="1" s="60">
      <c r="A679" s="70" t="n">
        <v>1</v>
      </c>
      <c r="B679" s="71" t="n">
        <v>46190</v>
      </c>
      <c r="C679" s="71" t="n">
        <v>46202</v>
      </c>
      <c r="D679" s="70" t="n">
        <v>1114</v>
      </c>
      <c r="E679" s="72" t="inlineStr">
        <is>
          <t>NT INDUSTRIA E COMERCIO DE PANIFICACAO L</t>
        </is>
      </c>
      <c r="F679" s="70" t="n">
        <v>24</v>
      </c>
      <c r="G679" s="72" t="inlineStr">
        <is>
          <t>Compra a Prazo - Boletos</t>
        </is>
      </c>
      <c r="H679" s="70" t="n">
        <v>2110101</v>
      </c>
      <c r="I679" s="72" t="inlineStr">
        <is>
          <t>FORNECEDORES DE MERCADORIA</t>
        </is>
      </c>
      <c r="J679" s="70" t="n">
        <v>1266142</v>
      </c>
      <c r="L679" s="70" t="n">
        <v>38499</v>
      </c>
      <c r="M679" s="72" t="inlineStr">
        <is>
          <t>01</t>
        </is>
      </c>
      <c r="N679" s="72" t="inlineStr">
        <is>
          <t>NFE</t>
        </is>
      </c>
      <c r="P679" s="70" t="n">
        <v>103</v>
      </c>
      <c r="Q679" s="72" t="inlineStr">
        <is>
          <t>MILKA FRANCIS</t>
        </is>
      </c>
      <c r="R679" s="72" t="inlineStr">
        <is>
          <t>ESTOQUE DE MERCADORIAS</t>
        </is>
      </c>
      <c r="S679" s="70" t="n">
        <v>1130101</v>
      </c>
      <c r="T679" s="72" t="inlineStr">
        <is>
          <t>MERCADORIAS P/REVENDA</t>
        </is>
      </c>
      <c r="U679" s="73" t="n">
        <v>3756.4</v>
      </c>
      <c r="W679" s="73" t="n">
        <v>0</v>
      </c>
      <c r="X679" s="72" t="inlineStr">
        <is>
          <t>NF 38499 - MILKA</t>
        </is>
      </c>
      <c r="Z679" s="59">
        <f>IF($T679="","",IFERROR(INDEX('Resumo Grupos'!$AC$3:$AC$200,MATCH($T679,'Resumo Grupos'!$AB$3:$AB$200,0)),"n/d"))</f>
        <v/>
      </c>
      <c r="AA679" s="59">
        <f>IF($T679="","",IF(COUNTIF('Resumo Grupos'!$AE$3:$AE$40,$T679)&gt;0,"NAO","SIM"))</f>
        <v/>
      </c>
    </row>
    <row r="680" ht="27.75" customHeight="1" s="60">
      <c r="A680" s="70" t="n">
        <v>1</v>
      </c>
      <c r="B680" s="71" t="n">
        <v>46190</v>
      </c>
      <c r="C680" s="71" t="n">
        <v>46202</v>
      </c>
      <c r="D680" s="70" t="n">
        <v>1114</v>
      </c>
      <c r="E680" s="72" t="inlineStr">
        <is>
          <t>NT INDUSTRIA E COMERCIO DE PANIFICACAO L</t>
        </is>
      </c>
      <c r="F680" s="70" t="n">
        <v>24</v>
      </c>
      <c r="G680" s="72" t="inlineStr">
        <is>
          <t>Compra a Prazo - Boletos</t>
        </is>
      </c>
      <c r="H680" s="70" t="n">
        <v>2110101</v>
      </c>
      <c r="I680" s="72" t="inlineStr">
        <is>
          <t>FORNECEDORES DE MERCADORIA</t>
        </is>
      </c>
      <c r="J680" s="70" t="n">
        <v>1266149</v>
      </c>
      <c r="L680" s="70" t="n">
        <v>38498</v>
      </c>
      <c r="M680" s="72" t="inlineStr">
        <is>
          <t>01</t>
        </is>
      </c>
      <c r="N680" s="72" t="inlineStr">
        <is>
          <t>NFE</t>
        </is>
      </c>
      <c r="P680" s="70" t="n">
        <v>103</v>
      </c>
      <c r="Q680" s="72" t="inlineStr">
        <is>
          <t>MILKA FRANCIS</t>
        </is>
      </c>
      <c r="R680" s="72" t="inlineStr">
        <is>
          <t>ESTOQUE DE MERCADORIAS</t>
        </is>
      </c>
      <c r="S680" s="70" t="n">
        <v>1130101</v>
      </c>
      <c r="T680" s="72" t="inlineStr">
        <is>
          <t>MERCADORIAS P/REVENDA</t>
        </is>
      </c>
      <c r="U680" s="73" t="n">
        <v>338.58</v>
      </c>
      <c r="W680" s="73" t="n">
        <v>0</v>
      </c>
      <c r="X680" s="72" t="inlineStr">
        <is>
          <t>NF 38498 - MILKA</t>
        </is>
      </c>
      <c r="Z680" s="59">
        <f>IF($T680="","",IFERROR(INDEX('Resumo Grupos'!$AC$3:$AC$200,MATCH($T680,'Resumo Grupos'!$AB$3:$AB$200,0)),"n/d"))</f>
        <v/>
      </c>
      <c r="AA680" s="59">
        <f>IF($T680="","",IF(COUNTIF('Resumo Grupos'!$AE$3:$AE$40,$T680)&gt;0,"NAO","SIM"))</f>
        <v/>
      </c>
    </row>
    <row r="681" ht="54.75" customHeight="1" s="60">
      <c r="A681" s="70" t="n">
        <v>1</v>
      </c>
      <c r="B681" s="71" t="n">
        <v>46195</v>
      </c>
      <c r="C681" s="71" t="n">
        <v>46202</v>
      </c>
      <c r="D681" s="70" t="n">
        <v>686</v>
      </c>
      <c r="E681" s="72" t="inlineStr">
        <is>
          <t>ESDRAS COMERCIO DE MATERIAIS ELETRICOS E</t>
        </is>
      </c>
      <c r="F681" s="70" t="n">
        <v>34</v>
      </c>
      <c r="G681" s="72" t="inlineStr">
        <is>
          <t>Transferencia Pix</t>
        </is>
      </c>
      <c r="H681" s="70" t="n">
        <v>2110101</v>
      </c>
      <c r="I681" s="72" t="inlineStr">
        <is>
          <t>FORNECEDORES DE MERCADORIA</t>
        </is>
      </c>
      <c r="J681" s="70" t="n">
        <v>1289646</v>
      </c>
      <c r="L681" s="70" t="n">
        <v>1324</v>
      </c>
      <c r="M681" s="72" t="inlineStr">
        <is>
          <t>01</t>
        </is>
      </c>
      <c r="N681" s="72" t="inlineStr">
        <is>
          <t>NFE</t>
        </is>
      </c>
      <c r="P681" s="70" t="n">
        <v>103</v>
      </c>
      <c r="Q681" s="72" t="inlineStr">
        <is>
          <t>MILKA FRANCIS</t>
        </is>
      </c>
      <c r="R681" s="72" t="inlineStr">
        <is>
          <t>ESTOQUE DE MERCADORIAS</t>
        </is>
      </c>
      <c r="S681" s="70" t="n">
        <v>1130101</v>
      </c>
      <c r="T681" s="72" t="inlineStr">
        <is>
          <t>MERCADORIAS P/REVENDA</t>
        </is>
      </c>
      <c r="U681" s="73" t="n">
        <v>280</v>
      </c>
      <c r="W681" s="73" t="n">
        <v>0</v>
      </c>
      <c r="X681" s="72" t="inlineStr">
        <is>
          <t>NF 1324 - MILKA</t>
        </is>
      </c>
      <c r="Z681" s="59">
        <f>IF($T681="","",IFERROR(INDEX('Resumo Grupos'!$AC$3:$AC$200,MATCH($T681,'Resumo Grupos'!$AB$3:$AB$200,0)),"n/d"))</f>
        <v/>
      </c>
      <c r="AA681" s="59">
        <f>IF($T681="","",IF(COUNTIF('Resumo Grupos'!$AE$3:$AE$40,$T681)&gt;0,"NAO","SIM"))</f>
        <v/>
      </c>
    </row>
    <row r="682" ht="36.75" customHeight="1" s="60">
      <c r="A682" s="70" t="n">
        <v>1</v>
      </c>
      <c r="B682" s="71" t="n">
        <v>46195</v>
      </c>
      <c r="C682" s="71" t="n">
        <v>46202</v>
      </c>
      <c r="D682" s="70" t="n">
        <v>1614</v>
      </c>
      <c r="E682" s="72" t="inlineStr">
        <is>
          <t>C. R. PARENTE ABREU</t>
        </is>
      </c>
      <c r="F682" s="70" t="n">
        <v>24</v>
      </c>
      <c r="G682" s="72" t="inlineStr">
        <is>
          <t>Compra a Prazo - Boletos</t>
        </is>
      </c>
      <c r="H682" s="70" t="n">
        <v>2110101</v>
      </c>
      <c r="I682" s="72" t="inlineStr">
        <is>
          <t>FORNECEDORES DE MERCADORIA</t>
        </is>
      </c>
      <c r="J682" s="70" t="n">
        <v>1289995</v>
      </c>
      <c r="L682" s="70" t="n">
        <v>11298</v>
      </c>
      <c r="M682" s="72" t="inlineStr">
        <is>
          <t>02</t>
        </is>
      </c>
      <c r="N682" s="72" t="inlineStr">
        <is>
          <t>NFE</t>
        </is>
      </c>
      <c r="P682" s="70" t="n">
        <v>103</v>
      </c>
      <c r="Q682" s="72" t="inlineStr">
        <is>
          <t>MILKA FRANCIS</t>
        </is>
      </c>
      <c r="R682" s="72" t="inlineStr">
        <is>
          <t>ESTOQUE DE MERCADORIAS</t>
        </is>
      </c>
      <c r="S682" s="70" t="n">
        <v>1130101</v>
      </c>
      <c r="T682" s="72" t="inlineStr">
        <is>
          <t>MERCADORIAS P/REVENDA</t>
        </is>
      </c>
      <c r="U682" s="73" t="n">
        <v>364.8</v>
      </c>
      <c r="W682" s="73" t="n">
        <v>0</v>
      </c>
      <c r="X682" s="72" t="inlineStr">
        <is>
          <t>NF11298-2 MILKA</t>
        </is>
      </c>
      <c r="Z682" s="59">
        <f>IF($T682="","",IFERROR(INDEX('Resumo Grupos'!$AC$3:$AC$200,MATCH($T682,'Resumo Grupos'!$AB$3:$AB$200,0)),"n/d"))</f>
        <v/>
      </c>
      <c r="AA682" s="59">
        <f>IF($T682="","",IF(COUNTIF('Resumo Grupos'!$AE$3:$AE$40,$T682)&gt;0,"NAO","SIM"))</f>
        <v/>
      </c>
    </row>
    <row r="683" ht="45.75" customHeight="1" s="60">
      <c r="A683" s="70" t="n">
        <v>1</v>
      </c>
      <c r="B683" s="71" t="n">
        <v>46195</v>
      </c>
      <c r="C683" s="71" t="n">
        <v>46202</v>
      </c>
      <c r="D683" s="70" t="n">
        <v>1631</v>
      </c>
      <c r="E683" s="72" t="inlineStr">
        <is>
          <t>T. M. L. DA SILVA LTDA</t>
        </is>
      </c>
      <c r="F683" s="70" t="n">
        <v>24</v>
      </c>
      <c r="G683" s="72" t="inlineStr">
        <is>
          <t>Compra a Prazo - Boletos</t>
        </is>
      </c>
      <c r="H683" s="70" t="n">
        <v>2110101</v>
      </c>
      <c r="I683" s="72" t="inlineStr">
        <is>
          <t>FORNECEDORES DE MERCADORIA</t>
        </is>
      </c>
      <c r="J683" s="70" t="n">
        <v>1291379</v>
      </c>
      <c r="L683" s="70" t="n">
        <v>15045</v>
      </c>
      <c r="M683" s="72" t="inlineStr">
        <is>
          <t>01</t>
        </is>
      </c>
      <c r="N683" s="72" t="inlineStr">
        <is>
          <t>NFE</t>
        </is>
      </c>
      <c r="P683" s="70" t="n">
        <v>103</v>
      </c>
      <c r="Q683" s="72" t="inlineStr">
        <is>
          <t>MILKA FRANCIS</t>
        </is>
      </c>
      <c r="R683" s="72" t="inlineStr">
        <is>
          <t>ESTOQUE DE MERCADORIAS</t>
        </is>
      </c>
      <c r="S683" s="70" t="n">
        <v>1130101</v>
      </c>
      <c r="T683" s="72" t="inlineStr">
        <is>
          <t>MERCADORIAS P/REVENDA</t>
        </is>
      </c>
      <c r="U683" s="73" t="n">
        <v>642.79</v>
      </c>
      <c r="W683" s="73" t="n">
        <v>0</v>
      </c>
      <c r="X683" s="72" t="inlineStr">
        <is>
          <t>NF 15045 AMAZONGURT - MILKA</t>
        </is>
      </c>
      <c r="Z683" s="59">
        <f>IF($T683="","",IFERROR(INDEX('Resumo Grupos'!$AC$3:$AC$200,MATCH($T683,'Resumo Grupos'!$AB$3:$AB$200,0)),"n/d"))</f>
        <v/>
      </c>
      <c r="AA683" s="59">
        <f>IF($T683="","",IF(COUNTIF('Resumo Grupos'!$AE$3:$AE$40,$T683)&gt;0,"NAO","SIM"))</f>
        <v/>
      </c>
    </row>
    <row r="684" ht="54.75" customHeight="1" s="60">
      <c r="A684" s="70" t="n">
        <v>1</v>
      </c>
      <c r="B684" s="71" t="n">
        <v>46197</v>
      </c>
      <c r="C684" s="71" t="n">
        <v>46202</v>
      </c>
      <c r="D684" s="70" t="n">
        <v>33</v>
      </c>
      <c r="E684" s="72" t="inlineStr">
        <is>
          <t>RENATO DE O AZEVEDO E CIA LTDA - EPP</t>
        </is>
      </c>
      <c r="F684" s="70" t="n">
        <v>34</v>
      </c>
      <c r="G684" s="72" t="inlineStr">
        <is>
          <t>Transferencia Pix</t>
        </is>
      </c>
      <c r="H684" s="70" t="n">
        <v>2110101</v>
      </c>
      <c r="I684" s="72" t="inlineStr">
        <is>
          <t>FORNECEDORES DE MERCADORIA</t>
        </is>
      </c>
      <c r="J684" s="70" t="n">
        <v>1299886</v>
      </c>
      <c r="L684" s="70" t="n">
        <v>5171</v>
      </c>
      <c r="M684" s="72" t="inlineStr">
        <is>
          <t>01</t>
        </is>
      </c>
      <c r="N684" s="72" t="inlineStr">
        <is>
          <t>NFE</t>
        </is>
      </c>
      <c r="P684" s="70" t="n">
        <v>103</v>
      </c>
      <c r="Q684" s="72" t="inlineStr">
        <is>
          <t>MILKA FRANCIS</t>
        </is>
      </c>
      <c r="R684" s="72" t="inlineStr">
        <is>
          <t>ESTOQUE DE MERCADORIAS</t>
        </is>
      </c>
      <c r="S684" s="70" t="n">
        <v>1130101</v>
      </c>
      <c r="T684" s="72" t="inlineStr">
        <is>
          <t>MERCADORIAS P/REVENDA</t>
        </is>
      </c>
      <c r="U684" s="73" t="n">
        <v>1380</v>
      </c>
      <c r="W684" s="73" t="n">
        <v>0</v>
      </c>
      <c r="X684" s="72" t="inlineStr">
        <is>
          <t>NF 200626 / PGTO P/ JOSE CLAUDIO - MILKA</t>
        </is>
      </c>
      <c r="Z684" s="59">
        <f>IF($T684="","",IFERROR(INDEX('Resumo Grupos'!$AC$3:$AC$200,MATCH($T684,'Resumo Grupos'!$AB$3:$AB$200,0)),"n/d"))</f>
        <v/>
      </c>
      <c r="AA684" s="59">
        <f>IF($T684="","",IF(COUNTIF('Resumo Grupos'!$AE$3:$AE$40,$T684)&gt;0,"NAO","SIM"))</f>
        <v/>
      </c>
    </row>
    <row r="685" ht="63.75" customHeight="1" s="60">
      <c r="A685" s="70" t="n">
        <v>1</v>
      </c>
      <c r="B685" s="71" t="n">
        <v>46197</v>
      </c>
      <c r="C685" s="71" t="n">
        <v>46202</v>
      </c>
      <c r="D685" s="70" t="n">
        <v>754</v>
      </c>
      <c r="E685" s="72" t="inlineStr">
        <is>
          <t>SILVA E SANTOS FRIGORIFICO LTDA</t>
        </is>
      </c>
      <c r="F685" s="70" t="n">
        <v>24</v>
      </c>
      <c r="G685" s="72" t="inlineStr">
        <is>
          <t>Compra a Prazo - Boletos</t>
        </is>
      </c>
      <c r="H685" s="70" t="n">
        <v>2110101</v>
      </c>
      <c r="I685" s="72" t="inlineStr">
        <is>
          <t>FORNECEDORES DE MERCADORIA</t>
        </is>
      </c>
      <c r="J685" s="70" t="n">
        <v>1300713</v>
      </c>
      <c r="L685" s="70" t="n">
        <v>31278</v>
      </c>
      <c r="M685" s="72" t="inlineStr">
        <is>
          <t>01</t>
        </is>
      </c>
      <c r="N685" s="72" t="inlineStr">
        <is>
          <t>NFE</t>
        </is>
      </c>
      <c r="P685" s="70" t="n">
        <v>103</v>
      </c>
      <c r="Q685" s="72" t="inlineStr">
        <is>
          <t>MILKA FRANCIS</t>
        </is>
      </c>
      <c r="R685" s="72" t="inlineStr">
        <is>
          <t>ESTOQUE DE MERCADORIAS</t>
        </is>
      </c>
      <c r="S685" s="70" t="n">
        <v>1130101</v>
      </c>
      <c r="T685" s="72" t="inlineStr">
        <is>
          <t>MERCADORIAS P/REVENDA</t>
        </is>
      </c>
      <c r="U685" s="73" t="n">
        <v>1278.8</v>
      </c>
      <c r="W685" s="73" t="n">
        <v>0</v>
      </c>
      <c r="X685" s="72" t="inlineStr">
        <is>
          <t>NF 31278 - MILKA</t>
        </is>
      </c>
      <c r="Z685" s="59">
        <f>IF($T685="","",IFERROR(INDEX('Resumo Grupos'!$AC$3:$AC$200,MATCH($T685,'Resumo Grupos'!$AB$3:$AB$200,0)),"n/d"))</f>
        <v/>
      </c>
      <c r="AA685" s="59">
        <f>IF($T685="","",IF(COUNTIF('Resumo Grupos'!$AE$3:$AE$40,$T685)&gt;0,"NAO","SIM"))</f>
        <v/>
      </c>
    </row>
    <row r="686" ht="45.75" customHeight="1" s="60">
      <c r="A686" s="70" t="n">
        <v>1</v>
      </c>
      <c r="B686" s="71" t="n">
        <v>46199</v>
      </c>
      <c r="C686" s="71" t="n">
        <v>46202</v>
      </c>
      <c r="D686" s="70" t="n">
        <v>1614</v>
      </c>
      <c r="E686" s="72" t="inlineStr">
        <is>
          <t>C. R. PARENTE ABREU</t>
        </is>
      </c>
      <c r="F686" s="70" t="n">
        <v>24</v>
      </c>
      <c r="G686" s="72" t="inlineStr">
        <is>
          <t>Compra a Prazo - Boletos</t>
        </is>
      </c>
      <c r="H686" s="70" t="n">
        <v>2110101</v>
      </c>
      <c r="I686" s="72" t="inlineStr">
        <is>
          <t>FORNECEDORES DE MERCADORIA</t>
        </is>
      </c>
      <c r="J686" s="70" t="n">
        <v>1308813</v>
      </c>
      <c r="L686" s="70" t="n">
        <v>11315</v>
      </c>
      <c r="M686" s="72" t="inlineStr">
        <is>
          <t>01</t>
        </is>
      </c>
      <c r="N686" s="72" t="inlineStr">
        <is>
          <t>NFE</t>
        </is>
      </c>
      <c r="P686" s="70" t="n">
        <v>103</v>
      </c>
      <c r="Q686" s="72" t="inlineStr">
        <is>
          <t>MILKA FRANCIS</t>
        </is>
      </c>
      <c r="R686" s="72" t="inlineStr">
        <is>
          <t>ESTOQUE DE MERCADORIAS</t>
        </is>
      </c>
      <c r="S686" s="70" t="n">
        <v>1130101</v>
      </c>
      <c r="T686" s="72" t="inlineStr">
        <is>
          <t>MERCADORIAS P/REVENDA</t>
        </is>
      </c>
      <c r="U686" s="73" t="n">
        <v>459.6</v>
      </c>
      <c r="W686" s="73" t="n">
        <v>0</v>
      </c>
      <c r="X686" s="72" t="inlineStr">
        <is>
          <t>NF 11315-01 MILKA</t>
        </is>
      </c>
      <c r="Z686" s="59">
        <f>IF($T686="","",IFERROR(INDEX('Resumo Grupos'!$AC$3:$AC$200,MATCH($T686,'Resumo Grupos'!$AB$3:$AB$200,0)),"n/d"))</f>
        <v/>
      </c>
      <c r="AA686" s="59">
        <f>IF($T686="","",IF(COUNTIF('Resumo Grupos'!$AE$3:$AE$40,$T686)&gt;0,"NAO","SIM"))</f>
        <v/>
      </c>
    </row>
    <row r="687" ht="54.75" customHeight="1" s="60">
      <c r="A687" s="70" t="n">
        <v>1</v>
      </c>
      <c r="B687" s="71" t="n">
        <v>46199</v>
      </c>
      <c r="C687" s="71" t="n">
        <v>46202</v>
      </c>
      <c r="D687" s="70" t="n">
        <v>1899</v>
      </c>
      <c r="E687" s="72" t="inlineStr">
        <is>
          <t>PANIFICADORA E CONFEITARIA REAL MADRI LTDA</t>
        </is>
      </c>
      <c r="F687" s="70" t="n">
        <v>24</v>
      </c>
      <c r="G687" s="72" t="inlineStr">
        <is>
          <t>Compra a Prazo - Boletos</t>
        </is>
      </c>
      <c r="H687" s="70" t="n">
        <v>2110101</v>
      </c>
      <c r="I687" s="72" t="inlineStr">
        <is>
          <t>FORNECEDORES DE MERCADORIA</t>
        </is>
      </c>
      <c r="J687" s="70" t="n">
        <v>1308891</v>
      </c>
      <c r="L687" s="70" t="n">
        <v>675</v>
      </c>
      <c r="M687" s="72" t="inlineStr">
        <is>
          <t>01</t>
        </is>
      </c>
      <c r="N687" s="72" t="inlineStr">
        <is>
          <t>NFE</t>
        </is>
      </c>
      <c r="P687" s="70" t="n">
        <v>103</v>
      </c>
      <c r="Q687" s="72" t="inlineStr">
        <is>
          <t>MILKA FRANCIS</t>
        </is>
      </c>
      <c r="R687" s="72" t="inlineStr">
        <is>
          <t>ESTOQUE DE MERCADORIAS</t>
        </is>
      </c>
      <c r="S687" s="70" t="n">
        <v>1130101</v>
      </c>
      <c r="T687" s="72" t="inlineStr">
        <is>
          <t>MERCADORIAS P/REVENDA</t>
        </is>
      </c>
      <c r="U687" s="73" t="n">
        <v>1400</v>
      </c>
      <c r="W687" s="73" t="n">
        <v>0</v>
      </c>
      <c r="X687" s="72" t="inlineStr">
        <is>
          <t>NF 675 - MILKA</t>
        </is>
      </c>
      <c r="Z687" s="59">
        <f>IF($T687="","",IFERROR(INDEX('Resumo Grupos'!$AC$3:$AC$200,MATCH($T687,'Resumo Grupos'!$AB$3:$AB$200,0)),"n/d"))</f>
        <v/>
      </c>
      <c r="AA687" s="59">
        <f>IF($T687="","",IF(COUNTIF('Resumo Grupos'!$AE$3:$AE$40,$T687)&gt;0,"NAO","SIM"))</f>
        <v/>
      </c>
    </row>
    <row r="688" ht="54.75" customHeight="1" s="60">
      <c r="A688" s="70" t="n">
        <v>1</v>
      </c>
      <c r="B688" s="71" t="n">
        <v>46199</v>
      </c>
      <c r="C688" s="71" t="n">
        <v>46202</v>
      </c>
      <c r="D688" s="70" t="n">
        <v>1899</v>
      </c>
      <c r="E688" s="72" t="inlineStr">
        <is>
          <t>PANIFICADORA E CONFEITARIA REAL MADRI LTDA</t>
        </is>
      </c>
      <c r="F688" s="70" t="n">
        <v>24</v>
      </c>
      <c r="G688" s="72" t="inlineStr">
        <is>
          <t>Compra a Prazo - Boletos</t>
        </is>
      </c>
      <c r="H688" s="70" t="n">
        <v>2110101</v>
      </c>
      <c r="I688" s="72" t="inlineStr">
        <is>
          <t>FORNECEDORES DE MERCADORIA</t>
        </is>
      </c>
      <c r="J688" s="70" t="n">
        <v>1308921</v>
      </c>
      <c r="L688" s="70" t="n">
        <v>680</v>
      </c>
      <c r="M688" s="72" t="inlineStr">
        <is>
          <t>01</t>
        </is>
      </c>
      <c r="N688" s="72" t="inlineStr">
        <is>
          <t>NFE</t>
        </is>
      </c>
      <c r="P688" s="70" t="n">
        <v>103</v>
      </c>
      <c r="Q688" s="72" t="inlineStr">
        <is>
          <t>MILKA FRANCIS</t>
        </is>
      </c>
      <c r="R688" s="72" t="inlineStr">
        <is>
          <t>ESTOQUE DE MERCADORIAS</t>
        </is>
      </c>
      <c r="S688" s="70" t="n">
        <v>1130101</v>
      </c>
      <c r="T688" s="72" t="inlineStr">
        <is>
          <t>MERCADORIAS P/REVENDA</t>
        </is>
      </c>
      <c r="U688" s="73" t="n">
        <v>304.75</v>
      </c>
      <c r="W688" s="73" t="n">
        <v>0</v>
      </c>
      <c r="X688" s="72" t="inlineStr">
        <is>
          <t>NF 680 - MILKA</t>
        </is>
      </c>
      <c r="Z688" s="59">
        <f>IF($T688="","",IFERROR(INDEX('Resumo Grupos'!$AC$3:$AC$200,MATCH($T688,'Resumo Grupos'!$AB$3:$AB$200,0)),"n/d"))</f>
        <v/>
      </c>
      <c r="AA688" s="59">
        <f>IF($T688="","",IF(COUNTIF('Resumo Grupos'!$AE$3:$AE$40,$T688)&gt;0,"NAO","SIM"))</f>
        <v/>
      </c>
    </row>
    <row r="689" ht="54.75" customHeight="1" s="60">
      <c r="A689" s="70" t="n">
        <v>1</v>
      </c>
      <c r="B689" s="71" t="n">
        <v>46199</v>
      </c>
      <c r="C689" s="71" t="n">
        <v>46202</v>
      </c>
      <c r="D689" s="70" t="n">
        <v>1650</v>
      </c>
      <c r="E689" s="72" t="inlineStr">
        <is>
          <t>FRUTAL INDUSTRIA E COMERCIO LTDA</t>
        </is>
      </c>
      <c r="F689" s="70" t="n">
        <v>24</v>
      </c>
      <c r="G689" s="72" t="inlineStr">
        <is>
          <t>Compra a Prazo - Boletos</t>
        </is>
      </c>
      <c r="H689" s="70" t="n">
        <v>2110101</v>
      </c>
      <c r="I689" s="72" t="inlineStr">
        <is>
          <t>FORNECEDORES DE MERCADORIA</t>
        </is>
      </c>
      <c r="J689" s="70" t="n">
        <v>1309005</v>
      </c>
      <c r="L689" s="70" t="n">
        <v>224078</v>
      </c>
      <c r="M689" s="72" t="inlineStr">
        <is>
          <t>01</t>
        </is>
      </c>
      <c r="N689" s="72" t="inlineStr">
        <is>
          <t>NFE</t>
        </is>
      </c>
      <c r="P689" s="70" t="n">
        <v>103</v>
      </c>
      <c r="Q689" s="72" t="inlineStr">
        <is>
          <t>MILKA FRANCIS</t>
        </is>
      </c>
      <c r="R689" s="72" t="inlineStr">
        <is>
          <t>ESTOQUE DE MERCADORIAS</t>
        </is>
      </c>
      <c r="S689" s="70" t="n">
        <v>1130101</v>
      </c>
      <c r="T689" s="72" t="inlineStr">
        <is>
          <t>MERCADORIAS P/REVENDA</t>
        </is>
      </c>
      <c r="U689" s="73" t="n">
        <v>1167.14</v>
      </c>
      <c r="W689" s="73" t="n">
        <v>0</v>
      </c>
      <c r="X689" s="72" t="inlineStr">
        <is>
          <t>NF 224078 - MILKA</t>
        </is>
      </c>
      <c r="Z689" s="59">
        <f>IF($T689="","",IFERROR(INDEX('Resumo Grupos'!$AC$3:$AC$200,MATCH($T689,'Resumo Grupos'!$AB$3:$AB$200,0)),"n/d"))</f>
        <v/>
      </c>
      <c r="AA689" s="59">
        <f>IF($T689="","",IF(COUNTIF('Resumo Grupos'!$AE$3:$AE$40,$T689)&gt;0,"NAO","SIM"))</f>
        <v/>
      </c>
    </row>
    <row r="690" ht="63.75" customHeight="1" s="60">
      <c r="A690" s="70" t="n">
        <v>1</v>
      </c>
      <c r="B690" s="71" t="n">
        <v>46199</v>
      </c>
      <c r="C690" s="71" t="n">
        <v>46202</v>
      </c>
      <c r="D690" s="70" t="n">
        <v>10035</v>
      </c>
      <c r="E690" s="72" t="inlineStr">
        <is>
          <t>J W N DOS SANTOS</t>
        </is>
      </c>
      <c r="F690" s="70" t="n">
        <v>34</v>
      </c>
      <c r="G690" s="72" t="inlineStr">
        <is>
          <t>Transferencia Pix</t>
        </is>
      </c>
      <c r="H690" s="70" t="n">
        <v>2110101</v>
      </c>
      <c r="I690" s="72" t="inlineStr">
        <is>
          <t>FORNECEDORES DE MERCADORIA</t>
        </is>
      </c>
      <c r="J690" s="70" t="n">
        <v>1309767</v>
      </c>
      <c r="L690" s="70" t="n">
        <v>326</v>
      </c>
      <c r="M690" s="72" t="inlineStr">
        <is>
          <t>01</t>
        </is>
      </c>
      <c r="N690" s="72" t="inlineStr">
        <is>
          <t>NFE</t>
        </is>
      </c>
      <c r="P690" s="70" t="n">
        <v>104</v>
      </c>
      <c r="Q690" s="72" t="inlineStr">
        <is>
          <t>DEBORA COSTA</t>
        </is>
      </c>
      <c r="R690" s="72" t="inlineStr">
        <is>
          <t>ESTOQUE DE MERCADORIAS</t>
        </is>
      </c>
      <c r="S690" s="70" t="n">
        <v>1130101</v>
      </c>
      <c r="T690" s="72" t="inlineStr">
        <is>
          <t>MERCADORIAS P/REVENDA</t>
        </is>
      </c>
      <c r="U690" s="73" t="n">
        <v>850</v>
      </c>
      <c r="W690" s="73" t="n">
        <v>0</v>
      </c>
      <c r="X690" s="72" t="inlineStr">
        <is>
          <t>NF 326 - DEBORA</t>
        </is>
      </c>
      <c r="Z690" s="59">
        <f>IF($T690="","",IFERROR(INDEX('Resumo Grupos'!$AC$3:$AC$200,MATCH($T690,'Resumo Grupos'!$AB$3:$AB$200,0)),"n/d"))</f>
        <v/>
      </c>
      <c r="AA690" s="59">
        <f>IF($T690="","",IF(COUNTIF('Resumo Grupos'!$AE$3:$AE$40,$T690)&gt;0,"NAO","SIM"))</f>
        <v/>
      </c>
    </row>
    <row r="691" ht="27.75" customHeight="1" s="60">
      <c r="A691" s="70" t="n">
        <v>1</v>
      </c>
      <c r="B691" s="71" t="n">
        <v>46202</v>
      </c>
      <c r="C691" s="71" t="n">
        <v>46202</v>
      </c>
      <c r="D691" s="70" t="n">
        <v>978</v>
      </c>
      <c r="E691" s="72" t="inlineStr">
        <is>
          <t>GELO DANGELO FABRICACAO DE GELO LTDA</t>
        </is>
      </c>
      <c r="F691" s="70" t="n">
        <v>13</v>
      </c>
      <c r="G691" s="72" t="inlineStr">
        <is>
          <t>Compra a Vista</t>
        </is>
      </c>
      <c r="H691" s="70" t="n">
        <v>2110101</v>
      </c>
      <c r="I691" s="72" t="inlineStr">
        <is>
          <t>FORNECEDORES DE MERCADORIA</t>
        </is>
      </c>
      <c r="J691" s="70" t="n">
        <v>1360396</v>
      </c>
      <c r="L691" s="70" t="n">
        <v>328</v>
      </c>
      <c r="M691" s="72" t="inlineStr">
        <is>
          <t>01</t>
        </is>
      </c>
      <c r="N691" s="72" t="inlineStr">
        <is>
          <t>NFE</t>
        </is>
      </c>
      <c r="P691" s="70" t="n">
        <v>104</v>
      </c>
      <c r="Q691" s="72" t="inlineStr">
        <is>
          <t>DEBORA COSTA</t>
        </is>
      </c>
      <c r="R691" s="72" t="inlineStr">
        <is>
          <t>ESTOQUE DE MERCADORIAS</t>
        </is>
      </c>
      <c r="S691" s="70" t="n">
        <v>1130101</v>
      </c>
      <c r="T691" s="72" t="inlineStr">
        <is>
          <t>MERCADORIAS P/REVENDA</t>
        </is>
      </c>
      <c r="U691" s="73" t="n">
        <v>398</v>
      </c>
      <c r="W691" s="73" t="n">
        <v>0</v>
      </c>
      <c r="X691" s="72" t="inlineStr">
        <is>
          <t>NF 328 - DEBORA</t>
        </is>
      </c>
      <c r="Z691" s="59">
        <f>IF($T691="","",IFERROR(INDEX('Resumo Grupos'!$AC$3:$AC$200,MATCH($T691,'Resumo Grupos'!$AB$3:$AB$200,0)),"n/d"))</f>
        <v/>
      </c>
      <c r="AA691" s="59">
        <f>IF($T691="","",IF(COUNTIF('Resumo Grupos'!$AE$3:$AE$40,$T691)&gt;0,"NAO","SIM"))</f>
        <v/>
      </c>
    </row>
    <row r="692" ht="36.75" customHeight="1" s="60">
      <c r="A692" s="70" t="n">
        <v>1</v>
      </c>
      <c r="B692" s="71" t="n">
        <v>46202</v>
      </c>
      <c r="C692" s="71" t="n">
        <v>46202</v>
      </c>
      <c r="D692" s="70" t="n">
        <v>515</v>
      </c>
      <c r="E692" s="72" t="inlineStr">
        <is>
          <t>ITAU SA</t>
        </is>
      </c>
      <c r="F692" s="70" t="n">
        <v>34</v>
      </c>
      <c r="G692" s="72" t="inlineStr">
        <is>
          <t>Transferencia Pix</t>
        </is>
      </c>
      <c r="H692" s="70" t="n">
        <v>1110202</v>
      </c>
      <c r="I692" s="72" t="inlineStr">
        <is>
          <t>BANCO ITAU Lj 01</t>
        </is>
      </c>
      <c r="J692" s="70" t="n">
        <v>1448893</v>
      </c>
      <c r="L692" s="70" t="n">
        <v>596069</v>
      </c>
      <c r="M692" s="72" t="inlineStr">
        <is>
          <t>01</t>
        </is>
      </c>
      <c r="N692" s="72" t="inlineStr">
        <is>
          <t>AVU</t>
        </is>
      </c>
      <c r="P692" s="70" t="n">
        <v>102</v>
      </c>
      <c r="Q692" s="72" t="inlineStr">
        <is>
          <t>ANDREZA ANDRADE</t>
        </is>
      </c>
      <c r="R692" s="72" t="inlineStr">
        <is>
          <t>DESPESAS FINANCEIRAS</t>
        </is>
      </c>
      <c r="S692" s="70" t="n">
        <v>4210504</v>
      </c>
      <c r="T692" s="72" t="inlineStr">
        <is>
          <t>DESPESAS BANCARIAS</t>
        </is>
      </c>
      <c r="U692" s="73" t="n">
        <v>165</v>
      </c>
      <c r="W692" s="73" t="n">
        <v>0</v>
      </c>
      <c r="X692" s="72" t="inlineStr">
        <is>
          <t>TAR CONTR/RENOV CTA GAR ITAU MO1-ANDREZA</t>
        </is>
      </c>
      <c r="Z692" s="59">
        <f>IF($T692="","",IFERROR(INDEX('Resumo Grupos'!$AC$3:$AC$200,MATCH($T692,'Resumo Grupos'!$AB$3:$AB$200,0)),"n/d"))</f>
        <v/>
      </c>
      <c r="AA692" s="59">
        <f>IF($T692="","",IF(COUNTIF('Resumo Grupos'!$AE$3:$AE$40,$T692)&gt;0,"NAO","SIM"))</f>
        <v/>
      </c>
    </row>
    <row r="693" ht="36.75" customHeight="1" s="60">
      <c r="A693" s="70" t="n">
        <v>1</v>
      </c>
      <c r="B693" s="71" t="n">
        <v>46050</v>
      </c>
      <c r="C693" s="71" t="n">
        <v>46202</v>
      </c>
      <c r="D693" s="70" t="n">
        <v>515</v>
      </c>
      <c r="E693" s="72" t="inlineStr">
        <is>
          <t>ITAU SA</t>
        </is>
      </c>
      <c r="F693" s="70" t="n">
        <v>34</v>
      </c>
      <c r="G693" s="72" t="inlineStr">
        <is>
          <t>Transferencia Pix</t>
        </is>
      </c>
      <c r="H693" s="70" t="n">
        <v>1110202</v>
      </c>
      <c r="I693" s="72" t="inlineStr">
        <is>
          <t>BANCO ITAU Lj 01</t>
        </is>
      </c>
      <c r="J693" s="70" t="n">
        <v>1449526</v>
      </c>
      <c r="L693" s="70" t="n">
        <v>596254</v>
      </c>
      <c r="M693" s="72" t="inlineStr">
        <is>
          <t>06</t>
        </is>
      </c>
      <c r="N693" s="72" t="inlineStr">
        <is>
          <t>AVU</t>
        </is>
      </c>
      <c r="P693" s="70" t="n">
        <v>101</v>
      </c>
      <c r="Q693" s="72" t="inlineStr">
        <is>
          <t>KEILA LIMA</t>
        </is>
      </c>
      <c r="R693" s="72" t="inlineStr">
        <is>
          <t>DESPESAS NAO OPERACIONAIS</t>
        </is>
      </c>
      <c r="S693" s="70" t="n">
        <v>4220199</v>
      </c>
      <c r="T693" s="72" t="inlineStr">
        <is>
          <t>PAGAMENTOS OUTROS NAO OPERACIONAIS</t>
        </is>
      </c>
      <c r="U693" s="73" t="n">
        <v>3853.23</v>
      </c>
      <c r="W693" s="73" t="n">
        <v>0</v>
      </c>
      <c r="X693" s="72" t="inlineStr">
        <is>
          <t xml:space="preserve">PARC 16/36 NAO SOMAR - CARRO PL RENATO E ROGER </t>
        </is>
      </c>
      <c r="Z693" s="59">
        <f>IF($T693="","",IFERROR(INDEX('Resumo Grupos'!$AC$3:$AC$200,MATCH($T693,'Resumo Grupos'!$AB$3:$AB$200,0)),"n/d"))</f>
        <v/>
      </c>
      <c r="AA693" s="59">
        <f>IF($T693="","",IF(COUNTIF('Resumo Grupos'!$AE$3:$AE$40,$T693)&gt;0,"NAO","SIM"))</f>
        <v/>
      </c>
    </row>
    <row r="694" ht="45.75" customHeight="1" s="60">
      <c r="A694" s="70" t="n">
        <v>1</v>
      </c>
      <c r="B694" s="71" t="n">
        <v>46202</v>
      </c>
      <c r="C694" s="71" t="n">
        <v>46202</v>
      </c>
      <c r="D694" s="70" t="n">
        <v>815</v>
      </c>
      <c r="E694" s="72" t="inlineStr">
        <is>
          <t xml:space="preserve">ROBSON - ROBINHO </t>
        </is>
      </c>
      <c r="F694" s="70" t="n">
        <v>24</v>
      </c>
      <c r="G694" s="72" t="inlineStr">
        <is>
          <t>Compra a Prazo - Boletos</t>
        </is>
      </c>
      <c r="H694" s="70" t="n">
        <v>1110202</v>
      </c>
      <c r="I694" s="72" t="inlineStr">
        <is>
          <t>BANCO ITAU Lj 01</t>
        </is>
      </c>
      <c r="J694" s="70" t="n">
        <v>1449558</v>
      </c>
      <c r="L694" s="70" t="n">
        <v>596274</v>
      </c>
      <c r="M694" s="72" t="inlineStr">
        <is>
          <t>01</t>
        </is>
      </c>
      <c r="N694" s="72" t="inlineStr">
        <is>
          <t>AVU</t>
        </is>
      </c>
      <c r="P694" s="70" t="n">
        <v>101</v>
      </c>
      <c r="Q694" s="72" t="inlineStr">
        <is>
          <t>KEILA LIMA</t>
        </is>
      </c>
      <c r="R694" s="72" t="inlineStr">
        <is>
          <t>DESPESAS NAO OPERACIONAIS</t>
        </is>
      </c>
      <c r="S694" s="70" t="n">
        <v>4220199</v>
      </c>
      <c r="T694" s="72" t="inlineStr">
        <is>
          <t>PAGAMENTOS OUTROS NAO OPERACIONAIS</t>
        </is>
      </c>
      <c r="U694" s="73" t="n">
        <v>50000</v>
      </c>
      <c r="W694" s="73" t="n">
        <v>0</v>
      </c>
      <c r="X694" s="72" t="inlineStr">
        <is>
          <t>NAO SOMAR PG DINHEIRO TROCADO</t>
        </is>
      </c>
      <c r="Z694" s="59">
        <f>IF($T694="","",IFERROR(INDEX('Resumo Grupos'!$AC$3:$AC$200,MATCH($T694,'Resumo Grupos'!$AB$3:$AB$200,0)),"n/d"))</f>
        <v/>
      </c>
      <c r="AA694" s="59">
        <f>IF($T694="","",IF(COUNTIF('Resumo Grupos'!$AE$3:$AE$40,$T694)&gt;0,"NAO","SIM"))</f>
        <v/>
      </c>
    </row>
    <row r="695" ht="45.75" customHeight="1" s="60">
      <c r="A695" s="70" t="n">
        <v>1</v>
      </c>
      <c r="B695" s="71" t="n">
        <v>46202</v>
      </c>
      <c r="C695" s="71" t="n">
        <v>46202</v>
      </c>
      <c r="D695" s="70" t="n">
        <v>518</v>
      </c>
      <c r="E695" s="72" t="inlineStr">
        <is>
          <t>KATIA LIMA</t>
        </is>
      </c>
      <c r="F695" s="70" t="n">
        <v>34</v>
      </c>
      <c r="G695" s="72" t="inlineStr">
        <is>
          <t>Transferencia Pix</t>
        </is>
      </c>
      <c r="H695" s="70" t="n">
        <v>1110202</v>
      </c>
      <c r="I695" s="72" t="inlineStr">
        <is>
          <t>BANCO ITAU Lj 01</t>
        </is>
      </c>
      <c r="J695" s="70" t="n">
        <v>1449572</v>
      </c>
      <c r="L695" s="70" t="n">
        <v>596275</v>
      </c>
      <c r="M695" s="72" t="inlineStr">
        <is>
          <t>01</t>
        </is>
      </c>
      <c r="N695" s="72" t="inlineStr">
        <is>
          <t>AVU</t>
        </is>
      </c>
      <c r="P695" s="70" t="n">
        <v>101</v>
      </c>
      <c r="Q695" s="72" t="inlineStr">
        <is>
          <t>KEILA LIMA</t>
        </is>
      </c>
      <c r="R695" s="72" t="inlineStr">
        <is>
          <t>DESPESAS COM PESSOAL</t>
        </is>
      </c>
      <c r="S695" s="70" t="n">
        <v>4210301</v>
      </c>
      <c r="T695" s="72" t="inlineStr">
        <is>
          <t>SALARIOS</t>
        </is>
      </c>
      <c r="U695" s="73" t="n">
        <v>973.6799999999999</v>
      </c>
      <c r="W695" s="73" t="n">
        <v>0</v>
      </c>
      <c r="X695" s="72" t="inlineStr">
        <is>
          <t>PAG SALARIO 06/26 SERV - KEILA</t>
        </is>
      </c>
      <c r="Z695" s="59">
        <f>IF($T695="","",IFERROR(INDEX('Resumo Grupos'!$AC$3:$AC$200,MATCH($T695,'Resumo Grupos'!$AB$3:$AB$200,0)),"n/d"))</f>
        <v/>
      </c>
      <c r="AA695" s="59">
        <f>IF($T695="","",IF(COUNTIF('Resumo Grupos'!$AE$3:$AE$40,$T695)&gt;0,"NAO","SIM"))</f>
        <v/>
      </c>
    </row>
    <row r="696" ht="36.75" customHeight="1" s="60">
      <c r="A696" s="70" t="n">
        <v>1</v>
      </c>
      <c r="B696" s="71" t="n">
        <v>46202</v>
      </c>
      <c r="C696" s="71" t="n">
        <v>46202</v>
      </c>
      <c r="D696" s="70" t="n">
        <v>1408</v>
      </c>
      <c r="E696" s="72" t="inlineStr">
        <is>
          <t xml:space="preserve">ASSOCIACAO AMAZONENSE DE SUPERMERCADOS </t>
        </is>
      </c>
      <c r="F696" s="70" t="n">
        <v>34</v>
      </c>
      <c r="G696" s="72" t="inlineStr">
        <is>
          <t>Transferencia Pix</t>
        </is>
      </c>
      <c r="H696" s="70" t="n">
        <v>1110202</v>
      </c>
      <c r="I696" s="72" t="inlineStr">
        <is>
          <t>BANCO ITAU Lj 01</t>
        </is>
      </c>
      <c r="J696" s="70" t="n">
        <v>1449656</v>
      </c>
      <c r="L696" s="70" t="n">
        <v>596296</v>
      </c>
      <c r="M696" s="72" t="inlineStr">
        <is>
          <t>01</t>
        </is>
      </c>
      <c r="N696" s="72" t="inlineStr">
        <is>
          <t>AVU</t>
        </is>
      </c>
      <c r="P696" s="70" t="n">
        <v>101</v>
      </c>
      <c r="Q696" s="72" t="inlineStr">
        <is>
          <t>KEILA LIMA</t>
        </is>
      </c>
      <c r="R696" s="72" t="inlineStr">
        <is>
          <t>DESPESAS NAO OPERACIONAIS</t>
        </is>
      </c>
      <c r="S696" s="70" t="n">
        <v>4220199</v>
      </c>
      <c r="T696" s="72" t="inlineStr">
        <is>
          <t>PAGAMENTOS OUTROS NAO OPERACIONAIS</t>
        </is>
      </c>
      <c r="U696" s="73" t="n">
        <v>250</v>
      </c>
      <c r="W696" s="73" t="n">
        <v>0</v>
      </c>
      <c r="X696" s="72" t="inlineStr">
        <is>
          <t xml:space="preserve">NAO SOMAR ASSOCIACAO AMASE MO1 E MO4 </t>
        </is>
      </c>
      <c r="Z696" s="59">
        <f>IF($T696="","",IFERROR(INDEX('Resumo Grupos'!$AC$3:$AC$200,MATCH($T696,'Resumo Grupos'!$AB$3:$AB$200,0)),"n/d"))</f>
        <v/>
      </c>
      <c r="AA696" s="59">
        <f>IF($T696="","",IF(COUNTIF('Resumo Grupos'!$AE$3:$AE$40,$T696)&gt;0,"NAO","SIM"))</f>
        <v/>
      </c>
    </row>
    <row r="697" ht="36.75" customHeight="1" s="60">
      <c r="A697" s="70" t="n">
        <v>1</v>
      </c>
      <c r="B697" s="71" t="n">
        <v>46202</v>
      </c>
      <c r="C697" s="71" t="n">
        <v>46202</v>
      </c>
      <c r="D697" s="70" t="n">
        <v>1408</v>
      </c>
      <c r="E697" s="72" t="inlineStr">
        <is>
          <t xml:space="preserve">ASSOCIACAO AMAZONENSE DE SUPERMERCADOS </t>
        </is>
      </c>
      <c r="F697" s="70" t="n">
        <v>24</v>
      </c>
      <c r="G697" s="72" t="inlineStr">
        <is>
          <t>Compra a Prazo - Boletos</t>
        </is>
      </c>
      <c r="H697" s="70" t="n">
        <v>1110202</v>
      </c>
      <c r="I697" s="72" t="inlineStr">
        <is>
          <t>BANCO ITAU Lj 01</t>
        </is>
      </c>
      <c r="J697" s="70" t="n">
        <v>1449660</v>
      </c>
      <c r="L697" s="70" t="n">
        <v>596297</v>
      </c>
      <c r="M697" s="72" t="inlineStr">
        <is>
          <t>01</t>
        </is>
      </c>
      <c r="N697" s="72" t="inlineStr">
        <is>
          <t>AVU</t>
        </is>
      </c>
      <c r="P697" s="70" t="n">
        <v>101</v>
      </c>
      <c r="Q697" s="72" t="inlineStr">
        <is>
          <t>KEILA LIMA</t>
        </is>
      </c>
      <c r="R697" s="72" t="inlineStr">
        <is>
          <t>DESPESAS OPERACIONAIS</t>
        </is>
      </c>
      <c r="S697" s="70" t="n">
        <v>4210218</v>
      </c>
      <c r="T697" s="72" t="inlineStr">
        <is>
          <t>MENSALIDADES DE ASSOCIACOES</t>
        </is>
      </c>
      <c r="U697" s="73" t="n">
        <v>125</v>
      </c>
      <c r="W697" s="73" t="n">
        <v>0</v>
      </c>
      <c r="X697" s="72" t="inlineStr">
        <is>
          <t>ASSOCIACAO AMASE MO1 PARTE - KEILA</t>
        </is>
      </c>
      <c r="Z697" s="59">
        <f>IF($T697="","",IFERROR(INDEX('Resumo Grupos'!$AC$3:$AC$200,MATCH($T697,'Resumo Grupos'!$AB$3:$AB$200,0)),"n/d"))</f>
        <v/>
      </c>
      <c r="AA697" s="59">
        <f>IF($T697="","",IF(COUNTIF('Resumo Grupos'!$AE$3:$AE$40,$T697)&gt;0,"NAO","SIM"))</f>
        <v/>
      </c>
    </row>
    <row r="698" ht="36.75" customHeight="1" s="60">
      <c r="A698" s="70" t="n">
        <v>1</v>
      </c>
      <c r="B698" s="71" t="n">
        <v>46202</v>
      </c>
      <c r="C698" s="71" t="n">
        <v>46202</v>
      </c>
      <c r="D698" s="70" t="n">
        <v>1000001</v>
      </c>
      <c r="E698" s="72" t="inlineStr">
        <is>
          <t>CISS CONSULTORIA EM INFORMATICA, SERVICOS E SOFTWARE S/A</t>
        </is>
      </c>
      <c r="F698" s="70" t="n">
        <v>24</v>
      </c>
      <c r="G698" s="72" t="inlineStr">
        <is>
          <t>Compra a Prazo - Boletos</t>
        </is>
      </c>
      <c r="H698" s="70" t="n">
        <v>1110202</v>
      </c>
      <c r="I698" s="72" t="inlineStr">
        <is>
          <t>BANCO ITAU Lj 01</t>
        </is>
      </c>
      <c r="J698" s="70" t="n">
        <v>1449664</v>
      </c>
      <c r="L698" s="70" t="n">
        <v>596300</v>
      </c>
      <c r="M698" s="72" t="inlineStr">
        <is>
          <t>01</t>
        </is>
      </c>
      <c r="N698" s="72" t="inlineStr">
        <is>
          <t>AVU</t>
        </is>
      </c>
      <c r="P698" s="70" t="n">
        <v>101</v>
      </c>
      <c r="Q698" s="72" t="inlineStr">
        <is>
          <t>KEILA LIMA</t>
        </is>
      </c>
      <c r="R698" s="72" t="inlineStr">
        <is>
          <t>DESPESAS NAO OPERACIONAIS</t>
        </is>
      </c>
      <c r="S698" s="70" t="n">
        <v>4220199</v>
      </c>
      <c r="T698" s="72" t="inlineStr">
        <is>
          <t>PAGAMENTOS OUTROS NAO OPERACIONAIS</t>
        </is>
      </c>
      <c r="U698" s="73" t="n">
        <v>1300</v>
      </c>
      <c r="W698" s="73" t="n">
        <v>0</v>
      </c>
      <c r="X698" s="72" t="inlineStr">
        <is>
          <t xml:space="preserve">MENSALIDADE SIST CISS LOJAS NAO SOMAR - KEILA </t>
        </is>
      </c>
      <c r="Z698" s="59">
        <f>IF($T698="","",IFERROR(INDEX('Resumo Grupos'!$AC$3:$AC$200,MATCH($T698,'Resumo Grupos'!$AB$3:$AB$200,0)),"n/d"))</f>
        <v/>
      </c>
      <c r="AA698" s="59">
        <f>IF($T698="","",IF(COUNTIF('Resumo Grupos'!$AE$3:$AE$40,$T698)&gt;0,"NAO","SIM"))</f>
        <v/>
      </c>
    </row>
    <row r="699" ht="36.75" customHeight="1" s="60">
      <c r="A699" s="70" t="n">
        <v>1</v>
      </c>
      <c r="B699" s="71" t="n">
        <v>46174</v>
      </c>
      <c r="C699" s="71" t="n">
        <v>46203</v>
      </c>
      <c r="D699" s="70" t="n">
        <v>1316</v>
      </c>
      <c r="E699" s="72" t="inlineStr">
        <is>
          <t>VOVO DIZA COMERCIO VAREJISTA DE HORTALICAS LTDA</t>
        </is>
      </c>
      <c r="F699" s="70" t="n">
        <v>34</v>
      </c>
      <c r="G699" s="72" t="inlineStr">
        <is>
          <t>Transferencia Pix</t>
        </is>
      </c>
      <c r="H699" s="70" t="n">
        <v>2110101</v>
      </c>
      <c r="I699" s="72" t="inlineStr">
        <is>
          <t>FORNECEDORES DE MERCADORIA</t>
        </is>
      </c>
      <c r="J699" s="70" t="n">
        <v>1189192</v>
      </c>
      <c r="L699" s="70" t="n">
        <v>3454</v>
      </c>
      <c r="M699" s="72" t="inlineStr">
        <is>
          <t>01</t>
        </is>
      </c>
      <c r="N699" s="72" t="inlineStr">
        <is>
          <t>NFE</t>
        </is>
      </c>
      <c r="P699" s="70" t="n">
        <v>104</v>
      </c>
      <c r="Q699" s="72" t="inlineStr">
        <is>
          <t>DEBORA COSTA</t>
        </is>
      </c>
      <c r="R699" s="72" t="inlineStr">
        <is>
          <t>ESTOQUE DE MERCADORIAS</t>
        </is>
      </c>
      <c r="S699" s="70" t="n">
        <v>1130101</v>
      </c>
      <c r="T699" s="72" t="inlineStr">
        <is>
          <t>MERCADORIAS P/REVENDA</t>
        </is>
      </c>
      <c r="U699" s="73" t="n">
        <v>105</v>
      </c>
      <c r="W699" s="73" t="n">
        <v>0</v>
      </c>
      <c r="X699" s="72" t="inlineStr">
        <is>
          <t>NF 3454 - DEBORA</t>
        </is>
      </c>
      <c r="Z699" s="59">
        <f>IF($T699="","",IFERROR(INDEX('Resumo Grupos'!$AC$3:$AC$200,MATCH($T699,'Resumo Grupos'!$AB$3:$AB$200,0)),"n/d"))</f>
        <v/>
      </c>
      <c r="AA699" s="59">
        <f>IF($T699="","",IF(COUNTIF('Resumo Grupos'!$AE$3:$AE$40,$T699)&gt;0,"NAO","SIM"))</f>
        <v/>
      </c>
    </row>
    <row r="700" ht="36.75" customHeight="1" s="60">
      <c r="A700" s="70" t="n">
        <v>1</v>
      </c>
      <c r="B700" s="71" t="n">
        <v>46175</v>
      </c>
      <c r="C700" s="71" t="n">
        <v>46203</v>
      </c>
      <c r="D700" s="70" t="n">
        <v>794</v>
      </c>
      <c r="E700" s="72" t="inlineStr">
        <is>
          <t>EDMARA COMERCIO DE HIGIENE PESSOAL LTDA</t>
        </is>
      </c>
      <c r="F700" s="70" t="n">
        <v>24</v>
      </c>
      <c r="G700" s="72" t="inlineStr">
        <is>
          <t>Compra a Prazo - Boletos</t>
        </is>
      </c>
      <c r="H700" s="70" t="n">
        <v>2110101</v>
      </c>
      <c r="I700" s="72" t="inlineStr">
        <is>
          <t>FORNECEDORES DE MERCADORIA</t>
        </is>
      </c>
      <c r="J700" s="70" t="n">
        <v>1192775</v>
      </c>
      <c r="L700" s="70" t="n">
        <v>7862</v>
      </c>
      <c r="M700" s="72" t="inlineStr">
        <is>
          <t>04</t>
        </is>
      </c>
      <c r="N700" s="72" t="inlineStr">
        <is>
          <t>NFE</t>
        </is>
      </c>
      <c r="P700" s="70" t="n">
        <v>103</v>
      </c>
      <c r="Q700" s="72" t="inlineStr">
        <is>
          <t>MILKA FRANCIS</t>
        </is>
      </c>
      <c r="R700" s="72" t="inlineStr">
        <is>
          <t>ESTOQUE DE MERCADORIAS</t>
        </is>
      </c>
      <c r="S700" s="70" t="n">
        <v>1130101</v>
      </c>
      <c r="T700" s="72" t="inlineStr">
        <is>
          <t>MERCADORIAS P/REVENDA</t>
        </is>
      </c>
      <c r="U700" s="73" t="n">
        <v>1695.88</v>
      </c>
      <c r="W700" s="73" t="n">
        <v>0</v>
      </c>
      <c r="X700" s="72" t="inlineStr">
        <is>
          <t>4496-D/D NF7862 - MILKA</t>
        </is>
      </c>
      <c r="Z700" s="59">
        <f>IF($T700="","",IFERROR(INDEX('Resumo Grupos'!$AC$3:$AC$200,MATCH($T700,'Resumo Grupos'!$AB$3:$AB$200,0)),"n/d"))</f>
        <v/>
      </c>
      <c r="AA700" s="59">
        <f>IF($T700="","",IF(COUNTIF('Resumo Grupos'!$AE$3:$AE$40,$T700)&gt;0,"NAO","SIM"))</f>
        <v/>
      </c>
    </row>
    <row r="701" ht="36.75" customHeight="1" s="60">
      <c r="A701" s="70" t="n">
        <v>1</v>
      </c>
      <c r="B701" s="71" t="n">
        <v>46176</v>
      </c>
      <c r="C701" s="71" t="n">
        <v>46203</v>
      </c>
      <c r="D701" s="70" t="n">
        <v>1316</v>
      </c>
      <c r="E701" s="72" t="inlineStr">
        <is>
          <t>VOVO DIZA COMERCIO VAREJISTA DE HORTALICAS LTDA</t>
        </is>
      </c>
      <c r="F701" s="70" t="n">
        <v>34</v>
      </c>
      <c r="G701" s="72" t="inlineStr">
        <is>
          <t>Transferencia Pix</t>
        </is>
      </c>
      <c r="H701" s="70" t="n">
        <v>2110101</v>
      </c>
      <c r="I701" s="72" t="inlineStr">
        <is>
          <t>FORNECEDORES DE MERCADORIA</t>
        </is>
      </c>
      <c r="J701" s="70" t="n">
        <v>1228315</v>
      </c>
      <c r="L701" s="70" t="n">
        <v>3477</v>
      </c>
      <c r="M701" s="72" t="inlineStr">
        <is>
          <t>01</t>
        </is>
      </c>
      <c r="N701" s="72" t="inlineStr">
        <is>
          <t>NFE</t>
        </is>
      </c>
      <c r="P701" s="70" t="n">
        <v>104</v>
      </c>
      <c r="Q701" s="72" t="inlineStr">
        <is>
          <t>DEBORA COSTA</t>
        </is>
      </c>
      <c r="R701" s="72" t="inlineStr">
        <is>
          <t>ESTOQUE DE MERCADORIAS</t>
        </is>
      </c>
      <c r="S701" s="70" t="n">
        <v>1130101</v>
      </c>
      <c r="T701" s="72" t="inlineStr">
        <is>
          <t>MERCADORIAS P/REVENDA</t>
        </is>
      </c>
      <c r="U701" s="73" t="n">
        <v>52.5</v>
      </c>
      <c r="W701" s="73" t="n">
        <v>0</v>
      </c>
      <c r="X701" s="72" t="inlineStr">
        <is>
          <t>NF 3477 - DEBORA</t>
        </is>
      </c>
      <c r="Z701" s="59">
        <f>IF($T701="","",IFERROR(INDEX('Resumo Grupos'!$AC$3:$AC$200,MATCH($T701,'Resumo Grupos'!$AB$3:$AB$200,0)),"n/d"))</f>
        <v/>
      </c>
      <c r="AA701" s="59">
        <f>IF($T701="","",IF(COUNTIF('Resumo Grupos'!$AE$3:$AE$40,$T701)&gt;0,"NAO","SIM"))</f>
        <v/>
      </c>
    </row>
    <row r="702" ht="36.75" customHeight="1" s="60">
      <c r="A702" s="70" t="n">
        <v>1</v>
      </c>
      <c r="B702" s="71" t="n">
        <v>46179</v>
      </c>
      <c r="C702" s="71" t="n">
        <v>46203</v>
      </c>
      <c r="D702" s="70" t="n">
        <v>1316</v>
      </c>
      <c r="E702" s="72" t="inlineStr">
        <is>
          <t>VOVO DIZA COMERCIO VAREJISTA DE HORTALICAS LTDA</t>
        </is>
      </c>
      <c r="F702" s="70" t="n">
        <v>34</v>
      </c>
      <c r="G702" s="72" t="inlineStr">
        <is>
          <t>Transferencia Pix</t>
        </is>
      </c>
      <c r="H702" s="70" t="n">
        <v>2110101</v>
      </c>
      <c r="I702" s="72" t="inlineStr">
        <is>
          <t>FORNECEDORES DE MERCADORIA</t>
        </is>
      </c>
      <c r="J702" s="70" t="n">
        <v>1228489</v>
      </c>
      <c r="L702" s="70" t="n">
        <v>3504</v>
      </c>
      <c r="M702" s="72" t="inlineStr">
        <is>
          <t>01</t>
        </is>
      </c>
      <c r="N702" s="72" t="inlineStr">
        <is>
          <t>NFE</t>
        </is>
      </c>
      <c r="P702" s="70" t="n">
        <v>104</v>
      </c>
      <c r="Q702" s="72" t="inlineStr">
        <is>
          <t>DEBORA COSTA</t>
        </is>
      </c>
      <c r="R702" s="72" t="inlineStr">
        <is>
          <t>ESTOQUE DE MERCADORIAS</t>
        </is>
      </c>
      <c r="S702" s="70" t="n">
        <v>1130101</v>
      </c>
      <c r="T702" s="72" t="inlineStr">
        <is>
          <t>MERCADORIAS P/REVENDA</t>
        </is>
      </c>
      <c r="U702" s="73" t="n">
        <v>140</v>
      </c>
      <c r="W702" s="73" t="n">
        <v>0</v>
      </c>
      <c r="X702" s="72" t="inlineStr">
        <is>
          <t>NF 3504 - DEBORA</t>
        </is>
      </c>
      <c r="Z702" s="59">
        <f>IF($T702="","",IFERROR(INDEX('Resumo Grupos'!$AC$3:$AC$200,MATCH($T702,'Resumo Grupos'!$AB$3:$AB$200,0)),"n/d"))</f>
        <v/>
      </c>
      <c r="AA702" s="59">
        <f>IF($T702="","",IF(COUNTIF('Resumo Grupos'!$AE$3:$AE$40,$T702)&gt;0,"NAO","SIM"))</f>
        <v/>
      </c>
    </row>
    <row r="703" ht="36.75" customHeight="1" s="60">
      <c r="A703" s="70" t="n">
        <v>1</v>
      </c>
      <c r="B703" s="71" t="n">
        <v>46181</v>
      </c>
      <c r="C703" s="71" t="n">
        <v>46203</v>
      </c>
      <c r="D703" s="70" t="n">
        <v>1316</v>
      </c>
      <c r="E703" s="72" t="inlineStr">
        <is>
          <t>VOVO DIZA COMERCIO VAREJISTA DE HORTALICAS LTDA</t>
        </is>
      </c>
      <c r="F703" s="70" t="n">
        <v>34</v>
      </c>
      <c r="G703" s="72" t="inlineStr">
        <is>
          <t>Transferencia Pix</t>
        </is>
      </c>
      <c r="H703" s="70" t="n">
        <v>2110101</v>
      </c>
      <c r="I703" s="72" t="inlineStr">
        <is>
          <t>FORNECEDORES DE MERCADORIA</t>
        </is>
      </c>
      <c r="J703" s="70" t="n">
        <v>1230677</v>
      </c>
      <c r="L703" s="70" t="n">
        <v>3515</v>
      </c>
      <c r="M703" s="72" t="inlineStr">
        <is>
          <t>01</t>
        </is>
      </c>
      <c r="N703" s="72" t="inlineStr">
        <is>
          <t>NFE</t>
        </is>
      </c>
      <c r="P703" s="70" t="n">
        <v>104</v>
      </c>
      <c r="Q703" s="72" t="inlineStr">
        <is>
          <t>DEBORA COSTA</t>
        </is>
      </c>
      <c r="R703" s="72" t="inlineStr">
        <is>
          <t>ESTOQUE DE MERCADORIAS</t>
        </is>
      </c>
      <c r="S703" s="70" t="n">
        <v>1130101</v>
      </c>
      <c r="T703" s="72" t="inlineStr">
        <is>
          <t>MERCADORIAS P/REVENDA</t>
        </is>
      </c>
      <c r="U703" s="73" t="n">
        <v>105</v>
      </c>
      <c r="W703" s="73" t="n">
        <v>0</v>
      </c>
      <c r="X703" s="72" t="inlineStr">
        <is>
          <t>NF 3515 - DEBORA</t>
        </is>
      </c>
      <c r="Z703" s="59">
        <f>IF($T703="","",IFERROR(INDEX('Resumo Grupos'!$AC$3:$AC$200,MATCH($T703,'Resumo Grupos'!$AB$3:$AB$200,0)),"n/d"))</f>
        <v/>
      </c>
      <c r="AA703" s="59">
        <f>IF($T703="","",IF(COUNTIF('Resumo Grupos'!$AE$3:$AE$40,$T703)&gt;0,"NAO","SIM"))</f>
        <v/>
      </c>
    </row>
    <row r="704" ht="27.75" customHeight="1" s="60">
      <c r="A704" s="70" t="n">
        <v>1</v>
      </c>
      <c r="B704" s="71" t="n">
        <v>46183</v>
      </c>
      <c r="C704" s="71" t="n">
        <v>46203</v>
      </c>
      <c r="D704" s="70" t="n">
        <v>1402</v>
      </c>
      <c r="E704" s="72" t="inlineStr">
        <is>
          <t>TRIPLASTIK COMERCIAL</t>
        </is>
      </c>
      <c r="F704" s="70" t="n">
        <v>24</v>
      </c>
      <c r="G704" s="72" t="inlineStr">
        <is>
          <t>Compra a Prazo - Boletos</t>
        </is>
      </c>
      <c r="H704" s="70" t="n">
        <v>2110102</v>
      </c>
      <c r="I704" s="72" t="inlineStr">
        <is>
          <t>OUTROS FORNECEDORES</t>
        </is>
      </c>
      <c r="J704" s="70" t="n">
        <v>1231605</v>
      </c>
      <c r="L704" s="70" t="n">
        <v>3245</v>
      </c>
      <c r="M704" s="72" t="inlineStr">
        <is>
          <t>01</t>
        </is>
      </c>
      <c r="N704" s="72" t="inlineStr">
        <is>
          <t>NFE</t>
        </is>
      </c>
      <c r="P704" s="70" t="n">
        <v>103</v>
      </c>
      <c r="Q704" s="72" t="inlineStr">
        <is>
          <t>MILKA FRANCIS</t>
        </is>
      </c>
      <c r="R704" s="72" t="inlineStr">
        <is>
          <t>DESPESAS OPERACIONAIS</t>
        </is>
      </c>
      <c r="S704" s="70" t="n">
        <v>4210204</v>
      </c>
      <c r="T704" s="72" t="inlineStr">
        <is>
          <t>MATERIAL DE CONSUMO</t>
        </is>
      </c>
      <c r="U704" s="73" t="n">
        <v>1524.18</v>
      </c>
      <c r="W704" s="73" t="n">
        <v>0</v>
      </c>
      <c r="X704" s="72" t="inlineStr">
        <is>
          <t>NF 3245 DESPESA LOJA - MILKA</t>
        </is>
      </c>
      <c r="Z704" s="59">
        <f>IF($T704="","",IFERROR(INDEX('Resumo Grupos'!$AC$3:$AC$200,MATCH($T704,'Resumo Grupos'!$AB$3:$AB$200,0)),"n/d"))</f>
        <v/>
      </c>
      <c r="AA704" s="59">
        <f>IF($T704="","",IF(COUNTIF('Resumo Grupos'!$AE$3:$AE$40,$T704)&gt;0,"NAO","SIM"))</f>
        <v/>
      </c>
    </row>
    <row r="705" ht="36.75" customHeight="1" s="60">
      <c r="A705" s="70" t="n">
        <v>1</v>
      </c>
      <c r="B705" s="71" t="n">
        <v>46183</v>
      </c>
      <c r="C705" s="71" t="n">
        <v>46203</v>
      </c>
      <c r="D705" s="70" t="n">
        <v>1697</v>
      </c>
      <c r="E705" s="72" t="inlineStr">
        <is>
          <t>ROCHA E PAIVA LTDA</t>
        </is>
      </c>
      <c r="F705" s="70" t="n">
        <v>24</v>
      </c>
      <c r="G705" s="72" t="inlineStr">
        <is>
          <t>Compra a Prazo - Boletos</t>
        </is>
      </c>
      <c r="H705" s="70" t="n">
        <v>2110102</v>
      </c>
      <c r="I705" s="72" t="inlineStr">
        <is>
          <t>OUTROS FORNECEDORES</t>
        </is>
      </c>
      <c r="J705" s="70" t="n">
        <v>1231622</v>
      </c>
      <c r="L705" s="70" t="n">
        <v>207140</v>
      </c>
      <c r="M705" s="72" t="inlineStr">
        <is>
          <t>02</t>
        </is>
      </c>
      <c r="N705" s="72" t="inlineStr">
        <is>
          <t>NFE</t>
        </is>
      </c>
      <c r="P705" s="70" t="n">
        <v>103</v>
      </c>
      <c r="Q705" s="72" t="inlineStr">
        <is>
          <t>MILKA FRANCIS</t>
        </is>
      </c>
      <c r="R705" s="72" t="inlineStr">
        <is>
          <t>DESPESAS OPERACIONAIS</t>
        </is>
      </c>
      <c r="S705" s="70" t="n">
        <v>4210204</v>
      </c>
      <c r="T705" s="72" t="inlineStr">
        <is>
          <t>MATERIAL DE CONSUMO</t>
        </is>
      </c>
      <c r="U705" s="73" t="n">
        <v>622.46</v>
      </c>
      <c r="W705" s="73" t="n">
        <v>0</v>
      </c>
      <c r="X705" s="72" t="inlineStr">
        <is>
          <t>NF 207140-2 DESPESA - MILKA</t>
        </is>
      </c>
      <c r="Z705" s="59">
        <f>IF($T705="","",IFERROR(INDEX('Resumo Grupos'!$AC$3:$AC$200,MATCH($T705,'Resumo Grupos'!$AB$3:$AB$200,0)),"n/d"))</f>
        <v/>
      </c>
      <c r="AA705" s="59">
        <f>IF($T705="","",IF(COUNTIF('Resumo Grupos'!$AE$3:$AE$40,$T705)&gt;0,"NAO","SIM"))</f>
        <v/>
      </c>
    </row>
    <row r="706" ht="45.75" customHeight="1" s="60">
      <c r="A706" s="70" t="n">
        <v>1</v>
      </c>
      <c r="B706" s="71" t="n">
        <v>46184</v>
      </c>
      <c r="C706" s="71" t="n">
        <v>46203</v>
      </c>
      <c r="D706" s="70" t="n">
        <v>1745</v>
      </c>
      <c r="E706" s="72" t="inlineStr">
        <is>
          <t>TRES CORACOES ALIMENTOS S.A.</t>
        </is>
      </c>
      <c r="F706" s="70" t="n">
        <v>24</v>
      </c>
      <c r="G706" s="72" t="inlineStr">
        <is>
          <t>Compra a Prazo - Boletos</t>
        </is>
      </c>
      <c r="H706" s="70" t="n">
        <v>2110101</v>
      </c>
      <c r="I706" s="72" t="inlineStr">
        <is>
          <t>FORNECEDORES DE MERCADORIA</t>
        </is>
      </c>
      <c r="J706" s="70" t="n">
        <v>1236138</v>
      </c>
      <c r="L706" s="70" t="n">
        <v>346214</v>
      </c>
      <c r="M706" s="72" t="inlineStr">
        <is>
          <t>02</t>
        </is>
      </c>
      <c r="N706" s="72" t="inlineStr">
        <is>
          <t>NFE</t>
        </is>
      </c>
      <c r="P706" s="70" t="n">
        <v>103</v>
      </c>
      <c r="Q706" s="72" t="inlineStr">
        <is>
          <t>MILKA FRANCIS</t>
        </is>
      </c>
      <c r="R706" s="72" t="inlineStr">
        <is>
          <t>ESTOQUE DE MERCADORIAS</t>
        </is>
      </c>
      <c r="S706" s="70" t="n">
        <v>1130101</v>
      </c>
      <c r="T706" s="72" t="inlineStr">
        <is>
          <t>MERCADORIAS P/REVENDA</t>
        </is>
      </c>
      <c r="U706" s="73" t="n">
        <v>1199.99</v>
      </c>
      <c r="W706" s="73" t="n">
        <v>0</v>
      </c>
      <c r="X706" s="72" t="inlineStr">
        <is>
          <t>NF346214 -02 MILKA</t>
        </is>
      </c>
      <c r="Z706" s="59">
        <f>IF($T706="","",IFERROR(INDEX('Resumo Grupos'!$AC$3:$AC$200,MATCH($T706,'Resumo Grupos'!$AB$3:$AB$200,0)),"n/d"))</f>
        <v/>
      </c>
      <c r="AA706" s="59">
        <f>IF($T706="","",IF(COUNTIF('Resumo Grupos'!$AE$3:$AE$40,$T706)&gt;0,"NAO","SIM"))</f>
        <v/>
      </c>
    </row>
    <row r="707" ht="45.75" customHeight="1" s="60">
      <c r="A707" s="70" t="n">
        <v>1</v>
      </c>
      <c r="B707" s="71" t="n">
        <v>46188</v>
      </c>
      <c r="C707" s="71" t="n">
        <v>46203</v>
      </c>
      <c r="D707" s="70" t="n">
        <v>1830</v>
      </c>
      <c r="E707" s="72" t="inlineStr">
        <is>
          <t>NL SERVICOS MEDICOS LTDA</t>
        </is>
      </c>
      <c r="F707" s="70" t="n">
        <v>24</v>
      </c>
      <c r="G707" s="72" t="inlineStr">
        <is>
          <t>Compra a Prazo - Boletos</t>
        </is>
      </c>
      <c r="H707" s="70" t="n">
        <v>2110405</v>
      </c>
      <c r="I707" s="72" t="inlineStr">
        <is>
          <t>CONTAS A PAGAR</t>
        </is>
      </c>
      <c r="J707" s="70" t="n">
        <v>1256567</v>
      </c>
      <c r="L707" s="70" t="n">
        <v>856</v>
      </c>
      <c r="M707" s="72" t="inlineStr">
        <is>
          <t>01</t>
        </is>
      </c>
      <c r="N707" s="72" t="inlineStr">
        <is>
          <t>AVU</t>
        </is>
      </c>
      <c r="P707" s="70" t="n">
        <v>101</v>
      </c>
      <c r="Q707" s="72" t="inlineStr">
        <is>
          <t>KEILA LIMA</t>
        </is>
      </c>
      <c r="R707" s="72" t="inlineStr">
        <is>
          <t>DESPESAS COM PESSOAL</t>
        </is>
      </c>
      <c r="S707" s="70" t="n">
        <v>4210319</v>
      </c>
      <c r="T707" s="72" t="inlineStr">
        <is>
          <t>ASO FUNCIONARIOS</t>
        </is>
      </c>
      <c r="U707" s="73" t="n">
        <v>1248</v>
      </c>
      <c r="W707" s="73" t="n">
        <v>0</v>
      </c>
      <c r="X707" s="72" t="inlineStr">
        <is>
          <t>ASOS FUNC MO1 03/25 A 10/25 - KEILA</t>
        </is>
      </c>
      <c r="Z707" s="59">
        <f>IF($T707="","",IFERROR(INDEX('Resumo Grupos'!$AC$3:$AC$200,MATCH($T707,'Resumo Grupos'!$AB$3:$AB$200,0)),"n/d"))</f>
        <v/>
      </c>
      <c r="AA707" s="59">
        <f>IF($T707="","",IF(COUNTIF('Resumo Grupos'!$AE$3:$AE$40,$T707)&gt;0,"NAO","SIM"))</f>
        <v/>
      </c>
    </row>
    <row r="708" ht="36.75" customHeight="1" s="60">
      <c r="A708" s="70" t="n">
        <v>1</v>
      </c>
      <c r="B708" s="71" t="n">
        <v>46186</v>
      </c>
      <c r="C708" s="71" t="n">
        <v>46203</v>
      </c>
      <c r="D708" s="70" t="n">
        <v>1316</v>
      </c>
      <c r="E708" s="72" t="inlineStr">
        <is>
          <t>VOVO DIZA COMERCIO VAREJISTA DE HORTALICAS LTDA</t>
        </is>
      </c>
      <c r="F708" s="70" t="n">
        <v>34</v>
      </c>
      <c r="G708" s="72" t="inlineStr">
        <is>
          <t>Transferencia Pix</t>
        </is>
      </c>
      <c r="H708" s="70" t="n">
        <v>2110101</v>
      </c>
      <c r="I708" s="72" t="inlineStr">
        <is>
          <t>FORNECEDORES DE MERCADORIA</t>
        </is>
      </c>
      <c r="J708" s="70" t="n">
        <v>1261307</v>
      </c>
      <c r="L708" s="70" t="n">
        <v>3555</v>
      </c>
      <c r="M708" s="72" t="inlineStr">
        <is>
          <t>01</t>
        </is>
      </c>
      <c r="N708" s="72" t="inlineStr">
        <is>
          <t>NFE</t>
        </is>
      </c>
      <c r="P708" s="70" t="n">
        <v>104</v>
      </c>
      <c r="Q708" s="72" t="inlineStr">
        <is>
          <t>DEBORA COSTA</t>
        </is>
      </c>
      <c r="R708" s="72" t="inlineStr">
        <is>
          <t>ESTOQUE DE MERCADORIAS</t>
        </is>
      </c>
      <c r="S708" s="70" t="n">
        <v>1130101</v>
      </c>
      <c r="T708" s="72" t="inlineStr">
        <is>
          <t>MERCADORIAS P/REVENDA</t>
        </is>
      </c>
      <c r="U708" s="73" t="n">
        <v>87.5</v>
      </c>
      <c r="W708" s="73" t="n">
        <v>0</v>
      </c>
      <c r="X708" s="72" t="inlineStr">
        <is>
          <t>NF 3555 - DEBORA</t>
        </is>
      </c>
      <c r="Z708" s="59">
        <f>IF($T708="","",IFERROR(INDEX('Resumo Grupos'!$AC$3:$AC$200,MATCH($T708,'Resumo Grupos'!$AB$3:$AB$200,0)),"n/d"))</f>
        <v/>
      </c>
      <c r="AA708" s="59">
        <f>IF($T708="","",IF(COUNTIF('Resumo Grupos'!$AE$3:$AE$40,$T708)&gt;0,"NAO","SIM"))</f>
        <v/>
      </c>
    </row>
    <row r="709" ht="45.75" customHeight="1" s="60">
      <c r="A709" s="70" t="n">
        <v>1</v>
      </c>
      <c r="B709" s="71" t="n">
        <v>46184</v>
      </c>
      <c r="C709" s="71" t="n">
        <v>46203</v>
      </c>
      <c r="D709" s="70" t="n">
        <v>1316</v>
      </c>
      <c r="E709" s="72" t="inlineStr">
        <is>
          <t>VOVO DIZA COMERCIO VAREJISTA DE HORTALICAS LTDA</t>
        </is>
      </c>
      <c r="F709" s="70" t="n">
        <v>34</v>
      </c>
      <c r="G709" s="72" t="inlineStr">
        <is>
          <t>Transferencia Pix</t>
        </is>
      </c>
      <c r="H709" s="70" t="n">
        <v>2110101</v>
      </c>
      <c r="I709" s="72" t="inlineStr">
        <is>
          <t>FORNECEDORES DE MERCADORIA</t>
        </is>
      </c>
      <c r="J709" s="70" t="n">
        <v>1261327</v>
      </c>
      <c r="L709" s="70" t="n">
        <v>3538</v>
      </c>
      <c r="M709" s="72" t="inlineStr">
        <is>
          <t>01</t>
        </is>
      </c>
      <c r="N709" s="72" t="inlineStr">
        <is>
          <t>NFE</t>
        </is>
      </c>
      <c r="P709" s="70" t="n">
        <v>104</v>
      </c>
      <c r="Q709" s="72" t="inlineStr">
        <is>
          <t>DEBORA COSTA</t>
        </is>
      </c>
      <c r="R709" s="72" t="inlineStr">
        <is>
          <t>ESTOQUE DE MERCADORIAS</t>
        </is>
      </c>
      <c r="S709" s="70" t="n">
        <v>1130101</v>
      </c>
      <c r="T709" s="72" t="inlineStr">
        <is>
          <t>MERCADORIAS P/REVENDA</t>
        </is>
      </c>
      <c r="U709" s="73" t="n">
        <v>105</v>
      </c>
      <c r="W709" s="73" t="n">
        <v>0</v>
      </c>
      <c r="X709" s="72" t="inlineStr">
        <is>
          <t>NF 3538 - DEBORA</t>
        </is>
      </c>
      <c r="Z709" s="59">
        <f>IF($T709="","",IFERROR(INDEX('Resumo Grupos'!$AC$3:$AC$200,MATCH($T709,'Resumo Grupos'!$AB$3:$AB$200,0)),"n/d"))</f>
        <v/>
      </c>
      <c r="AA709" s="59">
        <f>IF($T709="","",IF(COUNTIF('Resumo Grupos'!$AE$3:$AE$40,$T709)&gt;0,"NAO","SIM"))</f>
        <v/>
      </c>
    </row>
    <row r="710" ht="36.75" customHeight="1" s="60">
      <c r="A710" s="70" t="n">
        <v>1</v>
      </c>
      <c r="B710" s="71" t="n">
        <v>46189</v>
      </c>
      <c r="C710" s="71" t="n">
        <v>46203</v>
      </c>
      <c r="D710" s="70" t="n">
        <v>1815</v>
      </c>
      <c r="E710" s="72" t="inlineStr">
        <is>
          <t>J G COMERCIO DE PRODUTOS ALIMENTICIOS LTDA</t>
        </is>
      </c>
      <c r="F710" s="70" t="n">
        <v>24</v>
      </c>
      <c r="G710" s="72" t="inlineStr">
        <is>
          <t>Compra a Prazo - Boletos</t>
        </is>
      </c>
      <c r="H710" s="70" t="n">
        <v>2110101</v>
      </c>
      <c r="I710" s="72" t="inlineStr">
        <is>
          <t>FORNECEDORES DE MERCADORIA</t>
        </is>
      </c>
      <c r="J710" s="70" t="n">
        <v>1262226</v>
      </c>
      <c r="L710" s="70" t="n">
        <v>387396</v>
      </c>
      <c r="M710" s="72" t="inlineStr">
        <is>
          <t>02</t>
        </is>
      </c>
      <c r="N710" s="72" t="inlineStr">
        <is>
          <t>NFE</t>
        </is>
      </c>
      <c r="P710" s="70" t="n">
        <v>103</v>
      </c>
      <c r="Q710" s="72" t="inlineStr">
        <is>
          <t>MILKA FRANCIS</t>
        </is>
      </c>
      <c r="R710" s="72" t="inlineStr">
        <is>
          <t>ESTOQUE DE MERCADORIAS</t>
        </is>
      </c>
      <c r="S710" s="70" t="n">
        <v>1130101</v>
      </c>
      <c r="T710" s="72" t="inlineStr">
        <is>
          <t>MERCADORIAS P/REVENDA</t>
        </is>
      </c>
      <c r="U710" s="73" t="n">
        <v>1107.75</v>
      </c>
      <c r="W710" s="73" t="n">
        <v>0</v>
      </c>
      <c r="X710" s="72" t="inlineStr">
        <is>
          <t>451009-B/C  NF387396 - MILKA</t>
        </is>
      </c>
      <c r="Z710" s="59">
        <f>IF($T710="","",IFERROR(INDEX('Resumo Grupos'!$AC$3:$AC$200,MATCH($T710,'Resumo Grupos'!$AB$3:$AB$200,0)),"n/d"))</f>
        <v/>
      </c>
      <c r="AA710" s="59">
        <f>IF($T710="","",IF(COUNTIF('Resumo Grupos'!$AE$3:$AE$40,$T710)&gt;0,"NAO","SIM"))</f>
        <v/>
      </c>
    </row>
    <row r="711" ht="45.75" customHeight="1" s="60">
      <c r="A711" s="70" t="n">
        <v>1</v>
      </c>
      <c r="B711" s="71" t="n">
        <v>46190</v>
      </c>
      <c r="C711" s="71" t="n">
        <v>46203</v>
      </c>
      <c r="D711" s="70" t="n">
        <v>1749</v>
      </c>
      <c r="E711" s="72" t="inlineStr">
        <is>
          <t>ORIENTE COM. ATACADISTA E REPRES. LTDA</t>
        </is>
      </c>
      <c r="F711" s="70" t="n">
        <v>24</v>
      </c>
      <c r="G711" s="72" t="inlineStr">
        <is>
          <t>Compra a Prazo - Boletos</t>
        </is>
      </c>
      <c r="H711" s="70" t="n">
        <v>2110101</v>
      </c>
      <c r="I711" s="72" t="inlineStr">
        <is>
          <t>FORNECEDORES DE MERCADORIA</t>
        </is>
      </c>
      <c r="J711" s="70" t="n">
        <v>1265754</v>
      </c>
      <c r="L711" s="70" t="n">
        <v>1774</v>
      </c>
      <c r="M711" s="72" t="inlineStr">
        <is>
          <t>01</t>
        </is>
      </c>
      <c r="N711" s="72" t="inlineStr">
        <is>
          <t>NFE</t>
        </is>
      </c>
      <c r="P711" s="70" t="n">
        <v>103</v>
      </c>
      <c r="Q711" s="72" t="inlineStr">
        <is>
          <t>MILKA FRANCIS</t>
        </is>
      </c>
      <c r="R711" s="72" t="inlineStr">
        <is>
          <t>ESTOQUE DE MERCADORIAS</t>
        </is>
      </c>
      <c r="S711" s="70" t="n">
        <v>1130101</v>
      </c>
      <c r="T711" s="72" t="inlineStr">
        <is>
          <t>MERCADORIAS P/REVENDA</t>
        </is>
      </c>
      <c r="U711" s="73" t="n">
        <v>1143.6</v>
      </c>
      <c r="W711" s="73" t="n">
        <v>0</v>
      </c>
      <c r="X711" s="72" t="inlineStr">
        <is>
          <t>2087/1  NF1774 - MILKA</t>
        </is>
      </c>
      <c r="Z711" s="59">
        <f>IF($T711="","",IFERROR(INDEX('Resumo Grupos'!$AC$3:$AC$200,MATCH($T711,'Resumo Grupos'!$AB$3:$AB$200,0)),"n/d"))</f>
        <v/>
      </c>
      <c r="AA711" s="59">
        <f>IF($T711="","",IF(COUNTIF('Resumo Grupos'!$AE$3:$AE$40,$T711)&gt;0,"NAO","SIM"))</f>
        <v/>
      </c>
    </row>
    <row r="712" ht="36.75" customHeight="1" s="60">
      <c r="A712" s="70" t="n">
        <v>1</v>
      </c>
      <c r="B712" s="71" t="n">
        <v>46191</v>
      </c>
      <c r="C712" s="71" t="n">
        <v>46203</v>
      </c>
      <c r="D712" s="70" t="n">
        <v>10009</v>
      </c>
      <c r="E712" s="72" t="inlineStr">
        <is>
          <t>NESTLÉ BRASIL LTDA.</t>
        </is>
      </c>
      <c r="F712" s="70" t="n">
        <v>24</v>
      </c>
      <c r="G712" s="72" t="inlineStr">
        <is>
          <t>Compra a Prazo - Boletos</t>
        </is>
      </c>
      <c r="H712" s="70" t="n">
        <v>2110101</v>
      </c>
      <c r="I712" s="72" t="inlineStr">
        <is>
          <t>FORNECEDORES DE MERCADORIA</t>
        </is>
      </c>
      <c r="J712" s="70" t="n">
        <v>1269997</v>
      </c>
      <c r="L712" s="70" t="n">
        <v>1414551</v>
      </c>
      <c r="M712" s="72" t="inlineStr">
        <is>
          <t>01</t>
        </is>
      </c>
      <c r="N712" s="72" t="inlineStr">
        <is>
          <t>NFE</t>
        </is>
      </c>
      <c r="P712" s="70" t="n">
        <v>103</v>
      </c>
      <c r="Q712" s="72" t="inlineStr">
        <is>
          <t>MILKA FRANCIS</t>
        </is>
      </c>
      <c r="R712" s="72" t="inlineStr">
        <is>
          <t>ESTOQUE DE MERCADORIAS</t>
        </is>
      </c>
      <c r="S712" s="70" t="n">
        <v>1130101</v>
      </c>
      <c r="T712" s="72" t="inlineStr">
        <is>
          <t>MERCADORIAS P/REVENDA</t>
        </is>
      </c>
      <c r="U712" s="73" t="n">
        <v>1464.55</v>
      </c>
      <c r="W712" s="73" t="n">
        <v>0</v>
      </c>
      <c r="X712" s="72" t="inlineStr">
        <is>
          <t>NF 1414551 - MILKA</t>
        </is>
      </c>
      <c r="Z712" s="59">
        <f>IF($T712="","",IFERROR(INDEX('Resumo Grupos'!$AC$3:$AC$200,MATCH($T712,'Resumo Grupos'!$AB$3:$AB$200,0)),"n/d"))</f>
        <v/>
      </c>
      <c r="AA712" s="59">
        <f>IF($T712="","",IF(COUNTIF('Resumo Grupos'!$AE$3:$AE$40,$T712)&gt;0,"NAO","SIM"))</f>
        <v/>
      </c>
    </row>
    <row r="713" ht="54.75" customHeight="1" s="60">
      <c r="A713" s="70" t="n">
        <v>1</v>
      </c>
      <c r="B713" s="71" t="n">
        <v>46195</v>
      </c>
      <c r="C713" s="71" t="n">
        <v>46203</v>
      </c>
      <c r="D713" s="70" t="n">
        <v>1613</v>
      </c>
      <c r="E713" s="72" t="inlineStr">
        <is>
          <t>BRF S A</t>
        </is>
      </c>
      <c r="F713" s="70" t="n">
        <v>24</v>
      </c>
      <c r="G713" s="72" t="inlineStr">
        <is>
          <t>Compra a Prazo - Boletos</t>
        </is>
      </c>
      <c r="H713" s="70" t="n">
        <v>2110101</v>
      </c>
      <c r="I713" s="72" t="inlineStr">
        <is>
          <t>FORNECEDORES DE MERCADORIA</t>
        </is>
      </c>
      <c r="J713" s="70" t="n">
        <v>1290054</v>
      </c>
      <c r="L713" s="70" t="n">
        <v>1598074</v>
      </c>
      <c r="M713" s="72" t="inlineStr">
        <is>
          <t>01</t>
        </is>
      </c>
      <c r="N713" s="72" t="inlineStr">
        <is>
          <t>NFE</t>
        </is>
      </c>
      <c r="P713" s="70" t="n">
        <v>103</v>
      </c>
      <c r="Q713" s="72" t="inlineStr">
        <is>
          <t>MILKA FRANCIS</t>
        </is>
      </c>
      <c r="R713" s="72" t="inlineStr">
        <is>
          <t>ESTOQUE DE MERCADORIAS</t>
        </is>
      </c>
      <c r="S713" s="70" t="n">
        <v>1130101</v>
      </c>
      <c r="T713" s="72" t="inlineStr">
        <is>
          <t>MERCADORIAS P/REVENDA</t>
        </is>
      </c>
      <c r="U713" s="73" t="n">
        <v>2103</v>
      </c>
      <c r="W713" s="73" t="n">
        <v>0</v>
      </c>
      <c r="X713" s="72" t="inlineStr">
        <is>
          <t>NF 1598074-01/02 MILKA</t>
        </is>
      </c>
      <c r="Z713" s="59">
        <f>IF($T713="","",IFERROR(INDEX('Resumo Grupos'!$AC$3:$AC$200,MATCH($T713,'Resumo Grupos'!$AB$3:$AB$200,0)),"n/d"))</f>
        <v/>
      </c>
      <c r="AA713" s="59">
        <f>IF($T713="","",IF(COUNTIF('Resumo Grupos'!$AE$3:$AE$40,$T713)&gt;0,"NAO","SIM"))</f>
        <v/>
      </c>
    </row>
    <row r="714" ht="45.75" customHeight="1" s="60">
      <c r="A714" s="70" t="n">
        <v>1</v>
      </c>
      <c r="B714" s="71" t="n">
        <v>46197</v>
      </c>
      <c r="C714" s="71" t="n">
        <v>46203</v>
      </c>
      <c r="D714" s="70" t="n">
        <v>1807</v>
      </c>
      <c r="E714" s="72" t="inlineStr">
        <is>
          <t>SEFAZ DAR</t>
        </is>
      </c>
      <c r="F714" s="70" t="n">
        <v>24</v>
      </c>
      <c r="G714" s="72" t="inlineStr">
        <is>
          <t>Compra a Prazo - Boletos</t>
        </is>
      </c>
      <c r="H714" s="70" t="n">
        <v>2110405</v>
      </c>
      <c r="I714" s="72" t="inlineStr">
        <is>
          <t>CONTAS A PAGAR</t>
        </is>
      </c>
      <c r="J714" s="70" t="n">
        <v>1299935</v>
      </c>
      <c r="L714" s="70" t="n">
        <v>538243</v>
      </c>
      <c r="M714" s="72" t="inlineStr">
        <is>
          <t>01</t>
        </is>
      </c>
      <c r="N714" s="72" t="inlineStr">
        <is>
          <t>AVU</t>
        </is>
      </c>
      <c r="P714" s="70" t="n">
        <v>101</v>
      </c>
      <c r="Q714" s="72" t="inlineStr">
        <is>
          <t>KEILA LIMA</t>
        </is>
      </c>
      <c r="R714" s="72" t="inlineStr">
        <is>
          <t>IMPOSTOS E CONTRIBUICOES A PAGAR</t>
        </is>
      </c>
      <c r="S714" s="70" t="n">
        <v>2110704</v>
      </c>
      <c r="T714" s="72" t="inlineStr">
        <is>
          <t>IRPJ A PAGAR</t>
        </is>
      </c>
      <c r="U714" s="73" t="n">
        <v>972.76</v>
      </c>
      <c r="W714" s="73" t="n">
        <v>0</v>
      </c>
      <c r="X714" s="72" t="inlineStr">
        <is>
          <t>IRPJ MO1 05/26 - KEILA</t>
        </is>
      </c>
      <c r="Z714" s="59">
        <f>IF($T714="","",IFERROR(INDEX('Resumo Grupos'!$AC$3:$AC$200,MATCH($T714,'Resumo Grupos'!$AB$3:$AB$200,0)),"n/d"))</f>
        <v/>
      </c>
      <c r="AA714" s="59">
        <f>IF($T714="","",IF(COUNTIF('Resumo Grupos'!$AE$3:$AE$40,$T714)&gt;0,"NAO","SIM"))</f>
        <v/>
      </c>
    </row>
    <row r="715" ht="36.75" customHeight="1" s="60">
      <c r="A715" s="70" t="n">
        <v>1</v>
      </c>
      <c r="B715" s="71" t="n">
        <v>46197</v>
      </c>
      <c r="C715" s="71" t="n">
        <v>46203</v>
      </c>
      <c r="D715" s="70" t="n">
        <v>1807</v>
      </c>
      <c r="E715" s="72" t="inlineStr">
        <is>
          <t>SEFAZ DAR</t>
        </is>
      </c>
      <c r="F715" s="70" t="n">
        <v>24</v>
      </c>
      <c r="G715" s="72" t="inlineStr">
        <is>
          <t>Compra a Prazo - Boletos</t>
        </is>
      </c>
      <c r="H715" s="70" t="n">
        <v>2110405</v>
      </c>
      <c r="I715" s="72" t="inlineStr">
        <is>
          <t>CONTAS A PAGAR</t>
        </is>
      </c>
      <c r="J715" s="70" t="n">
        <v>1299945</v>
      </c>
      <c r="L715" s="70" t="n">
        <v>538245</v>
      </c>
      <c r="M715" s="72" t="inlineStr">
        <is>
          <t>01</t>
        </is>
      </c>
      <c r="N715" s="72" t="inlineStr">
        <is>
          <t>AVU</t>
        </is>
      </c>
      <c r="P715" s="70" t="n">
        <v>101</v>
      </c>
      <c r="Q715" s="72" t="inlineStr">
        <is>
          <t>KEILA LIMA</t>
        </is>
      </c>
      <c r="R715" s="72" t="inlineStr">
        <is>
          <t>PROVISAO IRPJ E CSLL</t>
        </is>
      </c>
      <c r="S715" s="70" t="n">
        <v>4310102</v>
      </c>
      <c r="T715" s="72" t="inlineStr">
        <is>
          <t>PROVISAO CSLL</t>
        </is>
      </c>
      <c r="U715" s="73" t="n">
        <v>583.66</v>
      </c>
      <c r="W715" s="73" t="n">
        <v>0</v>
      </c>
      <c r="X715" s="72" t="inlineStr">
        <is>
          <t>CSLL MO1 05/26 - KEILA</t>
        </is>
      </c>
      <c r="Z715" s="59">
        <f>IF($T715="","",IFERROR(INDEX('Resumo Grupos'!$AC$3:$AC$200,MATCH($T715,'Resumo Grupos'!$AB$3:$AB$200,0)),"n/d"))</f>
        <v/>
      </c>
      <c r="AA715" s="59">
        <f>IF($T715="","",IF(COUNTIF('Resumo Grupos'!$AE$3:$AE$40,$T715)&gt;0,"NAO","SIM"))</f>
        <v/>
      </c>
    </row>
    <row r="716" ht="36.75" customHeight="1" s="60">
      <c r="A716" s="70" t="n">
        <v>1</v>
      </c>
      <c r="B716" s="71" t="n">
        <v>46197</v>
      </c>
      <c r="C716" s="71" t="n">
        <v>46203</v>
      </c>
      <c r="D716" s="70" t="n">
        <v>1794</v>
      </c>
      <c r="E716" s="72" t="inlineStr">
        <is>
          <t>SIMPLES NACIONAL</t>
        </is>
      </c>
      <c r="F716" s="70" t="n">
        <v>24</v>
      </c>
      <c r="G716" s="72" t="inlineStr">
        <is>
          <t>Compra a Prazo - Boletos</t>
        </is>
      </c>
      <c r="H716" s="70" t="n">
        <v>2110405</v>
      </c>
      <c r="I716" s="72" t="inlineStr">
        <is>
          <t>CONTAS A PAGAR</t>
        </is>
      </c>
      <c r="J716" s="70" t="n">
        <v>1299960</v>
      </c>
      <c r="L716" s="70" t="n">
        <v>538251</v>
      </c>
      <c r="M716" s="72" t="inlineStr">
        <is>
          <t>01</t>
        </is>
      </c>
      <c r="N716" s="72" t="inlineStr">
        <is>
          <t>AVU</t>
        </is>
      </c>
      <c r="P716" s="70" t="n">
        <v>101</v>
      </c>
      <c r="Q716" s="72" t="inlineStr">
        <is>
          <t>KEILA LIMA</t>
        </is>
      </c>
      <c r="R716" s="72" t="inlineStr">
        <is>
          <t>IMPOSTOS E CONTRIBUICOES A PAGAR</t>
        </is>
      </c>
      <c r="S716" s="70" t="n">
        <v>2110707</v>
      </c>
      <c r="T716" s="72" t="inlineStr">
        <is>
          <t>SIMPLES FEDERAL A PAGAR</t>
        </is>
      </c>
      <c r="U716" s="73" t="n">
        <v>1379.84</v>
      </c>
      <c r="W716" s="73" t="n">
        <v>0</v>
      </c>
      <c r="X716" s="72" t="inlineStr">
        <is>
          <t>PARCELAMENTO SIMPLES MO1 VELHO - KEILA</t>
        </is>
      </c>
      <c r="Z716" s="59">
        <f>IF($T716="","",IFERROR(INDEX('Resumo Grupos'!$AC$3:$AC$200,MATCH($T716,'Resumo Grupos'!$AB$3:$AB$200,0)),"n/d"))</f>
        <v/>
      </c>
      <c r="AA716" s="59">
        <f>IF($T716="","",IF(COUNTIF('Resumo Grupos'!$AE$3:$AE$40,$T716)&gt;0,"NAO","SIM"))</f>
        <v/>
      </c>
    </row>
    <row r="717" ht="36.75" customHeight="1" s="60">
      <c r="A717" s="70" t="n">
        <v>1</v>
      </c>
      <c r="B717" s="71" t="n">
        <v>46197</v>
      </c>
      <c r="C717" s="71" t="n">
        <v>46203</v>
      </c>
      <c r="D717" s="70" t="n">
        <v>754</v>
      </c>
      <c r="E717" s="72" t="inlineStr">
        <is>
          <t>SILVA E SANTOS FRIGORIFICO LTDA</t>
        </is>
      </c>
      <c r="F717" s="70" t="n">
        <v>24</v>
      </c>
      <c r="G717" s="72" t="inlineStr">
        <is>
          <t>Compra a Prazo - Boletos</t>
        </is>
      </c>
      <c r="H717" s="70" t="n">
        <v>2110101</v>
      </c>
      <c r="I717" s="72" t="inlineStr">
        <is>
          <t>FORNECEDORES DE MERCADORIA</t>
        </is>
      </c>
      <c r="J717" s="70" t="n">
        <v>1300974</v>
      </c>
      <c r="L717" s="70" t="n">
        <v>31315</v>
      </c>
      <c r="M717" s="72" t="inlineStr">
        <is>
          <t>01</t>
        </is>
      </c>
      <c r="N717" s="72" t="inlineStr">
        <is>
          <t>NFE</t>
        </is>
      </c>
      <c r="P717" s="70" t="n">
        <v>103</v>
      </c>
      <c r="Q717" s="72" t="inlineStr">
        <is>
          <t>MILKA FRANCIS</t>
        </is>
      </c>
      <c r="R717" s="72" t="inlineStr">
        <is>
          <t>ESTOQUE DE MERCADORIAS</t>
        </is>
      </c>
      <c r="S717" s="70" t="n">
        <v>1130101</v>
      </c>
      <c r="T717" s="72" t="inlineStr">
        <is>
          <t>MERCADORIAS P/REVENDA</t>
        </is>
      </c>
      <c r="U717" s="73" t="n">
        <v>3075</v>
      </c>
      <c r="W717" s="73" t="n">
        <v>0</v>
      </c>
      <c r="X717" s="72" t="inlineStr">
        <is>
          <t>NF31315 - MILKA</t>
        </is>
      </c>
      <c r="Z717" s="59">
        <f>IF($T717="","",IFERROR(INDEX('Resumo Grupos'!$AC$3:$AC$200,MATCH($T717,'Resumo Grupos'!$AB$3:$AB$200,0)),"n/d"))</f>
        <v/>
      </c>
      <c r="AA717" s="59">
        <f>IF($T717="","",IF(COUNTIF('Resumo Grupos'!$AE$3:$AE$40,$T717)&gt;0,"NAO","SIM"))</f>
        <v/>
      </c>
    </row>
    <row r="718" ht="54.75" customHeight="1" s="60">
      <c r="A718" s="70" t="n">
        <v>1</v>
      </c>
      <c r="B718" s="71" t="n">
        <v>46199</v>
      </c>
      <c r="C718" s="71" t="n">
        <v>46203</v>
      </c>
      <c r="D718" s="70" t="n">
        <v>1328</v>
      </c>
      <c r="E718" s="72" t="inlineStr">
        <is>
          <t>NOVA FRIOS COMERCIO ATACADISTA DE LATICINIOS LTDA</t>
        </is>
      </c>
      <c r="F718" s="70" t="n">
        <v>24</v>
      </c>
      <c r="G718" s="72" t="inlineStr">
        <is>
          <t>Compra a Prazo - Boletos</t>
        </is>
      </c>
      <c r="H718" s="70" t="n">
        <v>2110101</v>
      </c>
      <c r="I718" s="72" t="inlineStr">
        <is>
          <t>FORNECEDORES DE MERCADORIA</t>
        </is>
      </c>
      <c r="J718" s="70" t="n">
        <v>1308839</v>
      </c>
      <c r="L718" s="70" t="n">
        <v>3863</v>
      </c>
      <c r="M718" s="72" t="inlineStr">
        <is>
          <t>01</t>
        </is>
      </c>
      <c r="N718" s="72" t="inlineStr">
        <is>
          <t>NFE</t>
        </is>
      </c>
      <c r="P718" s="70" t="n">
        <v>103</v>
      </c>
      <c r="Q718" s="72" t="inlineStr">
        <is>
          <t>MILKA FRANCIS</t>
        </is>
      </c>
      <c r="R718" s="72" t="inlineStr">
        <is>
          <t>ESTOQUE DE MERCADORIAS</t>
        </is>
      </c>
      <c r="S718" s="70" t="n">
        <v>1130101</v>
      </c>
      <c r="T718" s="72" t="inlineStr">
        <is>
          <t>MERCADORIAS P/REVENDA</t>
        </is>
      </c>
      <c r="U718" s="73" t="n">
        <v>241.6</v>
      </c>
      <c r="W718" s="73" t="n">
        <v>0</v>
      </c>
      <c r="X718" s="72" t="inlineStr">
        <is>
          <t>NF 3863 BODEGA DO PAO - MILKA</t>
        </is>
      </c>
      <c r="Z718" s="59">
        <f>IF($T718="","",IFERROR(INDEX('Resumo Grupos'!$AC$3:$AC$200,MATCH($T718,'Resumo Grupos'!$AB$3:$AB$200,0)),"n/d"))</f>
        <v/>
      </c>
      <c r="AA718" s="59">
        <f>IF($T718="","",IF(COUNTIF('Resumo Grupos'!$AE$3:$AE$40,$T718)&gt;0,"NAO","SIM"))</f>
        <v/>
      </c>
    </row>
    <row r="719" ht="45.75" customHeight="1" s="60">
      <c r="A719" s="70" t="n">
        <v>1</v>
      </c>
      <c r="B719" s="71" t="n">
        <v>46199</v>
      </c>
      <c r="C719" s="71" t="n">
        <v>46203</v>
      </c>
      <c r="D719" s="70" t="n">
        <v>1363</v>
      </c>
      <c r="E719" s="72" t="inlineStr">
        <is>
          <t>JAB COMERCIO DE PRODUTOS ALIMENTICIOS LT</t>
        </is>
      </c>
      <c r="F719" s="70" t="n">
        <v>24</v>
      </c>
      <c r="G719" s="72" t="inlineStr">
        <is>
          <t>Compra a Prazo - Boletos</t>
        </is>
      </c>
      <c r="H719" s="70" t="n">
        <v>2110101</v>
      </c>
      <c r="I719" s="72" t="inlineStr">
        <is>
          <t>FORNECEDORES DE MERCADORIA</t>
        </is>
      </c>
      <c r="J719" s="70" t="n">
        <v>1308855</v>
      </c>
      <c r="L719" s="70" t="n">
        <v>3422</v>
      </c>
      <c r="M719" s="72" t="inlineStr">
        <is>
          <t>01</t>
        </is>
      </c>
      <c r="N719" s="72" t="inlineStr">
        <is>
          <t>NFE</t>
        </is>
      </c>
      <c r="P719" s="70" t="n">
        <v>103</v>
      </c>
      <c r="Q719" s="72" t="inlineStr">
        <is>
          <t>MILKA FRANCIS</t>
        </is>
      </c>
      <c r="R719" s="72" t="inlineStr">
        <is>
          <t>ESTOQUE DE MERCADORIAS</t>
        </is>
      </c>
      <c r="S719" s="70" t="n">
        <v>1130101</v>
      </c>
      <c r="T719" s="72" t="inlineStr">
        <is>
          <t>MERCADORIAS P/REVENDA</t>
        </is>
      </c>
      <c r="U719" s="73" t="n">
        <v>405</v>
      </c>
      <c r="W719" s="73" t="n">
        <v>0</v>
      </c>
      <c r="X719" s="72" t="inlineStr">
        <is>
          <t>NF 3422 SANTO PAO - MILKA</t>
        </is>
      </c>
      <c r="Z719" s="59">
        <f>IF($T719="","",IFERROR(INDEX('Resumo Grupos'!$AC$3:$AC$200,MATCH($T719,'Resumo Grupos'!$AB$3:$AB$200,0)),"n/d"))</f>
        <v/>
      </c>
      <c r="AA719" s="59">
        <f>IF($T719="","",IF(COUNTIF('Resumo Grupos'!$AE$3:$AE$40,$T719)&gt;0,"NAO","SIM"))</f>
        <v/>
      </c>
    </row>
    <row r="720" ht="45.75" customHeight="1" s="60">
      <c r="A720" s="70" t="n">
        <v>1</v>
      </c>
      <c r="B720" s="71" t="n">
        <v>46199</v>
      </c>
      <c r="C720" s="71" t="n">
        <v>46203</v>
      </c>
      <c r="D720" s="70" t="n">
        <v>1642</v>
      </c>
      <c r="E720" s="72" t="inlineStr">
        <is>
          <t>BROTHERS  INDUSTRIA DE ALIMENTOS LTDA</t>
        </is>
      </c>
      <c r="F720" s="70" t="n">
        <v>24</v>
      </c>
      <c r="G720" s="72" t="inlineStr">
        <is>
          <t>Compra a Prazo - Boletos</t>
        </is>
      </c>
      <c r="H720" s="70" t="n">
        <v>2110101</v>
      </c>
      <c r="I720" s="72" t="inlineStr">
        <is>
          <t>FORNECEDORES DE MERCADORIA</t>
        </is>
      </c>
      <c r="J720" s="70" t="n">
        <v>1308875</v>
      </c>
      <c r="L720" s="70" t="n">
        <v>1028313</v>
      </c>
      <c r="M720" s="72" t="inlineStr">
        <is>
          <t>01</t>
        </is>
      </c>
      <c r="N720" s="72" t="inlineStr">
        <is>
          <t>NFE</t>
        </is>
      </c>
      <c r="P720" s="70" t="n">
        <v>103</v>
      </c>
      <c r="Q720" s="72" t="inlineStr">
        <is>
          <t>MILKA FRANCIS</t>
        </is>
      </c>
      <c r="R720" s="72" t="inlineStr">
        <is>
          <t>ESTOQUE DE MERCADORIAS</t>
        </is>
      </c>
      <c r="S720" s="70" t="n">
        <v>1130101</v>
      </c>
      <c r="T720" s="72" t="inlineStr">
        <is>
          <t>MERCADORIAS P/REVENDA</t>
        </is>
      </c>
      <c r="U720" s="73" t="n">
        <v>675.17</v>
      </c>
      <c r="W720" s="73" t="n">
        <v>0</v>
      </c>
      <c r="X720" s="72" t="inlineStr">
        <is>
          <t>NF 1028313 - MILKA</t>
        </is>
      </c>
      <c r="Z720" s="59">
        <f>IF($T720="","",IFERROR(INDEX('Resumo Grupos'!$AC$3:$AC$200,MATCH($T720,'Resumo Grupos'!$AB$3:$AB$200,0)),"n/d"))</f>
        <v/>
      </c>
      <c r="AA720" s="59">
        <f>IF($T720="","",IF(COUNTIF('Resumo Grupos'!$AE$3:$AE$40,$T720)&gt;0,"NAO","SIM"))</f>
        <v/>
      </c>
    </row>
    <row r="721" ht="45.75" customHeight="1" s="60">
      <c r="A721" s="70" t="n">
        <v>1</v>
      </c>
      <c r="B721" s="71" t="n">
        <v>46199</v>
      </c>
      <c r="C721" s="71" t="n">
        <v>46203</v>
      </c>
      <c r="D721" s="70" t="n">
        <v>1899</v>
      </c>
      <c r="E721" s="72" t="inlineStr">
        <is>
          <t>PANIFICADORA E CONFEITARIA REAL MADRI LTDA</t>
        </is>
      </c>
      <c r="F721" s="70" t="n">
        <v>24</v>
      </c>
      <c r="G721" s="72" t="inlineStr">
        <is>
          <t>Compra a Prazo - Boletos</t>
        </is>
      </c>
      <c r="H721" s="70" t="n">
        <v>2110101</v>
      </c>
      <c r="I721" s="72" t="inlineStr">
        <is>
          <t>FORNECEDORES DE MERCADORIA</t>
        </is>
      </c>
      <c r="J721" s="70" t="n">
        <v>1308928</v>
      </c>
      <c r="L721" s="70" t="n">
        <v>683</v>
      </c>
      <c r="M721" s="72" t="inlineStr">
        <is>
          <t>01</t>
        </is>
      </c>
      <c r="N721" s="72" t="inlineStr">
        <is>
          <t>NFE</t>
        </is>
      </c>
      <c r="P721" s="70" t="n">
        <v>103</v>
      </c>
      <c r="Q721" s="72" t="inlineStr">
        <is>
          <t>MILKA FRANCIS</t>
        </is>
      </c>
      <c r="R721" s="72" t="inlineStr">
        <is>
          <t>ESTOQUE DE MERCADORIAS</t>
        </is>
      </c>
      <c r="S721" s="70" t="n">
        <v>1130101</v>
      </c>
      <c r="T721" s="72" t="inlineStr">
        <is>
          <t>MERCADORIAS P/REVENDA</t>
        </is>
      </c>
      <c r="U721" s="73" t="n">
        <v>357.1</v>
      </c>
      <c r="W721" s="73" t="n">
        <v>0</v>
      </c>
      <c r="X721" s="72" t="inlineStr">
        <is>
          <t>NF 683 - MILKA</t>
        </is>
      </c>
      <c r="Z721" s="59">
        <f>IF($T721="","",IFERROR(INDEX('Resumo Grupos'!$AC$3:$AC$200,MATCH($T721,'Resumo Grupos'!$AB$3:$AB$200,0)),"n/d"))</f>
        <v/>
      </c>
      <c r="AA721" s="59">
        <f>IF($T721="","",IF(COUNTIF('Resumo Grupos'!$AE$3:$AE$40,$T721)&gt;0,"NAO","SIM"))</f>
        <v/>
      </c>
    </row>
    <row r="722" ht="45.75" customHeight="1" s="60">
      <c r="A722" s="70" t="n">
        <v>1</v>
      </c>
      <c r="B722" s="71" t="n">
        <v>46199</v>
      </c>
      <c r="C722" s="71" t="n">
        <v>46203</v>
      </c>
      <c r="D722" s="70" t="n">
        <v>1819</v>
      </c>
      <c r="E722" s="72" t="inlineStr">
        <is>
          <t>LELE FABRICACAO DE MASSAS LTDA</t>
        </is>
      </c>
      <c r="F722" s="70" t="n">
        <v>24</v>
      </c>
      <c r="G722" s="72" t="inlineStr">
        <is>
          <t>Compra a Prazo - Boletos</t>
        </is>
      </c>
      <c r="H722" s="70" t="n">
        <v>2110101</v>
      </c>
      <c r="I722" s="72" t="inlineStr">
        <is>
          <t>FORNECEDORES DE MERCADORIA</t>
        </is>
      </c>
      <c r="J722" s="70" t="n">
        <v>1308931</v>
      </c>
      <c r="L722" s="70" t="n">
        <v>16177</v>
      </c>
      <c r="M722" s="72" t="inlineStr">
        <is>
          <t>01</t>
        </is>
      </c>
      <c r="N722" s="72" t="inlineStr">
        <is>
          <t>NFE</t>
        </is>
      </c>
      <c r="P722" s="70" t="n">
        <v>103</v>
      </c>
      <c r="Q722" s="72" t="inlineStr">
        <is>
          <t>MILKA FRANCIS</t>
        </is>
      </c>
      <c r="R722" s="72" t="inlineStr">
        <is>
          <t>ESTOQUE DE MERCADORIAS</t>
        </is>
      </c>
      <c r="S722" s="70" t="n">
        <v>1130101</v>
      </c>
      <c r="T722" s="72" t="inlineStr">
        <is>
          <t>MERCADORIAS P/REVENDA</t>
        </is>
      </c>
      <c r="U722" s="73" t="n">
        <v>240</v>
      </c>
      <c r="W722" s="73" t="n">
        <v>0</v>
      </c>
      <c r="X722" s="72" t="inlineStr">
        <is>
          <t>NF 16177 - MILKA</t>
        </is>
      </c>
      <c r="Z722" s="59">
        <f>IF($T722="","",IFERROR(INDEX('Resumo Grupos'!$AC$3:$AC$200,MATCH($T722,'Resumo Grupos'!$AB$3:$AB$200,0)),"n/d"))</f>
        <v/>
      </c>
      <c r="AA722" s="59">
        <f>IF($T722="","",IF(COUNTIF('Resumo Grupos'!$AE$3:$AE$40,$T722)&gt;0,"NAO","SIM"))</f>
        <v/>
      </c>
    </row>
    <row r="723" ht="45.75" customHeight="1" s="60">
      <c r="A723" s="70" t="n">
        <v>1</v>
      </c>
      <c r="B723" s="71" t="n">
        <v>46199</v>
      </c>
      <c r="C723" s="71" t="n">
        <v>46203</v>
      </c>
      <c r="D723" s="70" t="n">
        <v>1286</v>
      </c>
      <c r="E723" s="72" t="inlineStr">
        <is>
          <t>VITAPAN COMERCIO VAREJISTA DE PRODUTOS ALIMENTICIOS LTDA</t>
        </is>
      </c>
      <c r="F723" s="70" t="n">
        <v>24</v>
      </c>
      <c r="G723" s="72" t="inlineStr">
        <is>
          <t>Compra a Prazo - Boletos</t>
        </is>
      </c>
      <c r="H723" s="70" t="n">
        <v>2110101</v>
      </c>
      <c r="I723" s="72" t="inlineStr">
        <is>
          <t>FORNECEDORES DE MERCADORIA</t>
        </is>
      </c>
      <c r="J723" s="70" t="n">
        <v>1308949</v>
      </c>
      <c r="L723" s="70" t="n">
        <v>10158</v>
      </c>
      <c r="M723" s="72" t="inlineStr">
        <is>
          <t>01</t>
        </is>
      </c>
      <c r="N723" s="72" t="inlineStr">
        <is>
          <t>NFE</t>
        </is>
      </c>
      <c r="P723" s="70" t="n">
        <v>103</v>
      </c>
      <c r="Q723" s="72" t="inlineStr">
        <is>
          <t>MILKA FRANCIS</t>
        </is>
      </c>
      <c r="R723" s="72" t="inlineStr">
        <is>
          <t>ESTOQUE DE MERCADORIAS</t>
        </is>
      </c>
      <c r="S723" s="70" t="n">
        <v>1130101</v>
      </c>
      <c r="T723" s="72" t="inlineStr">
        <is>
          <t>MERCADORIAS P/REVENDA</t>
        </is>
      </c>
      <c r="U723" s="73" t="n">
        <v>1026</v>
      </c>
      <c r="W723" s="73" t="n">
        <v>0</v>
      </c>
      <c r="X723" s="72" t="inlineStr">
        <is>
          <t>NF 10158 - MILKA</t>
        </is>
      </c>
      <c r="Z723" s="59">
        <f>IF($T723="","",IFERROR(INDEX('Resumo Grupos'!$AC$3:$AC$200,MATCH($T723,'Resumo Grupos'!$AB$3:$AB$200,0)),"n/d"))</f>
        <v/>
      </c>
      <c r="AA723" s="59">
        <f>IF($T723="","",IF(COUNTIF('Resumo Grupos'!$AE$3:$AE$40,$T723)&gt;0,"NAO","SIM"))</f>
        <v/>
      </c>
    </row>
    <row r="724" ht="63.75" customHeight="1" s="60">
      <c r="A724" s="70" t="n">
        <v>1</v>
      </c>
      <c r="B724" s="71" t="n">
        <v>46198</v>
      </c>
      <c r="C724" s="71" t="n">
        <v>46203</v>
      </c>
      <c r="D724" s="70" t="n">
        <v>1316</v>
      </c>
      <c r="E724" s="72" t="inlineStr">
        <is>
          <t>VOVO DIZA COMERCIO VAREJISTA DE HORTALICAS LTDA</t>
        </is>
      </c>
      <c r="F724" s="70" t="n">
        <v>34</v>
      </c>
      <c r="G724" s="72" t="inlineStr">
        <is>
          <t>Transferencia Pix</t>
        </is>
      </c>
      <c r="H724" s="70" t="n">
        <v>2110101</v>
      </c>
      <c r="I724" s="72" t="inlineStr">
        <is>
          <t>FORNECEDORES DE MERCADORIA</t>
        </is>
      </c>
      <c r="J724" s="70" t="n">
        <v>1309149</v>
      </c>
      <c r="L724" s="70" t="n">
        <v>3650</v>
      </c>
      <c r="M724" s="72" t="inlineStr">
        <is>
          <t>01</t>
        </is>
      </c>
      <c r="N724" s="72" t="inlineStr">
        <is>
          <t>NFE</t>
        </is>
      </c>
      <c r="P724" s="70" t="n">
        <v>104</v>
      </c>
      <c r="Q724" s="72" t="inlineStr">
        <is>
          <t>DEBORA COSTA</t>
        </is>
      </c>
      <c r="R724" s="72" t="inlineStr">
        <is>
          <t>ESTOQUE DE MERCADORIAS</t>
        </is>
      </c>
      <c r="S724" s="70" t="n">
        <v>1130101</v>
      </c>
      <c r="T724" s="72" t="inlineStr">
        <is>
          <t>MERCADORIAS P/REVENDA</t>
        </is>
      </c>
      <c r="U724" s="73" t="n">
        <v>135</v>
      </c>
      <c r="W724" s="73" t="n">
        <v>0</v>
      </c>
      <c r="X724" s="72" t="inlineStr">
        <is>
          <t>NF 3650 - DEBORA</t>
        </is>
      </c>
      <c r="Z724" s="59">
        <f>IF($T724="","",IFERROR(INDEX('Resumo Grupos'!$AC$3:$AC$200,MATCH($T724,'Resumo Grupos'!$AB$3:$AB$200,0)),"n/d"))</f>
        <v/>
      </c>
      <c r="AA724" s="59">
        <f>IF($T724="","",IF(COUNTIF('Resumo Grupos'!$AE$3:$AE$40,$T724)&gt;0,"NAO","SIM"))</f>
        <v/>
      </c>
    </row>
    <row r="725" ht="45.75" customHeight="1" s="60">
      <c r="A725" s="70" t="n">
        <v>1</v>
      </c>
      <c r="B725" s="71" t="n">
        <v>46190</v>
      </c>
      <c r="C725" s="71" t="n">
        <v>46203</v>
      </c>
      <c r="D725" s="70" t="n">
        <v>1316</v>
      </c>
      <c r="E725" s="72" t="inlineStr">
        <is>
          <t>VOVO DIZA COMERCIO VAREJISTA DE HORTALICAS LTDA</t>
        </is>
      </c>
      <c r="F725" s="70" t="n">
        <v>34</v>
      </c>
      <c r="G725" s="72" t="inlineStr">
        <is>
          <t>Transferencia Pix</t>
        </is>
      </c>
      <c r="H725" s="70" t="n">
        <v>2110101</v>
      </c>
      <c r="I725" s="72" t="inlineStr">
        <is>
          <t>FORNECEDORES DE MERCADORIA</t>
        </is>
      </c>
      <c r="J725" s="70" t="n">
        <v>1309173</v>
      </c>
      <c r="L725" s="70" t="n">
        <v>3582</v>
      </c>
      <c r="M725" s="72" t="inlineStr">
        <is>
          <t>01</t>
        </is>
      </c>
      <c r="N725" s="72" t="inlineStr">
        <is>
          <t>NFE</t>
        </is>
      </c>
      <c r="P725" s="70" t="n">
        <v>104</v>
      </c>
      <c r="Q725" s="72" t="inlineStr">
        <is>
          <t>DEBORA COSTA</t>
        </is>
      </c>
      <c r="R725" s="72" t="inlineStr">
        <is>
          <t>ESTOQUE DE MERCADORIAS</t>
        </is>
      </c>
      <c r="S725" s="70" t="n">
        <v>1130101</v>
      </c>
      <c r="T725" s="72" t="inlineStr">
        <is>
          <t>MERCADORIAS P/REVENDA</t>
        </is>
      </c>
      <c r="U725" s="73" t="n">
        <v>90</v>
      </c>
      <c r="W725" s="73" t="n">
        <v>0</v>
      </c>
      <c r="X725" s="72" t="inlineStr">
        <is>
          <t>NF 3582 - DEBORA</t>
        </is>
      </c>
      <c r="Z725" s="59">
        <f>IF($T725="","",IFERROR(INDEX('Resumo Grupos'!$AC$3:$AC$200,MATCH($T725,'Resumo Grupos'!$AB$3:$AB$200,0)),"n/d"))</f>
        <v/>
      </c>
      <c r="AA725" s="59">
        <f>IF($T725="","",IF(COUNTIF('Resumo Grupos'!$AE$3:$AE$40,$T725)&gt;0,"NAO","SIM"))</f>
        <v/>
      </c>
    </row>
    <row r="726" ht="82.5" customHeight="1" s="60">
      <c r="A726" s="70" t="n">
        <v>1</v>
      </c>
      <c r="B726" s="71" t="n">
        <v>46195</v>
      </c>
      <c r="C726" s="71" t="n">
        <v>46203</v>
      </c>
      <c r="D726" s="70" t="n">
        <v>1316</v>
      </c>
      <c r="E726" s="72" t="inlineStr">
        <is>
          <t>VOVO DIZA COMERCIO VAREJISTA DE HORTALICAS LTDA</t>
        </is>
      </c>
      <c r="F726" s="70" t="n">
        <v>34</v>
      </c>
      <c r="G726" s="72" t="inlineStr">
        <is>
          <t>Transferencia Pix</t>
        </is>
      </c>
      <c r="H726" s="70" t="n">
        <v>2110101</v>
      </c>
      <c r="I726" s="72" t="inlineStr">
        <is>
          <t>FORNECEDORES DE MERCADORIA</t>
        </is>
      </c>
      <c r="J726" s="70" t="n">
        <v>1309210</v>
      </c>
      <c r="L726" s="70" t="n">
        <v>3630</v>
      </c>
      <c r="M726" s="72" t="inlineStr">
        <is>
          <t>01</t>
        </is>
      </c>
      <c r="N726" s="72" t="inlineStr">
        <is>
          <t>NFE</t>
        </is>
      </c>
      <c r="P726" s="70" t="n">
        <v>104</v>
      </c>
      <c r="Q726" s="72" t="inlineStr">
        <is>
          <t>DEBORA COSTA</t>
        </is>
      </c>
      <c r="R726" s="72" t="inlineStr">
        <is>
          <t>ESTOQUE DE MERCADORIAS</t>
        </is>
      </c>
      <c r="S726" s="70" t="n">
        <v>1130101</v>
      </c>
      <c r="T726" s="72" t="inlineStr">
        <is>
          <t>MERCADORIAS P/REVENDA</t>
        </is>
      </c>
      <c r="U726" s="73" t="n">
        <v>135</v>
      </c>
      <c r="W726" s="73" t="n">
        <v>0</v>
      </c>
      <c r="X726" s="72" t="inlineStr">
        <is>
          <t>NF 3630 - DEBORA</t>
        </is>
      </c>
      <c r="Z726" s="59">
        <f>IF($T726="","",IFERROR(INDEX('Resumo Grupos'!$AC$3:$AC$200,MATCH($T726,'Resumo Grupos'!$AB$3:$AB$200,0)),"n/d"))</f>
        <v/>
      </c>
      <c r="AA726" s="59">
        <f>IF($T726="","",IF(COUNTIF('Resumo Grupos'!$AE$3:$AE$40,$T726)&gt;0,"NAO","SIM"))</f>
        <v/>
      </c>
    </row>
    <row r="727" ht="36.75" customHeight="1" s="60">
      <c r="A727" s="70" t="n">
        <v>1</v>
      </c>
      <c r="B727" s="71" t="n">
        <v>46199</v>
      </c>
      <c r="C727" s="71" t="n">
        <v>46203</v>
      </c>
      <c r="D727" s="70" t="n">
        <v>359</v>
      </c>
      <c r="E727" s="72" t="inlineStr">
        <is>
          <t>ANA MARIA DE PAULA ROL PADARIA</t>
        </is>
      </c>
      <c r="F727" s="70" t="n">
        <v>34</v>
      </c>
      <c r="G727" s="72" t="inlineStr">
        <is>
          <t>Transferencia Pix</t>
        </is>
      </c>
      <c r="H727" s="70" t="n">
        <v>2110405</v>
      </c>
      <c r="I727" s="72" t="inlineStr">
        <is>
          <t>CONTAS A PAGAR</t>
        </is>
      </c>
      <c r="J727" s="70" t="n">
        <v>1309340</v>
      </c>
      <c r="L727" s="70" t="n">
        <v>20252026</v>
      </c>
      <c r="M727" s="72" t="inlineStr">
        <is>
          <t>01</t>
        </is>
      </c>
      <c r="N727" s="72" t="inlineStr">
        <is>
          <t>AVU</t>
        </is>
      </c>
      <c r="P727" s="70" t="n">
        <v>101</v>
      </c>
      <c r="Q727" s="72" t="inlineStr">
        <is>
          <t>KEILA LIMA</t>
        </is>
      </c>
      <c r="R727" s="72" t="inlineStr">
        <is>
          <t>AJUDA DE CUSTO</t>
        </is>
      </c>
      <c r="S727" s="70" t="n">
        <v>2110503</v>
      </c>
      <c r="T727" s="72" t="inlineStr">
        <is>
          <t>FERIAS A PAGAR</t>
        </is>
      </c>
      <c r="U727" s="73" t="n">
        <v>2343.33</v>
      </c>
      <c r="W727" s="73" t="n">
        <v>0</v>
      </c>
      <c r="X727" s="72" t="inlineStr">
        <is>
          <t>FERIAS 2025/2026 MO1 - KEILA</t>
        </is>
      </c>
      <c r="Z727" s="59">
        <f>IF($T727="","",IFERROR(INDEX('Resumo Grupos'!$AC$3:$AC$200,MATCH($T727,'Resumo Grupos'!$AB$3:$AB$200,0)),"n/d"))</f>
        <v/>
      </c>
      <c r="AA727" s="59">
        <f>IF($T727="","",IF(COUNTIF('Resumo Grupos'!$AE$3:$AE$40,$T727)&gt;0,"NAO","SIM"))</f>
        <v/>
      </c>
    </row>
    <row r="728" ht="36.75" customHeight="1" s="60">
      <c r="A728" s="70" t="n">
        <v>1</v>
      </c>
      <c r="B728" s="71" t="n">
        <v>46199</v>
      </c>
      <c r="C728" s="71" t="n">
        <v>46203</v>
      </c>
      <c r="D728" s="70" t="n">
        <v>10018</v>
      </c>
      <c r="E728" s="72" t="inlineStr">
        <is>
          <t>ADRIANO FEITOSA OLIVEIRA LTDA</t>
        </is>
      </c>
      <c r="F728" s="70" t="n">
        <v>34</v>
      </c>
      <c r="G728" s="72" t="inlineStr">
        <is>
          <t>Transferencia Pix</t>
        </is>
      </c>
      <c r="H728" s="70" t="n">
        <v>2110101</v>
      </c>
      <c r="I728" s="72" t="inlineStr">
        <is>
          <t>FORNECEDORES DE MERCADORIA</t>
        </is>
      </c>
      <c r="J728" s="70" t="n">
        <v>1309485</v>
      </c>
      <c r="L728" s="70" t="n">
        <v>317</v>
      </c>
      <c r="M728" s="72" t="inlineStr">
        <is>
          <t>01</t>
        </is>
      </c>
      <c r="N728" s="72" t="inlineStr">
        <is>
          <t>NFE</t>
        </is>
      </c>
      <c r="P728" s="70" t="n">
        <v>103</v>
      </c>
      <c r="Q728" s="72" t="inlineStr">
        <is>
          <t>MILKA FRANCIS</t>
        </is>
      </c>
      <c r="R728" s="72" t="inlineStr">
        <is>
          <t>ESTOQUE DE MERCADORIAS</t>
        </is>
      </c>
      <c r="S728" s="70" t="n">
        <v>1130101</v>
      </c>
      <c r="T728" s="72" t="inlineStr">
        <is>
          <t>MERCADORIAS P/REVENDA</t>
        </is>
      </c>
      <c r="U728" s="73" t="n">
        <v>899.95</v>
      </c>
      <c r="W728" s="73" t="n">
        <v>0</v>
      </c>
      <c r="X728" s="72" t="inlineStr">
        <is>
          <t>NF 317 - MILKA</t>
        </is>
      </c>
      <c r="Z728" s="59">
        <f>IF($T728="","",IFERROR(INDEX('Resumo Grupos'!$AC$3:$AC$200,MATCH($T728,'Resumo Grupos'!$AB$3:$AB$200,0)),"n/d"))</f>
        <v/>
      </c>
      <c r="AA728" s="59">
        <f>IF($T728="","",IF(COUNTIF('Resumo Grupos'!$AE$3:$AE$40,$T728)&gt;0,"NAO","SIM"))</f>
        <v/>
      </c>
    </row>
    <row r="729" ht="45.75" customHeight="1" s="60">
      <c r="A729" s="70" t="n">
        <v>1</v>
      </c>
      <c r="B729" s="71" t="n">
        <v>46199</v>
      </c>
      <c r="C729" s="71" t="n">
        <v>46203</v>
      </c>
      <c r="D729" s="70" t="n">
        <v>33</v>
      </c>
      <c r="E729" s="72" t="inlineStr">
        <is>
          <t>RENATO DE O AZEVEDO E CIA LTDA - EPP</t>
        </is>
      </c>
      <c r="F729" s="70" t="n">
        <v>34</v>
      </c>
      <c r="G729" s="72" t="inlineStr">
        <is>
          <t>Transferencia Pix</t>
        </is>
      </c>
      <c r="H729" s="70" t="n">
        <v>2110101</v>
      </c>
      <c r="I729" s="72" t="inlineStr">
        <is>
          <t>FORNECEDORES DE MERCADORIA</t>
        </is>
      </c>
      <c r="J729" s="70" t="n">
        <v>1309570</v>
      </c>
      <c r="L729" s="70" t="n">
        <v>5184</v>
      </c>
      <c r="M729" s="72" t="inlineStr">
        <is>
          <t>01</t>
        </is>
      </c>
      <c r="N729" s="72" t="inlineStr">
        <is>
          <t>NFE</t>
        </is>
      </c>
      <c r="P729" s="70" t="n">
        <v>103</v>
      </c>
      <c r="Q729" s="72" t="inlineStr">
        <is>
          <t>MILKA FRANCIS</t>
        </is>
      </c>
      <c r="R729" s="72" t="inlineStr">
        <is>
          <t>ESTOQUE DE MERCADORIAS</t>
        </is>
      </c>
      <c r="S729" s="70" t="n">
        <v>1130101</v>
      </c>
      <c r="T729" s="72" t="inlineStr">
        <is>
          <t>MERCADORIAS P/REVENDA</t>
        </is>
      </c>
      <c r="U729" s="73" t="n">
        <v>1250</v>
      </c>
      <c r="W729" s="73" t="n">
        <v>0</v>
      </c>
      <c r="X729" s="72" t="inlineStr">
        <is>
          <t>NF 230626 FARINHA 3 IRMAOS - MILKA</t>
        </is>
      </c>
      <c r="Z729" s="59">
        <f>IF($T729="","",IFERROR(INDEX('Resumo Grupos'!$AC$3:$AC$200,MATCH($T729,'Resumo Grupos'!$AB$3:$AB$200,0)),"n/d"))</f>
        <v/>
      </c>
      <c r="AA729" s="59">
        <f>IF($T729="","",IF(COUNTIF('Resumo Grupos'!$AE$3:$AE$40,$T729)&gt;0,"NAO","SIM"))</f>
        <v/>
      </c>
    </row>
    <row r="730" ht="54.75" customHeight="1" s="60">
      <c r="A730" s="70" t="n">
        <v>1</v>
      </c>
      <c r="B730" s="71" t="n">
        <v>46190</v>
      </c>
      <c r="C730" s="71" t="n">
        <v>46203</v>
      </c>
      <c r="D730" s="70" t="n">
        <v>1683</v>
      </c>
      <c r="E730" s="72" t="inlineStr">
        <is>
          <t>EDSON AGUIAR DE SOUZA</t>
        </is>
      </c>
      <c r="F730" s="70" t="n">
        <v>34</v>
      </c>
      <c r="G730" s="72" t="inlineStr">
        <is>
          <t>Transferencia Pix</t>
        </is>
      </c>
      <c r="H730" s="70" t="n">
        <v>2110101</v>
      </c>
      <c r="I730" s="72" t="inlineStr">
        <is>
          <t>FORNECEDORES DE MERCADORIA</t>
        </is>
      </c>
      <c r="J730" s="70" t="n">
        <v>1309593</v>
      </c>
      <c r="L730" s="70" t="n">
        <v>1633522</v>
      </c>
      <c r="M730" s="72" t="inlineStr">
        <is>
          <t>01</t>
        </is>
      </c>
      <c r="N730" s="72" t="inlineStr">
        <is>
          <t>NFE</t>
        </is>
      </c>
      <c r="P730" s="70" t="n">
        <v>104</v>
      </c>
      <c r="Q730" s="72" t="inlineStr">
        <is>
          <t>DEBORA COSTA</t>
        </is>
      </c>
      <c r="R730" s="72" t="inlineStr">
        <is>
          <t>ESTOQUE DE MERCADORIAS</t>
        </is>
      </c>
      <c r="S730" s="70" t="n">
        <v>1130101</v>
      </c>
      <c r="T730" s="72" t="inlineStr">
        <is>
          <t>MERCADORIAS P/REVENDA</t>
        </is>
      </c>
      <c r="U730" s="73" t="n">
        <v>276</v>
      </c>
      <c r="W730" s="73" t="n">
        <v>0</v>
      </c>
      <c r="X730" s="72" t="inlineStr">
        <is>
          <t>NF 1633522 - DEBORA</t>
        </is>
      </c>
      <c r="Z730" s="59">
        <f>IF($T730="","",IFERROR(INDEX('Resumo Grupos'!$AC$3:$AC$200,MATCH($T730,'Resumo Grupos'!$AB$3:$AB$200,0)),"n/d"))</f>
        <v/>
      </c>
      <c r="AA730" s="59">
        <f>IF($T730="","",IF(COUNTIF('Resumo Grupos'!$AE$3:$AE$40,$T730)&gt;0,"NAO","SIM"))</f>
        <v/>
      </c>
    </row>
    <row r="731" ht="36.75" customHeight="1" s="60">
      <c r="A731" s="70" t="n">
        <v>1</v>
      </c>
      <c r="B731" s="71" t="n">
        <v>46199</v>
      </c>
      <c r="C731" s="71" t="n">
        <v>46203</v>
      </c>
      <c r="D731" s="70" t="n">
        <v>1316</v>
      </c>
      <c r="E731" s="72" t="inlineStr">
        <is>
          <t>VOVO DIZA COMERCIO VAREJISTA DE HORTALICAS LTDA</t>
        </is>
      </c>
      <c r="F731" s="70" t="n">
        <v>34</v>
      </c>
      <c r="G731" s="72" t="inlineStr">
        <is>
          <t>Transferencia Pix</t>
        </is>
      </c>
      <c r="H731" s="70" t="n">
        <v>2110101</v>
      </c>
      <c r="I731" s="72" t="inlineStr">
        <is>
          <t>FORNECEDORES DE MERCADORIA</t>
        </is>
      </c>
      <c r="J731" s="70" t="n">
        <v>1309780</v>
      </c>
      <c r="L731" s="70" t="n">
        <v>3668</v>
      </c>
      <c r="M731" s="72" t="inlineStr">
        <is>
          <t>01</t>
        </is>
      </c>
      <c r="N731" s="72" t="inlineStr">
        <is>
          <t>NFE</t>
        </is>
      </c>
      <c r="P731" s="70" t="n">
        <v>104</v>
      </c>
      <c r="Q731" s="72" t="inlineStr">
        <is>
          <t>DEBORA COSTA</t>
        </is>
      </c>
      <c r="R731" s="72" t="inlineStr">
        <is>
          <t>ESTOQUE DE MERCADORIAS</t>
        </is>
      </c>
      <c r="S731" s="70" t="n">
        <v>1130101</v>
      </c>
      <c r="T731" s="72" t="inlineStr">
        <is>
          <t>MERCADORIAS P/REVENDA</t>
        </is>
      </c>
      <c r="U731" s="73" t="n">
        <v>90</v>
      </c>
      <c r="W731" s="73" t="n">
        <v>0</v>
      </c>
      <c r="X731" s="72" t="inlineStr">
        <is>
          <t>NF 3668 - DEBORA</t>
        </is>
      </c>
      <c r="Z731" s="59">
        <f>IF($T731="","",IFERROR(INDEX('Resumo Grupos'!$AC$3:$AC$200,MATCH($T731,'Resumo Grupos'!$AB$3:$AB$200,0)),"n/d"))</f>
        <v/>
      </c>
      <c r="AA731" s="59">
        <f>IF($T731="","",IF(COUNTIF('Resumo Grupos'!$AE$3:$AE$40,$T731)&gt;0,"NAO","SIM"))</f>
        <v/>
      </c>
    </row>
    <row r="732" ht="45.75" customHeight="1" s="60">
      <c r="A732" s="70" t="n">
        <v>1</v>
      </c>
      <c r="B732" s="71" t="n">
        <v>46200</v>
      </c>
      <c r="C732" s="71" t="n">
        <v>46203</v>
      </c>
      <c r="D732" s="70" t="n">
        <v>1899</v>
      </c>
      <c r="E732" s="72" t="inlineStr">
        <is>
          <t>PANIFICADORA E CONFEITARIA REAL MADRI LTDA</t>
        </is>
      </c>
      <c r="F732" s="70" t="n">
        <v>24</v>
      </c>
      <c r="G732" s="72" t="inlineStr">
        <is>
          <t>Compra a Prazo - Boletos</t>
        </is>
      </c>
      <c r="H732" s="70" t="n">
        <v>2110101</v>
      </c>
      <c r="I732" s="72" t="inlineStr">
        <is>
          <t>FORNECEDORES DE MERCADORIA</t>
        </is>
      </c>
      <c r="J732" s="70" t="n">
        <v>1312476</v>
      </c>
      <c r="L732" s="70" t="n">
        <v>681</v>
      </c>
      <c r="M732" s="72" t="inlineStr">
        <is>
          <t>01</t>
        </is>
      </c>
      <c r="N732" s="72" t="inlineStr">
        <is>
          <t>NFE</t>
        </is>
      </c>
      <c r="P732" s="70" t="n">
        <v>103</v>
      </c>
      <c r="Q732" s="72" t="inlineStr">
        <is>
          <t>MILKA FRANCIS</t>
        </is>
      </c>
      <c r="R732" s="72" t="inlineStr">
        <is>
          <t>ESTOQUE DE MERCADORIAS</t>
        </is>
      </c>
      <c r="S732" s="70" t="n">
        <v>1130101</v>
      </c>
      <c r="T732" s="72" t="inlineStr">
        <is>
          <t>MERCADORIAS P/REVENDA</t>
        </is>
      </c>
      <c r="U732" s="73" t="n">
        <v>825</v>
      </c>
      <c r="W732" s="73" t="n">
        <v>0</v>
      </c>
      <c r="X732" s="72" t="inlineStr">
        <is>
          <t>NF 681 - MILKA</t>
        </is>
      </c>
      <c r="Z732" s="59">
        <f>IF($T732="","",IFERROR(INDEX('Resumo Grupos'!$AC$3:$AC$200,MATCH($T732,'Resumo Grupos'!$AB$3:$AB$200,0)),"n/d"))</f>
        <v/>
      </c>
      <c r="AA732" s="59">
        <f>IF($T732="","",IF(COUNTIF('Resumo Grupos'!$AE$3:$AE$40,$T732)&gt;0,"NAO","SIM"))</f>
        <v/>
      </c>
    </row>
    <row r="733" ht="45.75" customHeight="1" s="60">
      <c r="A733" s="70" t="n">
        <v>1</v>
      </c>
      <c r="B733" s="71" t="n">
        <v>46199</v>
      </c>
      <c r="C733" s="71" t="n">
        <v>46203</v>
      </c>
      <c r="D733" s="70" t="n">
        <v>1683</v>
      </c>
      <c r="E733" s="72" t="inlineStr">
        <is>
          <t>EDSON AGUIAR DE SOUZA</t>
        </is>
      </c>
      <c r="F733" s="70" t="n">
        <v>34</v>
      </c>
      <c r="G733" s="72" t="inlineStr">
        <is>
          <t>Transferencia Pix</t>
        </is>
      </c>
      <c r="H733" s="70" t="n">
        <v>2110101</v>
      </c>
      <c r="I733" s="72" t="inlineStr">
        <is>
          <t>FORNECEDORES DE MERCADORIA</t>
        </is>
      </c>
      <c r="J733" s="70" t="n">
        <v>1312842</v>
      </c>
      <c r="L733" s="70" t="n">
        <v>1638595</v>
      </c>
      <c r="M733" s="72" t="inlineStr">
        <is>
          <t>01</t>
        </is>
      </c>
      <c r="N733" s="72" t="inlineStr">
        <is>
          <t>NFE</t>
        </is>
      </c>
      <c r="P733" s="70" t="n">
        <v>104</v>
      </c>
      <c r="Q733" s="72" t="inlineStr">
        <is>
          <t>DEBORA COSTA</t>
        </is>
      </c>
      <c r="R733" s="72" t="inlineStr">
        <is>
          <t>ESTOQUE DE MERCADORIAS</t>
        </is>
      </c>
      <c r="S733" s="70" t="n">
        <v>1130101</v>
      </c>
      <c r="T733" s="72" t="inlineStr">
        <is>
          <t>MERCADORIAS P/REVENDA</t>
        </is>
      </c>
      <c r="U733" s="73" t="n">
        <v>180</v>
      </c>
      <c r="W733" s="73" t="n">
        <v>0</v>
      </c>
      <c r="X733" s="72" t="inlineStr">
        <is>
          <t>NF 1638595 - DEBORA</t>
        </is>
      </c>
      <c r="Z733" s="59">
        <f>IF($T733="","",IFERROR(INDEX('Resumo Grupos'!$AC$3:$AC$200,MATCH($T733,'Resumo Grupos'!$AB$3:$AB$200,0)),"n/d"))</f>
        <v/>
      </c>
      <c r="AA733" s="59">
        <f>IF($T733="","",IF(COUNTIF('Resumo Grupos'!$AE$3:$AE$40,$T733)&gt;0,"NAO","SIM"))</f>
        <v/>
      </c>
    </row>
    <row r="734" ht="36.75" customHeight="1" s="60">
      <c r="A734" s="70" t="n">
        <v>1</v>
      </c>
      <c r="B734" s="71" t="n">
        <v>46200</v>
      </c>
      <c r="C734" s="71" t="n">
        <v>46203</v>
      </c>
      <c r="D734" s="70" t="n">
        <v>1683</v>
      </c>
      <c r="E734" s="72" t="inlineStr">
        <is>
          <t>EDSON AGUIAR DE SOUZA</t>
        </is>
      </c>
      <c r="F734" s="70" t="n">
        <v>34</v>
      </c>
      <c r="G734" s="72" t="inlineStr">
        <is>
          <t>Transferencia Pix</t>
        </is>
      </c>
      <c r="H734" s="70" t="n">
        <v>2110101</v>
      </c>
      <c r="I734" s="72" t="inlineStr">
        <is>
          <t>FORNECEDORES DE MERCADORIA</t>
        </is>
      </c>
      <c r="J734" s="70" t="n">
        <v>1312862</v>
      </c>
      <c r="L734" s="70" t="n">
        <v>1638591</v>
      </c>
      <c r="M734" s="72" t="inlineStr">
        <is>
          <t>01</t>
        </is>
      </c>
      <c r="N734" s="72" t="inlineStr">
        <is>
          <t>NFE</t>
        </is>
      </c>
      <c r="P734" s="70" t="n">
        <v>104</v>
      </c>
      <c r="Q734" s="72" t="inlineStr">
        <is>
          <t>DEBORA COSTA</t>
        </is>
      </c>
      <c r="R734" s="72" t="inlineStr">
        <is>
          <t>ESTOQUE DE MERCADORIAS</t>
        </is>
      </c>
      <c r="S734" s="70" t="n">
        <v>1130101</v>
      </c>
      <c r="T734" s="72" t="inlineStr">
        <is>
          <t>MERCADORIAS P/REVENDA</t>
        </is>
      </c>
      <c r="U734" s="73" t="n">
        <v>276</v>
      </c>
      <c r="W734" s="73" t="n">
        <v>0</v>
      </c>
      <c r="X734" s="72" t="inlineStr">
        <is>
          <t>NF 1638591 - DEBORA</t>
        </is>
      </c>
      <c r="Z734" s="59">
        <f>IF($T734="","",IFERROR(INDEX('Resumo Grupos'!$AC$3:$AC$200,MATCH($T734,'Resumo Grupos'!$AB$3:$AB$200,0)),"n/d"))</f>
        <v/>
      </c>
      <c r="AA734" s="59">
        <f>IF($T734="","",IF(COUNTIF('Resumo Grupos'!$AE$3:$AE$40,$T734)&gt;0,"NAO","SIM"))</f>
        <v/>
      </c>
    </row>
    <row r="735" ht="45.75" customHeight="1" s="60">
      <c r="A735" s="70" t="n">
        <v>1</v>
      </c>
      <c r="B735" s="71" t="n">
        <v>46199</v>
      </c>
      <c r="C735" s="71" t="n">
        <v>46203</v>
      </c>
      <c r="D735" s="70" t="n">
        <v>1683</v>
      </c>
      <c r="E735" s="72" t="inlineStr">
        <is>
          <t>EDSON AGUIAR DE SOUZA</t>
        </is>
      </c>
      <c r="F735" s="70" t="n">
        <v>34</v>
      </c>
      <c r="G735" s="72" t="inlineStr">
        <is>
          <t>Transferencia Pix</t>
        </is>
      </c>
      <c r="H735" s="70" t="n">
        <v>2110101</v>
      </c>
      <c r="I735" s="72" t="inlineStr">
        <is>
          <t>FORNECEDORES DE MERCADORIA</t>
        </is>
      </c>
      <c r="J735" s="70" t="n">
        <v>1312884</v>
      </c>
      <c r="L735" s="70" t="n">
        <v>1638586</v>
      </c>
      <c r="M735" s="72" t="inlineStr">
        <is>
          <t>01</t>
        </is>
      </c>
      <c r="N735" s="72" t="inlineStr">
        <is>
          <t>NFE</t>
        </is>
      </c>
      <c r="P735" s="70" t="n">
        <v>104</v>
      </c>
      <c r="Q735" s="72" t="inlineStr">
        <is>
          <t>DEBORA COSTA</t>
        </is>
      </c>
      <c r="R735" s="72" t="inlineStr">
        <is>
          <t>ESTOQUE DE MERCADORIAS</t>
        </is>
      </c>
      <c r="S735" s="70" t="n">
        <v>1130101</v>
      </c>
      <c r="T735" s="72" t="inlineStr">
        <is>
          <t>MERCADORIAS P/REVENDA</t>
        </is>
      </c>
      <c r="U735" s="73" t="n">
        <v>189</v>
      </c>
      <c r="W735" s="73" t="n">
        <v>0</v>
      </c>
      <c r="X735" s="72" t="inlineStr">
        <is>
          <t>NF 1638586 - DEBORA</t>
        </is>
      </c>
      <c r="Z735" s="59">
        <f>IF($T735="","",IFERROR(INDEX('Resumo Grupos'!$AC$3:$AC$200,MATCH($T735,'Resumo Grupos'!$AB$3:$AB$200,0)),"n/d"))</f>
        <v/>
      </c>
      <c r="AA735" s="59">
        <f>IF($T735="","",IF(COUNTIF('Resumo Grupos'!$AE$3:$AE$40,$T735)&gt;0,"NAO","SIM"))</f>
        <v/>
      </c>
    </row>
    <row r="736" ht="36.75" customHeight="1" s="60">
      <c r="A736" s="70" t="n">
        <v>1</v>
      </c>
      <c r="B736" s="71" t="n">
        <v>46199</v>
      </c>
      <c r="C736" s="71" t="n">
        <v>46203</v>
      </c>
      <c r="D736" s="70" t="n">
        <v>1683</v>
      </c>
      <c r="E736" s="72" t="inlineStr">
        <is>
          <t>EDSON AGUIAR DE SOUZA</t>
        </is>
      </c>
      <c r="F736" s="70" t="n">
        <v>34</v>
      </c>
      <c r="G736" s="72" t="inlineStr">
        <is>
          <t>Transferencia Pix</t>
        </is>
      </c>
      <c r="H736" s="70" t="n">
        <v>2110101</v>
      </c>
      <c r="I736" s="72" t="inlineStr">
        <is>
          <t>FORNECEDORES DE MERCADORIA</t>
        </is>
      </c>
      <c r="J736" s="70" t="n">
        <v>1312944</v>
      </c>
      <c r="L736" s="70" t="n">
        <v>1638582</v>
      </c>
      <c r="M736" s="72" t="inlineStr">
        <is>
          <t>01</t>
        </is>
      </c>
      <c r="N736" s="72" t="inlineStr">
        <is>
          <t>NFE</t>
        </is>
      </c>
      <c r="P736" s="70" t="n">
        <v>104</v>
      </c>
      <c r="Q736" s="72" t="inlineStr">
        <is>
          <t>DEBORA COSTA</t>
        </is>
      </c>
      <c r="R736" s="72" t="inlineStr">
        <is>
          <t>ESTOQUE DE MERCADORIAS</t>
        </is>
      </c>
      <c r="S736" s="70" t="n">
        <v>1130101</v>
      </c>
      <c r="T736" s="72" t="inlineStr">
        <is>
          <t>MERCADORIAS P/REVENDA</t>
        </is>
      </c>
      <c r="U736" s="73" t="n">
        <v>246</v>
      </c>
      <c r="W736" s="73" t="n">
        <v>0</v>
      </c>
      <c r="X736" s="72" t="inlineStr">
        <is>
          <t>NF 1638582 - DEBORA</t>
        </is>
      </c>
      <c r="Z736" s="59">
        <f>IF($T736="","",IFERROR(INDEX('Resumo Grupos'!$AC$3:$AC$200,MATCH($T736,'Resumo Grupos'!$AB$3:$AB$200,0)),"n/d"))</f>
        <v/>
      </c>
      <c r="AA736" s="59">
        <f>IF($T736="","",IF(COUNTIF('Resumo Grupos'!$AE$3:$AE$40,$T736)&gt;0,"NAO","SIM"))</f>
        <v/>
      </c>
    </row>
    <row r="737" ht="36.75" customHeight="1" s="60">
      <c r="A737" s="70" t="n">
        <v>1</v>
      </c>
      <c r="B737" s="71" t="n">
        <v>46199</v>
      </c>
      <c r="C737" s="71" t="n">
        <v>46203</v>
      </c>
      <c r="D737" s="70" t="n">
        <v>1683</v>
      </c>
      <c r="E737" s="72" t="inlineStr">
        <is>
          <t>EDSON AGUIAR DE SOUZA</t>
        </is>
      </c>
      <c r="F737" s="70" t="n">
        <v>34</v>
      </c>
      <c r="G737" s="72" t="inlineStr">
        <is>
          <t>Transferencia Pix</t>
        </is>
      </c>
      <c r="H737" s="70" t="n">
        <v>2110101</v>
      </c>
      <c r="I737" s="72" t="inlineStr">
        <is>
          <t>FORNECEDORES DE MERCADORIA</t>
        </is>
      </c>
      <c r="J737" s="70" t="n">
        <v>1312961</v>
      </c>
      <c r="L737" s="70" t="n">
        <v>1638578</v>
      </c>
      <c r="M737" s="72" t="inlineStr">
        <is>
          <t>01</t>
        </is>
      </c>
      <c r="N737" s="72" t="inlineStr">
        <is>
          <t>NFE</t>
        </is>
      </c>
      <c r="P737" s="70" t="n">
        <v>104</v>
      </c>
      <c r="Q737" s="72" t="inlineStr">
        <is>
          <t>DEBORA COSTA</t>
        </is>
      </c>
      <c r="R737" s="72" t="inlineStr">
        <is>
          <t>ESTOQUE DE MERCADORIAS</t>
        </is>
      </c>
      <c r="S737" s="70" t="n">
        <v>1130101</v>
      </c>
      <c r="T737" s="72" t="inlineStr">
        <is>
          <t>MERCADORIAS P/REVENDA</t>
        </is>
      </c>
      <c r="U737" s="73" t="n">
        <v>174</v>
      </c>
      <c r="W737" s="73" t="n">
        <v>0</v>
      </c>
      <c r="X737" s="72" t="inlineStr">
        <is>
          <t>NF 1638578 - DEBORA</t>
        </is>
      </c>
      <c r="Z737" s="59">
        <f>IF($T737="","",IFERROR(INDEX('Resumo Grupos'!$AC$3:$AC$200,MATCH($T737,'Resumo Grupos'!$AB$3:$AB$200,0)),"n/d"))</f>
        <v/>
      </c>
      <c r="AA737" s="59">
        <f>IF($T737="","",IF(COUNTIF('Resumo Grupos'!$AE$3:$AE$40,$T737)&gt;0,"NAO","SIM"))</f>
        <v/>
      </c>
    </row>
    <row r="738" ht="36.75" customHeight="1" s="60">
      <c r="A738" s="70" t="n">
        <v>1</v>
      </c>
      <c r="B738" s="71" t="n">
        <v>46200</v>
      </c>
      <c r="C738" s="71" t="n">
        <v>46203</v>
      </c>
      <c r="D738" s="70" t="n">
        <v>1316</v>
      </c>
      <c r="E738" s="72" t="inlineStr">
        <is>
          <t>VOVO DIZA COMERCIO VAREJISTA DE HORTALICAS LTDA</t>
        </is>
      </c>
      <c r="F738" s="70" t="n">
        <v>34</v>
      </c>
      <c r="G738" s="72" t="inlineStr">
        <is>
          <t>Transferencia Pix</t>
        </is>
      </c>
      <c r="H738" s="70" t="n">
        <v>2110101</v>
      </c>
      <c r="I738" s="72" t="inlineStr">
        <is>
          <t>FORNECEDORES DE MERCADORIA</t>
        </is>
      </c>
      <c r="J738" s="70" t="n">
        <v>1313009</v>
      </c>
      <c r="L738" s="70" t="n">
        <v>3680</v>
      </c>
      <c r="M738" s="72" t="inlineStr">
        <is>
          <t>01</t>
        </is>
      </c>
      <c r="N738" s="72" t="inlineStr">
        <is>
          <t>NFE</t>
        </is>
      </c>
      <c r="P738" s="70" t="n">
        <v>104</v>
      </c>
      <c r="Q738" s="72" t="inlineStr">
        <is>
          <t>DEBORA COSTA</t>
        </is>
      </c>
      <c r="R738" s="72" t="inlineStr">
        <is>
          <t>ESTOQUE DE MERCADORIAS</t>
        </is>
      </c>
      <c r="S738" s="70" t="n">
        <v>1130101</v>
      </c>
      <c r="T738" s="72" t="inlineStr">
        <is>
          <t>MERCADORIAS P/REVENDA</t>
        </is>
      </c>
      <c r="U738" s="73" t="n">
        <v>200</v>
      </c>
      <c r="W738" s="73" t="n">
        <v>0</v>
      </c>
      <c r="X738" s="72" t="inlineStr">
        <is>
          <t>NF 3680 - DEBORA</t>
        </is>
      </c>
      <c r="Z738" s="59">
        <f>IF($T738="","",IFERROR(INDEX('Resumo Grupos'!$AC$3:$AC$200,MATCH($T738,'Resumo Grupos'!$AB$3:$AB$200,0)),"n/d"))</f>
        <v/>
      </c>
      <c r="AA738" s="59">
        <f>IF($T738="","",IF(COUNTIF('Resumo Grupos'!$AE$3:$AE$40,$T738)&gt;0,"NAO","SIM"))</f>
        <v/>
      </c>
    </row>
    <row r="739" ht="54.75" customHeight="1" s="60">
      <c r="A739" s="70" t="n">
        <v>1</v>
      </c>
      <c r="B739" s="71" t="n">
        <v>46202</v>
      </c>
      <c r="C739" s="71" t="n">
        <v>46203</v>
      </c>
      <c r="D739" s="70" t="n">
        <v>642</v>
      </c>
      <c r="E739" s="72" t="inlineStr">
        <is>
          <t>ADICSO FABIAN GONZALEZ MONTILLA 70302186</t>
        </is>
      </c>
      <c r="F739" s="70" t="n">
        <v>24</v>
      </c>
      <c r="G739" s="72" t="inlineStr">
        <is>
          <t>Compra a Prazo - Boletos</t>
        </is>
      </c>
      <c r="H739" s="70" t="n">
        <v>2110101</v>
      </c>
      <c r="I739" s="72" t="inlineStr">
        <is>
          <t>FORNECEDORES DE MERCADORIA</t>
        </is>
      </c>
      <c r="J739" s="70" t="n">
        <v>1321719</v>
      </c>
      <c r="L739" s="70" t="n">
        <v>511</v>
      </c>
      <c r="M739" s="72" t="inlineStr">
        <is>
          <t>01</t>
        </is>
      </c>
      <c r="N739" s="72" t="inlineStr">
        <is>
          <t>NFE</t>
        </is>
      </c>
      <c r="P739" s="70" t="n">
        <v>103</v>
      </c>
      <c r="Q739" s="72" t="inlineStr">
        <is>
          <t>MILKA FRANCIS</t>
        </is>
      </c>
      <c r="R739" s="72" t="inlineStr">
        <is>
          <t>ESTOQUE DE MERCADORIAS</t>
        </is>
      </c>
      <c r="S739" s="70" t="n">
        <v>1130101</v>
      </c>
      <c r="T739" s="72" t="inlineStr">
        <is>
          <t>MERCADORIAS P/REVENDA</t>
        </is>
      </c>
      <c r="U739" s="73" t="n">
        <v>960</v>
      </c>
      <c r="W739" s="73" t="n">
        <v>0</v>
      </c>
      <c r="X739" s="72" t="inlineStr">
        <is>
          <t>NF 511 BLOOM - MILKA</t>
        </is>
      </c>
      <c r="Z739" s="59">
        <f>IF($T739="","",IFERROR(INDEX('Resumo Grupos'!$AC$3:$AC$200,MATCH($T739,'Resumo Grupos'!$AB$3:$AB$200,0)),"n/d"))</f>
        <v/>
      </c>
      <c r="AA739" s="59">
        <f>IF($T739="","",IF(COUNTIF('Resumo Grupos'!$AE$3:$AE$40,$T739)&gt;0,"NAO","SIM"))</f>
        <v/>
      </c>
    </row>
    <row r="740" ht="36.75" customHeight="1" s="60">
      <c r="A740" s="70" t="n">
        <v>1</v>
      </c>
      <c r="B740" s="71" t="n">
        <v>46200</v>
      </c>
      <c r="C740" s="71" t="n">
        <v>46203</v>
      </c>
      <c r="D740" s="70" t="n">
        <v>1683</v>
      </c>
      <c r="E740" s="72" t="inlineStr">
        <is>
          <t>EDSON AGUIAR DE SOUZA</t>
        </is>
      </c>
      <c r="F740" s="70" t="n">
        <v>34</v>
      </c>
      <c r="G740" s="72" t="inlineStr">
        <is>
          <t>Transferencia Pix</t>
        </is>
      </c>
      <c r="H740" s="70" t="n">
        <v>2110101</v>
      </c>
      <c r="I740" s="72" t="inlineStr">
        <is>
          <t>FORNECEDORES DE MERCADORIA</t>
        </is>
      </c>
      <c r="J740" s="70" t="n">
        <v>1321915</v>
      </c>
      <c r="L740" s="70" t="n">
        <v>1638981</v>
      </c>
      <c r="M740" s="72" t="inlineStr">
        <is>
          <t>01</t>
        </is>
      </c>
      <c r="N740" s="72" t="inlineStr">
        <is>
          <t>NFE</t>
        </is>
      </c>
      <c r="P740" s="70" t="n">
        <v>104</v>
      </c>
      <c r="Q740" s="72" t="inlineStr">
        <is>
          <t>DEBORA COSTA</t>
        </is>
      </c>
      <c r="R740" s="72" t="inlineStr">
        <is>
          <t>ESTOQUE DE MERCADORIAS</t>
        </is>
      </c>
      <c r="S740" s="70" t="n">
        <v>1130101</v>
      </c>
      <c r="T740" s="72" t="inlineStr">
        <is>
          <t>MERCADORIAS P/REVENDA</t>
        </is>
      </c>
      <c r="U740" s="73" t="n">
        <v>300</v>
      </c>
      <c r="W740" s="73" t="n">
        <v>0</v>
      </c>
      <c r="X740" s="72" t="inlineStr">
        <is>
          <t>NF 1638981 - DEBORA</t>
        </is>
      </c>
      <c r="Z740" s="59">
        <f>IF($T740="","",IFERROR(INDEX('Resumo Grupos'!$AC$3:$AC$200,MATCH($T740,'Resumo Grupos'!$AB$3:$AB$200,0)),"n/d"))</f>
        <v/>
      </c>
      <c r="AA740" s="59">
        <f>IF($T740="","",IF(COUNTIF('Resumo Grupos'!$AE$3:$AE$40,$T740)&gt;0,"NAO","SIM"))</f>
        <v/>
      </c>
    </row>
    <row r="741" ht="36.75" customHeight="1" s="60">
      <c r="A741" s="70" t="n">
        <v>1</v>
      </c>
      <c r="B741" s="71" t="n">
        <v>46202</v>
      </c>
      <c r="C741" s="71" t="n">
        <v>46203</v>
      </c>
      <c r="D741" s="70" t="n">
        <v>1683</v>
      </c>
      <c r="E741" s="72" t="inlineStr">
        <is>
          <t>EDSON AGUIAR DE SOUZA</t>
        </is>
      </c>
      <c r="F741" s="70" t="n">
        <v>34</v>
      </c>
      <c r="G741" s="72" t="inlineStr">
        <is>
          <t>Transferencia Pix</t>
        </is>
      </c>
      <c r="H741" s="70" t="n">
        <v>2110101</v>
      </c>
      <c r="I741" s="72" t="inlineStr">
        <is>
          <t>FORNECEDORES DE MERCADORIA</t>
        </is>
      </c>
      <c r="J741" s="70" t="n">
        <v>1325564</v>
      </c>
      <c r="L741" s="70" t="n">
        <v>1639492</v>
      </c>
      <c r="M741" s="72" t="inlineStr">
        <is>
          <t>01</t>
        </is>
      </c>
      <c r="N741" s="72" t="inlineStr">
        <is>
          <t>NFE</t>
        </is>
      </c>
      <c r="P741" s="70" t="n">
        <v>104</v>
      </c>
      <c r="Q741" s="72" t="inlineStr">
        <is>
          <t>DEBORA COSTA</t>
        </is>
      </c>
      <c r="R741" s="72" t="inlineStr">
        <is>
          <t>ESTOQUE DE MERCADORIAS</t>
        </is>
      </c>
      <c r="S741" s="70" t="n">
        <v>1130101</v>
      </c>
      <c r="T741" s="72" t="inlineStr">
        <is>
          <t>MERCADORIAS P/REVENDA</t>
        </is>
      </c>
      <c r="U741" s="73" t="n">
        <v>180</v>
      </c>
      <c r="W741" s="73" t="n">
        <v>0</v>
      </c>
      <c r="X741" s="72" t="inlineStr">
        <is>
          <t>NF 1639492 - DEBORA</t>
        </is>
      </c>
      <c r="Z741" s="59">
        <f>IF($T741="","",IFERROR(INDEX('Resumo Grupos'!$AC$3:$AC$200,MATCH($T741,'Resumo Grupos'!$AB$3:$AB$200,0)),"n/d"))</f>
        <v/>
      </c>
      <c r="AA741" s="59">
        <f>IF($T741="","",IF(COUNTIF('Resumo Grupos'!$AE$3:$AE$40,$T741)&gt;0,"NAO","SIM"))</f>
        <v/>
      </c>
    </row>
    <row r="742" ht="36.75" customHeight="1" s="60">
      <c r="A742" s="70" t="n">
        <v>1</v>
      </c>
      <c r="B742" s="71" t="n">
        <v>46203</v>
      </c>
      <c r="C742" s="71" t="n">
        <v>46203</v>
      </c>
      <c r="D742" s="70" t="n">
        <v>33</v>
      </c>
      <c r="E742" s="72" t="inlineStr">
        <is>
          <t>RENATO DE O AZEVEDO E CIA LTDA - EPP</t>
        </is>
      </c>
      <c r="F742" s="70" t="n">
        <v>13</v>
      </c>
      <c r="G742" s="72" t="inlineStr">
        <is>
          <t>Compra a Vista</t>
        </is>
      </c>
      <c r="H742" s="70" t="n">
        <v>2110101</v>
      </c>
      <c r="I742" s="72" t="inlineStr">
        <is>
          <t>FORNECEDORES DE MERCADORIA</t>
        </is>
      </c>
      <c r="J742" s="70" t="n">
        <v>1329372</v>
      </c>
      <c r="L742" s="70" t="n">
        <v>5204</v>
      </c>
      <c r="M742" s="72" t="inlineStr">
        <is>
          <t>01</t>
        </is>
      </c>
      <c r="N742" s="72" t="inlineStr">
        <is>
          <t>NFE</t>
        </is>
      </c>
      <c r="P742" s="70" t="n">
        <v>104</v>
      </c>
      <c r="Q742" s="72" t="inlineStr">
        <is>
          <t>DEBORA COSTA</t>
        </is>
      </c>
      <c r="R742" s="72" t="inlineStr">
        <is>
          <t>ESTOQUE DE MERCADORIAS</t>
        </is>
      </c>
      <c r="S742" s="70" t="n">
        <v>1130101</v>
      </c>
      <c r="T742" s="72" t="inlineStr">
        <is>
          <t>MERCADORIAS P/REVENDA</t>
        </is>
      </c>
      <c r="U742" s="73" t="n">
        <v>280</v>
      </c>
      <c r="W742" s="73" t="n">
        <v>280</v>
      </c>
      <c r="X742" s="72" t="inlineStr">
        <is>
          <t>ACAI DE ANORI - DEBORA</t>
        </is>
      </c>
      <c r="Z742" s="59">
        <f>IF($T742="","",IFERROR(INDEX('Resumo Grupos'!$AC$3:$AC$200,MATCH($T742,'Resumo Grupos'!$AB$3:$AB$200,0)),"n/d"))</f>
        <v/>
      </c>
      <c r="AA742" s="59">
        <f>IF($T742="","",IF(COUNTIF('Resumo Grupos'!$AE$3:$AE$40,$T742)&gt;0,"NAO","SIM"))</f>
        <v/>
      </c>
    </row>
    <row r="743" ht="45.75" customHeight="1" s="60">
      <c r="A743" s="70" t="n">
        <v>1</v>
      </c>
      <c r="B743" s="71" t="n">
        <v>46203</v>
      </c>
      <c r="C743" s="71" t="n">
        <v>46203</v>
      </c>
      <c r="D743" s="70" t="n">
        <v>33</v>
      </c>
      <c r="E743" s="72" t="inlineStr">
        <is>
          <t>RENATO DE O AZEVEDO E CIA LTDA - EPP</t>
        </is>
      </c>
      <c r="F743" s="70" t="n">
        <v>13</v>
      </c>
      <c r="G743" s="72" t="inlineStr">
        <is>
          <t>Compra a Vista</t>
        </is>
      </c>
      <c r="H743" s="70" t="n">
        <v>2110101</v>
      </c>
      <c r="I743" s="72" t="inlineStr">
        <is>
          <t>FORNECEDORES DE MERCADORIA</t>
        </is>
      </c>
      <c r="J743" s="70" t="n">
        <v>1329846</v>
      </c>
      <c r="L743" s="70" t="n">
        <v>5213</v>
      </c>
      <c r="M743" s="72" t="inlineStr">
        <is>
          <t>01</t>
        </is>
      </c>
      <c r="N743" s="72" t="inlineStr">
        <is>
          <t>NFE</t>
        </is>
      </c>
      <c r="P743" s="70" t="n">
        <v>104</v>
      </c>
      <c r="Q743" s="72" t="inlineStr">
        <is>
          <t>DEBORA COSTA</t>
        </is>
      </c>
      <c r="R743" s="72" t="inlineStr">
        <is>
          <t>ESTOQUE DE MERCADORIAS</t>
        </is>
      </c>
      <c r="S743" s="70" t="n">
        <v>1130101</v>
      </c>
      <c r="T743" s="72" t="inlineStr">
        <is>
          <t>MERCADORIAS P/REVENDA</t>
        </is>
      </c>
      <c r="U743" s="73" t="n">
        <v>266</v>
      </c>
      <c r="W743" s="73" t="n">
        <v>266</v>
      </c>
      <c r="X743" s="72" t="inlineStr">
        <is>
          <t>ACAI DE ANORI - DEBORA</t>
        </is>
      </c>
      <c r="Z743" s="59">
        <f>IF($T743="","",IFERROR(INDEX('Resumo Grupos'!$AC$3:$AC$200,MATCH($T743,'Resumo Grupos'!$AB$3:$AB$200,0)),"n/d"))</f>
        <v/>
      </c>
      <c r="AA743" s="59">
        <f>IF($T743="","",IF(COUNTIF('Resumo Grupos'!$AE$3:$AE$40,$T743)&gt;0,"NAO","SIM"))</f>
        <v/>
      </c>
    </row>
    <row r="744" ht="45.75" customHeight="1" s="60">
      <c r="A744" s="70" t="n">
        <v>1</v>
      </c>
      <c r="B744" s="71" t="n">
        <v>46203</v>
      </c>
      <c r="C744" s="71" t="n">
        <v>46203</v>
      </c>
      <c r="D744" s="70" t="n">
        <v>33</v>
      </c>
      <c r="E744" s="72" t="inlineStr">
        <is>
          <t>RENATO DE O AZEVEDO E CIA LTDA - EPP</t>
        </is>
      </c>
      <c r="F744" s="70" t="n">
        <v>13</v>
      </c>
      <c r="G744" s="72" t="inlineStr">
        <is>
          <t>Compra a Vista</t>
        </is>
      </c>
      <c r="H744" s="70" t="n">
        <v>2110101</v>
      </c>
      <c r="I744" s="72" t="inlineStr">
        <is>
          <t>FORNECEDORES DE MERCADORIA</t>
        </is>
      </c>
      <c r="J744" s="70" t="n">
        <v>1330289</v>
      </c>
      <c r="L744" s="70" t="n">
        <v>5215</v>
      </c>
      <c r="M744" s="72" t="inlineStr">
        <is>
          <t>01</t>
        </is>
      </c>
      <c r="N744" s="72" t="inlineStr">
        <is>
          <t>NFE</t>
        </is>
      </c>
      <c r="P744" s="70" t="n">
        <v>104</v>
      </c>
      <c r="Q744" s="72" t="inlineStr">
        <is>
          <t>DEBORA COSTA</t>
        </is>
      </c>
      <c r="R744" s="72" t="inlineStr">
        <is>
          <t>ESTOQUE DE MERCADORIAS</t>
        </is>
      </c>
      <c r="S744" s="70" t="n">
        <v>1130101</v>
      </c>
      <c r="T744" s="72" t="inlineStr">
        <is>
          <t>MERCADORIAS P/REVENDA</t>
        </is>
      </c>
      <c r="U744" s="73" t="n">
        <v>420</v>
      </c>
      <c r="W744" s="73" t="n">
        <v>420</v>
      </c>
      <c r="X744" s="72" t="inlineStr">
        <is>
          <t>ACAI DE ANORI - DEBORA</t>
        </is>
      </c>
      <c r="Z744" s="59">
        <f>IF($T744="","",IFERROR(INDEX('Resumo Grupos'!$AC$3:$AC$200,MATCH($T744,'Resumo Grupos'!$AB$3:$AB$200,0)),"n/d"))</f>
        <v/>
      </c>
      <c r="AA744" s="59">
        <f>IF($T744="","",IF(COUNTIF('Resumo Grupos'!$AE$3:$AE$40,$T744)&gt;0,"NAO","SIM"))</f>
        <v/>
      </c>
    </row>
    <row r="745" ht="45.75" customHeight="1" s="60">
      <c r="A745" s="70" t="n">
        <v>1</v>
      </c>
      <c r="B745" s="71" t="n">
        <v>46203</v>
      </c>
      <c r="C745" s="71" t="n">
        <v>46203</v>
      </c>
      <c r="D745" s="70" t="n">
        <v>33</v>
      </c>
      <c r="E745" s="72" t="inlineStr">
        <is>
          <t>RENATO DE O AZEVEDO E CIA LTDA - EPP</t>
        </is>
      </c>
      <c r="F745" s="70" t="n">
        <v>34</v>
      </c>
      <c r="G745" s="72" t="inlineStr">
        <is>
          <t>Transferencia Pix</t>
        </is>
      </c>
      <c r="H745" s="70" t="n">
        <v>2110101</v>
      </c>
      <c r="I745" s="72" t="inlineStr">
        <is>
          <t>FORNECEDORES DE MERCADORIA</t>
        </is>
      </c>
      <c r="J745" s="70" t="n">
        <v>1330575</v>
      </c>
      <c r="L745" s="70" t="n">
        <v>5219</v>
      </c>
      <c r="M745" s="72" t="inlineStr">
        <is>
          <t>01</t>
        </is>
      </c>
      <c r="N745" s="72" t="inlineStr">
        <is>
          <t>NFE</t>
        </is>
      </c>
      <c r="P745" s="70" t="n">
        <v>104</v>
      </c>
      <c r="Q745" s="72" t="inlineStr">
        <is>
          <t>DEBORA COSTA</t>
        </is>
      </c>
      <c r="R745" s="72" t="inlineStr">
        <is>
          <t>ESTOQUE DE MERCADORIAS</t>
        </is>
      </c>
      <c r="S745" s="70" t="n">
        <v>1130101</v>
      </c>
      <c r="T745" s="72" t="inlineStr">
        <is>
          <t>MERCADORIAS P/REVENDA</t>
        </is>
      </c>
      <c r="U745" s="73" t="n">
        <v>2907.29</v>
      </c>
      <c r="W745" s="73" t="n">
        <v>0</v>
      </c>
      <c r="X745" s="72" t="inlineStr">
        <is>
          <t>ACAI DE ANORI - DEBORA</t>
        </is>
      </c>
      <c r="Z745" s="59">
        <f>IF($T745="","",IFERROR(INDEX('Resumo Grupos'!$AC$3:$AC$200,MATCH($T745,'Resumo Grupos'!$AB$3:$AB$200,0)),"n/d"))</f>
        <v/>
      </c>
      <c r="AA745" s="59">
        <f>IF($T745="","",IF(COUNTIF('Resumo Grupos'!$AE$3:$AE$40,$T745)&gt;0,"NAO","SIM"))</f>
        <v/>
      </c>
    </row>
    <row r="746" ht="45.75" customHeight="1" s="60">
      <c r="A746" s="70" t="n">
        <v>1</v>
      </c>
      <c r="B746" s="71" t="n">
        <v>46203</v>
      </c>
      <c r="C746" s="71" t="n">
        <v>46203</v>
      </c>
      <c r="D746" s="70" t="n">
        <v>1316</v>
      </c>
      <c r="E746" s="72" t="inlineStr">
        <is>
          <t>VOVO DIZA COMERCIO VAREJISTA DE HORTALICAS LTDA</t>
        </is>
      </c>
      <c r="F746" s="70" t="n">
        <v>34</v>
      </c>
      <c r="G746" s="72" t="inlineStr">
        <is>
          <t>Transferencia Pix</t>
        </is>
      </c>
      <c r="H746" s="70" t="n">
        <v>2110101</v>
      </c>
      <c r="I746" s="72" t="inlineStr">
        <is>
          <t>FORNECEDORES DE MERCADORIA</t>
        </is>
      </c>
      <c r="J746" s="70" t="n">
        <v>1331159</v>
      </c>
      <c r="L746" s="70" t="n">
        <v>3700</v>
      </c>
      <c r="M746" s="72" t="inlineStr">
        <is>
          <t>01</t>
        </is>
      </c>
      <c r="N746" s="72" t="inlineStr">
        <is>
          <t>NFE</t>
        </is>
      </c>
      <c r="P746" s="70" t="n">
        <v>104</v>
      </c>
      <c r="Q746" s="72" t="inlineStr">
        <is>
          <t>DEBORA COSTA</t>
        </is>
      </c>
      <c r="R746" s="72" t="inlineStr">
        <is>
          <t>ESTOQUE DE MERCADORIAS</t>
        </is>
      </c>
      <c r="S746" s="70" t="n">
        <v>1130101</v>
      </c>
      <c r="T746" s="72" t="inlineStr">
        <is>
          <t>MERCADORIAS P/REVENDA</t>
        </is>
      </c>
      <c r="U746" s="73" t="n">
        <v>120</v>
      </c>
      <c r="W746" s="73" t="n">
        <v>0</v>
      </c>
      <c r="X746" s="72" t="inlineStr">
        <is>
          <t>NF 3700 - DEBORA</t>
        </is>
      </c>
      <c r="Z746" s="59">
        <f>IF($T746="","",IFERROR(INDEX('Resumo Grupos'!$AC$3:$AC$200,MATCH($T746,'Resumo Grupos'!$AB$3:$AB$200,0)),"n/d"))</f>
        <v/>
      </c>
      <c r="AA746" s="59">
        <f>IF($T746="","",IF(COUNTIF('Resumo Grupos'!$AE$3:$AE$40,$T746)&gt;0,"NAO","SIM"))</f>
        <v/>
      </c>
    </row>
    <row r="747" ht="36.75" customHeight="1" s="60">
      <c r="A747" s="70" t="n">
        <v>1</v>
      </c>
      <c r="B747" s="71" t="n">
        <v>46205</v>
      </c>
      <c r="C747" s="71" t="n">
        <v>46203</v>
      </c>
      <c r="D747" s="70" t="n">
        <v>515</v>
      </c>
      <c r="E747" s="72" t="inlineStr">
        <is>
          <t>ITAU SA</t>
        </is>
      </c>
      <c r="F747" s="70" t="n">
        <v>34</v>
      </c>
      <c r="G747" s="72" t="inlineStr">
        <is>
          <t>Transferencia Pix</t>
        </is>
      </c>
      <c r="H747" s="70" t="n">
        <v>1110202</v>
      </c>
      <c r="I747" s="72" t="inlineStr">
        <is>
          <t>BANCO ITAU Lj 01</t>
        </is>
      </c>
      <c r="J747" s="70" t="n">
        <v>593261</v>
      </c>
      <c r="L747" s="70" t="n">
        <v>264274</v>
      </c>
      <c r="M747" s="72" t="inlineStr">
        <is>
          <t>02</t>
        </is>
      </c>
      <c r="N747" s="72" t="inlineStr">
        <is>
          <t>AVU</t>
        </is>
      </c>
      <c r="P747" s="70" t="n">
        <v>102</v>
      </c>
      <c r="Q747" s="72" t="inlineStr">
        <is>
          <t>ANDREZA ANDRADE</t>
        </is>
      </c>
      <c r="R747" s="72" t="inlineStr">
        <is>
          <t>DESPESAS FINANCEIRAS</t>
        </is>
      </c>
      <c r="S747" s="70" t="n">
        <v>4210508</v>
      </c>
      <c r="T747" s="72" t="inlineStr">
        <is>
          <t>CAPITALIZACAO BANCO</t>
        </is>
      </c>
      <c r="U747" s="73" t="n">
        <v>153.13</v>
      </c>
      <c r="W747" s="73" t="n">
        <v>0</v>
      </c>
      <c r="X747" s="72" t="inlineStr">
        <is>
          <t>CAPITALIZACAO ITAU MO1  59/60-ANDREZA</t>
        </is>
      </c>
      <c r="Z747" s="59">
        <f>IF($T747="","",IFERROR(INDEX('Resumo Grupos'!$AC$3:$AC$200,MATCH($T747,'Resumo Grupos'!$AB$3:$AB$200,0)),"n/d"))</f>
        <v/>
      </c>
      <c r="AA747" s="59">
        <f>IF($T747="","",IF(COUNTIF('Resumo Grupos'!$AE$3:$AE$40,$T747)&gt;0,"NAO","SIM"))</f>
        <v/>
      </c>
    </row>
    <row r="748" ht="36.75" customHeight="1" s="60">
      <c r="A748" s="70" t="n">
        <v>1</v>
      </c>
      <c r="B748" s="71" t="n">
        <v>46203</v>
      </c>
      <c r="C748" s="71" t="n">
        <v>46203</v>
      </c>
      <c r="D748" s="70" t="n">
        <v>1961</v>
      </c>
      <c r="E748" s="72" t="inlineStr">
        <is>
          <t xml:space="preserve">ALMOCO </t>
        </is>
      </c>
      <c r="F748" s="70" t="n">
        <v>34</v>
      </c>
      <c r="G748" s="72" t="inlineStr">
        <is>
          <t>Transferencia Pix</t>
        </is>
      </c>
      <c r="H748" s="70" t="n">
        <v>1110202</v>
      </c>
      <c r="I748" s="72" t="inlineStr">
        <is>
          <t>BANCO ITAU Lj 01</t>
        </is>
      </c>
      <c r="J748" s="70" t="n">
        <v>1341512</v>
      </c>
      <c r="L748" s="70" t="n">
        <v>554231</v>
      </c>
      <c r="M748" s="72" t="inlineStr">
        <is>
          <t>01</t>
        </is>
      </c>
      <c r="N748" s="72" t="inlineStr">
        <is>
          <t>AVU</t>
        </is>
      </c>
      <c r="P748" s="70" t="n">
        <v>102</v>
      </c>
      <c r="Q748" s="72" t="inlineStr">
        <is>
          <t>ANDREZA ANDRADE</t>
        </is>
      </c>
      <c r="R748" s="72" t="inlineStr">
        <is>
          <t>DESPESAS COM PESSOAL</t>
        </is>
      </c>
      <c r="S748" s="70" t="n">
        <v>4210310</v>
      </c>
      <c r="T748" s="72" t="inlineStr">
        <is>
          <t>ALIMENTACAO</t>
        </is>
      </c>
      <c r="U748" s="73" t="n">
        <v>400</v>
      </c>
      <c r="W748" s="73" t="n">
        <v>0</v>
      </c>
      <c r="X748" s="72" t="inlineStr">
        <is>
          <t>ALIMENTAÇAO ALMOÇO 20 FUNC MARMITA  MO1-ANDREZA</t>
        </is>
      </c>
      <c r="Z748" s="59">
        <f>IF($T748="","",IFERROR(INDEX('Resumo Grupos'!$AC$3:$AC$200,MATCH($T748,'Resumo Grupos'!$AB$3:$AB$200,0)),"n/d"))</f>
        <v/>
      </c>
      <c r="AA748" s="59">
        <f>IF($T748="","",IF(COUNTIF('Resumo Grupos'!$AE$3:$AE$40,$T748)&gt;0,"NAO","SIM"))</f>
        <v/>
      </c>
    </row>
    <row r="749" ht="36.75" customHeight="1" s="60">
      <c r="A749" s="70" t="n">
        <v>1</v>
      </c>
      <c r="B749" s="71" t="n">
        <v>46203</v>
      </c>
      <c r="C749" s="71" t="n">
        <v>46203</v>
      </c>
      <c r="D749" s="70" t="n">
        <v>1877</v>
      </c>
      <c r="E749" s="72" t="inlineStr">
        <is>
          <t>REJANIA DE OLIVEIRA AZEVEDO</t>
        </is>
      </c>
      <c r="F749" s="70" t="n">
        <v>34</v>
      </c>
      <c r="G749" s="72" t="inlineStr">
        <is>
          <t>Transferencia Pix</t>
        </is>
      </c>
      <c r="H749" s="70" t="n">
        <v>1110202</v>
      </c>
      <c r="I749" s="72" t="inlineStr">
        <is>
          <t>BANCO ITAU Lj 01</t>
        </is>
      </c>
      <c r="J749" s="70" t="n">
        <v>1341577</v>
      </c>
      <c r="L749" s="70" t="n">
        <v>554254</v>
      </c>
      <c r="M749" s="72" t="inlineStr">
        <is>
          <t>01</t>
        </is>
      </c>
      <c r="N749" s="72" t="inlineStr">
        <is>
          <t>AVU</t>
        </is>
      </c>
      <c r="P749" s="70" t="n">
        <v>102</v>
      </c>
      <c r="Q749" s="72" t="inlineStr">
        <is>
          <t>ANDREZA ANDRADE</t>
        </is>
      </c>
      <c r="R749" s="72" t="inlineStr">
        <is>
          <t>DESPESAS COM PESSOAL</t>
        </is>
      </c>
      <c r="S749" s="70" t="n">
        <v>4210310</v>
      </c>
      <c r="T749" s="72" t="inlineStr">
        <is>
          <t>ALIMENTACAO</t>
        </is>
      </c>
      <c r="U749" s="73" t="n">
        <v>794</v>
      </c>
      <c r="W749" s="73" t="n">
        <v>0</v>
      </c>
      <c r="X749" s="72" t="inlineStr">
        <is>
          <t>DESPESA LOJA ALMOÇO RENATO MO1-ANDREZA</t>
        </is>
      </c>
      <c r="Z749" s="59">
        <f>IF($T749="","",IFERROR(INDEX('Resumo Grupos'!$AC$3:$AC$200,MATCH($T749,'Resumo Grupos'!$AB$3:$AB$200,0)),"n/d"))</f>
        <v/>
      </c>
      <c r="AA749" s="59">
        <f>IF($T749="","",IF(COUNTIF('Resumo Grupos'!$AE$3:$AE$40,$T749)&gt;0,"NAO","SIM"))</f>
        <v/>
      </c>
    </row>
    <row r="750" ht="36.75" customHeight="1" s="60">
      <c r="A750" s="70" t="n">
        <v>1</v>
      </c>
      <c r="B750" s="71" t="n">
        <v>46203</v>
      </c>
      <c r="C750" s="71" t="n">
        <v>46203</v>
      </c>
      <c r="D750" s="70" t="n">
        <v>1037</v>
      </c>
      <c r="E750" s="72" t="inlineStr">
        <is>
          <t>FEIRA</t>
        </is>
      </c>
      <c r="F750" s="70" t="n">
        <v>34</v>
      </c>
      <c r="G750" s="72" t="inlineStr">
        <is>
          <t>Transferencia Pix</t>
        </is>
      </c>
      <c r="H750" s="70" t="n">
        <v>1110202</v>
      </c>
      <c r="I750" s="72" t="inlineStr">
        <is>
          <t>BANCO ITAU Lj 01</t>
        </is>
      </c>
      <c r="J750" s="70" t="n">
        <v>1341604</v>
      </c>
      <c r="L750" s="70" t="n">
        <v>554269</v>
      </c>
      <c r="M750" s="72" t="inlineStr">
        <is>
          <t>01</t>
        </is>
      </c>
      <c r="N750" s="72" t="inlineStr">
        <is>
          <t>AVU</t>
        </is>
      </c>
      <c r="P750" s="70" t="n">
        <v>102</v>
      </c>
      <c r="Q750" s="72" t="inlineStr">
        <is>
          <t>ANDREZA ANDRADE</t>
        </is>
      </c>
      <c r="R750" s="72" t="inlineStr">
        <is>
          <t>DESPESAS NAO OPERACIONAIS</t>
        </is>
      </c>
      <c r="S750" s="70" t="n">
        <v>4220199</v>
      </c>
      <c r="T750" s="72" t="inlineStr">
        <is>
          <t>PAGAMENTOS OUTROS NAO OPERACIONAIS</t>
        </is>
      </c>
      <c r="U750" s="73" t="n">
        <v>3586.11</v>
      </c>
      <c r="W750" s="73" t="n">
        <v>0</v>
      </c>
      <c r="X750" s="72" t="inlineStr">
        <is>
          <t>SR RENATO FEIRA LOJAS -ANDREZA</t>
        </is>
      </c>
      <c r="Z750" s="59">
        <f>IF($T750="","",IFERROR(INDEX('Resumo Grupos'!$AC$3:$AC$200,MATCH($T750,'Resumo Grupos'!$AB$3:$AB$200,0)),"n/d"))</f>
        <v/>
      </c>
      <c r="AA750" s="59">
        <f>IF($T750="","",IF(COUNTIF('Resumo Grupos'!$AE$3:$AE$40,$T750)&gt;0,"NAO","SIM"))</f>
        <v/>
      </c>
    </row>
    <row r="751" ht="36.75" customHeight="1" s="60">
      <c r="A751" s="70" t="n">
        <v>1</v>
      </c>
      <c r="B751" s="71" t="n">
        <v>46196</v>
      </c>
      <c r="C751" s="71" t="n">
        <v>46203</v>
      </c>
      <c r="D751" s="70" t="n">
        <v>1666</v>
      </c>
      <c r="E751" s="72" t="inlineStr">
        <is>
          <t>SOUZA CRUZ LTDA.</t>
        </is>
      </c>
      <c r="F751" s="70" t="n">
        <v>24</v>
      </c>
      <c r="G751" s="72" t="inlineStr">
        <is>
          <t>Compra a Prazo - Boletos</t>
        </is>
      </c>
      <c r="H751" s="70" t="n">
        <v>2110101</v>
      </c>
      <c r="I751" s="72" t="inlineStr">
        <is>
          <t>FORNECEDORES DE MERCADORIA</t>
        </is>
      </c>
      <c r="J751" s="70" t="n">
        <v>1293782</v>
      </c>
      <c r="L751" s="70" t="n">
        <v>564351</v>
      </c>
      <c r="M751" s="72" t="inlineStr">
        <is>
          <t>01</t>
        </is>
      </c>
      <c r="N751" s="72" t="inlineStr">
        <is>
          <t>NFE</t>
        </is>
      </c>
      <c r="P751" s="70" t="n">
        <v>103</v>
      </c>
      <c r="Q751" s="72" t="inlineStr">
        <is>
          <t>MILKA FRANCIS</t>
        </is>
      </c>
      <c r="R751" s="72" t="inlineStr">
        <is>
          <t>ESTOQUE DE MERCADORIAS</t>
        </is>
      </c>
      <c r="S751" s="70" t="n">
        <v>1130101</v>
      </c>
      <c r="T751" s="72" t="inlineStr">
        <is>
          <t>MERCADORIAS P/REVENDA</t>
        </is>
      </c>
      <c r="U751" s="73" t="n">
        <v>7746.67</v>
      </c>
      <c r="W751" s="73" t="n">
        <v>0</v>
      </c>
      <c r="X751" s="72" t="inlineStr">
        <is>
          <t>NF 564351-01 MILKA</t>
        </is>
      </c>
      <c r="Z751" s="59">
        <f>IF($T751="","",IFERROR(INDEX('Resumo Grupos'!$AC$3:$AC$200,MATCH($T751,'Resumo Grupos'!$AB$3:$AB$200,0)),"n/d"))</f>
        <v/>
      </c>
      <c r="AA751" s="59">
        <f>IF($T751="","",IF(COUNTIF('Resumo Grupos'!$AE$3:$AE$40,$T751)&gt;0,"NAO","SIM"))</f>
        <v/>
      </c>
    </row>
    <row r="752" ht="36.75" customHeight="1" s="60">
      <c r="A752" s="70" t="n">
        <v>1</v>
      </c>
      <c r="B752" s="71" t="n">
        <v>46182</v>
      </c>
      <c r="C752" s="71" t="n">
        <v>46204</v>
      </c>
      <c r="D752" s="70" t="n">
        <v>1664</v>
      </c>
      <c r="E752" s="72" t="inlineStr">
        <is>
          <t>AMERICANA DISTRIBUIDORA DE BEBIDAS E MERCADORIAS LTDA</t>
        </is>
      </c>
      <c r="F752" s="70" t="n">
        <v>24</v>
      </c>
      <c r="G752" s="72" t="inlineStr">
        <is>
          <t>Compra a Prazo - Boletos</t>
        </is>
      </c>
      <c r="H752" s="70" t="n">
        <v>2110101</v>
      </c>
      <c r="I752" s="72" t="inlineStr">
        <is>
          <t>FORNECEDORES DE MERCADORIA</t>
        </is>
      </c>
      <c r="J752" s="70" t="n">
        <v>1227598</v>
      </c>
      <c r="L752" s="70" t="n">
        <v>76652</v>
      </c>
      <c r="M752" s="72" t="inlineStr">
        <is>
          <t>01</t>
        </is>
      </c>
      <c r="N752" s="72" t="inlineStr">
        <is>
          <t>NFE</t>
        </is>
      </c>
      <c r="P752" s="70" t="n">
        <v>103</v>
      </c>
      <c r="Q752" s="72" t="inlineStr">
        <is>
          <t>MILKA FRANCIS</t>
        </is>
      </c>
      <c r="R752" s="72" t="inlineStr">
        <is>
          <t>ESTOQUE DE MERCADORIAS</t>
        </is>
      </c>
      <c r="S752" s="70" t="n">
        <v>1130101</v>
      </c>
      <c r="T752" s="72" t="inlineStr">
        <is>
          <t>MERCADORIAS P/REVENDA</t>
        </is>
      </c>
      <c r="U752" s="73" t="n">
        <v>1143.6</v>
      </c>
      <c r="W752" s="73" t="n">
        <v>0</v>
      </c>
      <c r="X752" s="72" t="inlineStr">
        <is>
          <t>NF 76652 - MILKA</t>
        </is>
      </c>
      <c r="Z752" s="59">
        <f>IF($T752="","",IFERROR(INDEX('Resumo Grupos'!$AC$3:$AC$200,MATCH($T752,'Resumo Grupos'!$AB$3:$AB$200,0)),"n/d"))</f>
        <v/>
      </c>
      <c r="AA752" s="59">
        <f>IF($T752="","",IF(COUNTIF('Resumo Grupos'!$AE$3:$AE$40,$T752)&gt;0,"NAO","SIM"))</f>
        <v/>
      </c>
    </row>
    <row r="753" ht="36.75" customHeight="1" s="60">
      <c r="A753" s="70" t="n">
        <v>1</v>
      </c>
      <c r="B753" s="71" t="n">
        <v>46184</v>
      </c>
      <c r="C753" s="71" t="n">
        <v>46204</v>
      </c>
      <c r="D753" s="70" t="n">
        <v>1612</v>
      </c>
      <c r="E753" s="72" t="inlineStr">
        <is>
          <t>EMPRESA BRASILEIRA DE DISTRIBUICAO LTDA</t>
        </is>
      </c>
      <c r="F753" s="70" t="n">
        <v>24</v>
      </c>
      <c r="G753" s="72" t="inlineStr">
        <is>
          <t>Compra a Prazo - Boletos</t>
        </is>
      </c>
      <c r="H753" s="70" t="n">
        <v>2110101</v>
      </c>
      <c r="I753" s="72" t="inlineStr">
        <is>
          <t>FORNECEDORES DE MERCADORIA</t>
        </is>
      </c>
      <c r="J753" s="70" t="n">
        <v>1235909</v>
      </c>
      <c r="L753" s="70" t="n">
        <v>2291498</v>
      </c>
      <c r="M753" s="72" t="inlineStr">
        <is>
          <t>02</t>
        </is>
      </c>
      <c r="N753" s="72" t="inlineStr">
        <is>
          <t>NFE</t>
        </is>
      </c>
      <c r="P753" s="70" t="n">
        <v>103</v>
      </c>
      <c r="Q753" s="72" t="inlineStr">
        <is>
          <t>MILKA FRANCIS</t>
        </is>
      </c>
      <c r="R753" s="72" t="inlineStr">
        <is>
          <t>ESTOQUE DE MERCADORIAS</t>
        </is>
      </c>
      <c r="S753" s="70" t="n">
        <v>1130101</v>
      </c>
      <c r="T753" s="72" t="inlineStr">
        <is>
          <t>MERCADORIAS P/REVENDA</t>
        </is>
      </c>
      <c r="U753" s="73" t="n">
        <v>786.1</v>
      </c>
      <c r="W753" s="73" t="n">
        <v>0</v>
      </c>
      <c r="X753" s="72" t="inlineStr">
        <is>
          <t>NF 2291498-2 MILKA</t>
        </is>
      </c>
      <c r="Z753" s="59">
        <f>IF($T753="","",IFERROR(INDEX('Resumo Grupos'!$AC$3:$AC$200,MATCH($T753,'Resumo Grupos'!$AB$3:$AB$200,0)),"n/d"))</f>
        <v/>
      </c>
      <c r="AA753" s="59">
        <f>IF($T753="","",IF(COUNTIF('Resumo Grupos'!$AE$3:$AE$40,$T753)&gt;0,"NAO","SIM"))</f>
        <v/>
      </c>
    </row>
    <row r="754" ht="36.75" customHeight="1" s="60">
      <c r="A754" s="70" t="n">
        <v>1</v>
      </c>
      <c r="B754" s="71" t="n">
        <v>46188</v>
      </c>
      <c r="C754" s="71" t="n">
        <v>46204</v>
      </c>
      <c r="D754" s="70" t="n">
        <v>1637</v>
      </c>
      <c r="E754" s="72" t="inlineStr">
        <is>
          <t>ATACADAO S.A.</t>
        </is>
      </c>
      <c r="F754" s="70" t="n">
        <v>24</v>
      </c>
      <c r="G754" s="72" t="inlineStr">
        <is>
          <t>Compra a Prazo - Boletos</t>
        </is>
      </c>
      <c r="H754" s="70" t="n">
        <v>2110101</v>
      </c>
      <c r="I754" s="72" t="inlineStr">
        <is>
          <t>FORNECEDORES DE MERCADORIA</t>
        </is>
      </c>
      <c r="J754" s="70" t="n">
        <v>1255915</v>
      </c>
      <c r="L754" s="70" t="n">
        <v>1890181</v>
      </c>
      <c r="M754" s="72" t="inlineStr">
        <is>
          <t>01</t>
        </is>
      </c>
      <c r="N754" s="72" t="inlineStr">
        <is>
          <t>NFE</t>
        </is>
      </c>
      <c r="P754" s="70" t="n">
        <v>103</v>
      </c>
      <c r="Q754" s="72" t="inlineStr">
        <is>
          <t>MILKA FRANCIS</t>
        </is>
      </c>
      <c r="R754" s="72" t="inlineStr">
        <is>
          <t>ESTOQUE DE MERCADORIAS</t>
        </is>
      </c>
      <c r="S754" s="70" t="n">
        <v>1130101</v>
      </c>
      <c r="T754" s="72" t="inlineStr">
        <is>
          <t>MERCADORIAS P/REVENDA</t>
        </is>
      </c>
      <c r="U754" s="73" t="n">
        <v>1759.06</v>
      </c>
      <c r="W754" s="73" t="n">
        <v>0</v>
      </c>
      <c r="X754" s="72" t="inlineStr">
        <is>
          <t>NF 1890181 - MILKA</t>
        </is>
      </c>
      <c r="Z754" s="59">
        <f>IF($T754="","",IFERROR(INDEX('Resumo Grupos'!$AC$3:$AC$200,MATCH($T754,'Resumo Grupos'!$AB$3:$AB$200,0)),"n/d"))</f>
        <v/>
      </c>
      <c r="AA754" s="59">
        <f>IF($T754="","",IF(COUNTIF('Resumo Grupos'!$AE$3:$AE$40,$T754)&gt;0,"NAO","SIM"))</f>
        <v/>
      </c>
    </row>
    <row r="755" ht="45.75" customHeight="1" s="60">
      <c r="A755" s="70" t="n">
        <v>1</v>
      </c>
      <c r="B755" s="71" t="n">
        <v>46188</v>
      </c>
      <c r="C755" s="71" t="n">
        <v>46204</v>
      </c>
      <c r="D755" s="70" t="n">
        <v>1668</v>
      </c>
      <c r="E755" s="72" t="inlineStr">
        <is>
          <t>NATUREZA COMERCIO DE DESCARTAVEIS LTDA</t>
        </is>
      </c>
      <c r="F755" s="70" t="n">
        <v>24</v>
      </c>
      <c r="G755" s="72" t="inlineStr">
        <is>
          <t>Compra a Prazo - Boletos</t>
        </is>
      </c>
      <c r="H755" s="70" t="n">
        <v>2110101</v>
      </c>
      <c r="I755" s="72" t="inlineStr">
        <is>
          <t>FORNECEDORES DE MERCADORIA</t>
        </is>
      </c>
      <c r="J755" s="70" t="n">
        <v>1256293</v>
      </c>
      <c r="L755" s="70" t="n">
        <v>727418</v>
      </c>
      <c r="M755" s="72" t="inlineStr">
        <is>
          <t>01</t>
        </is>
      </c>
      <c r="N755" s="72" t="inlineStr">
        <is>
          <t>NFE</t>
        </is>
      </c>
      <c r="P755" s="70" t="n">
        <v>103</v>
      </c>
      <c r="Q755" s="72" t="inlineStr">
        <is>
          <t>MILKA FRANCIS</t>
        </is>
      </c>
      <c r="R755" s="72" t="inlineStr">
        <is>
          <t>ESTOQUE DE MERCADORIAS</t>
        </is>
      </c>
      <c r="S755" s="70" t="n">
        <v>1130101</v>
      </c>
      <c r="T755" s="72" t="inlineStr">
        <is>
          <t>MERCADORIAS P/REVENDA</t>
        </is>
      </c>
      <c r="U755" s="73" t="n">
        <v>1177.6</v>
      </c>
      <c r="W755" s="73" t="n">
        <v>0</v>
      </c>
      <c r="X755" s="72" t="inlineStr">
        <is>
          <t>NF 727418 -01 MILKA</t>
        </is>
      </c>
      <c r="Z755" s="59">
        <f>IF($T755="","",IFERROR(INDEX('Resumo Grupos'!$AC$3:$AC$200,MATCH($T755,'Resumo Grupos'!$AB$3:$AB$200,0)),"n/d"))</f>
        <v/>
      </c>
      <c r="AA755" s="59">
        <f>IF($T755="","",IF(COUNTIF('Resumo Grupos'!$AE$3:$AE$40,$T755)&gt;0,"NAO","SIM"))</f>
        <v/>
      </c>
    </row>
    <row r="756" ht="36.75" customHeight="1" s="60">
      <c r="A756" s="70" t="n">
        <v>1</v>
      </c>
      <c r="B756" s="71" t="n">
        <v>46189</v>
      </c>
      <c r="C756" s="71" t="n">
        <v>46204</v>
      </c>
      <c r="D756" s="70" t="n">
        <v>1613</v>
      </c>
      <c r="E756" s="72" t="inlineStr">
        <is>
          <t>BRF S A</t>
        </is>
      </c>
      <c r="F756" s="70" t="n">
        <v>24</v>
      </c>
      <c r="G756" s="72" t="inlineStr">
        <is>
          <t>Compra a Prazo - Boletos</t>
        </is>
      </c>
      <c r="H756" s="70" t="n">
        <v>2110101</v>
      </c>
      <c r="I756" s="72" t="inlineStr">
        <is>
          <t>FORNECEDORES DE MERCADORIA</t>
        </is>
      </c>
      <c r="J756" s="70" t="n">
        <v>1260864</v>
      </c>
      <c r="L756" s="70" t="n">
        <v>1595987</v>
      </c>
      <c r="M756" s="72" t="inlineStr">
        <is>
          <t>02</t>
        </is>
      </c>
      <c r="N756" s="72" t="inlineStr">
        <is>
          <t>NFE</t>
        </is>
      </c>
      <c r="P756" s="70" t="n">
        <v>103</v>
      </c>
      <c r="Q756" s="72" t="inlineStr">
        <is>
          <t>MILKA FRANCIS</t>
        </is>
      </c>
      <c r="R756" s="72" t="inlineStr">
        <is>
          <t>ESTOQUE DE MERCADORIAS</t>
        </is>
      </c>
      <c r="S756" s="70" t="n">
        <v>1130101</v>
      </c>
      <c r="T756" s="72" t="inlineStr">
        <is>
          <t>MERCADORIAS P/REVENDA</t>
        </is>
      </c>
      <c r="U756" s="73" t="n">
        <v>5942.06</v>
      </c>
      <c r="W756" s="73" t="n">
        <v>0</v>
      </c>
      <c r="X756" s="72" t="inlineStr">
        <is>
          <t>NF 1595987-02/02 - MILKA</t>
        </is>
      </c>
      <c r="Z756" s="59">
        <f>IF($T756="","",IFERROR(INDEX('Resumo Grupos'!$AC$3:$AC$200,MATCH($T756,'Resumo Grupos'!$AB$3:$AB$200,0)),"n/d"))</f>
        <v/>
      </c>
      <c r="AA756" s="59">
        <f>IF($T756="","",IF(COUNTIF('Resumo Grupos'!$AE$3:$AE$40,$T756)&gt;0,"NAO","SIM"))</f>
        <v/>
      </c>
    </row>
    <row r="757" ht="36.75" customHeight="1" s="60">
      <c r="A757" s="70" t="n">
        <v>1</v>
      </c>
      <c r="B757" s="71" t="n">
        <v>46190</v>
      </c>
      <c r="C757" s="71" t="n">
        <v>46204</v>
      </c>
      <c r="D757" s="70" t="n">
        <v>1699</v>
      </c>
      <c r="E757" s="72" t="inlineStr">
        <is>
          <t>L S M COMERCIO DE ALIMENTOS E NAVEGACAO</t>
        </is>
      </c>
      <c r="F757" s="70" t="n">
        <v>24</v>
      </c>
      <c r="G757" s="72" t="inlineStr">
        <is>
          <t>Compra a Prazo - Boletos</t>
        </is>
      </c>
      <c r="H757" s="70" t="n">
        <v>2110101</v>
      </c>
      <c r="I757" s="72" t="inlineStr">
        <is>
          <t>FORNECEDORES DE MERCADORIA</t>
        </is>
      </c>
      <c r="J757" s="70" t="n">
        <v>1264669</v>
      </c>
      <c r="L757" s="70" t="n">
        <v>304651</v>
      </c>
      <c r="M757" s="72" t="inlineStr">
        <is>
          <t>01</t>
        </is>
      </c>
      <c r="N757" s="72" t="inlineStr">
        <is>
          <t>NFE</t>
        </is>
      </c>
      <c r="P757" s="70" t="n">
        <v>101</v>
      </c>
      <c r="Q757" s="72" t="inlineStr">
        <is>
          <t>KEILA LIMA</t>
        </is>
      </c>
      <c r="R757" s="72" t="inlineStr">
        <is>
          <t>ESTOQUE DE MERCADORIAS</t>
        </is>
      </c>
      <c r="S757" s="70" t="n">
        <v>1130101</v>
      </c>
      <c r="T757" s="72" t="inlineStr">
        <is>
          <t>MERCADORIAS P/REVENDA</t>
        </is>
      </c>
      <c r="U757" s="73" t="n">
        <v>1747.4</v>
      </c>
      <c r="W757" s="73" t="n">
        <v>0</v>
      </c>
      <c r="X757" s="72" t="inlineStr">
        <is>
          <t>NF 304.651 - KEILA</t>
        </is>
      </c>
      <c r="Z757" s="59">
        <f>IF($T757="","",IFERROR(INDEX('Resumo Grupos'!$AC$3:$AC$200,MATCH($T757,'Resumo Grupos'!$AB$3:$AB$200,0)),"n/d"))</f>
        <v/>
      </c>
      <c r="AA757" s="59">
        <f>IF($T757="","",IF(COUNTIF('Resumo Grupos'!$AE$3:$AE$40,$T757)&gt;0,"NAO","SIM"))</f>
        <v/>
      </c>
    </row>
    <row r="758" ht="27.75" customHeight="1" s="60">
      <c r="A758" s="70" t="n">
        <v>1</v>
      </c>
      <c r="B758" s="71" t="n">
        <v>46190</v>
      </c>
      <c r="C758" s="71" t="n">
        <v>46204</v>
      </c>
      <c r="D758" s="70" t="n">
        <v>967</v>
      </c>
      <c r="E758" s="72" t="inlineStr">
        <is>
          <t>L. J. DA SILVA LTDA</t>
        </is>
      </c>
      <c r="F758" s="70" t="n">
        <v>24</v>
      </c>
      <c r="G758" s="72" t="inlineStr">
        <is>
          <t>Compra a Prazo - Boletos</t>
        </is>
      </c>
      <c r="H758" s="70" t="n">
        <v>2110101</v>
      </c>
      <c r="I758" s="72" t="inlineStr">
        <is>
          <t>FORNECEDORES DE MERCADORIA</t>
        </is>
      </c>
      <c r="J758" s="70" t="n">
        <v>1265083</v>
      </c>
      <c r="L758" s="70" t="n">
        <v>33133</v>
      </c>
      <c r="M758" s="72" t="inlineStr">
        <is>
          <t>01</t>
        </is>
      </c>
      <c r="N758" s="72" t="inlineStr">
        <is>
          <t>NFE</t>
        </is>
      </c>
      <c r="P758" s="70" t="n">
        <v>103</v>
      </c>
      <c r="Q758" s="72" t="inlineStr">
        <is>
          <t>MILKA FRANCIS</t>
        </is>
      </c>
      <c r="R758" s="72" t="inlineStr">
        <is>
          <t>ESTOQUE DE MERCADORIAS</t>
        </is>
      </c>
      <c r="S758" s="70" t="n">
        <v>1130101</v>
      </c>
      <c r="T758" s="72" t="inlineStr">
        <is>
          <t>MERCADORIAS P/REVENDA</t>
        </is>
      </c>
      <c r="U758" s="73" t="n">
        <v>2120.67</v>
      </c>
      <c r="W758" s="73" t="n">
        <v>0</v>
      </c>
      <c r="X758" s="72" t="inlineStr">
        <is>
          <t>44062-A/B  NF33133 - MILKA</t>
        </is>
      </c>
      <c r="Z758" s="59">
        <f>IF($T758="","",IFERROR(INDEX('Resumo Grupos'!$AC$3:$AC$200,MATCH($T758,'Resumo Grupos'!$AB$3:$AB$200,0)),"n/d"))</f>
        <v/>
      </c>
      <c r="AA758" s="59">
        <f>IF($T758="","",IF(COUNTIF('Resumo Grupos'!$AE$3:$AE$40,$T758)&gt;0,"NAO","SIM"))</f>
        <v/>
      </c>
    </row>
    <row r="759" ht="36.75" customHeight="1" s="60">
      <c r="A759" s="70" t="n">
        <v>1</v>
      </c>
      <c r="B759" s="71" t="n">
        <v>46190</v>
      </c>
      <c r="C759" s="71" t="n">
        <v>46204</v>
      </c>
      <c r="D759" s="70" t="n">
        <v>10009</v>
      </c>
      <c r="E759" s="72" t="inlineStr">
        <is>
          <t>NESTLÉ BRASIL LTDA.</t>
        </is>
      </c>
      <c r="F759" s="70" t="n">
        <v>24</v>
      </c>
      <c r="G759" s="72" t="inlineStr">
        <is>
          <t>Compra a Prazo - Boletos</t>
        </is>
      </c>
      <c r="H759" s="70" t="n">
        <v>2110101</v>
      </c>
      <c r="I759" s="72" t="inlineStr">
        <is>
          <t>FORNECEDORES DE MERCADORIA</t>
        </is>
      </c>
      <c r="J759" s="70" t="n">
        <v>1265196</v>
      </c>
      <c r="L759" s="70" t="n">
        <v>1414636</v>
      </c>
      <c r="M759" s="72" t="inlineStr">
        <is>
          <t>03</t>
        </is>
      </c>
      <c r="N759" s="72" t="inlineStr">
        <is>
          <t>NFE</t>
        </is>
      </c>
      <c r="P759" s="70" t="n">
        <v>103</v>
      </c>
      <c r="Q759" s="72" t="inlineStr">
        <is>
          <t>MILKA FRANCIS</t>
        </is>
      </c>
      <c r="R759" s="72" t="inlineStr">
        <is>
          <t>ESTOQUE DE MERCADORIAS</t>
        </is>
      </c>
      <c r="S759" s="70" t="n">
        <v>1130101</v>
      </c>
      <c r="T759" s="72" t="inlineStr">
        <is>
          <t>MERCADORIAS P/REVENDA</t>
        </is>
      </c>
      <c r="U759" s="73" t="n">
        <v>1356.17</v>
      </c>
      <c r="W759" s="73" t="n">
        <v>0</v>
      </c>
      <c r="X759" s="72" t="inlineStr">
        <is>
          <t>NF 1414636 -03 MILKA</t>
        </is>
      </c>
      <c r="Z759" s="59">
        <f>IF($T759="","",IFERROR(INDEX('Resumo Grupos'!$AC$3:$AC$200,MATCH($T759,'Resumo Grupos'!$AB$3:$AB$200,0)),"n/d"))</f>
        <v/>
      </c>
      <c r="AA759" s="59">
        <f>IF($T759="","",IF(COUNTIF('Resumo Grupos'!$AE$3:$AE$40,$T759)&gt;0,"NAO","SIM"))</f>
        <v/>
      </c>
    </row>
    <row r="760" ht="36.75" customHeight="1" s="60">
      <c r="A760" s="70" t="n">
        <v>1</v>
      </c>
      <c r="B760" s="71" t="n">
        <v>46190</v>
      </c>
      <c r="C760" s="71" t="n">
        <v>46204</v>
      </c>
      <c r="D760" s="70" t="n">
        <v>10017</v>
      </c>
      <c r="E760" s="72" t="inlineStr">
        <is>
          <t>PIARARA COMERCIO, IMPORTACAO E EXPORTACAO LTDA</t>
        </is>
      </c>
      <c r="F760" s="70" t="n">
        <v>24</v>
      </c>
      <c r="G760" s="72" t="inlineStr">
        <is>
          <t>Compra a Prazo - Boletos</t>
        </is>
      </c>
      <c r="H760" s="70" t="n">
        <v>2110101</v>
      </c>
      <c r="I760" s="72" t="inlineStr">
        <is>
          <t>FORNECEDORES DE MERCADORIA</t>
        </is>
      </c>
      <c r="J760" s="70" t="n">
        <v>1265872</v>
      </c>
      <c r="L760" s="70" t="n">
        <v>193491</v>
      </c>
      <c r="M760" s="72" t="inlineStr">
        <is>
          <t>01</t>
        </is>
      </c>
      <c r="N760" s="72" t="inlineStr">
        <is>
          <t>NFE</t>
        </is>
      </c>
      <c r="P760" s="70" t="n">
        <v>103</v>
      </c>
      <c r="Q760" s="72" t="inlineStr">
        <is>
          <t>MILKA FRANCIS</t>
        </is>
      </c>
      <c r="R760" s="72" t="inlineStr">
        <is>
          <t>ESTOQUE DE MERCADORIAS</t>
        </is>
      </c>
      <c r="S760" s="70" t="n">
        <v>1130101</v>
      </c>
      <c r="T760" s="72" t="inlineStr">
        <is>
          <t>MERCADORIAS P/REVENDA</t>
        </is>
      </c>
      <c r="U760" s="73" t="n">
        <v>568.92</v>
      </c>
      <c r="W760" s="73" t="n">
        <v>0</v>
      </c>
      <c r="X760" s="72" t="inlineStr">
        <is>
          <t>NF 193491-1 MILKA</t>
        </is>
      </c>
      <c r="Z760" s="59">
        <f>IF($T760="","",IFERROR(INDEX('Resumo Grupos'!$AC$3:$AC$200,MATCH($T760,'Resumo Grupos'!$AB$3:$AB$200,0)),"n/d"))</f>
        <v/>
      </c>
      <c r="AA760" s="59">
        <f>IF($T760="","",IF(COUNTIF('Resumo Grupos'!$AE$3:$AE$40,$T760)&gt;0,"NAO","SIM"))</f>
        <v/>
      </c>
    </row>
    <row r="761" ht="36.75" customHeight="1" s="60">
      <c r="A761" s="70" t="n">
        <v>1</v>
      </c>
      <c r="B761" s="71" t="n">
        <v>46191</v>
      </c>
      <c r="C761" s="71" t="n">
        <v>46204</v>
      </c>
      <c r="D761" s="70" t="n">
        <v>1601</v>
      </c>
      <c r="E761" s="72" t="inlineStr">
        <is>
          <t>CB COMERCIO E DISTRIBUIDORA DE ALIMENTOS</t>
        </is>
      </c>
      <c r="F761" s="70" t="n">
        <v>24</v>
      </c>
      <c r="G761" s="72" t="inlineStr">
        <is>
          <t>Compra a Prazo - Boletos</t>
        </is>
      </c>
      <c r="H761" s="70" t="n">
        <v>2110101</v>
      </c>
      <c r="I761" s="72" t="inlineStr">
        <is>
          <t>FORNECEDORES DE MERCADORIA</t>
        </is>
      </c>
      <c r="J761" s="70" t="n">
        <v>1268785</v>
      </c>
      <c r="L761" s="70" t="n">
        <v>844855</v>
      </c>
      <c r="M761" s="72" t="inlineStr">
        <is>
          <t>01</t>
        </is>
      </c>
      <c r="N761" s="72" t="inlineStr">
        <is>
          <t>NFE</t>
        </is>
      </c>
      <c r="P761" s="70" t="n">
        <v>103</v>
      </c>
      <c r="Q761" s="72" t="inlineStr">
        <is>
          <t>MILKA FRANCIS</t>
        </is>
      </c>
      <c r="R761" s="72" t="inlineStr">
        <is>
          <t>ESTOQUE DE MERCADORIAS</t>
        </is>
      </c>
      <c r="S761" s="70" t="n">
        <v>1130101</v>
      </c>
      <c r="T761" s="72" t="inlineStr">
        <is>
          <t>MERCADORIAS P/REVENDA</t>
        </is>
      </c>
      <c r="U761" s="73" t="n">
        <v>985.29</v>
      </c>
      <c r="W761" s="73" t="n">
        <v>0</v>
      </c>
      <c r="X761" s="72" t="inlineStr">
        <is>
          <t>941304-A/C  NF844855 - MILKA</t>
        </is>
      </c>
      <c r="Z761" s="59">
        <f>IF($T761="","",IFERROR(INDEX('Resumo Grupos'!$AC$3:$AC$200,MATCH($T761,'Resumo Grupos'!$AB$3:$AB$200,0)),"n/d"))</f>
        <v/>
      </c>
      <c r="AA761" s="59">
        <f>IF($T761="","",IF(COUNTIF('Resumo Grupos'!$AE$3:$AE$40,$T761)&gt;0,"NAO","SIM"))</f>
        <v/>
      </c>
    </row>
    <row r="762" ht="45.75" customHeight="1" s="60">
      <c r="A762" s="70" t="n">
        <v>1</v>
      </c>
      <c r="B762" s="71" t="n">
        <v>46191</v>
      </c>
      <c r="C762" s="71" t="n">
        <v>46204</v>
      </c>
      <c r="D762" s="70" t="n">
        <v>1626</v>
      </c>
      <c r="E762" s="72" t="inlineStr">
        <is>
          <t>FENNIX BRASIL DISTRIBUIDORA DE PRODUTOS</t>
        </is>
      </c>
      <c r="F762" s="70" t="n">
        <v>24</v>
      </c>
      <c r="G762" s="72" t="inlineStr">
        <is>
          <t>Compra a Prazo - Boletos</t>
        </is>
      </c>
      <c r="H762" s="70" t="n">
        <v>2110101</v>
      </c>
      <c r="I762" s="72" t="inlineStr">
        <is>
          <t>FORNECEDORES DE MERCADORIA</t>
        </is>
      </c>
      <c r="J762" s="70" t="n">
        <v>1269874</v>
      </c>
      <c r="L762" s="70" t="n">
        <v>309639</v>
      </c>
      <c r="M762" s="72" t="inlineStr">
        <is>
          <t>01</t>
        </is>
      </c>
      <c r="N762" s="72" t="inlineStr">
        <is>
          <t>NFE</t>
        </is>
      </c>
      <c r="P762" s="70" t="n">
        <v>103</v>
      </c>
      <c r="Q762" s="72" t="inlineStr">
        <is>
          <t>MILKA FRANCIS</t>
        </is>
      </c>
      <c r="R762" s="72" t="inlineStr">
        <is>
          <t>ESTOQUE DE MERCADORIAS</t>
        </is>
      </c>
      <c r="S762" s="70" t="n">
        <v>1130101</v>
      </c>
      <c r="T762" s="72" t="inlineStr">
        <is>
          <t>MERCADORIAS P/REVENDA</t>
        </is>
      </c>
      <c r="U762" s="73" t="n">
        <v>722.41</v>
      </c>
      <c r="W762" s="73" t="n">
        <v>0</v>
      </c>
      <c r="X762" s="72" t="inlineStr">
        <is>
          <t>NF 309639-1 MILKA</t>
        </is>
      </c>
      <c r="Z762" s="59">
        <f>IF($T762="","",IFERROR(INDEX('Resumo Grupos'!$AC$3:$AC$200,MATCH($T762,'Resumo Grupos'!$AB$3:$AB$200,0)),"n/d"))</f>
        <v/>
      </c>
      <c r="AA762" s="59">
        <f>IF($T762="","",IF(COUNTIF('Resumo Grupos'!$AE$3:$AE$40,$T762)&gt;0,"NAO","SIM"))</f>
        <v/>
      </c>
    </row>
    <row r="763" ht="27.75" customHeight="1" s="60">
      <c r="A763" s="70" t="n">
        <v>1</v>
      </c>
      <c r="B763" s="71" t="n">
        <v>46192</v>
      </c>
      <c r="C763" s="71" t="n">
        <v>46204</v>
      </c>
      <c r="D763" s="70" t="n">
        <v>1665</v>
      </c>
      <c r="E763" s="72" t="inlineStr">
        <is>
          <t>H.V.M. XAVIER ALIMENTOS</t>
        </is>
      </c>
      <c r="F763" s="70" t="n">
        <v>24</v>
      </c>
      <c r="G763" s="72" t="inlineStr">
        <is>
          <t>Compra a Prazo - Boletos</t>
        </is>
      </c>
      <c r="H763" s="70" t="n">
        <v>2110101</v>
      </c>
      <c r="I763" s="72" t="inlineStr">
        <is>
          <t>FORNECEDORES DE MERCADORIA</t>
        </is>
      </c>
      <c r="J763" s="70" t="n">
        <v>1272612</v>
      </c>
      <c r="L763" s="70" t="n">
        <v>132832</v>
      </c>
      <c r="M763" s="72" t="inlineStr">
        <is>
          <t>01</t>
        </is>
      </c>
      <c r="N763" s="72" t="inlineStr">
        <is>
          <t>NFE</t>
        </is>
      </c>
      <c r="P763" s="70" t="n">
        <v>103</v>
      </c>
      <c r="Q763" s="72" t="inlineStr">
        <is>
          <t>MILKA FRANCIS</t>
        </is>
      </c>
      <c r="R763" s="72" t="inlineStr">
        <is>
          <t>ESTOQUE DE MERCADORIAS</t>
        </is>
      </c>
      <c r="S763" s="70" t="n">
        <v>1130101</v>
      </c>
      <c r="T763" s="72" t="inlineStr">
        <is>
          <t>MERCADORIAS P/REVENDA</t>
        </is>
      </c>
      <c r="U763" s="73" t="n">
        <v>421.2</v>
      </c>
      <c r="W763" s="73" t="n">
        <v>0</v>
      </c>
      <c r="X763" s="72" t="inlineStr">
        <is>
          <t>NF 132832 - MILKA</t>
        </is>
      </c>
      <c r="Z763" s="59">
        <f>IF($T763="","",IFERROR(INDEX('Resumo Grupos'!$AC$3:$AC$200,MATCH($T763,'Resumo Grupos'!$AB$3:$AB$200,0)),"n/d"))</f>
        <v/>
      </c>
      <c r="AA763" s="59">
        <f>IF($T763="","",IF(COUNTIF('Resumo Grupos'!$AE$3:$AE$40,$T763)&gt;0,"NAO","SIM"))</f>
        <v/>
      </c>
    </row>
    <row r="764" ht="36.75" customHeight="1" s="60">
      <c r="A764" s="70" t="n">
        <v>1</v>
      </c>
      <c r="B764" s="71" t="n">
        <v>46198</v>
      </c>
      <c r="C764" s="71" t="n">
        <v>46204</v>
      </c>
      <c r="D764" s="70" t="n">
        <v>1712</v>
      </c>
      <c r="E764" s="72" t="inlineStr">
        <is>
          <t>AMAZON BEEF COMERCIO DE CARNES EIRELI -</t>
        </is>
      </c>
      <c r="F764" s="70" t="n">
        <v>24</v>
      </c>
      <c r="G764" s="72" t="inlineStr">
        <is>
          <t>Compra a Prazo - Boletos</t>
        </is>
      </c>
      <c r="H764" s="70" t="n">
        <v>2110101</v>
      </c>
      <c r="I764" s="72" t="inlineStr">
        <is>
          <t>FORNECEDORES DE MERCADORIA</t>
        </is>
      </c>
      <c r="J764" s="70" t="n">
        <v>1306051</v>
      </c>
      <c r="L764" s="70" t="n">
        <v>28698</v>
      </c>
      <c r="M764" s="72" t="inlineStr">
        <is>
          <t>01</t>
        </is>
      </c>
      <c r="N764" s="72" t="inlineStr">
        <is>
          <t>NFE</t>
        </is>
      </c>
      <c r="P764" s="70" t="n">
        <v>103</v>
      </c>
      <c r="Q764" s="72" t="inlineStr">
        <is>
          <t>MILKA FRANCIS</t>
        </is>
      </c>
      <c r="R764" s="72" t="inlineStr">
        <is>
          <t>ESTOQUE DE MERCADORIAS</t>
        </is>
      </c>
      <c r="S764" s="70" t="n">
        <v>1130101</v>
      </c>
      <c r="T764" s="72" t="inlineStr">
        <is>
          <t>MERCADORIAS P/REVENDA</t>
        </is>
      </c>
      <c r="U764" s="73" t="n">
        <v>637.12</v>
      </c>
      <c r="W764" s="73" t="n">
        <v>0</v>
      </c>
      <c r="X764" s="72" t="inlineStr">
        <is>
          <t>NF 28698/1 MILKA</t>
        </is>
      </c>
      <c r="Z764" s="59">
        <f>IF($T764="","",IFERROR(INDEX('Resumo Grupos'!$AC$3:$AC$200,MATCH($T764,'Resumo Grupos'!$AB$3:$AB$200,0)),"n/d"))</f>
        <v/>
      </c>
      <c r="AA764" s="59">
        <f>IF($T764="","",IF(COUNTIF('Resumo Grupos'!$AE$3:$AE$40,$T764)&gt;0,"NAO","SIM"))</f>
        <v/>
      </c>
    </row>
    <row r="765" ht="63.75" customHeight="1" s="60">
      <c r="A765" s="70" t="n">
        <v>1</v>
      </c>
      <c r="B765" s="71" t="n">
        <v>46195</v>
      </c>
      <c r="C765" s="71" t="n">
        <v>46204</v>
      </c>
      <c r="D765" s="70" t="n">
        <v>1613</v>
      </c>
      <c r="E765" s="72" t="inlineStr">
        <is>
          <t>BRF S A</t>
        </is>
      </c>
      <c r="F765" s="70" t="n">
        <v>24</v>
      </c>
      <c r="G765" s="72" t="inlineStr">
        <is>
          <t>Compra a Prazo - Boletos</t>
        </is>
      </c>
      <c r="H765" s="70" t="n">
        <v>2110101</v>
      </c>
      <c r="I765" s="72" t="inlineStr">
        <is>
          <t>FORNECEDORES DE MERCADORIA</t>
        </is>
      </c>
      <c r="J765" s="70" t="n">
        <v>1290083</v>
      </c>
      <c r="L765" s="70" t="n">
        <v>1598766</v>
      </c>
      <c r="M765" s="72" t="inlineStr">
        <is>
          <t>01</t>
        </is>
      </c>
      <c r="N765" s="72" t="inlineStr">
        <is>
          <t>NFE</t>
        </is>
      </c>
      <c r="P765" s="70" t="n">
        <v>103</v>
      </c>
      <c r="Q765" s="72" t="inlineStr">
        <is>
          <t>MILKA FRANCIS</t>
        </is>
      </c>
      <c r="R765" s="72" t="inlineStr">
        <is>
          <t>ESTOQUE DE MERCADORIAS</t>
        </is>
      </c>
      <c r="S765" s="70" t="n">
        <v>1130101</v>
      </c>
      <c r="T765" s="72" t="inlineStr">
        <is>
          <t>MERCADORIAS P/REVENDA</t>
        </is>
      </c>
      <c r="U765" s="73" t="n">
        <v>3813.46</v>
      </c>
      <c r="W765" s="73" t="n">
        <v>0</v>
      </c>
      <c r="X765" s="72" t="inlineStr">
        <is>
          <t>NF 1598766-01/02 MILKA</t>
        </is>
      </c>
      <c r="Z765" s="59">
        <f>IF($T765="","",IFERROR(INDEX('Resumo Grupos'!$AC$3:$AC$200,MATCH($T765,'Resumo Grupos'!$AB$3:$AB$200,0)),"n/d"))</f>
        <v/>
      </c>
      <c r="AA765" s="59">
        <f>IF($T765="","",IF(COUNTIF('Resumo Grupos'!$AE$3:$AE$40,$T765)&gt;0,"NAO","SIM"))</f>
        <v/>
      </c>
    </row>
    <row r="766" ht="36.75" customHeight="1" s="60">
      <c r="A766" s="70" t="n">
        <v>1</v>
      </c>
      <c r="B766" s="71" t="n">
        <v>46195</v>
      </c>
      <c r="C766" s="71" t="n">
        <v>46204</v>
      </c>
      <c r="D766" s="70" t="n">
        <v>1792</v>
      </c>
      <c r="E766" s="72" t="inlineStr">
        <is>
          <t>CAMPOS E LIMA GESTAO EMPRESARIAL</t>
        </is>
      </c>
      <c r="F766" s="70" t="n">
        <v>24</v>
      </c>
      <c r="G766" s="72" t="inlineStr">
        <is>
          <t>Compra a Prazo - Boletos</t>
        </is>
      </c>
      <c r="H766" s="70" t="n">
        <v>2110405</v>
      </c>
      <c r="I766" s="72" t="inlineStr">
        <is>
          <t>CONTAS A PAGAR</t>
        </is>
      </c>
      <c r="J766" s="70" t="n">
        <v>1290181</v>
      </c>
      <c r="L766" s="70" t="n">
        <v>534713</v>
      </c>
      <c r="M766" s="72" t="inlineStr">
        <is>
          <t>01</t>
        </is>
      </c>
      <c r="N766" s="72" t="inlineStr">
        <is>
          <t>AVU</t>
        </is>
      </c>
      <c r="P766" s="70" t="n">
        <v>101</v>
      </c>
      <c r="Q766" s="72" t="inlineStr">
        <is>
          <t>KEILA LIMA</t>
        </is>
      </c>
      <c r="R766" s="72" t="inlineStr">
        <is>
          <t>BENS INTANGIVEIS</t>
        </is>
      </c>
      <c r="S766" s="70" t="n">
        <v>1240203</v>
      </c>
      <c r="T766" s="72" t="inlineStr">
        <is>
          <t>SISTEMAS APLICATIVOS</t>
        </is>
      </c>
      <c r="U766" s="73" t="n">
        <v>486.45</v>
      </c>
      <c r="W766" s="73" t="n">
        <v>0</v>
      </c>
      <c r="X766" s="72" t="inlineStr">
        <is>
          <t xml:space="preserve"> MENSA SISTEMA VAREJO</t>
        </is>
      </c>
      <c r="Z766" s="59">
        <f>IF($T766="","",IFERROR(INDEX('Resumo Grupos'!$AC$3:$AC$200,MATCH($T766,'Resumo Grupos'!$AB$3:$AB$200,0)),"n/d"))</f>
        <v/>
      </c>
      <c r="AA766" s="59">
        <f>IF($T766="","",IF(COUNTIF('Resumo Grupos'!$AE$3:$AE$40,$T766)&gt;0,"NAO","SIM"))</f>
        <v/>
      </c>
    </row>
    <row r="767" ht="27.75" customHeight="1" s="60">
      <c r="A767" s="70" t="n">
        <v>1</v>
      </c>
      <c r="B767" s="71" t="n">
        <v>46198</v>
      </c>
      <c r="C767" s="71" t="n">
        <v>46204</v>
      </c>
      <c r="D767" s="70" t="n">
        <v>1815</v>
      </c>
      <c r="E767" s="72" t="inlineStr">
        <is>
          <t>J G COMERCIO DE PRODUTOS ALIMENTICIOS LTDA</t>
        </is>
      </c>
      <c r="F767" s="70" t="n">
        <v>24</v>
      </c>
      <c r="G767" s="72" t="inlineStr">
        <is>
          <t>Compra a Prazo - Boletos</t>
        </is>
      </c>
      <c r="H767" s="70" t="n">
        <v>2110101</v>
      </c>
      <c r="I767" s="72" t="inlineStr">
        <is>
          <t>FORNECEDORES DE MERCADORIA</t>
        </is>
      </c>
      <c r="J767" s="70" t="n">
        <v>1304557</v>
      </c>
      <c r="L767" s="70" t="n">
        <v>388860</v>
      </c>
      <c r="M767" s="72" t="inlineStr">
        <is>
          <t>01</t>
        </is>
      </c>
      <c r="N767" s="72" t="inlineStr">
        <is>
          <t>NFE</t>
        </is>
      </c>
      <c r="P767" s="70" t="n">
        <v>103</v>
      </c>
      <c r="Q767" s="72" t="inlineStr">
        <is>
          <t>MILKA FRANCIS</t>
        </is>
      </c>
      <c r="R767" s="72" t="inlineStr">
        <is>
          <t>ESTOQUE DE MERCADORIAS</t>
        </is>
      </c>
      <c r="S767" s="70" t="n">
        <v>1130101</v>
      </c>
      <c r="T767" s="72" t="inlineStr">
        <is>
          <t>MERCADORIAS P/REVENDA</t>
        </is>
      </c>
      <c r="U767" s="73" t="n">
        <v>1283.28</v>
      </c>
      <c r="W767" s="73" t="n">
        <v>0</v>
      </c>
      <c r="X767" s="72" t="inlineStr">
        <is>
          <t>452671-A/C  NF388860 - MILKA</t>
        </is>
      </c>
      <c r="Z767" s="59">
        <f>IF($T767="","",IFERROR(INDEX('Resumo Grupos'!$AC$3:$AC$200,MATCH($T767,'Resumo Grupos'!$AB$3:$AB$200,0)),"n/d"))</f>
        <v/>
      </c>
      <c r="AA767" s="59">
        <f>IF($T767="","",IF(COUNTIF('Resumo Grupos'!$AE$3:$AE$40,$T767)&gt;0,"NAO","SIM"))</f>
        <v/>
      </c>
    </row>
    <row r="768" ht="27.75" customHeight="1" s="60">
      <c r="A768" s="70" t="n">
        <v>1</v>
      </c>
      <c r="B768" s="71" t="n">
        <v>46199</v>
      </c>
      <c r="C768" s="71" t="n">
        <v>46204</v>
      </c>
      <c r="D768" s="70" t="n">
        <v>1798</v>
      </c>
      <c r="E768" s="72" t="inlineStr">
        <is>
          <t>ELIAS MARTINS DA SILVA</t>
        </is>
      </c>
      <c r="F768" s="70" t="n">
        <v>24</v>
      </c>
      <c r="G768" s="72" t="inlineStr">
        <is>
          <t>Compra a Prazo - Boletos</t>
        </is>
      </c>
      <c r="H768" s="70" t="n">
        <v>2110101</v>
      </c>
      <c r="I768" s="72" t="inlineStr">
        <is>
          <t>FORNECEDORES DE MERCADORIA</t>
        </is>
      </c>
      <c r="J768" s="70" t="n">
        <v>1309969</v>
      </c>
      <c r="L768" s="70" t="n">
        <v>831615</v>
      </c>
      <c r="M768" s="72" t="inlineStr">
        <is>
          <t>01</t>
        </is>
      </c>
      <c r="N768" s="72" t="inlineStr">
        <is>
          <t>NFE</t>
        </is>
      </c>
      <c r="P768" s="70" t="n">
        <v>103</v>
      </c>
      <c r="Q768" s="72" t="inlineStr">
        <is>
          <t>MILKA FRANCIS</t>
        </is>
      </c>
      <c r="R768" s="72" t="inlineStr">
        <is>
          <t>ESTOQUE DE MERCADORIAS</t>
        </is>
      </c>
      <c r="S768" s="70" t="n">
        <v>1130101</v>
      </c>
      <c r="T768" s="72" t="inlineStr">
        <is>
          <t>MERCADORIAS P/REVENDA</t>
        </is>
      </c>
      <c r="U768" s="73" t="n">
        <v>1292</v>
      </c>
      <c r="W768" s="73" t="n">
        <v>0</v>
      </c>
      <c r="X768" s="72" t="inlineStr">
        <is>
          <t>NF 831615 - MILKA</t>
        </is>
      </c>
      <c r="Z768" s="59">
        <f>IF($T768="","",IFERROR(INDEX('Resumo Grupos'!$AC$3:$AC$200,MATCH($T768,'Resumo Grupos'!$AB$3:$AB$200,0)),"n/d"))</f>
        <v/>
      </c>
      <c r="AA768" s="59">
        <f>IF($T768="","",IF(COUNTIF('Resumo Grupos'!$AE$3:$AE$40,$T768)&gt;0,"NAO","SIM"))</f>
        <v/>
      </c>
    </row>
    <row r="769" ht="45.75" customHeight="1" s="60">
      <c r="A769" s="70" t="n">
        <v>1</v>
      </c>
      <c r="B769" s="71" t="n">
        <v>46200</v>
      </c>
      <c r="C769" s="71" t="n">
        <v>46204</v>
      </c>
      <c r="D769" s="70" t="n">
        <v>1899</v>
      </c>
      <c r="E769" s="72" t="inlineStr">
        <is>
          <t>PANIFICADORA E CONFEITARIA REAL MADRI LTDA</t>
        </is>
      </c>
      <c r="F769" s="70" t="n">
        <v>24</v>
      </c>
      <c r="G769" s="72" t="inlineStr">
        <is>
          <t>Compra a Prazo - Boletos</t>
        </is>
      </c>
      <c r="H769" s="70" t="n">
        <v>2110101</v>
      </c>
      <c r="I769" s="72" t="inlineStr">
        <is>
          <t>FORNECEDORES DE MERCADORIA</t>
        </is>
      </c>
      <c r="J769" s="70" t="n">
        <v>1313440</v>
      </c>
      <c r="L769" s="70" t="n">
        <v>684</v>
      </c>
      <c r="M769" s="72" t="inlineStr">
        <is>
          <t>01</t>
        </is>
      </c>
      <c r="N769" s="72" t="inlineStr">
        <is>
          <t>NFE</t>
        </is>
      </c>
      <c r="P769" s="70" t="n">
        <v>103</v>
      </c>
      <c r="Q769" s="72" t="inlineStr">
        <is>
          <t>MILKA FRANCIS</t>
        </is>
      </c>
      <c r="R769" s="72" t="inlineStr">
        <is>
          <t>ESTOQUE DE MERCADORIAS</t>
        </is>
      </c>
      <c r="S769" s="70" t="n">
        <v>1130101</v>
      </c>
      <c r="T769" s="72" t="inlineStr">
        <is>
          <t>MERCADORIAS P/REVENDA</t>
        </is>
      </c>
      <c r="U769" s="73" t="n">
        <v>876.6</v>
      </c>
      <c r="W769" s="73" t="n">
        <v>0</v>
      </c>
      <c r="X769" s="72" t="inlineStr">
        <is>
          <t>NF 684 - MILKA</t>
        </is>
      </c>
      <c r="Z769" s="59">
        <f>IF($T769="","",IFERROR(INDEX('Resumo Grupos'!$AC$3:$AC$200,MATCH($T769,'Resumo Grupos'!$AB$3:$AB$200,0)),"n/d"))</f>
        <v/>
      </c>
      <c r="AA769" s="59">
        <f>IF($T769="","",IF(COUNTIF('Resumo Grupos'!$AE$3:$AE$40,$T769)&gt;0,"NAO","SIM"))</f>
        <v/>
      </c>
    </row>
    <row r="770" ht="27.75" customHeight="1" s="60">
      <c r="A770" s="70" t="n">
        <v>1</v>
      </c>
      <c r="B770" s="71" t="n">
        <v>46202</v>
      </c>
      <c r="C770" s="71" t="n">
        <v>46204</v>
      </c>
      <c r="D770" s="70" t="n">
        <v>1614</v>
      </c>
      <c r="E770" s="72" t="inlineStr">
        <is>
          <t>C. R. PARENTE ABREU</t>
        </is>
      </c>
      <c r="F770" s="70" t="n">
        <v>24</v>
      </c>
      <c r="G770" s="72" t="inlineStr">
        <is>
          <t>Compra a Prazo - Boletos</t>
        </is>
      </c>
      <c r="H770" s="70" t="n">
        <v>2110101</v>
      </c>
      <c r="I770" s="72" t="inlineStr">
        <is>
          <t>FORNECEDORES DE MERCADORIA</t>
        </is>
      </c>
      <c r="J770" s="70" t="n">
        <v>1321750</v>
      </c>
      <c r="L770" s="70" t="n">
        <v>11328</v>
      </c>
      <c r="M770" s="72" t="inlineStr">
        <is>
          <t>01</t>
        </is>
      </c>
      <c r="N770" s="72" t="inlineStr">
        <is>
          <t>NFE</t>
        </is>
      </c>
      <c r="P770" s="70" t="n">
        <v>103</v>
      </c>
      <c r="Q770" s="72" t="inlineStr">
        <is>
          <t>MILKA FRANCIS</t>
        </is>
      </c>
      <c r="R770" s="72" t="inlineStr">
        <is>
          <t>ESTOQUE DE MERCADORIAS</t>
        </is>
      </c>
      <c r="S770" s="70" t="n">
        <v>1130101</v>
      </c>
      <c r="T770" s="72" t="inlineStr">
        <is>
          <t>MERCADORIAS P/REVENDA</t>
        </is>
      </c>
      <c r="U770" s="73" t="n">
        <v>527.42</v>
      </c>
      <c r="W770" s="73" t="n">
        <v>0</v>
      </c>
      <c r="X770" s="72" t="inlineStr">
        <is>
          <t>NF 11328-1 MILKA</t>
        </is>
      </c>
      <c r="Z770" s="59">
        <f>IF($T770="","",IFERROR(INDEX('Resumo Grupos'!$AC$3:$AC$200,MATCH($T770,'Resumo Grupos'!$AB$3:$AB$200,0)),"n/d"))</f>
        <v/>
      </c>
      <c r="AA770" s="59">
        <f>IF($T770="","",IF(COUNTIF('Resumo Grupos'!$AE$3:$AE$40,$T770)&gt;0,"NAO","SIM"))</f>
        <v/>
      </c>
    </row>
    <row r="771" ht="27.75" customHeight="1" s="60">
      <c r="A771" s="70" t="n">
        <v>1</v>
      </c>
      <c r="B771" s="71" t="n">
        <v>46203</v>
      </c>
      <c r="C771" s="71" t="n">
        <v>46204</v>
      </c>
      <c r="D771" s="70" t="n">
        <v>33</v>
      </c>
      <c r="E771" s="72" t="inlineStr">
        <is>
          <t>RENATO DE O AZEVEDO E CIA LTDA - EPP</t>
        </is>
      </c>
      <c r="F771" s="70" t="n">
        <v>34</v>
      </c>
      <c r="G771" s="72" t="inlineStr">
        <is>
          <t>Transferencia Pix</t>
        </is>
      </c>
      <c r="H771" s="70" t="n">
        <v>2110101</v>
      </c>
      <c r="I771" s="72" t="inlineStr">
        <is>
          <t>FORNECEDORES DE MERCADORIA</t>
        </is>
      </c>
      <c r="J771" s="70" t="n">
        <v>1330729</v>
      </c>
      <c r="L771" s="70" t="n">
        <v>5222</v>
      </c>
      <c r="M771" s="72" t="inlineStr">
        <is>
          <t>01</t>
        </is>
      </c>
      <c r="N771" s="72" t="inlineStr">
        <is>
          <t>NFE</t>
        </is>
      </c>
      <c r="P771" s="70" t="n">
        <v>104</v>
      </c>
      <c r="Q771" s="72" t="inlineStr">
        <is>
          <t>DEBORA COSTA</t>
        </is>
      </c>
      <c r="R771" s="72" t="inlineStr">
        <is>
          <t>ESTOQUE DE MERCADORIAS</t>
        </is>
      </c>
      <c r="S771" s="70" t="n">
        <v>1130101</v>
      </c>
      <c r="T771" s="72" t="inlineStr">
        <is>
          <t>MERCADORIAS P/REVENDA</t>
        </is>
      </c>
      <c r="U771" s="73" t="n">
        <v>1701</v>
      </c>
      <c r="W771" s="73" t="n">
        <v>0</v>
      </c>
      <c r="X771" s="72" t="inlineStr">
        <is>
          <t>FEIRA CARLOS - DEBORA</t>
        </is>
      </c>
      <c r="Z771" s="59">
        <f>IF($T771="","",IFERROR(INDEX('Resumo Grupos'!$AC$3:$AC$200,MATCH($T771,'Resumo Grupos'!$AB$3:$AB$200,0)),"n/d"))</f>
        <v/>
      </c>
      <c r="AA771" s="59">
        <f>IF($T771="","",IF(COUNTIF('Resumo Grupos'!$AE$3:$AE$40,$T771)&gt;0,"NAO","SIM"))</f>
        <v/>
      </c>
    </row>
    <row r="772" ht="54.75" customHeight="1" s="60">
      <c r="A772" s="70" t="n">
        <v>1</v>
      </c>
      <c r="B772" s="71" t="n">
        <v>46203</v>
      </c>
      <c r="C772" s="71" t="n">
        <v>46204</v>
      </c>
      <c r="D772" s="70" t="n">
        <v>1615</v>
      </c>
      <c r="E772" s="72" t="inlineStr">
        <is>
          <t>COMERCIO E TRANSPORTE BRANDAO LTDA</t>
        </is>
      </c>
      <c r="F772" s="70" t="n">
        <v>34</v>
      </c>
      <c r="G772" s="72" t="inlineStr">
        <is>
          <t>Transferencia Pix</t>
        </is>
      </c>
      <c r="H772" s="70" t="n">
        <v>2110101</v>
      </c>
      <c r="I772" s="72" t="inlineStr">
        <is>
          <t>FORNECEDORES DE MERCADORIA</t>
        </is>
      </c>
      <c r="J772" s="70" t="n">
        <v>1330809</v>
      </c>
      <c r="L772" s="70" t="n">
        <v>14765</v>
      </c>
      <c r="M772" s="72" t="inlineStr">
        <is>
          <t>01</t>
        </is>
      </c>
      <c r="N772" s="72" t="inlineStr">
        <is>
          <t>NFE</t>
        </is>
      </c>
      <c r="P772" s="70" t="n">
        <v>104</v>
      </c>
      <c r="Q772" s="72" t="inlineStr">
        <is>
          <t>DEBORA COSTA</t>
        </is>
      </c>
      <c r="R772" s="72" t="inlineStr">
        <is>
          <t>ESTOQUE DE MERCADORIAS</t>
        </is>
      </c>
      <c r="S772" s="70" t="n">
        <v>1130101</v>
      </c>
      <c r="T772" s="72" t="inlineStr">
        <is>
          <t>MERCADORIAS P/REVENDA</t>
        </is>
      </c>
      <c r="U772" s="73" t="n">
        <v>760</v>
      </c>
      <c r="W772" s="73" t="n">
        <v>0</v>
      </c>
      <c r="X772" s="72" t="inlineStr">
        <is>
          <t>NF 14765 - DEBORA</t>
        </is>
      </c>
      <c r="Z772" s="59">
        <f>IF($T772="","",IFERROR(INDEX('Resumo Grupos'!$AC$3:$AC$200,MATCH($T772,'Resumo Grupos'!$AB$3:$AB$200,0)),"n/d"))</f>
        <v/>
      </c>
      <c r="AA772" s="59">
        <f>IF($T772="","",IF(COUNTIF('Resumo Grupos'!$AE$3:$AE$40,$T772)&gt;0,"NAO","SIM"))</f>
        <v/>
      </c>
    </row>
    <row r="773" ht="54.75" customHeight="1" s="60">
      <c r="A773" s="70" t="n">
        <v>1</v>
      </c>
      <c r="B773" s="71" t="n">
        <v>46203</v>
      </c>
      <c r="C773" s="71" t="n">
        <v>46204</v>
      </c>
      <c r="D773" s="70" t="n">
        <v>33</v>
      </c>
      <c r="E773" s="72" t="inlineStr">
        <is>
          <t>RENATO DE O AZEVEDO E CIA LTDA - EPP</t>
        </is>
      </c>
      <c r="F773" s="70" t="n">
        <v>34</v>
      </c>
      <c r="G773" s="72" t="inlineStr">
        <is>
          <t>Transferencia Pix</t>
        </is>
      </c>
      <c r="H773" s="70" t="n">
        <v>2110101</v>
      </c>
      <c r="I773" s="72" t="inlineStr">
        <is>
          <t>FORNECEDORES DE MERCADORIA</t>
        </is>
      </c>
      <c r="J773" s="70" t="n">
        <v>1330823</v>
      </c>
      <c r="L773" s="70" t="n">
        <v>550168</v>
      </c>
      <c r="M773" s="72" t="inlineStr">
        <is>
          <t>01</t>
        </is>
      </c>
      <c r="N773" s="72" t="inlineStr">
        <is>
          <t>AVU</t>
        </is>
      </c>
      <c r="P773" s="70" t="n">
        <v>104</v>
      </c>
      <c r="Q773" s="72" t="inlineStr">
        <is>
          <t>DEBORA COSTA</t>
        </is>
      </c>
      <c r="R773" s="72" t="inlineStr">
        <is>
          <t>ESTOQUE DE MERCADORIAS</t>
        </is>
      </c>
      <c r="S773" s="70" t="n">
        <v>1130101</v>
      </c>
      <c r="T773" s="72" t="inlineStr">
        <is>
          <t>MERCADORIAS P/REVENDA</t>
        </is>
      </c>
      <c r="U773" s="73" t="n">
        <v>140</v>
      </c>
      <c r="W773" s="73" t="n">
        <v>0</v>
      </c>
      <c r="X773" s="72" t="inlineStr">
        <is>
          <t>CAMARAO COM CASCA - FEIRA CARLOS - DEBORA</t>
        </is>
      </c>
      <c r="Z773" s="59">
        <f>IF($T773="","",IFERROR(INDEX('Resumo Grupos'!$AC$3:$AC$200,MATCH($T773,'Resumo Grupos'!$AB$3:$AB$200,0)),"n/d"))</f>
        <v/>
      </c>
      <c r="AA773" s="59">
        <f>IF($T773="","",IF(COUNTIF('Resumo Grupos'!$AE$3:$AE$40,$T773)&gt;0,"NAO","SIM"))</f>
        <v/>
      </c>
    </row>
    <row r="774" ht="36.75" customHeight="1" s="60">
      <c r="A774" s="70" t="n">
        <v>1</v>
      </c>
      <c r="B774" s="71" t="n">
        <v>46204</v>
      </c>
      <c r="C774" s="71" t="n">
        <v>46204</v>
      </c>
      <c r="D774" s="70" t="n">
        <v>48</v>
      </c>
      <c r="E774" s="72" t="inlineStr">
        <is>
          <t>NEYLIANE S DE OLIVEIRA &amp; CIA LTDA</t>
        </is>
      </c>
      <c r="F774" s="70" t="n">
        <v>34</v>
      </c>
      <c r="G774" s="72" t="inlineStr">
        <is>
          <t>Transferencia Pix</t>
        </is>
      </c>
      <c r="H774" s="70" t="n">
        <v>2110101</v>
      </c>
      <c r="I774" s="72" t="inlineStr">
        <is>
          <t>FORNECEDORES DE MERCADORIA</t>
        </is>
      </c>
      <c r="J774" s="70" t="n">
        <v>1335895</v>
      </c>
      <c r="L774" s="70" t="n">
        <v>552126</v>
      </c>
      <c r="M774" s="72" t="inlineStr">
        <is>
          <t>01</t>
        </is>
      </c>
      <c r="N774" s="72" t="inlineStr">
        <is>
          <t>AVU</t>
        </is>
      </c>
      <c r="P774" s="70" t="n">
        <v>101</v>
      </c>
      <c r="Q774" s="72" t="inlineStr">
        <is>
          <t>KEILA LIMA</t>
        </is>
      </c>
      <c r="R774" s="72" t="inlineStr">
        <is>
          <t>DESPESAS NAO OPERACIONAIS</t>
        </is>
      </c>
      <c r="S774" s="70" t="n">
        <v>4220199</v>
      </c>
      <c r="T774" s="72" t="inlineStr">
        <is>
          <t>PAGAMENTOS OUTROS NAO OPERACIONAIS</t>
        </is>
      </c>
      <c r="U774" s="73" t="n">
        <v>130</v>
      </c>
      <c r="W774" s="73" t="n">
        <v>0</v>
      </c>
      <c r="X774" s="72" t="inlineStr">
        <is>
          <t>PL NEILA E RENATO - KEILA</t>
        </is>
      </c>
      <c r="Z774" s="59">
        <f>IF($T774="","",IFERROR(INDEX('Resumo Grupos'!$AC$3:$AC$200,MATCH($T774,'Resumo Grupos'!$AB$3:$AB$200,0)),"n/d"))</f>
        <v/>
      </c>
      <c r="AA774" s="59">
        <f>IF($T774="","",IF(COUNTIF('Resumo Grupos'!$AE$3:$AE$40,$T774)&gt;0,"NAO","SIM"))</f>
        <v/>
      </c>
    </row>
    <row r="775" ht="36.75" customHeight="1" s="60">
      <c r="A775" s="70" t="n">
        <v>1</v>
      </c>
      <c r="B775" s="71" t="n">
        <v>46204</v>
      </c>
      <c r="C775" s="71" t="n">
        <v>46204</v>
      </c>
      <c r="D775" s="70" t="n">
        <v>17</v>
      </c>
      <c r="E775" s="72" t="inlineStr">
        <is>
          <t>NEYLIANE SILVA DE OLIVEIRA</t>
        </is>
      </c>
      <c r="F775" s="70" t="n">
        <v>34</v>
      </c>
      <c r="G775" s="72" t="inlineStr">
        <is>
          <t>Transferencia Pix</t>
        </is>
      </c>
      <c r="H775" s="70" t="n">
        <v>2110405</v>
      </c>
      <c r="I775" s="72" t="inlineStr">
        <is>
          <t>CONTAS A PAGAR</t>
        </is>
      </c>
      <c r="J775" s="70" t="n">
        <v>1335913</v>
      </c>
      <c r="L775" s="70" t="n">
        <v>552129</v>
      </c>
      <c r="M775" s="72" t="inlineStr">
        <is>
          <t>01</t>
        </is>
      </c>
      <c r="N775" s="72" t="inlineStr">
        <is>
          <t>AVU</t>
        </is>
      </c>
      <c r="P775" s="70" t="n">
        <v>101</v>
      </c>
      <c r="Q775" s="72" t="inlineStr">
        <is>
          <t>KEILA LIMA</t>
        </is>
      </c>
      <c r="R775" s="72" t="inlineStr">
        <is>
          <t>DESPESAS NAO OPERACIONAIS</t>
        </is>
      </c>
      <c r="S775" s="70" t="n">
        <v>4220199</v>
      </c>
      <c r="T775" s="72" t="inlineStr">
        <is>
          <t>PAGAMENTOS OUTROS NAO OPERACIONAIS</t>
        </is>
      </c>
      <c r="U775" s="73" t="n">
        <v>8000</v>
      </c>
      <c r="W775" s="73" t="n">
        <v>0</v>
      </c>
      <c r="X775" s="72" t="inlineStr">
        <is>
          <t>PL NEILA BRADESCO - KEILA</t>
        </is>
      </c>
      <c r="Z775" s="59">
        <f>IF($T775="","",IFERROR(INDEX('Resumo Grupos'!$AC$3:$AC$200,MATCH($T775,'Resumo Grupos'!$AB$3:$AB$200,0)),"n/d"))</f>
        <v/>
      </c>
      <c r="AA775" s="59">
        <f>IF($T775="","",IF(COUNTIF('Resumo Grupos'!$AE$3:$AE$40,$T775)&gt;0,"NAO","SIM"))</f>
        <v/>
      </c>
    </row>
    <row r="776" ht="36.75" customHeight="1" s="60">
      <c r="A776" s="70" t="n">
        <v>1</v>
      </c>
      <c r="B776" s="71" t="n">
        <v>46204</v>
      </c>
      <c r="C776" s="71" t="n">
        <v>46204</v>
      </c>
      <c r="D776" s="70" t="n">
        <v>1137</v>
      </c>
      <c r="E776" s="72" t="inlineStr">
        <is>
          <t xml:space="preserve">FOLHA DE PAGAMENTO </t>
        </is>
      </c>
      <c r="F776" s="70" t="n">
        <v>34</v>
      </c>
      <c r="G776" s="72" t="inlineStr">
        <is>
          <t>Transferencia Pix</t>
        </is>
      </c>
      <c r="H776" s="70" t="n">
        <v>2110405</v>
      </c>
      <c r="I776" s="72" t="inlineStr">
        <is>
          <t>CONTAS A PAGAR</t>
        </is>
      </c>
      <c r="J776" s="70" t="n">
        <v>1336399</v>
      </c>
      <c r="L776" s="70" t="n">
        <v>552326</v>
      </c>
      <c r="M776" s="72" t="inlineStr">
        <is>
          <t>01</t>
        </is>
      </c>
      <c r="N776" s="72" t="inlineStr">
        <is>
          <t>AVU</t>
        </is>
      </c>
      <c r="P776" s="70" t="n">
        <v>101</v>
      </c>
      <c r="Q776" s="72" t="inlineStr">
        <is>
          <t>KEILA LIMA</t>
        </is>
      </c>
      <c r="R776" s="72" t="inlineStr">
        <is>
          <t>DESPESAS COM PESSOAL</t>
        </is>
      </c>
      <c r="S776" s="70" t="n">
        <v>4210309</v>
      </c>
      <c r="T776" s="72" t="inlineStr">
        <is>
          <t>VALE TRANSPORTE</t>
        </is>
      </c>
      <c r="U776" s="73" t="n">
        <v>1760</v>
      </c>
      <c r="W776" s="73" t="n">
        <v>0</v>
      </c>
      <c r="X776" s="72" t="inlineStr">
        <is>
          <t>PAG VALE TRANSP FUNC MO1 07/26 - KEILA</t>
        </is>
      </c>
      <c r="Z776" s="59">
        <f>IF($T776="","",IFERROR(INDEX('Resumo Grupos'!$AC$3:$AC$200,MATCH($T776,'Resumo Grupos'!$AB$3:$AB$200,0)),"n/d"))</f>
        <v/>
      </c>
      <c r="AA776" s="59">
        <f>IF($T776="","",IF(COUNTIF('Resumo Grupos'!$AE$3:$AE$40,$T776)&gt;0,"NAO","SIM"))</f>
        <v/>
      </c>
    </row>
    <row r="777" ht="36.75" customHeight="1" s="60">
      <c r="A777" s="70" t="n">
        <v>1</v>
      </c>
      <c r="B777" s="71" t="n">
        <v>46204</v>
      </c>
      <c r="C777" s="71" t="n">
        <v>46204</v>
      </c>
      <c r="D777" s="70" t="n">
        <v>1137</v>
      </c>
      <c r="E777" s="72" t="inlineStr">
        <is>
          <t xml:space="preserve">FOLHA DE PAGAMENTO </t>
        </is>
      </c>
      <c r="F777" s="70" t="n">
        <v>34</v>
      </c>
      <c r="G777" s="72" t="inlineStr">
        <is>
          <t>Transferencia Pix</t>
        </is>
      </c>
      <c r="H777" s="70" t="n">
        <v>2110405</v>
      </c>
      <c r="I777" s="72" t="inlineStr">
        <is>
          <t>CONTAS A PAGAR</t>
        </is>
      </c>
      <c r="J777" s="70" t="n">
        <v>1336404</v>
      </c>
      <c r="L777" s="70" t="n">
        <v>552329</v>
      </c>
      <c r="M777" s="72" t="inlineStr">
        <is>
          <t>01</t>
        </is>
      </c>
      <c r="N777" s="72" t="inlineStr">
        <is>
          <t>AVU</t>
        </is>
      </c>
      <c r="P777" s="70" t="n">
        <v>101</v>
      </c>
      <c r="Q777" s="72" t="inlineStr">
        <is>
          <t>KEILA LIMA</t>
        </is>
      </c>
      <c r="R777" s="72" t="inlineStr">
        <is>
          <t>DESPESAS COM PESSOAL</t>
        </is>
      </c>
      <c r="S777" s="70" t="n">
        <v>4210309</v>
      </c>
      <c r="T777" s="72" t="inlineStr">
        <is>
          <t>VALE TRANSPORTE</t>
        </is>
      </c>
      <c r="U777" s="73" t="n">
        <v>540</v>
      </c>
      <c r="W777" s="73" t="n">
        <v>0</v>
      </c>
      <c r="X777" s="72" t="inlineStr">
        <is>
          <t>PAG. VALE TRANSP ESCRITORIO 07/26 - KEILA</t>
        </is>
      </c>
      <c r="Z777" s="59">
        <f>IF($T777="","",IFERROR(INDEX('Resumo Grupos'!$AC$3:$AC$200,MATCH($T777,'Resumo Grupos'!$AB$3:$AB$200,0)),"n/d"))</f>
        <v/>
      </c>
      <c r="AA777" s="59">
        <f>IF($T777="","",IF(COUNTIF('Resumo Grupos'!$AE$3:$AE$40,$T777)&gt;0,"NAO","SIM"))</f>
        <v/>
      </c>
    </row>
    <row r="778" ht="36.75" customHeight="1" s="60">
      <c r="A778" s="70" t="n">
        <v>1</v>
      </c>
      <c r="B778" s="71" t="n">
        <v>46204</v>
      </c>
      <c r="C778" s="71" t="n">
        <v>46204</v>
      </c>
      <c r="D778" s="70" t="n">
        <v>515</v>
      </c>
      <c r="E778" s="72" t="inlineStr">
        <is>
          <t>ITAU SA</t>
        </is>
      </c>
      <c r="F778" s="70" t="n">
        <v>34</v>
      </c>
      <c r="G778" s="72" t="inlineStr">
        <is>
          <t>Transferencia Pix</t>
        </is>
      </c>
      <c r="H778" s="70" t="n">
        <v>1110202</v>
      </c>
      <c r="I778" s="72" t="inlineStr">
        <is>
          <t>BANCO ITAU Lj 01</t>
        </is>
      </c>
      <c r="J778" s="70" t="n">
        <v>1345007</v>
      </c>
      <c r="L778" s="70" t="n">
        <v>555608</v>
      </c>
      <c r="M778" s="72" t="inlineStr">
        <is>
          <t>01</t>
        </is>
      </c>
      <c r="N778" s="72" t="inlineStr">
        <is>
          <t>AVU</t>
        </is>
      </c>
      <c r="P778" s="70" t="n">
        <v>102</v>
      </c>
      <c r="Q778" s="72" t="inlineStr">
        <is>
          <t>ANDREZA ANDRADE</t>
        </is>
      </c>
      <c r="R778" s="72" t="inlineStr">
        <is>
          <t>DESPESAS NAO OPERACIONAIS</t>
        </is>
      </c>
      <c r="S778" s="70" t="n">
        <v>4220199</v>
      </c>
      <c r="T778" s="72" t="inlineStr">
        <is>
          <t>PAGAMENTOS OUTROS NAO OPERACIONAIS</t>
        </is>
      </c>
      <c r="U778" s="73" t="n">
        <v>279.64</v>
      </c>
      <c r="W778" s="73" t="n">
        <v>0</v>
      </c>
      <c r="X778" s="72" t="inlineStr">
        <is>
          <t>COBERTURA DE CONTA E S O MO1- ANDREZA</t>
        </is>
      </c>
      <c r="Z778" s="59">
        <f>IF($T778="","",IFERROR(INDEX('Resumo Grupos'!$AC$3:$AC$200,MATCH($T778,'Resumo Grupos'!$AB$3:$AB$200,0)),"n/d"))</f>
        <v/>
      </c>
      <c r="AA778" s="59">
        <f>IF($T778="","",IF(COUNTIF('Resumo Grupos'!$AE$3:$AE$40,$T778)&gt;0,"NAO","SIM"))</f>
        <v/>
      </c>
    </row>
    <row r="779" ht="27.75" customHeight="1" s="60">
      <c r="A779" s="70" t="n">
        <v>1</v>
      </c>
      <c r="B779" s="71" t="n">
        <v>46114</v>
      </c>
      <c r="C779" s="71" t="n">
        <v>46205</v>
      </c>
      <c r="D779" s="70" t="n">
        <v>1460</v>
      </c>
      <c r="E779" s="72" t="inlineStr">
        <is>
          <t>CISS CONTABIL SERVIÇOS</t>
        </is>
      </c>
      <c r="F779" s="70" t="n">
        <v>24</v>
      </c>
      <c r="G779" s="72" t="inlineStr">
        <is>
          <t>Compra a Prazo - Boletos</t>
        </is>
      </c>
      <c r="H779" s="70" t="n">
        <v>2110405</v>
      </c>
      <c r="I779" s="72" t="inlineStr">
        <is>
          <t>CONTAS A PAGAR</t>
        </is>
      </c>
      <c r="J779" s="70" t="n">
        <v>920174</v>
      </c>
      <c r="L779" s="70" t="n">
        <v>391878</v>
      </c>
      <c r="M779" s="72" t="inlineStr">
        <is>
          <t>04</t>
        </is>
      </c>
      <c r="N779" s="72" t="inlineStr">
        <is>
          <t>AVU</t>
        </is>
      </c>
      <c r="P779" s="70" t="n">
        <v>101</v>
      </c>
      <c r="Q779" s="72" t="inlineStr">
        <is>
          <t>KEILA LIMA</t>
        </is>
      </c>
      <c r="R779" s="72" t="inlineStr">
        <is>
          <t>DESPESAS NAO OPERACIONAIS</t>
        </is>
      </c>
      <c r="S779" s="70" t="n">
        <v>4220199</v>
      </c>
      <c r="T779" s="72" t="inlineStr">
        <is>
          <t>PAGAMENTOS OUTROS NAO OPERACIONAIS</t>
        </is>
      </c>
      <c r="U779" s="73" t="n">
        <v>711.6900000000001</v>
      </c>
      <c r="W779" s="73" t="n">
        <v>0</v>
      </c>
      <c r="X779" s="72" t="inlineStr">
        <is>
          <t xml:space="preserve">MENS CISS LOJAS IMPLANTACAO MO1 </t>
        </is>
      </c>
      <c r="Z779" s="59">
        <f>IF($T779="","",IFERROR(INDEX('Resumo Grupos'!$AC$3:$AC$200,MATCH($T779,'Resumo Grupos'!$AB$3:$AB$200,0)),"n/d"))</f>
        <v/>
      </c>
      <c r="AA779" s="59">
        <f>IF($T779="","",IF(COUNTIF('Resumo Grupos'!$AE$3:$AE$40,$T779)&gt;0,"NAO","SIM"))</f>
        <v/>
      </c>
    </row>
    <row r="780" ht="27.75" customHeight="1" s="60">
      <c r="A780" s="70" t="n">
        <v>1</v>
      </c>
      <c r="B780" s="71" t="n">
        <v>46168</v>
      </c>
      <c r="C780" s="71" t="n">
        <v>46205</v>
      </c>
      <c r="D780" s="70" t="n">
        <v>10020</v>
      </c>
      <c r="E780" s="72" t="inlineStr">
        <is>
          <t>E. SALES DO NASCIMENTO</t>
        </is>
      </c>
      <c r="F780" s="70" t="n">
        <v>24</v>
      </c>
      <c r="G780" s="72" t="inlineStr">
        <is>
          <t>Compra a Prazo - Boletos</t>
        </is>
      </c>
      <c r="H780" s="70" t="n">
        <v>2110101</v>
      </c>
      <c r="I780" s="72" t="inlineStr">
        <is>
          <t>FORNECEDORES DE MERCADORIA</t>
        </is>
      </c>
      <c r="J780" s="70" t="n">
        <v>1156884</v>
      </c>
      <c r="L780" s="70" t="n">
        <v>573</v>
      </c>
      <c r="M780" s="72" t="inlineStr">
        <is>
          <t>06</t>
        </is>
      </c>
      <c r="N780" s="72" t="inlineStr">
        <is>
          <t>NFE</t>
        </is>
      </c>
      <c r="P780" s="70" t="n">
        <v>103</v>
      </c>
      <c r="Q780" s="72" t="inlineStr">
        <is>
          <t>MILKA FRANCIS</t>
        </is>
      </c>
      <c r="R780" s="72" t="inlineStr">
        <is>
          <t>ESTOQUE DE MERCADORIAS</t>
        </is>
      </c>
      <c r="S780" s="70" t="n">
        <v>1130101</v>
      </c>
      <c r="T780" s="72" t="inlineStr">
        <is>
          <t>MERCADORIAS P/REVENDA</t>
        </is>
      </c>
      <c r="U780" s="73" t="n">
        <v>503.26</v>
      </c>
      <c r="W780" s="73" t="n">
        <v>0</v>
      </c>
      <c r="X780" s="72" t="inlineStr">
        <is>
          <t>NF 573-06 MILKA</t>
        </is>
      </c>
      <c r="Z780" s="59">
        <f>IF($T780="","",IFERROR(INDEX('Resumo Grupos'!$AC$3:$AC$200,MATCH($T780,'Resumo Grupos'!$AB$3:$AB$200,0)),"n/d"))</f>
        <v/>
      </c>
      <c r="AA780" s="59">
        <f>IF($T780="","",IF(COUNTIF('Resumo Grupos'!$AE$3:$AE$40,$T780)&gt;0,"NAO","SIM"))</f>
        <v/>
      </c>
    </row>
    <row r="781" ht="27.75" customHeight="1" s="60">
      <c r="A781" s="70" t="n">
        <v>1</v>
      </c>
      <c r="B781" s="71" t="n">
        <v>46175</v>
      </c>
      <c r="C781" s="71" t="n">
        <v>46205</v>
      </c>
      <c r="D781" s="70" t="n">
        <v>49</v>
      </c>
      <c r="E781" s="72" t="inlineStr">
        <is>
          <t>AZEVEDO E SILVA LTDA</t>
        </is>
      </c>
      <c r="F781" s="70" t="n">
        <v>34</v>
      </c>
      <c r="G781" s="72" t="inlineStr">
        <is>
          <t>Transferencia Pix</t>
        </is>
      </c>
      <c r="H781" s="70" t="n">
        <v>1110202</v>
      </c>
      <c r="I781" s="72" t="inlineStr">
        <is>
          <t>BANCO ITAU Lj 01</t>
        </is>
      </c>
      <c r="J781" s="70" t="n">
        <v>1192282</v>
      </c>
      <c r="L781" s="70" t="n">
        <v>496259</v>
      </c>
      <c r="M781" s="72" t="inlineStr">
        <is>
          <t>01</t>
        </is>
      </c>
      <c r="N781" s="72" t="inlineStr">
        <is>
          <t>AVU</t>
        </is>
      </c>
      <c r="P781" s="70" t="n">
        <v>101</v>
      </c>
      <c r="Q781" s="72" t="inlineStr">
        <is>
          <t>KEILA LIMA</t>
        </is>
      </c>
      <c r="R781" s="72" t="inlineStr">
        <is>
          <t>EMPRESTIMOS BANCARIOS</t>
        </is>
      </c>
      <c r="S781" s="70" t="n">
        <v>2110901</v>
      </c>
      <c r="T781" s="72" t="inlineStr">
        <is>
          <t>EMPRESTIMOS BANCARIOS A PAGAR</t>
        </is>
      </c>
      <c r="U781" s="73" t="n">
        <v>16292.89</v>
      </c>
      <c r="W781" s="73" t="n">
        <v>0</v>
      </c>
      <c r="X781" s="72" t="inlineStr">
        <is>
          <t>PARC 08/48 EMPRESTIMO PARTE MO1 PAGAR P MO5 - KEILA</t>
        </is>
      </c>
      <c r="Z781" s="59">
        <f>IF($T781="","",IFERROR(INDEX('Resumo Grupos'!$AC$3:$AC$200,MATCH($T781,'Resumo Grupos'!$AB$3:$AB$200,0)),"n/d"))</f>
        <v/>
      </c>
      <c r="AA781" s="59">
        <f>IF($T781="","",IF(COUNTIF('Resumo Grupos'!$AE$3:$AE$40,$T781)&gt;0,"NAO","SIM"))</f>
        <v/>
      </c>
    </row>
    <row r="782" ht="27.75" customHeight="1" s="60">
      <c r="A782" s="70" t="n">
        <v>1</v>
      </c>
      <c r="B782" s="71" t="n">
        <v>46188</v>
      </c>
      <c r="C782" s="71" t="n">
        <v>46205</v>
      </c>
      <c r="D782" s="70" t="n">
        <v>1636</v>
      </c>
      <c r="E782" s="72" t="inlineStr">
        <is>
          <t>DUNORTE DISTRIBUIDORA DE PRODUTOS DE CONSUMO LTDA</t>
        </is>
      </c>
      <c r="F782" s="70" t="n">
        <v>24</v>
      </c>
      <c r="G782" s="72" t="inlineStr">
        <is>
          <t>Compra a Prazo - Boletos</t>
        </is>
      </c>
      <c r="H782" s="70" t="n">
        <v>2110101</v>
      </c>
      <c r="I782" s="72" t="inlineStr">
        <is>
          <t>FORNECEDORES DE MERCADORIA</t>
        </is>
      </c>
      <c r="J782" s="70" t="n">
        <v>1256327</v>
      </c>
      <c r="L782" s="70" t="n">
        <v>3201285</v>
      </c>
      <c r="M782" s="72" t="inlineStr">
        <is>
          <t>01</t>
        </is>
      </c>
      <c r="N782" s="72" t="inlineStr">
        <is>
          <t>NFE</t>
        </is>
      </c>
      <c r="P782" s="70" t="n">
        <v>103</v>
      </c>
      <c r="Q782" s="72" t="inlineStr">
        <is>
          <t>MILKA FRANCIS</t>
        </is>
      </c>
      <c r="R782" s="72" t="inlineStr">
        <is>
          <t>ESTOQUE DE MERCADORIAS</t>
        </is>
      </c>
      <c r="S782" s="70" t="n">
        <v>1130101</v>
      </c>
      <c r="T782" s="72" t="inlineStr">
        <is>
          <t>MERCADORIAS P/REVENDA</t>
        </is>
      </c>
      <c r="U782" s="73" t="n">
        <v>538.38</v>
      </c>
      <c r="W782" s="73" t="n">
        <v>0</v>
      </c>
      <c r="X782" s="72" t="inlineStr">
        <is>
          <t>NF 3201285 - MILKA</t>
        </is>
      </c>
      <c r="Z782" s="59">
        <f>IF($T782="","",IFERROR(INDEX('Resumo Grupos'!$AC$3:$AC$200,MATCH($T782,'Resumo Grupos'!$AB$3:$AB$200,0)),"n/d"))</f>
        <v/>
      </c>
      <c r="AA782" s="59">
        <f>IF($T782="","",IF(COUNTIF('Resumo Grupos'!$AE$3:$AE$40,$T782)&gt;0,"NAO","SIM"))</f>
        <v/>
      </c>
    </row>
    <row r="783" ht="27.75" customHeight="1" s="60">
      <c r="A783" s="70" t="n">
        <v>1</v>
      </c>
      <c r="B783" s="71" t="n">
        <v>46188</v>
      </c>
      <c r="C783" s="71" t="n">
        <v>46205</v>
      </c>
      <c r="D783" s="70" t="n">
        <v>1740</v>
      </c>
      <c r="E783" s="72" t="inlineStr">
        <is>
          <t>OCIDENTAL COMERCIO DE FRIOS LTDA</t>
        </is>
      </c>
      <c r="F783" s="70" t="n">
        <v>24</v>
      </c>
      <c r="G783" s="72" t="inlineStr">
        <is>
          <t>Compra a Prazo - Boletos</t>
        </is>
      </c>
      <c r="H783" s="70" t="n">
        <v>2110101</v>
      </c>
      <c r="I783" s="72" t="inlineStr">
        <is>
          <t>FORNECEDORES DE MERCADORIA</t>
        </is>
      </c>
      <c r="J783" s="70" t="n">
        <v>1256368</v>
      </c>
      <c r="L783" s="70" t="n">
        <v>1236075</v>
      </c>
      <c r="M783" s="72" t="inlineStr">
        <is>
          <t>01</t>
        </is>
      </c>
      <c r="N783" s="72" t="inlineStr">
        <is>
          <t>NFE</t>
        </is>
      </c>
      <c r="P783" s="70" t="n">
        <v>103</v>
      </c>
      <c r="Q783" s="72" t="inlineStr">
        <is>
          <t>MILKA FRANCIS</t>
        </is>
      </c>
      <c r="R783" s="72" t="inlineStr">
        <is>
          <t>ESTOQUE DE MERCADORIAS</t>
        </is>
      </c>
      <c r="S783" s="70" t="n">
        <v>1130101</v>
      </c>
      <c r="T783" s="72" t="inlineStr">
        <is>
          <t>MERCADORIAS P/REVENDA</t>
        </is>
      </c>
      <c r="U783" s="73" t="n">
        <v>998.52</v>
      </c>
      <c r="W783" s="73" t="n">
        <v>0</v>
      </c>
      <c r="X783" s="72" t="inlineStr">
        <is>
          <t>NF 1236075 - MILKA</t>
        </is>
      </c>
      <c r="Z783" s="59">
        <f>IF($T783="","",IFERROR(INDEX('Resumo Grupos'!$AC$3:$AC$200,MATCH($T783,'Resumo Grupos'!$AB$3:$AB$200,0)),"n/d"))</f>
        <v/>
      </c>
      <c r="AA783" s="59">
        <f>IF($T783="","",IF(COUNTIF('Resumo Grupos'!$AE$3:$AE$40,$T783)&gt;0,"NAO","SIM"))</f>
        <v/>
      </c>
    </row>
    <row r="784" ht="45.75" customHeight="1" s="60">
      <c r="A784" s="70" t="n">
        <v>1</v>
      </c>
      <c r="B784" s="71" t="n">
        <v>46188</v>
      </c>
      <c r="C784" s="71" t="n">
        <v>46205</v>
      </c>
      <c r="D784" s="70" t="n">
        <v>1637</v>
      </c>
      <c r="E784" s="72" t="inlineStr">
        <is>
          <t>ATACADAO S.A.</t>
        </is>
      </c>
      <c r="F784" s="70" t="n">
        <v>24</v>
      </c>
      <c r="G784" s="72" t="inlineStr">
        <is>
          <t>Compra a Prazo - Boletos</t>
        </is>
      </c>
      <c r="H784" s="70" t="n">
        <v>2110101</v>
      </c>
      <c r="I784" s="72" t="inlineStr">
        <is>
          <t>FORNECEDORES DE MERCADORIA</t>
        </is>
      </c>
      <c r="J784" s="70" t="n">
        <v>1256554</v>
      </c>
      <c r="L784" s="70" t="n">
        <v>1890669</v>
      </c>
      <c r="M784" s="72" t="inlineStr">
        <is>
          <t>01</t>
        </is>
      </c>
      <c r="N784" s="72" t="inlineStr">
        <is>
          <t>NFE</t>
        </is>
      </c>
      <c r="P784" s="70" t="n">
        <v>103</v>
      </c>
      <c r="Q784" s="72" t="inlineStr">
        <is>
          <t>MILKA FRANCIS</t>
        </is>
      </c>
      <c r="R784" s="72" t="inlineStr">
        <is>
          <t>ESTOQUE DE MERCADORIAS</t>
        </is>
      </c>
      <c r="S784" s="70" t="n">
        <v>1130101</v>
      </c>
      <c r="T784" s="72" t="inlineStr">
        <is>
          <t>MERCADORIAS P/REVENDA</t>
        </is>
      </c>
      <c r="U784" s="73" t="n">
        <v>1837.5</v>
      </c>
      <c r="W784" s="73" t="n">
        <v>0</v>
      </c>
      <c r="X784" s="72" t="inlineStr">
        <is>
          <t>NF 1890669 - MILKA</t>
        </is>
      </c>
      <c r="Z784" s="59">
        <f>IF($T784="","",IFERROR(INDEX('Resumo Grupos'!$AC$3:$AC$200,MATCH($T784,'Resumo Grupos'!$AB$3:$AB$200,0)),"n/d"))</f>
        <v/>
      </c>
      <c r="AA784" s="59">
        <f>IF($T784="","",IF(COUNTIF('Resumo Grupos'!$AE$3:$AE$40,$T784)&gt;0,"NAO","SIM"))</f>
        <v/>
      </c>
    </row>
    <row r="785" ht="45.75" customHeight="1" s="60">
      <c r="A785" s="70" t="n">
        <v>1</v>
      </c>
      <c r="B785" s="71" t="n">
        <v>46189</v>
      </c>
      <c r="C785" s="71" t="n">
        <v>46205</v>
      </c>
      <c r="D785" s="70" t="n">
        <v>10012</v>
      </c>
      <c r="E785" s="72" t="inlineStr">
        <is>
          <t>SB COMERCIO LTDA</t>
        </is>
      </c>
      <c r="F785" s="70" t="n">
        <v>24</v>
      </c>
      <c r="G785" s="72" t="inlineStr">
        <is>
          <t>Compra a Prazo - Boletos</t>
        </is>
      </c>
      <c r="H785" s="70" t="n">
        <v>2110101</v>
      </c>
      <c r="I785" s="72" t="inlineStr">
        <is>
          <t>FORNECEDORES DE MERCADORIA</t>
        </is>
      </c>
      <c r="J785" s="70" t="n">
        <v>1261364</v>
      </c>
      <c r="L785" s="70" t="n">
        <v>1957890</v>
      </c>
      <c r="M785" s="72" t="inlineStr">
        <is>
          <t>01</t>
        </is>
      </c>
      <c r="N785" s="72" t="inlineStr">
        <is>
          <t>NFE</t>
        </is>
      </c>
      <c r="P785" s="70" t="n">
        <v>103</v>
      </c>
      <c r="Q785" s="72" t="inlineStr">
        <is>
          <t>MILKA FRANCIS</t>
        </is>
      </c>
      <c r="R785" s="72" t="inlineStr">
        <is>
          <t>ESTOQUE DE MERCADORIAS</t>
        </is>
      </c>
      <c r="S785" s="70" t="n">
        <v>1130101</v>
      </c>
      <c r="T785" s="72" t="inlineStr">
        <is>
          <t>MERCADORIAS P/REVENDA</t>
        </is>
      </c>
      <c r="U785" s="73" t="n">
        <v>3937.78</v>
      </c>
      <c r="W785" s="73" t="n">
        <v>0</v>
      </c>
      <c r="X785" s="72" t="inlineStr">
        <is>
          <t>NF 1957890-1 MILKA</t>
        </is>
      </c>
      <c r="Z785" s="59">
        <f>IF($T785="","",IFERROR(INDEX('Resumo Grupos'!$AC$3:$AC$200,MATCH($T785,'Resumo Grupos'!$AB$3:$AB$200,0)),"n/d"))</f>
        <v/>
      </c>
      <c r="AA785" s="59">
        <f>IF($T785="","",IF(COUNTIF('Resumo Grupos'!$AE$3:$AE$40,$T785)&gt;0,"NAO","SIM"))</f>
        <v/>
      </c>
    </row>
    <row r="786" ht="27.75" customHeight="1" s="60">
      <c r="A786" s="70" t="n">
        <v>1</v>
      </c>
      <c r="B786" s="71" t="n">
        <v>46189</v>
      </c>
      <c r="C786" s="71" t="n">
        <v>46205</v>
      </c>
      <c r="D786" s="70" t="n">
        <v>1659</v>
      </c>
      <c r="E786" s="72" t="inlineStr">
        <is>
          <t>ADRIANA DISTRIBUIDORA DE PRODUTOS ALIMEN</t>
        </is>
      </c>
      <c r="F786" s="70" t="n">
        <v>24</v>
      </c>
      <c r="G786" s="72" t="inlineStr">
        <is>
          <t>Compra a Prazo - Boletos</t>
        </is>
      </c>
      <c r="H786" s="70" t="n">
        <v>2110101</v>
      </c>
      <c r="I786" s="72" t="inlineStr">
        <is>
          <t>FORNECEDORES DE MERCADORIA</t>
        </is>
      </c>
      <c r="J786" s="70" t="n">
        <v>1262158</v>
      </c>
      <c r="L786" s="70" t="n">
        <v>878848</v>
      </c>
      <c r="M786" s="72" t="inlineStr">
        <is>
          <t>01</t>
        </is>
      </c>
      <c r="N786" s="72" t="inlineStr">
        <is>
          <t>NFE</t>
        </is>
      </c>
      <c r="P786" s="70" t="n">
        <v>103</v>
      </c>
      <c r="Q786" s="72" t="inlineStr">
        <is>
          <t>MILKA FRANCIS</t>
        </is>
      </c>
      <c r="R786" s="72" t="inlineStr">
        <is>
          <t>ESTOQUE DE MERCADORIAS</t>
        </is>
      </c>
      <c r="S786" s="70" t="n">
        <v>1130101</v>
      </c>
      <c r="T786" s="72" t="inlineStr">
        <is>
          <t>MERCADORIAS P/REVENDA</t>
        </is>
      </c>
      <c r="U786" s="73" t="n">
        <v>1402.89</v>
      </c>
      <c r="W786" s="73" t="n">
        <v>0</v>
      </c>
      <c r="X786" s="72" t="inlineStr">
        <is>
          <t>NF 878848-1 MILKA</t>
        </is>
      </c>
      <c r="Z786" s="59">
        <f>IF($T786="","",IFERROR(INDEX('Resumo Grupos'!$AC$3:$AC$200,MATCH($T786,'Resumo Grupos'!$AB$3:$AB$200,0)),"n/d"))</f>
        <v/>
      </c>
      <c r="AA786" s="59">
        <f>IF($T786="","",IF(COUNTIF('Resumo Grupos'!$AE$3:$AE$40,$T786)&gt;0,"NAO","SIM"))</f>
        <v/>
      </c>
    </row>
    <row r="787" ht="36.75" customHeight="1" s="60">
      <c r="A787" s="70" t="n">
        <v>1</v>
      </c>
      <c r="B787" s="71" t="n">
        <v>46190</v>
      </c>
      <c r="C787" s="71" t="n">
        <v>46205</v>
      </c>
      <c r="D787" s="70" t="n">
        <v>1699</v>
      </c>
      <c r="E787" s="72" t="inlineStr">
        <is>
          <t>L S M COMERCIO DE ALIMENTOS E NAVEGACAO</t>
        </is>
      </c>
      <c r="F787" s="70" t="n">
        <v>24</v>
      </c>
      <c r="G787" s="72" t="inlineStr">
        <is>
          <t>Compra a Prazo - Boletos</t>
        </is>
      </c>
      <c r="H787" s="70" t="n">
        <v>2110101</v>
      </c>
      <c r="I787" s="72" t="inlineStr">
        <is>
          <t>FORNECEDORES DE MERCADORIA</t>
        </is>
      </c>
      <c r="J787" s="70" t="n">
        <v>1265932</v>
      </c>
      <c r="L787" s="70" t="n">
        <v>304776</v>
      </c>
      <c r="M787" s="72" t="inlineStr">
        <is>
          <t>01</t>
        </is>
      </c>
      <c r="N787" s="72" t="inlineStr">
        <is>
          <t>NFE</t>
        </is>
      </c>
      <c r="P787" s="70" t="n">
        <v>103</v>
      </c>
      <c r="Q787" s="72" t="inlineStr">
        <is>
          <t>MILKA FRANCIS</t>
        </is>
      </c>
      <c r="R787" s="72" t="inlineStr">
        <is>
          <t>ESTOQUE DE MERCADORIAS</t>
        </is>
      </c>
      <c r="S787" s="70" t="n">
        <v>1130101</v>
      </c>
      <c r="T787" s="72" t="inlineStr">
        <is>
          <t>MERCADORIAS P/REVENDA</t>
        </is>
      </c>
      <c r="U787" s="73" t="n">
        <v>1568.1</v>
      </c>
      <c r="W787" s="73" t="n">
        <v>0</v>
      </c>
      <c r="X787" s="72" t="inlineStr">
        <is>
          <t>NF 304776 -1 MILKA</t>
        </is>
      </c>
      <c r="Z787" s="59">
        <f>IF($T787="","",IFERROR(INDEX('Resumo Grupos'!$AC$3:$AC$200,MATCH($T787,'Resumo Grupos'!$AB$3:$AB$200,0)),"n/d"))</f>
        <v/>
      </c>
      <c r="AA787" s="59">
        <f>IF($T787="","",IF(COUNTIF('Resumo Grupos'!$AE$3:$AE$40,$T787)&gt;0,"NAO","SIM"))</f>
        <v/>
      </c>
    </row>
    <row r="788" ht="36.75" customHeight="1" s="60">
      <c r="A788" s="70" t="n">
        <v>1</v>
      </c>
      <c r="B788" s="71" t="n">
        <v>46193</v>
      </c>
      <c r="C788" s="71" t="n">
        <v>46205</v>
      </c>
      <c r="D788" s="70" t="n">
        <v>1873</v>
      </c>
      <c r="E788" s="72" t="inlineStr">
        <is>
          <t>INDUSTRIA E COM. DE ALIMENTOS MORAES LTD</t>
        </is>
      </c>
      <c r="F788" s="70" t="n">
        <v>24</v>
      </c>
      <c r="G788" s="72" t="inlineStr">
        <is>
          <t>Compra a Prazo - Boletos</t>
        </is>
      </c>
      <c r="H788" s="70" t="n">
        <v>2110101</v>
      </c>
      <c r="I788" s="72" t="inlineStr">
        <is>
          <t>FORNECEDORES DE MERCADORIA</t>
        </is>
      </c>
      <c r="J788" s="70" t="n">
        <v>1279554</v>
      </c>
      <c r="L788" s="70" t="n">
        <v>111495</v>
      </c>
      <c r="M788" s="72" t="inlineStr">
        <is>
          <t>01</t>
        </is>
      </c>
      <c r="N788" s="72" t="inlineStr">
        <is>
          <t>NFE</t>
        </is>
      </c>
      <c r="P788" s="70" t="n">
        <v>103</v>
      </c>
      <c r="Q788" s="72" t="inlineStr">
        <is>
          <t>MILKA FRANCIS</t>
        </is>
      </c>
      <c r="R788" s="72" t="inlineStr">
        <is>
          <t>ESTOQUE DE MERCADORIAS</t>
        </is>
      </c>
      <c r="S788" s="70" t="n">
        <v>1130101</v>
      </c>
      <c r="T788" s="72" t="inlineStr">
        <is>
          <t>MERCADORIAS P/REVENDA</t>
        </is>
      </c>
      <c r="U788" s="73" t="n">
        <v>380</v>
      </c>
      <c r="W788" s="73" t="n">
        <v>0</v>
      </c>
      <c r="X788" s="72" t="inlineStr">
        <is>
          <t>NF 111495 - MILKA</t>
        </is>
      </c>
      <c r="Z788" s="59">
        <f>IF($T788="","",IFERROR(INDEX('Resumo Grupos'!$AC$3:$AC$200,MATCH($T788,'Resumo Grupos'!$AB$3:$AB$200,0)),"n/d"))</f>
        <v/>
      </c>
      <c r="AA788" s="59">
        <f>IF($T788="","",IF(COUNTIF('Resumo Grupos'!$AE$3:$AE$40,$T788)&gt;0,"NAO","SIM"))</f>
        <v/>
      </c>
    </row>
    <row r="789" ht="36.75" customHeight="1" s="60">
      <c r="A789" s="70" t="n">
        <v>1</v>
      </c>
      <c r="B789" s="71" t="n">
        <v>46193</v>
      </c>
      <c r="C789" s="71" t="n">
        <v>46205</v>
      </c>
      <c r="D789" s="70" t="n">
        <v>1636</v>
      </c>
      <c r="E789" s="72" t="inlineStr">
        <is>
          <t>DUNORTE DISTRIBUIDORA DE PRODUTOS DE CONSUMO LTDA</t>
        </is>
      </c>
      <c r="F789" s="70" t="n">
        <v>24</v>
      </c>
      <c r="G789" s="72" t="inlineStr">
        <is>
          <t>Compra a Prazo - Boletos</t>
        </is>
      </c>
      <c r="H789" s="70" t="n">
        <v>2110101</v>
      </c>
      <c r="I789" s="72" t="inlineStr">
        <is>
          <t>FORNECEDORES DE MERCADORIA</t>
        </is>
      </c>
      <c r="J789" s="70" t="n">
        <v>1280589</v>
      </c>
      <c r="L789" s="70" t="n">
        <v>3204501</v>
      </c>
      <c r="M789" s="72" t="inlineStr">
        <is>
          <t>01</t>
        </is>
      </c>
      <c r="N789" s="72" t="inlineStr">
        <is>
          <t>NFE</t>
        </is>
      </c>
      <c r="P789" s="70" t="n">
        <v>103</v>
      </c>
      <c r="Q789" s="72" t="inlineStr">
        <is>
          <t>MILKA FRANCIS</t>
        </is>
      </c>
      <c r="R789" s="72" t="inlineStr">
        <is>
          <t>ESTOQUE DE MERCADORIAS</t>
        </is>
      </c>
      <c r="S789" s="70" t="n">
        <v>1130101</v>
      </c>
      <c r="T789" s="72" t="inlineStr">
        <is>
          <t>MERCADORIAS P/REVENDA</t>
        </is>
      </c>
      <c r="U789" s="73" t="n">
        <v>301.14</v>
      </c>
      <c r="W789" s="73" t="n">
        <v>0</v>
      </c>
      <c r="X789" s="72" t="inlineStr">
        <is>
          <t>NF 3204501 - MILKA</t>
        </is>
      </c>
      <c r="Z789" s="59">
        <f>IF($T789="","",IFERROR(INDEX('Resumo Grupos'!$AC$3:$AC$200,MATCH($T789,'Resumo Grupos'!$AB$3:$AB$200,0)),"n/d"))</f>
        <v/>
      </c>
      <c r="AA789" s="59">
        <f>IF($T789="","",IF(COUNTIF('Resumo Grupos'!$AE$3:$AE$40,$T789)&gt;0,"NAO","SIM"))</f>
        <v/>
      </c>
    </row>
    <row r="790" ht="36.75" customHeight="1" s="60">
      <c r="A790" s="70" t="n">
        <v>1</v>
      </c>
      <c r="B790" s="71" t="n">
        <v>46193</v>
      </c>
      <c r="C790" s="71" t="n">
        <v>46205</v>
      </c>
      <c r="D790" s="70" t="n">
        <v>1657</v>
      </c>
      <c r="E790" s="72" t="inlineStr">
        <is>
          <t>IRMÃOS LIMA  ATACADO  DE ALIMENTOS LTDA</t>
        </is>
      </c>
      <c r="F790" s="70" t="n">
        <v>24</v>
      </c>
      <c r="G790" s="72" t="inlineStr">
        <is>
          <t>Compra a Prazo - Boletos</t>
        </is>
      </c>
      <c r="H790" s="70" t="n">
        <v>2110101</v>
      </c>
      <c r="I790" s="72" t="inlineStr">
        <is>
          <t>FORNECEDORES DE MERCADORIA</t>
        </is>
      </c>
      <c r="J790" s="70" t="n">
        <v>1280916</v>
      </c>
      <c r="L790" s="70" t="n">
        <v>293860</v>
      </c>
      <c r="M790" s="72" t="inlineStr">
        <is>
          <t>01</t>
        </is>
      </c>
      <c r="N790" s="72" t="inlineStr">
        <is>
          <t>NFE</t>
        </is>
      </c>
      <c r="P790" s="70" t="n">
        <v>103</v>
      </c>
      <c r="Q790" s="72" t="inlineStr">
        <is>
          <t>MILKA FRANCIS</t>
        </is>
      </c>
      <c r="R790" s="72" t="inlineStr">
        <is>
          <t>ESTOQUE DE MERCADORIAS</t>
        </is>
      </c>
      <c r="S790" s="70" t="n">
        <v>1130101</v>
      </c>
      <c r="T790" s="72" t="inlineStr">
        <is>
          <t>MERCADORIAS P/REVENDA</t>
        </is>
      </c>
      <c r="U790" s="73" t="n">
        <v>1250.11</v>
      </c>
      <c r="W790" s="73" t="n">
        <v>0</v>
      </c>
      <c r="X790" s="72" t="inlineStr">
        <is>
          <t>374805-A/C  NF293860 - MILKA</t>
        </is>
      </c>
      <c r="Z790" s="59">
        <f>IF($T790="","",IFERROR(INDEX('Resumo Grupos'!$AC$3:$AC$200,MATCH($T790,'Resumo Grupos'!$AB$3:$AB$200,0)),"n/d"))</f>
        <v/>
      </c>
      <c r="AA790" s="59">
        <f>IF($T790="","",IF(COUNTIF('Resumo Grupos'!$AE$3:$AE$40,$T790)&gt;0,"NAO","SIM"))</f>
        <v/>
      </c>
    </row>
    <row r="791" ht="36.75" customHeight="1" s="60">
      <c r="A791" s="70" t="n">
        <v>1</v>
      </c>
      <c r="B791" s="71" t="n">
        <v>46195</v>
      </c>
      <c r="C791" s="71" t="n">
        <v>46205</v>
      </c>
      <c r="D791" s="70" t="n">
        <v>1643</v>
      </c>
      <c r="E791" s="72" t="inlineStr">
        <is>
          <t>T A DE MATTOS COMIM EIRELI</t>
        </is>
      </c>
      <c r="F791" s="70" t="n">
        <v>24</v>
      </c>
      <c r="G791" s="72" t="inlineStr">
        <is>
          <t>Compra a Prazo - Boletos</t>
        </is>
      </c>
      <c r="H791" s="70" t="n">
        <v>2110101</v>
      </c>
      <c r="I791" s="72" t="inlineStr">
        <is>
          <t>FORNECEDORES DE MERCADORIA</t>
        </is>
      </c>
      <c r="J791" s="70" t="n">
        <v>1289278</v>
      </c>
      <c r="L791" s="70" t="n">
        <v>10610</v>
      </c>
      <c r="M791" s="72" t="inlineStr">
        <is>
          <t>01</t>
        </is>
      </c>
      <c r="N791" s="72" t="inlineStr">
        <is>
          <t>NFE</t>
        </is>
      </c>
      <c r="P791" s="70" t="n">
        <v>103</v>
      </c>
      <c r="Q791" s="72" t="inlineStr">
        <is>
          <t>MILKA FRANCIS</t>
        </is>
      </c>
      <c r="R791" s="72" t="inlineStr">
        <is>
          <t>ESTOQUE DE MERCADORIAS</t>
        </is>
      </c>
      <c r="S791" s="70" t="n">
        <v>1130101</v>
      </c>
      <c r="T791" s="72" t="inlineStr">
        <is>
          <t>MERCADORIAS P/REVENDA</t>
        </is>
      </c>
      <c r="U791" s="73" t="n">
        <v>228</v>
      </c>
      <c r="W791" s="73" t="n">
        <v>0</v>
      </c>
      <c r="X791" s="72" t="inlineStr">
        <is>
          <t>NF 10610 CASA NOSTRA  - MILKA</t>
        </is>
      </c>
      <c r="Z791" s="59">
        <f>IF($T791="","",IFERROR(INDEX('Resumo Grupos'!$AC$3:$AC$200,MATCH($T791,'Resumo Grupos'!$AB$3:$AB$200,0)),"n/d"))</f>
        <v/>
      </c>
      <c r="AA791" s="59">
        <f>IF($T791="","",IF(COUNTIF('Resumo Grupos'!$AE$3:$AE$40,$T791)&gt;0,"NAO","SIM"))</f>
        <v/>
      </c>
    </row>
    <row r="792" ht="27.75" customHeight="1" s="60">
      <c r="A792" s="70" t="n">
        <v>1</v>
      </c>
      <c r="B792" s="71" t="n">
        <v>46195</v>
      </c>
      <c r="C792" s="71" t="n">
        <v>46205</v>
      </c>
      <c r="D792" s="70" t="n">
        <v>10019</v>
      </c>
      <c r="E792" s="72" t="inlineStr">
        <is>
          <t>FALCAO INDUSTRIA DE ALIMENTOS LTDA</t>
        </is>
      </c>
      <c r="F792" s="70" t="n">
        <v>24</v>
      </c>
      <c r="G792" s="72" t="inlineStr">
        <is>
          <t>Compra a Prazo - Boletos</t>
        </is>
      </c>
      <c r="H792" s="70" t="n">
        <v>2110101</v>
      </c>
      <c r="I792" s="72" t="inlineStr">
        <is>
          <t>FORNECEDORES DE MERCADORIA</t>
        </is>
      </c>
      <c r="J792" s="70" t="n">
        <v>1289498</v>
      </c>
      <c r="L792" s="70" t="n">
        <v>534462</v>
      </c>
      <c r="M792" s="72" t="inlineStr">
        <is>
          <t>02</t>
        </is>
      </c>
      <c r="N792" s="72" t="inlineStr">
        <is>
          <t>AVU</t>
        </is>
      </c>
      <c r="P792" s="70" t="n">
        <v>103</v>
      </c>
      <c r="Q792" s="72" t="inlineStr">
        <is>
          <t>MILKA FRANCIS</t>
        </is>
      </c>
      <c r="R792" s="72" t="inlineStr">
        <is>
          <t>ESTOQUE DE MERCADORIAS</t>
        </is>
      </c>
      <c r="S792" s="70" t="n">
        <v>1130101</v>
      </c>
      <c r="T792" s="72" t="inlineStr">
        <is>
          <t>MERCADORIAS P/REVENDA</t>
        </is>
      </c>
      <c r="U792" s="73" t="n">
        <v>3066.49</v>
      </c>
      <c r="W792" s="73" t="n">
        <v>0</v>
      </c>
      <c r="X792" s="72" t="inlineStr">
        <is>
          <t>77054/2  NF30443 - MILKA</t>
        </is>
      </c>
      <c r="Z792" s="59">
        <f>IF($T792="","",IFERROR(INDEX('Resumo Grupos'!$AC$3:$AC$200,MATCH($T792,'Resumo Grupos'!$AB$3:$AB$200,0)),"n/d"))</f>
        <v/>
      </c>
      <c r="AA792" s="59">
        <f>IF($T792="","",IF(COUNTIF('Resumo Grupos'!$AE$3:$AE$40,$T792)&gt;0,"NAO","SIM"))</f>
        <v/>
      </c>
    </row>
    <row r="793" ht="27.75" customHeight="1" s="60">
      <c r="A793" s="70" t="n">
        <v>1</v>
      </c>
      <c r="B793" s="71" t="n">
        <v>46195</v>
      </c>
      <c r="C793" s="71" t="n">
        <v>46205</v>
      </c>
      <c r="D793" s="70" t="n">
        <v>10002</v>
      </c>
      <c r="E793" s="72" t="inlineStr">
        <is>
          <t>DA FRUTA DISTRIBUIDORA LTDA</t>
        </is>
      </c>
      <c r="F793" s="70" t="n">
        <v>24</v>
      </c>
      <c r="G793" s="72" t="inlineStr">
        <is>
          <t>Compra a Prazo - Boletos</t>
        </is>
      </c>
      <c r="H793" s="70" t="n">
        <v>2110101</v>
      </c>
      <c r="I793" s="72" t="inlineStr">
        <is>
          <t>FORNECEDORES DE MERCADORIA</t>
        </is>
      </c>
      <c r="J793" s="70" t="n">
        <v>1290025</v>
      </c>
      <c r="L793" s="70" t="n">
        <v>195984</v>
      </c>
      <c r="M793" s="72" t="inlineStr">
        <is>
          <t>01</t>
        </is>
      </c>
      <c r="N793" s="72" t="inlineStr">
        <is>
          <t>NFE</t>
        </is>
      </c>
      <c r="P793" s="70" t="n">
        <v>103</v>
      </c>
      <c r="Q793" s="72" t="inlineStr">
        <is>
          <t>MILKA FRANCIS</t>
        </is>
      </c>
      <c r="R793" s="72" t="inlineStr">
        <is>
          <t>ESTOQUE DE MERCADORIAS</t>
        </is>
      </c>
      <c r="S793" s="70" t="n">
        <v>1130101</v>
      </c>
      <c r="T793" s="72" t="inlineStr">
        <is>
          <t>MERCADORIAS P/REVENDA</t>
        </is>
      </c>
      <c r="U793" s="73" t="n">
        <v>830.88</v>
      </c>
      <c r="W793" s="73" t="n">
        <v>0</v>
      </c>
      <c r="X793" s="72" t="inlineStr">
        <is>
          <t>NF 195984 - MILKA</t>
        </is>
      </c>
      <c r="Z793" s="59">
        <f>IF($T793="","",IFERROR(INDEX('Resumo Grupos'!$AC$3:$AC$200,MATCH($T793,'Resumo Grupos'!$AB$3:$AB$200,0)),"n/d"))</f>
        <v/>
      </c>
      <c r="AA793" s="59">
        <f>IF($T793="","",IF(COUNTIF('Resumo Grupos'!$AE$3:$AE$40,$T793)&gt;0,"NAO","SIM"))</f>
        <v/>
      </c>
    </row>
    <row r="794" ht="27.75" customHeight="1" s="60">
      <c r="A794" s="70" t="n">
        <v>1</v>
      </c>
      <c r="B794" s="71" t="n">
        <v>46199</v>
      </c>
      <c r="C794" s="71" t="n">
        <v>46205</v>
      </c>
      <c r="D794" s="70" t="n">
        <v>1614</v>
      </c>
      <c r="E794" s="72" t="inlineStr">
        <is>
          <t>C. R. PARENTE ABREU</t>
        </is>
      </c>
      <c r="F794" s="70" t="n">
        <v>24</v>
      </c>
      <c r="G794" s="72" t="inlineStr">
        <is>
          <t>Compra a Prazo - Boletos</t>
        </is>
      </c>
      <c r="H794" s="70" t="n">
        <v>2110101</v>
      </c>
      <c r="I794" s="72" t="inlineStr">
        <is>
          <t>FORNECEDORES DE MERCADORIA</t>
        </is>
      </c>
      <c r="J794" s="70" t="n">
        <v>1308813</v>
      </c>
      <c r="L794" s="70" t="n">
        <v>11315</v>
      </c>
      <c r="M794" s="72" t="inlineStr">
        <is>
          <t>02</t>
        </is>
      </c>
      <c r="N794" s="72" t="inlineStr">
        <is>
          <t>NFE</t>
        </is>
      </c>
      <c r="P794" s="70" t="n">
        <v>103</v>
      </c>
      <c r="Q794" s="72" t="inlineStr">
        <is>
          <t>MILKA FRANCIS</t>
        </is>
      </c>
      <c r="R794" s="72" t="inlineStr">
        <is>
          <t>ESTOQUE DE MERCADORIAS</t>
        </is>
      </c>
      <c r="S794" s="70" t="n">
        <v>1130101</v>
      </c>
      <c r="T794" s="72" t="inlineStr">
        <is>
          <t>MERCADORIAS P/REVENDA</t>
        </is>
      </c>
      <c r="U794" s="73" t="n">
        <v>459.59</v>
      </c>
      <c r="W794" s="73" t="n">
        <v>0</v>
      </c>
      <c r="X794" s="72" t="inlineStr">
        <is>
          <t>NF 11315-02 MILKA</t>
        </is>
      </c>
      <c r="Z794" s="59">
        <f>IF($T794="","",IFERROR(INDEX('Resumo Grupos'!$AC$3:$AC$200,MATCH($T794,'Resumo Grupos'!$AB$3:$AB$200,0)),"n/d"))</f>
        <v/>
      </c>
      <c r="AA794" s="59">
        <f>IF($T794="","",IF(COUNTIF('Resumo Grupos'!$AE$3:$AE$40,$T794)&gt;0,"NAO","SIM"))</f>
        <v/>
      </c>
    </row>
    <row r="795" ht="27.75" customHeight="1" s="60">
      <c r="A795" s="70" t="n">
        <v>1</v>
      </c>
      <c r="B795" s="71" t="n">
        <v>46199</v>
      </c>
      <c r="C795" s="71" t="n">
        <v>46205</v>
      </c>
      <c r="D795" s="70" t="n">
        <v>1114</v>
      </c>
      <c r="E795" s="72" t="inlineStr">
        <is>
          <t>NT INDUSTRIA E COMERCIO DE PANIFICACAO L</t>
        </is>
      </c>
      <c r="F795" s="70" t="n">
        <v>24</v>
      </c>
      <c r="G795" s="72" t="inlineStr">
        <is>
          <t>Compra a Prazo - Boletos</t>
        </is>
      </c>
      <c r="H795" s="70" t="n">
        <v>2110101</v>
      </c>
      <c r="I795" s="72" t="inlineStr">
        <is>
          <t>FORNECEDORES DE MERCADORIA</t>
        </is>
      </c>
      <c r="J795" s="70" t="n">
        <v>1308963</v>
      </c>
      <c r="L795" s="70" t="n">
        <v>38858</v>
      </c>
      <c r="M795" s="72" t="inlineStr">
        <is>
          <t>01</t>
        </is>
      </c>
      <c r="N795" s="72" t="inlineStr">
        <is>
          <t>NFE</t>
        </is>
      </c>
      <c r="P795" s="70" t="n">
        <v>103</v>
      </c>
      <c r="Q795" s="72" t="inlineStr">
        <is>
          <t>MILKA FRANCIS</t>
        </is>
      </c>
      <c r="R795" s="72" t="inlineStr">
        <is>
          <t>ESTOQUE DE MERCADORIAS</t>
        </is>
      </c>
      <c r="S795" s="70" t="n">
        <v>1130101</v>
      </c>
      <c r="T795" s="72" t="inlineStr">
        <is>
          <t>MERCADORIAS P/REVENDA</t>
        </is>
      </c>
      <c r="U795" s="73" t="n">
        <v>5651.65</v>
      </c>
      <c r="W795" s="73" t="n">
        <v>0</v>
      </c>
      <c r="X795" s="72" t="inlineStr">
        <is>
          <t>NF 38858 MILKA</t>
        </is>
      </c>
      <c r="Z795" s="59">
        <f>IF($T795="","",IFERROR(INDEX('Resumo Grupos'!$AC$3:$AC$200,MATCH($T795,'Resumo Grupos'!$AB$3:$AB$200,0)),"n/d"))</f>
        <v/>
      </c>
      <c r="AA795" s="59">
        <f>IF($T795="","",IF(COUNTIF('Resumo Grupos'!$AE$3:$AE$40,$T795)&gt;0,"NAO","SIM"))</f>
        <v/>
      </c>
    </row>
    <row r="796" ht="45.75" customHeight="1" s="60">
      <c r="A796" s="70" t="n">
        <v>1</v>
      </c>
      <c r="B796" s="71" t="n">
        <v>46199</v>
      </c>
      <c r="C796" s="71" t="n">
        <v>46205</v>
      </c>
      <c r="D796" s="70" t="n">
        <v>1123</v>
      </c>
      <c r="E796" s="72" t="inlineStr">
        <is>
          <t>NORTELAC DISTRIBUIDORA DE FRIOS LTDA</t>
        </is>
      </c>
      <c r="F796" s="70" t="n">
        <v>24</v>
      </c>
      <c r="G796" s="72" t="inlineStr">
        <is>
          <t>Compra a Prazo - Boletos</t>
        </is>
      </c>
      <c r="H796" s="70" t="n">
        <v>2110101</v>
      </c>
      <c r="I796" s="72" t="inlineStr">
        <is>
          <t>FORNECEDORES DE MERCADORIA</t>
        </is>
      </c>
      <c r="J796" s="70" t="n">
        <v>1309009</v>
      </c>
      <c r="L796" s="70" t="n">
        <v>42233</v>
      </c>
      <c r="M796" s="72" t="inlineStr">
        <is>
          <t>01</t>
        </is>
      </c>
      <c r="N796" s="72" t="inlineStr">
        <is>
          <t>NFE</t>
        </is>
      </c>
      <c r="P796" s="70" t="n">
        <v>103</v>
      </c>
      <c r="Q796" s="72" t="inlineStr">
        <is>
          <t>MILKA FRANCIS</t>
        </is>
      </c>
      <c r="R796" s="72" t="inlineStr">
        <is>
          <t>ESTOQUE DE MERCADORIAS</t>
        </is>
      </c>
      <c r="S796" s="70" t="n">
        <v>1130101</v>
      </c>
      <c r="T796" s="72" t="inlineStr">
        <is>
          <t>MERCADORIAS P/REVENDA</t>
        </is>
      </c>
      <c r="U796" s="73" t="n">
        <v>1380</v>
      </c>
      <c r="W796" s="73" t="n">
        <v>0</v>
      </c>
      <c r="X796" s="72" t="inlineStr">
        <is>
          <t>NF 42233 - MILKA</t>
        </is>
      </c>
      <c r="Z796" s="59">
        <f>IF($T796="","",IFERROR(INDEX('Resumo Grupos'!$AC$3:$AC$200,MATCH($T796,'Resumo Grupos'!$AB$3:$AB$200,0)),"n/d"))</f>
        <v/>
      </c>
      <c r="AA796" s="59">
        <f>IF($T796="","",IF(COUNTIF('Resumo Grupos'!$AE$3:$AE$40,$T796)&gt;0,"NAO","SIM"))</f>
        <v/>
      </c>
    </row>
    <row r="797" ht="27.75" customHeight="1" s="60">
      <c r="A797" s="70" t="n">
        <v>1</v>
      </c>
      <c r="B797" s="71" t="n">
        <v>46199</v>
      </c>
      <c r="C797" s="71" t="n">
        <v>46205</v>
      </c>
      <c r="D797" s="70" t="n">
        <v>1650</v>
      </c>
      <c r="E797" s="72" t="inlineStr">
        <is>
          <t>FRUTAL INDUSTRIA E COMERCIO LTDA</t>
        </is>
      </c>
      <c r="F797" s="70" t="n">
        <v>24</v>
      </c>
      <c r="G797" s="72" t="inlineStr">
        <is>
          <t>Compra a Prazo - Boletos</t>
        </is>
      </c>
      <c r="H797" s="70" t="n">
        <v>2110101</v>
      </c>
      <c r="I797" s="72" t="inlineStr">
        <is>
          <t>FORNECEDORES DE MERCADORIA</t>
        </is>
      </c>
      <c r="J797" s="70" t="n">
        <v>1309015</v>
      </c>
      <c r="L797" s="70" t="n">
        <v>224467</v>
      </c>
      <c r="M797" s="72" t="inlineStr">
        <is>
          <t>01</t>
        </is>
      </c>
      <c r="N797" s="72" t="inlineStr">
        <is>
          <t>NFE</t>
        </is>
      </c>
      <c r="P797" s="70" t="n">
        <v>103</v>
      </c>
      <c r="Q797" s="72" t="inlineStr">
        <is>
          <t>MILKA FRANCIS</t>
        </is>
      </c>
      <c r="R797" s="72" t="inlineStr">
        <is>
          <t>ESTOQUE DE MERCADORIAS</t>
        </is>
      </c>
      <c r="S797" s="70" t="n">
        <v>1130101</v>
      </c>
      <c r="T797" s="72" t="inlineStr">
        <is>
          <t>MERCADORIAS P/REVENDA</t>
        </is>
      </c>
      <c r="U797" s="73" t="n">
        <v>238.41</v>
      </c>
      <c r="W797" s="73" t="n">
        <v>0</v>
      </c>
      <c r="X797" s="72" t="inlineStr">
        <is>
          <t>NF 224467 - MILKA</t>
        </is>
      </c>
      <c r="Z797" s="59">
        <f>IF($T797="","",IFERROR(INDEX('Resumo Grupos'!$AC$3:$AC$200,MATCH($T797,'Resumo Grupos'!$AB$3:$AB$200,0)),"n/d"))</f>
        <v/>
      </c>
      <c r="AA797" s="59">
        <f>IF($T797="","",IF(COUNTIF('Resumo Grupos'!$AE$3:$AE$40,$T797)&gt;0,"NAO","SIM"))</f>
        <v/>
      </c>
    </row>
    <row r="798" ht="27.75" customHeight="1" s="60">
      <c r="A798" s="70" t="n">
        <v>1</v>
      </c>
      <c r="B798" s="71" t="n">
        <v>46199</v>
      </c>
      <c r="C798" s="71" t="n">
        <v>46205</v>
      </c>
      <c r="D798" s="70" t="n">
        <v>1621</v>
      </c>
      <c r="E798" s="72" t="inlineStr">
        <is>
          <t>CRBS S/A</t>
        </is>
      </c>
      <c r="F798" s="70" t="n">
        <v>24</v>
      </c>
      <c r="G798" s="72" t="inlineStr">
        <is>
          <t>Compra a Prazo - Boletos</t>
        </is>
      </c>
      <c r="H798" s="70" t="n">
        <v>2110101</v>
      </c>
      <c r="I798" s="72" t="inlineStr">
        <is>
          <t>FORNECEDORES DE MERCADORIA</t>
        </is>
      </c>
      <c r="J798" s="70" t="n">
        <v>1309533</v>
      </c>
      <c r="L798" s="70" t="n">
        <v>875362</v>
      </c>
      <c r="M798" s="72" t="inlineStr">
        <is>
          <t>01</t>
        </is>
      </c>
      <c r="N798" s="72" t="inlineStr">
        <is>
          <t>NFE</t>
        </is>
      </c>
      <c r="P798" s="70" t="n">
        <v>103</v>
      </c>
      <c r="Q798" s="72" t="inlineStr">
        <is>
          <t>MILKA FRANCIS</t>
        </is>
      </c>
      <c r="R798" s="72" t="inlineStr">
        <is>
          <t>ESTOQUE DE MERCADORIAS</t>
        </is>
      </c>
      <c r="S798" s="70" t="n">
        <v>1130101</v>
      </c>
      <c r="T798" s="72" t="inlineStr">
        <is>
          <t>MERCADORIAS P/REVENDA</t>
        </is>
      </c>
      <c r="U798" s="73" t="n">
        <v>5631.01</v>
      </c>
      <c r="W798" s="73" t="n">
        <v>0</v>
      </c>
      <c r="X798" s="72" t="inlineStr">
        <is>
          <t>NF 875362 - MILKA</t>
        </is>
      </c>
      <c r="Z798" s="59">
        <f>IF($T798="","",IFERROR(INDEX('Resumo Grupos'!$AC$3:$AC$200,MATCH($T798,'Resumo Grupos'!$AB$3:$AB$200,0)),"n/d"))</f>
        <v/>
      </c>
      <c r="AA798" s="59">
        <f>IF($T798="","",IF(COUNTIF('Resumo Grupos'!$AE$3:$AE$40,$T798)&gt;0,"NAO","SIM"))</f>
        <v/>
      </c>
    </row>
    <row r="799" ht="27.75" customHeight="1" s="60">
      <c r="A799" s="70" t="n">
        <v>1</v>
      </c>
      <c r="B799" s="71" t="n">
        <v>46200</v>
      </c>
      <c r="C799" s="71" t="n">
        <v>46205</v>
      </c>
      <c r="D799" s="70" t="n">
        <v>1024</v>
      </c>
      <c r="E799" s="72" t="inlineStr">
        <is>
          <t>REAL BEBIDAS DA AMAZONIA LTDA</t>
        </is>
      </c>
      <c r="F799" s="70" t="n">
        <v>24</v>
      </c>
      <c r="G799" s="72" t="inlineStr">
        <is>
          <t>Compra a Prazo - Boletos</t>
        </is>
      </c>
      <c r="H799" s="70" t="n">
        <v>2110101</v>
      </c>
      <c r="I799" s="72" t="inlineStr">
        <is>
          <t>FORNECEDORES DE MERCADORIA</t>
        </is>
      </c>
      <c r="J799" s="70" t="n">
        <v>1313525</v>
      </c>
      <c r="L799" s="70" t="n">
        <v>590548</v>
      </c>
      <c r="M799" s="72" t="inlineStr">
        <is>
          <t>01</t>
        </is>
      </c>
      <c r="N799" s="72" t="inlineStr">
        <is>
          <t>NFE</t>
        </is>
      </c>
      <c r="P799" s="70" t="n">
        <v>103</v>
      </c>
      <c r="Q799" s="72" t="inlineStr">
        <is>
          <t>MILKA FRANCIS</t>
        </is>
      </c>
      <c r="R799" s="72" t="inlineStr">
        <is>
          <t>ESTOQUE DE MERCADORIAS</t>
        </is>
      </c>
      <c r="S799" s="70" t="n">
        <v>1130101</v>
      </c>
      <c r="T799" s="72" t="inlineStr">
        <is>
          <t>MERCADORIAS P/REVENDA</t>
        </is>
      </c>
      <c r="U799" s="73" t="n">
        <v>718</v>
      </c>
      <c r="W799" s="73" t="n">
        <v>0</v>
      </c>
      <c r="X799" s="72" t="inlineStr">
        <is>
          <t>NF 590548 - MILKA</t>
        </is>
      </c>
      <c r="Z799" s="59">
        <f>IF($T799="","",IFERROR(INDEX('Resumo Grupos'!$AC$3:$AC$200,MATCH($T799,'Resumo Grupos'!$AB$3:$AB$200,0)),"n/d"))</f>
        <v/>
      </c>
      <c r="AA799" s="59">
        <f>IF($T799="","",IF(COUNTIF('Resumo Grupos'!$AE$3:$AE$40,$T799)&gt;0,"NAO","SIM"))</f>
        <v/>
      </c>
    </row>
    <row r="800" ht="27.75" customHeight="1" s="60">
      <c r="A800" s="70" t="n">
        <v>1</v>
      </c>
      <c r="B800" s="71" t="n">
        <v>46203</v>
      </c>
      <c r="C800" s="71" t="n">
        <v>46205</v>
      </c>
      <c r="D800" s="70" t="n">
        <v>642</v>
      </c>
      <c r="E800" s="72" t="inlineStr">
        <is>
          <t>ADICSO FABIAN GONZALEZ MONTILLA 70302186</t>
        </is>
      </c>
      <c r="F800" s="70" t="n">
        <v>24</v>
      </c>
      <c r="G800" s="72" t="inlineStr">
        <is>
          <t>Compra a Prazo - Boletos</t>
        </is>
      </c>
      <c r="H800" s="70" t="n">
        <v>2110101</v>
      </c>
      <c r="I800" s="72" t="inlineStr">
        <is>
          <t>FORNECEDORES DE MERCADORIA</t>
        </is>
      </c>
      <c r="J800" s="70" t="n">
        <v>1330506</v>
      </c>
      <c r="L800" s="70" t="n">
        <v>516</v>
      </c>
      <c r="M800" s="72" t="inlineStr">
        <is>
          <t>01</t>
        </is>
      </c>
      <c r="N800" s="72" t="inlineStr">
        <is>
          <t>NFE</t>
        </is>
      </c>
      <c r="P800" s="70" t="n">
        <v>103</v>
      </c>
      <c r="Q800" s="72" t="inlineStr">
        <is>
          <t>MILKA FRANCIS</t>
        </is>
      </c>
      <c r="R800" s="72" t="inlineStr">
        <is>
          <t>ESTOQUE DE MERCADORIAS</t>
        </is>
      </c>
      <c r="S800" s="70" t="n">
        <v>1130101</v>
      </c>
      <c r="T800" s="72" t="inlineStr">
        <is>
          <t>MERCADORIAS P/REVENDA</t>
        </is>
      </c>
      <c r="U800" s="73" t="n">
        <v>720</v>
      </c>
      <c r="W800" s="73" t="n">
        <v>0</v>
      </c>
      <c r="X800" s="72" t="inlineStr">
        <is>
          <t>NF 516 BLOOM - MILKA</t>
        </is>
      </c>
      <c r="Z800" s="59">
        <f>IF($T800="","",IFERROR(INDEX('Resumo Grupos'!$AC$3:$AC$200,MATCH($T800,'Resumo Grupos'!$AB$3:$AB$200,0)),"n/d"))</f>
        <v/>
      </c>
      <c r="AA800" s="59">
        <f>IF($T800="","",IF(COUNTIF('Resumo Grupos'!$AE$3:$AE$40,$T800)&gt;0,"NAO","SIM"))</f>
        <v/>
      </c>
    </row>
    <row r="801" ht="27.75" customHeight="1" s="60">
      <c r="A801" s="70" t="n">
        <v>1</v>
      </c>
      <c r="B801" s="71" t="n">
        <v>46205</v>
      </c>
      <c r="C801" s="71" t="n">
        <v>46205</v>
      </c>
      <c r="D801" s="70" t="n">
        <v>1936</v>
      </c>
      <c r="E801" s="72" t="inlineStr">
        <is>
          <t>RV TECNOLOGIA E SISTEMAS S.A</t>
        </is>
      </c>
      <c r="F801" s="70" t="n">
        <v>24</v>
      </c>
      <c r="G801" s="72" t="inlineStr">
        <is>
          <t>Compra a Prazo - Boletos</t>
        </is>
      </c>
      <c r="H801" s="70" t="n">
        <v>2110101</v>
      </c>
      <c r="I801" s="72" t="inlineStr">
        <is>
          <t>FORNECEDORES DE MERCADORIA</t>
        </is>
      </c>
      <c r="J801" s="70" t="n">
        <v>1339581</v>
      </c>
      <c r="L801" s="70" t="n">
        <v>553619</v>
      </c>
      <c r="M801" s="72" t="inlineStr">
        <is>
          <t>01</t>
        </is>
      </c>
      <c r="N801" s="72" t="inlineStr">
        <is>
          <t>AVU</t>
        </is>
      </c>
      <c r="P801" s="70" t="n">
        <v>102</v>
      </c>
      <c r="Q801" s="72" t="inlineStr">
        <is>
          <t>ANDREZA ANDRADE</t>
        </is>
      </c>
      <c r="R801" s="72" t="inlineStr">
        <is>
          <t>ESTOQUE DE MERCADORIAS</t>
        </is>
      </c>
      <c r="S801" s="70" t="n">
        <v>1130101</v>
      </c>
      <c r="T801" s="72" t="inlineStr">
        <is>
          <t>MERCADORIAS P/REVENDA</t>
        </is>
      </c>
      <c r="U801" s="73" t="n">
        <v>81.40000000000001</v>
      </c>
      <c r="W801" s="73" t="n">
        <v>0</v>
      </c>
      <c r="X801" s="72" t="inlineStr">
        <is>
          <t>RECARGA MO1</t>
        </is>
      </c>
      <c r="Z801" s="59">
        <f>IF($T801="","",IFERROR(INDEX('Resumo Grupos'!$AC$3:$AC$200,MATCH($T801,'Resumo Grupos'!$AB$3:$AB$200,0)),"n/d"))</f>
        <v/>
      </c>
      <c r="AA801" s="59">
        <f>IF($T801="","",IF(COUNTIF('Resumo Grupos'!$AE$3:$AE$40,$T801)&gt;0,"NAO","SIM"))</f>
        <v/>
      </c>
    </row>
    <row r="802" ht="27.75" customHeight="1" s="60">
      <c r="A802" s="70" t="n">
        <v>1</v>
      </c>
      <c r="B802" s="71" t="n">
        <v>46205</v>
      </c>
      <c r="C802" s="71" t="n">
        <v>46205</v>
      </c>
      <c r="D802" s="70" t="n">
        <v>33</v>
      </c>
      <c r="E802" s="72" t="inlineStr">
        <is>
          <t>RENATO DE O AZEVEDO E CIA LTDA - EPP</t>
        </is>
      </c>
      <c r="F802" s="70" t="n">
        <v>13</v>
      </c>
      <c r="G802" s="72" t="inlineStr">
        <is>
          <t>Compra a Vista</t>
        </is>
      </c>
      <c r="H802" s="70" t="n">
        <v>2110101</v>
      </c>
      <c r="I802" s="72" t="inlineStr">
        <is>
          <t>FORNECEDORES DE MERCADORIA</t>
        </is>
      </c>
      <c r="J802" s="70" t="n">
        <v>1339663</v>
      </c>
      <c r="L802" s="70" t="n">
        <v>5235</v>
      </c>
      <c r="M802" s="72" t="inlineStr">
        <is>
          <t>01</t>
        </is>
      </c>
      <c r="N802" s="72" t="inlineStr">
        <is>
          <t>NFE</t>
        </is>
      </c>
      <c r="P802" s="70" t="n">
        <v>104</v>
      </c>
      <c r="Q802" s="72" t="inlineStr">
        <is>
          <t>DEBORA COSTA</t>
        </is>
      </c>
      <c r="R802" s="72" t="inlineStr">
        <is>
          <t>ESTOQUE DE MERCADORIAS</t>
        </is>
      </c>
      <c r="S802" s="70" t="n">
        <v>1130101</v>
      </c>
      <c r="T802" s="72" t="inlineStr">
        <is>
          <t>MERCADORIAS P/REVENDA</t>
        </is>
      </c>
      <c r="U802" s="73" t="n">
        <v>210</v>
      </c>
      <c r="W802" s="73" t="n">
        <v>210</v>
      </c>
      <c r="X802" s="72" t="inlineStr">
        <is>
          <t>ACAI DE ANORI - DEBORA</t>
        </is>
      </c>
      <c r="Z802" s="59">
        <f>IF($T802="","",IFERROR(INDEX('Resumo Grupos'!$AC$3:$AC$200,MATCH($T802,'Resumo Grupos'!$AB$3:$AB$200,0)),"n/d"))</f>
        <v/>
      </c>
      <c r="AA802" s="59">
        <f>IF($T802="","",IF(COUNTIF('Resumo Grupos'!$AE$3:$AE$40,$T802)&gt;0,"NAO","SIM"))</f>
        <v/>
      </c>
    </row>
    <row r="803" ht="27.75" customHeight="1" s="60">
      <c r="A803" s="70" t="n">
        <v>1</v>
      </c>
      <c r="B803" s="71" t="n">
        <v>46205</v>
      </c>
      <c r="C803" s="71" t="n">
        <v>46205</v>
      </c>
      <c r="D803" s="70" t="n">
        <v>33</v>
      </c>
      <c r="E803" s="72" t="inlineStr">
        <is>
          <t>RENATO DE O AZEVEDO E CIA LTDA - EPP</t>
        </is>
      </c>
      <c r="F803" s="70" t="n">
        <v>13</v>
      </c>
      <c r="G803" s="72" t="inlineStr">
        <is>
          <t>Compra a Vista</t>
        </is>
      </c>
      <c r="H803" s="70" t="n">
        <v>2110101</v>
      </c>
      <c r="I803" s="72" t="inlineStr">
        <is>
          <t>FORNECEDORES DE MERCADORIA</t>
        </is>
      </c>
      <c r="J803" s="70" t="n">
        <v>1340357</v>
      </c>
      <c r="L803" s="70" t="n">
        <v>5237</v>
      </c>
      <c r="M803" s="72" t="inlineStr">
        <is>
          <t>01</t>
        </is>
      </c>
      <c r="N803" s="72" t="inlineStr">
        <is>
          <t>NFE</t>
        </is>
      </c>
      <c r="P803" s="70" t="n">
        <v>104</v>
      </c>
      <c r="Q803" s="72" t="inlineStr">
        <is>
          <t>DEBORA COSTA</t>
        </is>
      </c>
      <c r="R803" s="72" t="inlineStr">
        <is>
          <t>ESTOQUE DE MERCADORIAS</t>
        </is>
      </c>
      <c r="S803" s="70" t="n">
        <v>1130101</v>
      </c>
      <c r="T803" s="72" t="inlineStr">
        <is>
          <t>MERCADORIAS P/REVENDA</t>
        </is>
      </c>
      <c r="U803" s="73" t="n">
        <v>280</v>
      </c>
      <c r="W803" s="73" t="n">
        <v>280</v>
      </c>
      <c r="X803" s="72" t="inlineStr">
        <is>
          <t>ACAI DE ANORI - DEBORA</t>
        </is>
      </c>
      <c r="Z803" s="59">
        <f>IF($T803="","",IFERROR(INDEX('Resumo Grupos'!$AC$3:$AC$200,MATCH($T803,'Resumo Grupos'!$AB$3:$AB$200,0)),"n/d"))</f>
        <v/>
      </c>
      <c r="AA803" s="59">
        <f>IF($T803="","",IF(COUNTIF('Resumo Grupos'!$AE$3:$AE$40,$T803)&gt;0,"NAO","SIM"))</f>
        <v/>
      </c>
    </row>
    <row r="804" ht="45.75" customHeight="1" s="60">
      <c r="A804" s="70" t="n">
        <v>1</v>
      </c>
      <c r="B804" s="71" t="n">
        <v>46205</v>
      </c>
      <c r="C804" s="71" t="n">
        <v>46205</v>
      </c>
      <c r="D804" s="70" t="n">
        <v>515</v>
      </c>
      <c r="E804" s="72" t="inlineStr">
        <is>
          <t>ITAU SA</t>
        </is>
      </c>
      <c r="F804" s="70" t="n">
        <v>34</v>
      </c>
      <c r="G804" s="72" t="inlineStr">
        <is>
          <t>Transferencia Pix</t>
        </is>
      </c>
      <c r="H804" s="70" t="n">
        <v>1110202</v>
      </c>
      <c r="I804" s="72" t="inlineStr">
        <is>
          <t>BANCO ITAU Lj 01</t>
        </is>
      </c>
      <c r="J804" s="70" t="n">
        <v>1345451</v>
      </c>
      <c r="L804" s="70" t="n">
        <v>555716</v>
      </c>
      <c r="M804" s="72" t="inlineStr">
        <is>
          <t>01</t>
        </is>
      </c>
      <c r="N804" s="72" t="inlineStr">
        <is>
          <t>AVU</t>
        </is>
      </c>
      <c r="P804" s="70" t="n">
        <v>102</v>
      </c>
      <c r="Q804" s="72" t="inlineStr">
        <is>
          <t>ANDREZA ANDRADE</t>
        </is>
      </c>
      <c r="R804" s="72" t="inlineStr">
        <is>
          <t>DESPESAS FINANCEIRAS</t>
        </is>
      </c>
      <c r="S804" s="70" t="n">
        <v>4210504</v>
      </c>
      <c r="T804" s="72" t="inlineStr">
        <is>
          <t>DESPESAS BANCARIAS</t>
        </is>
      </c>
      <c r="U804" s="73" t="n">
        <v>9.550000000000001</v>
      </c>
      <c r="W804" s="73" t="n">
        <v>0</v>
      </c>
      <c r="X804" s="72" t="inlineStr">
        <is>
          <t>TAR PIUX LIQ MAQUININHA ITAU MO1-ANDREZA</t>
        </is>
      </c>
      <c r="Z804" s="59">
        <f>IF($T804="","",IFERROR(INDEX('Resumo Grupos'!$AC$3:$AC$200,MATCH($T804,'Resumo Grupos'!$AB$3:$AB$200,0)),"n/d"))</f>
        <v/>
      </c>
      <c r="AA804" s="59">
        <f>IF($T804="","",IF(COUNTIF('Resumo Grupos'!$AE$3:$AE$40,$T804)&gt;0,"NAO","SIM"))</f>
        <v/>
      </c>
    </row>
    <row r="805" ht="27.75" customHeight="1" s="60">
      <c r="A805" s="70" t="n">
        <v>1</v>
      </c>
      <c r="B805" s="71" t="n">
        <v>46205</v>
      </c>
      <c r="C805" s="71" t="n">
        <v>46205</v>
      </c>
      <c r="D805" s="70" t="n">
        <v>515</v>
      </c>
      <c r="E805" s="72" t="inlineStr">
        <is>
          <t>ITAU SA</t>
        </is>
      </c>
      <c r="F805" s="70" t="n">
        <v>34</v>
      </c>
      <c r="G805" s="72" t="inlineStr">
        <is>
          <t>Transferencia Pix</t>
        </is>
      </c>
      <c r="H805" s="70" t="n">
        <v>1110202</v>
      </c>
      <c r="I805" s="72" t="inlineStr">
        <is>
          <t>BANCO ITAU Lj 01</t>
        </is>
      </c>
      <c r="J805" s="70" t="n">
        <v>1345481</v>
      </c>
      <c r="L805" s="70" t="n">
        <v>555728</v>
      </c>
      <c r="M805" s="72" t="inlineStr">
        <is>
          <t>01</t>
        </is>
      </c>
      <c r="N805" s="72" t="inlineStr">
        <is>
          <t>AVU</t>
        </is>
      </c>
      <c r="P805" s="70" t="n">
        <v>102</v>
      </c>
      <c r="Q805" s="72" t="inlineStr">
        <is>
          <t>ANDREZA ANDRADE</t>
        </is>
      </c>
      <c r="R805" s="72" t="inlineStr">
        <is>
          <t>DESPESAS FINANCEIRAS</t>
        </is>
      </c>
      <c r="S805" s="70" t="n">
        <v>4210504</v>
      </c>
      <c r="T805" s="72" t="inlineStr">
        <is>
          <t>DESPESAS BANCARIAS</t>
        </is>
      </c>
      <c r="U805" s="73" t="n">
        <v>488.67</v>
      </c>
      <c r="W805" s="73" t="n">
        <v>0</v>
      </c>
      <c r="X805" s="72" t="inlineStr">
        <is>
          <t>DESPESA-IOF ITAU MO1-ANDREZA</t>
        </is>
      </c>
      <c r="Z805" s="59">
        <f>IF($T805="","",IFERROR(INDEX('Resumo Grupos'!$AC$3:$AC$200,MATCH($T805,'Resumo Grupos'!$AB$3:$AB$200,0)),"n/d"))</f>
        <v/>
      </c>
      <c r="AA805" s="59">
        <f>IF($T805="","",IF(COUNTIF('Resumo Grupos'!$AE$3:$AE$40,$T805)&gt;0,"NAO","SIM"))</f>
        <v/>
      </c>
    </row>
    <row r="806" ht="45.75" customHeight="1" s="60">
      <c r="A806" s="70" t="n">
        <v>1</v>
      </c>
      <c r="B806" s="71" t="n">
        <v>46205</v>
      </c>
      <c r="C806" s="71" t="n">
        <v>46205</v>
      </c>
      <c r="D806" s="70" t="n">
        <v>515</v>
      </c>
      <c r="E806" s="72" t="inlineStr">
        <is>
          <t>ITAU SA</t>
        </is>
      </c>
      <c r="F806" s="70" t="n">
        <v>34</v>
      </c>
      <c r="G806" s="72" t="inlineStr">
        <is>
          <t>Transferencia Pix</t>
        </is>
      </c>
      <c r="H806" s="70" t="n">
        <v>1110203</v>
      </c>
      <c r="I806" s="72" t="inlineStr">
        <is>
          <t>BANCO ITAU Lj 02</t>
        </is>
      </c>
      <c r="J806" s="70" t="n">
        <v>1345487</v>
      </c>
      <c r="L806" s="70" t="n">
        <v>555729</v>
      </c>
      <c r="M806" s="72" t="inlineStr">
        <is>
          <t>01</t>
        </is>
      </c>
      <c r="N806" s="72" t="inlineStr">
        <is>
          <t>AVU</t>
        </is>
      </c>
      <c r="P806" s="70" t="n">
        <v>102</v>
      </c>
      <c r="Q806" s="72" t="inlineStr">
        <is>
          <t>ANDREZA ANDRADE</t>
        </is>
      </c>
      <c r="R806" s="72" t="inlineStr">
        <is>
          <t>DESPESAS FINANCEIRAS</t>
        </is>
      </c>
      <c r="S806" s="70" t="n">
        <v>4210504</v>
      </c>
      <c r="T806" s="72" t="inlineStr">
        <is>
          <t>DESPESAS BANCARIAS</t>
        </is>
      </c>
      <c r="U806" s="73" t="n">
        <v>615.99</v>
      </c>
      <c r="W806" s="73" t="n">
        <v>0</v>
      </c>
      <c r="X806" s="72" t="inlineStr">
        <is>
          <t>DESPESA-IOF 6083.63511-7 C/C ITAU MO1-ANDREZA</t>
        </is>
      </c>
      <c r="Z806" s="59">
        <f>IF($T806="","",IFERROR(INDEX('Resumo Grupos'!$AC$3:$AC$200,MATCH($T806,'Resumo Grupos'!$AB$3:$AB$200,0)),"n/d"))</f>
        <v/>
      </c>
      <c r="AA806" s="59">
        <f>IF($T806="","",IF(COUNTIF('Resumo Grupos'!$AE$3:$AE$40,$T806)&gt;0,"NAO","SIM"))</f>
        <v/>
      </c>
    </row>
    <row r="807" ht="45.75" customHeight="1" s="60">
      <c r="A807" s="70" t="n">
        <v>1</v>
      </c>
      <c r="B807" s="71" t="n">
        <v>46205</v>
      </c>
      <c r="C807" s="71" t="n">
        <v>46205</v>
      </c>
      <c r="D807" s="70" t="n">
        <v>515</v>
      </c>
      <c r="E807" s="72" t="inlineStr">
        <is>
          <t>ITAU SA</t>
        </is>
      </c>
      <c r="F807" s="70" t="n">
        <v>34</v>
      </c>
      <c r="G807" s="72" t="inlineStr">
        <is>
          <t>Transferencia Pix</t>
        </is>
      </c>
      <c r="H807" s="70" t="n">
        <v>1110202</v>
      </c>
      <c r="I807" s="72" t="inlineStr">
        <is>
          <t>BANCO ITAU Lj 01</t>
        </is>
      </c>
      <c r="J807" s="70" t="n">
        <v>1345495</v>
      </c>
      <c r="L807" s="70" t="n">
        <v>555733</v>
      </c>
      <c r="M807" s="72" t="inlineStr">
        <is>
          <t>01</t>
        </is>
      </c>
      <c r="N807" s="72" t="inlineStr">
        <is>
          <t>AVU</t>
        </is>
      </c>
      <c r="P807" s="70" t="n">
        <v>102</v>
      </c>
      <c r="Q807" s="72" t="inlineStr">
        <is>
          <t>ANDREZA ANDRADE</t>
        </is>
      </c>
      <c r="R807" s="72" t="inlineStr">
        <is>
          <t>DESPESAS FINANCEIRAS</t>
        </is>
      </c>
      <c r="S807" s="70" t="n">
        <v>4210504</v>
      </c>
      <c r="T807" s="72" t="inlineStr">
        <is>
          <t>DESPESAS BANCARIAS</t>
        </is>
      </c>
      <c r="U807" s="73" t="n">
        <v>622.9</v>
      </c>
      <c r="W807" s="73" t="n">
        <v>0</v>
      </c>
      <c r="X807" s="72" t="inlineStr">
        <is>
          <t>TAR PIX PGTO TRANSF ITAU MO1-ANDREZA</t>
        </is>
      </c>
      <c r="Z807" s="59">
        <f>IF($T807="","",IFERROR(INDEX('Resumo Grupos'!$AC$3:$AC$200,MATCH($T807,'Resumo Grupos'!$AB$3:$AB$200,0)),"n/d"))</f>
        <v/>
      </c>
      <c r="AA807" s="59">
        <f>IF($T807="","",IF(COUNTIF('Resumo Grupos'!$AE$3:$AE$40,$T807)&gt;0,"NAO","SIM"))</f>
        <v/>
      </c>
    </row>
    <row r="808" ht="45.75" customHeight="1" s="60">
      <c r="A808" s="70" t="n">
        <v>1</v>
      </c>
      <c r="B808" s="71" t="n">
        <v>46205</v>
      </c>
      <c r="C808" s="71" t="n">
        <v>46205</v>
      </c>
      <c r="D808" s="70" t="n">
        <v>515</v>
      </c>
      <c r="E808" s="72" t="inlineStr">
        <is>
          <t>ITAU SA</t>
        </is>
      </c>
      <c r="F808" s="70" t="n">
        <v>34</v>
      </c>
      <c r="G808" s="72" t="inlineStr">
        <is>
          <t>Transferencia Pix</t>
        </is>
      </c>
      <c r="H808" s="70" t="n">
        <v>1110202</v>
      </c>
      <c r="I808" s="72" t="inlineStr">
        <is>
          <t>BANCO ITAU Lj 01</t>
        </is>
      </c>
      <c r="J808" s="70" t="n">
        <v>1345519</v>
      </c>
      <c r="L808" s="70" t="n">
        <v>555740</v>
      </c>
      <c r="M808" s="72" t="inlineStr">
        <is>
          <t>01</t>
        </is>
      </c>
      <c r="N808" s="72" t="inlineStr">
        <is>
          <t>AVU</t>
        </is>
      </c>
      <c r="P808" s="70" t="n">
        <v>102</v>
      </c>
      <c r="Q808" s="72" t="inlineStr">
        <is>
          <t>ANDREZA ANDRADE</t>
        </is>
      </c>
      <c r="R808" s="72" t="inlineStr">
        <is>
          <t>DESPESAS FINANCEIRAS</t>
        </is>
      </c>
      <c r="S808" s="70" t="n">
        <v>4210504</v>
      </c>
      <c r="T808" s="72" t="inlineStr">
        <is>
          <t>DESPESAS BANCARIAS</t>
        </is>
      </c>
      <c r="U808" s="73" t="n">
        <v>1822.34</v>
      </c>
      <c r="W808" s="73" t="n">
        <v>0</v>
      </c>
      <c r="X808" s="72" t="inlineStr">
        <is>
          <t>TAR PIX QR CODE LIQUIDA ITAU MO1-ANDREZA</t>
        </is>
      </c>
      <c r="Z808" s="59">
        <f>IF($T808="","",IFERROR(INDEX('Resumo Grupos'!$AC$3:$AC$200,MATCH($T808,'Resumo Grupos'!$AB$3:$AB$200,0)),"n/d"))</f>
        <v/>
      </c>
      <c r="AA808" s="59">
        <f>IF($T808="","",IF(COUNTIF('Resumo Grupos'!$AE$3:$AE$40,$T808)&gt;0,"NAO","SIM"))</f>
        <v/>
      </c>
    </row>
    <row r="809" ht="45.75" customHeight="1" s="60">
      <c r="A809" s="70" t="n">
        <v>1</v>
      </c>
      <c r="B809" s="71" t="n">
        <v>46205</v>
      </c>
      <c r="C809" s="71" t="n">
        <v>46205</v>
      </c>
      <c r="D809" s="70" t="n">
        <v>1639</v>
      </c>
      <c r="E809" s="72" t="inlineStr">
        <is>
          <t>A L DE ALMEIDA NETO MINIMERCADOS-ME</t>
        </is>
      </c>
      <c r="F809" s="70" t="n">
        <v>13</v>
      </c>
      <c r="G809" s="72" t="inlineStr">
        <is>
          <t>Compra a Vista</t>
        </is>
      </c>
      <c r="H809" s="70" t="n">
        <v>2110101</v>
      </c>
      <c r="I809" s="72" t="inlineStr">
        <is>
          <t>FORNECEDORES DE MERCADORIA</t>
        </is>
      </c>
      <c r="J809" s="70" t="n">
        <v>1370258</v>
      </c>
      <c r="L809" s="70" t="n">
        <v>7084</v>
      </c>
      <c r="M809" s="72" t="inlineStr">
        <is>
          <t>01</t>
        </is>
      </c>
      <c r="N809" s="72" t="inlineStr">
        <is>
          <t>NFE</t>
        </is>
      </c>
      <c r="P809" s="70" t="n">
        <v>104</v>
      </c>
      <c r="Q809" s="72" t="inlineStr">
        <is>
          <t>DEBORA COSTA</t>
        </is>
      </c>
      <c r="R809" s="72" t="inlineStr">
        <is>
          <t>ESTOQUE DE MERCADORIAS</t>
        </is>
      </c>
      <c r="S809" s="70" t="n">
        <v>1130101</v>
      </c>
      <c r="T809" s="72" t="inlineStr">
        <is>
          <t>MERCADORIAS P/REVENDA</t>
        </is>
      </c>
      <c r="U809" s="73" t="n">
        <v>205</v>
      </c>
      <c r="W809" s="73" t="n">
        <v>0</v>
      </c>
      <c r="X809" s="72" t="inlineStr">
        <is>
          <t>NF 7084 - DEBORA</t>
        </is>
      </c>
      <c r="Z809" s="59">
        <f>IF($T809="","",IFERROR(INDEX('Resumo Grupos'!$AC$3:$AC$200,MATCH($T809,'Resumo Grupos'!$AB$3:$AB$200,0)),"n/d"))</f>
        <v/>
      </c>
      <c r="AA809" s="59">
        <f>IF($T809="","",IF(COUNTIF('Resumo Grupos'!$AE$3:$AE$40,$T809)&gt;0,"NAO","SIM"))</f>
        <v/>
      </c>
    </row>
    <row r="810" ht="45.75" customHeight="1" s="60">
      <c r="A810" s="70" t="n">
        <v>1</v>
      </c>
      <c r="B810" s="71" t="n">
        <v>46169</v>
      </c>
      <c r="C810" s="71" t="n">
        <v>46206</v>
      </c>
      <c r="D810" s="70" t="n">
        <v>1711</v>
      </c>
      <c r="E810" s="72" t="inlineStr">
        <is>
          <t>J. A. F. DE LIMA</t>
        </is>
      </c>
      <c r="F810" s="70" t="n">
        <v>24</v>
      </c>
      <c r="G810" s="72" t="inlineStr">
        <is>
          <t>Compra a Prazo - Boletos</t>
        </is>
      </c>
      <c r="H810" s="70" t="n">
        <v>2110101</v>
      </c>
      <c r="I810" s="72" t="inlineStr">
        <is>
          <t>FORNECEDORES DE MERCADORIA</t>
        </is>
      </c>
      <c r="J810" s="70" t="n">
        <v>1162093</v>
      </c>
      <c r="L810" s="70" t="n">
        <v>155121</v>
      </c>
      <c r="M810" s="72" t="inlineStr">
        <is>
          <t>04</t>
        </is>
      </c>
      <c r="N810" s="72" t="inlineStr">
        <is>
          <t>NFE</t>
        </is>
      </c>
      <c r="P810" s="70" t="n">
        <v>103</v>
      </c>
      <c r="Q810" s="72" t="inlineStr">
        <is>
          <t>MILKA FRANCIS</t>
        </is>
      </c>
      <c r="R810" s="72" t="inlineStr">
        <is>
          <t>ESTOQUE DE MERCADORIAS</t>
        </is>
      </c>
      <c r="S810" s="70" t="n">
        <v>1130101</v>
      </c>
      <c r="T810" s="72" t="inlineStr">
        <is>
          <t>MERCADORIAS P/REVENDA</t>
        </is>
      </c>
      <c r="U810" s="73" t="n">
        <v>1118.57</v>
      </c>
      <c r="W810" s="73" t="n">
        <v>0</v>
      </c>
      <c r="X810" s="72" t="inlineStr">
        <is>
          <t>NF 155121/4 MILKA</t>
        </is>
      </c>
      <c r="Z810" s="59">
        <f>IF($T810="","",IFERROR(INDEX('Resumo Grupos'!$AC$3:$AC$200,MATCH($T810,'Resumo Grupos'!$AB$3:$AB$200,0)),"n/d"))</f>
        <v/>
      </c>
      <c r="AA810" s="59">
        <f>IF($T810="","",IF(COUNTIF('Resumo Grupos'!$AE$3:$AE$40,$T810)&gt;0,"NAO","SIM"))</f>
        <v/>
      </c>
    </row>
    <row r="811" ht="45.75" customHeight="1" s="60">
      <c r="A811" s="70" t="n">
        <v>1</v>
      </c>
      <c r="B811" s="71" t="n">
        <v>46172</v>
      </c>
      <c r="C811" s="71" t="n">
        <v>46206</v>
      </c>
      <c r="D811" s="70" t="n">
        <v>10037</v>
      </c>
      <c r="E811" s="72" t="inlineStr">
        <is>
          <t>FORTVET DISTRIBUIDORA LTDA</t>
        </is>
      </c>
      <c r="F811" s="70" t="n">
        <v>24</v>
      </c>
      <c r="G811" s="72" t="inlineStr">
        <is>
          <t>Compra a Prazo - Boletos</t>
        </is>
      </c>
      <c r="H811" s="70" t="n">
        <v>2110101</v>
      </c>
      <c r="I811" s="72" t="inlineStr">
        <is>
          <t>FORNECEDORES DE MERCADORIA</t>
        </is>
      </c>
      <c r="J811" s="70" t="n">
        <v>1177340</v>
      </c>
      <c r="L811" s="70" t="n">
        <v>2068</v>
      </c>
      <c r="M811" s="72" t="inlineStr">
        <is>
          <t>04</t>
        </is>
      </c>
      <c r="N811" s="72" t="inlineStr">
        <is>
          <t>NFE</t>
        </is>
      </c>
      <c r="P811" s="70" t="n">
        <v>103</v>
      </c>
      <c r="Q811" s="72" t="inlineStr">
        <is>
          <t>MILKA FRANCIS</t>
        </is>
      </c>
      <c r="R811" s="72" t="inlineStr">
        <is>
          <t>ESTOQUE DE MERCADORIAS</t>
        </is>
      </c>
      <c r="S811" s="70" t="n">
        <v>1130101</v>
      </c>
      <c r="T811" s="72" t="inlineStr">
        <is>
          <t>MERCADORIAS P/REVENDA</t>
        </is>
      </c>
      <c r="U811" s="73" t="n">
        <v>1609.45</v>
      </c>
      <c r="W811" s="73" t="n">
        <v>0</v>
      </c>
      <c r="X811" s="72" t="inlineStr">
        <is>
          <t>NF2068-4 MILKA</t>
        </is>
      </c>
      <c r="Z811" s="59">
        <f>IF($T811="","",IFERROR(INDEX('Resumo Grupos'!$AC$3:$AC$200,MATCH($T811,'Resumo Grupos'!$AB$3:$AB$200,0)),"n/d"))</f>
        <v/>
      </c>
      <c r="AA811" s="59">
        <f>IF($T811="","",IF(COUNTIF('Resumo Grupos'!$AE$3:$AE$40,$T811)&gt;0,"NAO","SIM"))</f>
        <v/>
      </c>
    </row>
    <row r="812" ht="36.75" customHeight="1" s="60">
      <c r="A812" s="70" t="n">
        <v>1</v>
      </c>
      <c r="B812" s="71" t="n">
        <v>46181</v>
      </c>
      <c r="C812" s="71" t="n">
        <v>46206</v>
      </c>
      <c r="D812" s="70" t="n">
        <v>1699</v>
      </c>
      <c r="E812" s="72" t="inlineStr">
        <is>
          <t>L S M COMERCIO DE ALIMENTOS E NAVEGACAO</t>
        </is>
      </c>
      <c r="F812" s="70" t="n">
        <v>24</v>
      </c>
      <c r="G812" s="72" t="inlineStr">
        <is>
          <t>Compra a Prazo - Boletos</t>
        </is>
      </c>
      <c r="H812" s="70" t="n">
        <v>2110101</v>
      </c>
      <c r="I812" s="72" t="inlineStr">
        <is>
          <t>FORNECEDORES DE MERCADORIA</t>
        </is>
      </c>
      <c r="J812" s="70" t="n">
        <v>1222961</v>
      </c>
      <c r="L812" s="70" t="n">
        <v>303409</v>
      </c>
      <c r="M812" s="72" t="inlineStr">
        <is>
          <t>03</t>
        </is>
      </c>
      <c r="N812" s="72" t="inlineStr">
        <is>
          <t>NFE</t>
        </is>
      </c>
      <c r="P812" s="70" t="n">
        <v>103</v>
      </c>
      <c r="Q812" s="72" t="inlineStr">
        <is>
          <t>MILKA FRANCIS</t>
        </is>
      </c>
      <c r="R812" s="72" t="inlineStr">
        <is>
          <t>ESTOQUE DE MERCADORIAS</t>
        </is>
      </c>
      <c r="S812" s="70" t="n">
        <v>1130101</v>
      </c>
      <c r="T812" s="72" t="inlineStr">
        <is>
          <t>MERCADORIAS P/REVENDA</t>
        </is>
      </c>
      <c r="U812" s="73" t="n">
        <v>1037.84</v>
      </c>
      <c r="W812" s="73" t="n">
        <v>0</v>
      </c>
      <c r="X812" s="72" t="inlineStr">
        <is>
          <t>NF 303409 -3 MILKA</t>
        </is>
      </c>
      <c r="Z812" s="59">
        <f>IF($T812="","",IFERROR(INDEX('Resumo Grupos'!$AC$3:$AC$200,MATCH($T812,'Resumo Grupos'!$AB$3:$AB$200,0)),"n/d"))</f>
        <v/>
      </c>
      <c r="AA812" s="59">
        <f>IF($T812="","",IF(COUNTIF('Resumo Grupos'!$AE$3:$AE$40,$T812)&gt;0,"NAO","SIM"))</f>
        <v/>
      </c>
    </row>
    <row r="813" ht="27.75" customHeight="1" s="60">
      <c r="A813" s="70" t="n">
        <v>1</v>
      </c>
      <c r="B813" s="71" t="n">
        <v>46182</v>
      </c>
      <c r="C813" s="71" t="n">
        <v>46206</v>
      </c>
      <c r="D813" s="70" t="n">
        <v>911</v>
      </c>
      <c r="E813" s="72" t="inlineStr">
        <is>
          <t>FEMAR IND E COM DE BEBIDAS LTDA</t>
        </is>
      </c>
      <c r="F813" s="70" t="n">
        <v>24</v>
      </c>
      <c r="G813" s="72" t="inlineStr">
        <is>
          <t>Compra a Prazo - Boletos</t>
        </is>
      </c>
      <c r="H813" s="70" t="n">
        <v>2110101</v>
      </c>
      <c r="I813" s="72" t="inlineStr">
        <is>
          <t>FORNECEDORES DE MERCADORIA</t>
        </is>
      </c>
      <c r="J813" s="70" t="n">
        <v>1227621</v>
      </c>
      <c r="L813" s="70" t="n">
        <v>50992</v>
      </c>
      <c r="M813" s="72" t="inlineStr">
        <is>
          <t>01</t>
        </is>
      </c>
      <c r="N813" s="72" t="inlineStr">
        <is>
          <t>NFE</t>
        </is>
      </c>
      <c r="P813" s="70" t="n">
        <v>103</v>
      </c>
      <c r="Q813" s="72" t="inlineStr">
        <is>
          <t>MILKA FRANCIS</t>
        </is>
      </c>
      <c r="R813" s="72" t="inlineStr">
        <is>
          <t>ESTOQUE DE MERCADORIAS</t>
        </is>
      </c>
      <c r="S813" s="70" t="n">
        <v>1130101</v>
      </c>
      <c r="T813" s="72" t="inlineStr">
        <is>
          <t>MERCADORIAS P/REVENDA</t>
        </is>
      </c>
      <c r="U813" s="73" t="n">
        <v>400.99</v>
      </c>
      <c r="W813" s="73" t="n">
        <v>0</v>
      </c>
      <c r="X813" s="72" t="inlineStr">
        <is>
          <t>NF 50992 - MILKA</t>
        </is>
      </c>
      <c r="Z813" s="59">
        <f>IF($T813="","",IFERROR(INDEX('Resumo Grupos'!$AC$3:$AC$200,MATCH($T813,'Resumo Grupos'!$AB$3:$AB$200,0)),"n/d"))</f>
        <v/>
      </c>
      <c r="AA813" s="59">
        <f>IF($T813="","",IF(COUNTIF('Resumo Grupos'!$AE$3:$AE$40,$T813)&gt;0,"NAO","SIM"))</f>
        <v/>
      </c>
    </row>
    <row r="814" ht="27.75" customHeight="1" s="60">
      <c r="A814" s="70" t="n">
        <v>1</v>
      </c>
      <c r="B814" s="71" t="n">
        <v>46183</v>
      </c>
      <c r="C814" s="71" t="n">
        <v>46206</v>
      </c>
      <c r="D814" s="70" t="n">
        <v>1624</v>
      </c>
      <c r="E814" s="72" t="inlineStr">
        <is>
          <t>RISADINHA LTDA</t>
        </is>
      </c>
      <c r="F814" s="70" t="n">
        <v>24</v>
      </c>
      <c r="G814" s="72" t="inlineStr">
        <is>
          <t>Compra a Prazo - Boletos</t>
        </is>
      </c>
      <c r="H814" s="70" t="n">
        <v>2110101</v>
      </c>
      <c r="I814" s="72" t="inlineStr">
        <is>
          <t>FORNECEDORES DE MERCADORIA</t>
        </is>
      </c>
      <c r="J814" s="70" t="n">
        <v>1230768</v>
      </c>
      <c r="L814" s="70" t="n">
        <v>657246</v>
      </c>
      <c r="M814" s="72" t="inlineStr">
        <is>
          <t>01</t>
        </is>
      </c>
      <c r="N814" s="72" t="inlineStr">
        <is>
          <t>NFE</t>
        </is>
      </c>
      <c r="P814" s="70" t="n">
        <v>103</v>
      </c>
      <c r="Q814" s="72" t="inlineStr">
        <is>
          <t>MILKA FRANCIS</t>
        </is>
      </c>
      <c r="R814" s="72" t="inlineStr">
        <is>
          <t>ESTOQUE DE MERCADORIAS</t>
        </is>
      </c>
      <c r="S814" s="70" t="n">
        <v>1130101</v>
      </c>
      <c r="T814" s="72" t="inlineStr">
        <is>
          <t>MERCADORIAS P/REVENDA</t>
        </is>
      </c>
      <c r="U814" s="73" t="n">
        <v>1755.4</v>
      </c>
      <c r="W814" s="73" t="n">
        <v>0</v>
      </c>
      <c r="X814" s="72" t="inlineStr">
        <is>
          <t>NF 657246 -01 MILKA</t>
        </is>
      </c>
      <c r="Z814" s="59">
        <f>IF($T814="","",IFERROR(INDEX('Resumo Grupos'!$AC$3:$AC$200,MATCH($T814,'Resumo Grupos'!$AB$3:$AB$200,0)),"n/d"))</f>
        <v/>
      </c>
      <c r="AA814" s="59">
        <f>IF($T814="","",IF(COUNTIF('Resumo Grupos'!$AE$3:$AE$40,$T814)&gt;0,"NAO","SIM"))</f>
        <v/>
      </c>
    </row>
    <row r="815" ht="54.75" customHeight="1" s="60">
      <c r="A815" s="70" t="n">
        <v>1</v>
      </c>
      <c r="B815" s="71" t="n">
        <v>46188</v>
      </c>
      <c r="C815" s="71" t="n">
        <v>46206</v>
      </c>
      <c r="D815" s="70" t="n">
        <v>1270</v>
      </c>
      <c r="E815" s="72" t="inlineStr">
        <is>
          <t>J. S. MOREIRA ALVES LTDA</t>
        </is>
      </c>
      <c r="F815" s="70" t="n">
        <v>24</v>
      </c>
      <c r="G815" s="72" t="inlineStr">
        <is>
          <t>Compra a Prazo - Boletos</t>
        </is>
      </c>
      <c r="H815" s="70" t="n">
        <v>2110101</v>
      </c>
      <c r="I815" s="72" t="inlineStr">
        <is>
          <t>FORNECEDORES DE MERCADORIA</t>
        </is>
      </c>
      <c r="J815" s="70" t="n">
        <v>1255192</v>
      </c>
      <c r="L815" s="70" t="n">
        <v>2521</v>
      </c>
      <c r="M815" s="72" t="inlineStr">
        <is>
          <t>01</t>
        </is>
      </c>
      <c r="N815" s="72" t="inlineStr">
        <is>
          <t>NFE</t>
        </is>
      </c>
      <c r="P815" s="70" t="n">
        <v>103</v>
      </c>
      <c r="Q815" s="72" t="inlineStr">
        <is>
          <t>MILKA FRANCIS</t>
        </is>
      </c>
      <c r="R815" s="72" t="inlineStr">
        <is>
          <t>ESTOQUE DE MERCADORIAS</t>
        </is>
      </c>
      <c r="S815" s="70" t="n">
        <v>1130101</v>
      </c>
      <c r="T815" s="72" t="inlineStr">
        <is>
          <t>MERCADORIAS P/REVENDA</t>
        </is>
      </c>
      <c r="U815" s="73" t="n">
        <v>665</v>
      </c>
      <c r="W815" s="73" t="n">
        <v>0</v>
      </c>
      <c r="X815" s="72" t="inlineStr">
        <is>
          <t>NF 2521 MESA FARTA - MILKA</t>
        </is>
      </c>
      <c r="Z815" s="59">
        <f>IF($T815="","",IFERROR(INDEX('Resumo Grupos'!$AC$3:$AC$200,MATCH($T815,'Resumo Grupos'!$AB$3:$AB$200,0)),"n/d"))</f>
        <v/>
      </c>
      <c r="AA815" s="59">
        <f>IF($T815="","",IF(COUNTIF('Resumo Grupos'!$AE$3:$AE$40,$T815)&gt;0,"NAO","SIM"))</f>
        <v/>
      </c>
    </row>
    <row r="816" ht="36.75" customHeight="1" s="60">
      <c r="A816" s="70" t="n">
        <v>1</v>
      </c>
      <c r="B816" s="71" t="n">
        <v>46188</v>
      </c>
      <c r="C816" s="71" t="n">
        <v>46206</v>
      </c>
      <c r="D816" s="70" t="n">
        <v>1666</v>
      </c>
      <c r="E816" s="72" t="inlineStr">
        <is>
          <t>SOUZA CRUZ LTDA.</t>
        </is>
      </c>
      <c r="F816" s="70" t="n">
        <v>24</v>
      </c>
      <c r="G816" s="72" t="inlineStr">
        <is>
          <t>Compra a Prazo - Boletos</t>
        </is>
      </c>
      <c r="H816" s="70" t="n">
        <v>2110101</v>
      </c>
      <c r="I816" s="72" t="inlineStr">
        <is>
          <t>FORNECEDORES DE MERCADORIA</t>
        </is>
      </c>
      <c r="J816" s="70" t="n">
        <v>1256489</v>
      </c>
      <c r="L816" s="70" t="n">
        <v>563233</v>
      </c>
      <c r="M816" s="72" t="inlineStr">
        <is>
          <t>02</t>
        </is>
      </c>
      <c r="N816" s="72" t="inlineStr">
        <is>
          <t>NFE</t>
        </is>
      </c>
      <c r="P816" s="70" t="n">
        <v>103</v>
      </c>
      <c r="Q816" s="72" t="inlineStr">
        <is>
          <t>MILKA FRANCIS</t>
        </is>
      </c>
      <c r="R816" s="72" t="inlineStr">
        <is>
          <t>ESTOQUE DE MERCADORIAS</t>
        </is>
      </c>
      <c r="S816" s="70" t="n">
        <v>1130101</v>
      </c>
      <c r="T816" s="72" t="inlineStr">
        <is>
          <t>MERCADORIAS P/REVENDA</t>
        </is>
      </c>
      <c r="U816" s="73" t="n">
        <v>5018.57</v>
      </c>
      <c r="W816" s="73" t="n">
        <v>0</v>
      </c>
      <c r="X816" s="72" t="inlineStr">
        <is>
          <t>NF 563233 -02 MILKA</t>
        </is>
      </c>
      <c r="Z816" s="59">
        <f>IF($T816="","",IFERROR(INDEX('Resumo Grupos'!$AC$3:$AC$200,MATCH($T816,'Resumo Grupos'!$AB$3:$AB$200,0)),"n/d"))</f>
        <v/>
      </c>
      <c r="AA816" s="59">
        <f>IF($T816="","",IF(COUNTIF('Resumo Grupos'!$AE$3:$AE$40,$T816)&gt;0,"NAO","SIM"))</f>
        <v/>
      </c>
    </row>
    <row r="817" ht="45.75" customHeight="1" s="60">
      <c r="A817" s="70" t="n">
        <v>1</v>
      </c>
      <c r="B817" s="71" t="n">
        <v>46188</v>
      </c>
      <c r="C817" s="71" t="n">
        <v>46206</v>
      </c>
      <c r="D817" s="70" t="n">
        <v>1667</v>
      </c>
      <c r="E817" s="72" t="inlineStr">
        <is>
          <t>FENNIX BRASIL DISTRIBUIDORA DE PRODUTOS</t>
        </is>
      </c>
      <c r="F817" s="70" t="n">
        <v>24</v>
      </c>
      <c r="G817" s="72" t="inlineStr">
        <is>
          <t>Compra a Prazo - Boletos</t>
        </is>
      </c>
      <c r="H817" s="70" t="n">
        <v>2110101</v>
      </c>
      <c r="I817" s="72" t="inlineStr">
        <is>
          <t>FORNECEDORES DE MERCADORIA</t>
        </is>
      </c>
      <c r="J817" s="70" t="n">
        <v>1256543</v>
      </c>
      <c r="L817" s="70" t="n">
        <v>394903</v>
      </c>
      <c r="M817" s="72" t="inlineStr">
        <is>
          <t>01</t>
        </is>
      </c>
      <c r="N817" s="72" t="inlineStr">
        <is>
          <t>NFE</t>
        </is>
      </c>
      <c r="P817" s="70" t="n">
        <v>103</v>
      </c>
      <c r="Q817" s="72" t="inlineStr">
        <is>
          <t>MILKA FRANCIS</t>
        </is>
      </c>
      <c r="R817" s="72" t="inlineStr">
        <is>
          <t>ESTOQUE DE MERCADORIAS</t>
        </is>
      </c>
      <c r="S817" s="70" t="n">
        <v>1130101</v>
      </c>
      <c r="T817" s="72" t="inlineStr">
        <is>
          <t>MERCADORIAS P/REVENDA</t>
        </is>
      </c>
      <c r="U817" s="73" t="n">
        <v>581.76</v>
      </c>
      <c r="W817" s="73" t="n">
        <v>0</v>
      </c>
      <c r="X817" s="72" t="inlineStr">
        <is>
          <t>NF 394903 - MILKA</t>
        </is>
      </c>
      <c r="Z817" s="59">
        <f>IF($T817="","",IFERROR(INDEX('Resumo Grupos'!$AC$3:$AC$200,MATCH($T817,'Resumo Grupos'!$AB$3:$AB$200,0)),"n/d"))</f>
        <v/>
      </c>
      <c r="AA817" s="59">
        <f>IF($T817="","",IF(COUNTIF('Resumo Grupos'!$AE$3:$AE$40,$T817)&gt;0,"NAO","SIM"))</f>
        <v/>
      </c>
    </row>
    <row r="818" ht="45.75" customHeight="1" s="60">
      <c r="A818" s="70" t="n">
        <v>1</v>
      </c>
      <c r="B818" s="71" t="n">
        <v>46188</v>
      </c>
      <c r="C818" s="71" t="n">
        <v>46206</v>
      </c>
      <c r="D818" s="70" t="n">
        <v>10017</v>
      </c>
      <c r="E818" s="72" t="inlineStr">
        <is>
          <t>PIARARA COMERCIO, IMPORTACAO E EXPORTACAO LTDA</t>
        </is>
      </c>
      <c r="F818" s="70" t="n">
        <v>24</v>
      </c>
      <c r="G818" s="72" t="inlineStr">
        <is>
          <t>Compra a Prazo - Boletos</t>
        </is>
      </c>
      <c r="H818" s="70" t="n">
        <v>2110101</v>
      </c>
      <c r="I818" s="72" t="inlineStr">
        <is>
          <t>FORNECEDORES DE MERCADORIA</t>
        </is>
      </c>
      <c r="J818" s="70" t="n">
        <v>1256691</v>
      </c>
      <c r="L818" s="70" t="n">
        <v>193354</v>
      </c>
      <c r="M818" s="72" t="inlineStr">
        <is>
          <t>02</t>
        </is>
      </c>
      <c r="N818" s="72" t="inlineStr">
        <is>
          <t>NFE</t>
        </is>
      </c>
      <c r="P818" s="70" t="n">
        <v>103</v>
      </c>
      <c r="Q818" s="72" t="inlineStr">
        <is>
          <t>MILKA FRANCIS</t>
        </is>
      </c>
      <c r="R818" s="72" t="inlineStr">
        <is>
          <t>ESTOQUE DE MERCADORIAS</t>
        </is>
      </c>
      <c r="S818" s="70" t="n">
        <v>1130101</v>
      </c>
      <c r="T818" s="72" t="inlineStr">
        <is>
          <t>MERCADORIAS P/REVENDA</t>
        </is>
      </c>
      <c r="U818" s="73" t="n">
        <v>372.09</v>
      </c>
      <c r="W818" s="73" t="n">
        <v>0</v>
      </c>
      <c r="X818" s="72" t="inlineStr">
        <is>
          <t>NF193354-2 MILKA</t>
        </is>
      </c>
      <c r="Z818" s="59">
        <f>IF($T818="","",IFERROR(INDEX('Resumo Grupos'!$AC$3:$AC$200,MATCH($T818,'Resumo Grupos'!$AB$3:$AB$200,0)),"n/d"))</f>
        <v/>
      </c>
      <c r="AA818" s="59">
        <f>IF($T818="","",IF(COUNTIF('Resumo Grupos'!$AE$3:$AE$40,$T818)&gt;0,"NAO","SIM"))</f>
        <v/>
      </c>
    </row>
    <row r="819" ht="54.75" customHeight="1" s="60">
      <c r="A819" s="70" t="n">
        <v>1</v>
      </c>
      <c r="B819" s="71" t="n">
        <v>46192</v>
      </c>
      <c r="C819" s="71" t="n">
        <v>46206</v>
      </c>
      <c r="D819" s="70" t="n">
        <v>1705</v>
      </c>
      <c r="E819" s="72" t="inlineStr">
        <is>
          <t>BRASIL NORTE BEBIDAS S/A</t>
        </is>
      </c>
      <c r="F819" s="70" t="n">
        <v>24</v>
      </c>
      <c r="G819" s="72" t="inlineStr">
        <is>
          <t>Compra a Prazo - Boletos</t>
        </is>
      </c>
      <c r="H819" s="70" t="n">
        <v>2110101</v>
      </c>
      <c r="I819" s="72" t="inlineStr">
        <is>
          <t>FORNECEDORES DE MERCADORIA</t>
        </is>
      </c>
      <c r="J819" s="70" t="n">
        <v>1272899</v>
      </c>
      <c r="L819" s="70" t="n">
        <v>1168004</v>
      </c>
      <c r="M819" s="72" t="inlineStr">
        <is>
          <t>01</t>
        </is>
      </c>
      <c r="N819" s="72" t="inlineStr">
        <is>
          <t>NFE</t>
        </is>
      </c>
      <c r="P819" s="70" t="n">
        <v>103</v>
      </c>
      <c r="Q819" s="72" t="inlineStr">
        <is>
          <t>MILKA FRANCIS</t>
        </is>
      </c>
      <c r="R819" s="72" t="inlineStr">
        <is>
          <t>ESTOQUE DE MERCADORIAS</t>
        </is>
      </c>
      <c r="S819" s="70" t="n">
        <v>1130101</v>
      </c>
      <c r="T819" s="72" t="inlineStr">
        <is>
          <t>MERCADORIAS P/REVENDA</t>
        </is>
      </c>
      <c r="U819" s="73" t="n">
        <v>822.3099999999999</v>
      </c>
      <c r="W819" s="73" t="n">
        <v>0</v>
      </c>
      <c r="X819" s="72" t="inlineStr">
        <is>
          <t>NF 1168004 - MILKA</t>
        </is>
      </c>
      <c r="Z819" s="59">
        <f>IF($T819="","",IFERROR(INDEX('Resumo Grupos'!$AC$3:$AC$200,MATCH($T819,'Resumo Grupos'!$AB$3:$AB$200,0)),"n/d"))</f>
        <v/>
      </c>
      <c r="AA819" s="59">
        <f>IF($T819="","",IF(COUNTIF('Resumo Grupos'!$AE$3:$AE$40,$T819)&gt;0,"NAO","SIM"))</f>
        <v/>
      </c>
    </row>
    <row r="820" ht="54.75" customHeight="1" s="60">
      <c r="A820" s="70" t="n">
        <v>1</v>
      </c>
      <c r="B820" s="71" t="n">
        <v>46193</v>
      </c>
      <c r="C820" s="71" t="n">
        <v>46206</v>
      </c>
      <c r="D820" s="70" t="n">
        <v>1270</v>
      </c>
      <c r="E820" s="72" t="inlineStr">
        <is>
          <t>J. S. MOREIRA ALVES LTDA</t>
        </is>
      </c>
      <c r="F820" s="70" t="n">
        <v>24</v>
      </c>
      <c r="G820" s="72" t="inlineStr">
        <is>
          <t>Compra a Prazo - Boletos</t>
        </is>
      </c>
      <c r="H820" s="70" t="n">
        <v>2110101</v>
      </c>
      <c r="I820" s="72" t="inlineStr">
        <is>
          <t>FORNECEDORES DE MERCADORIA</t>
        </is>
      </c>
      <c r="J820" s="70" t="n">
        <v>1280685</v>
      </c>
      <c r="L820" s="70" t="n">
        <v>2554</v>
      </c>
      <c r="M820" s="72" t="inlineStr">
        <is>
          <t>01</t>
        </is>
      </c>
      <c r="N820" s="72" t="inlineStr">
        <is>
          <t>NFE</t>
        </is>
      </c>
      <c r="P820" s="70" t="n">
        <v>103</v>
      </c>
      <c r="Q820" s="72" t="inlineStr">
        <is>
          <t>MILKA FRANCIS</t>
        </is>
      </c>
      <c r="R820" s="72" t="inlineStr">
        <is>
          <t>ESTOQUE DE MERCADORIAS</t>
        </is>
      </c>
      <c r="S820" s="70" t="n">
        <v>1130101</v>
      </c>
      <c r="T820" s="72" t="inlineStr">
        <is>
          <t>MERCADORIAS P/REVENDA</t>
        </is>
      </c>
      <c r="U820" s="73" t="n">
        <v>812.5</v>
      </c>
      <c r="W820" s="73" t="n">
        <v>0</v>
      </c>
      <c r="X820" s="72" t="inlineStr">
        <is>
          <t>NF 2554 MESA FARTA - MILKA</t>
        </is>
      </c>
      <c r="Z820" s="59">
        <f>IF($T820="","",IFERROR(INDEX('Resumo Grupos'!$AC$3:$AC$200,MATCH($T820,'Resumo Grupos'!$AB$3:$AB$200,0)),"n/d"))</f>
        <v/>
      </c>
      <c r="AA820" s="59">
        <f>IF($T820="","",IF(COUNTIF('Resumo Grupos'!$AE$3:$AE$40,$T820)&gt;0,"NAO","SIM"))</f>
        <v/>
      </c>
    </row>
    <row r="821" ht="36.75" customHeight="1" s="60">
      <c r="A821" s="70" t="n">
        <v>1</v>
      </c>
      <c r="B821" s="71" t="n">
        <v>46193</v>
      </c>
      <c r="C821" s="71" t="n">
        <v>46206</v>
      </c>
      <c r="D821" s="70" t="n">
        <v>1718</v>
      </c>
      <c r="E821" s="72" t="inlineStr">
        <is>
          <t>DISTRIBUIDORA FARIAS LTDA.</t>
        </is>
      </c>
      <c r="F821" s="70" t="n">
        <v>24</v>
      </c>
      <c r="G821" s="72" t="inlineStr">
        <is>
          <t>Compra a Prazo - Boletos</t>
        </is>
      </c>
      <c r="H821" s="70" t="n">
        <v>2110101</v>
      </c>
      <c r="I821" s="72" t="inlineStr">
        <is>
          <t>FORNECEDORES DE MERCADORIA</t>
        </is>
      </c>
      <c r="J821" s="70" t="n">
        <v>1280728</v>
      </c>
      <c r="L821" s="70" t="n">
        <v>674930</v>
      </c>
      <c r="M821" s="72" t="inlineStr">
        <is>
          <t>01</t>
        </is>
      </c>
      <c r="N821" s="72" t="inlineStr">
        <is>
          <t>NFE</t>
        </is>
      </c>
      <c r="P821" s="70" t="n">
        <v>103</v>
      </c>
      <c r="Q821" s="72" t="inlineStr">
        <is>
          <t>MILKA FRANCIS</t>
        </is>
      </c>
      <c r="R821" s="72" t="inlineStr">
        <is>
          <t>ESTOQUE DE MERCADORIAS</t>
        </is>
      </c>
      <c r="S821" s="70" t="n">
        <v>1130101</v>
      </c>
      <c r="T821" s="72" t="inlineStr">
        <is>
          <t>MERCADORIAS P/REVENDA</t>
        </is>
      </c>
      <c r="U821" s="73" t="n">
        <v>478.42</v>
      </c>
      <c r="W821" s="73" t="n">
        <v>0</v>
      </c>
      <c r="X821" s="72" t="inlineStr">
        <is>
          <t>789209-A/C  NF674930 - MILKA</t>
        </is>
      </c>
      <c r="Z821" s="59">
        <f>IF($T821="","",IFERROR(INDEX('Resumo Grupos'!$AC$3:$AC$200,MATCH($T821,'Resumo Grupos'!$AB$3:$AB$200,0)),"n/d"))</f>
        <v/>
      </c>
      <c r="AA821" s="59">
        <f>IF($T821="","",IF(COUNTIF('Resumo Grupos'!$AE$3:$AE$40,$T821)&gt;0,"NAO","SIM"))</f>
        <v/>
      </c>
    </row>
    <row r="822" ht="63.75" customHeight="1" s="60">
      <c r="A822" s="70" t="n">
        <v>1</v>
      </c>
      <c r="B822" s="71" t="n">
        <v>46195</v>
      </c>
      <c r="C822" s="71" t="n">
        <v>46206</v>
      </c>
      <c r="D822" s="70" t="n">
        <v>1740</v>
      </c>
      <c r="E822" s="72" t="inlineStr">
        <is>
          <t>OCIDENTAL COMERCIO DE FRIOS LTDA</t>
        </is>
      </c>
      <c r="F822" s="70" t="n">
        <v>24</v>
      </c>
      <c r="G822" s="72" t="inlineStr">
        <is>
          <t>Compra a Prazo - Boletos</t>
        </is>
      </c>
      <c r="H822" s="70" t="n">
        <v>2110101</v>
      </c>
      <c r="I822" s="72" t="inlineStr">
        <is>
          <t>FORNECEDORES DE MERCADORIA</t>
        </is>
      </c>
      <c r="J822" s="70" t="n">
        <v>1289301</v>
      </c>
      <c r="L822" s="70" t="n">
        <v>1238958</v>
      </c>
      <c r="M822" s="72" t="inlineStr">
        <is>
          <t>01</t>
        </is>
      </c>
      <c r="N822" s="72" t="inlineStr">
        <is>
          <t>NFE</t>
        </is>
      </c>
      <c r="P822" s="70" t="n">
        <v>103</v>
      </c>
      <c r="Q822" s="72" t="inlineStr">
        <is>
          <t>MILKA FRANCIS</t>
        </is>
      </c>
      <c r="R822" s="72" t="inlineStr">
        <is>
          <t>ESTOQUE DE MERCADORIAS</t>
        </is>
      </c>
      <c r="S822" s="70" t="n">
        <v>1130101</v>
      </c>
      <c r="T822" s="72" t="inlineStr">
        <is>
          <t>MERCADORIAS P/REVENDA</t>
        </is>
      </c>
      <c r="U822" s="73" t="n">
        <v>2272.58</v>
      </c>
      <c r="W822" s="73" t="n">
        <v>0</v>
      </c>
      <c r="X822" s="72" t="inlineStr">
        <is>
          <t>NF 1238958-1/3 MILKA</t>
        </is>
      </c>
      <c r="Z822" s="59">
        <f>IF($T822="","",IFERROR(INDEX('Resumo Grupos'!$AC$3:$AC$200,MATCH($T822,'Resumo Grupos'!$AB$3:$AB$200,0)),"n/d"))</f>
        <v/>
      </c>
      <c r="AA822" s="59">
        <f>IF($T822="","",IF(COUNTIF('Resumo Grupos'!$AE$3:$AE$40,$T822)&gt;0,"NAO","SIM"))</f>
        <v/>
      </c>
    </row>
    <row r="823" ht="36.75" customHeight="1" s="60">
      <c r="A823" s="70" t="n">
        <v>1</v>
      </c>
      <c r="B823" s="71" t="n">
        <v>46195</v>
      </c>
      <c r="C823" s="71" t="n">
        <v>46206</v>
      </c>
      <c r="D823" s="70" t="n">
        <v>1292</v>
      </c>
      <c r="E823" s="72" t="inlineStr">
        <is>
          <t>SAO JOSE COMERCIO DE LATICINIOS E FRIOS</t>
        </is>
      </c>
      <c r="F823" s="70" t="n">
        <v>24</v>
      </c>
      <c r="G823" s="72" t="inlineStr">
        <is>
          <t>Compra a Prazo - Boletos</t>
        </is>
      </c>
      <c r="H823" s="70" t="n">
        <v>2110102</v>
      </c>
      <c r="I823" s="72" t="inlineStr">
        <is>
          <t>OUTROS FORNECEDORES</t>
        </is>
      </c>
      <c r="J823" s="70" t="n">
        <v>1289607</v>
      </c>
      <c r="L823" s="70" t="n">
        <v>3441</v>
      </c>
      <c r="M823" s="72" t="inlineStr">
        <is>
          <t>01</t>
        </is>
      </c>
      <c r="N823" s="72" t="inlineStr">
        <is>
          <t>NFE</t>
        </is>
      </c>
      <c r="P823" s="70" t="n">
        <v>103</v>
      </c>
      <c r="Q823" s="72" t="inlineStr">
        <is>
          <t>MILKA FRANCIS</t>
        </is>
      </c>
      <c r="R823" s="72" t="inlineStr">
        <is>
          <t>DESPESAS OPERACIONAIS</t>
        </is>
      </c>
      <c r="S823" s="70" t="n">
        <v>4210204</v>
      </c>
      <c r="T823" s="72" t="inlineStr">
        <is>
          <t>MATERIAL DE CONSUMO</t>
        </is>
      </c>
      <c r="U823" s="73" t="n">
        <v>717.5</v>
      </c>
      <c r="W823" s="73" t="n">
        <v>0</v>
      </c>
      <c r="X823" s="72" t="inlineStr">
        <is>
          <t>NF 3441 SABORE FATIADO/PADARIA - MILKA</t>
        </is>
      </c>
      <c r="Z823" s="59">
        <f>IF($T823="","",IFERROR(INDEX('Resumo Grupos'!$AC$3:$AC$200,MATCH($T823,'Resumo Grupos'!$AB$3:$AB$200,0)),"n/d"))</f>
        <v/>
      </c>
      <c r="AA823" s="59">
        <f>IF($T823="","",IF(COUNTIF('Resumo Grupos'!$AE$3:$AE$40,$T823)&gt;0,"NAO","SIM"))</f>
        <v/>
      </c>
    </row>
    <row r="824" ht="36.75" customHeight="1" s="60">
      <c r="A824" s="70" t="n">
        <v>1</v>
      </c>
      <c r="B824" s="71" t="n">
        <v>46195</v>
      </c>
      <c r="C824" s="71" t="n">
        <v>46206</v>
      </c>
      <c r="D824" s="70" t="n">
        <v>1292</v>
      </c>
      <c r="E824" s="72" t="inlineStr">
        <is>
          <t>SAO JOSE COMERCIO DE LATICINIOS E FRIOS</t>
        </is>
      </c>
      <c r="F824" s="70" t="n">
        <v>24</v>
      </c>
      <c r="G824" s="72" t="inlineStr">
        <is>
          <t>Compra a Prazo - Boletos</t>
        </is>
      </c>
      <c r="H824" s="70" t="n">
        <v>2110101</v>
      </c>
      <c r="I824" s="72" t="inlineStr">
        <is>
          <t>FORNECEDORES DE MERCADORIA</t>
        </is>
      </c>
      <c r="J824" s="70" t="n">
        <v>1289612</v>
      </c>
      <c r="L824" s="70" t="n">
        <v>3442</v>
      </c>
      <c r="M824" s="72" t="inlineStr">
        <is>
          <t>02</t>
        </is>
      </c>
      <c r="N824" s="72" t="inlineStr">
        <is>
          <t>NFE</t>
        </is>
      </c>
      <c r="P824" s="70" t="n">
        <v>103</v>
      </c>
      <c r="Q824" s="72" t="inlineStr">
        <is>
          <t>MILKA FRANCIS</t>
        </is>
      </c>
      <c r="R824" s="72" t="inlineStr">
        <is>
          <t>ESTOQUE DE MERCADORIAS</t>
        </is>
      </c>
      <c r="S824" s="70" t="n">
        <v>1130101</v>
      </c>
      <c r="T824" s="72" t="inlineStr">
        <is>
          <t>MERCADORIAS P/REVENDA</t>
        </is>
      </c>
      <c r="U824" s="73" t="n">
        <v>854.5</v>
      </c>
      <c r="W824" s="73" t="n">
        <v>0</v>
      </c>
      <c r="X824" s="72" t="inlineStr">
        <is>
          <t>6756788  NF3442 - MILKA</t>
        </is>
      </c>
      <c r="Z824" s="59">
        <f>IF($T824="","",IFERROR(INDEX('Resumo Grupos'!$AC$3:$AC$200,MATCH($T824,'Resumo Grupos'!$AB$3:$AB$200,0)),"n/d"))</f>
        <v/>
      </c>
      <c r="AA824" s="59">
        <f>IF($T824="","",IF(COUNTIF('Resumo Grupos'!$AE$3:$AE$40,$T824)&gt;0,"NAO","SIM"))</f>
        <v/>
      </c>
    </row>
    <row r="825" ht="27.75" customHeight="1" s="60">
      <c r="A825" s="70" t="n">
        <v>1</v>
      </c>
      <c r="B825" s="71" t="n">
        <v>46195</v>
      </c>
      <c r="C825" s="71" t="n">
        <v>46206</v>
      </c>
      <c r="D825" s="70" t="n">
        <v>1695</v>
      </c>
      <c r="E825" s="72" t="inlineStr">
        <is>
          <t>BRAGA TABACARIA EIRELI ME</t>
        </is>
      </c>
      <c r="F825" s="70" t="n">
        <v>24</v>
      </c>
      <c r="G825" s="72" t="inlineStr">
        <is>
          <t>Compra a Prazo - Boletos</t>
        </is>
      </c>
      <c r="H825" s="70" t="n">
        <v>2110101</v>
      </c>
      <c r="I825" s="72" t="inlineStr">
        <is>
          <t>FORNECEDORES DE MERCADORIA</t>
        </is>
      </c>
      <c r="J825" s="70" t="n">
        <v>1289622</v>
      </c>
      <c r="L825" s="70" t="n">
        <v>18761</v>
      </c>
      <c r="M825" s="72" t="inlineStr">
        <is>
          <t>02</t>
        </is>
      </c>
      <c r="N825" s="72" t="inlineStr">
        <is>
          <t>NFE</t>
        </is>
      </c>
      <c r="P825" s="70" t="n">
        <v>103</v>
      </c>
      <c r="Q825" s="72" t="inlineStr">
        <is>
          <t>MILKA FRANCIS</t>
        </is>
      </c>
      <c r="R825" s="72" t="inlineStr">
        <is>
          <t>ESTOQUE DE MERCADORIAS</t>
        </is>
      </c>
      <c r="S825" s="70" t="n">
        <v>1130101</v>
      </c>
      <c r="T825" s="72" t="inlineStr">
        <is>
          <t>MERCADORIAS P/REVENDA</t>
        </is>
      </c>
      <c r="U825" s="73" t="n">
        <v>467.2</v>
      </c>
      <c r="W825" s="73" t="n">
        <v>0</v>
      </c>
      <c r="X825" s="72" t="inlineStr">
        <is>
          <t>NF 18761-02 MILKA</t>
        </is>
      </c>
      <c r="Z825" s="59">
        <f>IF($T825="","",IFERROR(INDEX('Resumo Grupos'!$AC$3:$AC$200,MATCH($T825,'Resumo Grupos'!$AB$3:$AB$200,0)),"n/d"))</f>
        <v/>
      </c>
      <c r="AA825" s="59">
        <f>IF($T825="","",IF(COUNTIF('Resumo Grupos'!$AE$3:$AE$40,$T825)&gt;0,"NAO","SIM"))</f>
        <v/>
      </c>
    </row>
    <row r="826" ht="45.75" customHeight="1" s="60">
      <c r="A826" s="70" t="n">
        <v>1</v>
      </c>
      <c r="B826" s="71" t="n">
        <v>46199</v>
      </c>
      <c r="C826" s="71" t="n">
        <v>46206</v>
      </c>
      <c r="D826" s="70" t="n">
        <v>1642</v>
      </c>
      <c r="E826" s="72" t="inlineStr">
        <is>
          <t>BROTHERS  INDUSTRIA DE ALIMENTOS LTDA</t>
        </is>
      </c>
      <c r="F826" s="70" t="n">
        <v>24</v>
      </c>
      <c r="G826" s="72" t="inlineStr">
        <is>
          <t>Compra a Prazo - Boletos</t>
        </is>
      </c>
      <c r="H826" s="70" t="n">
        <v>2110101</v>
      </c>
      <c r="I826" s="72" t="inlineStr">
        <is>
          <t>FORNECEDORES DE MERCADORIA</t>
        </is>
      </c>
      <c r="J826" s="70" t="n">
        <v>1309270</v>
      </c>
      <c r="L826" s="70" t="n">
        <v>1029068</v>
      </c>
      <c r="M826" s="72" t="inlineStr">
        <is>
          <t>01</t>
        </is>
      </c>
      <c r="N826" s="72" t="inlineStr">
        <is>
          <t>NFE</t>
        </is>
      </c>
      <c r="P826" s="70" t="n">
        <v>103</v>
      </c>
      <c r="Q826" s="72" t="inlineStr">
        <is>
          <t>MILKA FRANCIS</t>
        </is>
      </c>
      <c r="R826" s="72" t="inlineStr">
        <is>
          <t>ESTOQUE DE MERCADORIAS</t>
        </is>
      </c>
      <c r="S826" s="70" t="n">
        <v>1130101</v>
      </c>
      <c r="T826" s="72" t="inlineStr">
        <is>
          <t>MERCADORIAS P/REVENDA</t>
        </is>
      </c>
      <c r="U826" s="73" t="n">
        <v>1016.96</v>
      </c>
      <c r="W826" s="73" t="n">
        <v>0</v>
      </c>
      <c r="X826" s="72" t="inlineStr">
        <is>
          <t>NF 1029068 - MILKA</t>
        </is>
      </c>
      <c r="Z826" s="59">
        <f>IF($T826="","",IFERROR(INDEX('Resumo Grupos'!$AC$3:$AC$200,MATCH($T826,'Resumo Grupos'!$AB$3:$AB$200,0)),"n/d"))</f>
        <v/>
      </c>
      <c r="AA826" s="59">
        <f>IF($T826="","",IF(COUNTIF('Resumo Grupos'!$AE$3:$AE$40,$T826)&gt;0,"NAO","SIM"))</f>
        <v/>
      </c>
    </row>
    <row r="827" ht="36.75" customHeight="1" s="60">
      <c r="A827" s="70" t="n">
        <v>1</v>
      </c>
      <c r="B827" s="71" t="n">
        <v>46199</v>
      </c>
      <c r="C827" s="71" t="n">
        <v>46206</v>
      </c>
      <c r="D827" s="70" t="n">
        <v>1625</v>
      </c>
      <c r="E827" s="72" t="inlineStr">
        <is>
          <t>MAXFRI DISTRIUIDORA LTDA</t>
        </is>
      </c>
      <c r="F827" s="70" t="n">
        <v>24</v>
      </c>
      <c r="G827" s="72" t="inlineStr">
        <is>
          <t>Compra a Prazo - Boletos</t>
        </is>
      </c>
      <c r="H827" s="70" t="n">
        <v>2110101</v>
      </c>
      <c r="I827" s="72" t="inlineStr">
        <is>
          <t>FORNECEDORES DE MERCADORIA</t>
        </is>
      </c>
      <c r="J827" s="70" t="n">
        <v>1310018</v>
      </c>
      <c r="L827" s="70" t="n">
        <v>14562</v>
      </c>
      <c r="M827" s="72" t="inlineStr">
        <is>
          <t>01</t>
        </is>
      </c>
      <c r="N827" s="72" t="inlineStr">
        <is>
          <t>NFE</t>
        </is>
      </c>
      <c r="P827" s="70" t="n">
        <v>103</v>
      </c>
      <c r="Q827" s="72" t="inlineStr">
        <is>
          <t>MILKA FRANCIS</t>
        </is>
      </c>
      <c r="R827" s="72" t="inlineStr">
        <is>
          <t>ESTOQUE DE MERCADORIAS</t>
        </is>
      </c>
      <c r="S827" s="70" t="n">
        <v>1130101</v>
      </c>
      <c r="T827" s="72" t="inlineStr">
        <is>
          <t>MERCADORIAS P/REVENDA</t>
        </is>
      </c>
      <c r="U827" s="73" t="n">
        <v>6075.66</v>
      </c>
      <c r="W827" s="73" t="n">
        <v>0</v>
      </c>
      <c r="X827" s="72" t="inlineStr">
        <is>
          <t>NF14562 - MILKA</t>
        </is>
      </c>
      <c r="Z827" s="59">
        <f>IF($T827="","",IFERROR(INDEX('Resumo Grupos'!$AC$3:$AC$200,MATCH($T827,'Resumo Grupos'!$AB$3:$AB$200,0)),"n/d"))</f>
        <v/>
      </c>
      <c r="AA827" s="59">
        <f>IF($T827="","",IF(COUNTIF('Resumo Grupos'!$AE$3:$AE$40,$T827)&gt;0,"NAO","SIM"))</f>
        <v/>
      </c>
    </row>
    <row r="828" ht="36.75" customHeight="1" s="60">
      <c r="A828" s="70" t="n">
        <v>1</v>
      </c>
      <c r="B828" s="71" t="n">
        <v>46200</v>
      </c>
      <c r="C828" s="71" t="n">
        <v>46206</v>
      </c>
      <c r="D828" s="70" t="n">
        <v>1666</v>
      </c>
      <c r="E828" s="72" t="inlineStr">
        <is>
          <t>SOUZA CRUZ LTDA.</t>
        </is>
      </c>
      <c r="F828" s="70" t="n">
        <v>24</v>
      </c>
      <c r="G828" s="72" t="inlineStr">
        <is>
          <t>Compra a Prazo - Boletos</t>
        </is>
      </c>
      <c r="H828" s="70" t="n">
        <v>2110101</v>
      </c>
      <c r="I828" s="72" t="inlineStr">
        <is>
          <t>FORNECEDORES DE MERCADORIA</t>
        </is>
      </c>
      <c r="J828" s="70" t="n">
        <v>1312788</v>
      </c>
      <c r="L828" s="70" t="n">
        <v>565012</v>
      </c>
      <c r="M828" s="72" t="inlineStr">
        <is>
          <t>01</t>
        </is>
      </c>
      <c r="N828" s="72" t="inlineStr">
        <is>
          <t>NFE</t>
        </is>
      </c>
      <c r="P828" s="70" t="n">
        <v>103</v>
      </c>
      <c r="Q828" s="72" t="inlineStr">
        <is>
          <t>MILKA FRANCIS</t>
        </is>
      </c>
      <c r="R828" s="72" t="inlineStr">
        <is>
          <t>ESTOQUE DE MERCADORIAS</t>
        </is>
      </c>
      <c r="S828" s="70" t="n">
        <v>1130101</v>
      </c>
      <c r="T828" s="72" t="inlineStr">
        <is>
          <t>MERCADORIAS P/REVENDA</t>
        </is>
      </c>
      <c r="U828" s="73" t="n">
        <v>5229.62</v>
      </c>
      <c r="W828" s="73" t="n">
        <v>0</v>
      </c>
      <c r="X828" s="72" t="inlineStr">
        <is>
          <t>NF 565012-01 MILKA</t>
        </is>
      </c>
      <c r="Z828" s="59">
        <f>IF($T828="","",IFERROR(INDEX('Resumo Grupos'!$AC$3:$AC$200,MATCH($T828,'Resumo Grupos'!$AB$3:$AB$200,0)),"n/d"))</f>
        <v/>
      </c>
      <c r="AA828" s="59">
        <f>IF($T828="","",IF(COUNTIF('Resumo Grupos'!$AE$3:$AE$40,$T828)&gt;0,"NAO","SIM"))</f>
        <v/>
      </c>
    </row>
    <row r="829" ht="36.75" customHeight="1" s="60">
      <c r="A829" s="70" t="n">
        <v>1</v>
      </c>
      <c r="B829" s="71" t="n">
        <v>46200</v>
      </c>
      <c r="C829" s="71" t="n">
        <v>46206</v>
      </c>
      <c r="D829" s="70" t="n">
        <v>1695</v>
      </c>
      <c r="E829" s="72" t="inlineStr">
        <is>
          <t>BRAGA TABACARIA EIRELI ME</t>
        </is>
      </c>
      <c r="F829" s="70" t="n">
        <v>24</v>
      </c>
      <c r="G829" s="72" t="inlineStr">
        <is>
          <t>Compra a Prazo - Boletos</t>
        </is>
      </c>
      <c r="H829" s="70" t="n">
        <v>2110101</v>
      </c>
      <c r="I829" s="72" t="inlineStr">
        <is>
          <t>FORNECEDORES DE MERCADORIA</t>
        </is>
      </c>
      <c r="J829" s="70" t="n">
        <v>1312829</v>
      </c>
      <c r="L829" s="70" t="n">
        <v>18891</v>
      </c>
      <c r="M829" s="72" t="inlineStr">
        <is>
          <t>01</t>
        </is>
      </c>
      <c r="N829" s="72" t="inlineStr">
        <is>
          <t>NFE</t>
        </is>
      </c>
      <c r="P829" s="70" t="n">
        <v>103</v>
      </c>
      <c r="Q829" s="72" t="inlineStr">
        <is>
          <t>MILKA FRANCIS</t>
        </is>
      </c>
      <c r="R829" s="72" t="inlineStr">
        <is>
          <t>ESTOQUE DE MERCADORIAS</t>
        </is>
      </c>
      <c r="S829" s="70" t="n">
        <v>1130101</v>
      </c>
      <c r="T829" s="72" t="inlineStr">
        <is>
          <t>MERCADORIAS P/REVENDA</t>
        </is>
      </c>
      <c r="U829" s="73" t="n">
        <v>998</v>
      </c>
      <c r="W829" s="73" t="n">
        <v>0</v>
      </c>
      <c r="X829" s="72" t="inlineStr">
        <is>
          <t>NF18891 - MILKA</t>
        </is>
      </c>
      <c r="Z829" s="59">
        <f>IF($T829="","",IFERROR(INDEX('Resumo Grupos'!$AC$3:$AC$200,MATCH($T829,'Resumo Grupos'!$AB$3:$AB$200,0)),"n/d"))</f>
        <v/>
      </c>
      <c r="AA829" s="59">
        <f>IF($T829="","",IF(COUNTIF('Resumo Grupos'!$AE$3:$AE$40,$T829)&gt;0,"NAO","SIM"))</f>
        <v/>
      </c>
    </row>
    <row r="830" ht="36.75" customHeight="1" s="60">
      <c r="A830" s="70" t="n">
        <v>1</v>
      </c>
      <c r="B830" s="71" t="n">
        <v>46200</v>
      </c>
      <c r="C830" s="71" t="n">
        <v>46206</v>
      </c>
      <c r="D830" s="70" t="n">
        <v>1749</v>
      </c>
      <c r="E830" s="72" t="inlineStr">
        <is>
          <t>ORIENTE COM. ATACADISTA E REPRES. LTDA</t>
        </is>
      </c>
      <c r="F830" s="70" t="n">
        <v>24</v>
      </c>
      <c r="G830" s="72" t="inlineStr">
        <is>
          <t>Compra a Prazo - Boletos</t>
        </is>
      </c>
      <c r="H830" s="70" t="n">
        <v>2110101</v>
      </c>
      <c r="I830" s="72" t="inlineStr">
        <is>
          <t>FORNECEDORES DE MERCADORIA</t>
        </is>
      </c>
      <c r="J830" s="70" t="n">
        <v>1312870</v>
      </c>
      <c r="L830" s="70" t="n">
        <v>2033</v>
      </c>
      <c r="M830" s="72" t="inlineStr">
        <is>
          <t>01</t>
        </is>
      </c>
      <c r="N830" s="72" t="inlineStr">
        <is>
          <t>NFE</t>
        </is>
      </c>
      <c r="P830" s="70" t="n">
        <v>103</v>
      </c>
      <c r="Q830" s="72" t="inlineStr">
        <is>
          <t>MILKA FRANCIS</t>
        </is>
      </c>
      <c r="R830" s="72" t="inlineStr">
        <is>
          <t>ESTOQUE DE MERCADORIAS</t>
        </is>
      </c>
      <c r="S830" s="70" t="n">
        <v>1130101</v>
      </c>
      <c r="T830" s="72" t="inlineStr">
        <is>
          <t>MERCADORIAS P/REVENDA</t>
        </is>
      </c>
      <c r="U830" s="73" t="n">
        <v>754.42</v>
      </c>
      <c r="W830" s="73" t="n">
        <v>0</v>
      </c>
      <c r="X830" s="72" t="inlineStr">
        <is>
          <t>2435/1  NF2033 - MILKA</t>
        </is>
      </c>
      <c r="Z830" s="59">
        <f>IF($T830="","",IFERROR(INDEX('Resumo Grupos'!$AC$3:$AC$200,MATCH($T830,'Resumo Grupos'!$AB$3:$AB$200,0)),"n/d"))</f>
        <v/>
      </c>
      <c r="AA830" s="59">
        <f>IF($T830="","",IF(COUNTIF('Resumo Grupos'!$AE$3:$AE$40,$T830)&gt;0,"NAO","SIM"))</f>
        <v/>
      </c>
    </row>
    <row r="831" ht="45.75" customHeight="1" s="60">
      <c r="A831" s="70" t="n">
        <v>1</v>
      </c>
      <c r="B831" s="71" t="n">
        <v>46200</v>
      </c>
      <c r="C831" s="71" t="n">
        <v>46206</v>
      </c>
      <c r="D831" s="70" t="n">
        <v>1363</v>
      </c>
      <c r="E831" s="72" t="inlineStr">
        <is>
          <t>JAB COMERCIO DE PRODUTOS ALIMENTICIOS LT</t>
        </is>
      </c>
      <c r="F831" s="70" t="n">
        <v>24</v>
      </c>
      <c r="G831" s="72" t="inlineStr">
        <is>
          <t>Compra a Prazo - Boletos</t>
        </is>
      </c>
      <c r="H831" s="70" t="n">
        <v>2110101</v>
      </c>
      <c r="I831" s="72" t="inlineStr">
        <is>
          <t>FORNECEDORES DE MERCADORIA</t>
        </is>
      </c>
      <c r="J831" s="70" t="n">
        <v>1313451</v>
      </c>
      <c r="L831" s="70" t="n">
        <v>3442</v>
      </c>
      <c r="M831" s="72" t="inlineStr">
        <is>
          <t>01</t>
        </is>
      </c>
      <c r="N831" s="72" t="inlineStr">
        <is>
          <t>NFE</t>
        </is>
      </c>
      <c r="P831" s="70" t="n">
        <v>103</v>
      </c>
      <c r="Q831" s="72" t="inlineStr">
        <is>
          <t>MILKA FRANCIS</t>
        </is>
      </c>
      <c r="R831" s="72" t="inlineStr">
        <is>
          <t>ESTOQUE DE MERCADORIAS</t>
        </is>
      </c>
      <c r="S831" s="70" t="n">
        <v>1130101</v>
      </c>
      <c r="T831" s="72" t="inlineStr">
        <is>
          <t>MERCADORIAS P/REVENDA</t>
        </is>
      </c>
      <c r="U831" s="73" t="n">
        <v>399</v>
      </c>
      <c r="W831" s="73" t="n">
        <v>0</v>
      </c>
      <c r="X831" s="72" t="inlineStr">
        <is>
          <t>NF 3442 SANTOPAO - MILKA</t>
        </is>
      </c>
      <c r="Z831" s="59">
        <f>IF($T831="","",IFERROR(INDEX('Resumo Grupos'!$AC$3:$AC$200,MATCH($T831,'Resumo Grupos'!$AB$3:$AB$200,0)),"n/d"))</f>
        <v/>
      </c>
      <c r="AA831" s="59">
        <f>IF($T831="","",IF(COUNTIF('Resumo Grupos'!$AE$3:$AE$40,$T831)&gt;0,"NAO","SIM"))</f>
        <v/>
      </c>
    </row>
    <row r="832" ht="36.75" customHeight="1" s="60">
      <c r="A832" s="70" t="n">
        <v>1</v>
      </c>
      <c r="B832" s="71" t="n">
        <v>46200</v>
      </c>
      <c r="C832" s="71" t="n">
        <v>46206</v>
      </c>
      <c r="D832" s="70" t="n">
        <v>1286</v>
      </c>
      <c r="E832" s="72" t="inlineStr">
        <is>
          <t>VITAPAN COMERCIO VAREJISTA DE PRODUTOS ALIMENTICIOS LTDA</t>
        </is>
      </c>
      <c r="F832" s="70" t="n">
        <v>24</v>
      </c>
      <c r="G832" s="72" t="inlineStr">
        <is>
          <t>Compra a Prazo - Boletos</t>
        </is>
      </c>
      <c r="H832" s="70" t="n">
        <v>2110101</v>
      </c>
      <c r="I832" s="72" t="inlineStr">
        <is>
          <t>FORNECEDORES DE MERCADORIA</t>
        </is>
      </c>
      <c r="J832" s="70" t="n">
        <v>1313459</v>
      </c>
      <c r="L832" s="70" t="n">
        <v>10182</v>
      </c>
      <c r="M832" s="72" t="inlineStr">
        <is>
          <t>01</t>
        </is>
      </c>
      <c r="N832" s="72" t="inlineStr">
        <is>
          <t>NFE</t>
        </is>
      </c>
      <c r="P832" s="70" t="n">
        <v>103</v>
      </c>
      <c r="Q832" s="72" t="inlineStr">
        <is>
          <t>MILKA FRANCIS</t>
        </is>
      </c>
      <c r="R832" s="72" t="inlineStr">
        <is>
          <t>ESTOQUE DE MERCADORIAS</t>
        </is>
      </c>
      <c r="S832" s="70" t="n">
        <v>1130101</v>
      </c>
      <c r="T832" s="72" t="inlineStr">
        <is>
          <t>MERCADORIAS P/REVENDA</t>
        </is>
      </c>
      <c r="U832" s="73" t="n">
        <v>1125</v>
      </c>
      <c r="W832" s="73" t="n">
        <v>0</v>
      </c>
      <c r="X832" s="72" t="inlineStr">
        <is>
          <t>NF10182 - MILKA</t>
        </is>
      </c>
      <c r="Z832" s="59">
        <f>IF($T832="","",IFERROR(INDEX('Resumo Grupos'!$AC$3:$AC$200,MATCH($T832,'Resumo Grupos'!$AB$3:$AB$200,0)),"n/d"))</f>
        <v/>
      </c>
      <c r="AA832" s="59">
        <f>IF($T832="","",IF(COUNTIF('Resumo Grupos'!$AE$3:$AE$40,$T832)&gt;0,"NAO","SIM"))</f>
        <v/>
      </c>
    </row>
    <row r="833" ht="36.75" customHeight="1" s="60">
      <c r="A833" s="70" t="n">
        <v>1</v>
      </c>
      <c r="B833" s="71" t="n">
        <v>46200</v>
      </c>
      <c r="C833" s="71" t="n">
        <v>46206</v>
      </c>
      <c r="D833" s="70" t="n">
        <v>1609</v>
      </c>
      <c r="E833" s="72" t="inlineStr">
        <is>
          <t>H. L. DO NASCIMENTO</t>
        </is>
      </c>
      <c r="F833" s="70" t="n">
        <v>24</v>
      </c>
      <c r="G833" s="72" t="inlineStr">
        <is>
          <t>Compra a Prazo - Boletos</t>
        </is>
      </c>
      <c r="H833" s="70" t="n">
        <v>2110101</v>
      </c>
      <c r="I833" s="72" t="inlineStr">
        <is>
          <t>FORNECEDORES DE MERCADORIA</t>
        </is>
      </c>
      <c r="J833" s="70" t="n">
        <v>1313860</v>
      </c>
      <c r="L833" s="70" t="n">
        <v>5716</v>
      </c>
      <c r="M833" s="72" t="inlineStr">
        <is>
          <t>01</t>
        </is>
      </c>
      <c r="N833" s="72" t="inlineStr">
        <is>
          <t>NFE</t>
        </is>
      </c>
      <c r="P833" s="70" t="n">
        <v>103</v>
      </c>
      <c r="Q833" s="72" t="inlineStr">
        <is>
          <t>MILKA FRANCIS</t>
        </is>
      </c>
      <c r="R833" s="72" t="inlineStr">
        <is>
          <t>ESTOQUE DE MERCADORIAS</t>
        </is>
      </c>
      <c r="S833" s="70" t="n">
        <v>1130101</v>
      </c>
      <c r="T833" s="72" t="inlineStr">
        <is>
          <t>MERCADORIAS P/REVENDA</t>
        </is>
      </c>
      <c r="U833" s="73" t="n">
        <v>1427.3</v>
      </c>
      <c r="W833" s="73" t="n">
        <v>0</v>
      </c>
      <c r="X833" s="72" t="inlineStr">
        <is>
          <t>NF 5716 - MILKA</t>
        </is>
      </c>
      <c r="Z833" s="59">
        <f>IF($T833="","",IFERROR(INDEX('Resumo Grupos'!$AC$3:$AC$200,MATCH($T833,'Resumo Grupos'!$AB$3:$AB$200,0)),"n/d"))</f>
        <v/>
      </c>
      <c r="AA833" s="59">
        <f>IF($T833="","",IF(COUNTIF('Resumo Grupos'!$AE$3:$AE$40,$T833)&gt;0,"NAO","SIM"))</f>
        <v/>
      </c>
    </row>
    <row r="834" ht="36.75" customHeight="1" s="60">
      <c r="A834" s="70" t="n">
        <v>1</v>
      </c>
      <c r="B834" s="71" t="n">
        <v>46202</v>
      </c>
      <c r="C834" s="71" t="n">
        <v>46206</v>
      </c>
      <c r="D834" s="70" t="n">
        <v>1328</v>
      </c>
      <c r="E834" s="72" t="inlineStr">
        <is>
          <t>NOVA FRIOS COMERCIO ATACADISTA DE LATICINIOS LTDA</t>
        </is>
      </c>
      <c r="F834" s="70" t="n">
        <v>24</v>
      </c>
      <c r="G834" s="72" t="inlineStr">
        <is>
          <t>Compra a Prazo - Boletos</t>
        </is>
      </c>
      <c r="H834" s="70" t="n">
        <v>2110101</v>
      </c>
      <c r="I834" s="72" t="inlineStr">
        <is>
          <t>FORNECEDORES DE MERCADORIA</t>
        </is>
      </c>
      <c r="J834" s="70" t="n">
        <v>1321792</v>
      </c>
      <c r="L834" s="70" t="n">
        <v>3901</v>
      </c>
      <c r="M834" s="72" t="inlineStr">
        <is>
          <t>01</t>
        </is>
      </c>
      <c r="N834" s="72" t="inlineStr">
        <is>
          <t>NFE</t>
        </is>
      </c>
      <c r="P834" s="70" t="n">
        <v>103</v>
      </c>
      <c r="Q834" s="72" t="inlineStr">
        <is>
          <t>MILKA FRANCIS</t>
        </is>
      </c>
      <c r="R834" s="72" t="inlineStr">
        <is>
          <t>ESTOQUE DE MERCADORIAS</t>
        </is>
      </c>
      <c r="S834" s="70" t="n">
        <v>1130101</v>
      </c>
      <c r="T834" s="72" t="inlineStr">
        <is>
          <t>MERCADORIAS P/REVENDA</t>
        </is>
      </c>
      <c r="U834" s="73" t="n">
        <v>226.4</v>
      </c>
      <c r="W834" s="73" t="n">
        <v>0</v>
      </c>
      <c r="X834" s="72" t="inlineStr">
        <is>
          <t>NF 3901 SANTOPAO - MILKA</t>
        </is>
      </c>
      <c r="Z834" s="59">
        <f>IF($T834="","",IFERROR(INDEX('Resumo Grupos'!$AC$3:$AC$200,MATCH($T834,'Resumo Grupos'!$AB$3:$AB$200,0)),"n/d"))</f>
        <v/>
      </c>
      <c r="AA834" s="59">
        <f>IF($T834="","",IF(COUNTIF('Resumo Grupos'!$AE$3:$AE$40,$T834)&gt;0,"NAO","SIM"))</f>
        <v/>
      </c>
    </row>
    <row r="835" ht="54.75" customHeight="1" s="60">
      <c r="A835" s="70" t="n">
        <v>1</v>
      </c>
      <c r="B835" s="71" t="n">
        <v>46203</v>
      </c>
      <c r="C835" s="71" t="n">
        <v>46206</v>
      </c>
      <c r="D835" s="70" t="n">
        <v>1899</v>
      </c>
      <c r="E835" s="72" t="inlineStr">
        <is>
          <t>PANIFICADORA E CONFEITARIA REAL MADRI LTDA</t>
        </is>
      </c>
      <c r="F835" s="70" t="n">
        <v>24</v>
      </c>
      <c r="G835" s="72" t="inlineStr">
        <is>
          <t>Compra a Prazo - Boletos</t>
        </is>
      </c>
      <c r="H835" s="70" t="n">
        <v>2110101</v>
      </c>
      <c r="I835" s="72" t="inlineStr">
        <is>
          <t>FORNECEDORES DE MERCADORIA</t>
        </is>
      </c>
      <c r="J835" s="70" t="n">
        <v>1331254</v>
      </c>
      <c r="L835" s="70" t="n">
        <v>687</v>
      </c>
      <c r="M835" s="72" t="inlineStr">
        <is>
          <t>01</t>
        </is>
      </c>
      <c r="N835" s="72" t="inlineStr">
        <is>
          <t>NFE</t>
        </is>
      </c>
      <c r="P835" s="70" t="n">
        <v>103</v>
      </c>
      <c r="Q835" s="72" t="inlineStr">
        <is>
          <t>MILKA FRANCIS</t>
        </is>
      </c>
      <c r="R835" s="72" t="inlineStr">
        <is>
          <t>ESTOQUE DE MERCADORIAS</t>
        </is>
      </c>
      <c r="S835" s="70" t="n">
        <v>1130101</v>
      </c>
      <c r="T835" s="72" t="inlineStr">
        <is>
          <t>MERCADORIAS P/REVENDA</t>
        </is>
      </c>
      <c r="U835" s="73" t="n">
        <v>1400</v>
      </c>
      <c r="W835" s="73" t="n">
        <v>0</v>
      </c>
      <c r="X835" s="72" t="inlineStr">
        <is>
          <t>NF 687 - MILKA</t>
        </is>
      </c>
      <c r="Z835" s="59">
        <f>IF($T835="","",IFERROR(INDEX('Resumo Grupos'!$AC$3:$AC$200,MATCH($T835,'Resumo Grupos'!$AB$3:$AB$200,0)),"n/d"))</f>
        <v/>
      </c>
      <c r="AA835" s="59">
        <f>IF($T835="","",IF(COUNTIF('Resumo Grupos'!$AE$3:$AE$40,$T835)&gt;0,"NAO","SIM"))</f>
        <v/>
      </c>
    </row>
    <row r="836" ht="36.75" customHeight="1" s="60">
      <c r="A836" s="70" t="n">
        <v>1</v>
      </c>
      <c r="B836" s="71" t="n">
        <v>46206</v>
      </c>
      <c r="C836" s="71" t="n">
        <v>46206</v>
      </c>
      <c r="D836" s="70" t="n">
        <v>33</v>
      </c>
      <c r="E836" s="72" t="inlineStr">
        <is>
          <t>RENATO DE O AZEVEDO E CIA LTDA - EPP</t>
        </is>
      </c>
      <c r="F836" s="70" t="n">
        <v>34</v>
      </c>
      <c r="G836" s="72" t="inlineStr">
        <is>
          <t>Transferencia Pix</t>
        </is>
      </c>
      <c r="H836" s="70" t="n">
        <v>2110101</v>
      </c>
      <c r="I836" s="72" t="inlineStr">
        <is>
          <t>FORNECEDORES DE MERCADORIA</t>
        </is>
      </c>
      <c r="J836" s="70" t="n">
        <v>1345214</v>
      </c>
      <c r="L836" s="70" t="n">
        <v>5238</v>
      </c>
      <c r="M836" s="72" t="inlineStr">
        <is>
          <t>01</t>
        </is>
      </c>
      <c r="N836" s="72" t="inlineStr">
        <is>
          <t>NFE</t>
        </is>
      </c>
      <c r="P836" s="70" t="n">
        <v>104</v>
      </c>
      <c r="Q836" s="72" t="inlineStr">
        <is>
          <t>DEBORA COSTA</t>
        </is>
      </c>
      <c r="R836" s="72" t="inlineStr">
        <is>
          <t>ESTOQUE DE MERCADORIAS</t>
        </is>
      </c>
      <c r="S836" s="70" t="n">
        <v>1130101</v>
      </c>
      <c r="T836" s="72" t="inlineStr">
        <is>
          <t>MERCADORIAS P/REVENDA</t>
        </is>
      </c>
      <c r="U836" s="73" t="n">
        <v>2905</v>
      </c>
      <c r="W836" s="73" t="n">
        <v>0</v>
      </c>
      <c r="X836" s="72" t="inlineStr">
        <is>
          <t>FEIRA SR RENATO - DEBORA</t>
        </is>
      </c>
      <c r="Z836" s="59">
        <f>IF($T836="","",IFERROR(INDEX('Resumo Grupos'!$AC$3:$AC$200,MATCH($T836,'Resumo Grupos'!$AB$3:$AB$200,0)),"n/d"))</f>
        <v/>
      </c>
      <c r="AA836" s="59">
        <f>IF($T836="","",IF(COUNTIF('Resumo Grupos'!$AE$3:$AE$40,$T836)&gt;0,"NAO","SIM"))</f>
        <v/>
      </c>
    </row>
    <row r="837" ht="36.75" customHeight="1" s="60">
      <c r="A837" s="70" t="n">
        <v>1</v>
      </c>
      <c r="B837" s="71" t="n">
        <v>46206</v>
      </c>
      <c r="C837" s="71" t="n">
        <v>46206</v>
      </c>
      <c r="D837" s="70" t="n">
        <v>33</v>
      </c>
      <c r="E837" s="72" t="inlineStr">
        <is>
          <t>RENATO DE O AZEVEDO E CIA LTDA - EPP</t>
        </is>
      </c>
      <c r="F837" s="70" t="n">
        <v>13</v>
      </c>
      <c r="G837" s="72" t="inlineStr">
        <is>
          <t>Compra a Vista</t>
        </is>
      </c>
      <c r="H837" s="70" t="n">
        <v>2110101</v>
      </c>
      <c r="I837" s="72" t="inlineStr">
        <is>
          <t>FORNECEDORES DE MERCADORIA</t>
        </is>
      </c>
      <c r="J837" s="70" t="n">
        <v>1345330</v>
      </c>
      <c r="L837" s="70" t="n">
        <v>5239</v>
      </c>
      <c r="M837" s="72" t="inlineStr">
        <is>
          <t>01</t>
        </is>
      </c>
      <c r="N837" s="72" t="inlineStr">
        <is>
          <t>NFE</t>
        </is>
      </c>
      <c r="P837" s="70" t="n">
        <v>104</v>
      </c>
      <c r="Q837" s="72" t="inlineStr">
        <is>
          <t>DEBORA COSTA</t>
        </is>
      </c>
      <c r="R837" s="72" t="inlineStr">
        <is>
          <t>ESTOQUE DE MERCADORIAS</t>
        </is>
      </c>
      <c r="S837" s="70" t="n">
        <v>1130101</v>
      </c>
      <c r="T837" s="72" t="inlineStr">
        <is>
          <t>MERCADORIAS P/REVENDA</t>
        </is>
      </c>
      <c r="U837" s="73" t="n">
        <v>400</v>
      </c>
      <c r="W837" s="73" t="n">
        <v>0</v>
      </c>
      <c r="X837" s="72" t="inlineStr">
        <is>
          <t>PITAYA - DEBORA</t>
        </is>
      </c>
      <c r="Z837" s="59">
        <f>IF($T837="","",IFERROR(INDEX('Resumo Grupos'!$AC$3:$AC$200,MATCH($T837,'Resumo Grupos'!$AB$3:$AB$200,0)),"n/d"))</f>
        <v/>
      </c>
      <c r="AA837" s="59">
        <f>IF($T837="","",IF(COUNTIF('Resumo Grupos'!$AE$3:$AE$40,$T837)&gt;0,"NAO","SIM"))</f>
        <v/>
      </c>
    </row>
    <row r="838" ht="36.75" customHeight="1" s="60">
      <c r="A838" s="70" t="n">
        <v>1</v>
      </c>
      <c r="B838" s="71" t="n">
        <v>46206</v>
      </c>
      <c r="C838" s="71" t="n">
        <v>46206</v>
      </c>
      <c r="D838" s="70" t="n">
        <v>48</v>
      </c>
      <c r="E838" s="72" t="inlineStr">
        <is>
          <t>NEYLIANE S DE OLIVEIRA &amp; CIA LTDA</t>
        </is>
      </c>
      <c r="F838" s="70" t="n">
        <v>34</v>
      </c>
      <c r="G838" s="72" t="inlineStr">
        <is>
          <t>Transferencia Pix</t>
        </is>
      </c>
      <c r="H838" s="70" t="n">
        <v>1110202</v>
      </c>
      <c r="I838" s="72" t="inlineStr">
        <is>
          <t>BANCO ITAU Lj 01</t>
        </is>
      </c>
      <c r="J838" s="70" t="n">
        <v>1345449</v>
      </c>
      <c r="L838" s="70" t="n">
        <v>555715</v>
      </c>
      <c r="M838" s="72" t="inlineStr">
        <is>
          <t>01</t>
        </is>
      </c>
      <c r="N838" s="72" t="inlineStr">
        <is>
          <t>AVU</t>
        </is>
      </c>
      <c r="P838" s="70" t="n">
        <v>102</v>
      </c>
      <c r="Q838" s="72" t="inlineStr">
        <is>
          <t>ANDREZA ANDRADE</t>
        </is>
      </c>
      <c r="R838" s="72" t="inlineStr">
        <is>
          <t>ESTOQUE DE MERCADORIAS</t>
        </is>
      </c>
      <c r="S838" s="70" t="n">
        <v>1130101</v>
      </c>
      <c r="T838" s="72" t="inlineStr">
        <is>
          <t>MERCADORIAS P/REVENDA</t>
        </is>
      </c>
      <c r="U838" s="73" t="n">
        <v>240</v>
      </c>
      <c r="W838" s="73" t="n">
        <v>0</v>
      </c>
      <c r="X838" s="72" t="inlineStr">
        <is>
          <t>10 PCT DE AGUAS 2 LT -ANDREZA</t>
        </is>
      </c>
      <c r="Z838" s="59">
        <f>IF($T838="","",IFERROR(INDEX('Resumo Grupos'!$AC$3:$AC$200,MATCH($T838,'Resumo Grupos'!$AB$3:$AB$200,0)),"n/d"))</f>
        <v/>
      </c>
      <c r="AA838" s="59">
        <f>IF($T838="","",IF(COUNTIF('Resumo Grupos'!$AE$3:$AE$40,$T838)&gt;0,"NAO","SIM"))</f>
        <v/>
      </c>
    </row>
    <row r="839" ht="36.75" customHeight="1" s="60">
      <c r="A839" s="70" t="n">
        <v>1</v>
      </c>
      <c r="B839" s="71" t="n">
        <v>46206</v>
      </c>
      <c r="C839" s="71" t="n">
        <v>46206</v>
      </c>
      <c r="D839" s="70" t="n">
        <v>804</v>
      </c>
      <c r="E839" s="72" t="inlineStr">
        <is>
          <t>PIMENTEL SOCIEDADE INDIVIDUAL DE ADVOGAC</t>
        </is>
      </c>
      <c r="F839" s="70" t="n">
        <v>34</v>
      </c>
      <c r="G839" s="72" t="inlineStr">
        <is>
          <t>Transferencia Pix</t>
        </is>
      </c>
      <c r="H839" s="70" t="n">
        <v>1110202</v>
      </c>
      <c r="I839" s="72" t="inlineStr">
        <is>
          <t>BANCO ITAU Lj 01</t>
        </is>
      </c>
      <c r="J839" s="70" t="n">
        <v>1345468</v>
      </c>
      <c r="L839" s="70" t="n">
        <v>555723</v>
      </c>
      <c r="M839" s="72" t="inlineStr">
        <is>
          <t>01</t>
        </is>
      </c>
      <c r="N839" s="72" t="inlineStr">
        <is>
          <t>AVU</t>
        </is>
      </c>
      <c r="P839" s="70" t="n">
        <v>101</v>
      </c>
      <c r="Q839" s="72" t="inlineStr">
        <is>
          <t>KEILA LIMA</t>
        </is>
      </c>
      <c r="R839" s="72" t="inlineStr">
        <is>
          <t>DESPESAS NAO OPERACIONAIS</t>
        </is>
      </c>
      <c r="S839" s="70" t="n">
        <v>4220199</v>
      </c>
      <c r="T839" s="72" t="inlineStr">
        <is>
          <t>PAGAMENTOS OUTROS NAO OPERACIONAIS</t>
        </is>
      </c>
      <c r="U839" s="73" t="n">
        <v>4554</v>
      </c>
      <c r="W839" s="73" t="n">
        <v>0</v>
      </c>
      <c r="X839" s="72" t="inlineStr">
        <is>
          <t>MENSALIDADE ADVOGADO LOJAS RATE MES 04,05 E 06/26</t>
        </is>
      </c>
      <c r="Z839" s="59">
        <f>IF($T839="","",IFERROR(INDEX('Resumo Grupos'!$AC$3:$AC$200,MATCH($T839,'Resumo Grupos'!$AB$3:$AB$200,0)),"n/d"))</f>
        <v/>
      </c>
      <c r="AA839" s="59">
        <f>IF($T839="","",IF(COUNTIF('Resumo Grupos'!$AE$3:$AE$40,$T839)&gt;0,"NAO","SIM"))</f>
        <v/>
      </c>
    </row>
    <row r="840" ht="45.75" customHeight="1" s="60">
      <c r="A840" s="70" t="n">
        <v>1</v>
      </c>
      <c r="B840" s="71" t="n">
        <v>46206</v>
      </c>
      <c r="C840" s="71" t="n">
        <v>46206</v>
      </c>
      <c r="D840" s="70" t="n">
        <v>804</v>
      </c>
      <c r="E840" s="72" t="inlineStr">
        <is>
          <t>PIMENTEL SOCIEDADE INDIVIDUAL DE ADVOGAC</t>
        </is>
      </c>
      <c r="F840" s="70" t="n">
        <v>34</v>
      </c>
      <c r="G840" s="72" t="inlineStr">
        <is>
          <t>Transferencia Pix</t>
        </is>
      </c>
      <c r="H840" s="70" t="n">
        <v>1110202</v>
      </c>
      <c r="I840" s="72" t="inlineStr">
        <is>
          <t>BANCO ITAU Lj 01</t>
        </is>
      </c>
      <c r="J840" s="70" t="n">
        <v>1345474</v>
      </c>
      <c r="L840" s="70" t="n">
        <v>555724</v>
      </c>
      <c r="M840" s="72" t="inlineStr">
        <is>
          <t>01</t>
        </is>
      </c>
      <c r="N840" s="72" t="inlineStr">
        <is>
          <t>AVU</t>
        </is>
      </c>
      <c r="P840" s="70" t="n">
        <v>101</v>
      </c>
      <c r="Q840" s="72" t="inlineStr">
        <is>
          <t>KEILA LIMA</t>
        </is>
      </c>
      <c r="R840" s="72" t="inlineStr">
        <is>
          <t>DESPESAS OPERACIONAIS</t>
        </is>
      </c>
      <c r="S840" s="70" t="n">
        <v>4210203</v>
      </c>
      <c r="T840" s="72" t="inlineStr">
        <is>
          <t>HONORARIOS JURIDICOS</t>
        </is>
      </c>
      <c r="U840" s="73" t="n">
        <v>2293.29</v>
      </c>
      <c r="W840" s="73" t="n">
        <v>0</v>
      </c>
      <c r="X840" s="72" t="inlineStr">
        <is>
          <t>MENSALIDADE ADVOGADO PARTE  MO1 MES 04,05 E 06/26</t>
        </is>
      </c>
      <c r="Z840" s="59">
        <f>IF($T840="","",IFERROR(INDEX('Resumo Grupos'!$AC$3:$AC$200,MATCH($T840,'Resumo Grupos'!$AB$3:$AB$200,0)),"n/d"))</f>
        <v/>
      </c>
      <c r="AA840" s="59">
        <f>IF($T840="","",IF(COUNTIF('Resumo Grupos'!$AE$3:$AE$40,$T840)&gt;0,"NAO","SIM"))</f>
        <v/>
      </c>
    </row>
    <row r="841" ht="36.75" customHeight="1" s="60">
      <c r="A841" s="70" t="n">
        <v>1</v>
      </c>
      <c r="B841" s="71" t="n">
        <v>46206</v>
      </c>
      <c r="C841" s="71" t="n">
        <v>46206</v>
      </c>
      <c r="D841" s="70" t="n">
        <v>33</v>
      </c>
      <c r="E841" s="72" t="inlineStr">
        <is>
          <t>RENATO DE O AZEVEDO E CIA LTDA - EPP</t>
        </is>
      </c>
      <c r="F841" s="70" t="n">
        <v>34</v>
      </c>
      <c r="G841" s="72" t="inlineStr">
        <is>
          <t>Transferencia Pix</t>
        </is>
      </c>
      <c r="H841" s="70" t="n">
        <v>2110101</v>
      </c>
      <c r="I841" s="72" t="inlineStr">
        <is>
          <t>FORNECEDORES DE MERCADORIA</t>
        </is>
      </c>
      <c r="J841" s="70" t="n">
        <v>1345531</v>
      </c>
      <c r="L841" s="70" t="n">
        <v>5240</v>
      </c>
      <c r="M841" s="72" t="inlineStr">
        <is>
          <t>01</t>
        </is>
      </c>
      <c r="N841" s="72" t="inlineStr">
        <is>
          <t>NFE</t>
        </is>
      </c>
      <c r="P841" s="70" t="n">
        <v>104</v>
      </c>
      <c r="Q841" s="72" t="inlineStr">
        <is>
          <t>DEBORA COSTA</t>
        </is>
      </c>
      <c r="R841" s="72" t="inlineStr">
        <is>
          <t>ESTOQUE DE MERCADORIAS</t>
        </is>
      </c>
      <c r="S841" s="70" t="n">
        <v>1130101</v>
      </c>
      <c r="T841" s="72" t="inlineStr">
        <is>
          <t>MERCADORIAS P/REVENDA</t>
        </is>
      </c>
      <c r="U841" s="73" t="n">
        <v>3621</v>
      </c>
      <c r="W841" s="73" t="n">
        <v>0</v>
      </c>
      <c r="X841" s="72" t="inlineStr">
        <is>
          <t>FEIRA CARLOS - DEBORA</t>
        </is>
      </c>
      <c r="Z841" s="59">
        <f>IF($T841="","",IFERROR(INDEX('Resumo Grupos'!$AC$3:$AC$200,MATCH($T841,'Resumo Grupos'!$AB$3:$AB$200,0)),"n/d"))</f>
        <v/>
      </c>
      <c r="AA841" s="59">
        <f>IF($T841="","",IF(COUNTIF('Resumo Grupos'!$AE$3:$AE$40,$T841)&gt;0,"NAO","SIM"))</f>
        <v/>
      </c>
    </row>
    <row r="842" ht="45.75" customHeight="1" s="60">
      <c r="A842" s="70" t="n">
        <v>1</v>
      </c>
      <c r="B842" s="71" t="n">
        <v>46206</v>
      </c>
      <c r="C842" s="71" t="n">
        <v>46206</v>
      </c>
      <c r="D842" s="70" t="n">
        <v>1137</v>
      </c>
      <c r="E842" s="72" t="inlineStr">
        <is>
          <t xml:space="preserve">FOLHA DE PAGAMENTO </t>
        </is>
      </c>
      <c r="F842" s="70" t="n">
        <v>34</v>
      </c>
      <c r="G842" s="72" t="inlineStr">
        <is>
          <t>Transferencia Pix</t>
        </is>
      </c>
      <c r="H842" s="70" t="n">
        <v>1110202</v>
      </c>
      <c r="I842" s="72" t="inlineStr">
        <is>
          <t>BANCO ITAU Lj 01</t>
        </is>
      </c>
      <c r="J842" s="70" t="n">
        <v>1345552</v>
      </c>
      <c r="L842" s="70" t="n">
        <v>555756</v>
      </c>
      <c r="M842" s="72" t="inlineStr">
        <is>
          <t>01</t>
        </is>
      </c>
      <c r="N842" s="72" t="inlineStr">
        <is>
          <t>AVU</t>
        </is>
      </c>
      <c r="P842" s="70" t="n">
        <v>101</v>
      </c>
      <c r="Q842" s="72" t="inlineStr">
        <is>
          <t>KEILA LIMA</t>
        </is>
      </c>
      <c r="R842" s="72" t="inlineStr">
        <is>
          <t>DESPESAS COM PESSOAL</t>
        </is>
      </c>
      <c r="S842" s="70" t="n">
        <v>4210301</v>
      </c>
      <c r="T842" s="72" t="inlineStr">
        <is>
          <t>SALARIOS</t>
        </is>
      </c>
      <c r="U842" s="73" t="n">
        <v>2218.28</v>
      </c>
      <c r="W842" s="73" t="n">
        <v>0</v>
      </c>
      <c r="X842" s="72" t="inlineStr">
        <is>
          <t>PAG SALARIO ESCRITORIO 06/26 ANDREZA E MILKA - KEILA</t>
        </is>
      </c>
      <c r="Z842" s="59">
        <f>IF($T842="","",IFERROR(INDEX('Resumo Grupos'!$AC$3:$AC$200,MATCH($T842,'Resumo Grupos'!$AB$3:$AB$200,0)),"n/d"))</f>
        <v/>
      </c>
      <c r="AA842" s="59">
        <f>IF($T842="","",IF(COUNTIF('Resumo Grupos'!$AE$3:$AE$40,$T842)&gt;0,"NAO","SIM"))</f>
        <v/>
      </c>
    </row>
    <row r="843" ht="45.75" customHeight="1" s="60">
      <c r="A843" s="70" t="n">
        <v>1</v>
      </c>
      <c r="B843" s="71" t="n">
        <v>46206</v>
      </c>
      <c r="C843" s="71" t="n">
        <v>46206</v>
      </c>
      <c r="D843" s="70" t="n">
        <v>1615</v>
      </c>
      <c r="E843" s="72" t="inlineStr">
        <is>
          <t>COMERCIO E TRANSPORTE BRANDAO LTDA</t>
        </is>
      </c>
      <c r="F843" s="70" t="n">
        <v>34</v>
      </c>
      <c r="G843" s="72" t="inlineStr">
        <is>
          <t>Transferencia Pix</t>
        </is>
      </c>
      <c r="H843" s="70" t="n">
        <v>2110101</v>
      </c>
      <c r="I843" s="72" t="inlineStr">
        <is>
          <t>FORNECEDORES DE MERCADORIA</t>
        </is>
      </c>
      <c r="J843" s="70" t="n">
        <v>1345556</v>
      </c>
      <c r="L843" s="70" t="n">
        <v>14791</v>
      </c>
      <c r="M843" s="72" t="inlineStr">
        <is>
          <t>01</t>
        </is>
      </c>
      <c r="N843" s="72" t="inlineStr">
        <is>
          <t>NFE</t>
        </is>
      </c>
      <c r="P843" s="70" t="n">
        <v>104</v>
      </c>
      <c r="Q843" s="72" t="inlineStr">
        <is>
          <t>DEBORA COSTA</t>
        </is>
      </c>
      <c r="R843" s="72" t="inlineStr">
        <is>
          <t>ESTOQUE DE MERCADORIAS</t>
        </is>
      </c>
      <c r="S843" s="70" t="n">
        <v>1130101</v>
      </c>
      <c r="T843" s="72" t="inlineStr">
        <is>
          <t>MERCADORIAS P/REVENDA</t>
        </is>
      </c>
      <c r="U843" s="73" t="n">
        <v>890</v>
      </c>
      <c r="W843" s="73" t="n">
        <v>0</v>
      </c>
      <c r="X843" s="72" t="inlineStr">
        <is>
          <t>NF 14791 - DEBORA</t>
        </is>
      </c>
      <c r="Z843" s="59">
        <f>IF($T843="","",IFERROR(INDEX('Resumo Grupos'!$AC$3:$AC$200,MATCH($T843,'Resumo Grupos'!$AB$3:$AB$200,0)),"n/d"))</f>
        <v/>
      </c>
      <c r="AA843" s="59">
        <f>IF($T843="","",IF(COUNTIF('Resumo Grupos'!$AE$3:$AE$40,$T843)&gt;0,"NAO","SIM"))</f>
        <v/>
      </c>
    </row>
    <row r="844" ht="45.75" customHeight="1" s="60">
      <c r="A844" s="70" t="n">
        <v>1</v>
      </c>
      <c r="B844" s="71" t="n">
        <v>46206</v>
      </c>
      <c r="C844" s="71" t="n">
        <v>46206</v>
      </c>
      <c r="D844" s="70" t="n">
        <v>33</v>
      </c>
      <c r="E844" s="72" t="inlineStr">
        <is>
          <t>RENATO DE O AZEVEDO E CIA LTDA - EPP</t>
        </is>
      </c>
      <c r="F844" s="70" t="n">
        <v>34</v>
      </c>
      <c r="G844" s="72" t="inlineStr">
        <is>
          <t>Transferencia Pix</t>
        </is>
      </c>
      <c r="H844" s="70" t="n">
        <v>2110101</v>
      </c>
      <c r="I844" s="72" t="inlineStr">
        <is>
          <t>FORNECEDORES DE MERCADORIA</t>
        </is>
      </c>
      <c r="J844" s="70" t="n">
        <v>1345567</v>
      </c>
      <c r="L844" s="70" t="n">
        <v>555763</v>
      </c>
      <c r="M844" s="72" t="inlineStr">
        <is>
          <t>01</t>
        </is>
      </c>
      <c r="N844" s="72" t="inlineStr">
        <is>
          <t>AVU</t>
        </is>
      </c>
      <c r="P844" s="70" t="n">
        <v>104</v>
      </c>
      <c r="Q844" s="72" t="inlineStr">
        <is>
          <t>DEBORA COSTA</t>
        </is>
      </c>
      <c r="R844" s="72" t="inlineStr">
        <is>
          <t>ESTOQUE DE MERCADORIAS</t>
        </is>
      </c>
      <c r="S844" s="70" t="n">
        <v>1130101</v>
      </c>
      <c r="T844" s="72" t="inlineStr">
        <is>
          <t>MERCADORIAS P/REVENDA</t>
        </is>
      </c>
      <c r="U844" s="73" t="n">
        <v>90</v>
      </c>
      <c r="W844" s="73" t="n">
        <v>0</v>
      </c>
      <c r="X844" s="72" t="inlineStr">
        <is>
          <t>CAMARAO SEM CASCA - FEIRA CARLOS - DEBORA</t>
        </is>
      </c>
      <c r="Z844" s="59">
        <f>IF($T844="","",IFERROR(INDEX('Resumo Grupos'!$AC$3:$AC$200,MATCH($T844,'Resumo Grupos'!$AB$3:$AB$200,0)),"n/d"))</f>
        <v/>
      </c>
      <c r="AA844" s="59">
        <f>IF($T844="","",IF(COUNTIF('Resumo Grupos'!$AE$3:$AE$40,$T844)&gt;0,"NAO","SIM"))</f>
        <v/>
      </c>
    </row>
    <row r="845" ht="45.75" customHeight="1" s="60">
      <c r="A845" s="70" t="n">
        <v>1</v>
      </c>
      <c r="B845" s="71" t="n">
        <v>46206</v>
      </c>
      <c r="C845" s="71" t="n">
        <v>46206</v>
      </c>
      <c r="D845" s="70" t="n">
        <v>33</v>
      </c>
      <c r="E845" s="72" t="inlineStr">
        <is>
          <t>RENATO DE O AZEVEDO E CIA LTDA - EPP</t>
        </is>
      </c>
      <c r="F845" s="70" t="n">
        <v>13</v>
      </c>
      <c r="G845" s="72" t="inlineStr">
        <is>
          <t>Compra a Vista</t>
        </is>
      </c>
      <c r="H845" s="70" t="n">
        <v>2110101</v>
      </c>
      <c r="I845" s="72" t="inlineStr">
        <is>
          <t>FORNECEDORES DE MERCADORIA</t>
        </is>
      </c>
      <c r="J845" s="70" t="n">
        <v>1346016</v>
      </c>
      <c r="L845" s="70" t="n">
        <v>5249</v>
      </c>
      <c r="M845" s="72" t="inlineStr">
        <is>
          <t>01</t>
        </is>
      </c>
      <c r="N845" s="72" t="inlineStr">
        <is>
          <t>NFE</t>
        </is>
      </c>
      <c r="P845" s="70" t="n">
        <v>104</v>
      </c>
      <c r="Q845" s="72" t="inlineStr">
        <is>
          <t>DEBORA COSTA</t>
        </is>
      </c>
      <c r="R845" s="72" t="inlineStr">
        <is>
          <t>ESTOQUE DE MERCADORIAS</t>
        </is>
      </c>
      <c r="S845" s="70" t="n">
        <v>1130101</v>
      </c>
      <c r="T845" s="72" t="inlineStr">
        <is>
          <t>MERCADORIAS P/REVENDA</t>
        </is>
      </c>
      <c r="U845" s="73" t="n">
        <v>350</v>
      </c>
      <c r="W845" s="73" t="n">
        <v>350</v>
      </c>
      <c r="X845" s="72" t="inlineStr">
        <is>
          <t>ACAI DE ANORI - DEBORA</t>
        </is>
      </c>
      <c r="Z845" s="59">
        <f>IF($T845="","",IFERROR(INDEX('Resumo Grupos'!$AC$3:$AC$200,MATCH($T845,'Resumo Grupos'!$AB$3:$AB$200,0)),"n/d"))</f>
        <v/>
      </c>
      <c r="AA845" s="59">
        <f>IF($T845="","",IF(COUNTIF('Resumo Grupos'!$AE$3:$AE$40,$T845)&gt;0,"NAO","SIM"))</f>
        <v/>
      </c>
    </row>
    <row r="846" ht="36.75" customHeight="1" s="60">
      <c r="A846" s="70" t="n">
        <v>1</v>
      </c>
      <c r="B846" s="71" t="n">
        <v>46206</v>
      </c>
      <c r="C846" s="71" t="n">
        <v>46206</v>
      </c>
      <c r="D846" s="70" t="n">
        <v>1607</v>
      </c>
      <c r="E846" s="72" t="inlineStr">
        <is>
          <t>CARLINDO DA SILVA OLIVEIRA EIRELE</t>
        </is>
      </c>
      <c r="F846" s="70" t="n">
        <v>34</v>
      </c>
      <c r="G846" s="72" t="inlineStr">
        <is>
          <t>Transferencia Pix</t>
        </is>
      </c>
      <c r="H846" s="70" t="n">
        <v>1110202</v>
      </c>
      <c r="I846" s="72" t="inlineStr">
        <is>
          <t>BANCO ITAU Lj 01</t>
        </is>
      </c>
      <c r="J846" s="70" t="n">
        <v>1370042</v>
      </c>
      <c r="L846" s="70" t="n">
        <v>565575</v>
      </c>
      <c r="M846" s="72" t="inlineStr">
        <is>
          <t>01</t>
        </is>
      </c>
      <c r="N846" s="72" t="inlineStr">
        <is>
          <t>AVU</t>
        </is>
      </c>
      <c r="P846" s="70" t="n">
        <v>102</v>
      </c>
      <c r="Q846" s="72" t="inlineStr">
        <is>
          <t>ANDREZA ANDRADE</t>
        </is>
      </c>
      <c r="R846" s="72" t="inlineStr">
        <is>
          <t>ESTOQUE DE MERCADORIAS</t>
        </is>
      </c>
      <c r="S846" s="70" t="n">
        <v>1130101</v>
      </c>
      <c r="T846" s="72" t="inlineStr">
        <is>
          <t>MERCADORIAS P/REVENDA</t>
        </is>
      </c>
      <c r="U846" s="73" t="n">
        <v>1814</v>
      </c>
      <c r="W846" s="73" t="n">
        <v>0</v>
      </c>
      <c r="X846" s="72" t="inlineStr">
        <is>
          <t>pg 10 cx calabresa-andreza</t>
        </is>
      </c>
      <c r="Z846" s="59">
        <f>IF($T846="","",IFERROR(INDEX('Resumo Grupos'!$AC$3:$AC$200,MATCH($T846,'Resumo Grupos'!$AB$3:$AB$200,0)),"n/d"))</f>
        <v/>
      </c>
      <c r="AA846" s="59">
        <f>IF($T846="","",IF(COUNTIF('Resumo Grupos'!$AE$3:$AE$40,$T846)&gt;0,"NAO","SIM"))</f>
        <v/>
      </c>
    </row>
    <row r="847" ht="36.75" customHeight="1" s="60">
      <c r="A847" s="70" t="n">
        <v>1</v>
      </c>
      <c r="B847" s="71" t="n">
        <v>46206</v>
      </c>
      <c r="C847" s="71" t="n">
        <v>46206</v>
      </c>
      <c r="D847" s="70" t="n">
        <v>717</v>
      </c>
      <c r="E847" s="72" t="inlineStr">
        <is>
          <t>FORNECEDOR AVULSO</t>
        </is>
      </c>
      <c r="F847" s="70" t="n">
        <v>34</v>
      </c>
      <c r="G847" s="72" t="inlineStr">
        <is>
          <t>Transferencia Pix</t>
        </is>
      </c>
      <c r="H847" s="70" t="n">
        <v>1110202</v>
      </c>
      <c r="I847" s="72" t="inlineStr">
        <is>
          <t>BANCO ITAU Lj 01</t>
        </is>
      </c>
      <c r="J847" s="70" t="n">
        <v>1370057</v>
      </c>
      <c r="L847" s="70" t="n">
        <v>565578</v>
      </c>
      <c r="M847" s="72" t="inlineStr">
        <is>
          <t>01</t>
        </is>
      </c>
      <c r="N847" s="72" t="inlineStr">
        <is>
          <t>AVU</t>
        </is>
      </c>
      <c r="P847" s="70" t="n">
        <v>102</v>
      </c>
      <c r="Q847" s="72" t="inlineStr">
        <is>
          <t>ANDREZA ANDRADE</t>
        </is>
      </c>
      <c r="R847" s="72" t="inlineStr">
        <is>
          <t>DESPESAS NAO OPERACIONAIS</t>
        </is>
      </c>
      <c r="S847" s="70" t="n">
        <v>4220199</v>
      </c>
      <c r="T847" s="72" t="inlineStr">
        <is>
          <t>PAGAMENTOS OUTROS NAO OPERACIONAIS</t>
        </is>
      </c>
      <c r="U847" s="73" t="n">
        <v>686.5</v>
      </c>
      <c r="W847" s="73" t="n">
        <v>0</v>
      </c>
      <c r="X847" s="72" t="inlineStr">
        <is>
          <t>dinheiro trocado-andreza</t>
        </is>
      </c>
      <c r="Z847" s="59">
        <f>IF($T847="","",IFERROR(INDEX('Resumo Grupos'!$AC$3:$AC$200,MATCH($T847,'Resumo Grupos'!$AB$3:$AB$200,0)),"n/d"))</f>
        <v/>
      </c>
      <c r="AA847" s="59">
        <f>IF($T847="","",IF(COUNTIF('Resumo Grupos'!$AE$3:$AE$40,$T847)&gt;0,"NAO","SIM"))</f>
        <v/>
      </c>
    </row>
    <row r="848" ht="36.75" customHeight="1" s="60">
      <c r="A848" s="70" t="n">
        <v>1</v>
      </c>
      <c r="B848" s="71" t="n">
        <v>46206</v>
      </c>
      <c r="C848" s="71" t="n">
        <v>46206</v>
      </c>
      <c r="D848" s="70" t="n">
        <v>978</v>
      </c>
      <c r="E848" s="72" t="inlineStr">
        <is>
          <t>GELO DANGELO FABRICACAO DE GELO LTDA</t>
        </is>
      </c>
      <c r="F848" s="70" t="n">
        <v>13</v>
      </c>
      <c r="G848" s="72" t="inlineStr">
        <is>
          <t>Compra a Vista</t>
        </is>
      </c>
      <c r="H848" s="70" t="n">
        <v>2110101</v>
      </c>
      <c r="I848" s="72" t="inlineStr">
        <is>
          <t>FORNECEDORES DE MERCADORIA</t>
        </is>
      </c>
      <c r="J848" s="70" t="n">
        <v>1370269</v>
      </c>
      <c r="L848" s="70" t="n">
        <v>340</v>
      </c>
      <c r="M848" s="72" t="inlineStr">
        <is>
          <t>01</t>
        </is>
      </c>
      <c r="N848" s="72" t="inlineStr">
        <is>
          <t>NFE</t>
        </is>
      </c>
      <c r="P848" s="70" t="n">
        <v>104</v>
      </c>
      <c r="Q848" s="72" t="inlineStr">
        <is>
          <t>DEBORA COSTA</t>
        </is>
      </c>
      <c r="R848" s="72" t="inlineStr">
        <is>
          <t>ESTOQUE DE MERCADORIAS</t>
        </is>
      </c>
      <c r="S848" s="70" t="n">
        <v>1130101</v>
      </c>
      <c r="T848" s="72" t="inlineStr">
        <is>
          <t>MERCADORIAS P/REVENDA</t>
        </is>
      </c>
      <c r="U848" s="73" t="n">
        <v>518</v>
      </c>
      <c r="W848" s="73" t="n">
        <v>0</v>
      </c>
      <c r="X848" s="72" t="inlineStr">
        <is>
          <t>NF 340 - DEBORA</t>
        </is>
      </c>
      <c r="Z848" s="59">
        <f>IF($T848="","",IFERROR(INDEX('Resumo Grupos'!$AC$3:$AC$200,MATCH($T848,'Resumo Grupos'!$AB$3:$AB$200,0)),"n/d"))</f>
        <v/>
      </c>
      <c r="AA848" s="59">
        <f>IF($T848="","",IF(COUNTIF('Resumo Grupos'!$AE$3:$AE$40,$T848)&gt;0,"NAO","SIM"))</f>
        <v/>
      </c>
    </row>
    <row r="849" ht="36.75" customHeight="1" s="60">
      <c r="A849" s="70" t="n">
        <v>1</v>
      </c>
      <c r="B849" s="71" t="n">
        <v>46206</v>
      </c>
      <c r="C849" s="71" t="n">
        <v>46206</v>
      </c>
      <c r="D849" s="70" t="n">
        <v>10035</v>
      </c>
      <c r="E849" s="72" t="inlineStr">
        <is>
          <t>J W N DOS SANTOS</t>
        </is>
      </c>
      <c r="F849" s="70" t="n">
        <v>13</v>
      </c>
      <c r="G849" s="72" t="inlineStr">
        <is>
          <t>Compra a Vista</t>
        </is>
      </c>
      <c r="H849" s="70" t="n">
        <v>2110101</v>
      </c>
      <c r="I849" s="72" t="inlineStr">
        <is>
          <t>FORNECEDORES DE MERCADORIA</t>
        </is>
      </c>
      <c r="J849" s="70" t="n">
        <v>1370315</v>
      </c>
      <c r="L849" s="70" t="n">
        <v>336</v>
      </c>
      <c r="M849" s="72" t="inlineStr">
        <is>
          <t>01</t>
        </is>
      </c>
      <c r="N849" s="72" t="inlineStr">
        <is>
          <t>NFE</t>
        </is>
      </c>
      <c r="P849" s="70" t="n">
        <v>104</v>
      </c>
      <c r="Q849" s="72" t="inlineStr">
        <is>
          <t>DEBORA COSTA</t>
        </is>
      </c>
      <c r="R849" s="72" t="inlineStr">
        <is>
          <t>ESTOQUE DE MERCADORIAS</t>
        </is>
      </c>
      <c r="S849" s="70" t="n">
        <v>1130101</v>
      </c>
      <c r="T849" s="72" t="inlineStr">
        <is>
          <t>MERCADORIAS P/REVENDA</t>
        </is>
      </c>
      <c r="U849" s="73" t="n">
        <v>665</v>
      </c>
      <c r="W849" s="73" t="n">
        <v>0</v>
      </c>
      <c r="X849" s="72" t="inlineStr">
        <is>
          <t>NF 336 - DEBORA</t>
        </is>
      </c>
      <c r="Z849" s="59">
        <f>IF($T849="","",IFERROR(INDEX('Resumo Grupos'!$AC$3:$AC$200,MATCH($T849,'Resumo Grupos'!$AB$3:$AB$200,0)),"n/d"))</f>
        <v/>
      </c>
      <c r="AA849" s="59">
        <f>IF($T849="","",IF(COUNTIF('Resumo Grupos'!$AE$3:$AE$40,$T849)&gt;0,"NAO","SIM"))</f>
        <v/>
      </c>
    </row>
    <row r="850" ht="36.75" customHeight="1" s="60">
      <c r="A850" s="70" t="n">
        <v>1</v>
      </c>
      <c r="B850" s="71" t="n">
        <v>46239</v>
      </c>
      <c r="C850" s="71" t="n">
        <v>46206</v>
      </c>
      <c r="D850" s="70" t="n">
        <v>557</v>
      </c>
      <c r="E850" s="72" t="inlineStr">
        <is>
          <t xml:space="preserve">CONTA VIVO </t>
        </is>
      </c>
      <c r="F850" s="70" t="n">
        <v>34</v>
      </c>
      <c r="G850" s="72" t="inlineStr">
        <is>
          <t>Transferencia Pix</t>
        </is>
      </c>
      <c r="H850" s="70" t="n">
        <v>2110405</v>
      </c>
      <c r="I850" s="72" t="inlineStr">
        <is>
          <t>CONTAS A PAGAR</t>
        </is>
      </c>
      <c r="J850" s="70" t="n">
        <v>1122744</v>
      </c>
      <c r="L850" s="70" t="n">
        <v>469459</v>
      </c>
      <c r="M850" s="72" t="inlineStr">
        <is>
          <t>04</t>
        </is>
      </c>
      <c r="N850" s="72" t="inlineStr">
        <is>
          <t>AVU</t>
        </is>
      </c>
      <c r="P850" s="70" t="n">
        <v>102</v>
      </c>
      <c r="Q850" s="72" t="inlineStr">
        <is>
          <t>ANDREZA ANDRADE</t>
        </is>
      </c>
      <c r="R850" s="72" t="inlineStr">
        <is>
          <t>DESPESAS OPERACIONAIS</t>
        </is>
      </c>
      <c r="S850" s="70" t="n">
        <v>4210206</v>
      </c>
      <c r="T850" s="72" t="inlineStr">
        <is>
          <t>TELEFONE</t>
        </is>
      </c>
      <c r="U850" s="73" t="n">
        <v>258.62</v>
      </c>
      <c r="W850" s="73" t="n">
        <v>0</v>
      </c>
      <c r="X850" s="72" t="inlineStr">
        <is>
          <t>VIVO MO1 -ANDREZA</t>
        </is>
      </c>
      <c r="Z850" s="59">
        <f>IF($T850="","",IFERROR(INDEX('Resumo Grupos'!$AC$3:$AC$200,MATCH($T850,'Resumo Grupos'!$AB$3:$AB$200,0)),"n/d"))</f>
        <v/>
      </c>
      <c r="AA850" s="59">
        <f>IF($T850="","",IF(COUNTIF('Resumo Grupos'!$AE$3:$AE$40,$T850)&gt;0,"NAO","SIM"))</f>
        <v/>
      </c>
    </row>
    <row r="851" ht="36.75" customHeight="1" s="60">
      <c r="A851" s="70" t="n">
        <v>1</v>
      </c>
      <c r="B851" s="71" t="n">
        <v>46172</v>
      </c>
      <c r="C851" s="71" t="n">
        <v>46207</v>
      </c>
      <c r="D851" s="70" t="n">
        <v>607</v>
      </c>
      <c r="E851" s="72" t="inlineStr">
        <is>
          <t>PRIME PET DISTRIBUIDORA LTDA</t>
        </is>
      </c>
      <c r="F851" s="70" t="n">
        <v>24</v>
      </c>
      <c r="G851" s="72" t="inlineStr">
        <is>
          <t>Compra a Prazo - Boletos</t>
        </is>
      </c>
      <c r="H851" s="70" t="n">
        <v>2110101</v>
      </c>
      <c r="I851" s="72" t="inlineStr">
        <is>
          <t>FORNECEDORES DE MERCADORIA</t>
        </is>
      </c>
      <c r="J851" s="70" t="n">
        <v>1177249</v>
      </c>
      <c r="L851" s="70" t="n">
        <v>10589</v>
      </c>
      <c r="M851" s="72" t="inlineStr">
        <is>
          <t>03</t>
        </is>
      </c>
      <c r="N851" s="72" t="inlineStr">
        <is>
          <t>NFE</t>
        </is>
      </c>
      <c r="P851" s="70" t="n">
        <v>103</v>
      </c>
      <c r="Q851" s="72" t="inlineStr">
        <is>
          <t>MILKA FRANCIS</t>
        </is>
      </c>
      <c r="R851" s="72" t="inlineStr">
        <is>
          <t>ESTOQUE DE MERCADORIAS</t>
        </is>
      </c>
      <c r="S851" s="70" t="n">
        <v>1130101</v>
      </c>
      <c r="T851" s="72" t="inlineStr">
        <is>
          <t>MERCADORIAS P/REVENDA</t>
        </is>
      </c>
      <c r="U851" s="73" t="n">
        <v>1060.9</v>
      </c>
      <c r="W851" s="73" t="n">
        <v>0</v>
      </c>
      <c r="X851" s="72" t="inlineStr">
        <is>
          <t>NF 10589-03/05 MILKA</t>
        </is>
      </c>
      <c r="Z851" s="59">
        <f>IF($T851="","",IFERROR(INDEX('Resumo Grupos'!$AC$3:$AC$200,MATCH($T851,'Resumo Grupos'!$AB$3:$AB$200,0)),"n/d"))</f>
        <v/>
      </c>
      <c r="AA851" s="59">
        <f>IF($T851="","",IF(COUNTIF('Resumo Grupos'!$AE$3:$AE$40,$T851)&gt;0,"NAO","SIM"))</f>
        <v/>
      </c>
    </row>
    <row r="852" ht="36.75" customHeight="1" s="60">
      <c r="A852" s="70" t="n">
        <v>1</v>
      </c>
      <c r="B852" s="71" t="n">
        <v>46184</v>
      </c>
      <c r="C852" s="71" t="n">
        <v>46207</v>
      </c>
      <c r="D852" s="70" t="n">
        <v>1659</v>
      </c>
      <c r="E852" s="72" t="inlineStr">
        <is>
          <t>ADRIANA DISTRIBUIDORA DE PRODUTOS ALIMEN</t>
        </is>
      </c>
      <c r="F852" s="70" t="n">
        <v>24</v>
      </c>
      <c r="G852" s="72" t="inlineStr">
        <is>
          <t>Compra a Prazo - Boletos</t>
        </is>
      </c>
      <c r="H852" s="70" t="n">
        <v>2110101</v>
      </c>
      <c r="I852" s="72" t="inlineStr">
        <is>
          <t>FORNECEDORES DE MERCADORIA</t>
        </is>
      </c>
      <c r="J852" s="70" t="n">
        <v>1236106</v>
      </c>
      <c r="L852" s="70" t="n">
        <v>877772</v>
      </c>
      <c r="M852" s="72" t="inlineStr">
        <is>
          <t>02</t>
        </is>
      </c>
      <c r="N852" s="72" t="inlineStr">
        <is>
          <t>NFE</t>
        </is>
      </c>
      <c r="P852" s="70" t="n">
        <v>103</v>
      </c>
      <c r="Q852" s="72" t="inlineStr">
        <is>
          <t>MILKA FRANCIS</t>
        </is>
      </c>
      <c r="R852" s="72" t="inlineStr">
        <is>
          <t>ESTOQUE DE MERCADORIAS</t>
        </is>
      </c>
      <c r="S852" s="70" t="n">
        <v>1130101</v>
      </c>
      <c r="T852" s="72" t="inlineStr">
        <is>
          <t>MERCADORIAS P/REVENDA</t>
        </is>
      </c>
      <c r="U852" s="73" t="n">
        <v>376.07</v>
      </c>
      <c r="W852" s="73" t="n">
        <v>0</v>
      </c>
      <c r="X852" s="72" t="inlineStr">
        <is>
          <t>NF 877772-2 MILKA</t>
        </is>
      </c>
      <c r="Z852" s="59">
        <f>IF($T852="","",IFERROR(INDEX('Resumo Grupos'!$AC$3:$AC$200,MATCH($T852,'Resumo Grupos'!$AB$3:$AB$200,0)),"n/d"))</f>
        <v/>
      </c>
      <c r="AA852" s="59">
        <f>IF($T852="","",IF(COUNTIF('Resumo Grupos'!$AE$3:$AE$40,$T852)&gt;0,"NAO","SIM"))</f>
        <v/>
      </c>
    </row>
    <row r="853" ht="54.75" customHeight="1" s="60">
      <c r="A853" s="70" t="n">
        <v>1</v>
      </c>
      <c r="B853" s="71" t="n">
        <v>46191</v>
      </c>
      <c r="C853" s="71" t="n">
        <v>46207</v>
      </c>
      <c r="D853" s="70" t="n">
        <v>1672</v>
      </c>
      <c r="E853" s="72" t="inlineStr">
        <is>
          <t>MARE DISTRIBUIDORA DE BEBIDAS E DE PRODUTOS ALIMENTICIOS LTDA</t>
        </is>
      </c>
      <c r="F853" s="70" t="n">
        <v>24</v>
      </c>
      <c r="G853" s="72" t="inlineStr">
        <is>
          <t>Compra a Prazo - Boletos</t>
        </is>
      </c>
      <c r="H853" s="70" t="n">
        <v>2110101</v>
      </c>
      <c r="I853" s="72" t="inlineStr">
        <is>
          <t>FORNECEDORES DE MERCADORIA</t>
        </is>
      </c>
      <c r="J853" s="70" t="n">
        <v>1270189</v>
      </c>
      <c r="L853" s="70" t="n">
        <v>1372912</v>
      </c>
      <c r="M853" s="72" t="inlineStr">
        <is>
          <t>01</t>
        </is>
      </c>
      <c r="N853" s="72" t="inlineStr">
        <is>
          <t>NFE</t>
        </is>
      </c>
      <c r="P853" s="70" t="n">
        <v>103</v>
      </c>
      <c r="Q853" s="72" t="inlineStr">
        <is>
          <t>MILKA FRANCIS</t>
        </is>
      </c>
      <c r="R853" s="72" t="inlineStr">
        <is>
          <t>ESTOQUE DE MERCADORIAS</t>
        </is>
      </c>
      <c r="S853" s="70" t="n">
        <v>1130101</v>
      </c>
      <c r="T853" s="72" t="inlineStr">
        <is>
          <t>MERCADORIAS P/REVENDA</t>
        </is>
      </c>
      <c r="U853" s="73" t="n">
        <v>778.4</v>
      </c>
      <c r="W853" s="73" t="n">
        <v>0</v>
      </c>
      <c r="X853" s="72" t="inlineStr">
        <is>
          <t>NF 1372912 - MILKA</t>
        </is>
      </c>
      <c r="Z853" s="59">
        <f>IF($T853="","",IFERROR(INDEX('Resumo Grupos'!$AC$3:$AC$200,MATCH($T853,'Resumo Grupos'!$AB$3:$AB$200,0)),"n/d"))</f>
        <v/>
      </c>
      <c r="AA853" s="59">
        <f>IF($T853="","",IF(COUNTIF('Resumo Grupos'!$AE$3:$AE$40,$T853)&gt;0,"NAO","SIM"))</f>
        <v/>
      </c>
    </row>
    <row r="854" ht="36.75" customHeight="1" s="60">
      <c r="A854" s="70" t="n">
        <v>1</v>
      </c>
      <c r="B854" s="71" t="n">
        <v>46193</v>
      </c>
      <c r="C854" s="71" t="n">
        <v>46207</v>
      </c>
      <c r="D854" s="70" t="n">
        <v>1711</v>
      </c>
      <c r="E854" s="72" t="inlineStr">
        <is>
          <t>J. A. F. DE LIMA</t>
        </is>
      </c>
      <c r="F854" s="70" t="n">
        <v>24</v>
      </c>
      <c r="G854" s="72" t="inlineStr">
        <is>
          <t>Compra a Prazo - Boletos</t>
        </is>
      </c>
      <c r="H854" s="70" t="n">
        <v>2110102</v>
      </c>
      <c r="I854" s="72" t="inlineStr">
        <is>
          <t>OUTROS FORNECEDORES</t>
        </is>
      </c>
      <c r="J854" s="70" t="n">
        <v>1279613</v>
      </c>
      <c r="L854" s="70" t="n">
        <v>156812</v>
      </c>
      <c r="M854" s="72" t="inlineStr">
        <is>
          <t>01</t>
        </is>
      </c>
      <c r="N854" s="72" t="inlineStr">
        <is>
          <t>NFE</t>
        </is>
      </c>
      <c r="P854" s="70" t="n">
        <v>103</v>
      </c>
      <c r="Q854" s="72" t="inlineStr">
        <is>
          <t>MILKA FRANCIS</t>
        </is>
      </c>
      <c r="R854" s="72" t="inlineStr">
        <is>
          <t>DESPESAS OPERACIONAIS</t>
        </is>
      </c>
      <c r="S854" s="70" t="n">
        <v>4210205</v>
      </c>
      <c r="T854" s="72" t="inlineStr">
        <is>
          <t>MATERIAL DE ESCRITORIO</t>
        </is>
      </c>
      <c r="U854" s="73" t="n">
        <v>431.8</v>
      </c>
      <c r="W854" s="73" t="n">
        <v>0</v>
      </c>
      <c r="X854" s="72" t="inlineStr">
        <is>
          <t>NF 156812 DESPESA - MILKA</t>
        </is>
      </c>
      <c r="Z854" s="59">
        <f>IF($T854="","",IFERROR(INDEX('Resumo Grupos'!$AC$3:$AC$200,MATCH($T854,'Resumo Grupos'!$AB$3:$AB$200,0)),"n/d"))</f>
        <v/>
      </c>
      <c r="AA854" s="59">
        <f>IF($T854="","",IF(COUNTIF('Resumo Grupos'!$AE$3:$AE$40,$T854)&gt;0,"NAO","SIM"))</f>
        <v/>
      </c>
    </row>
    <row r="855" ht="45.75" customHeight="1" s="60">
      <c r="A855" s="70" t="n">
        <v>1</v>
      </c>
      <c r="B855" s="71" t="n">
        <v>46196</v>
      </c>
      <c r="C855" s="71" t="n">
        <v>46207</v>
      </c>
      <c r="D855" s="70" t="n">
        <v>1705</v>
      </c>
      <c r="E855" s="72" t="inlineStr">
        <is>
          <t>BRASIL NORTE BEBIDAS S/A</t>
        </is>
      </c>
      <c r="F855" s="70" t="n">
        <v>24</v>
      </c>
      <c r="G855" s="72" t="inlineStr">
        <is>
          <t>Compra a Prazo - Boletos</t>
        </is>
      </c>
      <c r="H855" s="70" t="n">
        <v>2110101</v>
      </c>
      <c r="I855" s="72" t="inlineStr">
        <is>
          <t>FORNECEDORES DE MERCADORIA</t>
        </is>
      </c>
      <c r="J855" s="70" t="n">
        <v>1295867</v>
      </c>
      <c r="L855" s="70" t="n">
        <v>1170325</v>
      </c>
      <c r="M855" s="72" t="inlineStr">
        <is>
          <t>01</t>
        </is>
      </c>
      <c r="N855" s="72" t="inlineStr">
        <is>
          <t>NFE</t>
        </is>
      </c>
      <c r="P855" s="70" t="n">
        <v>103</v>
      </c>
      <c r="Q855" s="72" t="inlineStr">
        <is>
          <t>MILKA FRANCIS</t>
        </is>
      </c>
      <c r="R855" s="72" t="inlineStr">
        <is>
          <t>ESTOQUE DE MERCADORIAS</t>
        </is>
      </c>
      <c r="S855" s="70" t="n">
        <v>1130101</v>
      </c>
      <c r="T855" s="72" t="inlineStr">
        <is>
          <t>MERCADORIAS P/REVENDA</t>
        </is>
      </c>
      <c r="U855" s="73" t="n">
        <v>3036.55</v>
      </c>
      <c r="W855" s="73" t="n">
        <v>0</v>
      </c>
      <c r="X855" s="72" t="inlineStr">
        <is>
          <t>NF 1170325 - MILKA</t>
        </is>
      </c>
      <c r="Z855" s="59">
        <f>IF($T855="","",IFERROR(INDEX('Resumo Grupos'!$AC$3:$AC$200,MATCH($T855,'Resumo Grupos'!$AB$3:$AB$200,0)),"n/d"))</f>
        <v/>
      </c>
      <c r="AA855" s="59">
        <f>IF($T855="","",IF(COUNTIF('Resumo Grupos'!$AE$3:$AE$40,$T855)&gt;0,"NAO","SIM"))</f>
        <v/>
      </c>
    </row>
    <row r="856" ht="54.75" customHeight="1" s="60">
      <c r="A856" s="70" t="n">
        <v>1</v>
      </c>
      <c r="B856" s="71" t="n">
        <v>46196</v>
      </c>
      <c r="C856" s="71" t="n">
        <v>46207</v>
      </c>
      <c r="D856" s="70" t="n">
        <v>1705</v>
      </c>
      <c r="E856" s="72" t="inlineStr">
        <is>
          <t>BRASIL NORTE BEBIDAS S/A</t>
        </is>
      </c>
      <c r="F856" s="70" t="n">
        <v>24</v>
      </c>
      <c r="G856" s="72" t="inlineStr">
        <is>
          <t>Compra a Prazo - Boletos</t>
        </is>
      </c>
      <c r="H856" s="70" t="n">
        <v>2110101</v>
      </c>
      <c r="I856" s="72" t="inlineStr">
        <is>
          <t>FORNECEDORES DE MERCADORIA</t>
        </is>
      </c>
      <c r="J856" s="70" t="n">
        <v>1296332</v>
      </c>
      <c r="L856" s="70" t="n">
        <v>1892110</v>
      </c>
      <c r="M856" s="72" t="inlineStr">
        <is>
          <t>01</t>
        </is>
      </c>
      <c r="N856" s="72" t="inlineStr">
        <is>
          <t>NFE</t>
        </is>
      </c>
      <c r="P856" s="70" t="n">
        <v>103</v>
      </c>
      <c r="Q856" s="72" t="inlineStr">
        <is>
          <t>MILKA FRANCIS</t>
        </is>
      </c>
      <c r="R856" s="72" t="inlineStr">
        <is>
          <t>ESTOQUE DE MERCADORIAS</t>
        </is>
      </c>
      <c r="S856" s="70" t="n">
        <v>1130101</v>
      </c>
      <c r="T856" s="72" t="inlineStr">
        <is>
          <t>MERCADORIAS P/REVENDA</t>
        </is>
      </c>
      <c r="U856" s="73" t="n">
        <v>6040.63</v>
      </c>
      <c r="W856" s="73" t="n">
        <v>0</v>
      </c>
      <c r="X856" s="72" t="inlineStr">
        <is>
          <t>NF 1892110 - MILKA</t>
        </is>
      </c>
      <c r="Z856" s="59">
        <f>IF($T856="","",IFERROR(INDEX('Resumo Grupos'!$AC$3:$AC$200,MATCH($T856,'Resumo Grupos'!$AB$3:$AB$200,0)),"n/d"))</f>
        <v/>
      </c>
      <c r="AA856" s="59">
        <f>IF($T856="","",IF(COUNTIF('Resumo Grupos'!$AE$3:$AE$40,$T856)&gt;0,"NAO","SIM"))</f>
        <v/>
      </c>
    </row>
    <row r="857" ht="54.75" customHeight="1" s="60">
      <c r="A857" s="70" t="n">
        <v>1</v>
      </c>
      <c r="B857" s="71" t="n">
        <v>46198</v>
      </c>
      <c r="C857" s="71" t="n">
        <v>46207</v>
      </c>
      <c r="D857" s="70" t="n">
        <v>1723</v>
      </c>
      <c r="E857" s="72" t="inlineStr">
        <is>
          <t>COMERCIO DE FRIOS MANAUS LTDA</t>
        </is>
      </c>
      <c r="F857" s="70" t="n">
        <v>24</v>
      </c>
      <c r="G857" s="72" t="inlineStr">
        <is>
          <t>Compra a Prazo - Boletos</t>
        </is>
      </c>
      <c r="H857" s="70" t="n">
        <v>2110101</v>
      </c>
      <c r="I857" s="72" t="inlineStr">
        <is>
          <t>FORNECEDORES DE MERCADORIA</t>
        </is>
      </c>
      <c r="J857" s="70" t="n">
        <v>1306185</v>
      </c>
      <c r="L857" s="70" t="n">
        <v>172090</v>
      </c>
      <c r="M857" s="72" t="inlineStr">
        <is>
          <t>01</t>
        </is>
      </c>
      <c r="N857" s="72" t="inlineStr">
        <is>
          <t>NFE</t>
        </is>
      </c>
      <c r="P857" s="70" t="n">
        <v>103</v>
      </c>
      <c r="Q857" s="72" t="inlineStr">
        <is>
          <t>MILKA FRANCIS</t>
        </is>
      </c>
      <c r="R857" s="72" t="inlineStr">
        <is>
          <t>ESTOQUE DE MERCADORIAS</t>
        </is>
      </c>
      <c r="S857" s="70" t="n">
        <v>1130101</v>
      </c>
      <c r="T857" s="72" t="inlineStr">
        <is>
          <t>MERCADORIAS P/REVENDA</t>
        </is>
      </c>
      <c r="U857" s="73" t="n">
        <v>5951.8</v>
      </c>
      <c r="W857" s="73" t="n">
        <v>0</v>
      </c>
      <c r="X857" s="72" t="inlineStr">
        <is>
          <t>NF172090 - MILKA</t>
        </is>
      </c>
      <c r="Z857" s="59">
        <f>IF($T857="","",IFERROR(INDEX('Resumo Grupos'!$AC$3:$AC$200,MATCH($T857,'Resumo Grupos'!$AB$3:$AB$200,0)),"n/d"))</f>
        <v/>
      </c>
      <c r="AA857" s="59">
        <f>IF($T857="","",IF(COUNTIF('Resumo Grupos'!$AE$3:$AE$40,$T857)&gt;0,"NAO","SIM"))</f>
        <v/>
      </c>
    </row>
    <row r="858" ht="45.75" customHeight="1" s="60">
      <c r="A858" s="70" t="n">
        <v>1</v>
      </c>
      <c r="B858" s="71" t="n">
        <v>46200</v>
      </c>
      <c r="C858" s="71" t="n">
        <v>46207</v>
      </c>
      <c r="D858" s="70" t="n">
        <v>10006</v>
      </c>
      <c r="E858" s="72" t="inlineStr">
        <is>
          <t>RUAN FERNANDES</t>
        </is>
      </c>
      <c r="F858" s="70" t="n">
        <v>24</v>
      </c>
      <c r="G858" s="72" t="inlineStr">
        <is>
          <t>Compra a Prazo - Boletos</t>
        </is>
      </c>
      <c r="H858" s="70" t="n">
        <v>2110405</v>
      </c>
      <c r="I858" s="72" t="inlineStr">
        <is>
          <t>CONTAS A PAGAR</t>
        </is>
      </c>
      <c r="J858" s="70" t="n">
        <v>1312823</v>
      </c>
      <c r="L858" s="70" t="n">
        <v>543586</v>
      </c>
      <c r="M858" s="72" t="inlineStr">
        <is>
          <t>01</t>
        </is>
      </c>
      <c r="N858" s="72" t="inlineStr">
        <is>
          <t>AVU</t>
        </is>
      </c>
      <c r="P858" s="70" t="n">
        <v>101</v>
      </c>
      <c r="Q858" s="72" t="inlineStr">
        <is>
          <t>KEILA LIMA</t>
        </is>
      </c>
      <c r="R858" s="72" t="inlineStr">
        <is>
          <t>DESPESAS OPERACIONAIS</t>
        </is>
      </c>
      <c r="S858" s="70" t="n">
        <v>4210233</v>
      </c>
      <c r="T858" s="72" t="inlineStr">
        <is>
          <t>MENSALIDADE TI</t>
        </is>
      </c>
      <c r="U858" s="73" t="n">
        <v>258</v>
      </c>
      <c r="W858" s="73" t="n">
        <v>0</v>
      </c>
      <c r="X858" s="72" t="inlineStr">
        <is>
          <t>MENSALIDADE D TI MO1 - KEILA</t>
        </is>
      </c>
      <c r="Z858" s="59">
        <f>IF($T858="","",IFERROR(INDEX('Resumo Grupos'!$AC$3:$AC$200,MATCH($T858,'Resumo Grupos'!$AB$3:$AB$200,0)),"n/d"))</f>
        <v/>
      </c>
      <c r="AA858" s="59">
        <f>IF($T858="","",IF(COUNTIF('Resumo Grupos'!$AE$3:$AE$40,$T858)&gt;0,"NAO","SIM"))</f>
        <v/>
      </c>
    </row>
    <row r="859" ht="45.75" customHeight="1" s="60">
      <c r="A859" s="70" t="n">
        <v>1</v>
      </c>
      <c r="B859" s="71" t="n">
        <v>46203</v>
      </c>
      <c r="C859" s="71" t="n">
        <v>46207</v>
      </c>
      <c r="D859" s="70" t="n">
        <v>1625</v>
      </c>
      <c r="E859" s="72" t="inlineStr">
        <is>
          <t>MAXFRI DISTRIUIDORA LTDA</t>
        </is>
      </c>
      <c r="F859" s="70" t="n">
        <v>24</v>
      </c>
      <c r="G859" s="72" t="inlineStr">
        <is>
          <t>Compra a Prazo - Boletos</t>
        </is>
      </c>
      <c r="H859" s="70" t="n">
        <v>2110101</v>
      </c>
      <c r="I859" s="72" t="inlineStr">
        <is>
          <t>FORNECEDORES DE MERCADORIA</t>
        </is>
      </c>
      <c r="J859" s="70" t="n">
        <v>1329338</v>
      </c>
      <c r="L859" s="70" t="n">
        <v>14571</v>
      </c>
      <c r="M859" s="72" t="inlineStr">
        <is>
          <t>01</t>
        </is>
      </c>
      <c r="N859" s="72" t="inlineStr">
        <is>
          <t>NFE</t>
        </is>
      </c>
      <c r="P859" s="70" t="n">
        <v>103</v>
      </c>
      <c r="Q859" s="72" t="inlineStr">
        <is>
          <t>MILKA FRANCIS</t>
        </is>
      </c>
      <c r="R859" s="72" t="inlineStr">
        <is>
          <t>ESTOQUE DE MERCADORIAS</t>
        </is>
      </c>
      <c r="S859" s="70" t="n">
        <v>1130101</v>
      </c>
      <c r="T859" s="72" t="inlineStr">
        <is>
          <t>MERCADORIAS P/REVENDA</t>
        </is>
      </c>
      <c r="U859" s="73" t="n">
        <v>9942.139999999999</v>
      </c>
      <c r="W859" s="73" t="n">
        <v>0</v>
      </c>
      <c r="X859" s="72" t="inlineStr">
        <is>
          <t>NF14571 -MILKA</t>
        </is>
      </c>
      <c r="Z859" s="59">
        <f>IF($T859="","",IFERROR(INDEX('Resumo Grupos'!$AC$3:$AC$200,MATCH($T859,'Resumo Grupos'!$AB$3:$AB$200,0)),"n/d"))</f>
        <v/>
      </c>
      <c r="AA859" s="59">
        <f>IF($T859="","",IF(COUNTIF('Resumo Grupos'!$AE$3:$AE$40,$T859)&gt;0,"NAO","SIM"))</f>
        <v/>
      </c>
    </row>
    <row r="860" ht="45.75" customHeight="1" s="60">
      <c r="A860" s="70" t="n">
        <v>1</v>
      </c>
      <c r="B860" s="71" t="n">
        <v>46207</v>
      </c>
      <c r="C860" s="71" t="n">
        <v>46207</v>
      </c>
      <c r="D860" s="70" t="n">
        <v>33</v>
      </c>
      <c r="E860" s="72" t="inlineStr">
        <is>
          <t>RENATO DE O AZEVEDO E CIA LTDA - EPP</t>
        </is>
      </c>
      <c r="F860" s="70" t="n">
        <v>13</v>
      </c>
      <c r="G860" s="72" t="inlineStr">
        <is>
          <t>Compra a Vista</t>
        </is>
      </c>
      <c r="H860" s="70" t="n">
        <v>2110101</v>
      </c>
      <c r="I860" s="72" t="inlineStr">
        <is>
          <t>FORNECEDORES DE MERCADORIA</t>
        </is>
      </c>
      <c r="J860" s="70" t="n">
        <v>1348399</v>
      </c>
      <c r="L860" s="70" t="n">
        <v>5250</v>
      </c>
      <c r="M860" s="72" t="inlineStr">
        <is>
          <t>01</t>
        </is>
      </c>
      <c r="N860" s="72" t="inlineStr">
        <is>
          <t>NFE</t>
        </is>
      </c>
      <c r="P860" s="70" t="n">
        <v>104</v>
      </c>
      <c r="Q860" s="72" t="inlineStr">
        <is>
          <t>DEBORA COSTA</t>
        </is>
      </c>
      <c r="R860" s="72" t="inlineStr">
        <is>
          <t>ESTOQUE DE MERCADORIAS</t>
        </is>
      </c>
      <c r="S860" s="70" t="n">
        <v>1130101</v>
      </c>
      <c r="T860" s="72" t="inlineStr">
        <is>
          <t>MERCADORIAS P/REVENDA</t>
        </is>
      </c>
      <c r="U860" s="73" t="n">
        <v>280</v>
      </c>
      <c r="W860" s="73" t="n">
        <v>280</v>
      </c>
      <c r="X860" s="72" t="inlineStr">
        <is>
          <t>ACAI DE ANORI - DEBORA</t>
        </is>
      </c>
      <c r="Z860" s="59">
        <f>IF($T860="","",IFERROR(INDEX('Resumo Grupos'!$AC$3:$AC$200,MATCH($T860,'Resumo Grupos'!$AB$3:$AB$200,0)),"n/d"))</f>
        <v/>
      </c>
      <c r="AA860" s="59">
        <f>IF($T860="","",IF(COUNTIF('Resumo Grupos'!$AE$3:$AE$40,$T860)&gt;0,"NAO","SIM"))</f>
        <v/>
      </c>
    </row>
    <row r="861" ht="45.75" customHeight="1" s="60">
      <c r="A861" s="70" t="n">
        <v>1</v>
      </c>
      <c r="B861" s="71" t="n">
        <v>46112</v>
      </c>
      <c r="C861" s="71" t="n">
        <v>46208</v>
      </c>
      <c r="D861" s="70" t="n">
        <v>17</v>
      </c>
      <c r="E861" s="72" t="inlineStr">
        <is>
          <t>NEYLIANE SILVA DE OLIVEIRA</t>
        </is>
      </c>
      <c r="F861" s="70" t="n">
        <v>24</v>
      </c>
      <c r="G861" s="72" t="inlineStr">
        <is>
          <t>Compra a Prazo - Boletos</t>
        </is>
      </c>
      <c r="H861" s="70" t="n">
        <v>1110202</v>
      </c>
      <c r="I861" s="72" t="inlineStr">
        <is>
          <t>BANCO ITAU Lj 01</t>
        </is>
      </c>
      <c r="J861" s="70" t="n">
        <v>881704</v>
      </c>
      <c r="L861" s="70" t="n">
        <v>376470</v>
      </c>
      <c r="M861" s="72" t="inlineStr">
        <is>
          <t>03</t>
        </is>
      </c>
      <c r="N861" s="72" t="inlineStr">
        <is>
          <t>AVU</t>
        </is>
      </c>
      <c r="P861" s="70" t="n">
        <v>101</v>
      </c>
      <c r="Q861" s="72" t="inlineStr">
        <is>
          <t>KEILA LIMA</t>
        </is>
      </c>
      <c r="R861" s="72" t="inlineStr">
        <is>
          <t>DESPESAS NAO OPERACIONAIS</t>
        </is>
      </c>
      <c r="S861" s="70" t="n">
        <v>4220199</v>
      </c>
      <c r="T861" s="72" t="inlineStr">
        <is>
          <t>PAGAMENTOS OUTROS NAO OPERACIONAIS</t>
        </is>
      </c>
      <c r="U861" s="73" t="n">
        <v>250</v>
      </c>
      <c r="W861" s="73" t="n">
        <v>0</v>
      </c>
      <c r="X861" s="72" t="inlineStr">
        <is>
          <t>PL NELA 28/28 - KEILA</t>
        </is>
      </c>
      <c r="Z861" s="59">
        <f>IF($T861="","",IFERROR(INDEX('Resumo Grupos'!$AC$3:$AC$200,MATCH($T861,'Resumo Grupos'!$AB$3:$AB$200,0)),"n/d"))</f>
        <v/>
      </c>
      <c r="AA861" s="59">
        <f>IF($T861="","",IF(COUNTIF('Resumo Grupos'!$AE$3:$AE$40,$T861)&gt;0,"NAO","SIM"))</f>
        <v/>
      </c>
    </row>
    <row r="862" ht="63.75" customHeight="1" s="60">
      <c r="A862" s="70" t="n">
        <v>1</v>
      </c>
      <c r="B862" s="71" t="n">
        <v>46147</v>
      </c>
      <c r="C862" s="71" t="n">
        <v>46208</v>
      </c>
      <c r="D862" s="70" t="n">
        <v>956</v>
      </c>
      <c r="E862" s="72" t="inlineStr">
        <is>
          <t>ORIGENES C FREITAS</t>
        </is>
      </c>
      <c r="F862" s="70" t="n">
        <v>34</v>
      </c>
      <c r="G862" s="72" t="inlineStr">
        <is>
          <t>Transferencia Pix</t>
        </is>
      </c>
      <c r="H862" s="70" t="n">
        <v>2110405</v>
      </c>
      <c r="I862" s="72" t="inlineStr">
        <is>
          <t>CONTAS A PAGAR</t>
        </is>
      </c>
      <c r="J862" s="70" t="n">
        <v>1053484</v>
      </c>
      <c r="L862" s="70" t="n">
        <v>443312</v>
      </c>
      <c r="M862" s="72" t="inlineStr">
        <is>
          <t>02</t>
        </is>
      </c>
      <c r="N862" s="72" t="inlineStr">
        <is>
          <t>AVU</t>
        </is>
      </c>
      <c r="P862" s="70" t="n">
        <v>101</v>
      </c>
      <c r="Q862" s="72" t="inlineStr">
        <is>
          <t>KEILA LIMA</t>
        </is>
      </c>
      <c r="R862" s="72" t="inlineStr">
        <is>
          <t>DESPESAS COMERCIAIS</t>
        </is>
      </c>
      <c r="S862" s="70" t="n">
        <v>4210111</v>
      </c>
      <c r="T862" s="72" t="inlineStr">
        <is>
          <t>ALUGUEIS PAGOS A PF</t>
        </is>
      </c>
      <c r="U862" s="73" t="n">
        <v>4300</v>
      </c>
      <c r="W862" s="73" t="n">
        <v>0</v>
      </c>
      <c r="X862" s="72" t="inlineStr">
        <is>
          <t>ALUGUEL MO1 PADARIA - KEILA</t>
        </is>
      </c>
      <c r="Z862" s="59">
        <f>IF($T862="","",IFERROR(INDEX('Resumo Grupos'!$AC$3:$AC$200,MATCH($T862,'Resumo Grupos'!$AB$3:$AB$200,0)),"n/d"))</f>
        <v/>
      </c>
      <c r="AA862" s="59">
        <f>IF($T862="","",IF(COUNTIF('Resumo Grupos'!$AE$3:$AE$40,$T862)&gt;0,"NAO","SIM"))</f>
        <v/>
      </c>
    </row>
    <row r="863" ht="54.75" customHeight="1" s="60">
      <c r="A863" s="70" t="n">
        <v>1</v>
      </c>
      <c r="B863" s="71" t="n">
        <v>46147</v>
      </c>
      <c r="C863" s="71" t="n">
        <v>46208</v>
      </c>
      <c r="D863" s="70" t="n">
        <v>1061</v>
      </c>
      <c r="E863" s="72" t="inlineStr">
        <is>
          <t xml:space="preserve">ELIANA SILVA DE OLIVEIRA </t>
        </is>
      </c>
      <c r="F863" s="70" t="n">
        <v>34</v>
      </c>
      <c r="G863" s="72" t="inlineStr">
        <is>
          <t>Transferencia Pix</t>
        </is>
      </c>
      <c r="H863" s="70" t="n">
        <v>1110202</v>
      </c>
      <c r="I863" s="72" t="inlineStr">
        <is>
          <t>BANCO ITAU Lj 01</t>
        </is>
      </c>
      <c r="J863" s="70" t="n">
        <v>1053498</v>
      </c>
      <c r="L863" s="70" t="n">
        <v>443316</v>
      </c>
      <c r="M863" s="72" t="inlineStr">
        <is>
          <t>03</t>
        </is>
      </c>
      <c r="N863" s="72" t="inlineStr">
        <is>
          <t>AVU</t>
        </is>
      </c>
      <c r="P863" s="70" t="n">
        <v>101</v>
      </c>
      <c r="Q863" s="72" t="inlineStr">
        <is>
          <t>KEILA LIMA</t>
        </is>
      </c>
      <c r="R863" s="72" t="inlineStr">
        <is>
          <t>DESPESAS NAO OPERACIONAIS</t>
        </is>
      </c>
      <c r="S863" s="70" t="n">
        <v>4220199</v>
      </c>
      <c r="T863" s="72" t="inlineStr">
        <is>
          <t>PAGAMENTOS OUTROS NAO OPERACIONAIS</t>
        </is>
      </c>
      <c r="U863" s="73" t="n">
        <v>1500</v>
      </c>
      <c r="W863" s="73" t="n">
        <v>0</v>
      </c>
      <c r="X863" s="72" t="inlineStr">
        <is>
          <t>SALARIO ELIANA LOJAS - ESO - KEILA</t>
        </is>
      </c>
      <c r="Z863" s="59">
        <f>IF($T863="","",IFERROR(INDEX('Resumo Grupos'!$AC$3:$AC$200,MATCH($T863,'Resumo Grupos'!$AB$3:$AB$200,0)),"n/d"))</f>
        <v/>
      </c>
      <c r="AA863" s="59">
        <f>IF($T863="","",IF(COUNTIF('Resumo Grupos'!$AE$3:$AE$40,$T863)&gt;0,"NAO","SIM"))</f>
        <v/>
      </c>
    </row>
    <row r="864" ht="45.75" customHeight="1" s="60">
      <c r="A864" s="70" t="n">
        <v>1</v>
      </c>
      <c r="B864" s="71" t="n">
        <v>46147</v>
      </c>
      <c r="C864" s="71" t="n">
        <v>46208</v>
      </c>
      <c r="D864" s="70" t="n">
        <v>16</v>
      </c>
      <c r="E864" s="72" t="inlineStr">
        <is>
          <t>RENATO DE OLIVEIRA AZEVEDO</t>
        </is>
      </c>
      <c r="F864" s="70" t="n">
        <v>34</v>
      </c>
      <c r="G864" s="72" t="inlineStr">
        <is>
          <t>Transferencia Pix</t>
        </is>
      </c>
      <c r="H864" s="70" t="n">
        <v>2110405</v>
      </c>
      <c r="I864" s="72" t="inlineStr">
        <is>
          <t>CONTAS A PAGAR</t>
        </is>
      </c>
      <c r="J864" s="70" t="n">
        <v>1053543</v>
      </c>
      <c r="L864" s="70" t="n">
        <v>443329</v>
      </c>
      <c r="M864" s="72" t="inlineStr">
        <is>
          <t>03</t>
        </is>
      </c>
      <c r="N864" s="72" t="inlineStr">
        <is>
          <t>AVU</t>
        </is>
      </c>
      <c r="P864" s="70" t="n">
        <v>101</v>
      </c>
      <c r="Q864" s="72" t="inlineStr">
        <is>
          <t>KEILA LIMA</t>
        </is>
      </c>
      <c r="R864" s="72" t="inlineStr">
        <is>
          <t>DESPESAS COM PESSOAL</t>
        </is>
      </c>
      <c r="S864" s="70" t="n">
        <v>4210301</v>
      </c>
      <c r="T864" s="72" t="inlineStr">
        <is>
          <t>SALARIOS</t>
        </is>
      </c>
      <c r="U864" s="73" t="n">
        <v>500</v>
      </c>
      <c r="W864" s="73" t="n">
        <v>0</v>
      </c>
      <c r="X864" s="72" t="inlineStr">
        <is>
          <t>SALARIO RENATO MO1 - KEILA</t>
        </is>
      </c>
      <c r="Z864" s="59">
        <f>IF($T864="","",IFERROR(INDEX('Resumo Grupos'!$AC$3:$AC$200,MATCH($T864,'Resumo Grupos'!$AB$3:$AB$200,0)),"n/d"))</f>
        <v/>
      </c>
      <c r="AA864" s="59">
        <f>IF($T864="","",IF(COUNTIF('Resumo Grupos'!$AE$3:$AE$40,$T864)&gt;0,"NAO","SIM"))</f>
        <v/>
      </c>
    </row>
    <row r="865" ht="45.75" customHeight="1" s="60">
      <c r="A865" s="70" t="n">
        <v>1</v>
      </c>
      <c r="B865" s="71" t="n">
        <v>46167</v>
      </c>
      <c r="C865" s="71" t="n">
        <v>46208</v>
      </c>
      <c r="D865" s="70" t="n">
        <v>1195</v>
      </c>
      <c r="E865" s="72" t="inlineStr">
        <is>
          <t>PLURAL GEST EM P DE SAUDE LTDA</t>
        </is>
      </c>
      <c r="F865" s="70" t="n">
        <v>24</v>
      </c>
      <c r="G865" s="72" t="inlineStr">
        <is>
          <t>Compra a Prazo - Boletos</t>
        </is>
      </c>
      <c r="H865" s="70" t="n">
        <v>2110405</v>
      </c>
      <c r="I865" s="72" t="inlineStr">
        <is>
          <t>CONTAS A PAGAR</t>
        </is>
      </c>
      <c r="J865" s="70" t="n">
        <v>1152372</v>
      </c>
      <c r="L865" s="70" t="n">
        <v>480964</v>
      </c>
      <c r="M865" s="72" t="inlineStr">
        <is>
          <t>01</t>
        </is>
      </c>
      <c r="N865" s="72" t="inlineStr">
        <is>
          <t>AVU</t>
        </is>
      </c>
      <c r="P865" s="70" t="n">
        <v>101</v>
      </c>
      <c r="Q865" s="72" t="inlineStr">
        <is>
          <t>KEILA LIMA</t>
        </is>
      </c>
      <c r="R865" s="72" t="inlineStr">
        <is>
          <t>DESPESAS COM PESSOAL</t>
        </is>
      </c>
      <c r="S865" s="70" t="n">
        <v>4210311</v>
      </c>
      <c r="T865" s="72" t="inlineStr">
        <is>
          <t>PLANOS DE SAUDE</t>
        </is>
      </c>
      <c r="U865" s="73" t="n">
        <v>2802.21</v>
      </c>
      <c r="W865" s="73" t="n">
        <v>0</v>
      </c>
      <c r="X865" s="72" t="inlineStr">
        <is>
          <t xml:space="preserve">PLANO DE SAUDE - KEILA ELIANA HELIO THAIRINE DAVID </t>
        </is>
      </c>
      <c r="Z865" s="59">
        <f>IF($T865="","",IFERROR(INDEX('Resumo Grupos'!$AC$3:$AC$200,MATCH($T865,'Resumo Grupos'!$AB$3:$AB$200,0)),"n/d"))</f>
        <v/>
      </c>
      <c r="AA865" s="59">
        <f>IF($T865="","",IF(COUNTIF('Resumo Grupos'!$AE$3:$AE$40,$T865)&gt;0,"NAO","SIM"))</f>
        <v/>
      </c>
    </row>
    <row r="866" ht="54.75" customHeight="1" s="60">
      <c r="A866" s="70" t="n">
        <v>1</v>
      </c>
      <c r="B866" s="71" t="n">
        <v>46170</v>
      </c>
      <c r="C866" s="71" t="n">
        <v>46208</v>
      </c>
      <c r="D866" s="70" t="n">
        <v>1779</v>
      </c>
      <c r="E866" s="72" t="inlineStr">
        <is>
          <t>BANCO DO BRASIL SA</t>
        </is>
      </c>
      <c r="F866" s="70" t="n">
        <v>35</v>
      </c>
      <c r="G866" s="72" t="inlineStr">
        <is>
          <t>Cartão BB 1 Velho Visa 1446 venc 05</t>
        </is>
      </c>
      <c r="H866" s="70" t="n">
        <v>2110101</v>
      </c>
      <c r="I866" s="72" t="inlineStr">
        <is>
          <t>FORNECEDORES DE MERCADORIA</t>
        </is>
      </c>
      <c r="J866" s="70" t="n">
        <v>1166902</v>
      </c>
      <c r="L866" s="70" t="n">
        <v>486494</v>
      </c>
      <c r="M866" s="72" t="inlineStr">
        <is>
          <t>01</t>
        </is>
      </c>
      <c r="N866" s="72" t="inlineStr">
        <is>
          <t>AVU</t>
        </is>
      </c>
      <c r="P866" s="70" t="n">
        <v>102</v>
      </c>
      <c r="Q866" s="72" t="inlineStr">
        <is>
          <t>ANDREZA ANDRADE</t>
        </is>
      </c>
      <c r="R866" s="72" t="inlineStr">
        <is>
          <t>ESTOQUE DE MERCADORIAS</t>
        </is>
      </c>
      <c r="S866" s="70" t="n">
        <v>1130101</v>
      </c>
      <c r="T866" s="72" t="inlineStr">
        <is>
          <t>MERCADORIAS P/REVENDA</t>
        </is>
      </c>
      <c r="U866" s="73" t="n">
        <v>2404</v>
      </c>
      <c r="W866" s="73" t="n">
        <v>0</v>
      </c>
      <c r="X866" s="72" t="inlineStr">
        <is>
          <t>COMPRAS CENTRO  BUGIGANGAS -ANDREZA</t>
        </is>
      </c>
      <c r="Z866" s="59">
        <f>IF($T866="","",IFERROR(INDEX('Resumo Grupos'!$AC$3:$AC$200,MATCH($T866,'Resumo Grupos'!$AB$3:$AB$200,0)),"n/d"))</f>
        <v/>
      </c>
      <c r="AA866" s="59">
        <f>IF($T866="","",IF(COUNTIF('Resumo Grupos'!$AE$3:$AE$40,$T866)&gt;0,"NAO","SIM"))</f>
        <v/>
      </c>
    </row>
    <row r="867" ht="27.75" customHeight="1" s="60">
      <c r="A867" s="70" t="n">
        <v>1</v>
      </c>
      <c r="B867" s="71" t="n">
        <v>46181</v>
      </c>
      <c r="C867" s="71" t="n">
        <v>46208</v>
      </c>
      <c r="D867" s="70" t="n">
        <v>974</v>
      </c>
      <c r="E867" s="72" t="inlineStr">
        <is>
          <t>SHMILY COMERCIO DE ARTIGOS DO VESTUARIO</t>
        </is>
      </c>
      <c r="F867" s="70" t="n">
        <v>35</v>
      </c>
      <c r="G867" s="72" t="inlineStr">
        <is>
          <t>Cartão BB 1 Velho Visa 1446 venc 05</t>
        </is>
      </c>
      <c r="H867" s="70" t="n">
        <v>2110101</v>
      </c>
      <c r="I867" s="72" t="inlineStr">
        <is>
          <t>FORNECEDORES DE MERCADORIA</t>
        </is>
      </c>
      <c r="J867" s="70" t="n">
        <v>1222431</v>
      </c>
      <c r="L867" s="70" t="n">
        <v>417</v>
      </c>
      <c r="M867" s="72" t="inlineStr">
        <is>
          <t>01</t>
        </is>
      </c>
      <c r="N867" s="72" t="inlineStr">
        <is>
          <t>NFE</t>
        </is>
      </c>
      <c r="P867" s="70" t="n">
        <v>103</v>
      </c>
      <c r="Q867" s="72" t="inlineStr">
        <is>
          <t>MILKA FRANCIS</t>
        </is>
      </c>
      <c r="R867" s="72" t="inlineStr">
        <is>
          <t>ESTOQUE DE MERCADORIAS</t>
        </is>
      </c>
      <c r="S867" s="70" t="n">
        <v>1130101</v>
      </c>
      <c r="T867" s="72" t="inlineStr">
        <is>
          <t>MERCADORIAS P/REVENDA</t>
        </is>
      </c>
      <c r="U867" s="73" t="n">
        <v>1124</v>
      </c>
      <c r="W867" s="73" t="n">
        <v>0</v>
      </c>
      <c r="X867" s="72" t="inlineStr">
        <is>
          <t>NF 417 SHMILY -  MILKA</t>
        </is>
      </c>
      <c r="Z867" s="59">
        <f>IF($T867="","",IFERROR(INDEX('Resumo Grupos'!$AC$3:$AC$200,MATCH($T867,'Resumo Grupos'!$AB$3:$AB$200,0)),"n/d"))</f>
        <v/>
      </c>
      <c r="AA867" s="59">
        <f>IF($T867="","",IF(COUNTIF('Resumo Grupos'!$AE$3:$AE$40,$T867)&gt;0,"NAO","SIM"))</f>
        <v/>
      </c>
    </row>
    <row r="868" ht="36.75" customHeight="1" s="60">
      <c r="A868" s="70" t="n">
        <v>1</v>
      </c>
      <c r="B868" s="71" t="n">
        <v>46181</v>
      </c>
      <c r="C868" s="71" t="n">
        <v>46208</v>
      </c>
      <c r="D868" s="70" t="n">
        <v>796</v>
      </c>
      <c r="E868" s="72" t="inlineStr">
        <is>
          <t>XF 10 LOJA DE VARIEDADES LTDA</t>
        </is>
      </c>
      <c r="F868" s="70" t="n">
        <v>35</v>
      </c>
      <c r="G868" s="72" t="inlineStr">
        <is>
          <t>Cartão BB 1 Velho Visa 1446 venc 05</t>
        </is>
      </c>
      <c r="H868" s="70" t="n">
        <v>2110101</v>
      </c>
      <c r="I868" s="72" t="inlineStr">
        <is>
          <t>FORNECEDORES DE MERCADORIA</t>
        </is>
      </c>
      <c r="J868" s="70" t="n">
        <v>1222777</v>
      </c>
      <c r="L868" s="70" t="n">
        <v>1005</v>
      </c>
      <c r="M868" s="72" t="inlineStr">
        <is>
          <t>01</t>
        </is>
      </c>
      <c r="N868" s="72" t="inlineStr">
        <is>
          <t>NFE</t>
        </is>
      </c>
      <c r="P868" s="70" t="n">
        <v>103</v>
      </c>
      <c r="Q868" s="72" t="inlineStr">
        <is>
          <t>MILKA FRANCIS</t>
        </is>
      </c>
      <c r="R868" s="72" t="inlineStr">
        <is>
          <t>ESTOQUE DE MERCADORIAS</t>
        </is>
      </c>
      <c r="S868" s="70" t="n">
        <v>1130101</v>
      </c>
      <c r="T868" s="72" t="inlineStr">
        <is>
          <t>MERCADORIAS P/REVENDA</t>
        </is>
      </c>
      <c r="U868" s="73" t="n">
        <v>415.75</v>
      </c>
      <c r="W868" s="73" t="n">
        <v>0</v>
      </c>
      <c r="X868" s="72" t="inlineStr">
        <is>
          <t>NF 1005 - MILKA</t>
        </is>
      </c>
      <c r="Z868" s="59">
        <f>IF($T868="","",IFERROR(INDEX('Resumo Grupos'!$AC$3:$AC$200,MATCH($T868,'Resumo Grupos'!$AB$3:$AB$200,0)),"n/d"))</f>
        <v/>
      </c>
      <c r="AA868" s="59">
        <f>IF($T868="","",IF(COUNTIF('Resumo Grupos'!$AE$3:$AE$40,$T868)&gt;0,"NAO","SIM"))</f>
        <v/>
      </c>
    </row>
    <row r="869" ht="45.75" customHeight="1" s="60">
      <c r="A869" s="70" t="n">
        <v>1</v>
      </c>
      <c r="B869" s="71" t="n">
        <v>46185</v>
      </c>
      <c r="C869" s="71" t="n">
        <v>46208</v>
      </c>
      <c r="D869" s="70" t="n">
        <v>1768</v>
      </c>
      <c r="E869" s="72" t="inlineStr">
        <is>
          <t>GOLD SERVICE</t>
        </is>
      </c>
      <c r="F869" s="70" t="n">
        <v>34</v>
      </c>
      <c r="G869" s="72" t="inlineStr">
        <is>
          <t>Transferencia Pix</t>
        </is>
      </c>
      <c r="H869" s="70" t="n">
        <v>1110202</v>
      </c>
      <c r="I869" s="72" t="inlineStr">
        <is>
          <t>BANCO ITAU Lj 01</t>
        </is>
      </c>
      <c r="J869" s="70" t="n">
        <v>1240158</v>
      </c>
      <c r="L869" s="70" t="n">
        <v>515079</v>
      </c>
      <c r="M869" s="72" t="inlineStr">
        <is>
          <t>01</t>
        </is>
      </c>
      <c r="N869" s="72" t="inlineStr">
        <is>
          <t>AVU</t>
        </is>
      </c>
      <c r="P869" s="70" t="n">
        <v>102</v>
      </c>
      <c r="Q869" s="72" t="inlineStr">
        <is>
          <t>ANDREZA ANDRADE</t>
        </is>
      </c>
      <c r="R869" s="72" t="inlineStr">
        <is>
          <t>DESPESAS OPERACIONAIS</t>
        </is>
      </c>
      <c r="S869" s="70" t="n">
        <v>4210202</v>
      </c>
      <c r="T869" s="72" t="inlineStr">
        <is>
          <t>HONORARIOS CONTABEIS</t>
        </is>
      </c>
      <c r="U869" s="73" t="n">
        <v>2431.5</v>
      </c>
      <c r="W869" s="73" t="n">
        <v>0</v>
      </c>
      <c r="X869" s="72" t="inlineStr">
        <is>
          <t>MENSALIDADE GOLD MO1-ANDREZA</t>
        </is>
      </c>
      <c r="Z869" s="59">
        <f>IF($T869="","",IFERROR(INDEX('Resumo Grupos'!$AC$3:$AC$200,MATCH($T869,'Resumo Grupos'!$AB$3:$AB$200,0)),"n/d"))</f>
        <v/>
      </c>
      <c r="AA869" s="59">
        <f>IF($T869="","",IF(COUNTIF('Resumo Grupos'!$AE$3:$AE$40,$T869)&gt;0,"NAO","SIM"))</f>
        <v/>
      </c>
    </row>
    <row r="870" ht="27.75" customHeight="1" s="60">
      <c r="A870" s="70" t="n">
        <v>1</v>
      </c>
      <c r="B870" s="71" t="n">
        <v>46192</v>
      </c>
      <c r="C870" s="71" t="n">
        <v>46208</v>
      </c>
      <c r="D870" s="70" t="n">
        <v>1613</v>
      </c>
      <c r="E870" s="72" t="inlineStr">
        <is>
          <t>BRF S A</t>
        </is>
      </c>
      <c r="F870" s="70" t="n">
        <v>24</v>
      </c>
      <c r="G870" s="72" t="inlineStr">
        <is>
          <t>Compra a Prazo - Boletos</t>
        </is>
      </c>
      <c r="H870" s="70" t="n">
        <v>2110101</v>
      </c>
      <c r="I870" s="72" t="inlineStr">
        <is>
          <t>FORNECEDORES DE MERCADORIA</t>
        </is>
      </c>
      <c r="J870" s="70" t="n">
        <v>1272759</v>
      </c>
      <c r="L870" s="70" t="n">
        <v>1597184</v>
      </c>
      <c r="M870" s="72" t="inlineStr">
        <is>
          <t>02</t>
        </is>
      </c>
      <c r="N870" s="72" t="inlineStr">
        <is>
          <t>NFE</t>
        </is>
      </c>
      <c r="P870" s="70" t="n">
        <v>103</v>
      </c>
      <c r="Q870" s="72" t="inlineStr">
        <is>
          <t>MILKA FRANCIS</t>
        </is>
      </c>
      <c r="R870" s="72" t="inlineStr">
        <is>
          <t>ESTOQUE DE MERCADORIAS</t>
        </is>
      </c>
      <c r="S870" s="70" t="n">
        <v>1130101</v>
      </c>
      <c r="T870" s="72" t="inlineStr">
        <is>
          <t>MERCADORIAS P/REVENDA</t>
        </is>
      </c>
      <c r="U870" s="73" t="n">
        <v>607.26</v>
      </c>
      <c r="W870" s="73" t="n">
        <v>0</v>
      </c>
      <c r="X870" s="72" t="inlineStr">
        <is>
          <t>NF 1597184-02/02 MILKA</t>
        </is>
      </c>
      <c r="Z870" s="59">
        <f>IF($T870="","",IFERROR(INDEX('Resumo Grupos'!$AC$3:$AC$200,MATCH($T870,'Resumo Grupos'!$AB$3:$AB$200,0)),"n/d"))</f>
        <v/>
      </c>
      <c r="AA870" s="59">
        <f>IF($T870="","",IF(COUNTIF('Resumo Grupos'!$AE$3:$AE$40,$T870)&gt;0,"NAO","SIM"))</f>
        <v/>
      </c>
    </row>
    <row r="871" ht="36.75" customHeight="1" s="60">
      <c r="A871" s="70" t="n">
        <v>1</v>
      </c>
      <c r="B871" s="71" t="n">
        <v>46196</v>
      </c>
      <c r="C871" s="71" t="n">
        <v>46208</v>
      </c>
      <c r="D871" s="70" t="n">
        <v>1196</v>
      </c>
      <c r="E871" s="72" t="inlineStr">
        <is>
          <t>VICTORIA COMERCIO INTERNACIONAL DE ALIME</t>
        </is>
      </c>
      <c r="F871" s="70" t="n">
        <v>24</v>
      </c>
      <c r="G871" s="72" t="inlineStr">
        <is>
          <t>Compra a Prazo - Boletos</t>
        </is>
      </c>
      <c r="H871" s="70" t="n">
        <v>2110101</v>
      </c>
      <c r="I871" s="72" t="inlineStr">
        <is>
          <t>FORNECEDORES DE MERCADORIA</t>
        </is>
      </c>
      <c r="J871" s="70" t="n">
        <v>1293749</v>
      </c>
      <c r="L871" s="70" t="n">
        <v>11908</v>
      </c>
      <c r="M871" s="72" t="inlineStr">
        <is>
          <t>01</t>
        </is>
      </c>
      <c r="N871" s="72" t="inlineStr">
        <is>
          <t>NFE</t>
        </is>
      </c>
      <c r="P871" s="70" t="n">
        <v>103</v>
      </c>
      <c r="Q871" s="72" t="inlineStr">
        <is>
          <t>MILKA FRANCIS</t>
        </is>
      </c>
      <c r="R871" s="72" t="inlineStr">
        <is>
          <t>ESTOQUE DE MERCADORIAS</t>
        </is>
      </c>
      <c r="S871" s="70" t="n">
        <v>1130101</v>
      </c>
      <c r="T871" s="72" t="inlineStr">
        <is>
          <t>MERCADORIAS P/REVENDA</t>
        </is>
      </c>
      <c r="U871" s="73" t="n">
        <v>495.45</v>
      </c>
      <c r="W871" s="73" t="n">
        <v>0</v>
      </c>
      <c r="X871" s="72" t="inlineStr">
        <is>
          <t>12490-A/B  NF11908 - MILKA</t>
        </is>
      </c>
      <c r="Z871" s="59">
        <f>IF($T871="","",IFERROR(INDEX('Resumo Grupos'!$AC$3:$AC$200,MATCH($T871,'Resumo Grupos'!$AB$3:$AB$200,0)),"n/d"))</f>
        <v/>
      </c>
      <c r="AA871" s="59">
        <f>IF($T871="","",IF(COUNTIF('Resumo Grupos'!$AE$3:$AE$40,$T871)&gt;0,"NAO","SIM"))</f>
        <v/>
      </c>
    </row>
    <row r="872" ht="36.75" customHeight="1" s="60">
      <c r="A872" s="70" t="n">
        <v>1</v>
      </c>
      <c r="B872" s="71" t="n">
        <v>46199</v>
      </c>
      <c r="C872" s="71" t="n">
        <v>46208</v>
      </c>
      <c r="D872" s="70" t="n">
        <v>1723</v>
      </c>
      <c r="E872" s="72" t="inlineStr">
        <is>
          <t>COMERCIO DE FRIOS MANAUS LTDA</t>
        </is>
      </c>
      <c r="F872" s="70" t="n">
        <v>24</v>
      </c>
      <c r="G872" s="72" t="inlineStr">
        <is>
          <t>Compra a Prazo - Boletos</t>
        </is>
      </c>
      <c r="H872" s="70" t="n">
        <v>2110101</v>
      </c>
      <c r="I872" s="72" t="inlineStr">
        <is>
          <t>FORNECEDORES DE MERCADORIA</t>
        </is>
      </c>
      <c r="J872" s="70" t="n">
        <v>1309867</v>
      </c>
      <c r="L872" s="70" t="n">
        <v>172132</v>
      </c>
      <c r="M872" s="72" t="inlineStr">
        <is>
          <t>01</t>
        </is>
      </c>
      <c r="N872" s="72" t="inlineStr">
        <is>
          <t>NFE</t>
        </is>
      </c>
      <c r="P872" s="70" t="n">
        <v>103</v>
      </c>
      <c r="Q872" s="72" t="inlineStr">
        <is>
          <t>MILKA FRANCIS</t>
        </is>
      </c>
      <c r="R872" s="72" t="inlineStr">
        <is>
          <t>ESTOQUE DE MERCADORIAS</t>
        </is>
      </c>
      <c r="S872" s="70" t="n">
        <v>1130101</v>
      </c>
      <c r="T872" s="72" t="inlineStr">
        <is>
          <t>MERCADORIAS P/REVENDA</t>
        </is>
      </c>
      <c r="U872" s="73" t="n">
        <v>5174.8</v>
      </c>
      <c r="W872" s="73" t="n">
        <v>0</v>
      </c>
      <c r="X872" s="72" t="inlineStr">
        <is>
          <t>NF172132 - MILKA</t>
        </is>
      </c>
      <c r="Z872" s="59">
        <f>IF($T872="","",IFERROR(INDEX('Resumo Grupos'!$AC$3:$AC$200,MATCH($T872,'Resumo Grupos'!$AB$3:$AB$200,0)),"n/d"))</f>
        <v/>
      </c>
      <c r="AA872" s="59">
        <f>IF($T872="","",IF(COUNTIF('Resumo Grupos'!$AE$3:$AE$40,$T872)&gt;0,"NAO","SIM"))</f>
        <v/>
      </c>
    </row>
    <row r="873" ht="27.75" customHeight="1" s="60">
      <c r="A873" s="70" t="n">
        <v>1</v>
      </c>
      <c r="B873" s="71" t="n">
        <v>46208</v>
      </c>
      <c r="C873" s="71" t="n">
        <v>46208</v>
      </c>
      <c r="D873" s="70" t="n">
        <v>17</v>
      </c>
      <c r="E873" s="72" t="inlineStr">
        <is>
          <t>NEYLIANE SILVA DE OLIVEIRA</t>
        </is>
      </c>
      <c r="F873" s="70" t="n">
        <v>24</v>
      </c>
      <c r="G873" s="72" t="inlineStr">
        <is>
          <t>Compra a Prazo - Boletos</t>
        </is>
      </c>
      <c r="H873" s="70" t="n">
        <v>1110202</v>
      </c>
      <c r="I873" s="72" t="inlineStr">
        <is>
          <t>BANCO ITAU Lj 01</t>
        </is>
      </c>
      <c r="J873" s="70" t="n">
        <v>1359969</v>
      </c>
      <c r="L873" s="70" t="n">
        <v>561604</v>
      </c>
      <c r="M873" s="72" t="inlineStr">
        <is>
          <t>01</t>
        </is>
      </c>
      <c r="N873" s="72" t="inlineStr">
        <is>
          <t>AVU</t>
        </is>
      </c>
      <c r="P873" s="70" t="n">
        <v>101</v>
      </c>
      <c r="Q873" s="72" t="inlineStr">
        <is>
          <t>KEILA LIMA</t>
        </is>
      </c>
      <c r="R873" s="72" t="inlineStr">
        <is>
          <t>DESPESAS NAO OPERACIONAIS</t>
        </is>
      </c>
      <c r="S873" s="70" t="n">
        <v>4220199</v>
      </c>
      <c r="T873" s="72" t="inlineStr">
        <is>
          <t>PAGAMENTOS OUTROS NAO OPERACIONAIS</t>
        </is>
      </c>
      <c r="U873" s="73" t="n">
        <v>600.3099999999999</v>
      </c>
      <c r="W873" s="73" t="n">
        <v>0</v>
      </c>
      <c r="X873" s="72" t="inlineStr">
        <is>
          <t>PL NEILA CONDOMINIO - KEILA</t>
        </is>
      </c>
      <c r="Z873" s="59">
        <f>IF($T873="","",IFERROR(INDEX('Resumo Grupos'!$AC$3:$AC$200,MATCH($T873,'Resumo Grupos'!$AB$3:$AB$200,0)),"n/d"))</f>
        <v/>
      </c>
      <c r="AA873" s="59">
        <f>IF($T873="","",IF(COUNTIF('Resumo Grupos'!$AE$3:$AE$40,$T873)&gt;0,"NAO","SIM"))</f>
        <v/>
      </c>
    </row>
    <row r="874" ht="27.75" customHeight="1" s="60">
      <c r="A874" s="70" t="n">
        <v>1</v>
      </c>
      <c r="B874" s="71" t="n">
        <v>46142</v>
      </c>
      <c r="C874" s="71" t="n">
        <v>46209</v>
      </c>
      <c r="D874" s="70" t="n">
        <v>607</v>
      </c>
      <c r="E874" s="72" t="inlineStr">
        <is>
          <t>PRIME PET DISTRIBUIDORA LTDA</t>
        </is>
      </c>
      <c r="F874" s="70" t="n">
        <v>24</v>
      </c>
      <c r="G874" s="72" t="inlineStr">
        <is>
          <t>Compra a Prazo - Boletos</t>
        </is>
      </c>
      <c r="H874" s="70" t="n">
        <v>2110101</v>
      </c>
      <c r="I874" s="72" t="inlineStr">
        <is>
          <t>FORNECEDORES DE MERCADORIA</t>
        </is>
      </c>
      <c r="J874" s="70" t="n">
        <v>1028242</v>
      </c>
      <c r="L874" s="70" t="n">
        <v>10262</v>
      </c>
      <c r="M874" s="72" t="inlineStr">
        <is>
          <t>05</t>
        </is>
      </c>
      <c r="N874" s="72" t="inlineStr">
        <is>
          <t>NFE</t>
        </is>
      </c>
      <c r="P874" s="70" t="n">
        <v>103</v>
      </c>
      <c r="Q874" s="72" t="inlineStr">
        <is>
          <t>MILKA FRANCIS</t>
        </is>
      </c>
      <c r="R874" s="72" t="inlineStr">
        <is>
          <t>ESTOQUE DE MERCADORIAS</t>
        </is>
      </c>
      <c r="S874" s="70" t="n">
        <v>1130101</v>
      </c>
      <c r="T874" s="72" t="inlineStr">
        <is>
          <t>MERCADORIAS P/REVENDA</t>
        </is>
      </c>
      <c r="U874" s="73" t="n">
        <v>1488.3</v>
      </c>
      <c r="W874" s="73" t="n">
        <v>0</v>
      </c>
      <c r="X874" s="72" t="inlineStr">
        <is>
          <t>NF 10262 -05/09 MILKA</t>
        </is>
      </c>
      <c r="Z874" s="59">
        <f>IF($T874="","",IFERROR(INDEX('Resumo Grupos'!$AC$3:$AC$200,MATCH($T874,'Resumo Grupos'!$AB$3:$AB$200,0)),"n/d"))</f>
        <v/>
      </c>
      <c r="AA874" s="59">
        <f>IF($T874="","",IF(COUNTIF('Resumo Grupos'!$AE$3:$AE$40,$T874)&gt;0,"NAO","SIM"))</f>
        <v/>
      </c>
    </row>
    <row r="875" ht="45.75" customHeight="1" s="60">
      <c r="A875" s="70" t="n">
        <v>1</v>
      </c>
      <c r="B875" s="71" t="n">
        <v>46181</v>
      </c>
      <c r="C875" s="71" t="n">
        <v>46209</v>
      </c>
      <c r="D875" s="70" t="n">
        <v>1659</v>
      </c>
      <c r="E875" s="72" t="inlineStr">
        <is>
          <t>ADRIANA DISTRIBUIDORA DE PRODUTOS ALIMEN</t>
        </is>
      </c>
      <c r="F875" s="70" t="n">
        <v>24</v>
      </c>
      <c r="G875" s="72" t="inlineStr">
        <is>
          <t>Compra a Prazo - Boletos</t>
        </is>
      </c>
      <c r="H875" s="70" t="n">
        <v>2110101</v>
      </c>
      <c r="I875" s="72" t="inlineStr">
        <is>
          <t>FORNECEDORES DE MERCADORIA</t>
        </is>
      </c>
      <c r="J875" s="70" t="n">
        <v>1223005</v>
      </c>
      <c r="L875" s="70" t="n">
        <v>876740</v>
      </c>
      <c r="M875" s="72" t="inlineStr">
        <is>
          <t>03</t>
        </is>
      </c>
      <c r="N875" s="72" t="inlineStr">
        <is>
          <t>NFE</t>
        </is>
      </c>
      <c r="P875" s="70" t="n">
        <v>103</v>
      </c>
      <c r="Q875" s="72" t="inlineStr">
        <is>
          <t>MILKA FRANCIS</t>
        </is>
      </c>
      <c r="R875" s="72" t="inlineStr">
        <is>
          <t>ESTOQUE DE MERCADORIAS</t>
        </is>
      </c>
      <c r="S875" s="70" t="n">
        <v>1130101</v>
      </c>
      <c r="T875" s="72" t="inlineStr">
        <is>
          <t>MERCADORIAS P/REVENDA</t>
        </is>
      </c>
      <c r="U875" s="73" t="n">
        <v>584.1799999999999</v>
      </c>
      <c r="W875" s="73" t="n">
        <v>0</v>
      </c>
      <c r="X875" s="72" t="inlineStr">
        <is>
          <t>NF 876740 -3 MILKA</t>
        </is>
      </c>
      <c r="Z875" s="59">
        <f>IF($T875="","",IFERROR(INDEX('Resumo Grupos'!$AC$3:$AC$200,MATCH($T875,'Resumo Grupos'!$AB$3:$AB$200,0)),"n/d"))</f>
        <v/>
      </c>
      <c r="AA875" s="59">
        <f>IF($T875="","",IF(COUNTIF('Resumo Grupos'!$AE$3:$AE$40,$T875)&gt;0,"NAO","SIM"))</f>
        <v/>
      </c>
    </row>
    <row r="876" ht="36.75" customHeight="1" s="60">
      <c r="A876" s="70" t="n">
        <v>1</v>
      </c>
      <c r="B876" s="71" t="n">
        <v>46188</v>
      </c>
      <c r="C876" s="71" t="n">
        <v>46209</v>
      </c>
      <c r="D876" s="70" t="n">
        <v>1830</v>
      </c>
      <c r="E876" s="72" t="inlineStr">
        <is>
          <t>NL SERVICOS MEDICOS LTDA</t>
        </is>
      </c>
      <c r="F876" s="70" t="n">
        <v>24</v>
      </c>
      <c r="G876" s="72" t="inlineStr">
        <is>
          <t>Compra a Prazo - Boletos</t>
        </is>
      </c>
      <c r="H876" s="70" t="n">
        <v>2110405</v>
      </c>
      <c r="I876" s="72" t="inlineStr">
        <is>
          <t>CONTAS A PAGAR</t>
        </is>
      </c>
      <c r="J876" s="70" t="n">
        <v>1256576</v>
      </c>
      <c r="L876" s="70" t="n">
        <v>857</v>
      </c>
      <c r="M876" s="72" t="inlineStr">
        <is>
          <t>01</t>
        </is>
      </c>
      <c r="N876" s="72" t="inlineStr">
        <is>
          <t>AVU</t>
        </is>
      </c>
      <c r="P876" s="70" t="n">
        <v>101</v>
      </c>
      <c r="Q876" s="72" t="inlineStr">
        <is>
          <t>KEILA LIMA</t>
        </is>
      </c>
      <c r="R876" s="72" t="inlineStr">
        <is>
          <t>DESPESAS COM PESSOAL</t>
        </is>
      </c>
      <c r="S876" s="70" t="n">
        <v>4210319</v>
      </c>
      <c r="T876" s="72" t="inlineStr">
        <is>
          <t>ASO FUNCIONARIOS</t>
        </is>
      </c>
      <c r="U876" s="73" t="n">
        <v>438</v>
      </c>
      <c r="W876" s="73" t="n">
        <v>0</v>
      </c>
      <c r="X876" s="72" t="inlineStr">
        <is>
          <t>ASOS FUNC MO1 01/26 A 03/26 - KEILA</t>
        </is>
      </c>
      <c r="Z876" s="59">
        <f>IF($T876="","",IFERROR(INDEX('Resumo Grupos'!$AC$3:$AC$200,MATCH($T876,'Resumo Grupos'!$AB$3:$AB$200,0)),"n/d"))</f>
        <v/>
      </c>
      <c r="AA876" s="59">
        <f>IF($T876="","",IF(COUNTIF('Resumo Grupos'!$AE$3:$AE$40,$T876)&gt;0,"NAO","SIM"))</f>
        <v/>
      </c>
    </row>
    <row r="877" ht="36.75" customHeight="1" s="60">
      <c r="A877" s="70" t="n">
        <v>1</v>
      </c>
      <c r="B877" s="71" t="n">
        <v>46188</v>
      </c>
      <c r="C877" s="71" t="n">
        <v>46209</v>
      </c>
      <c r="D877" s="70" t="n">
        <v>1637</v>
      </c>
      <c r="E877" s="72" t="inlineStr">
        <is>
          <t>ATACADAO S.A.</t>
        </is>
      </c>
      <c r="F877" s="70" t="n">
        <v>24</v>
      </c>
      <c r="G877" s="72" t="inlineStr">
        <is>
          <t>Compra a Prazo - Boletos</t>
        </is>
      </c>
      <c r="H877" s="70" t="n">
        <v>2110101</v>
      </c>
      <c r="I877" s="72" t="inlineStr">
        <is>
          <t>FORNECEDORES DE MERCADORIA</t>
        </is>
      </c>
      <c r="J877" s="70" t="n">
        <v>1256797</v>
      </c>
      <c r="L877" s="70" t="n">
        <v>1891097</v>
      </c>
      <c r="M877" s="72" t="inlineStr">
        <is>
          <t>01</t>
        </is>
      </c>
      <c r="N877" s="72" t="inlineStr">
        <is>
          <t>NFE</t>
        </is>
      </c>
      <c r="P877" s="70" t="n">
        <v>103</v>
      </c>
      <c r="Q877" s="72" t="inlineStr">
        <is>
          <t>MILKA FRANCIS</t>
        </is>
      </c>
      <c r="R877" s="72" t="inlineStr">
        <is>
          <t>ESTOQUE DE MERCADORIAS</t>
        </is>
      </c>
      <c r="S877" s="70" t="n">
        <v>1130101</v>
      </c>
      <c r="T877" s="72" t="inlineStr">
        <is>
          <t>MERCADORIAS P/REVENDA</t>
        </is>
      </c>
      <c r="U877" s="73" t="n">
        <v>954.39</v>
      </c>
      <c r="W877" s="73" t="n">
        <v>0</v>
      </c>
      <c r="X877" s="72" t="inlineStr">
        <is>
          <t>NF 1891097 - MILKA</t>
        </is>
      </c>
      <c r="Z877" s="59">
        <f>IF($T877="","",IFERROR(INDEX('Resumo Grupos'!$AC$3:$AC$200,MATCH($T877,'Resumo Grupos'!$AB$3:$AB$200,0)),"n/d"))</f>
        <v/>
      </c>
      <c r="AA877" s="59">
        <f>IF($T877="","",IF(COUNTIF('Resumo Grupos'!$AE$3:$AE$40,$T877)&gt;0,"NAO","SIM"))</f>
        <v/>
      </c>
    </row>
    <row r="878" ht="45.75" customHeight="1" s="60">
      <c r="A878" s="70" t="n">
        <v>1</v>
      </c>
      <c r="B878" s="71" t="n">
        <v>46189</v>
      </c>
      <c r="C878" s="71" t="n">
        <v>46209</v>
      </c>
      <c r="D878" s="70" t="n">
        <v>1664</v>
      </c>
      <c r="E878" s="72" t="inlineStr">
        <is>
          <t>AMERICANA DISTRIBUIDORA DE BEBIDAS E MERCADORIAS LTDA</t>
        </is>
      </c>
      <c r="F878" s="70" t="n">
        <v>24</v>
      </c>
      <c r="G878" s="72" t="inlineStr">
        <is>
          <t>Compra a Prazo - Boletos</t>
        </is>
      </c>
      <c r="H878" s="70" t="n">
        <v>2110101</v>
      </c>
      <c r="I878" s="72" t="inlineStr">
        <is>
          <t>FORNECEDORES DE MERCADORIA</t>
        </is>
      </c>
      <c r="J878" s="70" t="n">
        <v>1261009</v>
      </c>
      <c r="L878" s="70" t="n">
        <v>77381</v>
      </c>
      <c r="M878" s="72" t="inlineStr">
        <is>
          <t>01</t>
        </is>
      </c>
      <c r="N878" s="72" t="inlineStr">
        <is>
          <t>NFE</t>
        </is>
      </c>
      <c r="P878" s="70" t="n">
        <v>103</v>
      </c>
      <c r="Q878" s="72" t="inlineStr">
        <is>
          <t>MILKA FRANCIS</t>
        </is>
      </c>
      <c r="R878" s="72" t="inlineStr">
        <is>
          <t>ESTOQUE DE MERCADORIAS</t>
        </is>
      </c>
      <c r="S878" s="70" t="n">
        <v>1130101</v>
      </c>
      <c r="T878" s="72" t="inlineStr">
        <is>
          <t>MERCADORIAS P/REVENDA</t>
        </is>
      </c>
      <c r="U878" s="73" t="n">
        <v>2275.2</v>
      </c>
      <c r="W878" s="73" t="n">
        <v>0</v>
      </c>
      <c r="X878" s="72" t="inlineStr">
        <is>
          <t>NF 77381 BALLY - MILKA</t>
        </is>
      </c>
      <c r="Z878" s="59">
        <f>IF($T878="","",IFERROR(INDEX('Resumo Grupos'!$AC$3:$AC$200,MATCH($T878,'Resumo Grupos'!$AB$3:$AB$200,0)),"n/d"))</f>
        <v/>
      </c>
      <c r="AA878" s="59">
        <f>IF($T878="","",IF(COUNTIF('Resumo Grupos'!$AE$3:$AE$40,$T878)&gt;0,"NAO","SIM"))</f>
        <v/>
      </c>
    </row>
    <row r="879" ht="36.75" customHeight="1" s="60">
      <c r="A879" s="70" t="n">
        <v>1</v>
      </c>
      <c r="B879" s="71" t="n">
        <v>46190</v>
      </c>
      <c r="C879" s="71" t="n">
        <v>46209</v>
      </c>
      <c r="D879" s="70" t="n">
        <v>1196</v>
      </c>
      <c r="E879" s="72" t="inlineStr">
        <is>
          <t>VICTORIA COMERCIO INTERNACIONAL DE ALIME</t>
        </is>
      </c>
      <c r="F879" s="70" t="n">
        <v>24</v>
      </c>
      <c r="G879" s="72" t="inlineStr">
        <is>
          <t>Compra a Prazo - Boletos</t>
        </is>
      </c>
      <c r="H879" s="70" t="n">
        <v>2110101</v>
      </c>
      <c r="I879" s="72" t="inlineStr">
        <is>
          <t>FORNECEDORES DE MERCADORIA</t>
        </is>
      </c>
      <c r="J879" s="70" t="n">
        <v>1265535</v>
      </c>
      <c r="L879" s="70" t="n">
        <v>11722</v>
      </c>
      <c r="M879" s="72" t="inlineStr">
        <is>
          <t>02</t>
        </is>
      </c>
      <c r="N879" s="72" t="inlineStr">
        <is>
          <t>NFE</t>
        </is>
      </c>
      <c r="P879" s="70" t="n">
        <v>103</v>
      </c>
      <c r="Q879" s="72" t="inlineStr">
        <is>
          <t>MILKA FRANCIS</t>
        </is>
      </c>
      <c r="R879" s="72" t="inlineStr">
        <is>
          <t>ESTOQUE DE MERCADORIAS</t>
        </is>
      </c>
      <c r="S879" s="70" t="n">
        <v>1130101</v>
      </c>
      <c r="T879" s="72" t="inlineStr">
        <is>
          <t>MERCADORIAS P/REVENDA</t>
        </is>
      </c>
      <c r="U879" s="73" t="n">
        <v>642.15</v>
      </c>
      <c r="W879" s="73" t="n">
        <v>0</v>
      </c>
      <c r="X879" s="72" t="inlineStr">
        <is>
          <t>12298-B/B  NF11722 - MILKA</t>
        </is>
      </c>
      <c r="Z879" s="59">
        <f>IF($T879="","",IFERROR(INDEX('Resumo Grupos'!$AC$3:$AC$200,MATCH($T879,'Resumo Grupos'!$AB$3:$AB$200,0)),"n/d"))</f>
        <v/>
      </c>
      <c r="AA879" s="59">
        <f>IF($T879="","",IF(COUNTIF('Resumo Grupos'!$AE$3:$AE$40,$T879)&gt;0,"NAO","SIM"))</f>
        <v/>
      </c>
    </row>
    <row r="880" ht="45.75" customHeight="1" s="60">
      <c r="A880" s="70" t="n">
        <v>1</v>
      </c>
      <c r="B880" s="71" t="n">
        <v>46190</v>
      </c>
      <c r="C880" s="71" t="n">
        <v>46209</v>
      </c>
      <c r="D880" s="70" t="n">
        <v>1699</v>
      </c>
      <c r="E880" s="72" t="inlineStr">
        <is>
          <t>L S M COMERCIO DE ALIMENTOS E NAVEGACAO</t>
        </is>
      </c>
      <c r="F880" s="70" t="n">
        <v>24</v>
      </c>
      <c r="G880" s="72" t="inlineStr">
        <is>
          <t>Compra a Prazo - Boletos</t>
        </is>
      </c>
      <c r="H880" s="70" t="n">
        <v>2110101</v>
      </c>
      <c r="I880" s="72" t="inlineStr">
        <is>
          <t>FORNECEDORES DE MERCADORIA</t>
        </is>
      </c>
      <c r="J880" s="70" t="n">
        <v>1265996</v>
      </c>
      <c r="L880" s="70" t="n">
        <v>304778</v>
      </c>
      <c r="M880" s="72" t="inlineStr">
        <is>
          <t>02</t>
        </is>
      </c>
      <c r="N880" s="72" t="inlineStr">
        <is>
          <t>NFE</t>
        </is>
      </c>
      <c r="P880" s="70" t="n">
        <v>103</v>
      </c>
      <c r="Q880" s="72" t="inlineStr">
        <is>
          <t>MILKA FRANCIS</t>
        </is>
      </c>
      <c r="R880" s="72" t="inlineStr">
        <is>
          <t>ESTOQUE DE MERCADORIAS</t>
        </is>
      </c>
      <c r="S880" s="70" t="n">
        <v>1130101</v>
      </c>
      <c r="T880" s="72" t="inlineStr">
        <is>
          <t>MERCADORIAS P/REVENDA</t>
        </is>
      </c>
      <c r="U880" s="73" t="n">
        <v>375.5</v>
      </c>
      <c r="W880" s="73" t="n">
        <v>0</v>
      </c>
      <c r="X880" s="72" t="inlineStr">
        <is>
          <t>NF 304778 -2 MILKA</t>
        </is>
      </c>
      <c r="Z880" s="59">
        <f>IF($T880="","",IFERROR(INDEX('Resumo Grupos'!$AC$3:$AC$200,MATCH($T880,'Resumo Grupos'!$AB$3:$AB$200,0)),"n/d"))</f>
        <v/>
      </c>
      <c r="AA880" s="59">
        <f>IF($T880="","",IF(COUNTIF('Resumo Grupos'!$AE$3:$AE$40,$T880)&gt;0,"NAO","SIM"))</f>
        <v/>
      </c>
    </row>
    <row r="881" ht="54.75" customHeight="1" s="60">
      <c r="A881" s="70" t="n">
        <v>1</v>
      </c>
      <c r="B881" s="71" t="n">
        <v>46192</v>
      </c>
      <c r="C881" s="71" t="n">
        <v>46209</v>
      </c>
      <c r="D881" s="70" t="n">
        <v>957</v>
      </c>
      <c r="E881" s="72" t="inlineStr">
        <is>
          <t>FUNNY PET DISTRIBUIDORA DE ALIMENTOS PAR</t>
        </is>
      </c>
      <c r="F881" s="70" t="n">
        <v>24</v>
      </c>
      <c r="G881" s="72" t="inlineStr">
        <is>
          <t>Compra a Prazo - Boletos</t>
        </is>
      </c>
      <c r="H881" s="70" t="n">
        <v>2110101</v>
      </c>
      <c r="I881" s="72" t="inlineStr">
        <is>
          <t>FORNECEDORES DE MERCADORIA</t>
        </is>
      </c>
      <c r="J881" s="70" t="n">
        <v>1272947</v>
      </c>
      <c r="L881" s="70" t="n">
        <v>20352</v>
      </c>
      <c r="M881" s="72" t="inlineStr">
        <is>
          <t>01</t>
        </is>
      </c>
      <c r="N881" s="72" t="inlineStr">
        <is>
          <t>NFE</t>
        </is>
      </c>
      <c r="P881" s="70" t="n">
        <v>103</v>
      </c>
      <c r="Q881" s="72" t="inlineStr">
        <is>
          <t>MILKA FRANCIS</t>
        </is>
      </c>
      <c r="R881" s="72" t="inlineStr">
        <is>
          <t>ESTOQUE DE MERCADORIAS</t>
        </is>
      </c>
      <c r="S881" s="70" t="n">
        <v>1130101</v>
      </c>
      <c r="T881" s="72" t="inlineStr">
        <is>
          <t>MERCADORIAS P/REVENDA</t>
        </is>
      </c>
      <c r="U881" s="73" t="n">
        <v>1263.3</v>
      </c>
      <c r="W881" s="73" t="n">
        <v>0</v>
      </c>
      <c r="X881" s="72" t="inlineStr">
        <is>
          <t>NF 20352-1 MILKA</t>
        </is>
      </c>
      <c r="Z881" s="59">
        <f>IF($T881="","",IFERROR(INDEX('Resumo Grupos'!$AC$3:$AC$200,MATCH($T881,'Resumo Grupos'!$AB$3:$AB$200,0)),"n/d"))</f>
        <v/>
      </c>
      <c r="AA881" s="59">
        <f>IF($T881="","",IF(COUNTIF('Resumo Grupos'!$AE$3:$AE$40,$T881)&gt;0,"NAO","SIM"))</f>
        <v/>
      </c>
    </row>
    <row r="882" ht="36.75" customHeight="1" s="60">
      <c r="A882" s="70" t="n">
        <v>1</v>
      </c>
      <c r="B882" s="71" t="n">
        <v>46195</v>
      </c>
      <c r="C882" s="71" t="n">
        <v>46209</v>
      </c>
      <c r="D882" s="70" t="n">
        <v>1659</v>
      </c>
      <c r="E882" s="72" t="inlineStr">
        <is>
          <t>ADRIANA DISTRIBUIDORA DE PRODUTOS ALIMEN</t>
        </is>
      </c>
      <c r="F882" s="70" t="n">
        <v>24</v>
      </c>
      <c r="G882" s="72" t="inlineStr">
        <is>
          <t>Compra a Prazo - Boletos</t>
        </is>
      </c>
      <c r="H882" s="70" t="n">
        <v>2110101</v>
      </c>
      <c r="I882" s="72" t="inlineStr">
        <is>
          <t>FORNECEDORES DE MERCADORIA</t>
        </is>
      </c>
      <c r="J882" s="70" t="n">
        <v>1289564</v>
      </c>
      <c r="L882" s="70" t="n">
        <v>880067</v>
      </c>
      <c r="M882" s="72" t="inlineStr">
        <is>
          <t>01</t>
        </is>
      </c>
      <c r="N882" s="72" t="inlineStr">
        <is>
          <t>NFE</t>
        </is>
      </c>
      <c r="P882" s="70" t="n">
        <v>103</v>
      </c>
      <c r="Q882" s="72" t="inlineStr">
        <is>
          <t>MILKA FRANCIS</t>
        </is>
      </c>
      <c r="R882" s="72" t="inlineStr">
        <is>
          <t>ESTOQUE DE MERCADORIAS</t>
        </is>
      </c>
      <c r="S882" s="70" t="n">
        <v>1130101</v>
      </c>
      <c r="T882" s="72" t="inlineStr">
        <is>
          <t>MERCADORIAS P/REVENDA</t>
        </is>
      </c>
      <c r="U882" s="73" t="n">
        <v>1044</v>
      </c>
      <c r="W882" s="73" t="n">
        <v>0</v>
      </c>
      <c r="X882" s="72" t="inlineStr">
        <is>
          <t>NF 880067 - MILKA</t>
        </is>
      </c>
      <c r="Z882" s="59">
        <f>IF($T882="","",IFERROR(INDEX('Resumo Grupos'!$AC$3:$AC$200,MATCH($T882,'Resumo Grupos'!$AB$3:$AB$200,0)),"n/d"))</f>
        <v/>
      </c>
      <c r="AA882" s="59">
        <f>IF($T882="","",IF(COUNTIF('Resumo Grupos'!$AE$3:$AE$40,$T882)&gt;0,"NAO","SIM"))</f>
        <v/>
      </c>
    </row>
    <row r="883" ht="36.75" customHeight="1" s="60">
      <c r="A883" s="70" t="n">
        <v>1</v>
      </c>
      <c r="B883" s="71" t="n">
        <v>46195</v>
      </c>
      <c r="C883" s="71" t="n">
        <v>46209</v>
      </c>
      <c r="D883" s="70" t="n">
        <v>1637</v>
      </c>
      <c r="E883" s="72" t="inlineStr">
        <is>
          <t>ATACADAO S.A.</t>
        </is>
      </c>
      <c r="F883" s="70" t="n">
        <v>24</v>
      </c>
      <c r="G883" s="72" t="inlineStr">
        <is>
          <t>Compra a Prazo - Boletos</t>
        </is>
      </c>
      <c r="H883" s="70" t="n">
        <v>2110101</v>
      </c>
      <c r="I883" s="72" t="inlineStr">
        <is>
          <t>FORNECEDORES DE MERCADORIA</t>
        </is>
      </c>
      <c r="J883" s="70" t="n">
        <v>1291486</v>
      </c>
      <c r="L883" s="70" t="n">
        <v>1894396</v>
      </c>
      <c r="M883" s="72" t="inlineStr">
        <is>
          <t>01</t>
        </is>
      </c>
      <c r="N883" s="72" t="inlineStr">
        <is>
          <t>NFE</t>
        </is>
      </c>
      <c r="P883" s="70" t="n">
        <v>103</v>
      </c>
      <c r="Q883" s="72" t="inlineStr">
        <is>
          <t>MILKA FRANCIS</t>
        </is>
      </c>
      <c r="R883" s="72" t="inlineStr">
        <is>
          <t>ESTOQUE DE MERCADORIAS</t>
        </is>
      </c>
      <c r="S883" s="70" t="n">
        <v>1130101</v>
      </c>
      <c r="T883" s="72" t="inlineStr">
        <is>
          <t>MERCADORIAS P/REVENDA</t>
        </is>
      </c>
      <c r="U883" s="73" t="n">
        <v>979.98</v>
      </c>
      <c r="W883" s="73" t="n">
        <v>0</v>
      </c>
      <c r="X883" s="72" t="inlineStr">
        <is>
          <t xml:space="preserve">NF 1894396 - MILKA </t>
        </is>
      </c>
      <c r="Z883" s="59">
        <f>IF($T883="","",IFERROR(INDEX('Resumo Grupos'!$AC$3:$AC$200,MATCH($T883,'Resumo Grupos'!$AB$3:$AB$200,0)),"n/d"))</f>
        <v/>
      </c>
      <c r="AA883" s="59">
        <f>IF($T883="","",IF(COUNTIF('Resumo Grupos'!$AE$3:$AE$40,$T883)&gt;0,"NAO","SIM"))</f>
        <v/>
      </c>
    </row>
    <row r="884" ht="45.75" customHeight="1" s="60">
      <c r="A884" s="70" t="n">
        <v>1</v>
      </c>
      <c r="B884" s="71" t="n">
        <v>46196</v>
      </c>
      <c r="C884" s="71" t="n">
        <v>46209</v>
      </c>
      <c r="D884" s="70" t="n">
        <v>1616</v>
      </c>
      <c r="E884" s="72" t="inlineStr">
        <is>
          <t>DURAES DISTRIBUIDORA DE ESTIVAS LTDA</t>
        </is>
      </c>
      <c r="F884" s="70" t="n">
        <v>24</v>
      </c>
      <c r="G884" s="72" t="inlineStr">
        <is>
          <t>Compra a Prazo - Boletos</t>
        </is>
      </c>
      <c r="H884" s="70" t="n">
        <v>2110101</v>
      </c>
      <c r="I884" s="72" t="inlineStr">
        <is>
          <t>FORNECEDORES DE MERCADORIA</t>
        </is>
      </c>
      <c r="J884" s="70" t="n">
        <v>1296447</v>
      </c>
      <c r="L884" s="70" t="n">
        <v>646740</v>
      </c>
      <c r="M884" s="72" t="inlineStr">
        <is>
          <t>01</t>
        </is>
      </c>
      <c r="N884" s="72" t="inlineStr">
        <is>
          <t>NFE</t>
        </is>
      </c>
      <c r="P884" s="70" t="n">
        <v>103</v>
      </c>
      <c r="Q884" s="72" t="inlineStr">
        <is>
          <t>MILKA FRANCIS</t>
        </is>
      </c>
      <c r="R884" s="72" t="inlineStr">
        <is>
          <t>ESTOQUE DE MERCADORIAS</t>
        </is>
      </c>
      <c r="S884" s="70" t="n">
        <v>1130101</v>
      </c>
      <c r="T884" s="72" t="inlineStr">
        <is>
          <t>MERCADORIAS P/REVENDA</t>
        </is>
      </c>
      <c r="U884" s="73" t="n">
        <v>211.68</v>
      </c>
      <c r="W884" s="73" t="n">
        <v>0</v>
      </c>
      <c r="X884" s="72" t="inlineStr">
        <is>
          <t>NF 646740 - MILKA</t>
        </is>
      </c>
      <c r="Z884" s="59">
        <f>IF($T884="","",IFERROR(INDEX('Resumo Grupos'!$AC$3:$AC$200,MATCH($T884,'Resumo Grupos'!$AB$3:$AB$200,0)),"n/d"))</f>
        <v/>
      </c>
      <c r="AA884" s="59">
        <f>IF($T884="","",IF(COUNTIF('Resumo Grupos'!$AE$3:$AE$40,$T884)&gt;0,"NAO","SIM"))</f>
        <v/>
      </c>
    </row>
    <row r="885" ht="36.75" customHeight="1" s="60">
      <c r="A885" s="70" t="n">
        <v>1</v>
      </c>
      <c r="B885" s="71" t="n">
        <v>46202</v>
      </c>
      <c r="C885" s="71" t="n">
        <v>46209</v>
      </c>
      <c r="D885" s="70" t="n">
        <v>1614</v>
      </c>
      <c r="E885" s="72" t="inlineStr">
        <is>
          <t>C. R. PARENTE ABREU</t>
        </is>
      </c>
      <c r="F885" s="70" t="n">
        <v>24</v>
      </c>
      <c r="G885" s="72" t="inlineStr">
        <is>
          <t>Compra a Prazo - Boletos</t>
        </is>
      </c>
      <c r="H885" s="70" t="n">
        <v>2110101</v>
      </c>
      <c r="I885" s="72" t="inlineStr">
        <is>
          <t>FORNECEDORES DE MERCADORIA</t>
        </is>
      </c>
      <c r="J885" s="70" t="n">
        <v>1321750</v>
      </c>
      <c r="L885" s="70" t="n">
        <v>11328</v>
      </c>
      <c r="M885" s="72" t="inlineStr">
        <is>
          <t>02</t>
        </is>
      </c>
      <c r="N885" s="72" t="inlineStr">
        <is>
          <t>NFE</t>
        </is>
      </c>
      <c r="P885" s="70" t="n">
        <v>103</v>
      </c>
      <c r="Q885" s="72" t="inlineStr">
        <is>
          <t>MILKA FRANCIS</t>
        </is>
      </c>
      <c r="R885" s="72" t="inlineStr">
        <is>
          <t>ESTOQUE DE MERCADORIAS</t>
        </is>
      </c>
      <c r="S885" s="70" t="n">
        <v>1130101</v>
      </c>
      <c r="T885" s="72" t="inlineStr">
        <is>
          <t>MERCADORIAS P/REVENDA</t>
        </is>
      </c>
      <c r="U885" s="73" t="n">
        <v>527.41</v>
      </c>
      <c r="W885" s="73" t="n">
        <v>0</v>
      </c>
      <c r="X885" s="72" t="inlineStr">
        <is>
          <t>NF 11328-2 MILKA</t>
        </is>
      </c>
      <c r="Z885" s="59">
        <f>IF($T885="","",IFERROR(INDEX('Resumo Grupos'!$AC$3:$AC$200,MATCH($T885,'Resumo Grupos'!$AB$3:$AB$200,0)),"n/d"))</f>
        <v/>
      </c>
      <c r="AA885" s="59">
        <f>IF($T885="","",IF(COUNTIF('Resumo Grupos'!$AE$3:$AE$40,$T885)&gt;0,"NAO","SIM"))</f>
        <v/>
      </c>
    </row>
    <row r="886" ht="36.75" customHeight="1" s="60">
      <c r="A886" s="70" t="n">
        <v>1</v>
      </c>
      <c r="B886" s="71" t="n">
        <v>46203</v>
      </c>
      <c r="C886" s="71" t="n">
        <v>46209</v>
      </c>
      <c r="D886" s="70" t="n">
        <v>1625</v>
      </c>
      <c r="E886" s="72" t="inlineStr">
        <is>
          <t>MAXFRI DISTRIUIDORA LTDA</t>
        </is>
      </c>
      <c r="F886" s="70" t="n">
        <v>24</v>
      </c>
      <c r="G886" s="72" t="inlineStr">
        <is>
          <t>Compra a Prazo - Boletos</t>
        </is>
      </c>
      <c r="H886" s="70" t="n">
        <v>2110101</v>
      </c>
      <c r="I886" s="72" t="inlineStr">
        <is>
          <t>FORNECEDORES DE MERCADORIA</t>
        </is>
      </c>
      <c r="J886" s="70" t="n">
        <v>1329501</v>
      </c>
      <c r="L886" s="70" t="n">
        <v>14579</v>
      </c>
      <c r="M886" s="72" t="inlineStr">
        <is>
          <t>01</t>
        </is>
      </c>
      <c r="N886" s="72" t="inlineStr">
        <is>
          <t>NFE</t>
        </is>
      </c>
      <c r="P886" s="70" t="n">
        <v>103</v>
      </c>
      <c r="Q886" s="72" t="inlineStr">
        <is>
          <t>MILKA FRANCIS</t>
        </is>
      </c>
      <c r="R886" s="72" t="inlineStr">
        <is>
          <t>ESTOQUE DE MERCADORIAS</t>
        </is>
      </c>
      <c r="S886" s="70" t="n">
        <v>1130101</v>
      </c>
      <c r="T886" s="72" t="inlineStr">
        <is>
          <t>MERCADORIAS P/REVENDA</t>
        </is>
      </c>
      <c r="U886" s="73" t="n">
        <v>6251</v>
      </c>
      <c r="W886" s="73" t="n">
        <v>0</v>
      </c>
      <c r="X886" s="72" t="inlineStr">
        <is>
          <t>NF14579 - MILKA</t>
        </is>
      </c>
      <c r="Z886" s="59">
        <f>IF($T886="","",IFERROR(INDEX('Resumo Grupos'!$AC$3:$AC$200,MATCH($T886,'Resumo Grupos'!$AB$3:$AB$200,0)),"n/d"))</f>
        <v/>
      </c>
      <c r="AA886" s="59">
        <f>IF($T886="","",IF(COUNTIF('Resumo Grupos'!$AE$3:$AE$40,$T886)&gt;0,"NAO","SIM"))</f>
        <v/>
      </c>
    </row>
    <row r="887" ht="36.75" customHeight="1" s="60">
      <c r="A887" s="70" t="n">
        <v>1</v>
      </c>
      <c r="B887" s="71" t="n">
        <v>46204</v>
      </c>
      <c r="C887" s="71" t="n">
        <v>46209</v>
      </c>
      <c r="D887" s="70" t="n">
        <v>1899</v>
      </c>
      <c r="E887" s="72" t="inlineStr">
        <is>
          <t>PANIFICADORA E CONFEITARIA REAL MADRI LTDA</t>
        </is>
      </c>
      <c r="F887" s="70" t="n">
        <v>24</v>
      </c>
      <c r="G887" s="72" t="inlineStr">
        <is>
          <t>Compra a Prazo - Boletos</t>
        </is>
      </c>
      <c r="H887" s="70" t="n">
        <v>2110101</v>
      </c>
      <c r="I887" s="72" t="inlineStr">
        <is>
          <t>FORNECEDORES DE MERCADORIA</t>
        </is>
      </c>
      <c r="J887" s="70" t="n">
        <v>1333858</v>
      </c>
      <c r="L887" s="70" t="n">
        <v>686</v>
      </c>
      <c r="M887" s="72" t="inlineStr">
        <is>
          <t>01</t>
        </is>
      </c>
      <c r="N887" s="72" t="inlineStr">
        <is>
          <t>NFE</t>
        </is>
      </c>
      <c r="P887" s="70" t="n">
        <v>103</v>
      </c>
      <c r="Q887" s="72" t="inlineStr">
        <is>
          <t>MILKA FRANCIS</t>
        </is>
      </c>
      <c r="R887" s="72" t="inlineStr">
        <is>
          <t>ESTOQUE DE MERCADORIAS</t>
        </is>
      </c>
      <c r="S887" s="70" t="n">
        <v>1130101</v>
      </c>
      <c r="T887" s="72" t="inlineStr">
        <is>
          <t>MERCADORIAS P/REVENDA</t>
        </is>
      </c>
      <c r="U887" s="73" t="n">
        <v>202.5</v>
      </c>
      <c r="W887" s="73" t="n">
        <v>0</v>
      </c>
      <c r="X887" s="72" t="inlineStr">
        <is>
          <t>NF 686 - MILKA</t>
        </is>
      </c>
      <c r="Z887" s="59">
        <f>IF($T887="","",IFERROR(INDEX('Resumo Grupos'!$AC$3:$AC$200,MATCH($T887,'Resumo Grupos'!$AB$3:$AB$200,0)),"n/d"))</f>
        <v/>
      </c>
      <c r="AA887" s="59">
        <f>IF($T887="","",IF(COUNTIF('Resumo Grupos'!$AE$3:$AE$40,$T887)&gt;0,"NAO","SIM"))</f>
        <v/>
      </c>
    </row>
    <row r="888" ht="36.75" customHeight="1" s="60">
      <c r="A888" s="70" t="n">
        <v>1</v>
      </c>
      <c r="B888" s="71" t="n">
        <v>46204</v>
      </c>
      <c r="C888" s="71" t="n">
        <v>46209</v>
      </c>
      <c r="D888" s="70" t="n">
        <v>1292</v>
      </c>
      <c r="E888" s="72" t="inlineStr">
        <is>
          <t>SAO JOSE COMERCIO DE LATICINIOS E FRIOS</t>
        </is>
      </c>
      <c r="F888" s="70" t="n">
        <v>24</v>
      </c>
      <c r="G888" s="72" t="inlineStr">
        <is>
          <t>Compra a Prazo - Boletos</t>
        </is>
      </c>
      <c r="H888" s="70" t="n">
        <v>2110101</v>
      </c>
      <c r="I888" s="72" t="inlineStr">
        <is>
          <t>FORNECEDORES DE MERCADORIA</t>
        </is>
      </c>
      <c r="J888" s="70" t="n">
        <v>1333866</v>
      </c>
      <c r="L888" s="70" t="n">
        <v>3505</v>
      </c>
      <c r="M888" s="72" t="inlineStr">
        <is>
          <t>01</t>
        </is>
      </c>
      <c r="N888" s="72" t="inlineStr">
        <is>
          <t>NFE</t>
        </is>
      </c>
      <c r="P888" s="70" t="n">
        <v>103</v>
      </c>
      <c r="Q888" s="72" t="inlineStr">
        <is>
          <t>MILKA FRANCIS</t>
        </is>
      </c>
      <c r="R888" s="72" t="inlineStr">
        <is>
          <t>ESTOQUE DE MERCADORIAS</t>
        </is>
      </c>
      <c r="S888" s="70" t="n">
        <v>1130101</v>
      </c>
      <c r="T888" s="72" t="inlineStr">
        <is>
          <t>MERCADORIAS P/REVENDA</t>
        </is>
      </c>
      <c r="U888" s="73" t="n">
        <v>899</v>
      </c>
      <c r="W888" s="73" t="n">
        <v>0</v>
      </c>
      <c r="X888" s="72" t="inlineStr">
        <is>
          <t>NF 3505 SABORE FATIADO - MILKA</t>
        </is>
      </c>
      <c r="Z888" s="59">
        <f>IF($T888="","",IFERROR(INDEX('Resumo Grupos'!$AC$3:$AC$200,MATCH($T888,'Resumo Grupos'!$AB$3:$AB$200,0)),"n/d"))</f>
        <v/>
      </c>
      <c r="AA888" s="59">
        <f>IF($T888="","",IF(COUNTIF('Resumo Grupos'!$AE$3:$AE$40,$T888)&gt;0,"NAO","SIM"))</f>
        <v/>
      </c>
    </row>
    <row r="889" ht="45.75" customHeight="1" s="60">
      <c r="A889" s="70" t="n">
        <v>1</v>
      </c>
      <c r="B889" s="71" t="n">
        <v>46204</v>
      </c>
      <c r="C889" s="71" t="n">
        <v>46209</v>
      </c>
      <c r="D889" s="70" t="n">
        <v>1650</v>
      </c>
      <c r="E889" s="72" t="inlineStr">
        <is>
          <t>FRUTAL INDUSTRIA E COMERCIO LTDA</t>
        </is>
      </c>
      <c r="F889" s="70" t="n">
        <v>24</v>
      </c>
      <c r="G889" s="72" t="inlineStr">
        <is>
          <t>Compra a Prazo - Boletos</t>
        </is>
      </c>
      <c r="H889" s="70" t="n">
        <v>2110101</v>
      </c>
      <c r="I889" s="72" t="inlineStr">
        <is>
          <t>FORNECEDORES DE MERCADORIA</t>
        </is>
      </c>
      <c r="J889" s="70" t="n">
        <v>1334025</v>
      </c>
      <c r="L889" s="70" t="n">
        <v>224614</v>
      </c>
      <c r="M889" s="72" t="inlineStr">
        <is>
          <t>01</t>
        </is>
      </c>
      <c r="N889" s="72" t="inlineStr">
        <is>
          <t>NFE</t>
        </is>
      </c>
      <c r="P889" s="70" t="n">
        <v>103</v>
      </c>
      <c r="Q889" s="72" t="inlineStr">
        <is>
          <t>MILKA FRANCIS</t>
        </is>
      </c>
      <c r="R889" s="72" t="inlineStr">
        <is>
          <t>ESTOQUE DE MERCADORIAS</t>
        </is>
      </c>
      <c r="S889" s="70" t="n">
        <v>1130101</v>
      </c>
      <c r="T889" s="72" t="inlineStr">
        <is>
          <t>MERCADORIAS P/REVENDA</t>
        </is>
      </c>
      <c r="U889" s="73" t="n">
        <v>462.99</v>
      </c>
      <c r="W889" s="73" t="n">
        <v>0</v>
      </c>
      <c r="X889" s="72" t="inlineStr">
        <is>
          <t>NF 224614 - MILKA</t>
        </is>
      </c>
      <c r="Z889" s="59">
        <f>IF($T889="","",IFERROR(INDEX('Resumo Grupos'!$AC$3:$AC$200,MATCH($T889,'Resumo Grupos'!$AB$3:$AB$200,0)),"n/d"))</f>
        <v/>
      </c>
      <c r="AA889" s="59">
        <f>IF($T889="","",IF(COUNTIF('Resumo Grupos'!$AE$3:$AE$40,$T889)&gt;0,"NAO","SIM"))</f>
        <v/>
      </c>
    </row>
    <row r="890" ht="36.75" customHeight="1" s="60">
      <c r="A890" s="70" t="n">
        <v>1</v>
      </c>
      <c r="B890" s="71" t="n">
        <v>46204</v>
      </c>
      <c r="C890" s="71" t="n">
        <v>46209</v>
      </c>
      <c r="D890" s="70" t="n">
        <v>1357</v>
      </c>
      <c r="E890" s="72" t="inlineStr">
        <is>
          <t>DISPPAN DISTRIBUIDORA DE PRODUTOS PARA PANIFICACAO LTDA</t>
        </is>
      </c>
      <c r="F890" s="70" t="n">
        <v>24</v>
      </c>
      <c r="G890" s="72" t="inlineStr">
        <is>
          <t>Compra a Prazo - Boletos</t>
        </is>
      </c>
      <c r="H890" s="70" t="n">
        <v>2110102</v>
      </c>
      <c r="I890" s="72" t="inlineStr">
        <is>
          <t>OUTROS FORNECEDORES</t>
        </is>
      </c>
      <c r="J890" s="70" t="n">
        <v>1334239</v>
      </c>
      <c r="L890" s="70" t="n">
        <v>280092</v>
      </c>
      <c r="M890" s="72" t="inlineStr">
        <is>
          <t>01</t>
        </is>
      </c>
      <c r="N890" s="72" t="inlineStr">
        <is>
          <t>NFE</t>
        </is>
      </c>
      <c r="P890" s="70" t="n">
        <v>103</v>
      </c>
      <c r="Q890" s="72" t="inlineStr">
        <is>
          <t>MILKA FRANCIS</t>
        </is>
      </c>
      <c r="R890" s="72" t="inlineStr">
        <is>
          <t>DESPESAS OPERACIONAIS</t>
        </is>
      </c>
      <c r="S890" s="70" t="n">
        <v>4210204</v>
      </c>
      <c r="T890" s="72" t="inlineStr">
        <is>
          <t>MATERIAL DE CONSUMO</t>
        </is>
      </c>
      <c r="U890" s="73" t="n">
        <v>288.85</v>
      </c>
      <c r="W890" s="73" t="n">
        <v>0</v>
      </c>
      <c r="X890" s="72" t="inlineStr">
        <is>
          <t>NF 280092-1 MILKA</t>
        </is>
      </c>
      <c r="Z890" s="59">
        <f>IF($T890="","",IFERROR(INDEX('Resumo Grupos'!$AC$3:$AC$200,MATCH($T890,'Resumo Grupos'!$AB$3:$AB$200,0)),"n/d"))</f>
        <v/>
      </c>
      <c r="AA890" s="59">
        <f>IF($T890="","",IF(COUNTIF('Resumo Grupos'!$AE$3:$AE$40,$T890)&gt;0,"NAO","SIM"))</f>
        <v/>
      </c>
    </row>
    <row r="891" ht="36.75" customHeight="1" s="60">
      <c r="A891" s="70" t="n">
        <v>1</v>
      </c>
      <c r="B891" s="71" t="n">
        <v>46206</v>
      </c>
      <c r="C891" s="71" t="n">
        <v>46209</v>
      </c>
      <c r="D891" s="70" t="n">
        <v>1899</v>
      </c>
      <c r="E891" s="72" t="inlineStr">
        <is>
          <t>PANIFICADORA E CONFEITARIA REAL MADRI LTDA</t>
        </is>
      </c>
      <c r="F891" s="70" t="n">
        <v>24</v>
      </c>
      <c r="G891" s="72" t="inlineStr">
        <is>
          <t>Compra a Prazo - Boletos</t>
        </is>
      </c>
      <c r="H891" s="70" t="n">
        <v>2110101</v>
      </c>
      <c r="I891" s="72" t="inlineStr">
        <is>
          <t>FORNECEDORES DE MERCADORIA</t>
        </is>
      </c>
      <c r="J891" s="70" t="n">
        <v>1343556</v>
      </c>
      <c r="L891" s="70" t="n">
        <v>689</v>
      </c>
      <c r="M891" s="72" t="inlineStr">
        <is>
          <t>01</t>
        </is>
      </c>
      <c r="N891" s="72" t="inlineStr">
        <is>
          <t>NFE</t>
        </is>
      </c>
      <c r="P891" s="70" t="n">
        <v>103</v>
      </c>
      <c r="Q891" s="72" t="inlineStr">
        <is>
          <t>MILKA FRANCIS</t>
        </is>
      </c>
      <c r="R891" s="72" t="inlineStr">
        <is>
          <t>ESTOQUE DE MERCADORIAS</t>
        </is>
      </c>
      <c r="S891" s="70" t="n">
        <v>1130101</v>
      </c>
      <c r="T891" s="72" t="inlineStr">
        <is>
          <t>MERCADORIAS P/REVENDA</t>
        </is>
      </c>
      <c r="U891" s="73" t="n">
        <v>359.55</v>
      </c>
      <c r="W891" s="73" t="n">
        <v>0</v>
      </c>
      <c r="X891" s="72" t="inlineStr">
        <is>
          <t>NF 689 - MILKA</t>
        </is>
      </c>
      <c r="Z891" s="59">
        <f>IF($T891="","",IFERROR(INDEX('Resumo Grupos'!$AC$3:$AC$200,MATCH($T891,'Resumo Grupos'!$AB$3:$AB$200,0)),"n/d"))</f>
        <v/>
      </c>
      <c r="AA891" s="59">
        <f>IF($T891="","",IF(COUNTIF('Resumo Grupos'!$AE$3:$AE$40,$T891)&gt;0,"NAO","SIM"))</f>
        <v/>
      </c>
    </row>
    <row r="892" ht="36.75" customHeight="1" s="60">
      <c r="A892" s="70" t="n">
        <v>1</v>
      </c>
      <c r="B892" s="71" t="n">
        <v>46206</v>
      </c>
      <c r="C892" s="71" t="n">
        <v>46209</v>
      </c>
      <c r="D892" s="70" t="n">
        <v>1614</v>
      </c>
      <c r="E892" s="72" t="inlineStr">
        <is>
          <t>C. R. PARENTE ABREU</t>
        </is>
      </c>
      <c r="F892" s="70" t="n">
        <v>24</v>
      </c>
      <c r="G892" s="72" t="inlineStr">
        <is>
          <t>Compra a Prazo - Boletos</t>
        </is>
      </c>
      <c r="H892" s="70" t="n">
        <v>2110101</v>
      </c>
      <c r="I892" s="72" t="inlineStr">
        <is>
          <t>FORNECEDORES DE MERCADORIA</t>
        </is>
      </c>
      <c r="J892" s="70" t="n">
        <v>1346045</v>
      </c>
      <c r="L892" s="70" t="n">
        <v>11352</v>
      </c>
      <c r="M892" s="72" t="inlineStr">
        <is>
          <t>01</t>
        </is>
      </c>
      <c r="N892" s="72" t="inlineStr">
        <is>
          <t>NFE</t>
        </is>
      </c>
      <c r="P892" s="70" t="n">
        <v>103</v>
      </c>
      <c r="Q892" s="72" t="inlineStr">
        <is>
          <t>MILKA FRANCIS</t>
        </is>
      </c>
      <c r="R892" s="72" t="inlineStr">
        <is>
          <t>ESTOQUE DE MERCADORIAS</t>
        </is>
      </c>
      <c r="S892" s="70" t="n">
        <v>1130101</v>
      </c>
      <c r="T892" s="72" t="inlineStr">
        <is>
          <t>MERCADORIAS P/REVENDA</t>
        </is>
      </c>
      <c r="U892" s="73" t="n">
        <v>406.93</v>
      </c>
      <c r="W892" s="73" t="n">
        <v>0</v>
      </c>
      <c r="X892" s="72" t="inlineStr">
        <is>
          <t>NF 11352-1 MILKA</t>
        </is>
      </c>
      <c r="Z892" s="59">
        <f>IF($T892="","",IFERROR(INDEX('Resumo Grupos'!$AC$3:$AC$200,MATCH($T892,'Resumo Grupos'!$AB$3:$AB$200,0)),"n/d"))</f>
        <v/>
      </c>
      <c r="AA892" s="59">
        <f>IF($T892="","",IF(COUNTIF('Resumo Grupos'!$AE$3:$AE$40,$T892)&gt;0,"NAO","SIM"))</f>
        <v/>
      </c>
    </row>
    <row r="893" ht="36.75" customHeight="1" s="60">
      <c r="A893" s="70" t="n">
        <v>1</v>
      </c>
      <c r="B893" s="71" t="n">
        <v>46196</v>
      </c>
      <c r="C893" s="71" t="n">
        <v>46209</v>
      </c>
      <c r="D893" s="70" t="n">
        <v>1666</v>
      </c>
      <c r="E893" s="72" t="inlineStr">
        <is>
          <t>SOUZA CRUZ LTDA.</t>
        </is>
      </c>
      <c r="F893" s="70" t="n">
        <v>24</v>
      </c>
      <c r="G893" s="72" t="inlineStr">
        <is>
          <t>Compra a Prazo - Boletos</t>
        </is>
      </c>
      <c r="H893" s="70" t="n">
        <v>2110101</v>
      </c>
      <c r="I893" s="72" t="inlineStr">
        <is>
          <t>FORNECEDORES DE MERCADORIA</t>
        </is>
      </c>
      <c r="J893" s="70" t="n">
        <v>1293782</v>
      </c>
      <c r="L893" s="70" t="n">
        <v>564351</v>
      </c>
      <c r="M893" s="72" t="inlineStr">
        <is>
          <t>02</t>
        </is>
      </c>
      <c r="N893" s="72" t="inlineStr">
        <is>
          <t>NFE</t>
        </is>
      </c>
      <c r="P893" s="70" t="n">
        <v>103</v>
      </c>
      <c r="Q893" s="72" t="inlineStr">
        <is>
          <t>MILKA FRANCIS</t>
        </is>
      </c>
      <c r="R893" s="72" t="inlineStr">
        <is>
          <t>ESTOQUE DE MERCADORIAS</t>
        </is>
      </c>
      <c r="S893" s="70" t="n">
        <v>1130101</v>
      </c>
      <c r="T893" s="72" t="inlineStr">
        <is>
          <t>MERCADORIAS P/REVENDA</t>
        </is>
      </c>
      <c r="U893" s="73" t="n">
        <v>7606.68</v>
      </c>
      <c r="W893" s="73" t="n">
        <v>0</v>
      </c>
      <c r="X893" s="72" t="inlineStr">
        <is>
          <t>NF 564351-02 MILKA</t>
        </is>
      </c>
      <c r="Z893" s="59">
        <f>IF($T893="","",IFERROR(INDEX('Resumo Grupos'!$AC$3:$AC$200,MATCH($T893,'Resumo Grupos'!$AB$3:$AB$200,0)),"n/d"))</f>
        <v/>
      </c>
      <c r="AA893" s="59">
        <f>IF($T893="","",IF(COUNTIF('Resumo Grupos'!$AE$3:$AE$40,$T893)&gt;0,"NAO","SIM"))</f>
        <v/>
      </c>
    </row>
    <row r="894" ht="45.75" customHeight="1" s="60">
      <c r="A894" s="70" t="n">
        <v>1</v>
      </c>
      <c r="B894" s="71" t="n">
        <v>46209</v>
      </c>
      <c r="C894" s="71" t="n">
        <v>46209</v>
      </c>
      <c r="D894" s="70" t="n">
        <v>714</v>
      </c>
      <c r="E894" s="72" t="inlineStr">
        <is>
          <t>CARMEM ELIZA</t>
        </is>
      </c>
      <c r="F894" s="70" t="n">
        <v>34</v>
      </c>
      <c r="G894" s="72" t="inlineStr">
        <is>
          <t>Transferencia Pix</t>
        </is>
      </c>
      <c r="H894" s="70" t="n">
        <v>2110405</v>
      </c>
      <c r="I894" s="72" t="inlineStr">
        <is>
          <t>CONTAS A PAGAR</t>
        </is>
      </c>
      <c r="J894" s="70" t="n">
        <v>1207135</v>
      </c>
      <c r="L894" s="70" t="n">
        <v>502146</v>
      </c>
      <c r="M894" s="72" t="inlineStr">
        <is>
          <t>02</t>
        </is>
      </c>
      <c r="N894" s="72" t="inlineStr">
        <is>
          <t>AVU</t>
        </is>
      </c>
      <c r="P894" s="70" t="n">
        <v>102</v>
      </c>
      <c r="Q894" s="72" t="inlineStr">
        <is>
          <t>ANDREZA ANDRADE</t>
        </is>
      </c>
      <c r="R894" s="72" t="inlineStr">
        <is>
          <t>DESPESAS COMERCIAIS</t>
        </is>
      </c>
      <c r="S894" s="70" t="n">
        <v>4210111</v>
      </c>
      <c r="T894" s="72" t="inlineStr">
        <is>
          <t>ALUGUEIS PAGOS A PF</t>
        </is>
      </c>
      <c r="U894" s="73" t="n">
        <v>3000</v>
      </c>
      <c r="W894" s="73" t="n">
        <v>0</v>
      </c>
      <c r="X894" s="72" t="inlineStr">
        <is>
          <t xml:space="preserve">ALUGUEL MO1 - </t>
        </is>
      </c>
      <c r="Z894" s="59">
        <f>IF($T894="","",IFERROR(INDEX('Resumo Grupos'!$AC$3:$AC$200,MATCH($T894,'Resumo Grupos'!$AB$3:$AB$200,0)),"n/d"))</f>
        <v/>
      </c>
      <c r="AA894" s="59">
        <f>IF($T894="","",IF(COUNTIF('Resumo Grupos'!$AE$3:$AE$40,$T894)&gt;0,"NAO","SIM"))</f>
        <v/>
      </c>
    </row>
    <row r="895" ht="45.75" customHeight="1" s="60">
      <c r="A895" s="70" t="n">
        <v>1</v>
      </c>
      <c r="B895" s="71" t="n">
        <v>46209</v>
      </c>
      <c r="C895" s="71" t="n">
        <v>46209</v>
      </c>
      <c r="D895" s="70" t="n">
        <v>714</v>
      </c>
      <c r="E895" s="72" t="inlineStr">
        <is>
          <t>CARMEM ELIZA</t>
        </is>
      </c>
      <c r="F895" s="70" t="n">
        <v>34</v>
      </c>
      <c r="G895" s="72" t="inlineStr">
        <is>
          <t>Transferencia Pix</t>
        </is>
      </c>
      <c r="H895" s="70" t="n">
        <v>1110202</v>
      </c>
      <c r="I895" s="72" t="inlineStr">
        <is>
          <t>BANCO ITAU Lj 01</t>
        </is>
      </c>
      <c r="J895" s="70" t="n">
        <v>1207137</v>
      </c>
      <c r="L895" s="70" t="n">
        <v>502147</v>
      </c>
      <c r="M895" s="72" t="inlineStr">
        <is>
          <t>02</t>
        </is>
      </c>
      <c r="N895" s="72" t="inlineStr">
        <is>
          <t>AVU</t>
        </is>
      </c>
      <c r="P895" s="70" t="n">
        <v>102</v>
      </c>
      <c r="Q895" s="72" t="inlineStr">
        <is>
          <t>ANDREZA ANDRADE</t>
        </is>
      </c>
      <c r="R895" s="72" t="inlineStr">
        <is>
          <t>DESPESAS NAO OPERACIONAIS</t>
        </is>
      </c>
      <c r="S895" s="70" t="n">
        <v>4220199</v>
      </c>
      <c r="T895" s="72" t="inlineStr">
        <is>
          <t>PAGAMENTOS OUTROS NAO OPERACIONAIS</t>
        </is>
      </c>
      <c r="U895" s="73" t="n">
        <v>6000</v>
      </c>
      <c r="W895" s="73" t="n">
        <v>0</v>
      </c>
      <c r="X895" s="72" t="inlineStr">
        <is>
          <t xml:space="preserve">ALUGUEL NAO SOMAR MO1 </t>
        </is>
      </c>
      <c r="Z895" s="59">
        <f>IF($T895="","",IFERROR(INDEX('Resumo Grupos'!$AC$3:$AC$200,MATCH($T895,'Resumo Grupos'!$AB$3:$AB$200,0)),"n/d"))</f>
        <v/>
      </c>
      <c r="AA895" s="59">
        <f>IF($T895="","",IF(COUNTIF('Resumo Grupos'!$AE$3:$AE$40,$T895)&gt;0,"NAO","SIM"))</f>
        <v/>
      </c>
    </row>
    <row r="896" ht="54.75" customHeight="1" s="60">
      <c r="A896" s="70" t="n">
        <v>1</v>
      </c>
      <c r="B896" s="71" t="n">
        <v>46209</v>
      </c>
      <c r="C896" s="71" t="n">
        <v>46209</v>
      </c>
      <c r="D896" s="70" t="n">
        <v>16</v>
      </c>
      <c r="E896" s="72" t="inlineStr">
        <is>
          <t>RENATO DE OLIVEIRA AZEVEDO</t>
        </is>
      </c>
      <c r="F896" s="70" t="n">
        <v>34</v>
      </c>
      <c r="G896" s="72" t="inlineStr">
        <is>
          <t>Transferencia Pix</t>
        </is>
      </c>
      <c r="H896" s="70" t="n">
        <v>2110405</v>
      </c>
      <c r="I896" s="72" t="inlineStr">
        <is>
          <t>CONTAS A PAGAR</t>
        </is>
      </c>
      <c r="J896" s="70" t="n">
        <v>1207139</v>
      </c>
      <c r="L896" s="70" t="n">
        <v>502148</v>
      </c>
      <c r="M896" s="72" t="inlineStr">
        <is>
          <t>02</t>
        </is>
      </c>
      <c r="N896" s="72" t="inlineStr">
        <is>
          <t>AVU</t>
        </is>
      </c>
      <c r="P896" s="70" t="n">
        <v>102</v>
      </c>
      <c r="Q896" s="72" t="inlineStr">
        <is>
          <t>ANDREZA ANDRADE</t>
        </is>
      </c>
      <c r="R896" s="72" t="inlineStr">
        <is>
          <t>DESPESAS NAO OPERACIONAIS</t>
        </is>
      </c>
      <c r="S896" s="70" t="n">
        <v>4220199</v>
      </c>
      <c r="T896" s="72" t="inlineStr">
        <is>
          <t>PAGAMENTOS OUTROS NAO OPERACIONAIS</t>
        </is>
      </c>
      <c r="U896" s="73" t="n">
        <v>500</v>
      </c>
      <c r="W896" s="73" t="n">
        <v>0</v>
      </c>
      <c r="X896" s="72" t="inlineStr">
        <is>
          <t>ALUGUEL MO1 NAO SOMAR</t>
        </is>
      </c>
      <c r="Z896" s="59">
        <f>IF($T896="","",IFERROR(INDEX('Resumo Grupos'!$AC$3:$AC$200,MATCH($T896,'Resumo Grupos'!$AB$3:$AB$200,0)),"n/d"))</f>
        <v/>
      </c>
      <c r="AA896" s="59">
        <f>IF($T896="","",IF(COUNTIF('Resumo Grupos'!$AE$3:$AE$40,$T896)&gt;0,"NAO","SIM"))</f>
        <v/>
      </c>
    </row>
    <row r="897" ht="54.75" customHeight="1" s="60">
      <c r="A897" s="70" t="n">
        <v>1</v>
      </c>
      <c r="B897" s="71" t="n">
        <v>46209</v>
      </c>
      <c r="C897" s="71" t="n">
        <v>46209</v>
      </c>
      <c r="D897" s="70" t="n">
        <v>28</v>
      </c>
      <c r="E897" s="72" t="inlineStr">
        <is>
          <t>CHARLES DAMASCENO FURTADO MO1</t>
        </is>
      </c>
      <c r="F897" s="70" t="n">
        <v>2</v>
      </c>
      <c r="G897" s="72" t="inlineStr">
        <is>
          <t>A PRAZO</t>
        </is>
      </c>
      <c r="H897" s="70" t="n">
        <v>2110405</v>
      </c>
      <c r="I897" s="72" t="inlineStr">
        <is>
          <t>CONTAS A PAGAR</t>
        </is>
      </c>
      <c r="J897" s="70" t="n">
        <v>1360381</v>
      </c>
      <c r="L897" s="70" t="n">
        <v>561724</v>
      </c>
      <c r="M897" s="72" t="inlineStr">
        <is>
          <t>01</t>
        </is>
      </c>
      <c r="N897" s="72" t="inlineStr">
        <is>
          <t>AVU</t>
        </is>
      </c>
      <c r="P897" s="70" t="n">
        <v>101</v>
      </c>
      <c r="Q897" s="72" t="inlineStr">
        <is>
          <t>KEILA LIMA</t>
        </is>
      </c>
      <c r="R897" s="72" t="inlineStr">
        <is>
          <t>DESPESAS OPERACIONAIS</t>
        </is>
      </c>
      <c r="S897" s="70" t="n">
        <v>4210231</v>
      </c>
      <c r="T897" s="72" t="inlineStr">
        <is>
          <t>MANUTENÇÃO ELETRICA</t>
        </is>
      </c>
      <c r="U897" s="73" t="n">
        <v>1718.33</v>
      </c>
      <c r="W897" s="73" t="n">
        <v>0</v>
      </c>
      <c r="X897" s="72" t="inlineStr">
        <is>
          <t>COMPRAS CHARLES LOJA MO1 DROGARIA - DESPESA ELET</t>
        </is>
      </c>
      <c r="Z897" s="59">
        <f>IF($T897="","",IFERROR(INDEX('Resumo Grupos'!$AC$3:$AC$200,MATCH($T897,'Resumo Grupos'!$AB$3:$AB$200,0)),"n/d"))</f>
        <v/>
      </c>
      <c r="AA897" s="59">
        <f>IF($T897="","",IF(COUNTIF('Resumo Grupos'!$AE$3:$AE$40,$T897)&gt;0,"NAO","SIM"))</f>
        <v/>
      </c>
    </row>
    <row r="898" ht="63.75" customHeight="1" s="60">
      <c r="A898" s="70" t="n">
        <v>1</v>
      </c>
      <c r="B898" s="71" t="n">
        <v>46209</v>
      </c>
      <c r="C898" s="71" t="n">
        <v>46209</v>
      </c>
      <c r="D898" s="70" t="n">
        <v>816</v>
      </c>
      <c r="E898" s="72" t="inlineStr">
        <is>
          <t>AUGUSTA - JUROS EMPRESTIMO</t>
        </is>
      </c>
      <c r="F898" s="70" t="n">
        <v>34</v>
      </c>
      <c r="G898" s="72" t="inlineStr">
        <is>
          <t>Transferencia Pix</t>
        </is>
      </c>
      <c r="H898" s="70" t="n">
        <v>2110405</v>
      </c>
      <c r="I898" s="72" t="inlineStr">
        <is>
          <t>CONTAS A PAGAR</t>
        </is>
      </c>
      <c r="J898" s="70" t="n">
        <v>480233</v>
      </c>
      <c r="L898" s="70" t="n">
        <v>216087</v>
      </c>
      <c r="M898" s="72" t="inlineStr">
        <is>
          <t>04</t>
        </is>
      </c>
      <c r="N898" s="72" t="inlineStr">
        <is>
          <t>AVU</t>
        </is>
      </c>
      <c r="P898" s="70" t="n">
        <v>102</v>
      </c>
      <c r="Q898" s="72" t="inlineStr">
        <is>
          <t>ANDREZA ANDRADE</t>
        </is>
      </c>
      <c r="R898" s="72" t="inlineStr">
        <is>
          <t>DESPESAS NAO OPERACIONAIS</t>
        </is>
      </c>
      <c r="S898" s="70" t="n">
        <v>4220199</v>
      </c>
      <c r="T898" s="72" t="inlineStr">
        <is>
          <t>PAGAMENTOS OUTROS NAO OPERACIONAIS</t>
        </is>
      </c>
      <c r="U898" s="73" t="n">
        <v>2000</v>
      </c>
      <c r="W898" s="73" t="n">
        <v>0</v>
      </c>
      <c r="X898" s="72" t="inlineStr">
        <is>
          <t xml:space="preserve">JUROS EMPRESTIMO AUGUSTA MO3 E MO4 </t>
        </is>
      </c>
      <c r="Z898" s="59">
        <f>IF($T898="","",IFERROR(INDEX('Resumo Grupos'!$AC$3:$AC$200,MATCH($T898,'Resumo Grupos'!$AB$3:$AB$200,0)),"n/d"))</f>
        <v/>
      </c>
      <c r="AA898" s="59">
        <f>IF($T898="","",IF(COUNTIF('Resumo Grupos'!$AE$3:$AE$40,$T898)&gt;0,"NAO","SIM"))</f>
        <v/>
      </c>
    </row>
    <row r="899" ht="63.75" customHeight="1" s="60">
      <c r="A899" s="70" t="n">
        <v>1</v>
      </c>
      <c r="B899" s="71" t="n">
        <v>46209</v>
      </c>
      <c r="C899" s="71" t="n">
        <v>46209</v>
      </c>
      <c r="D899" s="70" t="n">
        <v>33</v>
      </c>
      <c r="E899" s="72" t="inlineStr">
        <is>
          <t>RENATO DE O AZEVEDO E CIA LTDA - EPP</t>
        </is>
      </c>
      <c r="F899" s="70" t="n">
        <v>13</v>
      </c>
      <c r="G899" s="72" t="inlineStr">
        <is>
          <t>Compra a Vista</t>
        </is>
      </c>
      <c r="H899" s="70" t="n">
        <v>2110101</v>
      </c>
      <c r="I899" s="72" t="inlineStr">
        <is>
          <t>FORNECEDORES DE MERCADORIA</t>
        </is>
      </c>
      <c r="J899" s="70" t="n">
        <v>1360947</v>
      </c>
      <c r="L899" s="70" t="n">
        <v>5251</v>
      </c>
      <c r="M899" s="72" t="inlineStr">
        <is>
          <t>01</t>
        </is>
      </c>
      <c r="N899" s="72" t="inlineStr">
        <is>
          <t>NFE</t>
        </is>
      </c>
      <c r="P899" s="70" t="n">
        <v>104</v>
      </c>
      <c r="Q899" s="72" t="inlineStr">
        <is>
          <t>DEBORA COSTA</t>
        </is>
      </c>
      <c r="R899" s="72" t="inlineStr">
        <is>
          <t>ESTOQUE DE MERCADORIAS</t>
        </is>
      </c>
      <c r="S899" s="70" t="n">
        <v>1130101</v>
      </c>
      <c r="T899" s="72" t="inlineStr">
        <is>
          <t>MERCADORIAS P/REVENDA</t>
        </is>
      </c>
      <c r="U899" s="73" t="n">
        <v>280</v>
      </c>
      <c r="W899" s="73" t="n">
        <v>280</v>
      </c>
      <c r="X899" s="72" t="inlineStr">
        <is>
          <t>ACAI DE ANORI - DEBORA</t>
        </is>
      </c>
      <c r="Z899" s="59">
        <f>IF($T899="","",IFERROR(INDEX('Resumo Grupos'!$AC$3:$AC$200,MATCH($T899,'Resumo Grupos'!$AB$3:$AB$200,0)),"n/d"))</f>
        <v/>
      </c>
      <c r="AA899" s="59">
        <f>IF($T899="","",IF(COUNTIF('Resumo Grupos'!$AE$3:$AE$40,$T899)&gt;0,"NAO","SIM"))</f>
        <v/>
      </c>
    </row>
    <row r="900" ht="63.75" customHeight="1" s="60">
      <c r="A900" s="70" t="n">
        <v>1</v>
      </c>
      <c r="B900" s="71" t="n">
        <v>46209</v>
      </c>
      <c r="C900" s="71" t="n">
        <v>46209</v>
      </c>
      <c r="D900" s="70" t="n">
        <v>33</v>
      </c>
      <c r="E900" s="72" t="inlineStr">
        <is>
          <t>RENATO DE O AZEVEDO E CIA LTDA - EPP</t>
        </is>
      </c>
      <c r="F900" s="70" t="n">
        <v>13</v>
      </c>
      <c r="G900" s="72" t="inlineStr">
        <is>
          <t>Compra a Vista</t>
        </is>
      </c>
      <c r="H900" s="70" t="n">
        <v>2110101</v>
      </c>
      <c r="I900" s="72" t="inlineStr">
        <is>
          <t>FORNECEDORES DE MERCADORIA</t>
        </is>
      </c>
      <c r="J900" s="70" t="n">
        <v>1361016</v>
      </c>
      <c r="L900" s="70" t="n">
        <v>5252</v>
      </c>
      <c r="M900" s="72" t="inlineStr">
        <is>
          <t>01</t>
        </is>
      </c>
      <c r="N900" s="72" t="inlineStr">
        <is>
          <t>NFE</t>
        </is>
      </c>
      <c r="P900" s="70" t="n">
        <v>104</v>
      </c>
      <c r="Q900" s="72" t="inlineStr">
        <is>
          <t>DEBORA COSTA</t>
        </is>
      </c>
      <c r="R900" s="72" t="inlineStr">
        <is>
          <t>ESTOQUE DE MERCADORIAS</t>
        </is>
      </c>
      <c r="S900" s="70" t="n">
        <v>1130101</v>
      </c>
      <c r="T900" s="72" t="inlineStr">
        <is>
          <t>MERCADORIAS P/REVENDA</t>
        </is>
      </c>
      <c r="U900" s="73" t="n">
        <v>350</v>
      </c>
      <c r="W900" s="73" t="n">
        <v>350</v>
      </c>
      <c r="X900" s="72" t="inlineStr">
        <is>
          <t>ACAI DE ANORI - DEBORA</t>
        </is>
      </c>
      <c r="Z900" s="59">
        <f>IF($T900="","",IFERROR(INDEX('Resumo Grupos'!$AC$3:$AC$200,MATCH($T900,'Resumo Grupos'!$AB$3:$AB$200,0)),"n/d"))</f>
        <v/>
      </c>
      <c r="AA900" s="59">
        <f>IF($T900="","",IF(COUNTIF('Resumo Grupos'!$AE$3:$AE$40,$T900)&gt;0,"NAO","SIM"))</f>
        <v/>
      </c>
    </row>
    <row r="901" ht="54.75" customHeight="1" s="60">
      <c r="A901" s="70" t="n">
        <v>1</v>
      </c>
      <c r="B901" s="71" t="n">
        <v>46209</v>
      </c>
      <c r="C901" s="71" t="n">
        <v>46209</v>
      </c>
      <c r="D901" s="70" t="n">
        <v>33</v>
      </c>
      <c r="E901" s="72" t="inlineStr">
        <is>
          <t>RENATO DE O AZEVEDO E CIA LTDA - EPP</t>
        </is>
      </c>
      <c r="F901" s="70" t="n">
        <v>13</v>
      </c>
      <c r="G901" s="72" t="inlineStr">
        <is>
          <t>Compra a Vista</t>
        </is>
      </c>
      <c r="H901" s="70" t="n">
        <v>2110101</v>
      </c>
      <c r="I901" s="72" t="inlineStr">
        <is>
          <t>FORNECEDORES DE MERCADORIA</t>
        </is>
      </c>
      <c r="J901" s="70" t="n">
        <v>1361059</v>
      </c>
      <c r="L901" s="70" t="n">
        <v>5253</v>
      </c>
      <c r="M901" s="72" t="inlineStr">
        <is>
          <t>01</t>
        </is>
      </c>
      <c r="N901" s="72" t="inlineStr">
        <is>
          <t>NFE</t>
        </is>
      </c>
      <c r="P901" s="70" t="n">
        <v>104</v>
      </c>
      <c r="Q901" s="72" t="inlineStr">
        <is>
          <t>DEBORA COSTA</t>
        </is>
      </c>
      <c r="R901" s="72" t="inlineStr">
        <is>
          <t>ESTOQUE DE MERCADORIAS</t>
        </is>
      </c>
      <c r="S901" s="70" t="n">
        <v>1130101</v>
      </c>
      <c r="T901" s="72" t="inlineStr">
        <is>
          <t>MERCADORIAS P/REVENDA</t>
        </is>
      </c>
      <c r="U901" s="73" t="n">
        <v>280</v>
      </c>
      <c r="W901" s="73" t="n">
        <v>280</v>
      </c>
      <c r="X901" s="72" t="inlineStr">
        <is>
          <t>ACAI DE ANORI - DEBORA</t>
        </is>
      </c>
      <c r="Z901" s="59">
        <f>IF($T901="","",IFERROR(INDEX('Resumo Grupos'!$AC$3:$AC$200,MATCH($T901,'Resumo Grupos'!$AB$3:$AB$200,0)),"n/d"))</f>
        <v/>
      </c>
      <c r="AA901" s="59">
        <f>IF($T901="","",IF(COUNTIF('Resumo Grupos'!$AE$3:$AE$40,$T901)&gt;0,"NAO","SIM"))</f>
        <v/>
      </c>
    </row>
    <row r="902" ht="54.75" customHeight="1" s="60">
      <c r="A902" s="70" t="n">
        <v>1</v>
      </c>
      <c r="B902" s="71" t="n">
        <v>46209</v>
      </c>
      <c r="C902" s="71" t="n">
        <v>46209</v>
      </c>
      <c r="D902" s="70" t="n">
        <v>33</v>
      </c>
      <c r="E902" s="72" t="inlineStr">
        <is>
          <t>RENATO DE O AZEVEDO E CIA LTDA - EPP</t>
        </is>
      </c>
      <c r="F902" s="70" t="n">
        <v>13</v>
      </c>
      <c r="G902" s="72" t="inlineStr">
        <is>
          <t>Compra a Vista</t>
        </is>
      </c>
      <c r="H902" s="70" t="n">
        <v>2110101</v>
      </c>
      <c r="I902" s="72" t="inlineStr">
        <is>
          <t>FORNECEDORES DE MERCADORIA</t>
        </is>
      </c>
      <c r="J902" s="70" t="n">
        <v>1361148</v>
      </c>
      <c r="L902" s="70" t="n">
        <v>5254</v>
      </c>
      <c r="M902" s="72" t="inlineStr">
        <is>
          <t>01</t>
        </is>
      </c>
      <c r="N902" s="72" t="inlineStr">
        <is>
          <t>NFE</t>
        </is>
      </c>
      <c r="P902" s="70" t="n">
        <v>104</v>
      </c>
      <c r="Q902" s="72" t="inlineStr">
        <is>
          <t>DEBORA COSTA</t>
        </is>
      </c>
      <c r="R902" s="72" t="inlineStr">
        <is>
          <t>ESTOQUE DE MERCADORIAS</t>
        </is>
      </c>
      <c r="S902" s="70" t="n">
        <v>1130101</v>
      </c>
      <c r="T902" s="72" t="inlineStr">
        <is>
          <t>MERCADORIAS P/REVENDA</t>
        </is>
      </c>
      <c r="U902" s="73" t="n">
        <v>260</v>
      </c>
      <c r="W902" s="73" t="n">
        <v>260</v>
      </c>
      <c r="X902" s="72" t="inlineStr">
        <is>
          <t>ACAI DE ANORI - DEBORA</t>
        </is>
      </c>
      <c r="Z902" s="59">
        <f>IF($T902="","",IFERROR(INDEX('Resumo Grupos'!$AC$3:$AC$200,MATCH($T902,'Resumo Grupos'!$AB$3:$AB$200,0)),"n/d"))</f>
        <v/>
      </c>
      <c r="AA902" s="59">
        <f>IF($T902="","",IF(COUNTIF('Resumo Grupos'!$AE$3:$AE$40,$T902)&gt;0,"NAO","SIM"))</f>
        <v/>
      </c>
    </row>
    <row r="903" ht="54.75" customHeight="1" s="60">
      <c r="A903" s="70" t="n">
        <v>1</v>
      </c>
      <c r="B903" s="71" t="n">
        <v>46209</v>
      </c>
      <c r="C903" s="71" t="n">
        <v>46209</v>
      </c>
      <c r="D903" s="70" t="n">
        <v>1779</v>
      </c>
      <c r="E903" s="72" t="inlineStr">
        <is>
          <t>BANCO DO BRASIL SA</t>
        </is>
      </c>
      <c r="F903" s="70" t="n">
        <v>34</v>
      </c>
      <c r="G903" s="72" t="inlineStr">
        <is>
          <t>Transferencia Pix</t>
        </is>
      </c>
      <c r="H903" s="70" t="n">
        <v>2110405</v>
      </c>
      <c r="I903" s="72" t="inlineStr">
        <is>
          <t>CONTAS A PAGAR</t>
        </is>
      </c>
      <c r="J903" s="70" t="n">
        <v>1361211</v>
      </c>
      <c r="L903" s="70" t="n">
        <v>561967</v>
      </c>
      <c r="M903" s="72" t="inlineStr">
        <is>
          <t>01</t>
        </is>
      </c>
      <c r="N903" s="72" t="inlineStr">
        <is>
          <t>AVU</t>
        </is>
      </c>
      <c r="P903" s="70" t="n">
        <v>102</v>
      </c>
      <c r="Q903" s="72" t="inlineStr">
        <is>
          <t>ANDREZA ANDRADE</t>
        </is>
      </c>
      <c r="R903" s="72" t="inlineStr">
        <is>
          <t>DESPESAS FINANCEIRAS</t>
        </is>
      </c>
      <c r="S903" s="70" t="n">
        <v>4210504</v>
      </c>
      <c r="T903" s="72" t="inlineStr">
        <is>
          <t>DESPESAS BANCARIAS</t>
        </is>
      </c>
      <c r="U903" s="73" t="n">
        <v>93.09999999999999</v>
      </c>
      <c r="W903" s="73" t="n">
        <v>0</v>
      </c>
      <c r="X903" s="72" t="inlineStr">
        <is>
          <t>TARIFA PACOTE DE SERVIÇOS BB1V -ANDREZA</t>
        </is>
      </c>
      <c r="Z903" s="59">
        <f>IF($T903="","",IFERROR(INDEX('Resumo Grupos'!$AC$3:$AC$200,MATCH($T903,'Resumo Grupos'!$AB$3:$AB$200,0)),"n/d"))</f>
        <v/>
      </c>
      <c r="AA903" s="59">
        <f>IF($T903="","",IF(COUNTIF('Resumo Grupos'!$AE$3:$AE$40,$T903)&gt;0,"NAO","SIM"))</f>
        <v/>
      </c>
    </row>
    <row r="904" ht="45.75" customHeight="1" s="60">
      <c r="A904" s="70" t="n">
        <v>1</v>
      </c>
      <c r="B904" s="71" t="n">
        <v>46209</v>
      </c>
      <c r="C904" s="71" t="n">
        <v>46209</v>
      </c>
      <c r="D904" s="70" t="n">
        <v>33</v>
      </c>
      <c r="E904" s="72" t="inlineStr">
        <is>
          <t>RENATO DE O AZEVEDO E CIA LTDA - EPP</t>
        </is>
      </c>
      <c r="F904" s="70" t="n">
        <v>13</v>
      </c>
      <c r="G904" s="72" t="inlineStr">
        <is>
          <t>Compra a Vista</t>
        </is>
      </c>
      <c r="H904" s="70" t="n">
        <v>2110101</v>
      </c>
      <c r="I904" s="72" t="inlineStr">
        <is>
          <t>FORNECEDORES DE MERCADORIA</t>
        </is>
      </c>
      <c r="J904" s="70" t="n">
        <v>1361223</v>
      </c>
      <c r="L904" s="70" t="n">
        <v>5255</v>
      </c>
      <c r="M904" s="72" t="inlineStr">
        <is>
          <t>01</t>
        </is>
      </c>
      <c r="N904" s="72" t="inlineStr">
        <is>
          <t>NFE</t>
        </is>
      </c>
      <c r="P904" s="70" t="n">
        <v>104</v>
      </c>
      <c r="Q904" s="72" t="inlineStr">
        <is>
          <t>DEBORA COSTA</t>
        </is>
      </c>
      <c r="R904" s="72" t="inlineStr">
        <is>
          <t>ESTOQUE DE MERCADORIAS</t>
        </is>
      </c>
      <c r="S904" s="70" t="n">
        <v>1130101</v>
      </c>
      <c r="T904" s="72" t="inlineStr">
        <is>
          <t>MERCADORIAS P/REVENDA</t>
        </is>
      </c>
      <c r="U904" s="73" t="n">
        <v>280</v>
      </c>
      <c r="W904" s="73" t="n">
        <v>280</v>
      </c>
      <c r="X904" s="72" t="inlineStr">
        <is>
          <t>ACAI DE ANORI - DEBORA</t>
        </is>
      </c>
      <c r="Z904" s="59">
        <f>IF($T904="","",IFERROR(INDEX('Resumo Grupos'!$AC$3:$AC$200,MATCH($T904,'Resumo Grupos'!$AB$3:$AB$200,0)),"n/d"))</f>
        <v/>
      </c>
      <c r="AA904" s="59">
        <f>IF($T904="","",IF(COUNTIF('Resumo Grupos'!$AE$3:$AE$40,$T904)&gt;0,"NAO","SIM"))</f>
        <v/>
      </c>
    </row>
    <row r="905" ht="45.75" customHeight="1" s="60">
      <c r="A905" s="70" t="n">
        <v>1</v>
      </c>
      <c r="B905" s="71" t="n">
        <v>46209</v>
      </c>
      <c r="C905" s="71" t="n">
        <v>46209</v>
      </c>
      <c r="D905" s="70" t="n">
        <v>33</v>
      </c>
      <c r="E905" s="72" t="inlineStr">
        <is>
          <t>RENATO DE O AZEVEDO E CIA LTDA - EPP</t>
        </is>
      </c>
      <c r="F905" s="70" t="n">
        <v>13</v>
      </c>
      <c r="G905" s="72" t="inlineStr">
        <is>
          <t>Compra a Vista</t>
        </is>
      </c>
      <c r="H905" s="70" t="n">
        <v>2110101</v>
      </c>
      <c r="I905" s="72" t="inlineStr">
        <is>
          <t>FORNECEDORES DE MERCADORIA</t>
        </is>
      </c>
      <c r="J905" s="70" t="n">
        <v>1362077</v>
      </c>
      <c r="L905" s="70" t="n">
        <v>5260</v>
      </c>
      <c r="M905" s="72" t="inlineStr">
        <is>
          <t>01</t>
        </is>
      </c>
      <c r="N905" s="72" t="inlineStr">
        <is>
          <t>NFE</t>
        </is>
      </c>
      <c r="P905" s="70" t="n">
        <v>104</v>
      </c>
      <c r="Q905" s="72" t="inlineStr">
        <is>
          <t>DEBORA COSTA</t>
        </is>
      </c>
      <c r="R905" s="72" t="inlineStr">
        <is>
          <t>ESTOQUE DE MERCADORIAS</t>
        </is>
      </c>
      <c r="S905" s="70" t="n">
        <v>1130101</v>
      </c>
      <c r="T905" s="72" t="inlineStr">
        <is>
          <t>MERCADORIAS P/REVENDA</t>
        </is>
      </c>
      <c r="U905" s="73" t="n">
        <v>350</v>
      </c>
      <c r="W905" s="73" t="n">
        <v>350</v>
      </c>
      <c r="X905" s="72" t="inlineStr">
        <is>
          <t>ACAI DE ANORI - DEBORA</t>
        </is>
      </c>
      <c r="Z905" s="59">
        <f>IF($T905="","",IFERROR(INDEX('Resumo Grupos'!$AC$3:$AC$200,MATCH($T905,'Resumo Grupos'!$AB$3:$AB$200,0)),"n/d"))</f>
        <v/>
      </c>
      <c r="AA905" s="59">
        <f>IF($T905="","",IF(COUNTIF('Resumo Grupos'!$AE$3:$AE$40,$T905)&gt;0,"NAO","SIM"))</f>
        <v/>
      </c>
    </row>
    <row r="906" ht="45.75" customHeight="1" s="60">
      <c r="A906" s="70" t="n">
        <v>1</v>
      </c>
      <c r="B906" s="71" t="n">
        <v>46209</v>
      </c>
      <c r="C906" s="71" t="n">
        <v>46209</v>
      </c>
      <c r="D906" s="70" t="n">
        <v>33</v>
      </c>
      <c r="E906" s="72" t="inlineStr">
        <is>
          <t>RENATO DE O AZEVEDO E CIA LTDA - EPP</t>
        </is>
      </c>
      <c r="F906" s="70" t="n">
        <v>13</v>
      </c>
      <c r="G906" s="72" t="inlineStr">
        <is>
          <t>Compra a Vista</t>
        </is>
      </c>
      <c r="H906" s="70" t="n">
        <v>2110101</v>
      </c>
      <c r="I906" s="72" t="inlineStr">
        <is>
          <t>FORNECEDORES DE MERCADORIA</t>
        </is>
      </c>
      <c r="J906" s="70" t="n">
        <v>1362193</v>
      </c>
      <c r="L906" s="70" t="n">
        <v>5261</v>
      </c>
      <c r="M906" s="72" t="inlineStr">
        <is>
          <t>01</t>
        </is>
      </c>
      <c r="N906" s="72" t="inlineStr">
        <is>
          <t>NFE</t>
        </is>
      </c>
      <c r="P906" s="70" t="n">
        <v>104</v>
      </c>
      <c r="Q906" s="72" t="inlineStr">
        <is>
          <t>DEBORA COSTA</t>
        </is>
      </c>
      <c r="R906" s="72" t="inlineStr">
        <is>
          <t>ESTOQUE DE MERCADORIAS</t>
        </is>
      </c>
      <c r="S906" s="70" t="n">
        <v>1130101</v>
      </c>
      <c r="T906" s="72" t="inlineStr">
        <is>
          <t>MERCADORIAS P/REVENDA</t>
        </is>
      </c>
      <c r="U906" s="73" t="n">
        <v>280</v>
      </c>
      <c r="W906" s="73" t="n">
        <v>280</v>
      </c>
      <c r="X906" s="72" t="inlineStr">
        <is>
          <t>ACAI DE ANORI - DEBORA</t>
        </is>
      </c>
      <c r="Z906" s="59">
        <f>IF($T906="","",IFERROR(INDEX('Resumo Grupos'!$AC$3:$AC$200,MATCH($T906,'Resumo Grupos'!$AB$3:$AB$200,0)),"n/d"))</f>
        <v/>
      </c>
      <c r="AA906" s="59">
        <f>IF($T906="","",IF(COUNTIF('Resumo Grupos'!$AE$3:$AE$40,$T906)&gt;0,"NAO","SIM"))</f>
        <v/>
      </c>
    </row>
    <row r="907" ht="45.75" customHeight="1" s="60">
      <c r="A907" s="70" t="n">
        <v>1</v>
      </c>
      <c r="B907" s="71" t="n">
        <v>46209</v>
      </c>
      <c r="C907" s="71" t="n">
        <v>46209</v>
      </c>
      <c r="D907" s="70" t="n">
        <v>33</v>
      </c>
      <c r="E907" s="72" t="inlineStr">
        <is>
          <t>RENATO DE O AZEVEDO E CIA LTDA - EPP</t>
        </is>
      </c>
      <c r="F907" s="70" t="n">
        <v>13</v>
      </c>
      <c r="G907" s="72" t="inlineStr">
        <is>
          <t>Compra a Vista</t>
        </is>
      </c>
      <c r="H907" s="70" t="n">
        <v>2110101</v>
      </c>
      <c r="I907" s="72" t="inlineStr">
        <is>
          <t>FORNECEDORES DE MERCADORIA</t>
        </is>
      </c>
      <c r="J907" s="70" t="n">
        <v>1362292</v>
      </c>
      <c r="L907" s="70" t="n">
        <v>5262</v>
      </c>
      <c r="M907" s="72" t="inlineStr">
        <is>
          <t>01</t>
        </is>
      </c>
      <c r="N907" s="72" t="inlineStr">
        <is>
          <t>NFE</t>
        </is>
      </c>
      <c r="P907" s="70" t="n">
        <v>104</v>
      </c>
      <c r="Q907" s="72" t="inlineStr">
        <is>
          <t>DEBORA COSTA</t>
        </is>
      </c>
      <c r="R907" s="72" t="inlineStr">
        <is>
          <t>ESTOQUE DE MERCADORIAS</t>
        </is>
      </c>
      <c r="S907" s="70" t="n">
        <v>1130101</v>
      </c>
      <c r="T907" s="72" t="inlineStr">
        <is>
          <t>MERCADORIAS P/REVENDA</t>
        </is>
      </c>
      <c r="U907" s="73" t="n">
        <v>280</v>
      </c>
      <c r="W907" s="73" t="n">
        <v>280</v>
      </c>
      <c r="X907" s="72" t="inlineStr">
        <is>
          <t>ACAI DE ANORI - DEBORA</t>
        </is>
      </c>
      <c r="Z907" s="59">
        <f>IF($T907="","",IFERROR(INDEX('Resumo Grupos'!$AC$3:$AC$200,MATCH($T907,'Resumo Grupos'!$AB$3:$AB$200,0)),"n/d"))</f>
        <v/>
      </c>
      <c r="AA907" s="59">
        <f>IF($T907="","",IF(COUNTIF('Resumo Grupos'!$AE$3:$AE$40,$T907)&gt;0,"NAO","SIM"))</f>
        <v/>
      </c>
    </row>
    <row r="908" ht="45.75" customHeight="1" s="60">
      <c r="A908" s="70" t="n">
        <v>1</v>
      </c>
      <c r="B908" s="71" t="n">
        <v>46209</v>
      </c>
      <c r="C908" s="71" t="n">
        <v>46209</v>
      </c>
      <c r="D908" s="70" t="n">
        <v>17</v>
      </c>
      <c r="E908" s="72" t="inlineStr">
        <is>
          <t>NEYLIANE SILVA DE OLIVEIRA</t>
        </is>
      </c>
      <c r="F908" s="70" t="n">
        <v>34</v>
      </c>
      <c r="G908" s="72" t="inlineStr">
        <is>
          <t>Transferencia Pix</t>
        </is>
      </c>
      <c r="H908" s="70" t="n">
        <v>1110202</v>
      </c>
      <c r="I908" s="72" t="inlineStr">
        <is>
          <t>BANCO ITAU Lj 01</t>
        </is>
      </c>
      <c r="J908" s="70" t="n">
        <v>1362317</v>
      </c>
      <c r="L908" s="70" t="n">
        <v>562392</v>
      </c>
      <c r="M908" s="72" t="inlineStr">
        <is>
          <t>01</t>
        </is>
      </c>
      <c r="N908" s="72" t="inlineStr">
        <is>
          <t>AVU</t>
        </is>
      </c>
      <c r="P908" s="70" t="n">
        <v>101</v>
      </c>
      <c r="Q908" s="72" t="inlineStr">
        <is>
          <t>KEILA LIMA</t>
        </is>
      </c>
      <c r="R908" s="72" t="inlineStr">
        <is>
          <t>DESPESAS NAO OPERACIONAIS</t>
        </is>
      </c>
      <c r="S908" s="70" t="n">
        <v>4220199</v>
      </c>
      <c r="T908" s="72" t="inlineStr">
        <is>
          <t>PAGAMENTOS OUTROS NAO OPERACIONAIS</t>
        </is>
      </c>
      <c r="U908" s="73" t="n">
        <v>1507.62</v>
      </c>
      <c r="W908" s="73" t="n">
        <v>0</v>
      </c>
      <c r="X908" s="72" t="inlineStr">
        <is>
          <t>PL NEILA E RENATO - PAG SALARIO ARLETE</t>
        </is>
      </c>
      <c r="Z908" s="59">
        <f>IF($T908="","",IFERROR(INDEX('Resumo Grupos'!$AC$3:$AC$200,MATCH($T908,'Resumo Grupos'!$AB$3:$AB$200,0)),"n/d"))</f>
        <v/>
      </c>
      <c r="AA908" s="59">
        <f>IF($T908="","",IF(COUNTIF('Resumo Grupos'!$AE$3:$AE$40,$T908)&gt;0,"NAO","SIM"))</f>
        <v/>
      </c>
    </row>
    <row r="909" ht="45.75" customHeight="1" s="60">
      <c r="A909" s="70" t="n">
        <v>1</v>
      </c>
      <c r="B909" s="71" t="n">
        <v>46209</v>
      </c>
      <c r="C909" s="71" t="n">
        <v>46209</v>
      </c>
      <c r="D909" s="70" t="n">
        <v>17</v>
      </c>
      <c r="E909" s="72" t="inlineStr">
        <is>
          <t>NEYLIANE SILVA DE OLIVEIRA</t>
        </is>
      </c>
      <c r="F909" s="70" t="n">
        <v>34</v>
      </c>
      <c r="G909" s="72" t="inlineStr">
        <is>
          <t>Transferencia Pix</t>
        </is>
      </c>
      <c r="H909" s="70" t="n">
        <v>1110202</v>
      </c>
      <c r="I909" s="72" t="inlineStr">
        <is>
          <t>BANCO ITAU Lj 01</t>
        </is>
      </c>
      <c r="J909" s="70" t="n">
        <v>1362351</v>
      </c>
      <c r="L909" s="70" t="n">
        <v>562398</v>
      </c>
      <c r="M909" s="72" t="inlineStr">
        <is>
          <t>01</t>
        </is>
      </c>
      <c r="N909" s="72" t="inlineStr">
        <is>
          <t>AVU</t>
        </is>
      </c>
      <c r="P909" s="70" t="n">
        <v>101</v>
      </c>
      <c r="Q909" s="72" t="inlineStr">
        <is>
          <t>KEILA LIMA</t>
        </is>
      </c>
      <c r="R909" s="72" t="inlineStr">
        <is>
          <t>DESPESAS NAO OPERACIONAIS</t>
        </is>
      </c>
      <c r="S909" s="70" t="n">
        <v>4220199</v>
      </c>
      <c r="T909" s="72" t="inlineStr">
        <is>
          <t>PAGAMENTOS OUTROS NAO OPERACIONAIS</t>
        </is>
      </c>
      <c r="U909" s="73" t="n">
        <v>2002.05</v>
      </c>
      <c r="W909" s="73" t="n">
        <v>0</v>
      </c>
      <c r="X909" s="72" t="inlineStr">
        <is>
          <t>PL NEILA  E RENATO - PAG FERIAS 2026/2027 - KEILA</t>
        </is>
      </c>
      <c r="Z909" s="59">
        <f>IF($T909="","",IFERROR(INDEX('Resumo Grupos'!$AC$3:$AC$200,MATCH($T909,'Resumo Grupos'!$AB$3:$AB$200,0)),"n/d"))</f>
        <v/>
      </c>
      <c r="AA909" s="59">
        <f>IF($T909="","",IF(COUNTIF('Resumo Grupos'!$AE$3:$AE$40,$T909)&gt;0,"NAO","SIM"))</f>
        <v/>
      </c>
    </row>
    <row r="910" ht="36.75" customHeight="1" s="60">
      <c r="A910" s="70" t="n">
        <v>1</v>
      </c>
      <c r="B910" s="71" t="n">
        <v>46209</v>
      </c>
      <c r="C910" s="71" t="n">
        <v>46209</v>
      </c>
      <c r="D910" s="70" t="n">
        <v>978</v>
      </c>
      <c r="E910" s="72" t="inlineStr">
        <is>
          <t>GELO DANGELO FABRICACAO DE GELO LTDA</t>
        </is>
      </c>
      <c r="F910" s="70" t="n">
        <v>13</v>
      </c>
      <c r="G910" s="72" t="inlineStr">
        <is>
          <t>Compra a Vista</t>
        </is>
      </c>
      <c r="H910" s="70" t="n">
        <v>2110101</v>
      </c>
      <c r="I910" s="72" t="inlineStr">
        <is>
          <t>FORNECEDORES DE MERCADORIA</t>
        </is>
      </c>
      <c r="J910" s="70" t="n">
        <v>1370204</v>
      </c>
      <c r="L910" s="70" t="n">
        <v>346</v>
      </c>
      <c r="M910" s="72" t="inlineStr">
        <is>
          <t>01</t>
        </is>
      </c>
      <c r="N910" s="72" t="inlineStr">
        <is>
          <t>NFE</t>
        </is>
      </c>
      <c r="P910" s="70" t="n">
        <v>104</v>
      </c>
      <c r="Q910" s="72" t="inlineStr">
        <is>
          <t>DEBORA COSTA</t>
        </is>
      </c>
      <c r="R910" s="72" t="inlineStr">
        <is>
          <t>ESTOQUE DE MERCADORIAS</t>
        </is>
      </c>
      <c r="S910" s="70" t="n">
        <v>1130101</v>
      </c>
      <c r="T910" s="72" t="inlineStr">
        <is>
          <t>MERCADORIAS P/REVENDA</t>
        </is>
      </c>
      <c r="U910" s="73" t="n">
        <v>494</v>
      </c>
      <c r="W910" s="73" t="n">
        <v>0</v>
      </c>
      <c r="X910" s="72" t="inlineStr">
        <is>
          <t>nNF 346 - DEBORA</t>
        </is>
      </c>
      <c r="Z910" s="59">
        <f>IF($T910="","",IFERROR(INDEX('Resumo Grupos'!$AC$3:$AC$200,MATCH($T910,'Resumo Grupos'!$AB$3:$AB$200,0)),"n/d"))</f>
        <v/>
      </c>
      <c r="AA910" s="59">
        <f>IF($T910="","",IF(COUNTIF('Resumo Grupos'!$AE$3:$AE$40,$T910)&gt;0,"NAO","SIM"))</f>
        <v/>
      </c>
    </row>
    <row r="911" ht="45.75" customHeight="1" s="60">
      <c r="A911" s="70" t="n">
        <v>1</v>
      </c>
      <c r="B911" s="71" t="n">
        <v>46209</v>
      </c>
      <c r="C911" s="71" t="n">
        <v>46209</v>
      </c>
      <c r="D911" s="70" t="n">
        <v>1061</v>
      </c>
      <c r="E911" s="72" t="inlineStr">
        <is>
          <t xml:space="preserve">ELIANA SILVA DE OLIVEIRA </t>
        </is>
      </c>
      <c r="F911" s="70" t="n">
        <v>34</v>
      </c>
      <c r="G911" s="72" t="inlineStr">
        <is>
          <t>Transferencia Pix</t>
        </is>
      </c>
      <c r="H911" s="70" t="n">
        <v>2110405</v>
      </c>
      <c r="I911" s="72" t="inlineStr">
        <is>
          <t>CONTAS A PAGAR</t>
        </is>
      </c>
      <c r="J911" s="70" t="n">
        <v>1448819</v>
      </c>
      <c r="L911" s="70" t="n">
        <v>596052</v>
      </c>
      <c r="M911" s="72" t="inlineStr">
        <is>
          <t>01</t>
        </is>
      </c>
      <c r="N911" s="72" t="inlineStr">
        <is>
          <t>AVU</t>
        </is>
      </c>
      <c r="P911" s="70" t="n">
        <v>101</v>
      </c>
      <c r="Q911" s="72" t="inlineStr">
        <is>
          <t>KEILA LIMA</t>
        </is>
      </c>
      <c r="R911" s="72" t="inlineStr">
        <is>
          <t>DESPESAS COM PESSOAL</t>
        </is>
      </c>
      <c r="S911" s="70" t="n">
        <v>4210301</v>
      </c>
      <c r="T911" s="72" t="inlineStr">
        <is>
          <t>SALARIOS</t>
        </is>
      </c>
      <c r="U911" s="73" t="n">
        <v>748.12</v>
      </c>
      <c r="W911" s="73" t="n">
        <v>0</v>
      </c>
      <c r="X911" s="72" t="inlineStr">
        <is>
          <t>PAG SALARIO MO1 PARTE 06/26 - KEILA</t>
        </is>
      </c>
      <c r="Z911" s="59">
        <f>IF($T911="","",IFERROR(INDEX('Resumo Grupos'!$AC$3:$AC$200,MATCH($T911,'Resumo Grupos'!$AB$3:$AB$200,0)),"n/d"))</f>
        <v/>
      </c>
      <c r="AA911" s="59">
        <f>IF($T911="","",IF(COUNTIF('Resumo Grupos'!$AE$3:$AE$40,$T911)&gt;0,"NAO","SIM"))</f>
        <v/>
      </c>
    </row>
    <row r="912" ht="63.75" customHeight="1" s="60">
      <c r="A912" s="70" t="n">
        <v>1</v>
      </c>
      <c r="B912" s="71" t="n">
        <v>46209</v>
      </c>
      <c r="C912" s="71" t="n">
        <v>46209</v>
      </c>
      <c r="D912" s="70" t="n">
        <v>1779</v>
      </c>
      <c r="E912" s="72" t="inlineStr">
        <is>
          <t>BANCO DO BRASIL SA</t>
        </is>
      </c>
      <c r="F912" s="70" t="n">
        <v>34</v>
      </c>
      <c r="G912" s="72" t="inlineStr">
        <is>
          <t>Transferencia Pix</t>
        </is>
      </c>
      <c r="H912" s="70" t="n">
        <v>1110202</v>
      </c>
      <c r="I912" s="72" t="inlineStr">
        <is>
          <t>BANCO ITAU Lj 01</t>
        </is>
      </c>
      <c r="J912" s="70" t="n">
        <v>1448883</v>
      </c>
      <c r="L912" s="70" t="n">
        <v>596067</v>
      </c>
      <c r="M912" s="72" t="inlineStr">
        <is>
          <t>01</t>
        </is>
      </c>
      <c r="N912" s="72" t="inlineStr">
        <is>
          <t>AVU</t>
        </is>
      </c>
      <c r="P912" s="70" t="n">
        <v>101</v>
      </c>
      <c r="Q912" s="72" t="inlineStr">
        <is>
          <t>KEILA LIMA</t>
        </is>
      </c>
      <c r="R912" s="72" t="inlineStr">
        <is>
          <t>DESPESAS NAO OPERACIONAIS</t>
        </is>
      </c>
      <c r="S912" s="70" t="n">
        <v>4220199</v>
      </c>
      <c r="T912" s="72" t="inlineStr">
        <is>
          <t>PAGAMENTOS OUTROS NAO OPERACIONAIS</t>
        </is>
      </c>
      <c r="U912" s="73" t="n">
        <v>4600</v>
      </c>
      <c r="W912" s="73" t="n">
        <v>0</v>
      </c>
      <c r="X912" s="72" t="inlineStr">
        <is>
          <t>COBERTURA CONTA BB 1 VELHO - KEILA</t>
        </is>
      </c>
      <c r="Z912" s="59">
        <f>IF($T912="","",IFERROR(INDEX('Resumo Grupos'!$AC$3:$AC$200,MATCH($T912,'Resumo Grupos'!$AB$3:$AB$200,0)),"n/d"))</f>
        <v/>
      </c>
      <c r="AA912" s="59">
        <f>IF($T912="","",IF(COUNTIF('Resumo Grupos'!$AE$3:$AE$40,$T912)&gt;0,"NAO","SIM"))</f>
        <v/>
      </c>
    </row>
    <row r="913" ht="54.75" customHeight="1" s="60">
      <c r="A913" s="70" t="n">
        <v>1</v>
      </c>
      <c r="B913" s="71" t="n">
        <v>46209</v>
      </c>
      <c r="C913" s="71" t="n">
        <v>46209</v>
      </c>
      <c r="D913" s="70" t="n">
        <v>1137</v>
      </c>
      <c r="E913" s="72" t="inlineStr">
        <is>
          <t xml:space="preserve">FOLHA DE PAGAMENTO </t>
        </is>
      </c>
      <c r="F913" s="70" t="n">
        <v>34</v>
      </c>
      <c r="G913" s="72" t="inlineStr">
        <is>
          <t>Transferencia Pix</t>
        </is>
      </c>
      <c r="H913" s="70" t="n">
        <v>1110202</v>
      </c>
      <c r="I913" s="72" t="inlineStr">
        <is>
          <t>BANCO ITAU Lj 01</t>
        </is>
      </c>
      <c r="J913" s="70" t="n">
        <v>1448934</v>
      </c>
      <c r="L913" s="70" t="n">
        <v>596082</v>
      </c>
      <c r="M913" s="72" t="inlineStr">
        <is>
          <t>01</t>
        </is>
      </c>
      <c r="N913" s="72" t="inlineStr">
        <is>
          <t>AVU</t>
        </is>
      </c>
      <c r="P913" s="70" t="n">
        <v>101</v>
      </c>
      <c r="Q913" s="72" t="inlineStr">
        <is>
          <t>KEILA LIMA</t>
        </is>
      </c>
      <c r="R913" s="72" t="inlineStr">
        <is>
          <t>DESPESAS COM PESSOAL</t>
        </is>
      </c>
      <c r="S913" s="70" t="n">
        <v>4210301</v>
      </c>
      <c r="T913" s="72" t="inlineStr">
        <is>
          <t>SALARIOS</t>
        </is>
      </c>
      <c r="U913" s="73" t="n">
        <v>19737.67</v>
      </c>
      <c r="W913" s="73" t="n">
        <v>0</v>
      </c>
      <c r="X913" s="72" t="inlineStr">
        <is>
          <t>PG SALARIOS MO1 06/26 - KEILA</t>
        </is>
      </c>
      <c r="Z913" s="59">
        <f>IF($T913="","",IFERROR(INDEX('Resumo Grupos'!$AC$3:$AC$200,MATCH($T913,'Resumo Grupos'!$AB$3:$AB$200,0)),"n/d"))</f>
        <v/>
      </c>
      <c r="AA913" s="59">
        <f>IF($T913="","",IF(COUNTIF('Resumo Grupos'!$AE$3:$AE$40,$T913)&gt;0,"NAO","SIM"))</f>
        <v/>
      </c>
    </row>
    <row r="914" ht="45.75" customHeight="1" s="60">
      <c r="A914" s="70" t="n">
        <v>1</v>
      </c>
      <c r="B914" s="71" t="n">
        <v>46184</v>
      </c>
      <c r="C914" s="71" t="n">
        <v>46210</v>
      </c>
      <c r="D914" s="70" t="n">
        <v>1745</v>
      </c>
      <c r="E914" s="72" t="inlineStr">
        <is>
          <t>TRES CORACOES ALIMENTOS S.A.</t>
        </is>
      </c>
      <c r="F914" s="70" t="n">
        <v>24</v>
      </c>
      <c r="G914" s="72" t="inlineStr">
        <is>
          <t>Compra a Prazo - Boletos</t>
        </is>
      </c>
      <c r="H914" s="70" t="n">
        <v>2110101</v>
      </c>
      <c r="I914" s="72" t="inlineStr">
        <is>
          <t>FORNECEDORES DE MERCADORIA</t>
        </is>
      </c>
      <c r="J914" s="70" t="n">
        <v>1236138</v>
      </c>
      <c r="L914" s="70" t="n">
        <v>346214</v>
      </c>
      <c r="M914" s="72" t="inlineStr">
        <is>
          <t>03</t>
        </is>
      </c>
      <c r="N914" s="72" t="inlineStr">
        <is>
          <t>NFE</t>
        </is>
      </c>
      <c r="P914" s="70" t="n">
        <v>103</v>
      </c>
      <c r="Q914" s="72" t="inlineStr">
        <is>
          <t>MILKA FRANCIS</t>
        </is>
      </c>
      <c r="R914" s="72" t="inlineStr">
        <is>
          <t>ESTOQUE DE MERCADORIAS</t>
        </is>
      </c>
      <c r="S914" s="70" t="n">
        <v>1130101</v>
      </c>
      <c r="T914" s="72" t="inlineStr">
        <is>
          <t>MERCADORIAS P/REVENDA</t>
        </is>
      </c>
      <c r="U914" s="73" t="n">
        <v>1200.02</v>
      </c>
      <c r="W914" s="73" t="n">
        <v>0</v>
      </c>
      <c r="X914" s="72" t="inlineStr">
        <is>
          <t>NF346214 -03 MILKA</t>
        </is>
      </c>
      <c r="Z914" s="59">
        <f>IF($T914="","",IFERROR(INDEX('Resumo Grupos'!$AC$3:$AC$200,MATCH($T914,'Resumo Grupos'!$AB$3:$AB$200,0)),"n/d"))</f>
        <v/>
      </c>
      <c r="AA914" s="59">
        <f>IF($T914="","",IF(COUNTIF('Resumo Grupos'!$AE$3:$AE$40,$T914)&gt;0,"NAO","SIM"))</f>
        <v/>
      </c>
    </row>
    <row r="915" ht="54.75" customHeight="1" s="60">
      <c r="A915" s="70" t="n">
        <v>1</v>
      </c>
      <c r="B915" s="71" t="n">
        <v>46189</v>
      </c>
      <c r="C915" s="71" t="n">
        <v>46210</v>
      </c>
      <c r="D915" s="70" t="n">
        <v>1815</v>
      </c>
      <c r="E915" s="72" t="inlineStr">
        <is>
          <t>J G COMERCIO DE PRODUTOS ALIMENTICIOS LTDA</t>
        </is>
      </c>
      <c r="F915" s="70" t="n">
        <v>24</v>
      </c>
      <c r="G915" s="72" t="inlineStr">
        <is>
          <t>Compra a Prazo - Boletos</t>
        </is>
      </c>
      <c r="H915" s="70" t="n">
        <v>2110101</v>
      </c>
      <c r="I915" s="72" t="inlineStr">
        <is>
          <t>FORNECEDORES DE MERCADORIA</t>
        </is>
      </c>
      <c r="J915" s="70" t="n">
        <v>1262226</v>
      </c>
      <c r="L915" s="70" t="n">
        <v>387396</v>
      </c>
      <c r="M915" s="72" t="inlineStr">
        <is>
          <t>03</t>
        </is>
      </c>
      <c r="N915" s="72" t="inlineStr">
        <is>
          <t>NFE</t>
        </is>
      </c>
      <c r="P915" s="70" t="n">
        <v>103</v>
      </c>
      <c r="Q915" s="72" t="inlineStr">
        <is>
          <t>MILKA FRANCIS</t>
        </is>
      </c>
      <c r="R915" s="72" t="inlineStr">
        <is>
          <t>ESTOQUE DE MERCADORIAS</t>
        </is>
      </c>
      <c r="S915" s="70" t="n">
        <v>1130101</v>
      </c>
      <c r="T915" s="72" t="inlineStr">
        <is>
          <t>MERCADORIAS P/REVENDA</t>
        </is>
      </c>
      <c r="U915" s="73" t="n">
        <v>1107.75</v>
      </c>
      <c r="W915" s="73" t="n">
        <v>0</v>
      </c>
      <c r="X915" s="72" t="inlineStr">
        <is>
          <t>451009-C/C  NF387396 - MILKA</t>
        </is>
      </c>
      <c r="Z915" s="59">
        <f>IF($T915="","",IFERROR(INDEX('Resumo Grupos'!$AC$3:$AC$200,MATCH($T915,'Resumo Grupos'!$AB$3:$AB$200,0)),"n/d"))</f>
        <v/>
      </c>
      <c r="AA915" s="59">
        <f>IF($T915="","",IF(COUNTIF('Resumo Grupos'!$AE$3:$AE$40,$T915)&gt;0,"NAO","SIM"))</f>
        <v/>
      </c>
    </row>
    <row r="916" ht="36.75" customHeight="1" s="60">
      <c r="A916" s="70" t="n">
        <v>1</v>
      </c>
      <c r="B916" s="71" t="n">
        <v>46190</v>
      </c>
      <c r="C916" s="71" t="n">
        <v>46210</v>
      </c>
      <c r="D916" s="70" t="n">
        <v>1749</v>
      </c>
      <c r="E916" s="72" t="inlineStr">
        <is>
          <t>ORIENTE COM. ATACADISTA E REPRES. LTDA</t>
        </is>
      </c>
      <c r="F916" s="70" t="n">
        <v>24</v>
      </c>
      <c r="G916" s="72" t="inlineStr">
        <is>
          <t>Compra a Prazo - Boletos</t>
        </is>
      </c>
      <c r="H916" s="70" t="n">
        <v>2110101</v>
      </c>
      <c r="I916" s="72" t="inlineStr">
        <is>
          <t>FORNECEDORES DE MERCADORIA</t>
        </is>
      </c>
      <c r="J916" s="70" t="n">
        <v>1265754</v>
      </c>
      <c r="L916" s="70" t="n">
        <v>1774</v>
      </c>
      <c r="M916" s="72" t="inlineStr">
        <is>
          <t>02</t>
        </is>
      </c>
      <c r="N916" s="72" t="inlineStr">
        <is>
          <t>NFE</t>
        </is>
      </c>
      <c r="P916" s="70" t="n">
        <v>103</v>
      </c>
      <c r="Q916" s="72" t="inlineStr">
        <is>
          <t>MILKA FRANCIS</t>
        </is>
      </c>
      <c r="R916" s="72" t="inlineStr">
        <is>
          <t>ESTOQUE DE MERCADORIAS</t>
        </is>
      </c>
      <c r="S916" s="70" t="n">
        <v>1130101</v>
      </c>
      <c r="T916" s="72" t="inlineStr">
        <is>
          <t>MERCADORIAS P/REVENDA</t>
        </is>
      </c>
      <c r="U916" s="73" t="n">
        <v>1143.6</v>
      </c>
      <c r="W916" s="73" t="n">
        <v>0</v>
      </c>
      <c r="X916" s="72" t="inlineStr">
        <is>
          <t>2087/2  NF1774 - MILKA</t>
        </is>
      </c>
      <c r="Z916" s="59">
        <f>IF($T916="","",IFERROR(INDEX('Resumo Grupos'!$AC$3:$AC$200,MATCH($T916,'Resumo Grupos'!$AB$3:$AB$200,0)),"n/d"))</f>
        <v/>
      </c>
      <c r="AA916" s="59">
        <f>IF($T916="","",IF(COUNTIF('Resumo Grupos'!$AE$3:$AE$40,$T916)&gt;0,"NAO","SIM"))</f>
        <v/>
      </c>
    </row>
    <row r="917" ht="45.75" customHeight="1" s="60">
      <c r="A917" s="70" t="n">
        <v>1</v>
      </c>
      <c r="B917" s="71" t="n">
        <v>46190</v>
      </c>
      <c r="C917" s="71" t="n">
        <v>46210</v>
      </c>
      <c r="D917" s="70" t="n">
        <v>1616</v>
      </c>
      <c r="E917" s="72" t="inlineStr">
        <is>
          <t>DURAES DISTRIBUIDORA DE ESTIVAS LTDA</t>
        </is>
      </c>
      <c r="F917" s="70" t="n">
        <v>24</v>
      </c>
      <c r="G917" s="72" t="inlineStr">
        <is>
          <t>Compra a Prazo - Boletos</t>
        </is>
      </c>
      <c r="H917" s="70" t="n">
        <v>2110101</v>
      </c>
      <c r="I917" s="72" t="inlineStr">
        <is>
          <t>FORNECEDORES DE MERCADORIA</t>
        </is>
      </c>
      <c r="J917" s="70" t="n">
        <v>1265809</v>
      </c>
      <c r="L917" s="70" t="n">
        <v>646127</v>
      </c>
      <c r="M917" s="72" t="inlineStr">
        <is>
          <t>01</t>
        </is>
      </c>
      <c r="N917" s="72" t="inlineStr">
        <is>
          <t>NFE</t>
        </is>
      </c>
      <c r="P917" s="70" t="n">
        <v>103</v>
      </c>
      <c r="Q917" s="72" t="inlineStr">
        <is>
          <t>MILKA FRANCIS</t>
        </is>
      </c>
      <c r="R917" s="72" t="inlineStr">
        <is>
          <t>ESTOQUE DE MERCADORIAS</t>
        </is>
      </c>
      <c r="S917" s="70" t="n">
        <v>1130101</v>
      </c>
      <c r="T917" s="72" t="inlineStr">
        <is>
          <t>MERCADORIAS P/REVENDA</t>
        </is>
      </c>
      <c r="U917" s="73" t="n">
        <v>865.4</v>
      </c>
      <c r="W917" s="73" t="n">
        <v>0</v>
      </c>
      <c r="X917" s="72" t="inlineStr">
        <is>
          <t>NF 646127 - MILKA</t>
        </is>
      </c>
      <c r="Z917" s="59">
        <f>IF($T917="","",IFERROR(INDEX('Resumo Grupos'!$AC$3:$AC$200,MATCH($T917,'Resumo Grupos'!$AB$3:$AB$200,0)),"n/d"))</f>
        <v/>
      </c>
      <c r="AA917" s="59">
        <f>IF($T917="","",IF(COUNTIF('Resumo Grupos'!$AE$3:$AE$40,$T917)&gt;0,"NAO","SIM"))</f>
        <v/>
      </c>
    </row>
    <row r="918" ht="45.75" customHeight="1" s="60">
      <c r="A918" s="70" t="n">
        <v>1</v>
      </c>
      <c r="B918" s="71" t="n">
        <v>46191</v>
      </c>
      <c r="C918" s="71" t="n">
        <v>46210</v>
      </c>
      <c r="D918" s="70" t="n">
        <v>1608</v>
      </c>
      <c r="E918" s="72" t="inlineStr">
        <is>
          <t>DISTRIBUIDORA LOPES LTDA</t>
        </is>
      </c>
      <c r="F918" s="70" t="n">
        <v>24</v>
      </c>
      <c r="G918" s="72" t="inlineStr">
        <is>
          <t>Compra a Prazo - Boletos</t>
        </is>
      </c>
      <c r="H918" s="70" t="n">
        <v>2110101</v>
      </c>
      <c r="I918" s="72" t="inlineStr">
        <is>
          <t>FORNECEDORES DE MERCADORIA</t>
        </is>
      </c>
      <c r="J918" s="70" t="n">
        <v>1269669</v>
      </c>
      <c r="L918" s="70" t="n">
        <v>1673539</v>
      </c>
      <c r="M918" s="72" t="inlineStr">
        <is>
          <t>01</t>
        </is>
      </c>
      <c r="N918" s="72" t="inlineStr">
        <is>
          <t>NFE</t>
        </is>
      </c>
      <c r="P918" s="70" t="n">
        <v>103</v>
      </c>
      <c r="Q918" s="72" t="inlineStr">
        <is>
          <t>MILKA FRANCIS</t>
        </is>
      </c>
      <c r="R918" s="72" t="inlineStr">
        <is>
          <t>ESTOQUE DE MERCADORIAS</t>
        </is>
      </c>
      <c r="S918" s="70" t="n">
        <v>1130101</v>
      </c>
      <c r="T918" s="72" t="inlineStr">
        <is>
          <t>MERCADORIAS P/REVENDA</t>
        </is>
      </c>
      <c r="U918" s="73" t="n">
        <v>2093.55</v>
      </c>
      <c r="W918" s="73" t="n">
        <v>0</v>
      </c>
      <c r="X918" s="72" t="inlineStr">
        <is>
          <t>NF 1673539 - MILKA</t>
        </is>
      </c>
      <c r="Z918" s="59">
        <f>IF($T918="","",IFERROR(INDEX('Resumo Grupos'!$AC$3:$AC$200,MATCH($T918,'Resumo Grupos'!$AB$3:$AB$200,0)),"n/d"))</f>
        <v/>
      </c>
      <c r="AA918" s="59">
        <f>IF($T918="","",IF(COUNTIF('Resumo Grupos'!$AE$3:$AE$40,$T918)&gt;0,"NAO","SIM"))</f>
        <v/>
      </c>
    </row>
    <row r="919" ht="36.75" customHeight="1" s="60">
      <c r="A919" s="70" t="n">
        <v>1</v>
      </c>
      <c r="B919" s="71" t="n">
        <v>46191</v>
      </c>
      <c r="C919" s="71" t="n">
        <v>46210</v>
      </c>
      <c r="D919" s="70" t="n">
        <v>1433</v>
      </c>
      <c r="E919" s="72" t="inlineStr">
        <is>
          <t>TRIPLASTIK ATAKADO</t>
        </is>
      </c>
      <c r="F919" s="70" t="n">
        <v>24</v>
      </c>
      <c r="G919" s="72" t="inlineStr">
        <is>
          <t>Compra a Prazo - Boletos</t>
        </is>
      </c>
      <c r="H919" s="70" t="n">
        <v>2110102</v>
      </c>
      <c r="I919" s="72" t="inlineStr">
        <is>
          <t>OUTROS FORNECEDORES</t>
        </is>
      </c>
      <c r="J919" s="70" t="n">
        <v>1269918</v>
      </c>
      <c r="L919" s="70" t="n">
        <v>3450</v>
      </c>
      <c r="M919" s="72" t="inlineStr">
        <is>
          <t>01</t>
        </is>
      </c>
      <c r="N919" s="72" t="inlineStr">
        <is>
          <t>NFE</t>
        </is>
      </c>
      <c r="P919" s="70" t="n">
        <v>103</v>
      </c>
      <c r="Q919" s="72" t="inlineStr">
        <is>
          <t>MILKA FRANCIS</t>
        </is>
      </c>
      <c r="R919" s="72" t="inlineStr">
        <is>
          <t>DESPESAS OPERACIONAIS</t>
        </is>
      </c>
      <c r="S919" s="70" t="n">
        <v>4210204</v>
      </c>
      <c r="T919" s="72" t="inlineStr">
        <is>
          <t>MATERIAL DE CONSUMO</t>
        </is>
      </c>
      <c r="U919" s="73" t="n">
        <v>2317.1</v>
      </c>
      <c r="W919" s="73" t="n">
        <v>0</v>
      </c>
      <c r="X919" s="72" t="inlineStr">
        <is>
          <t>NF 3450 -  SACOLA</t>
        </is>
      </c>
      <c r="Z919" s="59">
        <f>IF($T919="","",IFERROR(INDEX('Resumo Grupos'!$AC$3:$AC$200,MATCH($T919,'Resumo Grupos'!$AB$3:$AB$200,0)),"n/d"))</f>
        <v/>
      </c>
      <c r="AA919" s="59">
        <f>IF($T919="","",IF(COUNTIF('Resumo Grupos'!$AE$3:$AE$40,$T919)&gt;0,"NAO","SIM"))</f>
        <v/>
      </c>
    </row>
    <row r="920" ht="36.75" customHeight="1" s="60">
      <c r="A920" s="70" t="n">
        <v>1</v>
      </c>
      <c r="B920" s="71" t="n">
        <v>46192</v>
      </c>
      <c r="C920" s="71" t="n">
        <v>46210</v>
      </c>
      <c r="D920" s="70" t="n">
        <v>1668</v>
      </c>
      <c r="E920" s="72" t="inlineStr">
        <is>
          <t>NATUREZA COMERCIO DE DESCARTAVEIS LTDA</t>
        </is>
      </c>
      <c r="F920" s="70" t="n">
        <v>24</v>
      </c>
      <c r="G920" s="72" t="inlineStr">
        <is>
          <t>Compra a Prazo - Boletos</t>
        </is>
      </c>
      <c r="H920" s="70" t="n">
        <v>2110102</v>
      </c>
      <c r="I920" s="72" t="inlineStr">
        <is>
          <t>OUTROS FORNECEDORES</t>
        </is>
      </c>
      <c r="J920" s="70" t="n">
        <v>1272813</v>
      </c>
      <c r="L920" s="70" t="n">
        <v>729270</v>
      </c>
      <c r="M920" s="72" t="inlineStr">
        <is>
          <t>01</t>
        </is>
      </c>
      <c r="N920" s="72" t="inlineStr">
        <is>
          <t>NFE</t>
        </is>
      </c>
      <c r="P920" s="70" t="n">
        <v>103</v>
      </c>
      <c r="Q920" s="72" t="inlineStr">
        <is>
          <t>MILKA FRANCIS</t>
        </is>
      </c>
      <c r="R920" s="72" t="inlineStr">
        <is>
          <t>DESPESAS OPERACIONAIS</t>
        </is>
      </c>
      <c r="S920" s="70" t="n">
        <v>4210204</v>
      </c>
      <c r="T920" s="72" t="inlineStr">
        <is>
          <t>MATERIAL DE CONSUMO</t>
        </is>
      </c>
      <c r="U920" s="73" t="n">
        <v>314.67</v>
      </c>
      <c r="W920" s="73" t="n">
        <v>0</v>
      </c>
      <c r="X920" s="72" t="inlineStr">
        <is>
          <t>NF 729270 DESPESA - MILKA</t>
        </is>
      </c>
      <c r="Z920" s="59">
        <f>IF($T920="","",IFERROR(INDEX('Resumo Grupos'!$AC$3:$AC$200,MATCH($T920,'Resumo Grupos'!$AB$3:$AB$200,0)),"n/d"))</f>
        <v/>
      </c>
      <c r="AA920" s="59">
        <f>IF($T920="","",IF(COUNTIF('Resumo Grupos'!$AE$3:$AE$40,$T920)&gt;0,"NAO","SIM"))</f>
        <v/>
      </c>
    </row>
    <row r="921" ht="36.75" customHeight="1" s="60">
      <c r="A921" s="70" t="n">
        <v>1</v>
      </c>
      <c r="B921" s="71" t="n">
        <v>46192</v>
      </c>
      <c r="C921" s="71" t="n">
        <v>46210</v>
      </c>
      <c r="D921" s="70" t="n">
        <v>1668</v>
      </c>
      <c r="E921" s="72" t="inlineStr">
        <is>
          <t>NATUREZA COMERCIO DE DESCARTAVEIS LTDA</t>
        </is>
      </c>
      <c r="F921" s="70" t="n">
        <v>24</v>
      </c>
      <c r="G921" s="72" t="inlineStr">
        <is>
          <t>Compra a Prazo - Boletos</t>
        </is>
      </c>
      <c r="H921" s="70" t="n">
        <v>2110101</v>
      </c>
      <c r="I921" s="72" t="inlineStr">
        <is>
          <t>FORNECEDORES DE MERCADORIA</t>
        </is>
      </c>
      <c r="J921" s="70" t="n">
        <v>1272881</v>
      </c>
      <c r="L921" s="70" t="n">
        <v>729269</v>
      </c>
      <c r="M921" s="72" t="inlineStr">
        <is>
          <t>01</t>
        </is>
      </c>
      <c r="N921" s="72" t="inlineStr">
        <is>
          <t>NFE</t>
        </is>
      </c>
      <c r="P921" s="70" t="n">
        <v>103</v>
      </c>
      <c r="Q921" s="72" t="inlineStr">
        <is>
          <t>MILKA FRANCIS</t>
        </is>
      </c>
      <c r="R921" s="72" t="inlineStr">
        <is>
          <t>ESTOQUE DE MERCADORIAS</t>
        </is>
      </c>
      <c r="S921" s="70" t="n">
        <v>1130101</v>
      </c>
      <c r="T921" s="72" t="inlineStr">
        <is>
          <t>MERCADORIAS P/REVENDA</t>
        </is>
      </c>
      <c r="U921" s="73" t="n">
        <v>1346</v>
      </c>
      <c r="W921" s="73" t="n">
        <v>0</v>
      </c>
      <c r="X921" s="72" t="inlineStr">
        <is>
          <t>NF 729269 - MILKA</t>
        </is>
      </c>
      <c r="Z921" s="59">
        <f>IF($T921="","",IFERROR(INDEX('Resumo Grupos'!$AC$3:$AC$200,MATCH($T921,'Resumo Grupos'!$AB$3:$AB$200,0)),"n/d"))</f>
        <v/>
      </c>
      <c r="AA921" s="59">
        <f>IF($T921="","",IF(COUNTIF('Resumo Grupos'!$AE$3:$AE$40,$T921)&gt;0,"NAO","SIM"))</f>
        <v/>
      </c>
    </row>
    <row r="922" ht="27.75" customHeight="1" s="60">
      <c r="A922" s="70" t="n">
        <v>1</v>
      </c>
      <c r="B922" s="71" t="n">
        <v>46195</v>
      </c>
      <c r="C922" s="71" t="n">
        <v>46210</v>
      </c>
      <c r="D922" s="70" t="n">
        <v>1613</v>
      </c>
      <c r="E922" s="72" t="inlineStr">
        <is>
          <t>BRF S A</t>
        </is>
      </c>
      <c r="F922" s="70" t="n">
        <v>24</v>
      </c>
      <c r="G922" s="72" t="inlineStr">
        <is>
          <t>Compra a Prazo - Boletos</t>
        </is>
      </c>
      <c r="H922" s="70" t="n">
        <v>2110101</v>
      </c>
      <c r="I922" s="72" t="inlineStr">
        <is>
          <t>FORNECEDORES DE MERCADORIA</t>
        </is>
      </c>
      <c r="J922" s="70" t="n">
        <v>1290054</v>
      </c>
      <c r="L922" s="70" t="n">
        <v>1598074</v>
      </c>
      <c r="M922" s="72" t="inlineStr">
        <is>
          <t>02</t>
        </is>
      </c>
      <c r="N922" s="72" t="inlineStr">
        <is>
          <t>NFE</t>
        </is>
      </c>
      <c r="P922" s="70" t="n">
        <v>103</v>
      </c>
      <c r="Q922" s="72" t="inlineStr">
        <is>
          <t>MILKA FRANCIS</t>
        </is>
      </c>
      <c r="R922" s="72" t="inlineStr">
        <is>
          <t>ESTOQUE DE MERCADORIAS</t>
        </is>
      </c>
      <c r="S922" s="70" t="n">
        <v>1130101</v>
      </c>
      <c r="T922" s="72" t="inlineStr">
        <is>
          <t>MERCADORIAS P/REVENDA</t>
        </is>
      </c>
      <c r="U922" s="73" t="n">
        <v>2103</v>
      </c>
      <c r="W922" s="73" t="n">
        <v>0</v>
      </c>
      <c r="X922" s="72" t="inlineStr">
        <is>
          <t>NF 1598074-02/02 MILKA</t>
        </is>
      </c>
      <c r="Z922" s="59">
        <f>IF($T922="","",IFERROR(INDEX('Resumo Grupos'!$AC$3:$AC$200,MATCH($T922,'Resumo Grupos'!$AB$3:$AB$200,0)),"n/d"))</f>
        <v/>
      </c>
      <c r="AA922" s="59">
        <f>IF($T922="","",IF(COUNTIF('Resumo Grupos'!$AE$3:$AE$40,$T922)&gt;0,"NAO","SIM"))</f>
        <v/>
      </c>
    </row>
    <row r="923" ht="27.75" customHeight="1" s="60">
      <c r="A923" s="70" t="n">
        <v>1</v>
      </c>
      <c r="B923" s="71" t="n">
        <v>46195</v>
      </c>
      <c r="C923" s="71" t="n">
        <v>46210</v>
      </c>
      <c r="D923" s="70" t="n">
        <v>1670</v>
      </c>
      <c r="E923" s="72" t="inlineStr">
        <is>
          <t>AMAZONIA INDUSTRIA E COMERCIO DE POLPAS</t>
        </is>
      </c>
      <c r="F923" s="70" t="n">
        <v>24</v>
      </c>
      <c r="G923" s="72" t="inlineStr">
        <is>
          <t>Compra a Prazo - Boletos</t>
        </is>
      </c>
      <c r="H923" s="70" t="n">
        <v>2110101</v>
      </c>
      <c r="I923" s="72" t="inlineStr">
        <is>
          <t>FORNECEDORES DE MERCADORIA</t>
        </is>
      </c>
      <c r="J923" s="70" t="n">
        <v>1291357</v>
      </c>
      <c r="L923" s="70" t="n">
        <v>270492</v>
      </c>
      <c r="M923" s="72" t="inlineStr">
        <is>
          <t>01</t>
        </is>
      </c>
      <c r="N923" s="72" t="inlineStr">
        <is>
          <t>NFE</t>
        </is>
      </c>
      <c r="P923" s="70" t="n">
        <v>103</v>
      </c>
      <c r="Q923" s="72" t="inlineStr">
        <is>
          <t>MILKA FRANCIS</t>
        </is>
      </c>
      <c r="R923" s="72" t="inlineStr">
        <is>
          <t>ESTOQUE DE MERCADORIAS</t>
        </is>
      </c>
      <c r="S923" s="70" t="n">
        <v>1130101</v>
      </c>
      <c r="T923" s="72" t="inlineStr">
        <is>
          <t>MERCADORIAS P/REVENDA</t>
        </is>
      </c>
      <c r="U923" s="73" t="n">
        <v>812</v>
      </c>
      <c r="W923" s="73" t="n">
        <v>0</v>
      </c>
      <c r="X923" s="72" t="inlineStr">
        <is>
          <t>NF 270492 - MILKA</t>
        </is>
      </c>
      <c r="Z923" s="59">
        <f>IF($T923="","",IFERROR(INDEX('Resumo Grupos'!$AC$3:$AC$200,MATCH($T923,'Resumo Grupos'!$AB$3:$AB$200,0)),"n/d"))</f>
        <v/>
      </c>
      <c r="AA923" s="59">
        <f>IF($T923="","",IF(COUNTIF('Resumo Grupos'!$AE$3:$AE$40,$T923)&gt;0,"NAO","SIM"))</f>
        <v/>
      </c>
    </row>
    <row r="924" ht="36.75" customHeight="1" s="60">
      <c r="A924" s="70" t="n">
        <v>1</v>
      </c>
      <c r="B924" s="71" t="n">
        <v>46196</v>
      </c>
      <c r="C924" s="71" t="n">
        <v>46210</v>
      </c>
      <c r="D924" s="70" t="n">
        <v>1611</v>
      </c>
      <c r="E924" s="72" t="inlineStr">
        <is>
          <t>MARTINS COM SERV DISTR SA</t>
        </is>
      </c>
      <c r="F924" s="70" t="n">
        <v>24</v>
      </c>
      <c r="G924" s="72" t="inlineStr">
        <is>
          <t>Compra a Prazo - Boletos</t>
        </is>
      </c>
      <c r="H924" s="70" t="n">
        <v>2110101</v>
      </c>
      <c r="I924" s="72" t="inlineStr">
        <is>
          <t>FORNECEDORES DE MERCADORIA</t>
        </is>
      </c>
      <c r="J924" s="70" t="n">
        <v>1294640</v>
      </c>
      <c r="L924" s="70" t="n">
        <v>536311</v>
      </c>
      <c r="M924" s="72" t="inlineStr">
        <is>
          <t>01</t>
        </is>
      </c>
      <c r="N924" s="72" t="inlineStr">
        <is>
          <t>AVU</t>
        </is>
      </c>
      <c r="P924" s="70" t="n">
        <v>103</v>
      </c>
      <c r="Q924" s="72" t="inlineStr">
        <is>
          <t>MILKA FRANCIS</t>
        </is>
      </c>
      <c r="R924" s="72" t="inlineStr">
        <is>
          <t>ESTOQUE DE MERCADORIAS</t>
        </is>
      </c>
      <c r="S924" s="70" t="n">
        <v>1130101</v>
      </c>
      <c r="T924" s="72" t="inlineStr">
        <is>
          <t>MERCADORIAS P/REVENDA</t>
        </is>
      </c>
      <c r="U924" s="73" t="n">
        <v>3224.65</v>
      </c>
      <c r="W924" s="73" t="n">
        <v>0</v>
      </c>
      <c r="X924" s="72" t="inlineStr">
        <is>
          <t>NF 1773396/ NF 1773397 -01 MILKA</t>
        </is>
      </c>
      <c r="Z924" s="59">
        <f>IF($T924="","",IFERROR(INDEX('Resumo Grupos'!$AC$3:$AC$200,MATCH($T924,'Resumo Grupos'!$AB$3:$AB$200,0)),"n/d"))</f>
        <v/>
      </c>
      <c r="AA924" s="59">
        <f>IF($T924="","",IF(COUNTIF('Resumo Grupos'!$AE$3:$AE$40,$T924)&gt;0,"NAO","SIM"))</f>
        <v/>
      </c>
    </row>
    <row r="925" ht="27.75" customHeight="1" s="60">
      <c r="A925" s="70" t="n">
        <v>1</v>
      </c>
      <c r="B925" s="71" t="n">
        <v>46196</v>
      </c>
      <c r="C925" s="71" t="n">
        <v>46210</v>
      </c>
      <c r="D925" s="70" t="n">
        <v>1705</v>
      </c>
      <c r="E925" s="72" t="inlineStr">
        <is>
          <t>BRASIL NORTE BEBIDAS S/A</t>
        </is>
      </c>
      <c r="F925" s="70" t="n">
        <v>24</v>
      </c>
      <c r="G925" s="72" t="inlineStr">
        <is>
          <t>Compra a Prazo - Boletos</t>
        </is>
      </c>
      <c r="H925" s="70" t="n">
        <v>2110101</v>
      </c>
      <c r="I925" s="72" t="inlineStr">
        <is>
          <t>FORNECEDORES DE MERCADORIA</t>
        </is>
      </c>
      <c r="J925" s="70" t="n">
        <v>1295709</v>
      </c>
      <c r="L925" s="70" t="n">
        <v>1170695</v>
      </c>
      <c r="M925" s="72" t="inlineStr">
        <is>
          <t>01</t>
        </is>
      </c>
      <c r="N925" s="72" t="inlineStr">
        <is>
          <t>NFE</t>
        </is>
      </c>
      <c r="P925" s="70" t="n">
        <v>103</v>
      </c>
      <c r="Q925" s="72" t="inlineStr">
        <is>
          <t>MILKA FRANCIS</t>
        </is>
      </c>
      <c r="R925" s="72" t="inlineStr">
        <is>
          <t>ESTOQUE DE MERCADORIAS</t>
        </is>
      </c>
      <c r="S925" s="70" t="n">
        <v>1130101</v>
      </c>
      <c r="T925" s="72" t="inlineStr">
        <is>
          <t>MERCADORIAS P/REVENDA</t>
        </is>
      </c>
      <c r="U925" s="73" t="n">
        <v>461.34</v>
      </c>
      <c r="W925" s="73" t="n">
        <v>0</v>
      </c>
      <c r="X925" s="72" t="inlineStr">
        <is>
          <t>NF 1170695 - MILKA</t>
        </is>
      </c>
      <c r="Z925" s="59">
        <f>IF($T925="","",IFERROR(INDEX('Resumo Grupos'!$AC$3:$AC$200,MATCH($T925,'Resumo Grupos'!$AB$3:$AB$200,0)),"n/d"))</f>
        <v/>
      </c>
      <c r="AA925" s="59">
        <f>IF($T925="","",IF(COUNTIF('Resumo Grupos'!$AE$3:$AE$40,$T925)&gt;0,"NAO","SIM"))</f>
        <v/>
      </c>
    </row>
    <row r="926" ht="45.75" customHeight="1" s="60">
      <c r="A926" s="70" t="n">
        <v>1</v>
      </c>
      <c r="B926" s="71" t="n">
        <v>46197</v>
      </c>
      <c r="C926" s="71" t="n">
        <v>46210</v>
      </c>
      <c r="D926" s="70" t="n">
        <v>10073</v>
      </c>
      <c r="E926" s="72" t="inlineStr">
        <is>
          <t>CACAU NORTE DISTRIBUIDORA DE PRODUTOS ALIMENTICIOS LTDA</t>
        </is>
      </c>
      <c r="F926" s="70" t="n">
        <v>24</v>
      </c>
      <c r="G926" s="72" t="inlineStr">
        <is>
          <t>Compra a Prazo - Boletos</t>
        </is>
      </c>
      <c r="H926" s="70" t="n">
        <v>2110101</v>
      </c>
      <c r="I926" s="72" t="inlineStr">
        <is>
          <t>FORNECEDORES DE MERCADORIA</t>
        </is>
      </c>
      <c r="J926" s="70" t="n">
        <v>1300300</v>
      </c>
      <c r="L926" s="70" t="n">
        <v>178</v>
      </c>
      <c r="M926" s="72" t="inlineStr">
        <is>
          <t>01</t>
        </is>
      </c>
      <c r="N926" s="72" t="inlineStr">
        <is>
          <t>NFE</t>
        </is>
      </c>
      <c r="P926" s="70" t="n">
        <v>103</v>
      </c>
      <c r="Q926" s="72" t="inlineStr">
        <is>
          <t>MILKA FRANCIS</t>
        </is>
      </c>
      <c r="R926" s="72" t="inlineStr">
        <is>
          <t>ESTOQUE DE MERCADORIAS</t>
        </is>
      </c>
      <c r="S926" s="70" t="n">
        <v>1130101</v>
      </c>
      <c r="T926" s="72" t="inlineStr">
        <is>
          <t>MERCADORIAS P/REVENDA</t>
        </is>
      </c>
      <c r="U926" s="73" t="n">
        <v>369.3</v>
      </c>
      <c r="W926" s="73" t="n">
        <v>0</v>
      </c>
      <c r="X926" s="72" t="inlineStr">
        <is>
          <t>NF 178 - MILKA</t>
        </is>
      </c>
      <c r="Z926" s="59">
        <f>IF($T926="","",IFERROR(INDEX('Resumo Grupos'!$AC$3:$AC$200,MATCH($T926,'Resumo Grupos'!$AB$3:$AB$200,0)),"n/d"))</f>
        <v/>
      </c>
      <c r="AA926" s="59">
        <f>IF($T926="","",IF(COUNTIF('Resumo Grupos'!$AE$3:$AE$40,$T926)&gt;0,"NAO","SIM"))</f>
        <v/>
      </c>
    </row>
    <row r="927" ht="63.75" customHeight="1" s="60">
      <c r="A927" s="70" t="n">
        <v>1</v>
      </c>
      <c r="B927" s="71" t="n">
        <v>46199</v>
      </c>
      <c r="C927" s="71" t="n">
        <v>46210</v>
      </c>
      <c r="D927" s="70" t="n">
        <v>1114</v>
      </c>
      <c r="E927" s="72" t="inlineStr">
        <is>
          <t>NT INDUSTRIA E COMERCIO DE PANIFICACAO L</t>
        </is>
      </c>
      <c r="F927" s="70" t="n">
        <v>24</v>
      </c>
      <c r="G927" s="72" t="inlineStr">
        <is>
          <t>Compra a Prazo - Boletos</t>
        </is>
      </c>
      <c r="H927" s="70" t="n">
        <v>2110101</v>
      </c>
      <c r="I927" s="72" t="inlineStr">
        <is>
          <t>FORNECEDORES DE MERCADORIA</t>
        </is>
      </c>
      <c r="J927" s="70" t="n">
        <v>1308995</v>
      </c>
      <c r="L927" s="70" t="n">
        <v>39200</v>
      </c>
      <c r="M927" s="72" t="inlineStr">
        <is>
          <t>01</t>
        </is>
      </c>
      <c r="N927" s="72" t="inlineStr">
        <is>
          <t>NFE</t>
        </is>
      </c>
      <c r="P927" s="70" t="n">
        <v>103</v>
      </c>
      <c r="Q927" s="72" t="inlineStr">
        <is>
          <t>MILKA FRANCIS</t>
        </is>
      </c>
      <c r="R927" s="72" t="inlineStr">
        <is>
          <t>ESTOQUE DE MERCADORIAS</t>
        </is>
      </c>
      <c r="S927" s="70" t="n">
        <v>1130101</v>
      </c>
      <c r="T927" s="72" t="inlineStr">
        <is>
          <t>MERCADORIAS P/REVENDA</t>
        </is>
      </c>
      <c r="U927" s="73" t="n">
        <v>4267.21</v>
      </c>
      <c r="W927" s="73" t="n">
        <v>0</v>
      </c>
      <c r="X927" s="72" t="inlineStr">
        <is>
          <t>NF 39200 - MILKA</t>
        </is>
      </c>
      <c r="Z927" s="59">
        <f>IF($T927="","",IFERROR(INDEX('Resumo Grupos'!$AC$3:$AC$200,MATCH($T927,'Resumo Grupos'!$AB$3:$AB$200,0)),"n/d"))</f>
        <v/>
      </c>
      <c r="AA927" s="59">
        <f>IF($T927="","",IF(COUNTIF('Resumo Grupos'!$AE$3:$AE$40,$T927)&gt;0,"NAO","SIM"))</f>
        <v/>
      </c>
    </row>
    <row r="928" ht="54.75" customHeight="1" s="60">
      <c r="A928" s="70" t="n">
        <v>1</v>
      </c>
      <c r="B928" s="71" t="n">
        <v>46202</v>
      </c>
      <c r="C928" s="71" t="n">
        <v>46210</v>
      </c>
      <c r="D928" s="70" t="n">
        <v>10029</v>
      </c>
      <c r="E928" s="72" t="inlineStr">
        <is>
          <t>AUGUSTA E BOMFIM LTDA</t>
        </is>
      </c>
      <c r="F928" s="70" t="n">
        <v>24</v>
      </c>
      <c r="G928" s="72" t="inlineStr">
        <is>
          <t>Compra a Prazo - Boletos</t>
        </is>
      </c>
      <c r="H928" s="70" t="n">
        <v>2110102</v>
      </c>
      <c r="I928" s="72" t="inlineStr">
        <is>
          <t>OUTROS FORNECEDORES</t>
        </is>
      </c>
      <c r="J928" s="70" t="n">
        <v>1322427</v>
      </c>
      <c r="L928" s="70" t="n">
        <v>187</v>
      </c>
      <c r="M928" s="72" t="inlineStr">
        <is>
          <t>01</t>
        </is>
      </c>
      <c r="N928" s="72" t="inlineStr">
        <is>
          <t>NFE</t>
        </is>
      </c>
      <c r="P928" s="70" t="n">
        <v>103</v>
      </c>
      <c r="Q928" s="72" t="inlineStr">
        <is>
          <t>MILKA FRANCIS</t>
        </is>
      </c>
      <c r="R928" s="72" t="inlineStr">
        <is>
          <t>DESPESAS OPERACIONAIS</t>
        </is>
      </c>
      <c r="S928" s="70" t="n">
        <v>4210204</v>
      </c>
      <c r="T928" s="72" t="inlineStr">
        <is>
          <t>MATERIAL DE CONSUMO</t>
        </is>
      </c>
      <c r="U928" s="73" t="n">
        <v>2450</v>
      </c>
      <c r="W928" s="73" t="n">
        <v>0</v>
      </c>
      <c r="X928" s="72" t="inlineStr">
        <is>
          <t>NF 187 DESPESA - MILKA EMBALAGEM</t>
        </is>
      </c>
      <c r="Z928" s="59">
        <f>IF($T928="","",IFERROR(INDEX('Resumo Grupos'!$AC$3:$AC$200,MATCH($T928,'Resumo Grupos'!$AB$3:$AB$200,0)),"n/d"))</f>
        <v/>
      </c>
      <c r="AA928" s="59">
        <f>IF($T928="","",IF(COUNTIF('Resumo Grupos'!$AE$3:$AE$40,$T928)&gt;0,"NAO","SIM"))</f>
        <v/>
      </c>
    </row>
    <row r="929" ht="63.75" customHeight="1" s="60">
      <c r="A929" s="70" t="n">
        <v>1</v>
      </c>
      <c r="B929" s="71" t="n">
        <v>46202</v>
      </c>
      <c r="C929" s="71" t="n">
        <v>46210</v>
      </c>
      <c r="D929" s="70" t="n">
        <v>17</v>
      </c>
      <c r="E929" s="72" t="inlineStr">
        <is>
          <t>NEYLIANE SILVA DE OLIVEIRA</t>
        </is>
      </c>
      <c r="F929" s="70" t="n">
        <v>24</v>
      </c>
      <c r="G929" s="72" t="inlineStr">
        <is>
          <t>Compra a Prazo - Boletos</t>
        </is>
      </c>
      <c r="H929" s="70" t="n">
        <v>2110405</v>
      </c>
      <c r="I929" s="72" t="inlineStr">
        <is>
          <t>CONTAS A PAGAR</t>
        </is>
      </c>
      <c r="J929" s="70" t="n">
        <v>1323809</v>
      </c>
      <c r="L929" s="70" t="n">
        <v>548260</v>
      </c>
      <c r="M929" s="72" t="inlineStr">
        <is>
          <t>01</t>
        </is>
      </c>
      <c r="N929" s="72" t="inlineStr">
        <is>
          <t>AVU</t>
        </is>
      </c>
      <c r="P929" s="70" t="n">
        <v>101</v>
      </c>
      <c r="Q929" s="72" t="inlineStr">
        <is>
          <t>KEILA LIMA</t>
        </is>
      </c>
      <c r="R929" s="72" t="inlineStr">
        <is>
          <t>DESPESAS NAO OPERACIONAIS</t>
        </is>
      </c>
      <c r="S929" s="70" t="n">
        <v>4220199</v>
      </c>
      <c r="T929" s="72" t="inlineStr">
        <is>
          <t>PAGAMENTOS OUTROS NAO OPERACIONAIS</t>
        </is>
      </c>
      <c r="U929" s="73" t="n">
        <v>636.58</v>
      </c>
      <c r="W929" s="73" t="n">
        <v>0</v>
      </c>
      <c r="X929" s="72" t="inlineStr">
        <is>
          <t>PL NEILA ENERGIA - KEILA</t>
        </is>
      </c>
      <c r="Z929" s="59">
        <f>IF($T929="","",IFERROR(INDEX('Resumo Grupos'!$AC$3:$AC$200,MATCH($T929,'Resumo Grupos'!$AB$3:$AB$200,0)),"n/d"))</f>
        <v/>
      </c>
      <c r="AA929" s="59">
        <f>IF($T929="","",IF(COUNTIF('Resumo Grupos'!$AE$3:$AE$40,$T929)&gt;0,"NAO","SIM"))</f>
        <v/>
      </c>
    </row>
    <row r="930" ht="54.75" customHeight="1" s="60">
      <c r="A930" s="70" t="n">
        <v>1</v>
      </c>
      <c r="B930" s="71" t="n">
        <v>46203</v>
      </c>
      <c r="C930" s="71" t="n">
        <v>46210</v>
      </c>
      <c r="D930" s="70" t="n">
        <v>1625</v>
      </c>
      <c r="E930" s="72" t="inlineStr">
        <is>
          <t>MAXFRI DISTRIUIDORA LTDA</t>
        </is>
      </c>
      <c r="F930" s="70" t="n">
        <v>24</v>
      </c>
      <c r="G930" s="72" t="inlineStr">
        <is>
          <t>Compra a Prazo - Boletos</t>
        </is>
      </c>
      <c r="H930" s="70" t="n">
        <v>2110101</v>
      </c>
      <c r="I930" s="72" t="inlineStr">
        <is>
          <t>FORNECEDORES DE MERCADORIA</t>
        </is>
      </c>
      <c r="J930" s="70" t="n">
        <v>1330590</v>
      </c>
      <c r="L930" s="70" t="n">
        <v>14587</v>
      </c>
      <c r="M930" s="72" t="inlineStr">
        <is>
          <t>01</t>
        </is>
      </c>
      <c r="N930" s="72" t="inlineStr">
        <is>
          <t>NFE</t>
        </is>
      </c>
      <c r="P930" s="70" t="n">
        <v>103</v>
      </c>
      <c r="Q930" s="72" t="inlineStr">
        <is>
          <t>MILKA FRANCIS</t>
        </is>
      </c>
      <c r="R930" s="72" t="inlineStr">
        <is>
          <t>ESTOQUE DE MERCADORIAS</t>
        </is>
      </c>
      <c r="S930" s="70" t="n">
        <v>1130101</v>
      </c>
      <c r="T930" s="72" t="inlineStr">
        <is>
          <t>MERCADORIAS P/REVENDA</t>
        </is>
      </c>
      <c r="U930" s="73" t="n">
        <v>3046.54</v>
      </c>
      <c r="W930" s="73" t="n">
        <v>0</v>
      </c>
      <c r="X930" s="72" t="inlineStr">
        <is>
          <t>NF 14587 - MILKA</t>
        </is>
      </c>
      <c r="Z930" s="59">
        <f>IF($T930="","",IFERROR(INDEX('Resumo Grupos'!$AC$3:$AC$200,MATCH($T930,'Resumo Grupos'!$AB$3:$AB$200,0)),"n/d"))</f>
        <v/>
      </c>
      <c r="AA930" s="59">
        <f>IF($T930="","",IF(COUNTIF('Resumo Grupos'!$AE$3:$AE$40,$T930)&gt;0,"NAO","SIM"))</f>
        <v/>
      </c>
    </row>
    <row r="931" ht="54.75" customHeight="1" s="60">
      <c r="A931" s="70" t="n">
        <v>1</v>
      </c>
      <c r="B931" s="71" t="n">
        <v>46203</v>
      </c>
      <c r="C931" s="71" t="n">
        <v>46210</v>
      </c>
      <c r="D931" s="70" t="n">
        <v>1631</v>
      </c>
      <c r="E931" s="72" t="inlineStr">
        <is>
          <t>T. M. L. DA SILVA LTDA</t>
        </is>
      </c>
      <c r="F931" s="70" t="n">
        <v>24</v>
      </c>
      <c r="G931" s="72" t="inlineStr">
        <is>
          <t>Compra a Prazo - Boletos</t>
        </is>
      </c>
      <c r="H931" s="70" t="n">
        <v>2110101</v>
      </c>
      <c r="I931" s="72" t="inlineStr">
        <is>
          <t>FORNECEDORES DE MERCADORIA</t>
        </is>
      </c>
      <c r="J931" s="70" t="n">
        <v>1331169</v>
      </c>
      <c r="L931" s="70" t="n">
        <v>15072</v>
      </c>
      <c r="M931" s="72" t="inlineStr">
        <is>
          <t>01</t>
        </is>
      </c>
      <c r="N931" s="72" t="inlineStr">
        <is>
          <t>NFE</t>
        </is>
      </c>
      <c r="P931" s="70" t="n">
        <v>103</v>
      </c>
      <c r="Q931" s="72" t="inlineStr">
        <is>
          <t>MILKA FRANCIS</t>
        </is>
      </c>
      <c r="R931" s="72" t="inlineStr">
        <is>
          <t>ESTOQUE DE MERCADORIAS</t>
        </is>
      </c>
      <c r="S931" s="70" t="n">
        <v>1130101</v>
      </c>
      <c r="T931" s="72" t="inlineStr">
        <is>
          <t>MERCADORIAS P/REVENDA</t>
        </is>
      </c>
      <c r="U931" s="73" t="n">
        <v>531.52</v>
      </c>
      <c r="W931" s="73" t="n">
        <v>0</v>
      </c>
      <c r="X931" s="72" t="inlineStr">
        <is>
          <t>NF 15072 AMAZONGURT - MILKA</t>
        </is>
      </c>
      <c r="Z931" s="59">
        <f>IF($T931="","",IFERROR(INDEX('Resumo Grupos'!$AC$3:$AC$200,MATCH($T931,'Resumo Grupos'!$AB$3:$AB$200,0)),"n/d"))</f>
        <v/>
      </c>
      <c r="AA931" s="59">
        <f>IF($T931="","",IF(COUNTIF('Resumo Grupos'!$AE$3:$AE$40,$T931)&gt;0,"NAO","SIM"))</f>
        <v/>
      </c>
    </row>
    <row r="932" ht="54.75" customHeight="1" s="60">
      <c r="A932" s="70" t="n">
        <v>1</v>
      </c>
      <c r="B932" s="71" t="n">
        <v>46203</v>
      </c>
      <c r="C932" s="71" t="n">
        <v>46210</v>
      </c>
      <c r="D932" s="70" t="n">
        <v>1642</v>
      </c>
      <c r="E932" s="72" t="inlineStr">
        <is>
          <t>BROTHERS  INDUSTRIA DE ALIMENTOS LTDA</t>
        </is>
      </c>
      <c r="F932" s="70" t="n">
        <v>24</v>
      </c>
      <c r="G932" s="72" t="inlineStr">
        <is>
          <t>Compra a Prazo - Boletos</t>
        </is>
      </c>
      <c r="H932" s="70" t="n">
        <v>2110101</v>
      </c>
      <c r="I932" s="72" t="inlineStr">
        <is>
          <t>FORNECEDORES DE MERCADORIA</t>
        </is>
      </c>
      <c r="J932" s="70" t="n">
        <v>1331216</v>
      </c>
      <c r="L932" s="70" t="n">
        <v>1029524</v>
      </c>
      <c r="M932" s="72" t="inlineStr">
        <is>
          <t>01</t>
        </is>
      </c>
      <c r="N932" s="72" t="inlineStr">
        <is>
          <t>NFE</t>
        </is>
      </c>
      <c r="P932" s="70" t="n">
        <v>103</v>
      </c>
      <c r="Q932" s="72" t="inlineStr">
        <is>
          <t>MILKA FRANCIS</t>
        </is>
      </c>
      <c r="R932" s="72" t="inlineStr">
        <is>
          <t>ESTOQUE DE MERCADORIAS</t>
        </is>
      </c>
      <c r="S932" s="70" t="n">
        <v>1130101</v>
      </c>
      <c r="T932" s="72" t="inlineStr">
        <is>
          <t>MERCADORIAS P/REVENDA</t>
        </is>
      </c>
      <c r="U932" s="73" t="n">
        <v>769.1799999999999</v>
      </c>
      <c r="W932" s="73" t="n">
        <v>0</v>
      </c>
      <c r="X932" s="72" t="inlineStr">
        <is>
          <t>NF 1029524 - MILKA</t>
        </is>
      </c>
      <c r="Z932" s="59">
        <f>IF($T932="","",IFERROR(INDEX('Resumo Grupos'!$AC$3:$AC$200,MATCH($T932,'Resumo Grupos'!$AB$3:$AB$200,0)),"n/d"))</f>
        <v/>
      </c>
      <c r="AA932" s="59">
        <f>IF($T932="","",IF(COUNTIF('Resumo Grupos'!$AE$3:$AE$40,$T932)&gt;0,"NAO","SIM"))</f>
        <v/>
      </c>
    </row>
    <row r="933" ht="45.75" customHeight="1" s="60">
      <c r="A933" s="70" t="n">
        <v>1</v>
      </c>
      <c r="B933" s="71" t="n">
        <v>46203</v>
      </c>
      <c r="C933" s="71" t="n">
        <v>46210</v>
      </c>
      <c r="D933" s="70" t="n">
        <v>1363</v>
      </c>
      <c r="E933" s="72" t="inlineStr">
        <is>
          <t>JAB COMERCIO DE PRODUTOS ALIMENTICIOS LT</t>
        </is>
      </c>
      <c r="F933" s="70" t="n">
        <v>24</v>
      </c>
      <c r="G933" s="72" t="inlineStr">
        <is>
          <t>Compra a Prazo - Boletos</t>
        </is>
      </c>
      <c r="H933" s="70" t="n">
        <v>2110101</v>
      </c>
      <c r="I933" s="72" t="inlineStr">
        <is>
          <t>FORNECEDORES DE MERCADORIA</t>
        </is>
      </c>
      <c r="J933" s="70" t="n">
        <v>1331234</v>
      </c>
      <c r="L933" s="70" t="n">
        <v>3456</v>
      </c>
      <c r="M933" s="72" t="inlineStr">
        <is>
          <t>01</t>
        </is>
      </c>
      <c r="N933" s="72" t="inlineStr">
        <is>
          <t>NFE</t>
        </is>
      </c>
      <c r="P933" s="70" t="n">
        <v>103</v>
      </c>
      <c r="Q933" s="72" t="inlineStr">
        <is>
          <t>MILKA FRANCIS</t>
        </is>
      </c>
      <c r="R933" s="72" t="inlineStr">
        <is>
          <t>ESTOQUE DE MERCADORIAS</t>
        </is>
      </c>
      <c r="S933" s="70" t="n">
        <v>1130101</v>
      </c>
      <c r="T933" s="72" t="inlineStr">
        <is>
          <t>MERCADORIAS P/REVENDA</t>
        </is>
      </c>
      <c r="U933" s="73" t="n">
        <v>368</v>
      </c>
      <c r="W933" s="73" t="n">
        <v>0</v>
      </c>
      <c r="X933" s="72" t="inlineStr">
        <is>
          <t>NF 3456 SANTOPAO - MILKA</t>
        </is>
      </c>
      <c r="Z933" s="59">
        <f>IF($T933="","",IFERROR(INDEX('Resumo Grupos'!$AC$3:$AC$200,MATCH($T933,'Resumo Grupos'!$AB$3:$AB$200,0)),"n/d"))</f>
        <v/>
      </c>
      <c r="AA933" s="59">
        <f>IF($T933="","",IF(COUNTIF('Resumo Grupos'!$AE$3:$AE$40,$T933)&gt;0,"NAO","SIM"))</f>
        <v/>
      </c>
    </row>
    <row r="934" ht="36.75" customHeight="1" s="60">
      <c r="A934" s="70" t="n">
        <v>1</v>
      </c>
      <c r="B934" s="71" t="n">
        <v>46204</v>
      </c>
      <c r="C934" s="71" t="n">
        <v>46210</v>
      </c>
      <c r="D934" s="70" t="n">
        <v>1286</v>
      </c>
      <c r="E934" s="72" t="inlineStr">
        <is>
          <t>VITAPAN COMERCIO VAREJISTA DE PRODUTOS ALIMENTICIOS LTDA</t>
        </is>
      </c>
      <c r="F934" s="70" t="n">
        <v>24</v>
      </c>
      <c r="G934" s="72" t="inlineStr">
        <is>
          <t>Compra a Prazo - Boletos</t>
        </is>
      </c>
      <c r="H934" s="70" t="n">
        <v>2110101</v>
      </c>
      <c r="I934" s="72" t="inlineStr">
        <is>
          <t>FORNECEDORES DE MERCADORIA</t>
        </is>
      </c>
      <c r="J934" s="70" t="n">
        <v>1333888</v>
      </c>
      <c r="L934" s="70" t="n">
        <v>10212</v>
      </c>
      <c r="M934" s="72" t="inlineStr">
        <is>
          <t>01</t>
        </is>
      </c>
      <c r="N934" s="72" t="inlineStr">
        <is>
          <t>NFE</t>
        </is>
      </c>
      <c r="P934" s="70" t="n">
        <v>103</v>
      </c>
      <c r="Q934" s="72" t="inlineStr">
        <is>
          <t>MILKA FRANCIS</t>
        </is>
      </c>
      <c r="R934" s="72" t="inlineStr">
        <is>
          <t>ESTOQUE DE MERCADORIAS</t>
        </is>
      </c>
      <c r="S934" s="70" t="n">
        <v>1130101</v>
      </c>
      <c r="T934" s="72" t="inlineStr">
        <is>
          <t>MERCADORIAS P/REVENDA</t>
        </is>
      </c>
      <c r="U934" s="73" t="n">
        <v>1188</v>
      </c>
      <c r="W934" s="73" t="n">
        <v>0</v>
      </c>
      <c r="X934" s="72" t="inlineStr">
        <is>
          <t>NF 10212 - MILKA</t>
        </is>
      </c>
      <c r="Z934" s="59">
        <f>IF($T934="","",IFERROR(INDEX('Resumo Grupos'!$AC$3:$AC$200,MATCH($T934,'Resumo Grupos'!$AB$3:$AB$200,0)),"n/d"))</f>
        <v/>
      </c>
      <c r="AA934" s="59">
        <f>IF($T934="","",IF(COUNTIF('Resumo Grupos'!$AE$3:$AE$40,$T934)&gt;0,"NAO","SIM"))</f>
        <v/>
      </c>
    </row>
    <row r="935" ht="36.75" customHeight="1" s="60">
      <c r="A935" s="70" t="n">
        <v>1</v>
      </c>
      <c r="B935" s="71" t="n">
        <v>46204</v>
      </c>
      <c r="C935" s="71" t="n">
        <v>46210</v>
      </c>
      <c r="D935" s="70" t="n">
        <v>754</v>
      </c>
      <c r="E935" s="72" t="inlineStr">
        <is>
          <t>SILVA E SANTOS FRIGORIFICO LTDA</t>
        </is>
      </c>
      <c r="F935" s="70" t="n">
        <v>24</v>
      </c>
      <c r="G935" s="72" t="inlineStr">
        <is>
          <t>Compra a Prazo - Boletos</t>
        </is>
      </c>
      <c r="H935" s="70" t="n">
        <v>2110101</v>
      </c>
      <c r="I935" s="72" t="inlineStr">
        <is>
          <t>FORNECEDORES DE MERCADORIA</t>
        </is>
      </c>
      <c r="J935" s="70" t="n">
        <v>1335562</v>
      </c>
      <c r="L935" s="70" t="n">
        <v>31489</v>
      </c>
      <c r="M935" s="72" t="inlineStr">
        <is>
          <t>01</t>
        </is>
      </c>
      <c r="N935" s="72" t="inlineStr">
        <is>
          <t>NFE</t>
        </is>
      </c>
      <c r="P935" s="70" t="n">
        <v>103</v>
      </c>
      <c r="Q935" s="72" t="inlineStr">
        <is>
          <t>MILKA FRANCIS</t>
        </is>
      </c>
      <c r="R935" s="72" t="inlineStr">
        <is>
          <t>ESTOQUE DE MERCADORIAS</t>
        </is>
      </c>
      <c r="S935" s="70" t="n">
        <v>1130101</v>
      </c>
      <c r="T935" s="72" t="inlineStr">
        <is>
          <t>MERCADORIAS P/REVENDA</t>
        </is>
      </c>
      <c r="U935" s="73" t="n">
        <v>1840</v>
      </c>
      <c r="W935" s="73" t="n">
        <v>0</v>
      </c>
      <c r="X935" s="72" t="inlineStr">
        <is>
          <t>NF 31489 - MILKA</t>
        </is>
      </c>
      <c r="Z935" s="59">
        <f>IF($T935="","",IFERROR(INDEX('Resumo Grupos'!$AC$3:$AC$200,MATCH($T935,'Resumo Grupos'!$AB$3:$AB$200,0)),"n/d"))</f>
        <v/>
      </c>
      <c r="AA935" s="59">
        <f>IF($T935="","",IF(COUNTIF('Resumo Grupos'!$AE$3:$AE$40,$T935)&gt;0,"NAO","SIM"))</f>
        <v/>
      </c>
    </row>
    <row r="936" ht="27.75" customHeight="1" s="60">
      <c r="A936" s="70" t="n">
        <v>1</v>
      </c>
      <c r="B936" s="71" t="n">
        <v>46204</v>
      </c>
      <c r="C936" s="71" t="n">
        <v>46210</v>
      </c>
      <c r="D936" s="70" t="n">
        <v>754</v>
      </c>
      <c r="E936" s="72" t="inlineStr">
        <is>
          <t>SILVA E SANTOS FRIGORIFICO LTDA</t>
        </is>
      </c>
      <c r="F936" s="70" t="n">
        <v>24</v>
      </c>
      <c r="G936" s="72" t="inlineStr">
        <is>
          <t>Compra a Prazo - Boletos</t>
        </is>
      </c>
      <c r="H936" s="70" t="n">
        <v>2110101</v>
      </c>
      <c r="I936" s="72" t="inlineStr">
        <is>
          <t>FORNECEDORES DE MERCADORIA</t>
        </is>
      </c>
      <c r="J936" s="70" t="n">
        <v>1335621</v>
      </c>
      <c r="L936" s="70" t="n">
        <v>31488</v>
      </c>
      <c r="M936" s="72" t="inlineStr">
        <is>
          <t>01</t>
        </is>
      </c>
      <c r="N936" s="72" t="inlineStr">
        <is>
          <t>NFE</t>
        </is>
      </c>
      <c r="P936" s="70" t="n">
        <v>103</v>
      </c>
      <c r="Q936" s="72" t="inlineStr">
        <is>
          <t>MILKA FRANCIS</t>
        </is>
      </c>
      <c r="R936" s="72" t="inlineStr">
        <is>
          <t>ESTOQUE DE MERCADORIAS</t>
        </is>
      </c>
      <c r="S936" s="70" t="n">
        <v>1130101</v>
      </c>
      <c r="T936" s="72" t="inlineStr">
        <is>
          <t>MERCADORIAS P/REVENDA</t>
        </is>
      </c>
      <c r="U936" s="73" t="n">
        <v>3080</v>
      </c>
      <c r="W936" s="73" t="n">
        <v>0</v>
      </c>
      <c r="X936" s="72" t="inlineStr">
        <is>
          <t>NF31488 - MILKA</t>
        </is>
      </c>
      <c r="Z936" s="59">
        <f>IF($T936="","",IFERROR(INDEX('Resumo Grupos'!$AC$3:$AC$200,MATCH($T936,'Resumo Grupos'!$AB$3:$AB$200,0)),"n/d"))</f>
        <v/>
      </c>
      <c r="AA936" s="59">
        <f>IF($T936="","",IF(COUNTIF('Resumo Grupos'!$AE$3:$AE$40,$T936)&gt;0,"NAO","SIM"))</f>
        <v/>
      </c>
    </row>
    <row r="937" ht="36.75" customHeight="1" s="60">
      <c r="A937" s="70" t="n">
        <v>1</v>
      </c>
      <c r="B937" s="71" t="n">
        <v>46205</v>
      </c>
      <c r="C937" s="71" t="n">
        <v>46210</v>
      </c>
      <c r="D937" s="70" t="n">
        <v>10018</v>
      </c>
      <c r="E937" s="72" t="inlineStr">
        <is>
          <t>ADRIANO FEITOSA OLIVEIRA LTDA</t>
        </is>
      </c>
      <c r="F937" s="70" t="n">
        <v>34</v>
      </c>
      <c r="G937" s="72" t="inlineStr">
        <is>
          <t>Transferencia Pix</t>
        </is>
      </c>
      <c r="H937" s="70" t="n">
        <v>2110101</v>
      </c>
      <c r="I937" s="72" t="inlineStr">
        <is>
          <t>FORNECEDORES DE MERCADORIA</t>
        </is>
      </c>
      <c r="J937" s="70" t="n">
        <v>1340368</v>
      </c>
      <c r="L937" s="70" t="n">
        <v>320</v>
      </c>
      <c r="M937" s="72" t="inlineStr">
        <is>
          <t>01</t>
        </is>
      </c>
      <c r="N937" s="72" t="inlineStr">
        <is>
          <t>NFE</t>
        </is>
      </c>
      <c r="P937" s="70" t="n">
        <v>103</v>
      </c>
      <c r="Q937" s="72" t="inlineStr">
        <is>
          <t>MILKA FRANCIS</t>
        </is>
      </c>
      <c r="R937" s="72" t="inlineStr">
        <is>
          <t>ESTOQUE DE MERCADORIAS</t>
        </is>
      </c>
      <c r="S937" s="70" t="n">
        <v>1130101</v>
      </c>
      <c r="T937" s="72" t="inlineStr">
        <is>
          <t>MERCADORIAS P/REVENDA</t>
        </is>
      </c>
      <c r="U937" s="73" t="n">
        <v>4139.57</v>
      </c>
      <c r="W937" s="73" t="n">
        <v>0</v>
      </c>
      <c r="X937" s="72" t="inlineStr">
        <is>
          <t>NF 320 - MILKA</t>
        </is>
      </c>
      <c r="Z937" s="59">
        <f>IF($T937="","",IFERROR(INDEX('Resumo Grupos'!$AC$3:$AC$200,MATCH($T937,'Resumo Grupos'!$AB$3:$AB$200,0)),"n/d"))</f>
        <v/>
      </c>
      <c r="AA937" s="59">
        <f>IF($T937="","",IF(COUNTIF('Resumo Grupos'!$AE$3:$AE$40,$T937)&gt;0,"NAO","SIM"))</f>
        <v/>
      </c>
    </row>
    <row r="938" ht="27.75" customHeight="1" s="60">
      <c r="A938" s="70" t="n">
        <v>1</v>
      </c>
      <c r="B938" s="71" t="n">
        <v>46207</v>
      </c>
      <c r="C938" s="71" t="n">
        <v>46210</v>
      </c>
      <c r="D938" s="70" t="n">
        <v>642</v>
      </c>
      <c r="E938" s="72" t="inlineStr">
        <is>
          <t>ADICSO FABIAN GONZALEZ MONTILLA 70302186</t>
        </is>
      </c>
      <c r="F938" s="70" t="n">
        <v>24</v>
      </c>
      <c r="G938" s="72" t="inlineStr">
        <is>
          <t>Compra a Prazo - Boletos</t>
        </is>
      </c>
      <c r="H938" s="70" t="n">
        <v>2110101</v>
      </c>
      <c r="I938" s="72" t="inlineStr">
        <is>
          <t>FORNECEDORES DE MERCADORIA</t>
        </is>
      </c>
      <c r="J938" s="70" t="n">
        <v>1348664</v>
      </c>
      <c r="L938" s="70" t="n">
        <v>519</v>
      </c>
      <c r="M938" s="72" t="inlineStr">
        <is>
          <t>01</t>
        </is>
      </c>
      <c r="N938" s="72" t="inlineStr">
        <is>
          <t>NFE</t>
        </is>
      </c>
      <c r="P938" s="70" t="n">
        <v>103</v>
      </c>
      <c r="Q938" s="72" t="inlineStr">
        <is>
          <t>MILKA FRANCIS</t>
        </is>
      </c>
      <c r="R938" s="72" t="inlineStr">
        <is>
          <t>ESTOQUE DE MERCADORIAS</t>
        </is>
      </c>
      <c r="S938" s="70" t="n">
        <v>1130101</v>
      </c>
      <c r="T938" s="72" t="inlineStr">
        <is>
          <t>MERCADORIAS P/REVENDA</t>
        </is>
      </c>
      <c r="U938" s="73" t="n">
        <v>936</v>
      </c>
      <c r="W938" s="73" t="n">
        <v>0</v>
      </c>
      <c r="X938" s="72" t="inlineStr">
        <is>
          <t>NF 519 BLOOM - MILKA</t>
        </is>
      </c>
      <c r="Z938" s="59">
        <f>IF($T938="","",IFERROR(INDEX('Resumo Grupos'!$AC$3:$AC$200,MATCH($T938,'Resumo Grupos'!$AB$3:$AB$200,0)),"n/d"))</f>
        <v/>
      </c>
      <c r="AA938" s="59">
        <f>IF($T938="","",IF(COUNTIF('Resumo Grupos'!$AE$3:$AE$40,$T938)&gt;0,"NAO","SIM"))</f>
        <v/>
      </c>
    </row>
    <row r="939" ht="36.75" customHeight="1" s="60">
      <c r="A939" s="70" t="n">
        <v>1</v>
      </c>
      <c r="B939" s="71" t="n">
        <v>46209</v>
      </c>
      <c r="C939" s="71" t="n">
        <v>46210</v>
      </c>
      <c r="D939" s="70" t="n">
        <v>10091</v>
      </c>
      <c r="E939" s="72" t="inlineStr">
        <is>
          <t>A M A DE LIMA INDUSTRIA E COMERCIO DE PRODUTOS ALIMENTICIOS LTDA</t>
        </is>
      </c>
      <c r="F939" s="70" t="n">
        <v>34</v>
      </c>
      <c r="G939" s="72" t="inlineStr">
        <is>
          <t>Transferencia Pix</t>
        </is>
      </c>
      <c r="H939" s="70" t="n">
        <v>2110101</v>
      </c>
      <c r="I939" s="72" t="inlineStr">
        <is>
          <t>FORNECEDORES DE MERCADORIA</t>
        </is>
      </c>
      <c r="J939" s="70" t="n">
        <v>1361611</v>
      </c>
      <c r="L939" s="70" t="n">
        <v>382</v>
      </c>
      <c r="M939" s="72" t="inlineStr">
        <is>
          <t>01</t>
        </is>
      </c>
      <c r="N939" s="72" t="inlineStr">
        <is>
          <t>NFE</t>
        </is>
      </c>
      <c r="P939" s="70" t="n">
        <v>103</v>
      </c>
      <c r="Q939" s="72" t="inlineStr">
        <is>
          <t>MILKA FRANCIS</t>
        </is>
      </c>
      <c r="R939" s="72" t="inlineStr">
        <is>
          <t>ESTOQUE DE MERCADORIAS</t>
        </is>
      </c>
      <c r="S939" s="70" t="n">
        <v>1130101</v>
      </c>
      <c r="T939" s="72" t="inlineStr">
        <is>
          <t>MERCADORIAS P/REVENDA</t>
        </is>
      </c>
      <c r="U939" s="73" t="n">
        <v>154.09</v>
      </c>
      <c r="W939" s="73" t="n">
        <v>0</v>
      </c>
      <c r="X939" s="72" t="inlineStr">
        <is>
          <t>PGTO P/ CPF DO SR. RENATO - MILKA</t>
        </is>
      </c>
      <c r="Z939" s="59">
        <f>IF($T939="","",IFERROR(INDEX('Resumo Grupos'!$AC$3:$AC$200,MATCH($T939,'Resumo Grupos'!$AB$3:$AB$200,0)),"n/d"))</f>
        <v/>
      </c>
      <c r="AA939" s="59">
        <f>IF($T939="","",IF(COUNTIF('Resumo Grupos'!$AE$3:$AE$40,$T939)&gt;0,"NAO","SIM"))</f>
        <v/>
      </c>
    </row>
    <row r="940" ht="36.75" customHeight="1" s="60">
      <c r="A940" s="70" t="n">
        <v>1</v>
      </c>
      <c r="B940" s="71" t="n">
        <v>46210</v>
      </c>
      <c r="C940" s="71" t="n">
        <v>46210</v>
      </c>
      <c r="D940" s="70" t="n">
        <v>1000001</v>
      </c>
      <c r="E940" s="72" t="inlineStr">
        <is>
          <t>CISS CONSULTORIA EM INFORMATICA, SERVICOS E SOFTWARE S/A</t>
        </is>
      </c>
      <c r="F940" s="70" t="n">
        <v>24</v>
      </c>
      <c r="G940" s="72" t="inlineStr">
        <is>
          <t>Compra a Prazo - Boletos</t>
        </is>
      </c>
      <c r="H940" s="70" t="n">
        <v>1110202</v>
      </c>
      <c r="I940" s="72" t="inlineStr">
        <is>
          <t>BANCO ITAU Lj 01</t>
        </is>
      </c>
      <c r="J940" s="70" t="n">
        <v>1364200</v>
      </c>
      <c r="L940" s="70" t="n">
        <v>563349</v>
      </c>
      <c r="M940" s="72" t="inlineStr">
        <is>
          <t>01</t>
        </is>
      </c>
      <c r="N940" s="72" t="inlineStr">
        <is>
          <t>AVU</t>
        </is>
      </c>
      <c r="P940" s="70" t="n">
        <v>101</v>
      </c>
      <c r="Q940" s="72" t="inlineStr">
        <is>
          <t>KEILA LIMA</t>
        </is>
      </c>
      <c r="R940" s="72" t="inlineStr">
        <is>
          <t>DESPESAS NAO OPERACIONAIS</t>
        </is>
      </c>
      <c r="S940" s="70" t="n">
        <v>4220199</v>
      </c>
      <c r="T940" s="72" t="inlineStr">
        <is>
          <t>PAGAMENTOS OUTROS NAO OPERACIONAIS</t>
        </is>
      </c>
      <c r="U940" s="73" t="n">
        <v>2380.07</v>
      </c>
      <c r="W940" s="73" t="n">
        <v>0</v>
      </c>
      <c r="X940" s="72" t="inlineStr">
        <is>
          <t>SISTEMA CISS NAO SOMAR - MENSA</t>
        </is>
      </c>
      <c r="Z940" s="59">
        <f>IF($T940="","",IFERROR(INDEX('Resumo Grupos'!$AC$3:$AC$200,MATCH($T940,'Resumo Grupos'!$AB$3:$AB$200,0)),"n/d"))</f>
        <v/>
      </c>
      <c r="AA940" s="59">
        <f>IF($T940="","",IF(COUNTIF('Resumo Grupos'!$AE$3:$AE$40,$T940)&gt;0,"NAO","SIM"))</f>
        <v/>
      </c>
    </row>
    <row r="941" ht="45.75" customHeight="1" s="60">
      <c r="A941" s="70" t="n">
        <v>1</v>
      </c>
      <c r="B941" s="71" t="n">
        <v>46210</v>
      </c>
      <c r="C941" s="71" t="n">
        <v>46210</v>
      </c>
      <c r="D941" s="70" t="n">
        <v>33</v>
      </c>
      <c r="E941" s="72" t="inlineStr">
        <is>
          <t>RENATO DE O AZEVEDO E CIA LTDA - EPP</t>
        </is>
      </c>
      <c r="F941" s="70" t="n">
        <v>13</v>
      </c>
      <c r="G941" s="72" t="inlineStr">
        <is>
          <t>Compra a Vista</t>
        </is>
      </c>
      <c r="H941" s="70" t="n">
        <v>2110101</v>
      </c>
      <c r="I941" s="72" t="inlineStr">
        <is>
          <t>FORNECEDORES DE MERCADORIA</t>
        </is>
      </c>
      <c r="J941" s="70" t="n">
        <v>1364558</v>
      </c>
      <c r="L941" s="70" t="n">
        <v>5263</v>
      </c>
      <c r="M941" s="72" t="inlineStr">
        <is>
          <t>01</t>
        </is>
      </c>
      <c r="N941" s="72" t="inlineStr">
        <is>
          <t>NFE</t>
        </is>
      </c>
      <c r="P941" s="70" t="n">
        <v>104</v>
      </c>
      <c r="Q941" s="72" t="inlineStr">
        <is>
          <t>DEBORA COSTA</t>
        </is>
      </c>
      <c r="R941" s="72" t="inlineStr">
        <is>
          <t>ESTOQUE DE MERCADORIAS</t>
        </is>
      </c>
      <c r="S941" s="70" t="n">
        <v>1130101</v>
      </c>
      <c r="T941" s="72" t="inlineStr">
        <is>
          <t>MERCADORIAS P/REVENDA</t>
        </is>
      </c>
      <c r="U941" s="73" t="n">
        <v>420</v>
      </c>
      <c r="W941" s="73" t="n">
        <v>420</v>
      </c>
      <c r="X941" s="72" t="inlineStr">
        <is>
          <t>ACAI DE ANORI - DEBORA</t>
        </is>
      </c>
      <c r="Z941" s="59">
        <f>IF($T941="","",IFERROR(INDEX('Resumo Grupos'!$AC$3:$AC$200,MATCH($T941,'Resumo Grupos'!$AB$3:$AB$200,0)),"n/d"))</f>
        <v/>
      </c>
      <c r="AA941" s="59">
        <f>IF($T941="","",IF(COUNTIF('Resumo Grupos'!$AE$3:$AE$40,$T941)&gt;0,"NAO","SIM"))</f>
        <v/>
      </c>
    </row>
    <row r="942" ht="36.75" customHeight="1" s="60">
      <c r="A942" s="70" t="n">
        <v>1</v>
      </c>
      <c r="B942" s="71" t="n">
        <v>46210</v>
      </c>
      <c r="C942" s="71" t="n">
        <v>46210</v>
      </c>
      <c r="D942" s="70" t="n">
        <v>306</v>
      </c>
      <c r="E942" s="72" t="inlineStr">
        <is>
          <t>P. A. P. CAVALCANTE LTDA</t>
        </is>
      </c>
      <c r="F942" s="70" t="n">
        <v>34</v>
      </c>
      <c r="G942" s="72" t="inlineStr">
        <is>
          <t>Transferencia Pix</t>
        </is>
      </c>
      <c r="H942" s="70" t="n">
        <v>1110202</v>
      </c>
      <c r="I942" s="72" t="inlineStr">
        <is>
          <t>BANCO ITAU Lj 01</t>
        </is>
      </c>
      <c r="J942" s="70" t="n">
        <v>1364634</v>
      </c>
      <c r="L942" s="70" t="n">
        <v>563499</v>
      </c>
      <c r="M942" s="72" t="inlineStr">
        <is>
          <t>01</t>
        </is>
      </c>
      <c r="N942" s="72" t="inlineStr">
        <is>
          <t>AVU</t>
        </is>
      </c>
      <c r="P942" s="70" t="n">
        <v>101</v>
      </c>
      <c r="Q942" s="72" t="inlineStr">
        <is>
          <t>KEILA LIMA</t>
        </is>
      </c>
      <c r="R942" s="72" t="inlineStr">
        <is>
          <t>DESPESAS NAO OPERACIONAIS</t>
        </is>
      </c>
      <c r="S942" s="70" t="n">
        <v>4220199</v>
      </c>
      <c r="T942" s="72" t="inlineStr">
        <is>
          <t>PAGAMENTOS OUTROS NAO OPERACIONAIS</t>
        </is>
      </c>
      <c r="U942" s="73" t="n">
        <v>1000</v>
      </c>
      <c r="W942" s="73" t="n">
        <v>0</v>
      </c>
      <c r="X942" s="72" t="n"/>
      <c r="Z942" s="59">
        <f>IF($T942="","",IFERROR(INDEX('Resumo Grupos'!$AC$3:$AC$200,MATCH($T942,'Resumo Grupos'!$AB$3:$AB$200,0)),"n/d"))</f>
        <v/>
      </c>
      <c r="AA942" s="59">
        <f>IF($T942="","",IF(COUNTIF('Resumo Grupos'!$AE$3:$AE$40,$T942)&gt;0,"NAO","SIM"))</f>
        <v/>
      </c>
    </row>
    <row r="943" ht="45.75" customHeight="1" s="60">
      <c r="A943" s="70" t="n">
        <v>1</v>
      </c>
      <c r="B943" s="71" t="n">
        <v>46210</v>
      </c>
      <c r="C943" s="71" t="n">
        <v>46210</v>
      </c>
      <c r="D943" s="70" t="n">
        <v>33</v>
      </c>
      <c r="E943" s="72" t="inlineStr">
        <is>
          <t>RENATO DE O AZEVEDO E CIA LTDA - EPP</t>
        </is>
      </c>
      <c r="F943" s="70" t="n">
        <v>13</v>
      </c>
      <c r="G943" s="72" t="inlineStr">
        <is>
          <t>Compra a Vista</t>
        </is>
      </c>
      <c r="H943" s="70" t="n">
        <v>2110101</v>
      </c>
      <c r="I943" s="72" t="inlineStr">
        <is>
          <t>FORNECEDORES DE MERCADORIA</t>
        </is>
      </c>
      <c r="J943" s="70" t="n">
        <v>1364644</v>
      </c>
      <c r="L943" s="70" t="n">
        <v>5266</v>
      </c>
      <c r="M943" s="72" t="inlineStr">
        <is>
          <t>01</t>
        </is>
      </c>
      <c r="N943" s="72" t="inlineStr">
        <is>
          <t>NFE</t>
        </is>
      </c>
      <c r="P943" s="70" t="n">
        <v>104</v>
      </c>
      <c r="Q943" s="72" t="inlineStr">
        <is>
          <t>DEBORA COSTA</t>
        </is>
      </c>
      <c r="R943" s="72" t="inlineStr">
        <is>
          <t>ESTOQUE DE MERCADORIAS</t>
        </is>
      </c>
      <c r="S943" s="70" t="n">
        <v>1130101</v>
      </c>
      <c r="T943" s="72" t="inlineStr">
        <is>
          <t>MERCADORIAS P/REVENDA</t>
        </is>
      </c>
      <c r="U943" s="73" t="n">
        <v>280</v>
      </c>
      <c r="W943" s="73" t="n">
        <v>280</v>
      </c>
      <c r="X943" s="72" t="inlineStr">
        <is>
          <t>ACAI DE ANORI - DEBORA</t>
        </is>
      </c>
      <c r="Z943" s="59">
        <f>IF($T943="","",IFERROR(INDEX('Resumo Grupos'!$AC$3:$AC$200,MATCH($T943,'Resumo Grupos'!$AB$3:$AB$200,0)),"n/d"))</f>
        <v/>
      </c>
      <c r="AA943" s="59">
        <f>IF($T943="","",IF(COUNTIF('Resumo Grupos'!$AE$3:$AE$40,$T943)&gt;0,"NAO","SIM"))</f>
        <v/>
      </c>
    </row>
    <row r="944" ht="36.75" customHeight="1" s="60">
      <c r="A944" s="70" t="n">
        <v>1</v>
      </c>
      <c r="B944" s="71" t="n">
        <v>46210</v>
      </c>
      <c r="C944" s="71" t="n">
        <v>46210</v>
      </c>
      <c r="D944" s="70" t="n">
        <v>905</v>
      </c>
      <c r="E944" s="72" t="inlineStr">
        <is>
          <t>ELISMAR(OBRA)</t>
        </is>
      </c>
      <c r="F944" s="70" t="n">
        <v>34</v>
      </c>
      <c r="G944" s="72" t="inlineStr">
        <is>
          <t>Transferencia Pix</t>
        </is>
      </c>
      <c r="H944" s="70" t="n">
        <v>1110202</v>
      </c>
      <c r="I944" s="72" t="inlineStr">
        <is>
          <t>BANCO ITAU Lj 01</t>
        </is>
      </c>
      <c r="J944" s="70" t="n">
        <v>1364963</v>
      </c>
      <c r="L944" s="70" t="n">
        <v>563612</v>
      </c>
      <c r="M944" s="72" t="inlineStr">
        <is>
          <t>01</t>
        </is>
      </c>
      <c r="N944" s="72" t="inlineStr">
        <is>
          <t>AVU</t>
        </is>
      </c>
      <c r="P944" s="70" t="n">
        <v>101</v>
      </c>
      <c r="Q944" s="72" t="inlineStr">
        <is>
          <t>KEILA LIMA</t>
        </is>
      </c>
      <c r="R944" s="72" t="inlineStr">
        <is>
          <t>DESPESAS OPERACIONAIS</t>
        </is>
      </c>
      <c r="S944" s="70" t="n">
        <v>4210228</v>
      </c>
      <c r="T944" s="72" t="inlineStr">
        <is>
          <t>DESPESAS PADARIA</t>
        </is>
      </c>
      <c r="U944" s="73" t="n">
        <v>200</v>
      </c>
      <c r="W944" s="73" t="n">
        <v>0</v>
      </c>
      <c r="X944" s="72" t="inlineStr">
        <is>
          <t>ADIANT PREST SERV COIFA COZINHA/PADARIA - KEILA</t>
        </is>
      </c>
      <c r="Z944" s="59">
        <f>IF($T944="","",IFERROR(INDEX('Resumo Grupos'!$AC$3:$AC$200,MATCH($T944,'Resumo Grupos'!$AB$3:$AB$200,0)),"n/d"))</f>
        <v/>
      </c>
      <c r="AA944" s="59">
        <f>IF($T944="","",IF(COUNTIF('Resumo Grupos'!$AE$3:$AE$40,$T944)&gt;0,"NAO","SIM"))</f>
        <v/>
      </c>
    </row>
    <row r="945" ht="36.75" customHeight="1" s="60">
      <c r="A945" s="70" t="n">
        <v>1</v>
      </c>
      <c r="B945" s="71" t="n">
        <v>46210</v>
      </c>
      <c r="C945" s="71" t="n">
        <v>46210</v>
      </c>
      <c r="D945" s="70" t="n">
        <v>33</v>
      </c>
      <c r="E945" s="72" t="inlineStr">
        <is>
          <t>RENATO DE O AZEVEDO E CIA LTDA - EPP</t>
        </is>
      </c>
      <c r="F945" s="70" t="n">
        <v>34</v>
      </c>
      <c r="G945" s="72" t="inlineStr">
        <is>
          <t>Transferencia Pix</t>
        </is>
      </c>
      <c r="H945" s="70" t="n">
        <v>2110101</v>
      </c>
      <c r="I945" s="72" t="inlineStr">
        <is>
          <t>FORNECEDORES DE MERCADORIA</t>
        </is>
      </c>
      <c r="J945" s="70" t="n">
        <v>1365603</v>
      </c>
      <c r="L945" s="70" t="n">
        <v>5267</v>
      </c>
      <c r="M945" s="72" t="inlineStr">
        <is>
          <t>01</t>
        </is>
      </c>
      <c r="N945" s="72" t="inlineStr">
        <is>
          <t>NFE</t>
        </is>
      </c>
      <c r="P945" s="70" t="n">
        <v>104</v>
      </c>
      <c r="Q945" s="72" t="inlineStr">
        <is>
          <t>DEBORA COSTA</t>
        </is>
      </c>
      <c r="R945" s="72" t="inlineStr">
        <is>
          <t>ESTOQUE DE MERCADORIAS</t>
        </is>
      </c>
      <c r="S945" s="70" t="n">
        <v>1130101</v>
      </c>
      <c r="T945" s="72" t="inlineStr">
        <is>
          <t>MERCADORIAS P/REVENDA</t>
        </is>
      </c>
      <c r="U945" s="73" t="n">
        <v>2171.29</v>
      </c>
      <c r="W945" s="73" t="n">
        <v>0</v>
      </c>
      <c r="X945" s="72" t="inlineStr">
        <is>
          <t>FEIRA SR RENATO - DEBORA</t>
        </is>
      </c>
      <c r="Z945" s="59">
        <f>IF($T945="","",IFERROR(INDEX('Resumo Grupos'!$AC$3:$AC$200,MATCH($T945,'Resumo Grupos'!$AB$3:$AB$200,0)),"n/d"))</f>
        <v/>
      </c>
      <c r="AA945" s="59">
        <f>IF($T945="","",IF(COUNTIF('Resumo Grupos'!$AE$3:$AE$40,$T945)&gt;0,"NAO","SIM"))</f>
        <v/>
      </c>
    </row>
    <row r="946" ht="36.75" customHeight="1" s="60">
      <c r="A946" s="70" t="n">
        <v>1</v>
      </c>
      <c r="B946" s="71" t="n">
        <v>46210</v>
      </c>
      <c r="C946" s="71" t="n">
        <v>46210</v>
      </c>
      <c r="D946" s="70" t="n">
        <v>1037</v>
      </c>
      <c r="E946" s="72" t="inlineStr">
        <is>
          <t>FEIRA</t>
        </is>
      </c>
      <c r="F946" s="70" t="n">
        <v>34</v>
      </c>
      <c r="G946" s="72" t="inlineStr">
        <is>
          <t>Transferencia Pix</t>
        </is>
      </c>
      <c r="H946" s="70" t="n">
        <v>1110202</v>
      </c>
      <c r="I946" s="72" t="inlineStr">
        <is>
          <t>BANCO ITAU Lj 01</t>
        </is>
      </c>
      <c r="J946" s="70" t="n">
        <v>1366386</v>
      </c>
      <c r="L946" s="70" t="n">
        <v>564010</v>
      </c>
      <c r="M946" s="72" t="inlineStr">
        <is>
          <t>01</t>
        </is>
      </c>
      <c r="N946" s="72" t="inlineStr">
        <is>
          <t>AVU</t>
        </is>
      </c>
      <c r="P946" s="70" t="n">
        <v>101</v>
      </c>
      <c r="Q946" s="72" t="inlineStr">
        <is>
          <t>KEILA LIMA</t>
        </is>
      </c>
      <c r="R946" s="72" t="inlineStr">
        <is>
          <t>DESPESAS NAO OPERACIONAIS</t>
        </is>
      </c>
      <c r="S946" s="70" t="n">
        <v>4220199</v>
      </c>
      <c r="T946" s="72" t="inlineStr">
        <is>
          <t>PAGAMENTOS OUTROS NAO OPERACIONAIS</t>
        </is>
      </c>
      <c r="U946" s="73" t="n">
        <v>3827.71</v>
      </c>
      <c r="W946" s="73" t="n">
        <v>0</v>
      </c>
      <c r="X946" s="72" t="inlineStr">
        <is>
          <t xml:space="preserve">FEIRAS LOJAS NAO SOMAR </t>
        </is>
      </c>
      <c r="Z946" s="59">
        <f>IF($T946="","",IFERROR(INDEX('Resumo Grupos'!$AC$3:$AC$200,MATCH($T946,'Resumo Grupos'!$AB$3:$AB$200,0)),"n/d"))</f>
        <v/>
      </c>
      <c r="AA946" s="59">
        <f>IF($T946="","",IF(COUNTIF('Resumo Grupos'!$AE$3:$AE$40,$T946)&gt;0,"NAO","SIM"))</f>
        <v/>
      </c>
    </row>
    <row r="947" ht="36.75" customHeight="1" s="60">
      <c r="A947" s="70" t="n">
        <v>1</v>
      </c>
      <c r="B947" s="71" t="n">
        <v>46148</v>
      </c>
      <c r="C947" s="71" t="n">
        <v>46211</v>
      </c>
      <c r="D947" s="70" t="n">
        <v>607</v>
      </c>
      <c r="E947" s="72" t="inlineStr">
        <is>
          <t>PRIME PET DISTRIBUIDORA LTDA</t>
        </is>
      </c>
      <c r="F947" s="70" t="n">
        <v>24</v>
      </c>
      <c r="G947" s="72" t="inlineStr">
        <is>
          <t>Compra a Prazo - Boletos</t>
        </is>
      </c>
      <c r="H947" s="70" t="n">
        <v>2110101</v>
      </c>
      <c r="I947" s="72" t="inlineStr">
        <is>
          <t>FORNECEDORES DE MERCADORIA</t>
        </is>
      </c>
      <c r="J947" s="70" t="n">
        <v>1057743</v>
      </c>
      <c r="L947" s="70" t="n">
        <v>10336</v>
      </c>
      <c r="M947" s="72" t="inlineStr">
        <is>
          <t>05</t>
        </is>
      </c>
      <c r="N947" s="72" t="inlineStr">
        <is>
          <t>NFE</t>
        </is>
      </c>
      <c r="P947" s="70" t="n">
        <v>103</v>
      </c>
      <c r="Q947" s="72" t="inlineStr">
        <is>
          <t>MILKA FRANCIS</t>
        </is>
      </c>
      <c r="R947" s="72" t="inlineStr">
        <is>
          <t>ESTOQUE DE MERCADORIAS</t>
        </is>
      </c>
      <c r="S947" s="70" t="n">
        <v>1130101</v>
      </c>
      <c r="T947" s="72" t="inlineStr">
        <is>
          <t>MERCADORIAS P/REVENDA</t>
        </is>
      </c>
      <c r="U947" s="73" t="n">
        <v>250.35</v>
      </c>
      <c r="W947" s="73" t="n">
        <v>0</v>
      </c>
      <c r="X947" s="72" t="inlineStr">
        <is>
          <t>NF 10336 -05 MILKA</t>
        </is>
      </c>
      <c r="Z947" s="59">
        <f>IF($T947="","",IFERROR(INDEX('Resumo Grupos'!$AC$3:$AC$200,MATCH($T947,'Resumo Grupos'!$AB$3:$AB$200,0)),"n/d"))</f>
        <v/>
      </c>
      <c r="AA947" s="59">
        <f>IF($T947="","",IF(COUNTIF('Resumo Grupos'!$AE$3:$AE$40,$T947)&gt;0,"NAO","SIM"))</f>
        <v/>
      </c>
    </row>
    <row r="948" ht="36.75" customHeight="1" s="60">
      <c r="A948" s="70" t="n">
        <v>1</v>
      </c>
      <c r="B948" s="71" t="n">
        <v>46154</v>
      </c>
      <c r="C948" s="71" t="n">
        <v>46211</v>
      </c>
      <c r="D948" s="70" t="n">
        <v>10011</v>
      </c>
      <c r="E948" s="72" t="inlineStr">
        <is>
          <t>OPPORTUNITY ALIMENTOS PARA ANIMAIS LTDA</t>
        </is>
      </c>
      <c r="F948" s="70" t="n">
        <v>24</v>
      </c>
      <c r="G948" s="72" t="inlineStr">
        <is>
          <t>Compra a Prazo - Boletos</t>
        </is>
      </c>
      <c r="H948" s="70" t="n">
        <v>2110101</v>
      </c>
      <c r="I948" s="72" t="inlineStr">
        <is>
          <t>FORNECEDORES DE MERCADORIA</t>
        </is>
      </c>
      <c r="J948" s="70" t="n">
        <v>1089077</v>
      </c>
      <c r="L948" s="70" t="n">
        <v>33621</v>
      </c>
      <c r="M948" s="72" t="inlineStr">
        <is>
          <t>05</t>
        </is>
      </c>
      <c r="N948" s="72" t="inlineStr">
        <is>
          <t>NFE</t>
        </is>
      </c>
      <c r="P948" s="70" t="n">
        <v>103</v>
      </c>
      <c r="Q948" s="72" t="inlineStr">
        <is>
          <t>MILKA FRANCIS</t>
        </is>
      </c>
      <c r="R948" s="72" t="inlineStr">
        <is>
          <t>ESTOQUE DE MERCADORIAS</t>
        </is>
      </c>
      <c r="S948" s="70" t="n">
        <v>1130101</v>
      </c>
      <c r="T948" s="72" t="inlineStr">
        <is>
          <t>MERCADORIAS P/REVENDA</t>
        </is>
      </c>
      <c r="U948" s="73" t="n">
        <v>2792.58</v>
      </c>
      <c r="W948" s="73" t="n">
        <v>0</v>
      </c>
      <c r="X948" s="72" t="inlineStr">
        <is>
          <t>NF 33621-5 MILKA</t>
        </is>
      </c>
      <c r="Z948" s="59">
        <f>IF($T948="","",IFERROR(INDEX('Resumo Grupos'!$AC$3:$AC$200,MATCH($T948,'Resumo Grupos'!$AB$3:$AB$200,0)),"n/d"))</f>
        <v/>
      </c>
      <c r="AA948" s="59">
        <f>IF($T948="","",IF(COUNTIF('Resumo Grupos'!$AE$3:$AE$40,$T948)&gt;0,"NAO","SIM"))</f>
        <v/>
      </c>
    </row>
    <row r="949" ht="45.75" customHeight="1" s="60">
      <c r="A949" s="70" t="n">
        <v>1</v>
      </c>
      <c r="B949" s="71" t="n">
        <v>46182</v>
      </c>
      <c r="C949" s="71" t="n">
        <v>46211</v>
      </c>
      <c r="D949" s="70" t="n">
        <v>957</v>
      </c>
      <c r="E949" s="72" t="inlineStr">
        <is>
          <t>FUNNY PET DISTRIBUIDORA DE ALIMENTOS PAR</t>
        </is>
      </c>
      <c r="F949" s="70" t="n">
        <v>24</v>
      </c>
      <c r="G949" s="72" t="inlineStr">
        <is>
          <t>Compra a Prazo - Boletos</t>
        </is>
      </c>
      <c r="H949" s="70" t="n">
        <v>2110101</v>
      </c>
      <c r="I949" s="72" t="inlineStr">
        <is>
          <t>FORNECEDORES DE MERCADORIA</t>
        </is>
      </c>
      <c r="J949" s="70" t="n">
        <v>1227398</v>
      </c>
      <c r="L949" s="70" t="n">
        <v>20167</v>
      </c>
      <c r="M949" s="72" t="inlineStr">
        <is>
          <t>03</t>
        </is>
      </c>
      <c r="N949" s="72" t="inlineStr">
        <is>
          <t>NFE</t>
        </is>
      </c>
      <c r="P949" s="70" t="n">
        <v>103</v>
      </c>
      <c r="Q949" s="72" t="inlineStr">
        <is>
          <t>MILKA FRANCIS</t>
        </is>
      </c>
      <c r="R949" s="72" t="inlineStr">
        <is>
          <t>ESTOQUE DE MERCADORIAS</t>
        </is>
      </c>
      <c r="S949" s="70" t="n">
        <v>1130101</v>
      </c>
      <c r="T949" s="72" t="inlineStr">
        <is>
          <t>MERCADORIAS P/REVENDA</t>
        </is>
      </c>
      <c r="U949" s="73" t="n">
        <v>4521.75</v>
      </c>
      <c r="W949" s="73" t="n">
        <v>0</v>
      </c>
      <c r="X949" s="72" t="inlineStr">
        <is>
          <t>NF 20167 3- MILKA</t>
        </is>
      </c>
      <c r="Z949" s="59">
        <f>IF($T949="","",IFERROR(INDEX('Resumo Grupos'!$AC$3:$AC$200,MATCH($T949,'Resumo Grupos'!$AB$3:$AB$200,0)),"n/d"))</f>
        <v/>
      </c>
      <c r="AA949" s="59">
        <f>IF($T949="","",IF(COUNTIF('Resumo Grupos'!$AE$3:$AE$40,$T949)&gt;0,"NAO","SIM"))</f>
        <v/>
      </c>
    </row>
    <row r="950" ht="36.75" customHeight="1" s="60">
      <c r="A950" s="70" t="n">
        <v>1</v>
      </c>
      <c r="B950" s="71" t="n">
        <v>46184</v>
      </c>
      <c r="C950" s="71" t="n">
        <v>46211</v>
      </c>
      <c r="D950" s="70" t="n">
        <v>1107</v>
      </c>
      <c r="E950" s="72" t="inlineStr">
        <is>
          <t>OESA COMERCIO E REPRESENTACOES S/A</t>
        </is>
      </c>
      <c r="F950" s="70" t="n">
        <v>24</v>
      </c>
      <c r="G950" s="72" t="inlineStr">
        <is>
          <t>Compra a Prazo - Boletos</t>
        </is>
      </c>
      <c r="H950" s="70" t="n">
        <v>2110101</v>
      </c>
      <c r="I950" s="72" t="inlineStr">
        <is>
          <t>FORNECEDORES DE MERCADORIA</t>
        </is>
      </c>
      <c r="J950" s="70" t="n">
        <v>1235524</v>
      </c>
      <c r="L950" s="70" t="n">
        <v>413874</v>
      </c>
      <c r="M950" s="72" t="inlineStr">
        <is>
          <t>01</t>
        </is>
      </c>
      <c r="N950" s="72" t="inlineStr">
        <is>
          <t>NFE</t>
        </is>
      </c>
      <c r="P950" s="70" t="n">
        <v>103</v>
      </c>
      <c r="Q950" s="72" t="inlineStr">
        <is>
          <t>MILKA FRANCIS</t>
        </is>
      </c>
      <c r="R950" s="72" t="inlineStr">
        <is>
          <t>ESTOQUE DE MERCADORIAS</t>
        </is>
      </c>
      <c r="S950" s="70" t="n">
        <v>1130101</v>
      </c>
      <c r="T950" s="72" t="inlineStr">
        <is>
          <t>MERCADORIAS P/REVENDA</t>
        </is>
      </c>
      <c r="U950" s="73" t="n">
        <v>2356.28</v>
      </c>
      <c r="W950" s="73" t="n">
        <v>0</v>
      </c>
      <c r="X950" s="72" t="inlineStr">
        <is>
          <t>NF 413874 -MILKA</t>
        </is>
      </c>
      <c r="Z950" s="59">
        <f>IF($T950="","",IFERROR(INDEX('Resumo Grupos'!$AC$3:$AC$200,MATCH($T950,'Resumo Grupos'!$AB$3:$AB$200,0)),"n/d"))</f>
        <v/>
      </c>
      <c r="AA950" s="59">
        <f>IF($T950="","",IF(COUNTIF('Resumo Grupos'!$AE$3:$AE$40,$T950)&gt;0,"NAO","SIM"))</f>
        <v/>
      </c>
    </row>
    <row r="951" ht="36.75" customHeight="1" s="60">
      <c r="A951" s="70" t="n">
        <v>1</v>
      </c>
      <c r="B951" s="71" t="n">
        <v>46184</v>
      </c>
      <c r="C951" s="71" t="n">
        <v>46211</v>
      </c>
      <c r="D951" s="70" t="n">
        <v>1608</v>
      </c>
      <c r="E951" s="72" t="inlineStr">
        <is>
          <t>DISTRIBUIDORA LOPES LTDA</t>
        </is>
      </c>
      <c r="F951" s="70" t="n">
        <v>24</v>
      </c>
      <c r="G951" s="72" t="inlineStr">
        <is>
          <t>Compra a Prazo - Boletos</t>
        </is>
      </c>
      <c r="H951" s="70" t="n">
        <v>2110101</v>
      </c>
      <c r="I951" s="72" t="inlineStr">
        <is>
          <t>FORNECEDORES DE MERCADORIA</t>
        </is>
      </c>
      <c r="J951" s="70" t="n">
        <v>1235782</v>
      </c>
      <c r="L951" s="70" t="n">
        <v>1670627</v>
      </c>
      <c r="M951" s="72" t="inlineStr">
        <is>
          <t>01</t>
        </is>
      </c>
      <c r="N951" s="72" t="inlineStr">
        <is>
          <t>NFE</t>
        </is>
      </c>
      <c r="P951" s="70" t="n">
        <v>103</v>
      </c>
      <c r="Q951" s="72" t="inlineStr">
        <is>
          <t>MILKA FRANCIS</t>
        </is>
      </c>
      <c r="R951" s="72" t="inlineStr">
        <is>
          <t>ESTOQUE DE MERCADORIAS</t>
        </is>
      </c>
      <c r="S951" s="70" t="n">
        <v>1130101</v>
      </c>
      <c r="T951" s="72" t="inlineStr">
        <is>
          <t>MERCADORIAS P/REVENDA</t>
        </is>
      </c>
      <c r="U951" s="73" t="n">
        <v>814.47</v>
      </c>
      <c r="W951" s="73" t="n">
        <v>0</v>
      </c>
      <c r="X951" s="72" t="inlineStr">
        <is>
          <t>NF 1670627 - MILKA</t>
        </is>
      </c>
      <c r="Z951" s="59">
        <f>IF($T951="","",IFERROR(INDEX('Resumo Grupos'!$AC$3:$AC$200,MATCH($T951,'Resumo Grupos'!$AB$3:$AB$200,0)),"n/d"))</f>
        <v/>
      </c>
      <c r="AA951" s="59">
        <f>IF($T951="","",IF(COUNTIF('Resumo Grupos'!$AE$3:$AE$40,$T951)&gt;0,"NAO","SIM"))</f>
        <v/>
      </c>
    </row>
    <row r="952" ht="36.75" customHeight="1" s="60">
      <c r="A952" s="70" t="n">
        <v>1</v>
      </c>
      <c r="B952" s="71" t="n">
        <v>46184</v>
      </c>
      <c r="C952" s="71" t="n">
        <v>46211</v>
      </c>
      <c r="D952" s="70" t="n">
        <v>1612</v>
      </c>
      <c r="E952" s="72" t="inlineStr">
        <is>
          <t>EMPRESA BRASILEIRA DE DISTRIBUICAO LTDA</t>
        </is>
      </c>
      <c r="F952" s="70" t="n">
        <v>24</v>
      </c>
      <c r="G952" s="72" t="inlineStr">
        <is>
          <t>Compra a Prazo - Boletos</t>
        </is>
      </c>
      <c r="H952" s="70" t="n">
        <v>2110101</v>
      </c>
      <c r="I952" s="72" t="inlineStr">
        <is>
          <t>FORNECEDORES DE MERCADORIA</t>
        </is>
      </c>
      <c r="J952" s="70" t="n">
        <v>1235909</v>
      </c>
      <c r="L952" s="70" t="n">
        <v>2291498</v>
      </c>
      <c r="M952" s="72" t="inlineStr">
        <is>
          <t>03</t>
        </is>
      </c>
      <c r="N952" s="72" t="inlineStr">
        <is>
          <t>NFE</t>
        </is>
      </c>
      <c r="P952" s="70" t="n">
        <v>103</v>
      </c>
      <c r="Q952" s="72" t="inlineStr">
        <is>
          <t>MILKA FRANCIS</t>
        </is>
      </c>
      <c r="R952" s="72" t="inlineStr">
        <is>
          <t>ESTOQUE DE MERCADORIAS</t>
        </is>
      </c>
      <c r="S952" s="70" t="n">
        <v>1130101</v>
      </c>
      <c r="T952" s="72" t="inlineStr">
        <is>
          <t>MERCADORIAS P/REVENDA</t>
        </is>
      </c>
      <c r="U952" s="73" t="n">
        <v>786.1</v>
      </c>
      <c r="W952" s="73" t="n">
        <v>0</v>
      </c>
      <c r="X952" s="72" t="inlineStr">
        <is>
          <t>NF 2291498-3 MILKA</t>
        </is>
      </c>
      <c r="Z952" s="59">
        <f>IF($T952="","",IFERROR(INDEX('Resumo Grupos'!$AC$3:$AC$200,MATCH($T952,'Resumo Grupos'!$AB$3:$AB$200,0)),"n/d"))</f>
        <v/>
      </c>
      <c r="AA952" s="59">
        <f>IF($T952="","",IF(COUNTIF('Resumo Grupos'!$AE$3:$AE$40,$T952)&gt;0,"NAO","SIM"))</f>
        <v/>
      </c>
    </row>
    <row r="953" ht="45.75" customHeight="1" s="60">
      <c r="A953" s="70" t="n">
        <v>1</v>
      </c>
      <c r="B953" s="71" t="n">
        <v>46188</v>
      </c>
      <c r="C953" s="71" t="n">
        <v>46211</v>
      </c>
      <c r="D953" s="70" t="n">
        <v>1637</v>
      </c>
      <c r="E953" s="72" t="inlineStr">
        <is>
          <t>ATACADAO S.A.</t>
        </is>
      </c>
      <c r="F953" s="70" t="n">
        <v>24</v>
      </c>
      <c r="G953" s="72" t="inlineStr">
        <is>
          <t>Compra a Prazo - Boletos</t>
        </is>
      </c>
      <c r="H953" s="70" t="n">
        <v>2110101</v>
      </c>
      <c r="I953" s="72" t="inlineStr">
        <is>
          <t>FORNECEDORES DE MERCADORIA</t>
        </is>
      </c>
      <c r="J953" s="70" t="n">
        <v>1255986</v>
      </c>
      <c r="L953" s="70" t="n">
        <v>1890180</v>
      </c>
      <c r="M953" s="72" t="inlineStr">
        <is>
          <t>01</t>
        </is>
      </c>
      <c r="N953" s="72" t="inlineStr">
        <is>
          <t>NFE</t>
        </is>
      </c>
      <c r="P953" s="70" t="n">
        <v>103</v>
      </c>
      <c r="Q953" s="72" t="inlineStr">
        <is>
          <t>MILKA FRANCIS</t>
        </is>
      </c>
      <c r="R953" s="72" t="inlineStr">
        <is>
          <t>ESTOQUE DE MERCADORIAS</t>
        </is>
      </c>
      <c r="S953" s="70" t="n">
        <v>1130101</v>
      </c>
      <c r="T953" s="72" t="inlineStr">
        <is>
          <t>MERCADORIAS P/REVENDA</t>
        </is>
      </c>
      <c r="U953" s="73" t="n">
        <v>1823.14</v>
      </c>
      <c r="W953" s="73" t="n">
        <v>0</v>
      </c>
      <c r="X953" s="72" t="inlineStr">
        <is>
          <t>NF 1890180 - MILKA</t>
        </is>
      </c>
      <c r="Z953" s="59">
        <f>IF($T953="","",IFERROR(INDEX('Resumo Grupos'!$AC$3:$AC$200,MATCH($T953,'Resumo Grupos'!$AB$3:$AB$200,0)),"n/d"))</f>
        <v/>
      </c>
      <c r="AA953" s="59">
        <f>IF($T953="","",IF(COUNTIF('Resumo Grupos'!$AE$3:$AE$40,$T953)&gt;0,"NAO","SIM"))</f>
        <v/>
      </c>
    </row>
    <row r="954" ht="36.75" customHeight="1" s="60">
      <c r="A954" s="70" t="n">
        <v>1</v>
      </c>
      <c r="B954" s="71" t="n">
        <v>46188</v>
      </c>
      <c r="C954" s="71" t="n">
        <v>46211</v>
      </c>
      <c r="D954" s="70" t="n">
        <v>1668</v>
      </c>
      <c r="E954" s="72" t="inlineStr">
        <is>
          <t>NATUREZA COMERCIO DE DESCARTAVEIS LTDA</t>
        </is>
      </c>
      <c r="F954" s="70" t="n">
        <v>24</v>
      </c>
      <c r="G954" s="72" t="inlineStr">
        <is>
          <t>Compra a Prazo - Boletos</t>
        </is>
      </c>
      <c r="H954" s="70" t="n">
        <v>2110101</v>
      </c>
      <c r="I954" s="72" t="inlineStr">
        <is>
          <t>FORNECEDORES DE MERCADORIA</t>
        </is>
      </c>
      <c r="J954" s="70" t="n">
        <v>1256293</v>
      </c>
      <c r="L954" s="70" t="n">
        <v>727418</v>
      </c>
      <c r="M954" s="72" t="inlineStr">
        <is>
          <t>02</t>
        </is>
      </c>
      <c r="N954" s="72" t="inlineStr">
        <is>
          <t>NFE</t>
        </is>
      </c>
      <c r="P954" s="70" t="n">
        <v>103</v>
      </c>
      <c r="Q954" s="72" t="inlineStr">
        <is>
          <t>MILKA FRANCIS</t>
        </is>
      </c>
      <c r="R954" s="72" t="inlineStr">
        <is>
          <t>ESTOQUE DE MERCADORIAS</t>
        </is>
      </c>
      <c r="S954" s="70" t="n">
        <v>1130101</v>
      </c>
      <c r="T954" s="72" t="inlineStr">
        <is>
          <t>MERCADORIAS P/REVENDA</t>
        </is>
      </c>
      <c r="U954" s="73" t="n">
        <v>1177.59</v>
      </c>
      <c r="W954" s="73" t="n">
        <v>0</v>
      </c>
      <c r="X954" s="72" t="inlineStr">
        <is>
          <t>NF 727418 -02 MILKA</t>
        </is>
      </c>
      <c r="Z954" s="59">
        <f>IF($T954="","",IFERROR(INDEX('Resumo Grupos'!$AC$3:$AC$200,MATCH($T954,'Resumo Grupos'!$AB$3:$AB$200,0)),"n/d"))</f>
        <v/>
      </c>
      <c r="AA954" s="59">
        <f>IF($T954="","",IF(COUNTIF('Resumo Grupos'!$AE$3:$AE$40,$T954)&gt;0,"NAO","SIM"))</f>
        <v/>
      </c>
    </row>
    <row r="955" ht="36.75" customHeight="1" s="60">
      <c r="A955" s="70" t="n">
        <v>1</v>
      </c>
      <c r="B955" s="71" t="n">
        <v>46188</v>
      </c>
      <c r="C955" s="71" t="n">
        <v>46211</v>
      </c>
      <c r="D955" s="70" t="n">
        <v>978</v>
      </c>
      <c r="E955" s="72" t="inlineStr">
        <is>
          <t>GELO DANGELO FABRICACAO DE GELO LTDA</t>
        </is>
      </c>
      <c r="F955" s="70" t="n">
        <v>34</v>
      </c>
      <c r="G955" s="72" t="inlineStr">
        <is>
          <t>Transferencia Pix</t>
        </is>
      </c>
      <c r="H955" s="70" t="n">
        <v>2110101</v>
      </c>
      <c r="I955" s="72" t="inlineStr">
        <is>
          <t>FORNECEDORES DE MERCADORIA</t>
        </is>
      </c>
      <c r="J955" s="70" t="n">
        <v>1260992</v>
      </c>
      <c r="L955" s="70" t="n">
        <v>280</v>
      </c>
      <c r="M955" s="72" t="inlineStr">
        <is>
          <t>01</t>
        </is>
      </c>
      <c r="N955" s="72" t="inlineStr">
        <is>
          <t>NFE</t>
        </is>
      </c>
      <c r="P955" s="70" t="n">
        <v>104</v>
      </c>
      <c r="Q955" s="72" t="inlineStr">
        <is>
          <t>DEBORA COSTA</t>
        </is>
      </c>
      <c r="R955" s="72" t="inlineStr">
        <is>
          <t>ESTOQUE DE MERCADORIAS</t>
        </is>
      </c>
      <c r="S955" s="70" t="n">
        <v>1130101</v>
      </c>
      <c r="T955" s="72" t="inlineStr">
        <is>
          <t>MERCADORIAS P/REVENDA</t>
        </is>
      </c>
      <c r="U955" s="73" t="n">
        <v>544</v>
      </c>
      <c r="W955" s="73" t="n">
        <v>0</v>
      </c>
      <c r="X955" s="72" t="inlineStr">
        <is>
          <t>NF 280 - DEBORA</t>
        </is>
      </c>
      <c r="Z955" s="59">
        <f>IF($T955="","",IFERROR(INDEX('Resumo Grupos'!$AC$3:$AC$200,MATCH($T955,'Resumo Grupos'!$AB$3:$AB$200,0)),"n/d"))</f>
        <v/>
      </c>
      <c r="AA955" s="59">
        <f>IF($T955="","",IF(COUNTIF('Resumo Grupos'!$AE$3:$AE$40,$T955)&gt;0,"NAO","SIM"))</f>
        <v/>
      </c>
    </row>
    <row r="956" ht="36.75" customHeight="1" s="60">
      <c r="A956" s="70" t="n">
        <v>1</v>
      </c>
      <c r="B956" s="71" t="n">
        <v>46190</v>
      </c>
      <c r="C956" s="71" t="n">
        <v>46211</v>
      </c>
      <c r="D956" s="70" t="n">
        <v>967</v>
      </c>
      <c r="E956" s="72" t="inlineStr">
        <is>
          <t>L. J. DA SILVA LTDA</t>
        </is>
      </c>
      <c r="F956" s="70" t="n">
        <v>24</v>
      </c>
      <c r="G956" s="72" t="inlineStr">
        <is>
          <t>Compra a Prazo - Boletos</t>
        </is>
      </c>
      <c r="H956" s="70" t="n">
        <v>2110101</v>
      </c>
      <c r="I956" s="72" t="inlineStr">
        <is>
          <t>FORNECEDORES DE MERCADORIA</t>
        </is>
      </c>
      <c r="J956" s="70" t="n">
        <v>1265083</v>
      </c>
      <c r="L956" s="70" t="n">
        <v>33133</v>
      </c>
      <c r="M956" s="72" t="inlineStr">
        <is>
          <t>02</t>
        </is>
      </c>
      <c r="N956" s="72" t="inlineStr">
        <is>
          <t>NFE</t>
        </is>
      </c>
      <c r="P956" s="70" t="n">
        <v>103</v>
      </c>
      <c r="Q956" s="72" t="inlineStr">
        <is>
          <t>MILKA FRANCIS</t>
        </is>
      </c>
      <c r="R956" s="72" t="inlineStr">
        <is>
          <t>ESTOQUE DE MERCADORIAS</t>
        </is>
      </c>
      <c r="S956" s="70" t="n">
        <v>1130101</v>
      </c>
      <c r="T956" s="72" t="inlineStr">
        <is>
          <t>MERCADORIAS P/REVENDA</t>
        </is>
      </c>
      <c r="U956" s="73" t="n">
        <v>2120.66</v>
      </c>
      <c r="W956" s="73" t="n">
        <v>0</v>
      </c>
      <c r="X956" s="72" t="inlineStr">
        <is>
          <t>44062-B/B  NF33133 - MILKA</t>
        </is>
      </c>
      <c r="Z956" s="59">
        <f>IF($T956="","",IFERROR(INDEX('Resumo Grupos'!$AC$3:$AC$200,MATCH($T956,'Resumo Grupos'!$AB$3:$AB$200,0)),"n/d"))</f>
        <v/>
      </c>
      <c r="AA956" s="59">
        <f>IF($T956="","",IF(COUNTIF('Resumo Grupos'!$AE$3:$AE$40,$T956)&gt;0,"NAO","SIM"))</f>
        <v/>
      </c>
    </row>
    <row r="957" ht="27.75" customHeight="1" s="60">
      <c r="A957" s="70" t="n">
        <v>1</v>
      </c>
      <c r="B957" s="71" t="n">
        <v>46190</v>
      </c>
      <c r="C957" s="71" t="n">
        <v>46211</v>
      </c>
      <c r="D957" s="70" t="n">
        <v>1718</v>
      </c>
      <c r="E957" s="72" t="inlineStr">
        <is>
          <t>DISTRIBUIDORA FARIAS LTDA.</t>
        </is>
      </c>
      <c r="F957" s="70" t="n">
        <v>24</v>
      </c>
      <c r="G957" s="72" t="inlineStr">
        <is>
          <t>Compra a Prazo - Boletos</t>
        </is>
      </c>
      <c r="H957" s="70" t="n">
        <v>2110101</v>
      </c>
      <c r="I957" s="72" t="inlineStr">
        <is>
          <t>FORNECEDORES DE MERCADORIA</t>
        </is>
      </c>
      <c r="J957" s="70" t="n">
        <v>1265272</v>
      </c>
      <c r="L957" s="70" t="n">
        <v>674269</v>
      </c>
      <c r="M957" s="72" t="inlineStr">
        <is>
          <t>01</t>
        </is>
      </c>
      <c r="N957" s="72" t="inlineStr">
        <is>
          <t>NFE</t>
        </is>
      </c>
      <c r="P957" s="70" t="n">
        <v>103</v>
      </c>
      <c r="Q957" s="72" t="inlineStr">
        <is>
          <t>MILKA FRANCIS</t>
        </is>
      </c>
      <c r="R957" s="72" t="inlineStr">
        <is>
          <t>ESTOQUE DE MERCADORIAS</t>
        </is>
      </c>
      <c r="S957" s="70" t="n">
        <v>1130101</v>
      </c>
      <c r="T957" s="72" t="inlineStr">
        <is>
          <t>MERCADORIAS P/REVENDA</t>
        </is>
      </c>
      <c r="U957" s="73" t="n">
        <v>555.9299999999999</v>
      </c>
      <c r="W957" s="73" t="n">
        <v>0</v>
      </c>
      <c r="X957" s="72" t="inlineStr">
        <is>
          <t>NF 674269 - MILKA</t>
        </is>
      </c>
      <c r="Z957" s="59">
        <f>IF($T957="","",IFERROR(INDEX('Resumo Grupos'!$AC$3:$AC$200,MATCH($T957,'Resumo Grupos'!$AB$3:$AB$200,0)),"n/d"))</f>
        <v/>
      </c>
      <c r="AA957" s="59">
        <f>IF($T957="","",IF(COUNTIF('Resumo Grupos'!$AE$3:$AE$40,$T957)&gt;0,"NAO","SIM"))</f>
        <v/>
      </c>
    </row>
    <row r="958" ht="36.75" customHeight="1" s="60">
      <c r="A958" s="70" t="n">
        <v>1</v>
      </c>
      <c r="B958" s="71" t="n">
        <v>46190</v>
      </c>
      <c r="C958" s="71" t="n">
        <v>46211</v>
      </c>
      <c r="D958" s="70" t="n">
        <v>10017</v>
      </c>
      <c r="E958" s="72" t="inlineStr">
        <is>
          <t>PIARARA COMERCIO, IMPORTACAO E EXPORTACAO LTDA</t>
        </is>
      </c>
      <c r="F958" s="70" t="n">
        <v>24</v>
      </c>
      <c r="G958" s="72" t="inlineStr">
        <is>
          <t>Compra a Prazo - Boletos</t>
        </is>
      </c>
      <c r="H958" s="70" t="n">
        <v>2110101</v>
      </c>
      <c r="I958" s="72" t="inlineStr">
        <is>
          <t>FORNECEDORES DE MERCADORIA</t>
        </is>
      </c>
      <c r="J958" s="70" t="n">
        <v>1265872</v>
      </c>
      <c r="L958" s="70" t="n">
        <v>193491</v>
      </c>
      <c r="M958" s="72" t="inlineStr">
        <is>
          <t>02</t>
        </is>
      </c>
      <c r="N958" s="72" t="inlineStr">
        <is>
          <t>NFE</t>
        </is>
      </c>
      <c r="P958" s="70" t="n">
        <v>103</v>
      </c>
      <c r="Q958" s="72" t="inlineStr">
        <is>
          <t>MILKA FRANCIS</t>
        </is>
      </c>
      <c r="R958" s="72" t="inlineStr">
        <is>
          <t>ESTOQUE DE MERCADORIAS</t>
        </is>
      </c>
      <c r="S958" s="70" t="n">
        <v>1130101</v>
      </c>
      <c r="T958" s="72" t="inlineStr">
        <is>
          <t>MERCADORIAS P/REVENDA</t>
        </is>
      </c>
      <c r="U958" s="73" t="n">
        <v>568.92</v>
      </c>
      <c r="W958" s="73" t="n">
        <v>0</v>
      </c>
      <c r="X958" s="72" t="inlineStr">
        <is>
          <t>NF 193491-2 MILKA</t>
        </is>
      </c>
      <c r="Z958" s="59">
        <f>IF($T958="","",IFERROR(INDEX('Resumo Grupos'!$AC$3:$AC$200,MATCH($T958,'Resumo Grupos'!$AB$3:$AB$200,0)),"n/d"))</f>
        <v/>
      </c>
      <c r="AA958" s="59">
        <f>IF($T958="","",IF(COUNTIF('Resumo Grupos'!$AE$3:$AE$40,$T958)&gt;0,"NAO","SIM"))</f>
        <v/>
      </c>
    </row>
    <row r="959" ht="36.75" customHeight="1" s="60">
      <c r="A959" s="70" t="n">
        <v>1</v>
      </c>
      <c r="B959" s="71" t="n">
        <v>46191</v>
      </c>
      <c r="C959" s="71" t="n">
        <v>46211</v>
      </c>
      <c r="D959" s="70" t="n">
        <v>1601</v>
      </c>
      <c r="E959" s="72" t="inlineStr">
        <is>
          <t>CB COMERCIO E DISTRIBUIDORA DE ALIMENTOS</t>
        </is>
      </c>
      <c r="F959" s="70" t="n">
        <v>24</v>
      </c>
      <c r="G959" s="72" t="inlineStr">
        <is>
          <t>Compra a Prazo - Boletos</t>
        </is>
      </c>
      <c r="H959" s="70" t="n">
        <v>2110101</v>
      </c>
      <c r="I959" s="72" t="inlineStr">
        <is>
          <t>FORNECEDORES DE MERCADORIA</t>
        </is>
      </c>
      <c r="J959" s="70" t="n">
        <v>1268785</v>
      </c>
      <c r="L959" s="70" t="n">
        <v>844855</v>
      </c>
      <c r="M959" s="72" t="inlineStr">
        <is>
          <t>02</t>
        </is>
      </c>
      <c r="N959" s="72" t="inlineStr">
        <is>
          <t>NFE</t>
        </is>
      </c>
      <c r="P959" s="70" t="n">
        <v>103</v>
      </c>
      <c r="Q959" s="72" t="inlineStr">
        <is>
          <t>MILKA FRANCIS</t>
        </is>
      </c>
      <c r="R959" s="72" t="inlineStr">
        <is>
          <t>ESTOQUE DE MERCADORIAS</t>
        </is>
      </c>
      <c r="S959" s="70" t="n">
        <v>1130101</v>
      </c>
      <c r="T959" s="72" t="inlineStr">
        <is>
          <t>MERCADORIAS P/REVENDA</t>
        </is>
      </c>
      <c r="U959" s="73" t="n">
        <v>985.29</v>
      </c>
      <c r="W959" s="73" t="n">
        <v>0</v>
      </c>
      <c r="X959" s="72" t="inlineStr">
        <is>
          <t>941304-B/C  NF844855 - MILKA</t>
        </is>
      </c>
      <c r="Z959" s="59">
        <f>IF($T959="","",IFERROR(INDEX('Resumo Grupos'!$AC$3:$AC$200,MATCH($T959,'Resumo Grupos'!$AB$3:$AB$200,0)),"n/d"))</f>
        <v/>
      </c>
      <c r="AA959" s="59">
        <f>IF($T959="","",IF(COUNTIF('Resumo Grupos'!$AE$3:$AE$40,$T959)&gt;0,"NAO","SIM"))</f>
        <v/>
      </c>
    </row>
    <row r="960" ht="45.75" customHeight="1" s="60">
      <c r="A960" s="70" t="n">
        <v>1</v>
      </c>
      <c r="B960" s="71" t="n">
        <v>46191</v>
      </c>
      <c r="C960" s="71" t="n">
        <v>46211</v>
      </c>
      <c r="D960" s="70" t="n">
        <v>1636</v>
      </c>
      <c r="E960" s="72" t="inlineStr">
        <is>
          <t>DUNORTE DISTRIBUIDORA DE PRODUTOS DE CONSUMO LTDA</t>
        </is>
      </c>
      <c r="F960" s="70" t="n">
        <v>24</v>
      </c>
      <c r="G960" s="72" t="inlineStr">
        <is>
          <t>Compra a Prazo - Boletos</t>
        </is>
      </c>
      <c r="H960" s="70" t="n">
        <v>2110101</v>
      </c>
      <c r="I960" s="72" t="inlineStr">
        <is>
          <t>FORNECEDORES DE MERCADORIA</t>
        </is>
      </c>
      <c r="J960" s="70" t="n">
        <v>1269369</v>
      </c>
      <c r="L960" s="70" t="n">
        <v>3203776</v>
      </c>
      <c r="M960" s="72" t="inlineStr">
        <is>
          <t>01</t>
        </is>
      </c>
      <c r="N960" s="72" t="inlineStr">
        <is>
          <t>NFE</t>
        </is>
      </c>
      <c r="P960" s="70" t="n">
        <v>103</v>
      </c>
      <c r="Q960" s="72" t="inlineStr">
        <is>
          <t>MILKA FRANCIS</t>
        </is>
      </c>
      <c r="R960" s="72" t="inlineStr">
        <is>
          <t>ESTOQUE DE MERCADORIAS</t>
        </is>
      </c>
      <c r="S960" s="70" t="n">
        <v>1130101</v>
      </c>
      <c r="T960" s="72" t="inlineStr">
        <is>
          <t>MERCADORIAS P/REVENDA</t>
        </is>
      </c>
      <c r="U960" s="73" t="n">
        <v>208.8</v>
      </c>
      <c r="W960" s="73" t="n">
        <v>0</v>
      </c>
      <c r="X960" s="72" t="inlineStr">
        <is>
          <t>NF 3203776 ROTANORTE - MILKA</t>
        </is>
      </c>
      <c r="Z960" s="59">
        <f>IF($T960="","",IFERROR(INDEX('Resumo Grupos'!$AC$3:$AC$200,MATCH($T960,'Resumo Grupos'!$AB$3:$AB$200,0)),"n/d"))</f>
        <v/>
      </c>
      <c r="AA960" s="59">
        <f>IF($T960="","",IF(COUNTIF('Resumo Grupos'!$AE$3:$AE$40,$T960)&gt;0,"NAO","SIM"))</f>
        <v/>
      </c>
    </row>
    <row r="961" ht="36.75" customHeight="1" s="60">
      <c r="A961" s="70" t="n">
        <v>1</v>
      </c>
      <c r="B961" s="71" t="n">
        <v>46191</v>
      </c>
      <c r="C961" s="71" t="n">
        <v>46211</v>
      </c>
      <c r="D961" s="70" t="n">
        <v>1636</v>
      </c>
      <c r="E961" s="72" t="inlineStr">
        <is>
          <t>DUNORTE DISTRIBUIDORA DE PRODUTOS DE CONSUMO LTDA</t>
        </is>
      </c>
      <c r="F961" s="70" t="n">
        <v>24</v>
      </c>
      <c r="G961" s="72" t="inlineStr">
        <is>
          <t>Compra a Prazo - Boletos</t>
        </is>
      </c>
      <c r="H961" s="70" t="n">
        <v>2110101</v>
      </c>
      <c r="I961" s="72" t="inlineStr">
        <is>
          <t>FORNECEDORES DE MERCADORIA</t>
        </is>
      </c>
      <c r="J961" s="70" t="n">
        <v>1269420</v>
      </c>
      <c r="L961" s="70" t="n">
        <v>3203774</v>
      </c>
      <c r="M961" s="72" t="inlineStr">
        <is>
          <t>01</t>
        </is>
      </c>
      <c r="N961" s="72" t="inlineStr">
        <is>
          <t>NFE</t>
        </is>
      </c>
      <c r="P961" s="70" t="n">
        <v>103</v>
      </c>
      <c r="Q961" s="72" t="inlineStr">
        <is>
          <t>MILKA FRANCIS</t>
        </is>
      </c>
      <c r="R961" s="72" t="inlineStr">
        <is>
          <t>ESTOQUE DE MERCADORIAS</t>
        </is>
      </c>
      <c r="S961" s="70" t="n">
        <v>1130101</v>
      </c>
      <c r="T961" s="72" t="inlineStr">
        <is>
          <t>MERCADORIAS P/REVENDA</t>
        </is>
      </c>
      <c r="U961" s="73" t="n">
        <v>2337.67</v>
      </c>
      <c r="W961" s="73" t="n">
        <v>0</v>
      </c>
      <c r="X961" s="72" t="inlineStr">
        <is>
          <t>NF 3203774 - MILKA</t>
        </is>
      </c>
      <c r="Z961" s="59">
        <f>IF($T961="","",IFERROR(INDEX('Resumo Grupos'!$AC$3:$AC$200,MATCH($T961,'Resumo Grupos'!$AB$3:$AB$200,0)),"n/d"))</f>
        <v/>
      </c>
      <c r="AA961" s="59">
        <f>IF($T961="","",IF(COUNTIF('Resumo Grupos'!$AE$3:$AE$40,$T961)&gt;0,"NAO","SIM"))</f>
        <v/>
      </c>
    </row>
    <row r="962" ht="36.75" customHeight="1" s="60">
      <c r="A962" s="70" t="n">
        <v>1</v>
      </c>
      <c r="B962" s="71" t="n">
        <v>46191</v>
      </c>
      <c r="C962" s="71" t="n">
        <v>46211</v>
      </c>
      <c r="D962" s="70" t="n">
        <v>1636</v>
      </c>
      <c r="E962" s="72" t="inlineStr">
        <is>
          <t>DUNORTE DISTRIBUIDORA DE PRODUTOS DE CONSUMO LTDA</t>
        </is>
      </c>
      <c r="F962" s="70" t="n">
        <v>24</v>
      </c>
      <c r="G962" s="72" t="inlineStr">
        <is>
          <t>Compra a Prazo - Boletos</t>
        </is>
      </c>
      <c r="H962" s="70" t="n">
        <v>2110101</v>
      </c>
      <c r="I962" s="72" t="inlineStr">
        <is>
          <t>FORNECEDORES DE MERCADORIA</t>
        </is>
      </c>
      <c r="J962" s="70" t="n">
        <v>1269778</v>
      </c>
      <c r="L962" s="70" t="n">
        <v>3203775</v>
      </c>
      <c r="M962" s="72" t="inlineStr">
        <is>
          <t>01</t>
        </is>
      </c>
      <c r="N962" s="72" t="inlineStr">
        <is>
          <t>NFE</t>
        </is>
      </c>
      <c r="P962" s="70" t="n">
        <v>103</v>
      </c>
      <c r="Q962" s="72" t="inlineStr">
        <is>
          <t>MILKA FRANCIS</t>
        </is>
      </c>
      <c r="R962" s="72" t="inlineStr">
        <is>
          <t>ESTOQUE DE MERCADORIAS</t>
        </is>
      </c>
      <c r="S962" s="70" t="n">
        <v>1130101</v>
      </c>
      <c r="T962" s="72" t="inlineStr">
        <is>
          <t>MERCADORIAS P/REVENDA</t>
        </is>
      </c>
      <c r="U962" s="73" t="n">
        <v>2341.88</v>
      </c>
      <c r="W962" s="73" t="n">
        <v>0</v>
      </c>
      <c r="X962" s="72" t="inlineStr">
        <is>
          <t>NF 3203775 - MILKA</t>
        </is>
      </c>
      <c r="Z962" s="59">
        <f>IF($T962="","",IFERROR(INDEX('Resumo Grupos'!$AC$3:$AC$200,MATCH($T962,'Resumo Grupos'!$AB$3:$AB$200,0)),"n/d"))</f>
        <v/>
      </c>
      <c r="AA962" s="59">
        <f>IF($T962="","",IF(COUNTIF('Resumo Grupos'!$AE$3:$AE$40,$T962)&gt;0,"NAO","SIM"))</f>
        <v/>
      </c>
    </row>
    <row r="963" ht="36.75" customHeight="1" s="60">
      <c r="A963" s="70" t="n">
        <v>1</v>
      </c>
      <c r="B963" s="71" t="n">
        <v>46191</v>
      </c>
      <c r="C963" s="71" t="n">
        <v>46211</v>
      </c>
      <c r="D963" s="70" t="n">
        <v>1626</v>
      </c>
      <c r="E963" s="72" t="inlineStr">
        <is>
          <t>FENNIX BRASIL DISTRIBUIDORA DE PRODUTOS</t>
        </is>
      </c>
      <c r="F963" s="70" t="n">
        <v>24</v>
      </c>
      <c r="G963" s="72" t="inlineStr">
        <is>
          <t>Compra a Prazo - Boletos</t>
        </is>
      </c>
      <c r="H963" s="70" t="n">
        <v>2110101</v>
      </c>
      <c r="I963" s="72" t="inlineStr">
        <is>
          <t>FORNECEDORES DE MERCADORIA</t>
        </is>
      </c>
      <c r="J963" s="70" t="n">
        <v>1269874</v>
      </c>
      <c r="L963" s="70" t="n">
        <v>309639</v>
      </c>
      <c r="M963" s="72" t="inlineStr">
        <is>
          <t>02</t>
        </is>
      </c>
      <c r="N963" s="72" t="inlineStr">
        <is>
          <t>NFE</t>
        </is>
      </c>
      <c r="P963" s="70" t="n">
        <v>103</v>
      </c>
      <c r="Q963" s="72" t="inlineStr">
        <is>
          <t>MILKA FRANCIS</t>
        </is>
      </c>
      <c r="R963" s="72" t="inlineStr">
        <is>
          <t>ESTOQUE DE MERCADORIAS</t>
        </is>
      </c>
      <c r="S963" s="70" t="n">
        <v>1130101</v>
      </c>
      <c r="T963" s="72" t="inlineStr">
        <is>
          <t>MERCADORIAS P/REVENDA</t>
        </is>
      </c>
      <c r="U963" s="73" t="n">
        <v>722.41</v>
      </c>
      <c r="W963" s="73" t="n">
        <v>0</v>
      </c>
      <c r="X963" s="72" t="inlineStr">
        <is>
          <t>NF 309639-2 MILKA</t>
        </is>
      </c>
      <c r="Z963" s="59">
        <f>IF($T963="","",IFERROR(INDEX('Resumo Grupos'!$AC$3:$AC$200,MATCH($T963,'Resumo Grupos'!$AB$3:$AB$200,0)),"n/d"))</f>
        <v/>
      </c>
      <c r="AA963" s="59">
        <f>IF($T963="","",IF(COUNTIF('Resumo Grupos'!$AE$3:$AE$40,$T963)&gt;0,"NAO","SIM"))</f>
        <v/>
      </c>
    </row>
    <row r="964" ht="36.75" customHeight="1" s="60">
      <c r="A964" s="70" t="n">
        <v>1</v>
      </c>
      <c r="B964" s="71" t="n">
        <v>46195</v>
      </c>
      <c r="C964" s="71" t="n">
        <v>46211</v>
      </c>
      <c r="D964" s="70" t="n">
        <v>1613</v>
      </c>
      <c r="E964" s="72" t="inlineStr">
        <is>
          <t>BRF S A</t>
        </is>
      </c>
      <c r="F964" s="70" t="n">
        <v>24</v>
      </c>
      <c r="G964" s="72" t="inlineStr">
        <is>
          <t>Compra a Prazo - Boletos</t>
        </is>
      </c>
      <c r="H964" s="70" t="n">
        <v>2110101</v>
      </c>
      <c r="I964" s="72" t="inlineStr">
        <is>
          <t>FORNECEDORES DE MERCADORIA</t>
        </is>
      </c>
      <c r="J964" s="70" t="n">
        <v>1290083</v>
      </c>
      <c r="L964" s="70" t="n">
        <v>1598766</v>
      </c>
      <c r="M964" s="72" t="inlineStr">
        <is>
          <t>02</t>
        </is>
      </c>
      <c r="N964" s="72" t="inlineStr">
        <is>
          <t>NFE</t>
        </is>
      </c>
      <c r="P964" s="70" t="n">
        <v>103</v>
      </c>
      <c r="Q964" s="72" t="inlineStr">
        <is>
          <t>MILKA FRANCIS</t>
        </is>
      </c>
      <c r="R964" s="72" t="inlineStr">
        <is>
          <t>ESTOQUE DE MERCADORIAS</t>
        </is>
      </c>
      <c r="S964" s="70" t="n">
        <v>1130101</v>
      </c>
      <c r="T964" s="72" t="inlineStr">
        <is>
          <t>MERCADORIAS P/REVENDA</t>
        </is>
      </c>
      <c r="U964" s="73" t="n">
        <v>3813.46</v>
      </c>
      <c r="W964" s="73" t="n">
        <v>0</v>
      </c>
      <c r="X964" s="72" t="inlineStr">
        <is>
          <t>NF 1598766-02/02 MILKA</t>
        </is>
      </c>
      <c r="Z964" s="59">
        <f>IF($T964="","",IFERROR(INDEX('Resumo Grupos'!$AC$3:$AC$200,MATCH($T964,'Resumo Grupos'!$AB$3:$AB$200,0)),"n/d"))</f>
        <v/>
      </c>
      <c r="AA964" s="59">
        <f>IF($T964="","",IF(COUNTIF('Resumo Grupos'!$AE$3:$AE$40,$T964)&gt;0,"NAO","SIM"))</f>
        <v/>
      </c>
    </row>
    <row r="965" ht="36.75" customHeight="1" s="60">
      <c r="A965" s="70" t="n">
        <v>1</v>
      </c>
      <c r="B965" s="71" t="n">
        <v>46196</v>
      </c>
      <c r="C965" s="71" t="n">
        <v>46211</v>
      </c>
      <c r="D965" s="70" t="n">
        <v>1672</v>
      </c>
      <c r="E965" s="72" t="inlineStr">
        <is>
          <t>MARE DISTRIBUIDORA DE BEBIDAS E DE PRODUTOS ALIMENTICIOS LTDA</t>
        </is>
      </c>
      <c r="F965" s="70" t="n">
        <v>24</v>
      </c>
      <c r="G965" s="72" t="inlineStr">
        <is>
          <t>Compra a Prazo - Boletos</t>
        </is>
      </c>
      <c r="H965" s="70" t="n">
        <v>2110101</v>
      </c>
      <c r="I965" s="72" t="inlineStr">
        <is>
          <t>FORNECEDORES DE MERCADORIA</t>
        </is>
      </c>
      <c r="J965" s="70" t="n">
        <v>1293719</v>
      </c>
      <c r="L965" s="70" t="n">
        <v>1375586</v>
      </c>
      <c r="M965" s="72" t="inlineStr">
        <is>
          <t>01</t>
        </is>
      </c>
      <c r="N965" s="72" t="inlineStr">
        <is>
          <t>NFE</t>
        </is>
      </c>
      <c r="P965" s="70" t="n">
        <v>103</v>
      </c>
      <c r="Q965" s="72" t="inlineStr">
        <is>
          <t>MILKA FRANCIS</t>
        </is>
      </c>
      <c r="R965" s="72" t="inlineStr">
        <is>
          <t>ESTOQUE DE MERCADORIAS</t>
        </is>
      </c>
      <c r="S965" s="70" t="n">
        <v>1130101</v>
      </c>
      <c r="T965" s="72" t="inlineStr">
        <is>
          <t>MERCADORIAS P/REVENDA</t>
        </is>
      </c>
      <c r="U965" s="73" t="n">
        <v>1232.85</v>
      </c>
      <c r="W965" s="73" t="n">
        <v>0</v>
      </c>
      <c r="X965" s="72" t="inlineStr">
        <is>
          <t>NF 1375586 - MILKA</t>
        </is>
      </c>
      <c r="Z965" s="59">
        <f>IF($T965="","",IFERROR(INDEX('Resumo Grupos'!$AC$3:$AC$200,MATCH($T965,'Resumo Grupos'!$AB$3:$AB$200,0)),"n/d"))</f>
        <v/>
      </c>
      <c r="AA965" s="59">
        <f>IF($T965="","",IF(COUNTIF('Resumo Grupos'!$AE$3:$AE$40,$T965)&gt;0,"NAO","SIM"))</f>
        <v/>
      </c>
    </row>
    <row r="966" ht="36.75" customHeight="1" s="60">
      <c r="A966" s="70" t="n">
        <v>1</v>
      </c>
      <c r="B966" s="71" t="n">
        <v>46197</v>
      </c>
      <c r="C966" s="71" t="n">
        <v>46211</v>
      </c>
      <c r="D966" s="70" t="n">
        <v>1152</v>
      </c>
      <c r="E966" s="72" t="inlineStr">
        <is>
          <t>D DE J SANTOS LTDA</t>
        </is>
      </c>
      <c r="F966" s="70" t="n">
        <v>24</v>
      </c>
      <c r="G966" s="72" t="inlineStr">
        <is>
          <t>Compra a Prazo - Boletos</t>
        </is>
      </c>
      <c r="H966" s="70" t="n">
        <v>2110101</v>
      </c>
      <c r="I966" s="72" t="inlineStr">
        <is>
          <t>FORNECEDORES DE MERCADORIA</t>
        </is>
      </c>
      <c r="J966" s="70" t="n">
        <v>1299496</v>
      </c>
      <c r="L966" s="70" t="n">
        <v>256</v>
      </c>
      <c r="M966" s="72" t="inlineStr">
        <is>
          <t>01</t>
        </is>
      </c>
      <c r="N966" s="72" t="inlineStr">
        <is>
          <t>NFE</t>
        </is>
      </c>
      <c r="P966" s="70" t="n">
        <v>103</v>
      </c>
      <c r="Q966" s="72" t="inlineStr">
        <is>
          <t>MILKA FRANCIS</t>
        </is>
      </c>
      <c r="R966" s="72" t="inlineStr">
        <is>
          <t>ESTOQUE DE MERCADORIAS</t>
        </is>
      </c>
      <c r="S966" s="70" t="n">
        <v>1130101</v>
      </c>
      <c r="T966" s="72" t="inlineStr">
        <is>
          <t>MERCADORIAS P/REVENDA</t>
        </is>
      </c>
      <c r="U966" s="73" t="n">
        <v>1335</v>
      </c>
      <c r="W966" s="73" t="n">
        <v>0</v>
      </c>
      <c r="X966" s="72" t="inlineStr">
        <is>
          <t>NF 256 DELICIA DE FARINHA - MILKA</t>
        </is>
      </c>
      <c r="Z966" s="59">
        <f>IF($T966="","",IFERROR(INDEX('Resumo Grupos'!$AC$3:$AC$200,MATCH($T966,'Resumo Grupos'!$AB$3:$AB$200,0)),"n/d"))</f>
        <v/>
      </c>
      <c r="AA966" s="59">
        <f>IF($T966="","",IF(COUNTIF('Resumo Grupos'!$AE$3:$AE$40,$T966)&gt;0,"NAO","SIM"))</f>
        <v/>
      </c>
    </row>
    <row r="967" ht="45.75" customHeight="1" s="60">
      <c r="A967" s="70" t="n">
        <v>1</v>
      </c>
      <c r="B967" s="71" t="n">
        <v>46197</v>
      </c>
      <c r="C967" s="71" t="n">
        <v>46211</v>
      </c>
      <c r="D967" s="70" t="n">
        <v>1136</v>
      </c>
      <c r="E967" s="72" t="inlineStr">
        <is>
          <t>VIA CERTA IMPORTACAO E DISTRIBUICAO DE A</t>
        </is>
      </c>
      <c r="F967" s="70" t="n">
        <v>24</v>
      </c>
      <c r="G967" s="72" t="inlineStr">
        <is>
          <t>Compra a Prazo - Boletos</t>
        </is>
      </c>
      <c r="H967" s="70" t="n">
        <v>2110101</v>
      </c>
      <c r="I967" s="72" t="inlineStr">
        <is>
          <t>FORNECEDORES DE MERCADORIA</t>
        </is>
      </c>
      <c r="J967" s="70" t="n">
        <v>1300387</v>
      </c>
      <c r="L967" s="70" t="n">
        <v>50625</v>
      </c>
      <c r="M967" s="72" t="inlineStr">
        <is>
          <t>01</t>
        </is>
      </c>
      <c r="N967" s="72" t="inlineStr">
        <is>
          <t>NFE</t>
        </is>
      </c>
      <c r="P967" s="70" t="n">
        <v>103</v>
      </c>
      <c r="Q967" s="72" t="inlineStr">
        <is>
          <t>MILKA FRANCIS</t>
        </is>
      </c>
      <c r="R967" s="72" t="inlineStr">
        <is>
          <t>ESTOQUE DE MERCADORIAS</t>
        </is>
      </c>
      <c r="S967" s="70" t="n">
        <v>1130101</v>
      </c>
      <c r="T967" s="72" t="inlineStr">
        <is>
          <t>MERCADORIAS P/REVENDA</t>
        </is>
      </c>
      <c r="U967" s="73" t="n">
        <v>318.32</v>
      </c>
      <c r="W967" s="73" t="n">
        <v>0</v>
      </c>
      <c r="X967" s="72" t="inlineStr">
        <is>
          <t>NF 50625-1 MILKA</t>
        </is>
      </c>
      <c r="Z967" s="59">
        <f>IF($T967="","",IFERROR(INDEX('Resumo Grupos'!$AC$3:$AC$200,MATCH($T967,'Resumo Grupos'!$AB$3:$AB$200,0)),"n/d"))</f>
        <v/>
      </c>
      <c r="AA967" s="59">
        <f>IF($T967="","",IF(COUNTIF('Resumo Grupos'!$AE$3:$AE$40,$T967)&gt;0,"NAO","SIM"))</f>
        <v/>
      </c>
    </row>
    <row r="968" ht="45.75" customHeight="1" s="60">
      <c r="A968" s="70" t="n">
        <v>1</v>
      </c>
      <c r="B968" s="71" t="n">
        <v>46197</v>
      </c>
      <c r="C968" s="71" t="n">
        <v>46211</v>
      </c>
      <c r="D968" s="70" t="n">
        <v>10010</v>
      </c>
      <c r="E968" s="72" t="inlineStr">
        <is>
          <t>VIA CERTA INDUSTRIA E COMERCIO DE SANEANTES LTDA</t>
        </is>
      </c>
      <c r="F968" s="70" t="n">
        <v>24</v>
      </c>
      <c r="G968" s="72" t="inlineStr">
        <is>
          <t>Compra a Prazo - Boletos</t>
        </is>
      </c>
      <c r="H968" s="70" t="n">
        <v>2110101</v>
      </c>
      <c r="I968" s="72" t="inlineStr">
        <is>
          <t>FORNECEDORES DE MERCADORIA</t>
        </is>
      </c>
      <c r="J968" s="70" t="n">
        <v>1300399</v>
      </c>
      <c r="L968" s="70" t="n">
        <v>41693</v>
      </c>
      <c r="M968" s="72" t="inlineStr">
        <is>
          <t>01</t>
        </is>
      </c>
      <c r="N968" s="72" t="inlineStr">
        <is>
          <t>NFE</t>
        </is>
      </c>
      <c r="P968" s="70" t="n">
        <v>103</v>
      </c>
      <c r="Q968" s="72" t="inlineStr">
        <is>
          <t>MILKA FRANCIS</t>
        </is>
      </c>
      <c r="R968" s="72" t="inlineStr">
        <is>
          <t>ESTOQUE DE MERCADORIAS</t>
        </is>
      </c>
      <c r="S968" s="70" t="n">
        <v>1130101</v>
      </c>
      <c r="T968" s="72" t="inlineStr">
        <is>
          <t>MERCADORIAS P/REVENDA</t>
        </is>
      </c>
      <c r="U968" s="73" t="n">
        <v>405.76</v>
      </c>
      <c r="W968" s="73" t="n">
        <v>0</v>
      </c>
      <c r="X968" s="72" t="inlineStr">
        <is>
          <t>NF 41693-1 MILKA</t>
        </is>
      </c>
      <c r="Z968" s="59">
        <f>IF($T968="","",IFERROR(INDEX('Resumo Grupos'!$AC$3:$AC$200,MATCH($T968,'Resumo Grupos'!$AB$3:$AB$200,0)),"n/d"))</f>
        <v/>
      </c>
      <c r="AA968" s="59">
        <f>IF($T968="","",IF(COUNTIF('Resumo Grupos'!$AE$3:$AE$40,$T968)&gt;0,"NAO","SIM"))</f>
        <v/>
      </c>
    </row>
    <row r="969" ht="36.75" customHeight="1" s="60">
      <c r="A969" s="70" t="n">
        <v>1</v>
      </c>
      <c r="B969" s="71" t="n">
        <v>46198</v>
      </c>
      <c r="C969" s="71" t="n">
        <v>46211</v>
      </c>
      <c r="D969" s="70" t="n">
        <v>1815</v>
      </c>
      <c r="E969" s="72" t="inlineStr">
        <is>
          <t>J G COMERCIO DE PRODUTOS ALIMENTICIOS LTDA</t>
        </is>
      </c>
      <c r="F969" s="70" t="n">
        <v>24</v>
      </c>
      <c r="G969" s="72" t="inlineStr">
        <is>
          <t>Compra a Prazo - Boletos</t>
        </is>
      </c>
      <c r="H969" s="70" t="n">
        <v>2110101</v>
      </c>
      <c r="I969" s="72" t="inlineStr">
        <is>
          <t>FORNECEDORES DE MERCADORIA</t>
        </is>
      </c>
      <c r="J969" s="70" t="n">
        <v>1304557</v>
      </c>
      <c r="L969" s="70" t="n">
        <v>388860</v>
      </c>
      <c r="M969" s="72" t="inlineStr">
        <is>
          <t>02</t>
        </is>
      </c>
      <c r="N969" s="72" t="inlineStr">
        <is>
          <t>NFE</t>
        </is>
      </c>
      <c r="P969" s="70" t="n">
        <v>103</v>
      </c>
      <c r="Q969" s="72" t="inlineStr">
        <is>
          <t>MILKA FRANCIS</t>
        </is>
      </c>
      <c r="R969" s="72" t="inlineStr">
        <is>
          <t>ESTOQUE DE MERCADORIAS</t>
        </is>
      </c>
      <c r="S969" s="70" t="n">
        <v>1130101</v>
      </c>
      <c r="T969" s="72" t="inlineStr">
        <is>
          <t>MERCADORIAS P/REVENDA</t>
        </is>
      </c>
      <c r="U969" s="73" t="n">
        <v>1283.28</v>
      </c>
      <c r="W969" s="73" t="n">
        <v>0</v>
      </c>
      <c r="X969" s="72" t="inlineStr">
        <is>
          <t>452671-B/C  NF388860 - MILKA</t>
        </is>
      </c>
      <c r="Z969" s="59">
        <f>IF($T969="","",IFERROR(INDEX('Resumo Grupos'!$AC$3:$AC$200,MATCH($T969,'Resumo Grupos'!$AB$3:$AB$200,0)),"n/d"))</f>
        <v/>
      </c>
      <c r="AA969" s="59">
        <f>IF($T969="","",IF(COUNTIF('Resumo Grupos'!$AE$3:$AE$40,$T969)&gt;0,"NAO","SIM"))</f>
        <v/>
      </c>
    </row>
    <row r="970" ht="45.75" customHeight="1" s="60">
      <c r="A970" s="70" t="n">
        <v>1</v>
      </c>
      <c r="B970" s="71" t="n">
        <v>46198</v>
      </c>
      <c r="C970" s="71" t="n">
        <v>46211</v>
      </c>
      <c r="D970" s="70" t="n">
        <v>1637</v>
      </c>
      <c r="E970" s="72" t="inlineStr">
        <is>
          <t>ATACADAO S.A.</t>
        </is>
      </c>
      <c r="F970" s="70" t="n">
        <v>24</v>
      </c>
      <c r="G970" s="72" t="inlineStr">
        <is>
          <t>Compra a Prazo - Boletos</t>
        </is>
      </c>
      <c r="H970" s="70" t="n">
        <v>2110101</v>
      </c>
      <c r="I970" s="72" t="inlineStr">
        <is>
          <t>FORNECEDORES DE MERCADORIA</t>
        </is>
      </c>
      <c r="J970" s="70" t="n">
        <v>1305258</v>
      </c>
      <c r="L970" s="70" t="n">
        <v>1892633</v>
      </c>
      <c r="M970" s="72" t="inlineStr">
        <is>
          <t>01</t>
        </is>
      </c>
      <c r="N970" s="72" t="inlineStr">
        <is>
          <t>NFE</t>
        </is>
      </c>
      <c r="P970" s="70" t="n">
        <v>103</v>
      </c>
      <c r="Q970" s="72" t="inlineStr">
        <is>
          <t>MILKA FRANCIS</t>
        </is>
      </c>
      <c r="R970" s="72" t="inlineStr">
        <is>
          <t>ESTOQUE DE MERCADORIAS</t>
        </is>
      </c>
      <c r="S970" s="70" t="n">
        <v>1130101</v>
      </c>
      <c r="T970" s="72" t="inlineStr">
        <is>
          <t>MERCADORIAS P/REVENDA</t>
        </is>
      </c>
      <c r="U970" s="73" t="n">
        <v>752.3099999999999</v>
      </c>
      <c r="W970" s="73" t="n">
        <v>0</v>
      </c>
      <c r="X970" s="72" t="inlineStr">
        <is>
          <t>NF 1892633 - MILKA</t>
        </is>
      </c>
      <c r="Z970" s="59">
        <f>IF($T970="","",IFERROR(INDEX('Resumo Grupos'!$AC$3:$AC$200,MATCH($T970,'Resumo Grupos'!$AB$3:$AB$200,0)),"n/d"))</f>
        <v/>
      </c>
      <c r="AA970" s="59">
        <f>IF($T970="","",IF(COUNTIF('Resumo Grupos'!$AE$3:$AE$40,$T970)&gt;0,"NAO","SIM"))</f>
        <v/>
      </c>
    </row>
    <row r="971" ht="45.75" customHeight="1" s="60">
      <c r="A971" s="70" t="n">
        <v>1</v>
      </c>
      <c r="B971" s="71" t="n">
        <v>46198</v>
      </c>
      <c r="C971" s="71" t="n">
        <v>46211</v>
      </c>
      <c r="D971" s="70" t="n">
        <v>1637</v>
      </c>
      <c r="E971" s="72" t="inlineStr">
        <is>
          <t>ATACADAO S.A.</t>
        </is>
      </c>
      <c r="F971" s="70" t="n">
        <v>24</v>
      </c>
      <c r="G971" s="72" t="inlineStr">
        <is>
          <t>Compra a Prazo - Boletos</t>
        </is>
      </c>
      <c r="H971" s="70" t="n">
        <v>2110101</v>
      </c>
      <c r="I971" s="72" t="inlineStr">
        <is>
          <t>FORNECEDORES DE MERCADORIA</t>
        </is>
      </c>
      <c r="J971" s="70" t="n">
        <v>1305665</v>
      </c>
      <c r="L971" s="70" t="n">
        <v>1895761</v>
      </c>
      <c r="M971" s="72" t="inlineStr">
        <is>
          <t>01</t>
        </is>
      </c>
      <c r="N971" s="72" t="inlineStr">
        <is>
          <t>NFE</t>
        </is>
      </c>
      <c r="P971" s="70" t="n">
        <v>103</v>
      </c>
      <c r="Q971" s="72" t="inlineStr">
        <is>
          <t>MILKA FRANCIS</t>
        </is>
      </c>
      <c r="R971" s="72" t="inlineStr">
        <is>
          <t>ESTOQUE DE MERCADORIAS</t>
        </is>
      </c>
      <c r="S971" s="70" t="n">
        <v>1130101</v>
      </c>
      <c r="T971" s="72" t="inlineStr">
        <is>
          <t>MERCADORIAS P/REVENDA</t>
        </is>
      </c>
      <c r="U971" s="73" t="n">
        <v>1584.38</v>
      </c>
      <c r="W971" s="73" t="n">
        <v>0</v>
      </c>
      <c r="X971" s="72" t="inlineStr">
        <is>
          <t>NF 1895761 - MILKA</t>
        </is>
      </c>
      <c r="Z971" s="59">
        <f>IF($T971="","",IFERROR(INDEX('Resumo Grupos'!$AC$3:$AC$200,MATCH($T971,'Resumo Grupos'!$AB$3:$AB$200,0)),"n/d"))</f>
        <v/>
      </c>
      <c r="AA971" s="59">
        <f>IF($T971="","",IF(COUNTIF('Resumo Grupos'!$AE$3:$AE$40,$T971)&gt;0,"NAO","SIM"))</f>
        <v/>
      </c>
    </row>
    <row r="972" ht="45.75" customHeight="1" s="60">
      <c r="A972" s="70" t="n">
        <v>1</v>
      </c>
      <c r="B972" s="71" t="n">
        <v>46198</v>
      </c>
      <c r="C972" s="71" t="n">
        <v>46211</v>
      </c>
      <c r="D972" s="70" t="n">
        <v>1637</v>
      </c>
      <c r="E972" s="72" t="inlineStr">
        <is>
          <t>ATACADAO S.A.</t>
        </is>
      </c>
      <c r="F972" s="70" t="n">
        <v>24</v>
      </c>
      <c r="G972" s="72" t="inlineStr">
        <is>
          <t>Compra a Prazo - Boletos</t>
        </is>
      </c>
      <c r="H972" s="70" t="n">
        <v>2110101</v>
      </c>
      <c r="I972" s="72" t="inlineStr">
        <is>
          <t>FORNECEDORES DE MERCADORIA</t>
        </is>
      </c>
      <c r="J972" s="70" t="n">
        <v>1305728</v>
      </c>
      <c r="L972" s="70" t="n">
        <v>1895808</v>
      </c>
      <c r="M972" s="72" t="inlineStr">
        <is>
          <t>01</t>
        </is>
      </c>
      <c r="N972" s="72" t="inlineStr">
        <is>
          <t>NFE</t>
        </is>
      </c>
      <c r="P972" s="70" t="n">
        <v>103</v>
      </c>
      <c r="Q972" s="72" t="inlineStr">
        <is>
          <t>MILKA FRANCIS</t>
        </is>
      </c>
      <c r="R972" s="72" t="inlineStr">
        <is>
          <t>ESTOQUE DE MERCADORIAS</t>
        </is>
      </c>
      <c r="S972" s="70" t="n">
        <v>1130101</v>
      </c>
      <c r="T972" s="72" t="inlineStr">
        <is>
          <t>MERCADORIAS P/REVENDA</t>
        </is>
      </c>
      <c r="U972" s="73" t="n">
        <v>516.92</v>
      </c>
      <c r="W972" s="73" t="n">
        <v>0</v>
      </c>
      <c r="X972" s="72" t="inlineStr">
        <is>
          <t>NF1895808 - MILKA</t>
        </is>
      </c>
      <c r="Z972" s="59">
        <f>IF($T972="","",IFERROR(INDEX('Resumo Grupos'!$AC$3:$AC$200,MATCH($T972,'Resumo Grupos'!$AB$3:$AB$200,0)),"n/d"))</f>
        <v/>
      </c>
      <c r="AA972" s="59">
        <f>IF($T972="","",IF(COUNTIF('Resumo Grupos'!$AE$3:$AE$40,$T972)&gt;0,"NAO","SIM"))</f>
        <v/>
      </c>
    </row>
    <row r="973" ht="45.75" customHeight="1" s="60">
      <c r="A973" s="70" t="n">
        <v>1</v>
      </c>
      <c r="B973" s="71" t="n">
        <v>46198</v>
      </c>
      <c r="C973" s="71" t="n">
        <v>46211</v>
      </c>
      <c r="D973" s="70" t="n">
        <v>1712</v>
      </c>
      <c r="E973" s="72" t="inlineStr">
        <is>
          <t>AMAZON BEEF COMERCIO DE CARNES EIRELI -</t>
        </is>
      </c>
      <c r="F973" s="70" t="n">
        <v>24</v>
      </c>
      <c r="G973" s="72" t="inlineStr">
        <is>
          <t>Compra a Prazo - Boletos</t>
        </is>
      </c>
      <c r="H973" s="70" t="n">
        <v>2110101</v>
      </c>
      <c r="I973" s="72" t="inlineStr">
        <is>
          <t>FORNECEDORES DE MERCADORIA</t>
        </is>
      </c>
      <c r="J973" s="70" t="n">
        <v>1306051</v>
      </c>
      <c r="L973" s="70" t="n">
        <v>28698</v>
      </c>
      <c r="M973" s="72" t="inlineStr">
        <is>
          <t>02</t>
        </is>
      </c>
      <c r="N973" s="72" t="inlineStr">
        <is>
          <t>NFE</t>
        </is>
      </c>
      <c r="P973" s="70" t="n">
        <v>103</v>
      </c>
      <c r="Q973" s="72" t="inlineStr">
        <is>
          <t>MILKA FRANCIS</t>
        </is>
      </c>
      <c r="R973" s="72" t="inlineStr">
        <is>
          <t>ESTOQUE DE MERCADORIAS</t>
        </is>
      </c>
      <c r="S973" s="70" t="n">
        <v>1130101</v>
      </c>
      <c r="T973" s="72" t="inlineStr">
        <is>
          <t>MERCADORIAS P/REVENDA</t>
        </is>
      </c>
      <c r="U973" s="73" t="n">
        <v>637.11</v>
      </c>
      <c r="W973" s="73" t="n">
        <v>0</v>
      </c>
      <c r="X973" s="72" t="inlineStr">
        <is>
          <t>NF 28698/2 MILKA</t>
        </is>
      </c>
      <c r="Z973" s="59">
        <f>IF($T973="","",IFERROR(INDEX('Resumo Grupos'!$AC$3:$AC$200,MATCH($T973,'Resumo Grupos'!$AB$3:$AB$200,0)),"n/d"))</f>
        <v/>
      </c>
      <c r="AA973" s="59">
        <f>IF($T973="","",IF(COUNTIF('Resumo Grupos'!$AE$3:$AE$40,$T973)&gt;0,"NAO","SIM"))</f>
        <v/>
      </c>
    </row>
    <row r="974" ht="45.75" customHeight="1" s="60">
      <c r="A974" s="70" t="n">
        <v>1</v>
      </c>
      <c r="B974" s="71" t="n">
        <v>46199</v>
      </c>
      <c r="C974" s="71" t="n">
        <v>46211</v>
      </c>
      <c r="D974" s="70" t="n">
        <v>1613</v>
      </c>
      <c r="E974" s="72" t="inlineStr">
        <is>
          <t>BRF S A</t>
        </is>
      </c>
      <c r="F974" s="70" t="n">
        <v>24</v>
      </c>
      <c r="G974" s="72" t="inlineStr">
        <is>
          <t>Compra a Prazo - Boletos</t>
        </is>
      </c>
      <c r="H974" s="70" t="n">
        <v>2110101</v>
      </c>
      <c r="I974" s="72" t="inlineStr">
        <is>
          <t>FORNECEDORES DE MERCADORIA</t>
        </is>
      </c>
      <c r="J974" s="70" t="n">
        <v>1309293</v>
      </c>
      <c r="L974" s="70" t="n">
        <v>1600670</v>
      </c>
      <c r="M974" s="72" t="inlineStr">
        <is>
          <t>01</t>
        </is>
      </c>
      <c r="N974" s="72" t="inlineStr">
        <is>
          <t>NFE</t>
        </is>
      </c>
      <c r="P974" s="70" t="n">
        <v>103</v>
      </c>
      <c r="Q974" s="72" t="inlineStr">
        <is>
          <t>MILKA FRANCIS</t>
        </is>
      </c>
      <c r="R974" s="72" t="inlineStr">
        <is>
          <t>ESTOQUE DE MERCADORIAS</t>
        </is>
      </c>
      <c r="S974" s="70" t="n">
        <v>1130101</v>
      </c>
      <c r="T974" s="72" t="inlineStr">
        <is>
          <t>MERCADORIAS P/REVENDA</t>
        </is>
      </c>
      <c r="U974" s="73" t="n">
        <v>6714.04</v>
      </c>
      <c r="W974" s="73" t="n">
        <v>0</v>
      </c>
      <c r="X974" s="72" t="inlineStr">
        <is>
          <t>NF 1600670-01 MILKA</t>
        </is>
      </c>
      <c r="Z974" s="59">
        <f>IF($T974="","",IFERROR(INDEX('Resumo Grupos'!$AC$3:$AC$200,MATCH($T974,'Resumo Grupos'!$AB$3:$AB$200,0)),"n/d"))</f>
        <v/>
      </c>
      <c r="AA974" s="59">
        <f>IF($T974="","",IF(COUNTIF('Resumo Grupos'!$AE$3:$AE$40,$T974)&gt;0,"NAO","SIM"))</f>
        <v/>
      </c>
    </row>
    <row r="975" ht="45.75" customHeight="1" s="60">
      <c r="A975" s="70" t="n">
        <v>1</v>
      </c>
      <c r="B975" s="71" t="n">
        <v>46205</v>
      </c>
      <c r="C975" s="71" t="n">
        <v>46211</v>
      </c>
      <c r="D975" s="70" t="n">
        <v>1328</v>
      </c>
      <c r="E975" s="72" t="inlineStr">
        <is>
          <t>NOVA FRIOS COMERCIO ATACADISTA DE LATICINIOS LTDA</t>
        </is>
      </c>
      <c r="F975" s="70" t="n">
        <v>24</v>
      </c>
      <c r="G975" s="72" t="inlineStr">
        <is>
          <t>Compra a Prazo - Boletos</t>
        </is>
      </c>
      <c r="H975" s="70" t="n">
        <v>2110101</v>
      </c>
      <c r="I975" s="72" t="inlineStr">
        <is>
          <t>FORNECEDORES DE MERCADORIA</t>
        </is>
      </c>
      <c r="J975" s="70" t="n">
        <v>1340407</v>
      </c>
      <c r="L975" s="70" t="n">
        <v>3942</v>
      </c>
      <c r="M975" s="72" t="inlineStr">
        <is>
          <t>01</t>
        </is>
      </c>
      <c r="N975" s="72" t="inlineStr">
        <is>
          <t>NFE</t>
        </is>
      </c>
      <c r="P975" s="70" t="n">
        <v>103</v>
      </c>
      <c r="Q975" s="72" t="inlineStr">
        <is>
          <t>MILKA FRANCIS</t>
        </is>
      </c>
      <c r="R975" s="72" t="inlineStr">
        <is>
          <t>ESTOQUE DE MERCADORIAS</t>
        </is>
      </c>
      <c r="S975" s="70" t="n">
        <v>1130101</v>
      </c>
      <c r="T975" s="72" t="inlineStr">
        <is>
          <t>MERCADORIAS P/REVENDA</t>
        </is>
      </c>
      <c r="U975" s="73" t="n">
        <v>251.5</v>
      </c>
      <c r="W975" s="73" t="n">
        <v>0</v>
      </c>
      <c r="X975" s="72" t="inlineStr">
        <is>
          <t>NF 3942 BODEGA - MILKA</t>
        </is>
      </c>
      <c r="Z975" s="59">
        <f>IF($T975="","",IFERROR(INDEX('Resumo Grupos'!$AC$3:$AC$200,MATCH($T975,'Resumo Grupos'!$AB$3:$AB$200,0)),"n/d"))</f>
        <v/>
      </c>
      <c r="AA975" s="59">
        <f>IF($T975="","",IF(COUNTIF('Resumo Grupos'!$AE$3:$AE$40,$T975)&gt;0,"NAO","SIM"))</f>
        <v/>
      </c>
    </row>
    <row r="976" ht="36.75" customHeight="1" s="60">
      <c r="A976" s="70" t="n">
        <v>1</v>
      </c>
      <c r="B976" s="71" t="n">
        <v>46206</v>
      </c>
      <c r="C976" s="71" t="n">
        <v>46211</v>
      </c>
      <c r="D976" s="70" t="n">
        <v>1899</v>
      </c>
      <c r="E976" s="72" t="inlineStr">
        <is>
          <t>PANIFICADORA E CONFEITARIA REAL MADRI LTDA</t>
        </is>
      </c>
      <c r="F976" s="70" t="n">
        <v>24</v>
      </c>
      <c r="G976" s="72" t="inlineStr">
        <is>
          <t>Compra a Prazo - Boletos</t>
        </is>
      </c>
      <c r="H976" s="70" t="n">
        <v>2110101</v>
      </c>
      <c r="I976" s="72" t="inlineStr">
        <is>
          <t>FORNECEDORES DE MERCADORIA</t>
        </is>
      </c>
      <c r="J976" s="70" t="n">
        <v>1343853</v>
      </c>
      <c r="L976" s="70" t="n">
        <v>694</v>
      </c>
      <c r="M976" s="72" t="inlineStr">
        <is>
          <t>01</t>
        </is>
      </c>
      <c r="N976" s="72" t="inlineStr">
        <is>
          <t>NFE</t>
        </is>
      </c>
      <c r="P976" s="70" t="n">
        <v>103</v>
      </c>
      <c r="Q976" s="72" t="inlineStr">
        <is>
          <t>MILKA FRANCIS</t>
        </is>
      </c>
      <c r="R976" s="72" t="inlineStr">
        <is>
          <t>ESTOQUE DE MERCADORIAS</t>
        </is>
      </c>
      <c r="S976" s="70" t="n">
        <v>1130101</v>
      </c>
      <c r="T976" s="72" t="inlineStr">
        <is>
          <t>MERCADORIAS P/REVENDA</t>
        </is>
      </c>
      <c r="U976" s="73" t="n">
        <v>980</v>
      </c>
      <c r="W976" s="73" t="n">
        <v>0</v>
      </c>
      <c r="X976" s="72" t="inlineStr">
        <is>
          <t>NF 694 - MILKA</t>
        </is>
      </c>
      <c r="Z976" s="59">
        <f>IF($T976="","",IFERROR(INDEX('Resumo Grupos'!$AC$3:$AC$200,MATCH($T976,'Resumo Grupos'!$AB$3:$AB$200,0)),"n/d"))</f>
        <v/>
      </c>
      <c r="AA976" s="59">
        <f>IF($T976="","",IF(COUNTIF('Resumo Grupos'!$AE$3:$AE$40,$T976)&gt;0,"NAO","SIM"))</f>
        <v/>
      </c>
    </row>
    <row r="977" ht="63.75" customHeight="1" s="60">
      <c r="A977" s="70" t="n">
        <v>1</v>
      </c>
      <c r="B977" s="71" t="n">
        <v>46206</v>
      </c>
      <c r="C977" s="71" t="n">
        <v>46211</v>
      </c>
      <c r="D977" s="70" t="n">
        <v>1899</v>
      </c>
      <c r="E977" s="72" t="inlineStr">
        <is>
          <t>PANIFICADORA E CONFEITARIA REAL MADRI LTDA</t>
        </is>
      </c>
      <c r="F977" s="70" t="n">
        <v>24</v>
      </c>
      <c r="G977" s="72" t="inlineStr">
        <is>
          <t>Compra a Prazo - Boletos</t>
        </is>
      </c>
      <c r="H977" s="70" t="n">
        <v>2110101</v>
      </c>
      <c r="I977" s="72" t="inlineStr">
        <is>
          <t>FORNECEDORES DE MERCADORIA</t>
        </is>
      </c>
      <c r="J977" s="70" t="n">
        <v>1343872</v>
      </c>
      <c r="L977" s="70" t="n">
        <v>695</v>
      </c>
      <c r="M977" s="72" t="inlineStr">
        <is>
          <t>01</t>
        </is>
      </c>
      <c r="N977" s="72" t="inlineStr">
        <is>
          <t>NFE</t>
        </is>
      </c>
      <c r="P977" s="70" t="n">
        <v>103</v>
      </c>
      <c r="Q977" s="72" t="inlineStr">
        <is>
          <t>MILKA FRANCIS</t>
        </is>
      </c>
      <c r="R977" s="72" t="inlineStr">
        <is>
          <t>ESTOQUE DE MERCADORIAS</t>
        </is>
      </c>
      <c r="S977" s="70" t="n">
        <v>1130101</v>
      </c>
      <c r="T977" s="72" t="inlineStr">
        <is>
          <t>MERCADORIAS P/REVENDA</t>
        </is>
      </c>
      <c r="U977" s="73" t="n">
        <v>99.90000000000001</v>
      </c>
      <c r="W977" s="73" t="n">
        <v>0</v>
      </c>
      <c r="X977" s="72" t="inlineStr">
        <is>
          <t>NF 695 - MILKA</t>
        </is>
      </c>
      <c r="Z977" s="59">
        <f>IF($T977="","",IFERROR(INDEX('Resumo Grupos'!$AC$3:$AC$200,MATCH($T977,'Resumo Grupos'!$AB$3:$AB$200,0)),"n/d"))</f>
        <v/>
      </c>
      <c r="AA977" s="59">
        <f>IF($T977="","",IF(COUNTIF('Resumo Grupos'!$AE$3:$AE$40,$T977)&gt;0,"NAO","SIM"))</f>
        <v/>
      </c>
    </row>
    <row r="978" ht="54.75" customHeight="1" s="60">
      <c r="A978" s="70" t="n">
        <v>1</v>
      </c>
      <c r="B978" s="71" t="n">
        <v>46206</v>
      </c>
      <c r="C978" s="71" t="n">
        <v>46211</v>
      </c>
      <c r="D978" s="70" t="n">
        <v>1899</v>
      </c>
      <c r="E978" s="72" t="inlineStr">
        <is>
          <t>PANIFICADORA E CONFEITARIA REAL MADRI LTDA</t>
        </is>
      </c>
      <c r="F978" s="70" t="n">
        <v>24</v>
      </c>
      <c r="G978" s="72" t="inlineStr">
        <is>
          <t>Compra a Prazo - Boletos</t>
        </is>
      </c>
      <c r="H978" s="70" t="n">
        <v>2110101</v>
      </c>
      <c r="I978" s="72" t="inlineStr">
        <is>
          <t>FORNECEDORES DE MERCADORIA</t>
        </is>
      </c>
      <c r="J978" s="70" t="n">
        <v>1343884</v>
      </c>
      <c r="L978" s="70" t="n">
        <v>692</v>
      </c>
      <c r="M978" s="72" t="inlineStr">
        <is>
          <t>01</t>
        </is>
      </c>
      <c r="N978" s="72" t="inlineStr">
        <is>
          <t>NFE</t>
        </is>
      </c>
      <c r="P978" s="70" t="n">
        <v>103</v>
      </c>
      <c r="Q978" s="72" t="inlineStr">
        <is>
          <t>MILKA FRANCIS</t>
        </is>
      </c>
      <c r="R978" s="72" t="inlineStr">
        <is>
          <t>ESTOQUE DE MERCADORIAS</t>
        </is>
      </c>
      <c r="S978" s="70" t="n">
        <v>1130101</v>
      </c>
      <c r="T978" s="72" t="inlineStr">
        <is>
          <t>MERCADORIAS P/REVENDA</t>
        </is>
      </c>
      <c r="U978" s="73" t="n">
        <v>307.2</v>
      </c>
      <c r="W978" s="73" t="n">
        <v>0</v>
      </c>
      <c r="X978" s="72" t="inlineStr">
        <is>
          <t>NF 692 - MILKA</t>
        </is>
      </c>
      <c r="Z978" s="59">
        <f>IF($T978="","",IFERROR(INDEX('Resumo Grupos'!$AC$3:$AC$200,MATCH($T978,'Resumo Grupos'!$AB$3:$AB$200,0)),"n/d"))</f>
        <v/>
      </c>
      <c r="AA978" s="59">
        <f>IF($T978="","",IF(COUNTIF('Resumo Grupos'!$AE$3:$AE$40,$T978)&gt;0,"NAO","SIM"))</f>
        <v/>
      </c>
    </row>
    <row r="979" ht="54.75" customHeight="1" s="60">
      <c r="A979" s="70" t="n">
        <v>1</v>
      </c>
      <c r="B979" s="71" t="n">
        <v>46206</v>
      </c>
      <c r="C979" s="71" t="n">
        <v>46211</v>
      </c>
      <c r="D979" s="70" t="n">
        <v>10018</v>
      </c>
      <c r="E979" s="72" t="inlineStr">
        <is>
          <t>ADRIANO FEITOSA OLIVEIRA LTDA</t>
        </is>
      </c>
      <c r="F979" s="70" t="n">
        <v>34</v>
      </c>
      <c r="G979" s="72" t="inlineStr">
        <is>
          <t>Transferencia Pix</t>
        </is>
      </c>
      <c r="H979" s="70" t="n">
        <v>2110101</v>
      </c>
      <c r="I979" s="72" t="inlineStr">
        <is>
          <t>FORNECEDORES DE MERCADORIA</t>
        </is>
      </c>
      <c r="J979" s="70" t="n">
        <v>1345994</v>
      </c>
      <c r="L979" s="70" t="n">
        <v>321</v>
      </c>
      <c r="M979" s="72" t="inlineStr">
        <is>
          <t>01</t>
        </is>
      </c>
      <c r="N979" s="72" t="inlineStr">
        <is>
          <t>NFE</t>
        </is>
      </c>
      <c r="P979" s="70" t="n">
        <v>103</v>
      </c>
      <c r="Q979" s="72" t="inlineStr">
        <is>
          <t>MILKA FRANCIS</t>
        </is>
      </c>
      <c r="R979" s="72" t="inlineStr">
        <is>
          <t>ESTOQUE DE MERCADORIAS</t>
        </is>
      </c>
      <c r="S979" s="70" t="n">
        <v>1130101</v>
      </c>
      <c r="T979" s="72" t="inlineStr">
        <is>
          <t>MERCADORIAS P/REVENDA</t>
        </is>
      </c>
      <c r="U979" s="73" t="n">
        <v>899.95</v>
      </c>
      <c r="W979" s="73" t="n">
        <v>0</v>
      </c>
      <c r="X979" s="72" t="inlineStr">
        <is>
          <t>NF 321 - MILKA</t>
        </is>
      </c>
      <c r="Z979" s="59">
        <f>IF($T979="","",IFERROR(INDEX('Resumo Grupos'!$AC$3:$AC$200,MATCH($T979,'Resumo Grupos'!$AB$3:$AB$200,0)),"n/d"))</f>
        <v/>
      </c>
      <c r="AA979" s="59">
        <f>IF($T979="","",IF(COUNTIF('Resumo Grupos'!$AE$3:$AE$40,$T979)&gt;0,"NAO","SIM"))</f>
        <v/>
      </c>
    </row>
    <row r="980" ht="45.75" customHeight="1" s="60">
      <c r="A980" s="70" t="n">
        <v>1</v>
      </c>
      <c r="B980" s="71" t="n">
        <v>46207</v>
      </c>
      <c r="C980" s="71" t="n">
        <v>46211</v>
      </c>
      <c r="D980" s="70" t="n">
        <v>1621</v>
      </c>
      <c r="E980" s="72" t="inlineStr">
        <is>
          <t>CRBS S/A</t>
        </is>
      </c>
      <c r="F980" s="70" t="n">
        <v>24</v>
      </c>
      <c r="G980" s="72" t="inlineStr">
        <is>
          <t>Compra a Prazo - Boletos</t>
        </is>
      </c>
      <c r="H980" s="70" t="n">
        <v>2110101</v>
      </c>
      <c r="I980" s="72" t="inlineStr">
        <is>
          <t>FORNECEDORES DE MERCADORIA</t>
        </is>
      </c>
      <c r="J980" s="70" t="n">
        <v>1348619</v>
      </c>
      <c r="L980" s="70" t="n">
        <v>885204</v>
      </c>
      <c r="M980" s="72" t="inlineStr">
        <is>
          <t>01</t>
        </is>
      </c>
      <c r="N980" s="72" t="inlineStr">
        <is>
          <t>NFE</t>
        </is>
      </c>
      <c r="P980" s="70" t="n">
        <v>103</v>
      </c>
      <c r="Q980" s="72" t="inlineStr">
        <is>
          <t>MILKA FRANCIS</t>
        </is>
      </c>
      <c r="R980" s="72" t="inlineStr">
        <is>
          <t>ESTOQUE DE MERCADORIAS</t>
        </is>
      </c>
      <c r="S980" s="70" t="n">
        <v>1130101</v>
      </c>
      <c r="T980" s="72" t="inlineStr">
        <is>
          <t>MERCADORIAS P/REVENDA</t>
        </is>
      </c>
      <c r="U980" s="73" t="n">
        <v>714.96</v>
      </c>
      <c r="W980" s="73" t="n">
        <v>0</v>
      </c>
      <c r="X980" s="72" t="inlineStr">
        <is>
          <t>NF 885204 - MILKA</t>
        </is>
      </c>
      <c r="Z980" s="59">
        <f>IF($T980="","",IFERROR(INDEX('Resumo Grupos'!$AC$3:$AC$200,MATCH($T980,'Resumo Grupos'!$AB$3:$AB$200,0)),"n/d"))</f>
        <v/>
      </c>
      <c r="AA980" s="59">
        <f>IF($T980="","",IF(COUNTIF('Resumo Grupos'!$AE$3:$AE$40,$T980)&gt;0,"NAO","SIM"))</f>
        <v/>
      </c>
    </row>
    <row r="981" ht="36.75" customHeight="1" s="60">
      <c r="A981" s="70" t="n">
        <v>1</v>
      </c>
      <c r="B981" s="71" t="n">
        <v>46207</v>
      </c>
      <c r="C981" s="71" t="n">
        <v>46211</v>
      </c>
      <c r="D981" s="70" t="n">
        <v>1621</v>
      </c>
      <c r="E981" s="72" t="inlineStr">
        <is>
          <t>CRBS S/A</t>
        </is>
      </c>
      <c r="F981" s="70" t="n">
        <v>24</v>
      </c>
      <c r="G981" s="72" t="inlineStr">
        <is>
          <t>Compra a Prazo - Boletos</t>
        </is>
      </c>
      <c r="H981" s="70" t="n">
        <v>2110101</v>
      </c>
      <c r="I981" s="72" t="inlineStr">
        <is>
          <t>FORNECEDORES DE MERCADORIA</t>
        </is>
      </c>
      <c r="J981" s="70" t="n">
        <v>1348630</v>
      </c>
      <c r="L981" s="70" t="n">
        <v>885205</v>
      </c>
      <c r="M981" s="72" t="inlineStr">
        <is>
          <t>01</t>
        </is>
      </c>
      <c r="N981" s="72" t="inlineStr">
        <is>
          <t>NFE</t>
        </is>
      </c>
      <c r="P981" s="70" t="n">
        <v>103</v>
      </c>
      <c r="Q981" s="72" t="inlineStr">
        <is>
          <t>MILKA FRANCIS</t>
        </is>
      </c>
      <c r="R981" s="72" t="inlineStr">
        <is>
          <t>ESTOQUE DE MERCADORIAS</t>
        </is>
      </c>
      <c r="S981" s="70" t="n">
        <v>1130101</v>
      </c>
      <c r="T981" s="72" t="inlineStr">
        <is>
          <t>MERCADORIAS P/REVENDA</t>
        </is>
      </c>
      <c r="U981" s="73" t="n">
        <v>580.08</v>
      </c>
      <c r="W981" s="73" t="n">
        <v>0</v>
      </c>
      <c r="X981" s="72" t="inlineStr">
        <is>
          <t>NF 885205 - MILKA</t>
        </is>
      </c>
      <c r="Z981" s="59">
        <f>IF($T981="","",IFERROR(INDEX('Resumo Grupos'!$AC$3:$AC$200,MATCH($T981,'Resumo Grupos'!$AB$3:$AB$200,0)),"n/d"))</f>
        <v/>
      </c>
      <c r="AA981" s="59">
        <f>IF($T981="","",IF(COUNTIF('Resumo Grupos'!$AE$3:$AE$40,$T981)&gt;0,"NAO","SIM"))</f>
        <v/>
      </c>
    </row>
    <row r="982" ht="36.75" customHeight="1" s="60">
      <c r="A982" s="70" t="n">
        <v>1</v>
      </c>
      <c r="B982" s="71" t="n">
        <v>46207</v>
      </c>
      <c r="C982" s="71" t="n">
        <v>46211</v>
      </c>
      <c r="D982" s="70" t="n">
        <v>1621</v>
      </c>
      <c r="E982" s="72" t="inlineStr">
        <is>
          <t>CRBS S/A</t>
        </is>
      </c>
      <c r="F982" s="70" t="n">
        <v>24</v>
      </c>
      <c r="G982" s="72" t="inlineStr">
        <is>
          <t>Compra a Prazo - Boletos</t>
        </is>
      </c>
      <c r="H982" s="70" t="n">
        <v>2110101</v>
      </c>
      <c r="I982" s="72" t="inlineStr">
        <is>
          <t>FORNECEDORES DE MERCADORIA</t>
        </is>
      </c>
      <c r="J982" s="70" t="n">
        <v>1348651</v>
      </c>
      <c r="L982" s="70" t="n">
        <v>885206</v>
      </c>
      <c r="M982" s="72" t="inlineStr">
        <is>
          <t>01</t>
        </is>
      </c>
      <c r="N982" s="72" t="inlineStr">
        <is>
          <t>NFE</t>
        </is>
      </c>
      <c r="P982" s="70" t="n">
        <v>103</v>
      </c>
      <c r="Q982" s="72" t="inlineStr">
        <is>
          <t>MILKA FRANCIS</t>
        </is>
      </c>
      <c r="R982" s="72" t="inlineStr">
        <is>
          <t>ESTOQUE DE MERCADORIAS</t>
        </is>
      </c>
      <c r="S982" s="70" t="n">
        <v>1130101</v>
      </c>
      <c r="T982" s="72" t="inlineStr">
        <is>
          <t>MERCADORIAS P/REVENDA</t>
        </is>
      </c>
      <c r="U982" s="73" t="n">
        <v>7929.54</v>
      </c>
      <c r="W982" s="73" t="n">
        <v>0</v>
      </c>
      <c r="X982" s="72" t="inlineStr">
        <is>
          <t>NF 885206 - MILKA</t>
        </is>
      </c>
      <c r="Z982" s="59">
        <f>IF($T982="","",IFERROR(INDEX('Resumo Grupos'!$AC$3:$AC$200,MATCH($T982,'Resumo Grupos'!$AB$3:$AB$200,0)),"n/d"))</f>
        <v/>
      </c>
      <c r="AA982" s="59">
        <f>IF($T982="","",IF(COUNTIF('Resumo Grupos'!$AE$3:$AE$40,$T982)&gt;0,"NAO","SIM"))</f>
        <v/>
      </c>
    </row>
    <row r="983" ht="45.75" customHeight="1" s="60">
      <c r="A983" s="70" t="n">
        <v>1</v>
      </c>
      <c r="B983" s="71" t="n">
        <v>46210</v>
      </c>
      <c r="C983" s="71" t="n">
        <v>46211</v>
      </c>
      <c r="D983" s="70" t="n">
        <v>33</v>
      </c>
      <c r="E983" s="72" t="inlineStr">
        <is>
          <t>RENATO DE O AZEVEDO E CIA LTDA - EPP</t>
        </is>
      </c>
      <c r="F983" s="70" t="n">
        <v>34</v>
      </c>
      <c r="G983" s="72" t="inlineStr">
        <is>
          <t>Transferencia Pix</t>
        </is>
      </c>
      <c r="H983" s="70" t="n">
        <v>2110101</v>
      </c>
      <c r="I983" s="72" t="inlineStr">
        <is>
          <t>FORNECEDORES DE MERCADORIA</t>
        </is>
      </c>
      <c r="J983" s="70" t="n">
        <v>1365711</v>
      </c>
      <c r="L983" s="70" t="n">
        <v>5268</v>
      </c>
      <c r="M983" s="72" t="inlineStr">
        <is>
          <t>01</t>
        </is>
      </c>
      <c r="N983" s="72" t="inlineStr">
        <is>
          <t>NFE</t>
        </is>
      </c>
      <c r="P983" s="70" t="n">
        <v>104</v>
      </c>
      <c r="Q983" s="72" t="inlineStr">
        <is>
          <t>DEBORA COSTA</t>
        </is>
      </c>
      <c r="R983" s="72" t="inlineStr">
        <is>
          <t>ESTOQUE DE MERCADORIAS</t>
        </is>
      </c>
      <c r="S983" s="70" t="n">
        <v>1130101</v>
      </c>
      <c r="T983" s="72" t="inlineStr">
        <is>
          <t>MERCADORIAS P/REVENDA</t>
        </is>
      </c>
      <c r="U983" s="73" t="n">
        <v>1118</v>
      </c>
      <c r="W983" s="73" t="n">
        <v>0</v>
      </c>
      <c r="X983" s="72" t="inlineStr">
        <is>
          <t>FEIRA CARLOS - DEBPORA</t>
        </is>
      </c>
      <c r="Z983" s="59">
        <f>IF($T983="","",IFERROR(INDEX('Resumo Grupos'!$AC$3:$AC$200,MATCH($T983,'Resumo Grupos'!$AB$3:$AB$200,0)),"n/d"))</f>
        <v/>
      </c>
      <c r="AA983" s="59">
        <f>IF($T983="","",IF(COUNTIF('Resumo Grupos'!$AE$3:$AE$40,$T983)&gt;0,"NAO","SIM"))</f>
        <v/>
      </c>
    </row>
    <row r="984" ht="36.75" customHeight="1" s="60">
      <c r="A984" s="70" t="n">
        <v>1</v>
      </c>
      <c r="B984" s="71" t="n">
        <v>46210</v>
      </c>
      <c r="C984" s="71" t="n">
        <v>46211</v>
      </c>
      <c r="D984" s="70" t="n">
        <v>1615</v>
      </c>
      <c r="E984" s="72" t="inlineStr">
        <is>
          <t>COMERCIO E TRANSPORTE BRANDAO LTDA</t>
        </is>
      </c>
      <c r="F984" s="70" t="n">
        <v>34</v>
      </c>
      <c r="G984" s="72" t="inlineStr">
        <is>
          <t>Transferencia Pix</t>
        </is>
      </c>
      <c r="H984" s="70" t="n">
        <v>2110101</v>
      </c>
      <c r="I984" s="72" t="inlineStr">
        <is>
          <t>FORNECEDORES DE MERCADORIA</t>
        </is>
      </c>
      <c r="J984" s="70" t="n">
        <v>1365980</v>
      </c>
      <c r="L984" s="70" t="n">
        <v>14811</v>
      </c>
      <c r="M984" s="72" t="inlineStr">
        <is>
          <t>01</t>
        </is>
      </c>
      <c r="N984" s="72" t="inlineStr">
        <is>
          <t>NFE</t>
        </is>
      </c>
      <c r="P984" s="70" t="n">
        <v>104</v>
      </c>
      <c r="Q984" s="72" t="inlineStr">
        <is>
          <t>DEBORA COSTA</t>
        </is>
      </c>
      <c r="R984" s="72" t="inlineStr">
        <is>
          <t>ESTOQUE DE MERCADORIAS</t>
        </is>
      </c>
      <c r="S984" s="70" t="n">
        <v>1130101</v>
      </c>
      <c r="T984" s="72" t="inlineStr">
        <is>
          <t>MERCADORIAS P/REVENDA</t>
        </is>
      </c>
      <c r="U984" s="73" t="n">
        <v>1250</v>
      </c>
      <c r="W984" s="73" t="n">
        <v>0</v>
      </c>
      <c r="X984" s="72" t="inlineStr">
        <is>
          <t>NF 14811 - DEBORA</t>
        </is>
      </c>
      <c r="Z984" s="59">
        <f>IF($T984="","",IFERROR(INDEX('Resumo Grupos'!$AC$3:$AC$200,MATCH($T984,'Resumo Grupos'!$AB$3:$AB$200,0)),"n/d"))</f>
        <v/>
      </c>
      <c r="AA984" s="59">
        <f>IF($T984="","",IF(COUNTIF('Resumo Grupos'!$AE$3:$AE$40,$T984)&gt;0,"NAO","SIM"))</f>
        <v/>
      </c>
    </row>
    <row r="985" ht="45.75" customHeight="1" s="60">
      <c r="A985" s="70" t="n">
        <v>1</v>
      </c>
      <c r="B985" s="71" t="n">
        <v>46210</v>
      </c>
      <c r="C985" s="71" t="n">
        <v>46211</v>
      </c>
      <c r="D985" s="70" t="n">
        <v>33</v>
      </c>
      <c r="E985" s="72" t="inlineStr">
        <is>
          <t>RENATO DE O AZEVEDO E CIA LTDA - EPP</t>
        </is>
      </c>
      <c r="F985" s="70" t="n">
        <v>34</v>
      </c>
      <c r="G985" s="72" t="inlineStr">
        <is>
          <t>Transferencia Pix</t>
        </is>
      </c>
      <c r="H985" s="70" t="n">
        <v>2110101</v>
      </c>
      <c r="I985" s="72" t="inlineStr">
        <is>
          <t>FORNECEDORES DE MERCADORIA</t>
        </is>
      </c>
      <c r="J985" s="70" t="n">
        <v>1366094</v>
      </c>
      <c r="L985" s="70" t="n">
        <v>563907</v>
      </c>
      <c r="M985" s="72" t="inlineStr">
        <is>
          <t>01</t>
        </is>
      </c>
      <c r="N985" s="72" t="inlineStr">
        <is>
          <t>AVU</t>
        </is>
      </c>
      <c r="P985" s="70" t="n">
        <v>104</v>
      </c>
      <c r="Q985" s="72" t="inlineStr">
        <is>
          <t>DEBORA COSTA</t>
        </is>
      </c>
      <c r="R985" s="72" t="inlineStr">
        <is>
          <t>ESTOQUE DE MERCADORIAS</t>
        </is>
      </c>
      <c r="S985" s="70" t="n">
        <v>1130101</v>
      </c>
      <c r="T985" s="72" t="inlineStr">
        <is>
          <t>MERCADORIAS P/REVENDA</t>
        </is>
      </c>
      <c r="U985" s="73" t="n">
        <v>70</v>
      </c>
      <c r="W985" s="73" t="n">
        <v>0</v>
      </c>
      <c r="X985" s="72" t="inlineStr">
        <is>
          <t>CAMARAO COM CASCA - FEIRA CARLOS - DEBORA</t>
        </is>
      </c>
      <c r="Z985" s="59">
        <f>IF($T985="","",IFERROR(INDEX('Resumo Grupos'!$AC$3:$AC$200,MATCH($T985,'Resumo Grupos'!$AB$3:$AB$200,0)),"n/d"))</f>
        <v/>
      </c>
      <c r="AA985" s="59">
        <f>IF($T985="","",IF(COUNTIF('Resumo Grupos'!$AE$3:$AE$40,$T985)&gt;0,"NAO","SIM"))</f>
        <v/>
      </c>
    </row>
    <row r="986" ht="36.75" customHeight="1" s="60">
      <c r="A986" s="70" t="n">
        <v>1</v>
      </c>
      <c r="B986" s="71" t="n">
        <v>46211</v>
      </c>
      <c r="C986" s="71" t="n">
        <v>46211</v>
      </c>
      <c r="D986" s="70" t="n">
        <v>978</v>
      </c>
      <c r="E986" s="72" t="inlineStr">
        <is>
          <t>GELO DANGELO FABRICACAO DE GELO LTDA</t>
        </is>
      </c>
      <c r="F986" s="70" t="n">
        <v>13</v>
      </c>
      <c r="G986" s="72" t="inlineStr">
        <is>
          <t>Compra a Vista</t>
        </is>
      </c>
      <c r="H986" s="70" t="n">
        <v>2110101</v>
      </c>
      <c r="I986" s="72" t="inlineStr">
        <is>
          <t>FORNECEDORES DE MERCADORIA</t>
        </is>
      </c>
      <c r="J986" s="70" t="n">
        <v>1370233</v>
      </c>
      <c r="L986" s="70" t="n">
        <v>351</v>
      </c>
      <c r="M986" s="72" t="inlineStr">
        <is>
          <t>01</t>
        </is>
      </c>
      <c r="N986" s="72" t="inlineStr">
        <is>
          <t>NFE</t>
        </is>
      </c>
      <c r="P986" s="70" t="n">
        <v>104</v>
      </c>
      <c r="Q986" s="72" t="inlineStr">
        <is>
          <t>DEBORA COSTA</t>
        </is>
      </c>
      <c r="R986" s="72" t="inlineStr">
        <is>
          <t>ESTOQUE DE MERCADORIAS</t>
        </is>
      </c>
      <c r="S986" s="70" t="n">
        <v>1130101</v>
      </c>
      <c r="T986" s="72" t="inlineStr">
        <is>
          <t>MERCADORIAS P/REVENDA</t>
        </is>
      </c>
      <c r="U986" s="73" t="n">
        <v>402</v>
      </c>
      <c r="W986" s="73" t="n">
        <v>0</v>
      </c>
      <c r="X986" s="72" t="inlineStr">
        <is>
          <t>NF 351 - DEBORA</t>
        </is>
      </c>
      <c r="Z986" s="59">
        <f>IF($T986="","",IFERROR(INDEX('Resumo Grupos'!$AC$3:$AC$200,MATCH($T986,'Resumo Grupos'!$AB$3:$AB$200,0)),"n/d"))</f>
        <v/>
      </c>
      <c r="AA986" s="59">
        <f>IF($T986="","",IF(COUNTIF('Resumo Grupos'!$AE$3:$AE$40,$T986)&gt;0,"NAO","SIM"))</f>
        <v/>
      </c>
    </row>
    <row r="987" ht="36.75" customHeight="1" s="60">
      <c r="A987" s="70" t="n">
        <v>1</v>
      </c>
      <c r="B987" s="71" t="n">
        <v>46211</v>
      </c>
      <c r="C987" s="71" t="n">
        <v>46211</v>
      </c>
      <c r="D987" s="70" t="n">
        <v>1783</v>
      </c>
      <c r="E987" s="72" t="inlineStr">
        <is>
          <t>LOURIVAL ALMEIDA DA SILVA 17128784845</t>
        </is>
      </c>
      <c r="F987" s="70" t="n">
        <v>13</v>
      </c>
      <c r="G987" s="72" t="inlineStr">
        <is>
          <t>Compra a Vista</t>
        </is>
      </c>
      <c r="H987" s="70" t="n">
        <v>2110101</v>
      </c>
      <c r="I987" s="72" t="inlineStr">
        <is>
          <t>FORNECEDORES DE MERCADORIA</t>
        </is>
      </c>
      <c r="J987" s="70" t="n">
        <v>1370242</v>
      </c>
      <c r="L987" s="70" t="n">
        <v>514</v>
      </c>
      <c r="M987" s="72" t="inlineStr">
        <is>
          <t>01</t>
        </is>
      </c>
      <c r="N987" s="72" t="inlineStr">
        <is>
          <t>NFE</t>
        </is>
      </c>
      <c r="P987" s="70" t="n">
        <v>104</v>
      </c>
      <c r="Q987" s="72" t="inlineStr">
        <is>
          <t>DEBORA COSTA</t>
        </is>
      </c>
      <c r="R987" s="72" t="inlineStr">
        <is>
          <t>ESTOQUE DE MERCADORIAS</t>
        </is>
      </c>
      <c r="S987" s="70" t="n">
        <v>1130101</v>
      </c>
      <c r="T987" s="72" t="inlineStr">
        <is>
          <t>MERCADORIAS P/REVENDA</t>
        </is>
      </c>
      <c r="U987" s="73" t="n">
        <v>160.32</v>
      </c>
      <c r="W987" s="73" t="n">
        <v>0</v>
      </c>
      <c r="X987" s="72" t="inlineStr">
        <is>
          <t>NF 514 - DEBORA</t>
        </is>
      </c>
      <c r="Z987" s="59">
        <f>IF($T987="","",IFERROR(INDEX('Resumo Grupos'!$AC$3:$AC$200,MATCH($T987,'Resumo Grupos'!$AB$3:$AB$200,0)),"n/d"))</f>
        <v/>
      </c>
      <c r="AA987" s="59">
        <f>IF($T987="","",IF(COUNTIF('Resumo Grupos'!$AE$3:$AE$40,$T987)&gt;0,"NAO","SIM"))</f>
        <v/>
      </c>
    </row>
    <row r="988" ht="36.75" customHeight="1" s="60">
      <c r="A988" s="70" t="n">
        <v>1</v>
      </c>
      <c r="B988" s="71" t="n">
        <v>46211</v>
      </c>
      <c r="C988" s="71" t="n">
        <v>46211</v>
      </c>
      <c r="D988" s="70" t="n">
        <v>1000001</v>
      </c>
      <c r="E988" s="72" t="inlineStr">
        <is>
          <t>CISS CONSULTORIA EM INFORMATICA, SERVICOS E SOFTWARE S/A</t>
        </is>
      </c>
      <c r="F988" s="70" t="n">
        <v>24</v>
      </c>
      <c r="G988" s="72" t="inlineStr">
        <is>
          <t>Compra a Prazo - Boletos</t>
        </is>
      </c>
      <c r="H988" s="70" t="n">
        <v>1110202</v>
      </c>
      <c r="I988" s="72" t="inlineStr">
        <is>
          <t>BANCO ITAU Lj 01</t>
        </is>
      </c>
      <c r="J988" s="70" t="n">
        <v>1449277</v>
      </c>
      <c r="L988" s="70" t="n">
        <v>596175</v>
      </c>
      <c r="M988" s="72" t="inlineStr">
        <is>
          <t>01</t>
        </is>
      </c>
      <c r="N988" s="72" t="inlineStr">
        <is>
          <t>AVU</t>
        </is>
      </c>
      <c r="P988" s="70" t="n">
        <v>102</v>
      </c>
      <c r="Q988" s="72" t="inlineStr">
        <is>
          <t>ANDREZA ANDRADE</t>
        </is>
      </c>
      <c r="R988" s="72" t="inlineStr">
        <is>
          <t>DESPESAS NAO OPERACIONAIS</t>
        </is>
      </c>
      <c r="S988" s="70" t="n">
        <v>4220199</v>
      </c>
      <c r="T988" s="72" t="inlineStr">
        <is>
          <t>PAGAMENTOS OUTROS NAO OPERACIONAIS</t>
        </is>
      </c>
      <c r="U988" s="73" t="n">
        <v>1068.8</v>
      </c>
      <c r="W988" s="73" t="n">
        <v>0</v>
      </c>
      <c r="X988" s="72" t="inlineStr">
        <is>
          <t>MENSALIDADE SISTEMA CISS LOJAS-ANDREZA</t>
        </is>
      </c>
      <c r="Z988" s="59">
        <f>IF($T988="","",IFERROR(INDEX('Resumo Grupos'!$AC$3:$AC$200,MATCH($T988,'Resumo Grupos'!$AB$3:$AB$200,0)),"n/d"))</f>
        <v/>
      </c>
      <c r="AA988" s="59">
        <f>IF($T988="","",IF(COUNTIF('Resumo Grupos'!$AE$3:$AE$40,$T988)&gt;0,"NAO","SIM"))</f>
        <v/>
      </c>
    </row>
    <row r="989" ht="54.75" customHeight="1" s="60">
      <c r="A989" s="70" t="n">
        <v>1</v>
      </c>
      <c r="B989" s="71" t="n">
        <v>46228</v>
      </c>
      <c r="C989" s="71" t="n">
        <v>46211</v>
      </c>
      <c r="D989" s="70" t="n">
        <v>1000001</v>
      </c>
      <c r="E989" s="72" t="inlineStr">
        <is>
          <t>CISS CONSULTORIA EM INFORMATICA, SERVICOS E SOFTWARE S/A</t>
        </is>
      </c>
      <c r="F989" s="70" t="n">
        <v>24</v>
      </c>
      <c r="G989" s="72" t="inlineStr">
        <is>
          <t>Compra a Prazo - Boletos</t>
        </is>
      </c>
      <c r="H989" s="70" t="n">
        <v>1110202</v>
      </c>
      <c r="I989" s="72" t="inlineStr">
        <is>
          <t>BANCO ITAU Lj 01</t>
        </is>
      </c>
      <c r="J989" s="70" t="n">
        <v>1449277</v>
      </c>
      <c r="L989" s="70" t="n">
        <v>596175</v>
      </c>
      <c r="M989" s="72" t="inlineStr">
        <is>
          <t>02</t>
        </is>
      </c>
      <c r="N989" s="72" t="inlineStr">
        <is>
          <t>AVU</t>
        </is>
      </c>
      <c r="P989" s="70" t="n">
        <v>102</v>
      </c>
      <c r="Q989" s="72" t="inlineStr">
        <is>
          <t>ANDREZA ANDRADE</t>
        </is>
      </c>
      <c r="R989" s="72" t="inlineStr">
        <is>
          <t>DESPESAS NAO OPERACIONAIS</t>
        </is>
      </c>
      <c r="S989" s="70" t="n">
        <v>4220199</v>
      </c>
      <c r="T989" s="72" t="inlineStr">
        <is>
          <t>PAGAMENTOS OUTROS NAO OPERACIONAIS</t>
        </is>
      </c>
      <c r="U989" s="73" t="n">
        <v>3752.9</v>
      </c>
      <c r="W989" s="73" t="n">
        <v>0</v>
      </c>
      <c r="X989" s="72" t="inlineStr">
        <is>
          <t>MENSALIDADE SISTEMA CISS LOJAS-ANDREZA</t>
        </is>
      </c>
      <c r="Z989" s="59">
        <f>IF($T989="","",IFERROR(INDEX('Resumo Grupos'!$AC$3:$AC$200,MATCH($T989,'Resumo Grupos'!$AB$3:$AB$200,0)),"n/d"))</f>
        <v/>
      </c>
      <c r="AA989" s="59">
        <f>IF($T989="","",IF(COUNTIF('Resumo Grupos'!$AE$3:$AE$40,$T989)&gt;0,"NAO","SIM"))</f>
        <v/>
      </c>
    </row>
    <row r="990" ht="36.75" customHeight="1" s="60">
      <c r="A990" s="70" t="n">
        <v>1</v>
      </c>
      <c r="B990" s="71" t="n">
        <v>46172</v>
      </c>
      <c r="C990" s="71" t="n">
        <v>46212</v>
      </c>
      <c r="D990" s="70" t="n">
        <v>607</v>
      </c>
      <c r="E990" s="72" t="inlineStr">
        <is>
          <t>PRIME PET DISTRIBUIDORA LTDA</t>
        </is>
      </c>
      <c r="F990" s="70" t="n">
        <v>24</v>
      </c>
      <c r="G990" s="72" t="inlineStr">
        <is>
          <t>Compra a Prazo - Boletos</t>
        </is>
      </c>
      <c r="H990" s="70" t="n">
        <v>2110101</v>
      </c>
      <c r="I990" s="72" t="inlineStr">
        <is>
          <t>FORNECEDORES DE MERCADORIA</t>
        </is>
      </c>
      <c r="J990" s="70" t="n">
        <v>1177308</v>
      </c>
      <c r="L990" s="70" t="n">
        <v>10643</v>
      </c>
      <c r="M990" s="72" t="inlineStr">
        <is>
          <t>03</t>
        </is>
      </c>
      <c r="N990" s="72" t="inlineStr">
        <is>
          <t>NFE</t>
        </is>
      </c>
      <c r="P990" s="70" t="n">
        <v>103</v>
      </c>
      <c r="Q990" s="72" t="inlineStr">
        <is>
          <t>MILKA FRANCIS</t>
        </is>
      </c>
      <c r="R990" s="72" t="inlineStr">
        <is>
          <t>ESTOQUE DE MERCADORIAS</t>
        </is>
      </c>
      <c r="S990" s="70" t="n">
        <v>1130101</v>
      </c>
      <c r="T990" s="72" t="inlineStr">
        <is>
          <t>MERCADORIAS P/REVENDA</t>
        </is>
      </c>
      <c r="U990" s="73" t="n">
        <v>319.72</v>
      </c>
      <c r="W990" s="73" t="n">
        <v>0</v>
      </c>
      <c r="X990" s="72" t="inlineStr">
        <is>
          <t>NF 10643-03/05 MILKA</t>
        </is>
      </c>
      <c r="Z990" s="59">
        <f>IF($T990="","",IFERROR(INDEX('Resumo Grupos'!$AC$3:$AC$200,MATCH($T990,'Resumo Grupos'!$AB$3:$AB$200,0)),"n/d"))</f>
        <v/>
      </c>
      <c r="AA990" s="59">
        <f>IF($T990="","",IF(COUNTIF('Resumo Grupos'!$AE$3:$AE$40,$T990)&gt;0,"NAO","SIM"))</f>
        <v/>
      </c>
    </row>
    <row r="991" ht="36.75" customHeight="1" s="60">
      <c r="A991" s="70" t="n">
        <v>1</v>
      </c>
      <c r="B991" s="71" t="n">
        <v>46189</v>
      </c>
      <c r="C991" s="71" t="n">
        <v>46212</v>
      </c>
      <c r="D991" s="70" t="n">
        <v>10012</v>
      </c>
      <c r="E991" s="72" t="inlineStr">
        <is>
          <t>SB COMERCIO LTDA</t>
        </is>
      </c>
      <c r="F991" s="70" t="n">
        <v>24</v>
      </c>
      <c r="G991" s="72" t="inlineStr">
        <is>
          <t>Compra a Prazo - Boletos</t>
        </is>
      </c>
      <c r="H991" s="70" t="n">
        <v>2110101</v>
      </c>
      <c r="I991" s="72" t="inlineStr">
        <is>
          <t>FORNECEDORES DE MERCADORIA</t>
        </is>
      </c>
      <c r="J991" s="70" t="n">
        <v>1261364</v>
      </c>
      <c r="L991" s="70" t="n">
        <v>1957890</v>
      </c>
      <c r="M991" s="72" t="inlineStr">
        <is>
          <t>02</t>
        </is>
      </c>
      <c r="N991" s="72" t="inlineStr">
        <is>
          <t>NFE</t>
        </is>
      </c>
      <c r="P991" s="70" t="n">
        <v>103</v>
      </c>
      <c r="Q991" s="72" t="inlineStr">
        <is>
          <t>MILKA FRANCIS</t>
        </is>
      </c>
      <c r="R991" s="72" t="inlineStr">
        <is>
          <t>ESTOQUE DE MERCADORIAS</t>
        </is>
      </c>
      <c r="S991" s="70" t="n">
        <v>1130101</v>
      </c>
      <c r="T991" s="72" t="inlineStr">
        <is>
          <t>MERCADORIAS P/REVENDA</t>
        </is>
      </c>
      <c r="U991" s="73" t="n">
        <v>3937.78</v>
      </c>
      <c r="W991" s="73" t="n">
        <v>0</v>
      </c>
      <c r="X991" s="72" t="inlineStr">
        <is>
          <t>NF 1957890-2 MILKA</t>
        </is>
      </c>
      <c r="Z991" s="59">
        <f>IF($T991="","",IFERROR(INDEX('Resumo Grupos'!$AC$3:$AC$200,MATCH($T991,'Resumo Grupos'!$AB$3:$AB$200,0)),"n/d"))</f>
        <v/>
      </c>
      <c r="AA991" s="59">
        <f>IF($T991="","",IF(COUNTIF('Resumo Grupos'!$AE$3:$AE$40,$T991)&gt;0,"NAO","SIM"))</f>
        <v/>
      </c>
    </row>
    <row r="992" ht="45.75" customHeight="1" s="60">
      <c r="A992" s="70" t="n">
        <v>1</v>
      </c>
      <c r="B992" s="71" t="n">
        <v>46189</v>
      </c>
      <c r="C992" s="71" t="n">
        <v>46212</v>
      </c>
      <c r="D992" s="70" t="n">
        <v>794</v>
      </c>
      <c r="E992" s="72" t="inlineStr">
        <is>
          <t>EDMARA COMERCIO DE HIGIENE PESSOAL LTDA</t>
        </is>
      </c>
      <c r="F992" s="70" t="n">
        <v>24</v>
      </c>
      <c r="G992" s="72" t="inlineStr">
        <is>
          <t>Compra a Prazo - Boletos</t>
        </is>
      </c>
      <c r="H992" s="70" t="n">
        <v>2110101</v>
      </c>
      <c r="I992" s="72" t="inlineStr">
        <is>
          <t>FORNECEDORES DE MERCADORIA</t>
        </is>
      </c>
      <c r="J992" s="70" t="n">
        <v>1261641</v>
      </c>
      <c r="L992" s="70" t="n">
        <v>8075</v>
      </c>
      <c r="M992" s="72" t="inlineStr">
        <is>
          <t>01</t>
        </is>
      </c>
      <c r="N992" s="72" t="inlineStr">
        <is>
          <t>NFE</t>
        </is>
      </c>
      <c r="P992" s="70" t="n">
        <v>103</v>
      </c>
      <c r="Q992" s="72" t="inlineStr">
        <is>
          <t>MILKA FRANCIS</t>
        </is>
      </c>
      <c r="R992" s="72" t="inlineStr">
        <is>
          <t>ESTOQUE DE MERCADORIAS</t>
        </is>
      </c>
      <c r="S992" s="70" t="n">
        <v>1130101</v>
      </c>
      <c r="T992" s="72" t="inlineStr">
        <is>
          <t>MERCADORIAS P/REVENDA</t>
        </is>
      </c>
      <c r="U992" s="73" t="n">
        <v>2019.09</v>
      </c>
      <c r="W992" s="73" t="n">
        <v>0</v>
      </c>
      <c r="X992" s="72" t="inlineStr">
        <is>
          <t>NF 8075 - MILKA</t>
        </is>
      </c>
      <c r="Z992" s="59">
        <f>IF($T992="","",IFERROR(INDEX('Resumo Grupos'!$AC$3:$AC$200,MATCH($T992,'Resumo Grupos'!$AB$3:$AB$200,0)),"n/d"))</f>
        <v/>
      </c>
      <c r="AA992" s="59">
        <f>IF($T992="","",IF(COUNTIF('Resumo Grupos'!$AE$3:$AE$40,$T992)&gt;0,"NAO","SIM"))</f>
        <v/>
      </c>
    </row>
    <row r="993" ht="36.75" customHeight="1" s="60">
      <c r="A993" s="70" t="n">
        <v>1</v>
      </c>
      <c r="B993" s="71" t="n">
        <v>46189</v>
      </c>
      <c r="C993" s="71" t="n">
        <v>46212</v>
      </c>
      <c r="D993" s="70" t="n">
        <v>1659</v>
      </c>
      <c r="E993" s="72" t="inlineStr">
        <is>
          <t>ADRIANA DISTRIBUIDORA DE PRODUTOS ALIMEN</t>
        </is>
      </c>
      <c r="F993" s="70" t="n">
        <v>24</v>
      </c>
      <c r="G993" s="72" t="inlineStr">
        <is>
          <t>Compra a Prazo - Boletos</t>
        </is>
      </c>
      <c r="H993" s="70" t="n">
        <v>2110101</v>
      </c>
      <c r="I993" s="72" t="inlineStr">
        <is>
          <t>FORNECEDORES DE MERCADORIA</t>
        </is>
      </c>
      <c r="J993" s="70" t="n">
        <v>1262158</v>
      </c>
      <c r="L993" s="70" t="n">
        <v>878848</v>
      </c>
      <c r="M993" s="72" t="inlineStr">
        <is>
          <t>02</t>
        </is>
      </c>
      <c r="N993" s="72" t="inlineStr">
        <is>
          <t>NFE</t>
        </is>
      </c>
      <c r="P993" s="70" t="n">
        <v>103</v>
      </c>
      <c r="Q993" s="72" t="inlineStr">
        <is>
          <t>MILKA FRANCIS</t>
        </is>
      </c>
      <c r="R993" s="72" t="inlineStr">
        <is>
          <t>ESTOQUE DE MERCADORIAS</t>
        </is>
      </c>
      <c r="S993" s="70" t="n">
        <v>1130101</v>
      </c>
      <c r="T993" s="72" t="inlineStr">
        <is>
          <t>MERCADORIAS P/REVENDA</t>
        </is>
      </c>
      <c r="U993" s="73" t="n">
        <v>1402.88</v>
      </c>
      <c r="W993" s="73" t="n">
        <v>0</v>
      </c>
      <c r="X993" s="72" t="inlineStr">
        <is>
          <t>NF 878848-2 MILKA</t>
        </is>
      </c>
      <c r="Z993" s="59">
        <f>IF($T993="","",IFERROR(INDEX('Resumo Grupos'!$AC$3:$AC$200,MATCH($T993,'Resumo Grupos'!$AB$3:$AB$200,0)),"n/d"))</f>
        <v/>
      </c>
      <c r="AA993" s="59">
        <f>IF($T993="","",IF(COUNTIF('Resumo Grupos'!$AE$3:$AE$40,$T993)&gt;0,"NAO","SIM"))</f>
        <v/>
      </c>
    </row>
    <row r="994" ht="45.75" customHeight="1" s="60">
      <c r="A994" s="70" t="n">
        <v>1</v>
      </c>
      <c r="B994" s="71" t="n">
        <v>46190</v>
      </c>
      <c r="C994" s="71" t="n">
        <v>46212</v>
      </c>
      <c r="D994" s="70" t="n">
        <v>1699</v>
      </c>
      <c r="E994" s="72" t="inlineStr">
        <is>
          <t>L S M COMERCIO DE ALIMENTOS E NAVEGACAO</t>
        </is>
      </c>
      <c r="F994" s="70" t="n">
        <v>24</v>
      </c>
      <c r="G994" s="72" t="inlineStr">
        <is>
          <t>Compra a Prazo - Boletos</t>
        </is>
      </c>
      <c r="H994" s="70" t="n">
        <v>2110101</v>
      </c>
      <c r="I994" s="72" t="inlineStr">
        <is>
          <t>FORNECEDORES DE MERCADORIA</t>
        </is>
      </c>
      <c r="J994" s="70" t="n">
        <v>1265932</v>
      </c>
      <c r="L994" s="70" t="n">
        <v>304776</v>
      </c>
      <c r="M994" s="72" t="inlineStr">
        <is>
          <t>02</t>
        </is>
      </c>
      <c r="N994" s="72" t="inlineStr">
        <is>
          <t>NFE</t>
        </is>
      </c>
      <c r="P994" s="70" t="n">
        <v>103</v>
      </c>
      <c r="Q994" s="72" t="inlineStr">
        <is>
          <t>MILKA FRANCIS</t>
        </is>
      </c>
      <c r="R994" s="72" t="inlineStr">
        <is>
          <t>ESTOQUE DE MERCADORIAS</t>
        </is>
      </c>
      <c r="S994" s="70" t="n">
        <v>1130101</v>
      </c>
      <c r="T994" s="72" t="inlineStr">
        <is>
          <t>MERCADORIAS P/REVENDA</t>
        </is>
      </c>
      <c r="U994" s="73" t="n">
        <v>1568.1</v>
      </c>
      <c r="W994" s="73" t="n">
        <v>0</v>
      </c>
      <c r="X994" s="72" t="inlineStr">
        <is>
          <t>NF 304776 -2 MILKA</t>
        </is>
      </c>
      <c r="Z994" s="59">
        <f>IF($T994="","",IFERROR(INDEX('Resumo Grupos'!$AC$3:$AC$200,MATCH($T994,'Resumo Grupos'!$AB$3:$AB$200,0)),"n/d"))</f>
        <v/>
      </c>
      <c r="AA994" s="59">
        <f>IF($T994="","",IF(COUNTIF('Resumo Grupos'!$AE$3:$AE$40,$T994)&gt;0,"NAO","SIM"))</f>
        <v/>
      </c>
    </row>
    <row r="995" ht="45.75" customHeight="1" s="60">
      <c r="A995" s="70" t="n">
        <v>1</v>
      </c>
      <c r="B995" s="71" t="n">
        <v>46191</v>
      </c>
      <c r="C995" s="71" t="n">
        <v>46212</v>
      </c>
      <c r="D995" s="70" t="n">
        <v>1608</v>
      </c>
      <c r="E995" s="72" t="inlineStr">
        <is>
          <t>DISTRIBUIDORA LOPES LTDA</t>
        </is>
      </c>
      <c r="F995" s="70" t="n">
        <v>24</v>
      </c>
      <c r="G995" s="72" t="inlineStr">
        <is>
          <t>Compra a Prazo - Boletos</t>
        </is>
      </c>
      <c r="H995" s="70" t="n">
        <v>2110101</v>
      </c>
      <c r="I995" s="72" t="inlineStr">
        <is>
          <t>FORNECEDORES DE MERCADORIA</t>
        </is>
      </c>
      <c r="J995" s="70" t="n">
        <v>1269204</v>
      </c>
      <c r="L995" s="70" t="n">
        <v>1675757</v>
      </c>
      <c r="M995" s="72" t="inlineStr">
        <is>
          <t>01</t>
        </is>
      </c>
      <c r="N995" s="72" t="inlineStr">
        <is>
          <t>NFE</t>
        </is>
      </c>
      <c r="P995" s="70" t="n">
        <v>103</v>
      </c>
      <c r="Q995" s="72" t="inlineStr">
        <is>
          <t>MILKA FRANCIS</t>
        </is>
      </c>
      <c r="R995" s="72" t="inlineStr">
        <is>
          <t>ESTOQUE DE MERCADORIAS</t>
        </is>
      </c>
      <c r="S995" s="70" t="n">
        <v>1130101</v>
      </c>
      <c r="T995" s="72" t="inlineStr">
        <is>
          <t>MERCADORIAS P/REVENDA</t>
        </is>
      </c>
      <c r="U995" s="73" t="n">
        <v>1279.74</v>
      </c>
      <c r="W995" s="73" t="n">
        <v>0</v>
      </c>
      <c r="X995" s="72" t="inlineStr">
        <is>
          <t>NF 1675757-1 MILKA</t>
        </is>
      </c>
      <c r="Z995" s="59">
        <f>IF($T995="","",IFERROR(INDEX('Resumo Grupos'!$AC$3:$AC$200,MATCH($T995,'Resumo Grupos'!$AB$3:$AB$200,0)),"n/d"))</f>
        <v/>
      </c>
      <c r="AA995" s="59">
        <f>IF($T995="","",IF(COUNTIF('Resumo Grupos'!$AE$3:$AE$40,$T995)&gt;0,"NAO","SIM"))</f>
        <v/>
      </c>
    </row>
    <row r="996" ht="45.75" customHeight="1" s="60">
      <c r="A996" s="70" t="n">
        <v>1</v>
      </c>
      <c r="B996" s="71" t="n">
        <v>46193</v>
      </c>
      <c r="C996" s="71" t="n">
        <v>46212</v>
      </c>
      <c r="D996" s="70" t="n">
        <v>1740</v>
      </c>
      <c r="E996" s="72" t="inlineStr">
        <is>
          <t>OCIDENTAL COMERCIO DE FRIOS LTDA</t>
        </is>
      </c>
      <c r="F996" s="70" t="n">
        <v>24</v>
      </c>
      <c r="G996" s="72" t="inlineStr">
        <is>
          <t>Compra a Prazo - Boletos</t>
        </is>
      </c>
      <c r="H996" s="70" t="n">
        <v>2110101</v>
      </c>
      <c r="I996" s="72" t="inlineStr">
        <is>
          <t>FORNECEDORES DE MERCADORIA</t>
        </is>
      </c>
      <c r="J996" s="70" t="n">
        <v>1278879</v>
      </c>
      <c r="L996" s="70" t="n">
        <v>1238549</v>
      </c>
      <c r="M996" s="72" t="inlineStr">
        <is>
          <t>01</t>
        </is>
      </c>
      <c r="N996" s="72" t="inlineStr">
        <is>
          <t>NFE</t>
        </is>
      </c>
      <c r="P996" s="70" t="n">
        <v>103</v>
      </c>
      <c r="Q996" s="72" t="inlineStr">
        <is>
          <t>MILKA FRANCIS</t>
        </is>
      </c>
      <c r="R996" s="72" t="inlineStr">
        <is>
          <t>ESTOQUE DE MERCADORIAS</t>
        </is>
      </c>
      <c r="S996" s="70" t="n">
        <v>1130101</v>
      </c>
      <c r="T996" s="72" t="inlineStr">
        <is>
          <t>MERCADORIAS P/REVENDA</t>
        </is>
      </c>
      <c r="U996" s="73" t="n">
        <v>1113.5</v>
      </c>
      <c r="W996" s="73" t="n">
        <v>0</v>
      </c>
      <c r="X996" s="72" t="inlineStr">
        <is>
          <t>NF 1238549 - MILKA</t>
        </is>
      </c>
      <c r="Z996" s="59">
        <f>IF($T996="","",IFERROR(INDEX('Resumo Grupos'!$AC$3:$AC$200,MATCH($T996,'Resumo Grupos'!$AB$3:$AB$200,0)),"n/d"))</f>
        <v/>
      </c>
      <c r="AA996" s="59">
        <f>IF($T996="","",IF(COUNTIF('Resumo Grupos'!$AE$3:$AE$40,$T996)&gt;0,"NAO","SIM"))</f>
        <v/>
      </c>
    </row>
    <row r="997" ht="63.75" customHeight="1" s="60">
      <c r="A997" s="70" t="n">
        <v>1</v>
      </c>
      <c r="B997" s="71" t="n">
        <v>46193</v>
      </c>
      <c r="C997" s="71" t="n">
        <v>46212</v>
      </c>
      <c r="D997" s="70" t="n">
        <v>1636</v>
      </c>
      <c r="E997" s="72" t="inlineStr">
        <is>
          <t>DUNORTE DISTRIBUIDORA DE PRODUTOS DE CONSUMO LTDA</t>
        </is>
      </c>
      <c r="F997" s="70" t="n">
        <v>24</v>
      </c>
      <c r="G997" s="72" t="inlineStr">
        <is>
          <t>Compra a Prazo - Boletos</t>
        </is>
      </c>
      <c r="H997" s="70" t="n">
        <v>2110101</v>
      </c>
      <c r="I997" s="72" t="inlineStr">
        <is>
          <t>FORNECEDORES DE MERCADORIA</t>
        </is>
      </c>
      <c r="J997" s="70" t="n">
        <v>1280604</v>
      </c>
      <c r="L997" s="70" t="n">
        <v>3204500</v>
      </c>
      <c r="M997" s="72" t="inlineStr">
        <is>
          <t>01</t>
        </is>
      </c>
      <c r="N997" s="72" t="inlineStr">
        <is>
          <t>NFE</t>
        </is>
      </c>
      <c r="P997" s="70" t="n">
        <v>103</v>
      </c>
      <c r="Q997" s="72" t="inlineStr">
        <is>
          <t>MILKA FRANCIS</t>
        </is>
      </c>
      <c r="R997" s="72" t="inlineStr">
        <is>
          <t>ESTOQUE DE MERCADORIAS</t>
        </is>
      </c>
      <c r="S997" s="70" t="n">
        <v>1130101</v>
      </c>
      <c r="T997" s="72" t="inlineStr">
        <is>
          <t>MERCADORIAS P/REVENDA</t>
        </is>
      </c>
      <c r="U997" s="73" t="n">
        <v>654.48</v>
      </c>
      <c r="W997" s="73" t="n">
        <v>0</v>
      </c>
      <c r="X997" s="72" t="inlineStr">
        <is>
          <t>NF 3204500 - MILKA</t>
        </is>
      </c>
      <c r="Z997" s="59">
        <f>IF($T997="","",IFERROR(INDEX('Resumo Grupos'!$AC$3:$AC$200,MATCH($T997,'Resumo Grupos'!$AB$3:$AB$200,0)),"n/d"))</f>
        <v/>
      </c>
      <c r="AA997" s="59">
        <f>IF($T997="","",IF(COUNTIF('Resumo Grupos'!$AE$3:$AE$40,$T997)&gt;0,"NAO","SIM"))</f>
        <v/>
      </c>
    </row>
    <row r="998" ht="54.75" customHeight="1" s="60">
      <c r="A998" s="70" t="n">
        <v>1</v>
      </c>
      <c r="B998" s="71" t="n">
        <v>46193</v>
      </c>
      <c r="C998" s="71" t="n">
        <v>46212</v>
      </c>
      <c r="D998" s="70" t="n">
        <v>1657</v>
      </c>
      <c r="E998" s="72" t="inlineStr">
        <is>
          <t>IRMÃOS LIMA  ATACADO  DE ALIMENTOS LTDA</t>
        </is>
      </c>
      <c r="F998" s="70" t="n">
        <v>24</v>
      </c>
      <c r="G998" s="72" t="inlineStr">
        <is>
          <t>Compra a Prazo - Boletos</t>
        </is>
      </c>
      <c r="H998" s="70" t="n">
        <v>2110101</v>
      </c>
      <c r="I998" s="72" t="inlineStr">
        <is>
          <t>FORNECEDORES DE MERCADORIA</t>
        </is>
      </c>
      <c r="J998" s="70" t="n">
        <v>1280916</v>
      </c>
      <c r="L998" s="70" t="n">
        <v>293860</v>
      </c>
      <c r="M998" s="72" t="inlineStr">
        <is>
          <t>02</t>
        </is>
      </c>
      <c r="N998" s="72" t="inlineStr">
        <is>
          <t>NFE</t>
        </is>
      </c>
      <c r="P998" s="70" t="n">
        <v>103</v>
      </c>
      <c r="Q998" s="72" t="inlineStr">
        <is>
          <t>MILKA FRANCIS</t>
        </is>
      </c>
      <c r="R998" s="72" t="inlineStr">
        <is>
          <t>ESTOQUE DE MERCADORIAS</t>
        </is>
      </c>
      <c r="S998" s="70" t="n">
        <v>1130101</v>
      </c>
      <c r="T998" s="72" t="inlineStr">
        <is>
          <t>MERCADORIAS P/REVENDA</t>
        </is>
      </c>
      <c r="U998" s="73" t="n">
        <v>1250.11</v>
      </c>
      <c r="W998" s="73" t="n">
        <v>0</v>
      </c>
      <c r="X998" s="72" t="inlineStr">
        <is>
          <t>374805-B/C  NF293860 - MILKA</t>
        </is>
      </c>
      <c r="Z998" s="59">
        <f>IF($T998="","",IFERROR(INDEX('Resumo Grupos'!$AC$3:$AC$200,MATCH($T998,'Resumo Grupos'!$AB$3:$AB$200,0)),"n/d"))</f>
        <v/>
      </c>
      <c r="AA998" s="59">
        <f>IF($T998="","",IF(COUNTIF('Resumo Grupos'!$AE$3:$AE$40,$T998)&gt;0,"NAO","SIM"))</f>
        <v/>
      </c>
    </row>
    <row r="999" ht="54.75" customHeight="1" s="60">
      <c r="A999" s="70" t="n">
        <v>1</v>
      </c>
      <c r="B999" s="71" t="n">
        <v>46198</v>
      </c>
      <c r="C999" s="71" t="n">
        <v>46212</v>
      </c>
      <c r="D999" s="70" t="n">
        <v>1626</v>
      </c>
      <c r="E999" s="72" t="inlineStr">
        <is>
          <t>FENNIX BRASIL DISTRIBUIDORA DE PRODUTOS</t>
        </is>
      </c>
      <c r="F999" s="70" t="n">
        <v>24</v>
      </c>
      <c r="G999" s="72" t="inlineStr">
        <is>
          <t>Compra a Prazo - Boletos</t>
        </is>
      </c>
      <c r="H999" s="70" t="n">
        <v>2110101</v>
      </c>
      <c r="I999" s="72" t="inlineStr">
        <is>
          <t>FORNECEDORES DE MERCADORIA</t>
        </is>
      </c>
      <c r="J999" s="70" t="n">
        <v>1305846</v>
      </c>
      <c r="L999" s="70" t="n">
        <v>311084</v>
      </c>
      <c r="M999" s="72" t="inlineStr">
        <is>
          <t>01</t>
        </is>
      </c>
      <c r="N999" s="72" t="inlineStr">
        <is>
          <t>NFE</t>
        </is>
      </c>
      <c r="P999" s="70" t="n">
        <v>103</v>
      </c>
      <c r="Q999" s="72" t="inlineStr">
        <is>
          <t>MILKA FRANCIS</t>
        </is>
      </c>
      <c r="R999" s="72" t="inlineStr">
        <is>
          <t>ESTOQUE DE MERCADORIAS</t>
        </is>
      </c>
      <c r="S999" s="70" t="n">
        <v>1130101</v>
      </c>
      <c r="T999" s="72" t="inlineStr">
        <is>
          <t>MERCADORIAS P/REVENDA</t>
        </is>
      </c>
      <c r="U999" s="73" t="n">
        <v>2048.68</v>
      </c>
      <c r="W999" s="73" t="n">
        <v>0</v>
      </c>
      <c r="X999" s="72" t="inlineStr">
        <is>
          <t>NF 311084 -1 MILKA</t>
        </is>
      </c>
      <c r="Z999" s="59">
        <f>IF($T999="","",IFERROR(INDEX('Resumo Grupos'!$AC$3:$AC$200,MATCH($T999,'Resumo Grupos'!$AB$3:$AB$200,0)),"n/d"))</f>
        <v/>
      </c>
      <c r="AA999" s="59">
        <f>IF($T999="","",IF(COUNTIF('Resumo Grupos'!$AE$3:$AE$40,$T999)&gt;0,"NAO","SIM"))</f>
        <v/>
      </c>
    </row>
    <row r="1000" ht="36.75" customHeight="1" s="60">
      <c r="A1000" s="70" t="n">
        <v>1</v>
      </c>
      <c r="B1000" s="71" t="n">
        <v>46199</v>
      </c>
      <c r="C1000" s="71" t="n">
        <v>46212</v>
      </c>
      <c r="D1000" s="70" t="n">
        <v>1705</v>
      </c>
      <c r="E1000" s="72" t="inlineStr">
        <is>
          <t>BRASIL NORTE BEBIDAS S/A</t>
        </is>
      </c>
      <c r="F1000" s="70" t="n">
        <v>24</v>
      </c>
      <c r="G1000" s="72" t="inlineStr">
        <is>
          <t>Compra a Prazo - Boletos</t>
        </is>
      </c>
      <c r="H1000" s="70" t="n">
        <v>2110101</v>
      </c>
      <c r="I1000" s="72" t="inlineStr">
        <is>
          <t>FORNECEDORES DE MERCADORIA</t>
        </is>
      </c>
      <c r="J1000" s="70" t="n">
        <v>1309384</v>
      </c>
      <c r="L1000" s="70" t="n">
        <v>1899789</v>
      </c>
      <c r="M1000" s="72" t="inlineStr">
        <is>
          <t>01</t>
        </is>
      </c>
      <c r="N1000" s="72" t="inlineStr">
        <is>
          <t>NFE</t>
        </is>
      </c>
      <c r="P1000" s="70" t="n">
        <v>103</v>
      </c>
      <c r="Q1000" s="72" t="inlineStr">
        <is>
          <t>MILKA FRANCIS</t>
        </is>
      </c>
      <c r="R1000" s="72" t="inlineStr">
        <is>
          <t>ESTOQUE DE MERCADORIAS</t>
        </is>
      </c>
      <c r="S1000" s="70" t="n">
        <v>1130101</v>
      </c>
      <c r="T1000" s="72" t="inlineStr">
        <is>
          <t>MERCADORIAS P/REVENDA</t>
        </is>
      </c>
      <c r="U1000" s="73" t="n">
        <v>7646.07</v>
      </c>
      <c r="W1000" s="73" t="n">
        <v>0</v>
      </c>
      <c r="X1000" s="72" t="inlineStr">
        <is>
          <t>NF 1899789 - MILKA</t>
        </is>
      </c>
      <c r="Z1000" s="59">
        <f>IF($T1000="","",IFERROR(INDEX('Resumo Grupos'!$AC$3:$AC$200,MATCH($T1000,'Resumo Grupos'!$AB$3:$AB$200,0)),"n/d"))</f>
        <v/>
      </c>
      <c r="AA1000" s="59">
        <f>IF($T1000="","",IF(COUNTIF('Resumo Grupos'!$AE$3:$AE$40,$T1000)&gt;0,"NAO","SIM"))</f>
        <v/>
      </c>
    </row>
    <row r="1001" ht="36.75" customHeight="1" s="60">
      <c r="A1001" s="70" t="n">
        <v>1</v>
      </c>
      <c r="B1001" s="71" t="n">
        <v>46199</v>
      </c>
      <c r="C1001" s="71" t="n">
        <v>46212</v>
      </c>
      <c r="D1001" s="70" t="n">
        <v>1705</v>
      </c>
      <c r="E1001" s="72" t="inlineStr">
        <is>
          <t>BRASIL NORTE BEBIDAS S/A</t>
        </is>
      </c>
      <c r="F1001" s="70" t="n">
        <v>24</v>
      </c>
      <c r="G1001" s="72" t="inlineStr">
        <is>
          <t>Compra a Prazo - Boletos</t>
        </is>
      </c>
      <c r="H1001" s="70" t="n">
        <v>2110101</v>
      </c>
      <c r="I1001" s="72" t="inlineStr">
        <is>
          <t>FORNECEDORES DE MERCADORIA</t>
        </is>
      </c>
      <c r="J1001" s="70" t="n">
        <v>1309396</v>
      </c>
      <c r="L1001" s="70" t="n">
        <v>1175957</v>
      </c>
      <c r="M1001" s="72" t="inlineStr">
        <is>
          <t>01</t>
        </is>
      </c>
      <c r="N1001" s="72" t="inlineStr">
        <is>
          <t>NFE</t>
        </is>
      </c>
      <c r="P1001" s="70" t="n">
        <v>103</v>
      </c>
      <c r="Q1001" s="72" t="inlineStr">
        <is>
          <t>MILKA FRANCIS</t>
        </is>
      </c>
      <c r="R1001" s="72" t="inlineStr">
        <is>
          <t>ESTOQUE DE MERCADORIAS</t>
        </is>
      </c>
      <c r="S1001" s="70" t="n">
        <v>1130101</v>
      </c>
      <c r="T1001" s="72" t="inlineStr">
        <is>
          <t>MERCADORIAS P/REVENDA</t>
        </is>
      </c>
      <c r="U1001" s="73" t="n">
        <v>1219.53</v>
      </c>
      <c r="W1001" s="73" t="n">
        <v>0</v>
      </c>
      <c r="X1001" s="72" t="inlineStr">
        <is>
          <t>NF 1175957 - MILKA</t>
        </is>
      </c>
      <c r="Z1001" s="59">
        <f>IF($T1001="","",IFERROR(INDEX('Resumo Grupos'!$AC$3:$AC$200,MATCH($T1001,'Resumo Grupos'!$AB$3:$AB$200,0)),"n/d"))</f>
        <v/>
      </c>
      <c r="AA1001" s="59">
        <f>IF($T1001="","",IF(COUNTIF('Resumo Grupos'!$AE$3:$AE$40,$T1001)&gt;0,"NAO","SIM"))</f>
        <v/>
      </c>
    </row>
    <row r="1002" ht="36.75" customHeight="1" s="60">
      <c r="A1002" s="70" t="n">
        <v>1</v>
      </c>
      <c r="B1002" s="71" t="n">
        <v>46199</v>
      </c>
      <c r="C1002" s="71" t="n">
        <v>46212</v>
      </c>
      <c r="D1002" s="70" t="n">
        <v>1705</v>
      </c>
      <c r="E1002" s="72" t="inlineStr">
        <is>
          <t>BRASIL NORTE BEBIDAS S/A</t>
        </is>
      </c>
      <c r="F1002" s="70" t="n">
        <v>24</v>
      </c>
      <c r="G1002" s="72" t="inlineStr">
        <is>
          <t>Compra a Prazo - Boletos</t>
        </is>
      </c>
      <c r="H1002" s="70" t="n">
        <v>2110101</v>
      </c>
      <c r="I1002" s="72" t="inlineStr">
        <is>
          <t>FORNECEDORES DE MERCADORIA</t>
        </is>
      </c>
      <c r="J1002" s="70" t="n">
        <v>1309446</v>
      </c>
      <c r="L1002" s="70" t="n">
        <v>1174710</v>
      </c>
      <c r="M1002" s="72" t="inlineStr">
        <is>
          <t>01</t>
        </is>
      </c>
      <c r="N1002" s="72" t="inlineStr">
        <is>
          <t>NFE</t>
        </is>
      </c>
      <c r="P1002" s="70" t="n">
        <v>103</v>
      </c>
      <c r="Q1002" s="72" t="inlineStr">
        <is>
          <t>MILKA FRANCIS</t>
        </is>
      </c>
      <c r="R1002" s="72" t="inlineStr">
        <is>
          <t>ESTOQUE DE MERCADORIAS</t>
        </is>
      </c>
      <c r="S1002" s="70" t="n">
        <v>1130101</v>
      </c>
      <c r="T1002" s="72" t="inlineStr">
        <is>
          <t>MERCADORIAS P/REVENDA</t>
        </is>
      </c>
      <c r="U1002" s="73" t="n">
        <v>994.33</v>
      </c>
      <c r="W1002" s="73" t="n">
        <v>0</v>
      </c>
      <c r="X1002" s="72" t="inlineStr">
        <is>
          <t>NF 1174710 - MILKA</t>
        </is>
      </c>
      <c r="Z1002" s="59">
        <f>IF($T1002="","",IFERROR(INDEX('Resumo Grupos'!$AC$3:$AC$200,MATCH($T1002,'Resumo Grupos'!$AB$3:$AB$200,0)),"n/d"))</f>
        <v/>
      </c>
      <c r="AA1002" s="59">
        <f>IF($T1002="","",IF(COUNTIF('Resumo Grupos'!$AE$3:$AE$40,$T1002)&gt;0,"NAO","SIM"))</f>
        <v/>
      </c>
    </row>
    <row r="1003" ht="36.75" customHeight="1" s="60">
      <c r="A1003" s="70" t="n">
        <v>1</v>
      </c>
      <c r="B1003" s="71" t="n">
        <v>46199</v>
      </c>
      <c r="C1003" s="71" t="n">
        <v>46212</v>
      </c>
      <c r="D1003" s="70" t="n">
        <v>10017</v>
      </c>
      <c r="E1003" s="72" t="inlineStr">
        <is>
          <t>PIARARA COMERCIO, IMPORTACAO E EXPORTACAO LTDA</t>
        </is>
      </c>
      <c r="F1003" s="70" t="n">
        <v>24</v>
      </c>
      <c r="G1003" s="72" t="inlineStr">
        <is>
          <t>Compra a Prazo - Boletos</t>
        </is>
      </c>
      <c r="H1003" s="70" t="n">
        <v>2110101</v>
      </c>
      <c r="I1003" s="72" t="inlineStr">
        <is>
          <t>FORNECEDORES DE MERCADORIA</t>
        </is>
      </c>
      <c r="J1003" s="70" t="n">
        <v>1310224</v>
      </c>
      <c r="L1003" s="70" t="n">
        <v>193797</v>
      </c>
      <c r="M1003" s="72" t="inlineStr">
        <is>
          <t>01</t>
        </is>
      </c>
      <c r="N1003" s="72" t="inlineStr">
        <is>
          <t>NFE</t>
        </is>
      </c>
      <c r="P1003" s="70" t="n">
        <v>103</v>
      </c>
      <c r="Q1003" s="72" t="inlineStr">
        <is>
          <t>MILKA FRANCIS</t>
        </is>
      </c>
      <c r="R1003" s="72" t="inlineStr">
        <is>
          <t>ESTOQUE DE MERCADORIAS</t>
        </is>
      </c>
      <c r="S1003" s="70" t="n">
        <v>1130101</v>
      </c>
      <c r="T1003" s="72" t="inlineStr">
        <is>
          <t>MERCADORIAS P/REVENDA</t>
        </is>
      </c>
      <c r="U1003" s="73" t="n">
        <v>1024.53</v>
      </c>
      <c r="W1003" s="73" t="n">
        <v>0</v>
      </c>
      <c r="X1003" s="72" t="inlineStr">
        <is>
          <t>NF 193797 -1 MILKA</t>
        </is>
      </c>
      <c r="Z1003" s="59">
        <f>IF($T1003="","",IFERROR(INDEX('Resumo Grupos'!$AC$3:$AC$200,MATCH($T1003,'Resumo Grupos'!$AB$3:$AB$200,0)),"n/d"))</f>
        <v/>
      </c>
      <c r="AA1003" s="59">
        <f>IF($T1003="","",IF(COUNTIF('Resumo Grupos'!$AE$3:$AE$40,$T1003)&gt;0,"NAO","SIM"))</f>
        <v/>
      </c>
    </row>
    <row r="1004" ht="36.75" customHeight="1" s="60">
      <c r="A1004" s="70" t="n">
        <v>1</v>
      </c>
      <c r="B1004" s="71" t="n">
        <v>46205</v>
      </c>
      <c r="C1004" s="71" t="n">
        <v>46212</v>
      </c>
      <c r="D1004" s="70" t="n">
        <v>33</v>
      </c>
      <c r="E1004" s="72" t="inlineStr">
        <is>
          <t>RENATO DE O AZEVEDO E CIA LTDA - EPP</t>
        </is>
      </c>
      <c r="F1004" s="70" t="n">
        <v>34</v>
      </c>
      <c r="G1004" s="72" t="inlineStr">
        <is>
          <t>Transferencia Pix</t>
        </is>
      </c>
      <c r="H1004" s="70" t="n">
        <v>2110101</v>
      </c>
      <c r="I1004" s="72" t="inlineStr">
        <is>
          <t>FORNECEDORES DE MERCADORIA</t>
        </is>
      </c>
      <c r="J1004" s="70" t="n">
        <v>1339711</v>
      </c>
      <c r="L1004" s="70" t="n">
        <v>5236</v>
      </c>
      <c r="M1004" s="72" t="inlineStr">
        <is>
          <t>01</t>
        </is>
      </c>
      <c r="N1004" s="72" t="inlineStr">
        <is>
          <t>NFE</t>
        </is>
      </c>
      <c r="P1004" s="70" t="n">
        <v>103</v>
      </c>
      <c r="Q1004" s="72" t="inlineStr">
        <is>
          <t>MILKA FRANCIS</t>
        </is>
      </c>
      <c r="R1004" s="72" t="inlineStr">
        <is>
          <t>ESTOQUE DE MERCADORIAS</t>
        </is>
      </c>
      <c r="S1004" s="70" t="n">
        <v>1130101</v>
      </c>
      <c r="T1004" s="72" t="inlineStr">
        <is>
          <t>MERCADORIAS P/REVENDA</t>
        </is>
      </c>
      <c r="U1004" s="73" t="n">
        <v>600</v>
      </c>
      <c r="W1004" s="73" t="n">
        <v>0</v>
      </c>
      <c r="X1004" s="72" t="inlineStr">
        <is>
          <t>NF 20726 3IRMAOS/ PGTO P/ JULIETE - MILKA</t>
        </is>
      </c>
      <c r="Z1004" s="59">
        <f>IF($T1004="","",IFERROR(INDEX('Resumo Grupos'!$AC$3:$AC$200,MATCH($T1004,'Resumo Grupos'!$AB$3:$AB$200,0)),"n/d"))</f>
        <v/>
      </c>
      <c r="AA1004" s="59">
        <f>IF($T1004="","",IF(COUNTIF('Resumo Grupos'!$AE$3:$AE$40,$T1004)&gt;0,"NAO","SIM"))</f>
        <v/>
      </c>
    </row>
    <row r="1005" ht="36.75" customHeight="1" s="60">
      <c r="A1005" s="70" t="n">
        <v>1</v>
      </c>
      <c r="B1005" s="71" t="n">
        <v>46206</v>
      </c>
      <c r="C1005" s="71" t="n">
        <v>46212</v>
      </c>
      <c r="D1005" s="70" t="n">
        <v>1363</v>
      </c>
      <c r="E1005" s="72" t="inlineStr">
        <is>
          <t>JAB COMERCIO DE PRODUTOS ALIMENTICIOS LT</t>
        </is>
      </c>
      <c r="F1005" s="70" t="n">
        <v>24</v>
      </c>
      <c r="G1005" s="72" t="inlineStr">
        <is>
          <t>Compra a Prazo - Boletos</t>
        </is>
      </c>
      <c r="H1005" s="70" t="n">
        <v>2110101</v>
      </c>
      <c r="I1005" s="72" t="inlineStr">
        <is>
          <t>FORNECEDORES DE MERCADORIA</t>
        </is>
      </c>
      <c r="J1005" s="70" t="n">
        <v>1346072</v>
      </c>
      <c r="L1005" s="70" t="n">
        <v>3469</v>
      </c>
      <c r="M1005" s="72" t="inlineStr">
        <is>
          <t>01</t>
        </is>
      </c>
      <c r="N1005" s="72" t="inlineStr">
        <is>
          <t>NFE</t>
        </is>
      </c>
      <c r="P1005" s="70" t="n">
        <v>103</v>
      </c>
      <c r="Q1005" s="72" t="inlineStr">
        <is>
          <t>MILKA FRANCIS</t>
        </is>
      </c>
      <c r="R1005" s="72" t="inlineStr">
        <is>
          <t>ESTOQUE DE MERCADORIAS</t>
        </is>
      </c>
      <c r="S1005" s="70" t="n">
        <v>1130101</v>
      </c>
      <c r="T1005" s="72" t="inlineStr">
        <is>
          <t>MERCADORIAS P/REVENDA</t>
        </is>
      </c>
      <c r="U1005" s="73" t="n">
        <v>405</v>
      </c>
      <c r="W1005" s="73" t="n">
        <v>0</v>
      </c>
      <c r="X1005" s="72" t="inlineStr">
        <is>
          <t>NF 3469 SANTOPAO - MILKA</t>
        </is>
      </c>
      <c r="Z1005" s="59">
        <f>IF($T1005="","",IFERROR(INDEX('Resumo Grupos'!$AC$3:$AC$200,MATCH($T1005,'Resumo Grupos'!$AB$3:$AB$200,0)),"n/d"))</f>
        <v/>
      </c>
      <c r="AA1005" s="59">
        <f>IF($T1005="","",IF(COUNTIF('Resumo Grupos'!$AE$3:$AE$40,$T1005)&gt;0,"NAO","SIM"))</f>
        <v/>
      </c>
    </row>
    <row r="1006" ht="36.75" customHeight="1" s="60">
      <c r="A1006" s="70" t="n">
        <v>1</v>
      </c>
      <c r="B1006" s="71" t="n">
        <v>46206</v>
      </c>
      <c r="C1006" s="71" t="n">
        <v>46212</v>
      </c>
      <c r="D1006" s="70" t="n">
        <v>581</v>
      </c>
      <c r="E1006" s="72" t="inlineStr">
        <is>
          <t>LIMA E BARANDA COMERCIO DE PRODUTOS REGI</t>
        </is>
      </c>
      <c r="F1006" s="70" t="n">
        <v>24</v>
      </c>
      <c r="G1006" s="72" t="inlineStr">
        <is>
          <t>Compra a Prazo - Boletos</t>
        </is>
      </c>
      <c r="H1006" s="70" t="n">
        <v>2110101</v>
      </c>
      <c r="I1006" s="72" t="inlineStr">
        <is>
          <t>FORNECEDORES DE MERCADORIA</t>
        </is>
      </c>
      <c r="J1006" s="70" t="n">
        <v>1346095</v>
      </c>
      <c r="L1006" s="70" t="n">
        <v>31254</v>
      </c>
      <c r="M1006" s="72" t="inlineStr">
        <is>
          <t>01</t>
        </is>
      </c>
      <c r="N1006" s="72" t="inlineStr">
        <is>
          <t>NFE</t>
        </is>
      </c>
      <c r="P1006" s="70" t="n">
        <v>103</v>
      </c>
      <c r="Q1006" s="72" t="inlineStr">
        <is>
          <t>MILKA FRANCIS</t>
        </is>
      </c>
      <c r="R1006" s="72" t="inlineStr">
        <is>
          <t>ESTOQUE DE MERCADORIAS</t>
        </is>
      </c>
      <c r="S1006" s="70" t="n">
        <v>1130101</v>
      </c>
      <c r="T1006" s="72" t="inlineStr">
        <is>
          <t>MERCADORIAS P/REVENDA</t>
        </is>
      </c>
      <c r="U1006" s="73" t="n">
        <v>493.5</v>
      </c>
      <c r="W1006" s="73" t="n">
        <v>0</v>
      </c>
      <c r="X1006" s="72" t="inlineStr">
        <is>
          <t>NF 31254 - MILKA</t>
        </is>
      </c>
      <c r="Z1006" s="59">
        <f>IF($T1006="","",IFERROR(INDEX('Resumo Grupos'!$AC$3:$AC$200,MATCH($T1006,'Resumo Grupos'!$AB$3:$AB$200,0)),"n/d"))</f>
        <v/>
      </c>
      <c r="AA1006" s="59">
        <f>IF($T1006="","",IF(COUNTIF('Resumo Grupos'!$AE$3:$AE$40,$T1006)&gt;0,"NAO","SIM"))</f>
        <v/>
      </c>
    </row>
    <row r="1007" ht="54.75" customHeight="1" s="60">
      <c r="A1007" s="70" t="n">
        <v>1</v>
      </c>
      <c r="B1007" s="71" t="n">
        <v>46207</v>
      </c>
      <c r="C1007" s="71" t="n">
        <v>46212</v>
      </c>
      <c r="D1007" s="70" t="n">
        <v>1024</v>
      </c>
      <c r="E1007" s="72" t="inlineStr">
        <is>
          <t>REAL BEBIDAS DA AMAZONIA LTDA</t>
        </is>
      </c>
      <c r="F1007" s="70" t="n">
        <v>24</v>
      </c>
      <c r="G1007" s="72" t="inlineStr">
        <is>
          <t>Compra a Prazo - Boletos</t>
        </is>
      </c>
      <c r="H1007" s="70" t="n">
        <v>2110101</v>
      </c>
      <c r="I1007" s="72" t="inlineStr">
        <is>
          <t>FORNECEDORES DE MERCADORIA</t>
        </is>
      </c>
      <c r="J1007" s="70" t="n">
        <v>1348502</v>
      </c>
      <c r="L1007" s="70" t="n">
        <v>595147</v>
      </c>
      <c r="M1007" s="72" t="inlineStr">
        <is>
          <t>01</t>
        </is>
      </c>
      <c r="N1007" s="72" t="inlineStr">
        <is>
          <t>NFE</t>
        </is>
      </c>
      <c r="P1007" s="70" t="n">
        <v>103</v>
      </c>
      <c r="Q1007" s="72" t="inlineStr">
        <is>
          <t>MILKA FRANCIS</t>
        </is>
      </c>
      <c r="R1007" s="72" t="inlineStr">
        <is>
          <t>ESTOQUE DE MERCADORIAS</t>
        </is>
      </c>
      <c r="S1007" s="70" t="n">
        <v>1130101</v>
      </c>
      <c r="T1007" s="72" t="inlineStr">
        <is>
          <t>MERCADORIAS P/REVENDA</t>
        </is>
      </c>
      <c r="U1007" s="73" t="n">
        <v>900.5</v>
      </c>
      <c r="W1007" s="73" t="n">
        <v>0</v>
      </c>
      <c r="X1007" s="72" t="inlineStr">
        <is>
          <t>NF 595147 - MILKA</t>
        </is>
      </c>
      <c r="Z1007" s="59">
        <f>IF($T1007="","",IFERROR(INDEX('Resumo Grupos'!$AC$3:$AC$200,MATCH($T1007,'Resumo Grupos'!$AB$3:$AB$200,0)),"n/d"))</f>
        <v/>
      </c>
      <c r="AA1007" s="59">
        <f>IF($T1007="","",IF(COUNTIF('Resumo Grupos'!$AE$3:$AE$40,$T1007)&gt;0,"NAO","SIM"))</f>
        <v/>
      </c>
    </row>
    <row r="1008" ht="45.75" customHeight="1" s="60">
      <c r="A1008" s="70" t="n">
        <v>1</v>
      </c>
      <c r="B1008" s="71" t="n">
        <v>46207</v>
      </c>
      <c r="C1008" s="71" t="n">
        <v>46212</v>
      </c>
      <c r="D1008" s="70" t="n">
        <v>1899</v>
      </c>
      <c r="E1008" s="72" t="inlineStr">
        <is>
          <t>PANIFICADORA E CONFEITARIA REAL MADRI LTDA</t>
        </is>
      </c>
      <c r="F1008" s="70" t="n">
        <v>24</v>
      </c>
      <c r="G1008" s="72" t="inlineStr">
        <is>
          <t>Compra a Prazo - Boletos</t>
        </is>
      </c>
      <c r="H1008" s="70" t="n">
        <v>2110101</v>
      </c>
      <c r="I1008" s="72" t="inlineStr">
        <is>
          <t>FORNECEDORES DE MERCADORIA</t>
        </is>
      </c>
      <c r="J1008" s="70" t="n">
        <v>1348846</v>
      </c>
      <c r="L1008" s="70" t="n">
        <v>697</v>
      </c>
      <c r="M1008" s="72" t="inlineStr">
        <is>
          <t>01</t>
        </is>
      </c>
      <c r="N1008" s="72" t="inlineStr">
        <is>
          <t>NFE</t>
        </is>
      </c>
      <c r="P1008" s="70" t="n">
        <v>103</v>
      </c>
      <c r="Q1008" s="72" t="inlineStr">
        <is>
          <t>MILKA FRANCIS</t>
        </is>
      </c>
      <c r="R1008" s="72" t="inlineStr">
        <is>
          <t>ESTOQUE DE MERCADORIAS</t>
        </is>
      </c>
      <c r="S1008" s="70" t="n">
        <v>1130101</v>
      </c>
      <c r="T1008" s="72" t="inlineStr">
        <is>
          <t>MERCADORIAS P/REVENDA</t>
        </is>
      </c>
      <c r="U1008" s="73" t="n">
        <v>849.2</v>
      </c>
      <c r="W1008" s="73" t="n">
        <v>0</v>
      </c>
      <c r="X1008" s="72" t="inlineStr">
        <is>
          <t>NF 697 - MILKA</t>
        </is>
      </c>
      <c r="Z1008" s="59">
        <f>IF($T1008="","",IFERROR(INDEX('Resumo Grupos'!$AC$3:$AC$200,MATCH($T1008,'Resumo Grupos'!$AB$3:$AB$200,0)),"n/d"))</f>
        <v/>
      </c>
      <c r="AA1008" s="59">
        <f>IF($T1008="","",IF(COUNTIF('Resumo Grupos'!$AE$3:$AE$40,$T1008)&gt;0,"NAO","SIM"))</f>
        <v/>
      </c>
    </row>
    <row r="1009" ht="36.75" customHeight="1" s="60">
      <c r="A1009" s="70" t="n">
        <v>1</v>
      </c>
      <c r="B1009" s="71" t="n">
        <v>46209</v>
      </c>
      <c r="C1009" s="71" t="n">
        <v>46212</v>
      </c>
      <c r="D1009" s="70" t="n">
        <v>1614</v>
      </c>
      <c r="E1009" s="72" t="inlineStr">
        <is>
          <t>C. R. PARENTE ABREU</t>
        </is>
      </c>
      <c r="F1009" s="70" t="n">
        <v>24</v>
      </c>
      <c r="G1009" s="72" t="inlineStr">
        <is>
          <t>Compra a Prazo - Boletos</t>
        </is>
      </c>
      <c r="H1009" s="70" t="n">
        <v>2110101</v>
      </c>
      <c r="I1009" s="72" t="inlineStr">
        <is>
          <t>FORNECEDORES DE MERCADORIA</t>
        </is>
      </c>
      <c r="J1009" s="70" t="n">
        <v>1360000</v>
      </c>
      <c r="L1009" s="70" t="n">
        <v>11381</v>
      </c>
      <c r="M1009" s="72" t="inlineStr">
        <is>
          <t>01</t>
        </is>
      </c>
      <c r="N1009" s="72" t="inlineStr">
        <is>
          <t>NFE</t>
        </is>
      </c>
      <c r="P1009" s="70" t="n">
        <v>103</v>
      </c>
      <c r="Q1009" s="72" t="inlineStr">
        <is>
          <t>MILKA FRANCIS</t>
        </is>
      </c>
      <c r="R1009" s="72" t="inlineStr">
        <is>
          <t>ESTOQUE DE MERCADORIAS</t>
        </is>
      </c>
      <c r="S1009" s="70" t="n">
        <v>1130101</v>
      </c>
      <c r="T1009" s="72" t="inlineStr">
        <is>
          <t>MERCADORIAS P/REVENDA</t>
        </is>
      </c>
      <c r="U1009" s="73" t="n">
        <v>472.6</v>
      </c>
      <c r="W1009" s="73" t="n">
        <v>0</v>
      </c>
      <c r="X1009" s="72" t="inlineStr">
        <is>
          <t>NF 11381-1 MILKA</t>
        </is>
      </c>
      <c r="Z1009" s="59">
        <f>IF($T1009="","",IFERROR(INDEX('Resumo Grupos'!$AC$3:$AC$200,MATCH($T1009,'Resumo Grupos'!$AB$3:$AB$200,0)),"n/d"))</f>
        <v/>
      </c>
      <c r="AA1009" s="59">
        <f>IF($T1009="","",IF(COUNTIF('Resumo Grupos'!$AE$3:$AE$40,$T1009)&gt;0,"NAO","SIM"))</f>
        <v/>
      </c>
    </row>
    <row r="1010" ht="36.75" customHeight="1" s="60">
      <c r="A1010" s="70" t="n">
        <v>1</v>
      </c>
      <c r="B1010" s="71" t="n">
        <v>46211</v>
      </c>
      <c r="C1010" s="71" t="n">
        <v>46212</v>
      </c>
      <c r="D1010" s="70" t="n">
        <v>642</v>
      </c>
      <c r="E1010" s="72" t="inlineStr">
        <is>
          <t>ADICSO FABIAN GONZALEZ MONTILLA 70302186</t>
        </is>
      </c>
      <c r="F1010" s="70" t="n">
        <v>24</v>
      </c>
      <c r="G1010" s="72" t="inlineStr">
        <is>
          <t>Compra a Prazo - Boletos</t>
        </is>
      </c>
      <c r="H1010" s="70" t="n">
        <v>2110101</v>
      </c>
      <c r="I1010" s="72" t="inlineStr">
        <is>
          <t>FORNECEDORES DE MERCADORIA</t>
        </is>
      </c>
      <c r="J1010" s="70" t="n">
        <v>1370408</v>
      </c>
      <c r="L1010" s="70" t="n">
        <v>523</v>
      </c>
      <c r="M1010" s="72" t="inlineStr">
        <is>
          <t>01</t>
        </is>
      </c>
      <c r="N1010" s="72" t="inlineStr">
        <is>
          <t>NFE</t>
        </is>
      </c>
      <c r="P1010" s="70" t="n">
        <v>103</v>
      </c>
      <c r="Q1010" s="72" t="inlineStr">
        <is>
          <t>MILKA FRANCIS</t>
        </is>
      </c>
      <c r="R1010" s="72" t="inlineStr">
        <is>
          <t>ESTOQUE DE MERCADORIAS</t>
        </is>
      </c>
      <c r="S1010" s="70" t="n">
        <v>1130101</v>
      </c>
      <c r="T1010" s="72" t="inlineStr">
        <is>
          <t>MERCADORIAS P/REVENDA</t>
        </is>
      </c>
      <c r="U1010" s="73" t="n">
        <v>588</v>
      </c>
      <c r="W1010" s="73" t="n">
        <v>0</v>
      </c>
      <c r="X1010" s="72" t="inlineStr">
        <is>
          <t>NF523 BLOOM - MILKA</t>
        </is>
      </c>
      <c r="Z1010" s="59">
        <f>IF($T1010="","",IFERROR(INDEX('Resumo Grupos'!$AC$3:$AC$200,MATCH($T1010,'Resumo Grupos'!$AB$3:$AB$200,0)),"n/d"))</f>
        <v/>
      </c>
      <c r="AA1010" s="59">
        <f>IF($T1010="","",IF(COUNTIF('Resumo Grupos'!$AE$3:$AE$40,$T1010)&gt;0,"NAO","SIM"))</f>
        <v/>
      </c>
    </row>
    <row r="1011" ht="45.75" customHeight="1" s="60">
      <c r="A1011" s="70" t="n">
        <v>1</v>
      </c>
      <c r="B1011" s="71" t="n">
        <v>46206</v>
      </c>
      <c r="C1011" s="71" t="n">
        <v>46212</v>
      </c>
      <c r="D1011" s="70" t="n">
        <v>1455</v>
      </c>
      <c r="E1011" s="72" t="inlineStr">
        <is>
          <t>J. R. L. NASCIMENTO PANIFICADORA</t>
        </is>
      </c>
      <c r="F1011" s="70" t="n">
        <v>24</v>
      </c>
      <c r="G1011" s="72" t="inlineStr">
        <is>
          <t>Compra a Prazo - Boletos</t>
        </is>
      </c>
      <c r="H1011" s="70" t="n">
        <v>2110101</v>
      </c>
      <c r="I1011" s="72" t="inlineStr">
        <is>
          <t>FORNECEDORES DE MERCADORIA</t>
        </is>
      </c>
      <c r="J1011" s="70" t="n">
        <v>1343917</v>
      </c>
      <c r="L1011" s="70" t="n">
        <v>1037</v>
      </c>
      <c r="M1011" s="72" t="inlineStr">
        <is>
          <t>01</t>
        </is>
      </c>
      <c r="N1011" s="72" t="inlineStr">
        <is>
          <t>NFE</t>
        </is>
      </c>
      <c r="P1011" s="70" t="n">
        <v>103</v>
      </c>
      <c r="Q1011" s="72" t="inlineStr">
        <is>
          <t>MILKA FRANCIS</t>
        </is>
      </c>
      <c r="R1011" s="72" t="inlineStr">
        <is>
          <t>ESTOQUE DE MERCADORIAS</t>
        </is>
      </c>
      <c r="S1011" s="70" t="n">
        <v>1130101</v>
      </c>
      <c r="T1011" s="72" t="inlineStr">
        <is>
          <t>MERCADORIAS P/REVENDA</t>
        </is>
      </c>
      <c r="U1011" s="73" t="n">
        <v>990</v>
      </c>
      <c r="W1011" s="73" t="n">
        <v>0</v>
      </c>
      <c r="X1011" s="72" t="inlineStr">
        <is>
          <t>NF1037 - MILKA</t>
        </is>
      </c>
      <c r="Z1011" s="59">
        <f>IF($T1011="","",IFERROR(INDEX('Resumo Grupos'!$AC$3:$AC$200,MATCH($T1011,'Resumo Grupos'!$AB$3:$AB$200,0)),"n/d"))</f>
        <v/>
      </c>
      <c r="AA1011" s="59">
        <f>IF($T1011="","",IF(COUNTIF('Resumo Grupos'!$AE$3:$AE$40,$T1011)&gt;0,"NAO","SIM"))</f>
        <v/>
      </c>
    </row>
    <row r="1012" ht="36.75" customHeight="1" s="60">
      <c r="A1012" s="70" t="n">
        <v>1</v>
      </c>
      <c r="B1012" s="71" t="n">
        <v>46212</v>
      </c>
      <c r="C1012" s="71" t="n">
        <v>46212</v>
      </c>
      <c r="D1012" s="70" t="n">
        <v>10091</v>
      </c>
      <c r="E1012" s="72" t="inlineStr">
        <is>
          <t>A M A DE LIMA INDUSTRIA E COMERCIO DE PRODUTOS ALIMENTICIOS LTDA</t>
        </is>
      </c>
      <c r="F1012" s="70" t="n">
        <v>34</v>
      </c>
      <c r="G1012" s="72" t="inlineStr">
        <is>
          <t>Transferencia Pix</t>
        </is>
      </c>
      <c r="H1012" s="70" t="n">
        <v>2110101</v>
      </c>
      <c r="I1012" s="72" t="inlineStr">
        <is>
          <t>FORNECEDORES DE MERCADORIA</t>
        </is>
      </c>
      <c r="J1012" s="70" t="n">
        <v>1373781</v>
      </c>
      <c r="L1012" s="70" t="n">
        <v>384</v>
      </c>
      <c r="M1012" s="72" t="inlineStr">
        <is>
          <t>01</t>
        </is>
      </c>
      <c r="N1012" s="72" t="inlineStr">
        <is>
          <t>NFE</t>
        </is>
      </c>
      <c r="P1012" s="70" t="n">
        <v>103</v>
      </c>
      <c r="Q1012" s="72" t="inlineStr">
        <is>
          <t>MILKA FRANCIS</t>
        </is>
      </c>
      <c r="R1012" s="72" t="inlineStr">
        <is>
          <t>ESTOQUE DE MERCADORIAS</t>
        </is>
      </c>
      <c r="S1012" s="70" t="n">
        <v>1130101</v>
      </c>
      <c r="T1012" s="72" t="inlineStr">
        <is>
          <t>MERCADORIAS P/REVENDA</t>
        </is>
      </c>
      <c r="U1012" s="73" t="n">
        <v>82.45999999999999</v>
      </c>
      <c r="W1012" s="73" t="n">
        <v>0</v>
      </c>
      <c r="X1012" s="72" t="inlineStr">
        <is>
          <t>NF384/PGTO PARA SR. RENATO - MILKA</t>
        </is>
      </c>
      <c r="Z1012" s="59">
        <f>IF($T1012="","",IFERROR(INDEX('Resumo Grupos'!$AC$3:$AC$200,MATCH($T1012,'Resumo Grupos'!$AB$3:$AB$200,0)),"n/d"))</f>
        <v/>
      </c>
      <c r="AA1012" s="59">
        <f>IF($T1012="","",IF(COUNTIF('Resumo Grupos'!$AE$3:$AE$40,$T1012)&gt;0,"NAO","SIM"))</f>
        <v/>
      </c>
    </row>
    <row r="1013" ht="36.75" customHeight="1" s="60">
      <c r="A1013" s="70" t="n">
        <v>1</v>
      </c>
      <c r="B1013" s="71" t="n">
        <v>46212</v>
      </c>
      <c r="C1013" s="71" t="n">
        <v>46212</v>
      </c>
      <c r="D1013" s="70" t="n">
        <v>16</v>
      </c>
      <c r="E1013" s="72" t="inlineStr">
        <is>
          <t>RENATO DE OLIVEIRA AZEVEDO</t>
        </is>
      </c>
      <c r="F1013" s="70" t="n">
        <v>34</v>
      </c>
      <c r="G1013" s="72" t="inlineStr">
        <is>
          <t>Transferencia Pix</t>
        </is>
      </c>
      <c r="H1013" s="70" t="n">
        <v>1110202</v>
      </c>
      <c r="I1013" s="72" t="inlineStr">
        <is>
          <t>BANCO ITAU Lj 01</t>
        </is>
      </c>
      <c r="J1013" s="70" t="n">
        <v>1374354</v>
      </c>
      <c r="L1013" s="70" t="n">
        <v>567235</v>
      </c>
      <c r="M1013" s="72" t="inlineStr">
        <is>
          <t>01</t>
        </is>
      </c>
      <c r="N1013" s="72" t="inlineStr">
        <is>
          <t>AVU</t>
        </is>
      </c>
      <c r="P1013" s="70" t="n">
        <v>101</v>
      </c>
      <c r="Q1013" s="72" t="inlineStr">
        <is>
          <t>KEILA LIMA</t>
        </is>
      </c>
      <c r="R1013" s="72" t="inlineStr">
        <is>
          <t>DESPESAS NAO OPERACIONAIS</t>
        </is>
      </c>
      <c r="S1013" s="70" t="n">
        <v>4220199</v>
      </c>
      <c r="T1013" s="72" t="inlineStr">
        <is>
          <t>PAGAMENTOS OUTROS NAO OPERACIONAIS</t>
        </is>
      </c>
      <c r="U1013" s="73" t="n">
        <v>262.5</v>
      </c>
      <c r="W1013" s="73" t="n">
        <v>0</v>
      </c>
      <c r="X1013" s="72" t="inlineStr">
        <is>
          <t>PL RENATO SISTEMA DN - KEILA</t>
        </is>
      </c>
      <c r="Z1013" s="59">
        <f>IF($T1013="","",IFERROR(INDEX('Resumo Grupos'!$AC$3:$AC$200,MATCH($T1013,'Resumo Grupos'!$AB$3:$AB$200,0)),"n/d"))</f>
        <v/>
      </c>
      <c r="AA1013" s="59">
        <f>IF($T1013="","",IF(COUNTIF('Resumo Grupos'!$AE$3:$AE$40,$T1013)&gt;0,"NAO","SIM"))</f>
        <v/>
      </c>
    </row>
    <row r="1014" ht="45.75" customHeight="1" s="60">
      <c r="A1014" s="70" t="n">
        <v>1</v>
      </c>
      <c r="B1014" s="71" t="n">
        <v>46029</v>
      </c>
      <c r="C1014" s="71" t="n">
        <v>46213</v>
      </c>
      <c r="D1014" s="70" t="n">
        <v>105</v>
      </c>
      <c r="E1014" s="72" t="inlineStr">
        <is>
          <t>ANDERSON SILVA - BOY</t>
        </is>
      </c>
      <c r="F1014" s="70" t="n">
        <v>46</v>
      </c>
      <c r="G1014" s="72" t="inlineStr">
        <is>
          <t>Cartao Sant 1 Velho 9336 venc 10</t>
        </is>
      </c>
      <c r="H1014" s="70" t="n">
        <v>2110405</v>
      </c>
      <c r="I1014" s="72" t="inlineStr">
        <is>
          <t>CONTAS A PAGAR</t>
        </is>
      </c>
      <c r="J1014" s="70" t="n">
        <v>651504</v>
      </c>
      <c r="L1014" s="70" t="n">
        <v>287048</v>
      </c>
      <c r="M1014" s="72" t="inlineStr">
        <is>
          <t>06</t>
        </is>
      </c>
      <c r="N1014" s="72" t="inlineStr">
        <is>
          <t>AVU</t>
        </is>
      </c>
      <c r="P1014" s="70" t="n">
        <v>101</v>
      </c>
      <c r="Q1014" s="72" t="inlineStr">
        <is>
          <t>KEILA LIMA</t>
        </is>
      </c>
      <c r="R1014" s="72" t="inlineStr">
        <is>
          <t>DESPESAS NAO OPERACIONAIS</t>
        </is>
      </c>
      <c r="S1014" s="70" t="n">
        <v>4220199</v>
      </c>
      <c r="T1014" s="72" t="inlineStr">
        <is>
          <t>PAGAMENTOS OUTROS NAO OPERACIONAIS</t>
        </is>
      </c>
      <c r="U1014" s="73" t="n">
        <v>1567.08</v>
      </c>
      <c r="W1014" s="73" t="n">
        <v>0</v>
      </c>
      <c r="X1014" s="72" t="inlineStr">
        <is>
          <t>COMPRAS FUNC ANDERSON PARC 06/12 - KEILA</t>
        </is>
      </c>
      <c r="Z1014" s="59">
        <f>IF($T1014="","",IFERROR(INDEX('Resumo Grupos'!$AC$3:$AC$200,MATCH($T1014,'Resumo Grupos'!$AB$3:$AB$200,0)),"n/d"))</f>
        <v/>
      </c>
      <c r="AA1014" s="59">
        <f>IF($T1014="","",IF(COUNTIF('Resumo Grupos'!$AE$3:$AE$40,$T1014)&gt;0,"NAO","SIM"))</f>
        <v/>
      </c>
    </row>
    <row r="1015" ht="45.75" customHeight="1" s="60">
      <c r="A1015" s="70" t="n">
        <v>1</v>
      </c>
      <c r="B1015" s="71" t="n">
        <v>46079</v>
      </c>
      <c r="C1015" s="71" t="n">
        <v>46213</v>
      </c>
      <c r="D1015" s="70" t="n">
        <v>1835</v>
      </c>
      <c r="E1015" s="72" t="inlineStr">
        <is>
          <t>LOJA DO REI COMERCIO DE MATERIAL DE CONS</t>
        </is>
      </c>
      <c r="F1015" s="70" t="n">
        <v>46</v>
      </c>
      <c r="G1015" s="72" t="inlineStr">
        <is>
          <t>Cartao Sant 1 Velho 9336 venc 10</t>
        </is>
      </c>
      <c r="H1015" s="70" t="n">
        <v>2110405</v>
      </c>
      <c r="I1015" s="72" t="inlineStr">
        <is>
          <t>CONTAS A PAGAR</t>
        </is>
      </c>
      <c r="J1015" s="70" t="n">
        <v>722109</v>
      </c>
      <c r="L1015" s="70" t="n">
        <v>98825</v>
      </c>
      <c r="M1015" s="72" t="inlineStr">
        <is>
          <t>04</t>
        </is>
      </c>
      <c r="N1015" s="72" t="inlineStr">
        <is>
          <t>AVU</t>
        </is>
      </c>
      <c r="P1015" s="70" t="n">
        <v>101</v>
      </c>
      <c r="Q1015" s="72" t="inlineStr">
        <is>
          <t>KEILA LIMA</t>
        </is>
      </c>
      <c r="R1015" s="72" t="inlineStr">
        <is>
          <t>DESPESAS OPERACIONAIS</t>
        </is>
      </c>
      <c r="S1015" s="70" t="n">
        <v>4210228</v>
      </c>
      <c r="T1015" s="72" t="inlineStr">
        <is>
          <t>DESPESAS PADARIA</t>
        </is>
      </c>
      <c r="U1015" s="73" t="n">
        <v>295.66</v>
      </c>
      <c r="W1015" s="73" t="n">
        <v>0</v>
      </c>
      <c r="X1015" s="72" t="inlineStr">
        <is>
          <t>NF 98825 PARC 04/04 - KEILA</t>
        </is>
      </c>
      <c r="Z1015" s="59">
        <f>IF($T1015="","",IFERROR(INDEX('Resumo Grupos'!$AC$3:$AC$200,MATCH($T1015,'Resumo Grupos'!$AB$3:$AB$200,0)),"n/d"))</f>
        <v/>
      </c>
      <c r="AA1015" s="59">
        <f>IF($T1015="","",IF(COUNTIF('Resumo Grupos'!$AE$3:$AE$40,$T1015)&gt;0,"NAO","SIM"))</f>
        <v/>
      </c>
    </row>
    <row r="1016" ht="36.75" customHeight="1" s="60">
      <c r="A1016" s="70" t="n">
        <v>1</v>
      </c>
      <c r="B1016" s="71" t="n">
        <v>46094</v>
      </c>
      <c r="C1016" s="71" t="n">
        <v>46213</v>
      </c>
      <c r="D1016" s="70" t="n">
        <v>1835</v>
      </c>
      <c r="E1016" s="72" t="inlineStr">
        <is>
          <t>LOJA DO REI COMERCIO DE MATERIAL DE CONS</t>
        </is>
      </c>
      <c r="F1016" s="70" t="n">
        <v>46</v>
      </c>
      <c r="G1016" s="72" t="inlineStr">
        <is>
          <t>Cartao Sant 1 Velho 9336 venc 10</t>
        </is>
      </c>
      <c r="H1016" s="70" t="n">
        <v>2110405</v>
      </c>
      <c r="I1016" s="72" t="inlineStr">
        <is>
          <t>CONTAS A PAGAR</t>
        </is>
      </c>
      <c r="J1016" s="70" t="n">
        <v>794811</v>
      </c>
      <c r="L1016" s="70" t="n">
        <v>343084</v>
      </c>
      <c r="M1016" s="72" t="inlineStr">
        <is>
          <t>04</t>
        </is>
      </c>
      <c r="N1016" s="72" t="inlineStr">
        <is>
          <t>AVU</t>
        </is>
      </c>
      <c r="P1016" s="70" t="n">
        <v>101</v>
      </c>
      <c r="Q1016" s="72" t="inlineStr">
        <is>
          <t>KEILA LIMA</t>
        </is>
      </c>
      <c r="R1016" s="72" t="inlineStr">
        <is>
          <t>DESPESAS OPERACIONAIS</t>
        </is>
      </c>
      <c r="S1016" s="70" t="n">
        <v>4210226</v>
      </c>
      <c r="T1016" s="72" t="inlineStr">
        <is>
          <t>DESPESAS ESCRITORIO</t>
        </is>
      </c>
      <c r="U1016" s="73" t="n">
        <v>192.46</v>
      </c>
      <c r="W1016" s="73" t="n">
        <v>0</v>
      </c>
      <c r="X1016" s="72" t="inlineStr">
        <is>
          <t xml:space="preserve">NF 100083 MATERIAL OBRA ESCRITORIO - KEILA </t>
        </is>
      </c>
      <c r="Z1016" s="59">
        <f>IF($T1016="","",IFERROR(INDEX('Resumo Grupos'!$AC$3:$AC$200,MATCH($T1016,'Resumo Grupos'!$AB$3:$AB$200,0)),"n/d"))</f>
        <v/>
      </c>
      <c r="AA1016" s="59">
        <f>IF($T1016="","",IF(COUNTIF('Resumo Grupos'!$AE$3:$AE$40,$T1016)&gt;0,"NAO","SIM"))</f>
        <v/>
      </c>
    </row>
    <row r="1017" ht="63.75" customHeight="1" s="60">
      <c r="A1017" s="70" t="n">
        <v>1</v>
      </c>
      <c r="B1017" s="71" t="n">
        <v>46099</v>
      </c>
      <c r="C1017" s="71" t="n">
        <v>46213</v>
      </c>
      <c r="D1017" s="70" t="n">
        <v>1835</v>
      </c>
      <c r="E1017" s="72" t="inlineStr">
        <is>
          <t>LOJA DO REI COMERCIO DE MATERIAL DE CONS</t>
        </is>
      </c>
      <c r="F1017" s="70" t="n">
        <v>46</v>
      </c>
      <c r="G1017" s="72" t="inlineStr">
        <is>
          <t>Cartao Sant 1 Velho 9336 venc 10</t>
        </is>
      </c>
      <c r="H1017" s="70" t="n">
        <v>2110102</v>
      </c>
      <c r="I1017" s="72" t="inlineStr">
        <is>
          <t>OUTROS FORNECEDORES</t>
        </is>
      </c>
      <c r="J1017" s="70" t="n">
        <v>818388</v>
      </c>
      <c r="L1017" s="70" t="n">
        <v>100241</v>
      </c>
      <c r="M1017" s="72" t="inlineStr">
        <is>
          <t>04</t>
        </is>
      </c>
      <c r="N1017" s="72" t="inlineStr">
        <is>
          <t>NFE</t>
        </is>
      </c>
      <c r="P1017" s="70" t="n">
        <v>103</v>
      </c>
      <c r="Q1017" s="72" t="inlineStr">
        <is>
          <t>MILKA FRANCIS</t>
        </is>
      </c>
      <c r="R1017" s="72" t="inlineStr">
        <is>
          <t>DESPESAS OPERACIONAIS</t>
        </is>
      </c>
      <c r="S1017" s="70" t="n">
        <v>4210204</v>
      </c>
      <c r="T1017" s="72" t="inlineStr">
        <is>
          <t>MATERIAL DE CONSUMO</t>
        </is>
      </c>
      <c r="U1017" s="73" t="n">
        <v>300.26</v>
      </c>
      <c r="W1017" s="73" t="n">
        <v>0</v>
      </c>
      <c r="X1017" s="72" t="inlineStr">
        <is>
          <t>NF 100241 / 4PARC - MILKA OBRA</t>
        </is>
      </c>
      <c r="Z1017" s="59">
        <f>IF($T1017="","",IFERROR(INDEX('Resumo Grupos'!$AC$3:$AC$200,MATCH($T1017,'Resumo Grupos'!$AB$3:$AB$200,0)),"n/d"))</f>
        <v/>
      </c>
      <c r="AA1017" s="59">
        <f>IF($T1017="","",IF(COUNTIF('Resumo Grupos'!$AE$3:$AE$40,$T1017)&gt;0,"NAO","SIM"))</f>
        <v/>
      </c>
    </row>
    <row r="1018" ht="45.75" customHeight="1" s="60">
      <c r="A1018" s="70" t="n">
        <v>1</v>
      </c>
      <c r="B1018" s="71" t="n">
        <v>46080</v>
      </c>
      <c r="C1018" s="71" t="n">
        <v>46213</v>
      </c>
      <c r="D1018" s="70" t="n">
        <v>10006</v>
      </c>
      <c r="E1018" s="72" t="inlineStr">
        <is>
          <t>RUAN FERNANDES</t>
        </is>
      </c>
      <c r="F1018" s="70" t="n">
        <v>46</v>
      </c>
      <c r="G1018" s="72" t="inlineStr">
        <is>
          <t>Cartao Sant 1 Velho 9336 venc 10</t>
        </is>
      </c>
      <c r="H1018" s="70" t="n">
        <v>2110405</v>
      </c>
      <c r="I1018" s="72" t="inlineStr">
        <is>
          <t>CONTAS A PAGAR</t>
        </is>
      </c>
      <c r="J1018" s="70" t="n">
        <v>927114</v>
      </c>
      <c r="L1018" s="70" t="n">
        <v>394484</v>
      </c>
      <c r="M1018" s="72" t="inlineStr">
        <is>
          <t>04</t>
        </is>
      </c>
      <c r="N1018" s="72" t="inlineStr">
        <is>
          <t>AVU</t>
        </is>
      </c>
      <c r="P1018" s="70" t="n">
        <v>101</v>
      </c>
      <c r="Q1018" s="72" t="inlineStr">
        <is>
          <t>KEILA LIMA</t>
        </is>
      </c>
      <c r="R1018" s="72" t="inlineStr">
        <is>
          <t>DESPESAS OPERACIONAIS</t>
        </is>
      </c>
      <c r="S1018" s="70" t="n">
        <v>4210232</v>
      </c>
      <c r="T1018" s="72" t="inlineStr">
        <is>
          <t>MANUTENÇÃO EQUIPAMENTOS DE INFORMATICA</t>
        </is>
      </c>
      <c r="U1018" s="73" t="n">
        <v>332</v>
      </c>
      <c r="W1018" s="73" t="n">
        <v>0</v>
      </c>
      <c r="X1018" s="72" t="inlineStr">
        <is>
          <t>PARC 04/04 SSD E MEMORIA MO1 SERVIDOR - KEILA</t>
        </is>
      </c>
      <c r="Z1018" s="59">
        <f>IF($T1018="","",IFERROR(INDEX('Resumo Grupos'!$AC$3:$AC$200,MATCH($T1018,'Resumo Grupos'!$AB$3:$AB$200,0)),"n/d"))</f>
        <v/>
      </c>
      <c r="AA1018" s="59">
        <f>IF($T1018="","",IF(COUNTIF('Resumo Grupos'!$AE$3:$AE$40,$T1018)&gt;0,"NAO","SIM"))</f>
        <v/>
      </c>
    </row>
    <row r="1019" ht="36.75" customHeight="1" s="60">
      <c r="A1019" s="70" t="n">
        <v>1</v>
      </c>
      <c r="B1019" s="71" t="n">
        <v>46092</v>
      </c>
      <c r="C1019" s="71" t="n">
        <v>46213</v>
      </c>
      <c r="D1019" s="70" t="n">
        <v>1835</v>
      </c>
      <c r="E1019" s="72" t="inlineStr">
        <is>
          <t>LOJA DO REI COMERCIO DE MATERIAL DE CONS</t>
        </is>
      </c>
      <c r="F1019" s="70" t="n">
        <v>46</v>
      </c>
      <c r="G1019" s="72" t="inlineStr">
        <is>
          <t>Cartao Sant 1 Velho 9336 venc 10</t>
        </is>
      </c>
      <c r="H1019" s="70" t="n">
        <v>2110405</v>
      </c>
      <c r="I1019" s="72" t="inlineStr">
        <is>
          <t>CONTAS A PAGAR</t>
        </is>
      </c>
      <c r="J1019" s="70" t="n">
        <v>927300</v>
      </c>
      <c r="L1019" s="70" t="n">
        <v>99886</v>
      </c>
      <c r="M1019" s="72" t="inlineStr">
        <is>
          <t>04</t>
        </is>
      </c>
      <c r="N1019" s="72" t="inlineStr">
        <is>
          <t>AVU</t>
        </is>
      </c>
      <c r="P1019" s="70" t="n">
        <v>101</v>
      </c>
      <c r="Q1019" s="72" t="inlineStr">
        <is>
          <t>KEILA LIMA</t>
        </is>
      </c>
      <c r="R1019" s="72" t="inlineStr">
        <is>
          <t>DESPESAS OPERACIONAIS</t>
        </is>
      </c>
      <c r="S1019" s="70" t="n">
        <v>4210228</v>
      </c>
      <c r="T1019" s="72" t="inlineStr">
        <is>
          <t>DESPESAS PADARIA</t>
        </is>
      </c>
      <c r="U1019" s="73" t="n">
        <v>225.14</v>
      </c>
      <c r="W1019" s="73" t="n">
        <v>0</v>
      </c>
      <c r="X1019" s="72" t="inlineStr">
        <is>
          <t>PARC 04/05 DESPE PADARIA MO1 - KEILA</t>
        </is>
      </c>
      <c r="Z1019" s="59">
        <f>IF($T1019="","",IFERROR(INDEX('Resumo Grupos'!$AC$3:$AC$200,MATCH($T1019,'Resumo Grupos'!$AB$3:$AB$200,0)),"n/d"))</f>
        <v/>
      </c>
      <c r="AA1019" s="59">
        <f>IF($T1019="","",IF(COUNTIF('Resumo Grupos'!$AE$3:$AE$40,$T1019)&gt;0,"NAO","SIM"))</f>
        <v/>
      </c>
    </row>
    <row r="1020" ht="45.75" customHeight="1" s="60">
      <c r="A1020" s="70" t="n">
        <v>1</v>
      </c>
      <c r="B1020" s="71" t="n">
        <v>46135</v>
      </c>
      <c r="C1020" s="71" t="n">
        <v>46213</v>
      </c>
      <c r="D1020" s="70" t="n">
        <v>1758</v>
      </c>
      <c r="E1020" s="72" t="inlineStr">
        <is>
          <t>DESPESA OPER LOJA</t>
        </is>
      </c>
      <c r="F1020" s="70" t="n">
        <v>46</v>
      </c>
      <c r="G1020" s="72" t="inlineStr">
        <is>
          <t>Cartao Sant 1 Velho 9336 venc 10</t>
        </is>
      </c>
      <c r="H1020" s="70" t="n">
        <v>2110405</v>
      </c>
      <c r="I1020" s="72" t="inlineStr">
        <is>
          <t>CONTAS A PAGAR</t>
        </is>
      </c>
      <c r="J1020" s="70" t="n">
        <v>993744</v>
      </c>
      <c r="L1020" s="70" t="n">
        <v>420093</v>
      </c>
      <c r="M1020" s="72" t="inlineStr">
        <is>
          <t>03</t>
        </is>
      </c>
      <c r="N1020" s="72" t="inlineStr">
        <is>
          <t>AVU</t>
        </is>
      </c>
      <c r="P1020" s="70" t="n">
        <v>101</v>
      </c>
      <c r="Q1020" s="72" t="inlineStr">
        <is>
          <t>KEILA LIMA</t>
        </is>
      </c>
      <c r="R1020" s="72" t="inlineStr">
        <is>
          <t>DESPESAS NAO OPERACIONAIS</t>
        </is>
      </c>
      <c r="S1020" s="70" t="n">
        <v>4220199</v>
      </c>
      <c r="T1020" s="72" t="inlineStr">
        <is>
          <t>PAGAMENTOS OUTROS NAO OPERACIONAIS</t>
        </is>
      </c>
      <c r="U1020" s="73" t="n">
        <v>130</v>
      </c>
      <c r="W1020" s="73" t="n">
        <v>0</v>
      </c>
      <c r="X1020" s="72" t="inlineStr">
        <is>
          <t>OUTROS DESP MO1 FUNCIONARIO PARC 03/06</t>
        </is>
      </c>
      <c r="Z1020" s="59">
        <f>IF($T1020="","",IFERROR(INDEX('Resumo Grupos'!$AC$3:$AC$200,MATCH($T1020,'Resumo Grupos'!$AB$3:$AB$200,0)),"n/d"))</f>
        <v/>
      </c>
      <c r="AA1020" s="59">
        <f>IF($T1020="","",IF(COUNTIF('Resumo Grupos'!$AE$3:$AE$40,$T1020)&gt;0,"NAO","SIM"))</f>
        <v/>
      </c>
    </row>
    <row r="1021" ht="36.75" customHeight="1" s="60">
      <c r="A1021" s="70" t="n">
        <v>1</v>
      </c>
      <c r="B1021" s="71" t="n">
        <v>46139</v>
      </c>
      <c r="C1021" s="71" t="n">
        <v>46213</v>
      </c>
      <c r="D1021" s="70" t="n">
        <v>1835</v>
      </c>
      <c r="E1021" s="72" t="inlineStr">
        <is>
          <t>LOJA DO REI COMERCIO DE MATERIAL DE CONS</t>
        </is>
      </c>
      <c r="F1021" s="70" t="n">
        <v>46</v>
      </c>
      <c r="G1021" s="72" t="inlineStr">
        <is>
          <t>Cartao Sant 1 Velho 9336 venc 10</t>
        </is>
      </c>
      <c r="H1021" s="70" t="n">
        <v>2110405</v>
      </c>
      <c r="I1021" s="72" t="inlineStr">
        <is>
          <t>CONTAS A PAGAR</t>
        </is>
      </c>
      <c r="J1021" s="70" t="n">
        <v>1014538</v>
      </c>
      <c r="L1021" s="70" t="n">
        <v>102658</v>
      </c>
      <c r="M1021" s="72" t="inlineStr">
        <is>
          <t>02</t>
        </is>
      </c>
      <c r="N1021" s="72" t="inlineStr">
        <is>
          <t>AVU</t>
        </is>
      </c>
      <c r="P1021" s="70" t="n">
        <v>101</v>
      </c>
      <c r="Q1021" s="72" t="inlineStr">
        <is>
          <t>KEILA LIMA</t>
        </is>
      </c>
      <c r="R1021" s="72" t="inlineStr">
        <is>
          <t>DESPESAS OPERACIONAIS</t>
        </is>
      </c>
      <c r="S1021" s="70" t="n">
        <v>4210227</v>
      </c>
      <c r="T1021" s="72" t="inlineStr">
        <is>
          <t>DESPESAS LOJA</t>
        </is>
      </c>
      <c r="U1021" s="73" t="n">
        <v>103.11</v>
      </c>
      <c r="W1021" s="73" t="n">
        <v>0</v>
      </c>
      <c r="X1021" s="72" t="inlineStr">
        <is>
          <t>NF 102658 PARC 2/3 DESPESA LOJA - KEILA</t>
        </is>
      </c>
      <c r="Z1021" s="59">
        <f>IF($T1021="","",IFERROR(INDEX('Resumo Grupos'!$AC$3:$AC$200,MATCH($T1021,'Resumo Grupos'!$AB$3:$AB$200,0)),"n/d"))</f>
        <v/>
      </c>
      <c r="AA1021" s="59">
        <f>IF($T1021="","",IF(COUNTIF('Resumo Grupos'!$AE$3:$AE$40,$T1021)&gt;0,"NAO","SIM"))</f>
        <v/>
      </c>
    </row>
    <row r="1022" ht="63.75" customHeight="1" s="60">
      <c r="A1022" s="70" t="n">
        <v>1</v>
      </c>
      <c r="B1022" s="71" t="n">
        <v>46112</v>
      </c>
      <c r="C1022" s="71" t="n">
        <v>46213</v>
      </c>
      <c r="D1022" s="70" t="n">
        <v>10006</v>
      </c>
      <c r="E1022" s="72" t="inlineStr">
        <is>
          <t>RUAN FERNANDES</t>
        </is>
      </c>
      <c r="F1022" s="70" t="n">
        <v>46</v>
      </c>
      <c r="G1022" s="72" t="inlineStr">
        <is>
          <t>Cartao Sant 1 Velho 9336 venc 10</t>
        </is>
      </c>
      <c r="H1022" s="70" t="n">
        <v>2110405</v>
      </c>
      <c r="I1022" s="72" t="inlineStr">
        <is>
          <t>CONTAS A PAGAR</t>
        </is>
      </c>
      <c r="J1022" s="70" t="n">
        <v>1085756</v>
      </c>
      <c r="L1022" s="70" t="n">
        <v>455404</v>
      </c>
      <c r="M1022" s="72" t="inlineStr">
        <is>
          <t>03</t>
        </is>
      </c>
      <c r="N1022" s="72" t="inlineStr">
        <is>
          <t>AVU</t>
        </is>
      </c>
      <c r="P1022" s="70" t="n">
        <v>101</v>
      </c>
      <c r="Q1022" s="72" t="inlineStr">
        <is>
          <t>KEILA LIMA</t>
        </is>
      </c>
      <c r="R1022" s="72" t="inlineStr">
        <is>
          <t>DESPESAS OPERACIONAIS</t>
        </is>
      </c>
      <c r="S1022" s="70" t="n">
        <v>4210232</v>
      </c>
      <c r="T1022" s="72" t="inlineStr">
        <is>
          <t>MANUTENÇÃO EQUIPAMENTOS DE INFORMATICA</t>
        </is>
      </c>
      <c r="U1022" s="73" t="n">
        <v>375</v>
      </c>
      <c r="W1022" s="73" t="n">
        <v>0</v>
      </c>
      <c r="X1022" s="72" t="inlineStr">
        <is>
          <t xml:space="preserve"> MO1 SERVIDOR WORDBALAACE - PARC 03/04</t>
        </is>
      </c>
      <c r="Z1022" s="59">
        <f>IF($T1022="","",IFERROR(INDEX('Resumo Grupos'!$AC$3:$AC$200,MATCH($T1022,'Resumo Grupos'!$AB$3:$AB$200,0)),"n/d"))</f>
        <v/>
      </c>
      <c r="AA1022" s="59">
        <f>IF($T1022="","",IF(COUNTIF('Resumo Grupos'!$AE$3:$AE$40,$T1022)&gt;0,"NAO","SIM"))</f>
        <v/>
      </c>
    </row>
    <row r="1023" ht="36.75" customHeight="1" s="60">
      <c r="A1023" s="70" t="n">
        <v>1</v>
      </c>
      <c r="B1023" s="71" t="n">
        <v>46169</v>
      </c>
      <c r="C1023" s="71" t="n">
        <v>46213</v>
      </c>
      <c r="D1023" s="70" t="n">
        <v>1711</v>
      </c>
      <c r="E1023" s="72" t="inlineStr">
        <is>
          <t>J. A. F. DE LIMA</t>
        </is>
      </c>
      <c r="F1023" s="70" t="n">
        <v>24</v>
      </c>
      <c r="G1023" s="72" t="inlineStr">
        <is>
          <t>Compra a Prazo - Boletos</t>
        </is>
      </c>
      <c r="H1023" s="70" t="n">
        <v>2110101</v>
      </c>
      <c r="I1023" s="72" t="inlineStr">
        <is>
          <t>FORNECEDORES DE MERCADORIA</t>
        </is>
      </c>
      <c r="J1023" s="70" t="n">
        <v>1162093</v>
      </c>
      <c r="L1023" s="70" t="n">
        <v>155121</v>
      </c>
      <c r="M1023" s="72" t="inlineStr">
        <is>
          <t>05</t>
        </is>
      </c>
      <c r="N1023" s="72" t="inlineStr">
        <is>
          <t>NFE</t>
        </is>
      </c>
      <c r="P1023" s="70" t="n">
        <v>103</v>
      </c>
      <c r="Q1023" s="72" t="inlineStr">
        <is>
          <t>MILKA FRANCIS</t>
        </is>
      </c>
      <c r="R1023" s="72" t="inlineStr">
        <is>
          <t>ESTOQUE DE MERCADORIAS</t>
        </is>
      </c>
      <c r="S1023" s="70" t="n">
        <v>1130101</v>
      </c>
      <c r="T1023" s="72" t="inlineStr">
        <is>
          <t>MERCADORIAS P/REVENDA</t>
        </is>
      </c>
      <c r="U1023" s="73" t="n">
        <v>1118.57</v>
      </c>
      <c r="W1023" s="73" t="n">
        <v>0</v>
      </c>
      <c r="X1023" s="72" t="inlineStr">
        <is>
          <t>NF 155121/5 MILKA</t>
        </is>
      </c>
      <c r="Z1023" s="59">
        <f>IF($T1023="","",IFERROR(INDEX('Resumo Grupos'!$AC$3:$AC$200,MATCH($T1023,'Resumo Grupos'!$AB$3:$AB$200,0)),"n/d"))</f>
        <v/>
      </c>
      <c r="AA1023" s="59">
        <f>IF($T1023="","",IF(COUNTIF('Resumo Grupos'!$AE$3:$AE$40,$T1023)&gt;0,"NAO","SIM"))</f>
        <v/>
      </c>
    </row>
    <row r="1024" ht="36.75" customHeight="1" s="60">
      <c r="A1024" s="70" t="n">
        <v>1</v>
      </c>
      <c r="B1024" s="71" t="n">
        <v>46170</v>
      </c>
      <c r="C1024" s="71" t="n">
        <v>46213</v>
      </c>
      <c r="D1024" s="70" t="n">
        <v>1471</v>
      </c>
      <c r="E1024" s="72" t="inlineStr">
        <is>
          <t>PROTENORTE MATERIAIS DE SEGURANCA EPP</t>
        </is>
      </c>
      <c r="F1024" s="70" t="n">
        <v>46</v>
      </c>
      <c r="G1024" s="72" t="inlineStr">
        <is>
          <t>Cartao Sant 1 Velho 9336 venc 10</t>
        </is>
      </c>
      <c r="H1024" s="70" t="n">
        <v>2110405</v>
      </c>
      <c r="I1024" s="72" t="inlineStr">
        <is>
          <t>CONTAS A PAGAR</t>
        </is>
      </c>
      <c r="J1024" s="70" t="n">
        <v>1176247</v>
      </c>
      <c r="L1024" s="70" t="n">
        <v>490015</v>
      </c>
      <c r="M1024" s="72" t="inlineStr">
        <is>
          <t>01</t>
        </is>
      </c>
      <c r="N1024" s="72" t="inlineStr">
        <is>
          <t>AVU</t>
        </is>
      </c>
      <c r="P1024" s="70" t="n">
        <v>101</v>
      </c>
      <c r="Q1024" s="72" t="inlineStr">
        <is>
          <t>KEILA LIMA</t>
        </is>
      </c>
      <c r="R1024" s="72" t="inlineStr">
        <is>
          <t>DESPESAS OPERACIONAIS</t>
        </is>
      </c>
      <c r="S1024" s="70" t="n">
        <v>4210221</v>
      </c>
      <c r="T1024" s="72" t="inlineStr">
        <is>
          <t>MANUTENCAO DE EQUIPAMENTOS</t>
        </is>
      </c>
      <c r="U1024" s="73" t="n">
        <v>280</v>
      </c>
      <c r="W1024" s="73" t="n">
        <v>0</v>
      </c>
      <c r="X1024" s="72" t="inlineStr">
        <is>
          <t>RECARGA 6 EXTINTORES MO1 - KEILA</t>
        </is>
      </c>
      <c r="Z1024" s="59">
        <f>IF($T1024="","",IFERROR(INDEX('Resumo Grupos'!$AC$3:$AC$200,MATCH($T1024,'Resumo Grupos'!$AB$3:$AB$200,0)),"n/d"))</f>
        <v/>
      </c>
      <c r="AA1024" s="59">
        <f>IF($T1024="","",IF(COUNTIF('Resumo Grupos'!$AE$3:$AE$40,$T1024)&gt;0,"NAO","SIM"))</f>
        <v/>
      </c>
    </row>
    <row r="1025" ht="36.75" customHeight="1" s="60">
      <c r="A1025" s="70" t="n">
        <v>1</v>
      </c>
      <c r="B1025" s="71" t="n">
        <v>46169</v>
      </c>
      <c r="C1025" s="71" t="n">
        <v>46213</v>
      </c>
      <c r="D1025" s="70" t="n">
        <v>546</v>
      </c>
      <c r="E1025" s="72" t="inlineStr">
        <is>
          <t xml:space="preserve">IMPERIO FESTAS MIX </t>
        </is>
      </c>
      <c r="F1025" s="70" t="n">
        <v>46</v>
      </c>
      <c r="G1025" s="72" t="inlineStr">
        <is>
          <t>Cartao Sant 1 Velho 9336 venc 10</t>
        </is>
      </c>
      <c r="H1025" s="70" t="n">
        <v>2110405</v>
      </c>
      <c r="I1025" s="72" t="inlineStr">
        <is>
          <t>CONTAS A PAGAR</t>
        </is>
      </c>
      <c r="J1025" s="70" t="n">
        <v>1176263</v>
      </c>
      <c r="L1025" s="70" t="n">
        <v>2639</v>
      </c>
      <c r="M1025" s="72" t="inlineStr">
        <is>
          <t>01</t>
        </is>
      </c>
      <c r="N1025" s="72" t="inlineStr">
        <is>
          <t>AVU</t>
        </is>
      </c>
      <c r="P1025" s="70" t="n">
        <v>101</v>
      </c>
      <c r="Q1025" s="72" t="inlineStr">
        <is>
          <t>KEILA LIMA</t>
        </is>
      </c>
      <c r="R1025" s="72" t="inlineStr">
        <is>
          <t>DESPESAS OPERACIONAIS</t>
        </is>
      </c>
      <c r="S1025" s="70" t="n">
        <v>4210227</v>
      </c>
      <c r="T1025" s="72" t="inlineStr">
        <is>
          <t>DESPESAS LOJA</t>
        </is>
      </c>
      <c r="U1025" s="73" t="n">
        <v>158.85</v>
      </c>
      <c r="W1025" s="73" t="n">
        <v>0</v>
      </c>
      <c r="X1025" s="72" t="inlineStr">
        <is>
          <t>DECORACAO LOJA COPA PARC 01/02 - KEILA</t>
        </is>
      </c>
      <c r="Z1025" s="59">
        <f>IF($T1025="","",IFERROR(INDEX('Resumo Grupos'!$AC$3:$AC$200,MATCH($T1025,'Resumo Grupos'!$AB$3:$AB$200,0)),"n/d"))</f>
        <v/>
      </c>
      <c r="AA1025" s="59">
        <f>IF($T1025="","",IF(COUNTIF('Resumo Grupos'!$AE$3:$AE$40,$T1025)&gt;0,"NAO","SIM"))</f>
        <v/>
      </c>
    </row>
    <row r="1026" ht="54.75" customHeight="1" s="60">
      <c r="A1026" s="70" t="n">
        <v>1</v>
      </c>
      <c r="B1026" s="71" t="n">
        <v>46182</v>
      </c>
      <c r="C1026" s="71" t="n">
        <v>46213</v>
      </c>
      <c r="D1026" s="70" t="n">
        <v>1898</v>
      </c>
      <c r="E1026" s="72" t="inlineStr">
        <is>
          <t>BF COMERCIO DE EQUIP. E SUP DE INFO LTDA</t>
        </is>
      </c>
      <c r="F1026" s="70" t="n">
        <v>46</v>
      </c>
      <c r="G1026" s="72" t="inlineStr">
        <is>
          <t>Cartao Sant 1 Velho 9336 venc 10</t>
        </is>
      </c>
      <c r="H1026" s="70" t="n">
        <v>2110405</v>
      </c>
      <c r="I1026" s="72" t="inlineStr">
        <is>
          <t>CONTAS A PAGAR</t>
        </is>
      </c>
      <c r="J1026" s="70" t="n">
        <v>1226797</v>
      </c>
      <c r="L1026" s="70" t="n">
        <v>5536</v>
      </c>
      <c r="M1026" s="72" t="inlineStr">
        <is>
          <t>01</t>
        </is>
      </c>
      <c r="N1026" s="72" t="inlineStr">
        <is>
          <t>AVU</t>
        </is>
      </c>
      <c r="P1026" s="70" t="n">
        <v>101</v>
      </c>
      <c r="Q1026" s="72" t="inlineStr">
        <is>
          <t>KEILA LIMA</t>
        </is>
      </c>
      <c r="R1026" s="72" t="inlineStr">
        <is>
          <t>DESPESAS OPERACIONAIS</t>
        </is>
      </c>
      <c r="S1026" s="70" t="n">
        <v>4210226</v>
      </c>
      <c r="T1026" s="72" t="inlineStr">
        <is>
          <t>DESPESAS ESCRITORIO</t>
        </is>
      </c>
      <c r="U1026" s="73" t="n">
        <v>157.89</v>
      </c>
      <c r="W1026" s="73" t="n">
        <v>0</v>
      </c>
      <c r="X1026" s="72" t="inlineStr">
        <is>
          <t>NF 5.536 PARC 01/02  TONNER ESCRITORIO - KEILA</t>
        </is>
      </c>
      <c r="Z1026" s="59">
        <f>IF($T1026="","",IFERROR(INDEX('Resumo Grupos'!$AC$3:$AC$200,MATCH($T1026,'Resumo Grupos'!$AB$3:$AB$200,0)),"n/d"))</f>
        <v/>
      </c>
      <c r="AA1026" s="59">
        <f>IF($T1026="","",IF(COUNTIF('Resumo Grupos'!$AE$3:$AE$40,$T1026)&gt;0,"NAO","SIM"))</f>
        <v/>
      </c>
    </row>
    <row r="1027" ht="54.75" customHeight="1" s="60">
      <c r="A1027" s="70" t="n">
        <v>1</v>
      </c>
      <c r="B1027" s="71" t="n">
        <v>46182</v>
      </c>
      <c r="C1027" s="71" t="n">
        <v>46213</v>
      </c>
      <c r="D1027" s="70" t="n">
        <v>1758</v>
      </c>
      <c r="E1027" s="72" t="inlineStr">
        <is>
          <t>DESPESA OPER LOJA</t>
        </is>
      </c>
      <c r="F1027" s="70" t="n">
        <v>46</v>
      </c>
      <c r="G1027" s="72" t="inlineStr">
        <is>
          <t>Cartao Sant 1 Velho 9336 venc 10</t>
        </is>
      </c>
      <c r="H1027" s="70" t="n">
        <v>2110405</v>
      </c>
      <c r="I1027" s="72" t="inlineStr">
        <is>
          <t>CONTAS A PAGAR</t>
        </is>
      </c>
      <c r="J1027" s="70" t="n">
        <v>1226802</v>
      </c>
      <c r="L1027" s="70" t="n">
        <v>21186</v>
      </c>
      <c r="M1027" s="72" t="inlineStr">
        <is>
          <t>01</t>
        </is>
      </c>
      <c r="N1027" s="72" t="inlineStr">
        <is>
          <t>AVU</t>
        </is>
      </c>
      <c r="P1027" s="70" t="n">
        <v>101</v>
      </c>
      <c r="Q1027" s="72" t="inlineStr">
        <is>
          <t>KEILA LIMA</t>
        </is>
      </c>
      <c r="R1027" s="72" t="inlineStr">
        <is>
          <t>DESPESAS OPERACIONAIS</t>
        </is>
      </c>
      <c r="S1027" s="70" t="n">
        <v>4210228</v>
      </c>
      <c r="T1027" s="72" t="inlineStr">
        <is>
          <t>DESPESAS PADARIA</t>
        </is>
      </c>
      <c r="U1027" s="73" t="n">
        <v>100</v>
      </c>
      <c r="W1027" s="73" t="n">
        <v>0</v>
      </c>
      <c r="X1027" s="72" t="inlineStr">
        <is>
          <t>VIDRO TEMPERADO PADARIA DESPESA - KEILA</t>
        </is>
      </c>
      <c r="Z1027" s="59">
        <f>IF($T1027="","",IFERROR(INDEX('Resumo Grupos'!$AC$3:$AC$200,MATCH($T1027,'Resumo Grupos'!$AB$3:$AB$200,0)),"n/d"))</f>
        <v/>
      </c>
      <c r="AA1027" s="59">
        <f>IF($T1027="","",IF(COUNTIF('Resumo Grupos'!$AE$3:$AE$40,$T1027)&gt;0,"NAO","SIM"))</f>
        <v/>
      </c>
    </row>
    <row r="1028" ht="27.75" customHeight="1" s="60">
      <c r="A1028" s="70" t="n">
        <v>1</v>
      </c>
      <c r="B1028" s="71" t="n">
        <v>46153</v>
      </c>
      <c r="C1028" s="71" t="n">
        <v>46213</v>
      </c>
      <c r="D1028" s="70" t="n">
        <v>1898</v>
      </c>
      <c r="E1028" s="72" t="inlineStr">
        <is>
          <t>BF COMERCIO DE EQUIP. E SUP DE INFO LTDA</t>
        </is>
      </c>
      <c r="F1028" s="70" t="n">
        <v>46</v>
      </c>
      <c r="G1028" s="72" t="inlineStr">
        <is>
          <t>Cartao Sant 1 Velho 9336 venc 10</t>
        </is>
      </c>
      <c r="H1028" s="70" t="n">
        <v>2110405</v>
      </c>
      <c r="I1028" s="72" t="inlineStr">
        <is>
          <t>CONTAS A PAGAR</t>
        </is>
      </c>
      <c r="J1028" s="70" t="n">
        <v>1230688</v>
      </c>
      <c r="L1028" s="70" t="n">
        <v>5484</v>
      </c>
      <c r="M1028" s="72" t="inlineStr">
        <is>
          <t>02</t>
        </is>
      </c>
      <c r="N1028" s="72" t="inlineStr">
        <is>
          <t>AVU</t>
        </is>
      </c>
      <c r="P1028" s="70" t="n">
        <v>101</v>
      </c>
      <c r="Q1028" s="72" t="inlineStr">
        <is>
          <t>KEILA LIMA</t>
        </is>
      </c>
      <c r="R1028" s="72" t="inlineStr">
        <is>
          <t>DESPESAS OPERACIONAIS</t>
        </is>
      </c>
      <c r="S1028" s="70" t="n">
        <v>4210205</v>
      </c>
      <c r="T1028" s="72" t="inlineStr">
        <is>
          <t>MATERIAL DE ESCRITORIO</t>
        </is>
      </c>
      <c r="U1028" s="73" t="n">
        <v>120.13</v>
      </c>
      <c r="W1028" s="73" t="n">
        <v>0</v>
      </c>
      <c r="X1028" s="72" t="inlineStr">
        <is>
          <t>NF 5484 PARC 02/04 TONNER ESCR - KEILA</t>
        </is>
      </c>
      <c r="Z1028" s="59">
        <f>IF($T1028="","",IFERROR(INDEX('Resumo Grupos'!$AC$3:$AC$200,MATCH($T1028,'Resumo Grupos'!$AB$3:$AB$200,0)),"n/d"))</f>
        <v/>
      </c>
      <c r="AA1028" s="59">
        <f>IF($T1028="","",IF(COUNTIF('Resumo Grupos'!$AE$3:$AE$40,$T1028)&gt;0,"NAO","SIM"))</f>
        <v/>
      </c>
    </row>
    <row r="1029" ht="36.75" customHeight="1" s="60">
      <c r="A1029" s="70" t="n">
        <v>1</v>
      </c>
      <c r="B1029" s="71" t="n">
        <v>46183</v>
      </c>
      <c r="C1029" s="71" t="n">
        <v>46213</v>
      </c>
      <c r="D1029" s="70" t="n">
        <v>1747</v>
      </c>
      <c r="E1029" s="72" t="inlineStr">
        <is>
          <t>SV INSTALACOES LTDA</t>
        </is>
      </c>
      <c r="F1029" s="70" t="n">
        <v>46</v>
      </c>
      <c r="G1029" s="72" t="inlineStr">
        <is>
          <t>Cartao Sant 1 Velho 9336 venc 10</t>
        </is>
      </c>
      <c r="H1029" s="70" t="n">
        <v>2110405</v>
      </c>
      <c r="I1029" s="72" t="inlineStr">
        <is>
          <t>CONTAS A PAGAR</t>
        </is>
      </c>
      <c r="J1029" s="70" t="n">
        <v>1231737</v>
      </c>
      <c r="L1029" s="70" t="n">
        <v>1529878</v>
      </c>
      <c r="M1029" s="72" t="inlineStr">
        <is>
          <t>01</t>
        </is>
      </c>
      <c r="N1029" s="72" t="inlineStr">
        <is>
          <t>AVU</t>
        </is>
      </c>
      <c r="P1029" s="70" t="n">
        <v>101</v>
      </c>
      <c r="Q1029" s="72" t="inlineStr">
        <is>
          <t>KEILA LIMA</t>
        </is>
      </c>
      <c r="R1029" s="72" t="inlineStr">
        <is>
          <t>DESPESAS COM PESSOAL</t>
        </is>
      </c>
      <c r="S1029" s="70" t="n">
        <v>4210317</v>
      </c>
      <c r="T1029" s="72" t="inlineStr">
        <is>
          <t>EPI - FUNCIONARIOS</t>
        </is>
      </c>
      <c r="U1029" s="73" t="n">
        <v>116.07</v>
      </c>
      <c r="W1029" s="73" t="n">
        <v>0</v>
      </c>
      <c r="X1029" s="72" t="inlineStr">
        <is>
          <t>NF 1529878 - BOTAS ACOUGUEIROS - KEILA</t>
        </is>
      </c>
      <c r="Z1029" s="59">
        <f>IF($T1029="","",IFERROR(INDEX('Resumo Grupos'!$AC$3:$AC$200,MATCH($T1029,'Resumo Grupos'!$AB$3:$AB$200,0)),"n/d"))</f>
        <v/>
      </c>
      <c r="AA1029" s="59">
        <f>IF($T1029="","",IF(COUNTIF('Resumo Grupos'!$AE$3:$AE$40,$T1029)&gt;0,"NAO","SIM"))</f>
        <v/>
      </c>
    </row>
    <row r="1030" ht="36.75" customHeight="1" s="60">
      <c r="A1030" s="70" t="n">
        <v>1</v>
      </c>
      <c r="B1030" s="71" t="n">
        <v>46188</v>
      </c>
      <c r="C1030" s="71" t="n">
        <v>46213</v>
      </c>
      <c r="D1030" s="70" t="n">
        <v>10017</v>
      </c>
      <c r="E1030" s="72" t="inlineStr">
        <is>
          <t>PIARARA COMERCIO, IMPORTACAO E EXPORTACAO LTDA</t>
        </is>
      </c>
      <c r="F1030" s="70" t="n">
        <v>24</v>
      </c>
      <c r="G1030" s="72" t="inlineStr">
        <is>
          <t>Compra a Prazo - Boletos</t>
        </is>
      </c>
      <c r="H1030" s="70" t="n">
        <v>2110101</v>
      </c>
      <c r="I1030" s="72" t="inlineStr">
        <is>
          <t>FORNECEDORES DE MERCADORIA</t>
        </is>
      </c>
      <c r="J1030" s="70" t="n">
        <v>1256691</v>
      </c>
      <c r="L1030" s="70" t="n">
        <v>193354</v>
      </c>
      <c r="M1030" s="72" t="inlineStr">
        <is>
          <t>03</t>
        </is>
      </c>
      <c r="N1030" s="72" t="inlineStr">
        <is>
          <t>NFE</t>
        </is>
      </c>
      <c r="P1030" s="70" t="n">
        <v>103</v>
      </c>
      <c r="Q1030" s="72" t="inlineStr">
        <is>
          <t>MILKA FRANCIS</t>
        </is>
      </c>
      <c r="R1030" s="72" t="inlineStr">
        <is>
          <t>ESTOQUE DE MERCADORIAS</t>
        </is>
      </c>
      <c r="S1030" s="70" t="n">
        <v>1130101</v>
      </c>
      <c r="T1030" s="72" t="inlineStr">
        <is>
          <t>MERCADORIAS P/REVENDA</t>
        </is>
      </c>
      <c r="U1030" s="73" t="n">
        <v>372.09</v>
      </c>
      <c r="W1030" s="73" t="n">
        <v>0</v>
      </c>
      <c r="X1030" s="72" t="inlineStr">
        <is>
          <t>NF193354-3 MILKA</t>
        </is>
      </c>
      <c r="Z1030" s="59">
        <f>IF($T1030="","",IFERROR(INDEX('Resumo Grupos'!$AC$3:$AC$200,MATCH($T1030,'Resumo Grupos'!$AB$3:$AB$200,0)),"n/d"))</f>
        <v/>
      </c>
      <c r="AA1030" s="59">
        <f>IF($T1030="","",IF(COUNTIF('Resumo Grupos'!$AE$3:$AE$40,$T1030)&gt;0,"NAO","SIM"))</f>
        <v/>
      </c>
    </row>
    <row r="1031" ht="36.75" customHeight="1" s="60">
      <c r="A1031" s="70" t="n">
        <v>1</v>
      </c>
      <c r="B1031" s="71" t="n">
        <v>46190</v>
      </c>
      <c r="C1031" s="71" t="n">
        <v>46213</v>
      </c>
      <c r="D1031" s="70" t="n">
        <v>1835</v>
      </c>
      <c r="E1031" s="72" t="inlineStr">
        <is>
          <t>LOJA DO REI COMERCIO DE MATERIAL DE CONS</t>
        </is>
      </c>
      <c r="F1031" s="70" t="n">
        <v>46</v>
      </c>
      <c r="G1031" s="72" t="inlineStr">
        <is>
          <t>Cartao Sant 1 Velho 9336 venc 10</t>
        </is>
      </c>
      <c r="H1031" s="70" t="n">
        <v>2110405</v>
      </c>
      <c r="I1031" s="72" t="inlineStr">
        <is>
          <t>CONTAS A PAGAR</t>
        </is>
      </c>
      <c r="J1031" s="70" t="n">
        <v>1270239</v>
      </c>
      <c r="L1031" s="70" t="n">
        <v>105747</v>
      </c>
      <c r="M1031" s="72" t="inlineStr">
        <is>
          <t>01</t>
        </is>
      </c>
      <c r="N1031" s="72" t="inlineStr">
        <is>
          <t>AVU</t>
        </is>
      </c>
      <c r="P1031" s="70" t="n">
        <v>101</v>
      </c>
      <c r="Q1031" s="72" t="inlineStr">
        <is>
          <t>KEILA LIMA</t>
        </is>
      </c>
      <c r="R1031" s="72" t="inlineStr">
        <is>
          <t>DESPESAS OPERACIONAIS</t>
        </is>
      </c>
      <c r="S1031" s="70" t="n">
        <v>4210227</v>
      </c>
      <c r="T1031" s="72" t="inlineStr">
        <is>
          <t>DESPESAS LOJA</t>
        </is>
      </c>
      <c r="U1031" s="73" t="n">
        <v>93.31999999999999</v>
      </c>
      <c r="W1031" s="73" t="n">
        <v>0</v>
      </c>
      <c r="X1031" s="72" t="inlineStr">
        <is>
          <t>NF 105747 - KEILA</t>
        </is>
      </c>
      <c r="Z1031" s="59">
        <f>IF($T1031="","",IFERROR(INDEX('Resumo Grupos'!$AC$3:$AC$200,MATCH($T1031,'Resumo Grupos'!$AB$3:$AB$200,0)),"n/d"))</f>
        <v/>
      </c>
      <c r="AA1031" s="59">
        <f>IF($T1031="","",IF(COUNTIF('Resumo Grupos'!$AE$3:$AE$40,$T1031)&gt;0,"NAO","SIM"))</f>
        <v/>
      </c>
    </row>
    <row r="1032" ht="36.75" customHeight="1" s="60">
      <c r="A1032" s="70" t="n">
        <v>1</v>
      </c>
      <c r="B1032" s="71" t="n">
        <v>46192</v>
      </c>
      <c r="C1032" s="71" t="n">
        <v>46213</v>
      </c>
      <c r="D1032" s="70" t="n">
        <v>1739</v>
      </c>
      <c r="E1032" s="72" t="inlineStr">
        <is>
          <t>SABIA COMERCIO DE COSMETICOS LTDA</t>
        </is>
      </c>
      <c r="F1032" s="70" t="n">
        <v>24</v>
      </c>
      <c r="G1032" s="72" t="inlineStr">
        <is>
          <t>Compra a Prazo - Boletos</t>
        </is>
      </c>
      <c r="H1032" s="70" t="n">
        <v>2110101</v>
      </c>
      <c r="I1032" s="72" t="inlineStr">
        <is>
          <t>FORNECEDORES DE MERCADORIA</t>
        </is>
      </c>
      <c r="J1032" s="70" t="n">
        <v>1273162</v>
      </c>
      <c r="L1032" s="70" t="n">
        <v>250257</v>
      </c>
      <c r="M1032" s="72" t="inlineStr">
        <is>
          <t>01</t>
        </is>
      </c>
      <c r="N1032" s="72" t="inlineStr">
        <is>
          <t>NFE</t>
        </is>
      </c>
      <c r="P1032" s="70" t="n">
        <v>103</v>
      </c>
      <c r="Q1032" s="72" t="inlineStr">
        <is>
          <t>MILKA FRANCIS</t>
        </is>
      </c>
      <c r="R1032" s="72" t="inlineStr">
        <is>
          <t>ESTOQUE DE MERCADORIAS</t>
        </is>
      </c>
      <c r="S1032" s="70" t="n">
        <v>1130101</v>
      </c>
      <c r="T1032" s="72" t="inlineStr">
        <is>
          <t>MERCADORIAS P/REVENDA</t>
        </is>
      </c>
      <c r="U1032" s="73" t="n">
        <v>477.39</v>
      </c>
      <c r="W1032" s="73" t="n">
        <v>0</v>
      </c>
      <c r="X1032" s="72" t="inlineStr">
        <is>
          <t>NF 250257-1 MILKA</t>
        </is>
      </c>
      <c r="Z1032" s="59">
        <f>IF($T1032="","",IFERROR(INDEX('Resumo Grupos'!$AC$3:$AC$200,MATCH($T1032,'Resumo Grupos'!$AB$3:$AB$200,0)),"n/d"))</f>
        <v/>
      </c>
      <c r="AA1032" s="59">
        <f>IF($T1032="","",IF(COUNTIF('Resumo Grupos'!$AE$3:$AE$40,$T1032)&gt;0,"NAO","SIM"))</f>
        <v/>
      </c>
    </row>
    <row r="1033" ht="36.75" customHeight="1" s="60">
      <c r="A1033" s="70" t="n">
        <v>1</v>
      </c>
      <c r="B1033" s="71" t="n">
        <v>46192</v>
      </c>
      <c r="C1033" s="71" t="n">
        <v>46213</v>
      </c>
      <c r="D1033" s="70" t="n">
        <v>10026</v>
      </c>
      <c r="E1033" s="72" t="inlineStr">
        <is>
          <t>SWTL SERVICOS DE INFORMATICA LTDA</t>
        </is>
      </c>
      <c r="F1033" s="70" t="n">
        <v>24</v>
      </c>
      <c r="G1033" s="72" t="inlineStr">
        <is>
          <t>Compra a Prazo - Boletos</t>
        </is>
      </c>
      <c r="H1033" s="70" t="n">
        <v>2110405</v>
      </c>
      <c r="I1033" s="72" t="inlineStr">
        <is>
          <t>CONTAS A PAGAR</t>
        </is>
      </c>
      <c r="J1033" s="70" t="n">
        <v>1273703</v>
      </c>
      <c r="L1033" s="70" t="n">
        <v>528630</v>
      </c>
      <c r="M1033" s="72" t="inlineStr">
        <is>
          <t>02</t>
        </is>
      </c>
      <c r="N1033" s="72" t="inlineStr">
        <is>
          <t>AVU</t>
        </is>
      </c>
      <c r="P1033" s="70" t="n">
        <v>101</v>
      </c>
      <c r="Q1033" s="72" t="inlineStr">
        <is>
          <t>KEILA LIMA</t>
        </is>
      </c>
      <c r="R1033" s="72" t="inlineStr">
        <is>
          <t>BENS INTANGIVEIS</t>
        </is>
      </c>
      <c r="S1033" s="70" t="n">
        <v>1240203</v>
      </c>
      <c r="T1033" s="72" t="inlineStr">
        <is>
          <t>SISTEMAS APLICATIVOS</t>
        </is>
      </c>
      <c r="U1033" s="73" t="n">
        <v>666.67</v>
      </c>
      <c r="W1033" s="73" t="n">
        <v>0</v>
      </c>
      <c r="X1033" s="72" t="inlineStr">
        <is>
          <t>MENSALIDADE CONSULTORIA SISTEMA CISS -KEILA</t>
        </is>
      </c>
      <c r="Z1033" s="59">
        <f>IF($T1033="","",IFERROR(INDEX('Resumo Grupos'!$AC$3:$AC$200,MATCH($T1033,'Resumo Grupos'!$AB$3:$AB$200,0)),"n/d"))</f>
        <v/>
      </c>
      <c r="AA1033" s="59">
        <f>IF($T1033="","",IF(COUNTIF('Resumo Grupos'!$AE$3:$AE$40,$T1033)&gt;0,"NAO","SIM"))</f>
        <v/>
      </c>
    </row>
    <row r="1034" ht="45.75" customHeight="1" s="60">
      <c r="A1034" s="70" t="n">
        <v>1</v>
      </c>
      <c r="B1034" s="71" t="n">
        <v>46192</v>
      </c>
      <c r="C1034" s="71" t="n">
        <v>46213</v>
      </c>
      <c r="D1034" s="70" t="n">
        <v>10026</v>
      </c>
      <c r="E1034" s="72" t="inlineStr">
        <is>
          <t>SWTL SERVICOS DE INFORMATICA LTDA</t>
        </is>
      </c>
      <c r="F1034" s="70" t="n">
        <v>24</v>
      </c>
      <c r="G1034" s="72" t="inlineStr">
        <is>
          <t>Compra a Prazo - Boletos</t>
        </is>
      </c>
      <c r="H1034" s="70" t="n">
        <v>2110405</v>
      </c>
      <c r="I1034" s="72" t="inlineStr">
        <is>
          <t>CONTAS A PAGAR</t>
        </is>
      </c>
      <c r="J1034" s="70" t="n">
        <v>1273723</v>
      </c>
      <c r="L1034" s="70" t="n">
        <v>528632</v>
      </c>
      <c r="M1034" s="72" t="inlineStr">
        <is>
          <t>02</t>
        </is>
      </c>
      <c r="N1034" s="72" t="inlineStr">
        <is>
          <t>AVU</t>
        </is>
      </c>
      <c r="P1034" s="70" t="n">
        <v>101</v>
      </c>
      <c r="Q1034" s="72" t="inlineStr">
        <is>
          <t>KEILA LIMA</t>
        </is>
      </c>
      <c r="R1034" s="72" t="inlineStr">
        <is>
          <t>DESPESAS NAO OPERACIONAIS</t>
        </is>
      </c>
      <c r="S1034" s="70" t="n">
        <v>4220199</v>
      </c>
      <c r="T1034" s="72" t="inlineStr">
        <is>
          <t>PAGAMENTOS OUTROS NAO OPERACIONAIS</t>
        </is>
      </c>
      <c r="U1034" s="73" t="n">
        <v>2000</v>
      </c>
      <c r="W1034" s="73" t="n">
        <v>0</v>
      </c>
      <c r="X1034" s="72" t="inlineStr">
        <is>
          <t>MENSALIDADE CONSULTORIA LOJAS NAO SOMAR RATEAD</t>
        </is>
      </c>
      <c r="Z1034" s="59">
        <f>IF($T1034="","",IFERROR(INDEX('Resumo Grupos'!$AC$3:$AC$200,MATCH($T1034,'Resumo Grupos'!$AB$3:$AB$200,0)),"n/d"))</f>
        <v/>
      </c>
      <c r="AA1034" s="59">
        <f>IF($T1034="","",IF(COUNTIF('Resumo Grupos'!$AE$3:$AE$40,$T1034)&gt;0,"NAO","SIM"))</f>
        <v/>
      </c>
    </row>
    <row r="1035" ht="36.75" customHeight="1" s="60">
      <c r="A1035" s="70" t="n">
        <v>1</v>
      </c>
      <c r="B1035" s="71" t="n">
        <v>46193</v>
      </c>
      <c r="C1035" s="71" t="n">
        <v>46213</v>
      </c>
      <c r="D1035" s="70" t="n">
        <v>1718</v>
      </c>
      <c r="E1035" s="72" t="inlineStr">
        <is>
          <t>DISTRIBUIDORA FARIAS LTDA.</t>
        </is>
      </c>
      <c r="F1035" s="70" t="n">
        <v>24</v>
      </c>
      <c r="G1035" s="72" t="inlineStr">
        <is>
          <t>Compra a Prazo - Boletos</t>
        </is>
      </c>
      <c r="H1035" s="70" t="n">
        <v>2110101</v>
      </c>
      <c r="I1035" s="72" t="inlineStr">
        <is>
          <t>FORNECEDORES DE MERCADORIA</t>
        </is>
      </c>
      <c r="J1035" s="70" t="n">
        <v>1280728</v>
      </c>
      <c r="L1035" s="70" t="n">
        <v>674930</v>
      </c>
      <c r="M1035" s="72" t="inlineStr">
        <is>
          <t>02</t>
        </is>
      </c>
      <c r="N1035" s="72" t="inlineStr">
        <is>
          <t>NFE</t>
        </is>
      </c>
      <c r="P1035" s="70" t="n">
        <v>103</v>
      </c>
      <c r="Q1035" s="72" t="inlineStr">
        <is>
          <t>MILKA FRANCIS</t>
        </is>
      </c>
      <c r="R1035" s="72" t="inlineStr">
        <is>
          <t>ESTOQUE DE MERCADORIAS</t>
        </is>
      </c>
      <c r="S1035" s="70" t="n">
        <v>1130101</v>
      </c>
      <c r="T1035" s="72" t="inlineStr">
        <is>
          <t>MERCADORIAS P/REVENDA</t>
        </is>
      </c>
      <c r="U1035" s="73" t="n">
        <v>478.42</v>
      </c>
      <c r="W1035" s="73" t="n">
        <v>0</v>
      </c>
      <c r="X1035" s="72" t="inlineStr">
        <is>
          <t>789209-B/C  NF674930 - MILKA</t>
        </is>
      </c>
      <c r="Z1035" s="59">
        <f>IF($T1035="","",IFERROR(INDEX('Resumo Grupos'!$AC$3:$AC$200,MATCH($T1035,'Resumo Grupos'!$AB$3:$AB$200,0)),"n/d"))</f>
        <v/>
      </c>
      <c r="AA1035" s="59">
        <f>IF($T1035="","",IF(COUNTIF('Resumo Grupos'!$AE$3:$AE$40,$T1035)&gt;0,"NAO","SIM"))</f>
        <v/>
      </c>
    </row>
    <row r="1036" ht="54.75" customHeight="1" s="60">
      <c r="A1036" s="70" t="n">
        <v>1</v>
      </c>
      <c r="B1036" s="71" t="n">
        <v>46195</v>
      </c>
      <c r="C1036" s="71" t="n">
        <v>46213</v>
      </c>
      <c r="D1036" s="70" t="n">
        <v>1740</v>
      </c>
      <c r="E1036" s="72" t="inlineStr">
        <is>
          <t>OCIDENTAL COMERCIO DE FRIOS LTDA</t>
        </is>
      </c>
      <c r="F1036" s="70" t="n">
        <v>24</v>
      </c>
      <c r="G1036" s="72" t="inlineStr">
        <is>
          <t>Compra a Prazo - Boletos</t>
        </is>
      </c>
      <c r="H1036" s="70" t="n">
        <v>2110101</v>
      </c>
      <c r="I1036" s="72" t="inlineStr">
        <is>
          <t>FORNECEDORES DE MERCADORIA</t>
        </is>
      </c>
      <c r="J1036" s="70" t="n">
        <v>1289301</v>
      </c>
      <c r="L1036" s="70" t="n">
        <v>1238958</v>
      </c>
      <c r="M1036" s="72" t="inlineStr">
        <is>
          <t>02</t>
        </is>
      </c>
      <c r="N1036" s="72" t="inlineStr">
        <is>
          <t>NFE</t>
        </is>
      </c>
      <c r="P1036" s="70" t="n">
        <v>103</v>
      </c>
      <c r="Q1036" s="72" t="inlineStr">
        <is>
          <t>MILKA FRANCIS</t>
        </is>
      </c>
      <c r="R1036" s="72" t="inlineStr">
        <is>
          <t>ESTOQUE DE MERCADORIAS</t>
        </is>
      </c>
      <c r="S1036" s="70" t="n">
        <v>1130101</v>
      </c>
      <c r="T1036" s="72" t="inlineStr">
        <is>
          <t>MERCADORIAS P/REVENDA</t>
        </is>
      </c>
      <c r="U1036" s="73" t="n">
        <v>2272.59</v>
      </c>
      <c r="W1036" s="73" t="n">
        <v>0</v>
      </c>
      <c r="X1036" s="72" t="inlineStr">
        <is>
          <t>NF 1238958-2/3 MILKA</t>
        </is>
      </c>
      <c r="Z1036" s="59">
        <f>IF($T1036="","",IFERROR(INDEX('Resumo Grupos'!$AC$3:$AC$200,MATCH($T1036,'Resumo Grupos'!$AB$3:$AB$200,0)),"n/d"))</f>
        <v/>
      </c>
      <c r="AA1036" s="59">
        <f>IF($T1036="","",IF(COUNTIF('Resumo Grupos'!$AE$3:$AE$40,$T1036)&gt;0,"NAO","SIM"))</f>
        <v/>
      </c>
    </row>
    <row r="1037" ht="54.75" customHeight="1" s="60">
      <c r="A1037" s="70" t="n">
        <v>1</v>
      </c>
      <c r="B1037" s="71" t="n">
        <v>46195</v>
      </c>
      <c r="C1037" s="71" t="n">
        <v>46213</v>
      </c>
      <c r="D1037" s="70" t="n">
        <v>1695</v>
      </c>
      <c r="E1037" s="72" t="inlineStr">
        <is>
          <t>BRAGA TABACARIA EIRELI ME</t>
        </is>
      </c>
      <c r="F1037" s="70" t="n">
        <v>24</v>
      </c>
      <c r="G1037" s="72" t="inlineStr">
        <is>
          <t>Compra a Prazo - Boletos</t>
        </is>
      </c>
      <c r="H1037" s="70" t="n">
        <v>2110101</v>
      </c>
      <c r="I1037" s="72" t="inlineStr">
        <is>
          <t>FORNECEDORES DE MERCADORIA</t>
        </is>
      </c>
      <c r="J1037" s="70" t="n">
        <v>1289622</v>
      </c>
      <c r="L1037" s="70" t="n">
        <v>18761</v>
      </c>
      <c r="M1037" s="72" t="inlineStr">
        <is>
          <t>03</t>
        </is>
      </c>
      <c r="N1037" s="72" t="inlineStr">
        <is>
          <t>NFE</t>
        </is>
      </c>
      <c r="P1037" s="70" t="n">
        <v>103</v>
      </c>
      <c r="Q1037" s="72" t="inlineStr">
        <is>
          <t>MILKA FRANCIS</t>
        </is>
      </c>
      <c r="R1037" s="72" t="inlineStr">
        <is>
          <t>ESTOQUE DE MERCADORIAS</t>
        </is>
      </c>
      <c r="S1037" s="70" t="n">
        <v>1130101</v>
      </c>
      <c r="T1037" s="72" t="inlineStr">
        <is>
          <t>MERCADORIAS P/REVENDA</t>
        </is>
      </c>
      <c r="U1037" s="73" t="n">
        <v>467.2</v>
      </c>
      <c r="W1037" s="73" t="n">
        <v>0</v>
      </c>
      <c r="X1037" s="72" t="inlineStr">
        <is>
          <t>NF 18761-03 MILKA</t>
        </is>
      </c>
      <c r="Z1037" s="59">
        <f>IF($T1037="","",IFERROR(INDEX('Resumo Grupos'!$AC$3:$AC$200,MATCH($T1037,'Resumo Grupos'!$AB$3:$AB$200,0)),"n/d"))</f>
        <v/>
      </c>
      <c r="AA1037" s="59">
        <f>IF($T1037="","",IF(COUNTIF('Resumo Grupos'!$AE$3:$AE$40,$T1037)&gt;0,"NAO","SIM"))</f>
        <v/>
      </c>
    </row>
    <row r="1038" ht="36.75" customHeight="1" s="60">
      <c r="A1038" s="70" t="n">
        <v>1</v>
      </c>
      <c r="B1038" s="71" t="n">
        <v>46199</v>
      </c>
      <c r="C1038" s="71" t="n">
        <v>46213</v>
      </c>
      <c r="D1038" s="70" t="n">
        <v>1608</v>
      </c>
      <c r="E1038" s="72" t="inlineStr">
        <is>
          <t>DISTRIBUIDORA LOPES LTDA</t>
        </is>
      </c>
      <c r="F1038" s="70" t="n">
        <v>24</v>
      </c>
      <c r="G1038" s="72" t="inlineStr">
        <is>
          <t>Compra a Prazo - Boletos</t>
        </is>
      </c>
      <c r="H1038" s="70" t="n">
        <v>2110101</v>
      </c>
      <c r="I1038" s="72" t="inlineStr">
        <is>
          <t>FORNECEDORES DE MERCADORIA</t>
        </is>
      </c>
      <c r="J1038" s="70" t="n">
        <v>1309156</v>
      </c>
      <c r="L1038" s="70" t="n">
        <v>1681442</v>
      </c>
      <c r="M1038" s="72" t="inlineStr">
        <is>
          <t>01</t>
        </is>
      </c>
      <c r="N1038" s="72" t="inlineStr">
        <is>
          <t>NFE</t>
        </is>
      </c>
      <c r="P1038" s="70" t="n">
        <v>103</v>
      </c>
      <c r="Q1038" s="72" t="inlineStr">
        <is>
          <t>MILKA FRANCIS</t>
        </is>
      </c>
      <c r="R1038" s="72" t="inlineStr">
        <is>
          <t>ESTOQUE DE MERCADORIAS</t>
        </is>
      </c>
      <c r="S1038" s="70" t="n">
        <v>1130101</v>
      </c>
      <c r="T1038" s="72" t="inlineStr">
        <is>
          <t>MERCADORIAS P/REVENDA</t>
        </is>
      </c>
      <c r="U1038" s="73" t="n">
        <v>600</v>
      </c>
      <c r="W1038" s="73" t="n">
        <v>0</v>
      </c>
      <c r="X1038" s="72" t="inlineStr">
        <is>
          <t>NF 1681442 - MILKA</t>
        </is>
      </c>
      <c r="Z1038" s="59">
        <f>IF($T1038="","",IFERROR(INDEX('Resumo Grupos'!$AC$3:$AC$200,MATCH($T1038,'Resumo Grupos'!$AB$3:$AB$200,0)),"n/d"))</f>
        <v/>
      </c>
      <c r="AA1038" s="59">
        <f>IF($T1038="","",IF(COUNTIF('Resumo Grupos'!$AE$3:$AE$40,$T1038)&gt;0,"NAO","SIM"))</f>
        <v/>
      </c>
    </row>
    <row r="1039" ht="36.75" customHeight="1" s="60">
      <c r="A1039" s="70" t="n">
        <v>1</v>
      </c>
      <c r="B1039" s="71" t="n">
        <v>46091</v>
      </c>
      <c r="C1039" s="71" t="n">
        <v>46213</v>
      </c>
      <c r="D1039" s="70" t="n">
        <v>14</v>
      </c>
      <c r="E1039" s="72" t="inlineStr">
        <is>
          <t>ENDREW GUIMARAES BATISTA</t>
        </is>
      </c>
      <c r="F1039" s="70" t="n">
        <v>34</v>
      </c>
      <c r="G1039" s="72" t="inlineStr">
        <is>
          <t>Transferencia Pix</t>
        </is>
      </c>
      <c r="H1039" s="70" t="n">
        <v>2110405</v>
      </c>
      <c r="I1039" s="72" t="inlineStr">
        <is>
          <t>CONTAS A PAGAR</t>
        </is>
      </c>
      <c r="J1039" s="70" t="n">
        <v>1309535</v>
      </c>
      <c r="L1039" s="70" t="n">
        <v>541980</v>
      </c>
      <c r="M1039" s="72" t="inlineStr">
        <is>
          <t>05</t>
        </is>
      </c>
      <c r="N1039" s="72" t="inlineStr">
        <is>
          <t>AVU</t>
        </is>
      </c>
      <c r="P1039" s="70" t="n">
        <v>101</v>
      </c>
      <c r="Q1039" s="72" t="inlineStr">
        <is>
          <t>KEILA LIMA</t>
        </is>
      </c>
      <c r="R1039" s="72" t="inlineStr">
        <is>
          <t>DESPESAS OPERACIONAIS</t>
        </is>
      </c>
      <c r="S1039" s="70" t="n">
        <v>4210206</v>
      </c>
      <c r="T1039" s="72" t="inlineStr">
        <is>
          <t>TELEFONE</t>
        </is>
      </c>
      <c r="U1039" s="73" t="n">
        <v>209.99</v>
      </c>
      <c r="W1039" s="73" t="n">
        <v>0</v>
      </c>
      <c r="X1039" s="72" t="inlineStr">
        <is>
          <t>CELULAR TIM RENATO MO1 - KEILA</t>
        </is>
      </c>
      <c r="Z1039" s="59">
        <f>IF($T1039="","",IFERROR(INDEX('Resumo Grupos'!$AC$3:$AC$200,MATCH($T1039,'Resumo Grupos'!$AB$3:$AB$200,0)),"n/d"))</f>
        <v/>
      </c>
      <c r="AA1039" s="59">
        <f>IF($T1039="","",IF(COUNTIF('Resumo Grupos'!$AE$3:$AE$40,$T1039)&gt;0,"NAO","SIM"))</f>
        <v/>
      </c>
    </row>
    <row r="1040" ht="54.75" customHeight="1" s="60">
      <c r="A1040" s="70" t="n">
        <v>1</v>
      </c>
      <c r="B1040" s="71" t="n">
        <v>46199</v>
      </c>
      <c r="C1040" s="71" t="n">
        <v>46213</v>
      </c>
      <c r="D1040" s="70" t="n">
        <v>1242</v>
      </c>
      <c r="E1040" s="72" t="inlineStr">
        <is>
          <t>GLG COMERCIO E INDUSTRIA DO VESTUARIO LTDA</t>
        </is>
      </c>
      <c r="F1040" s="70" t="n">
        <v>46</v>
      </c>
      <c r="G1040" s="72" t="inlineStr">
        <is>
          <t>Cartao Sant 1 Velho 9336 venc 10</t>
        </is>
      </c>
      <c r="H1040" s="70" t="n">
        <v>2110405</v>
      </c>
      <c r="I1040" s="72" t="inlineStr">
        <is>
          <t>CONTAS A PAGAR</t>
        </is>
      </c>
      <c r="J1040" s="70" t="n">
        <v>1309769</v>
      </c>
      <c r="L1040" s="70" t="n">
        <v>6022</v>
      </c>
      <c r="M1040" s="72" t="inlineStr">
        <is>
          <t>01</t>
        </is>
      </c>
      <c r="N1040" s="72" t="inlineStr">
        <is>
          <t>AVU</t>
        </is>
      </c>
      <c r="P1040" s="70" t="n">
        <v>101</v>
      </c>
      <c r="Q1040" s="72" t="inlineStr">
        <is>
          <t>KEILA LIMA</t>
        </is>
      </c>
      <c r="R1040" s="72" t="inlineStr">
        <is>
          <t>DESPESAS COM PESSOAL</t>
        </is>
      </c>
      <c r="S1040" s="70" t="n">
        <v>4210317</v>
      </c>
      <c r="T1040" s="72" t="inlineStr">
        <is>
          <t>EPI - FUNCIONARIOS</t>
        </is>
      </c>
      <c r="U1040" s="73" t="n">
        <v>320</v>
      </c>
      <c r="W1040" s="73" t="n">
        <v>0</v>
      </c>
      <c r="X1040" s="72" t="inlineStr">
        <is>
          <t>CALCA UNIFORME ACOUGUEIROS MO1 - KEILA</t>
        </is>
      </c>
      <c r="Z1040" s="59">
        <f>IF($T1040="","",IFERROR(INDEX('Resumo Grupos'!$AC$3:$AC$200,MATCH($T1040,'Resumo Grupos'!$AB$3:$AB$200,0)),"n/d"))</f>
        <v/>
      </c>
      <c r="AA1040" s="59">
        <f>IF($T1040="","",IF(COUNTIF('Resumo Grupos'!$AE$3:$AE$40,$T1040)&gt;0,"NAO","SIM"))</f>
        <v/>
      </c>
    </row>
    <row r="1041" ht="54.75" customHeight="1" s="60">
      <c r="A1041" s="70" t="n">
        <v>1</v>
      </c>
      <c r="B1041" s="71" t="n">
        <v>46200</v>
      </c>
      <c r="C1041" s="71" t="n">
        <v>46213</v>
      </c>
      <c r="D1041" s="70" t="n">
        <v>1666</v>
      </c>
      <c r="E1041" s="72" t="inlineStr">
        <is>
          <t>SOUZA CRUZ LTDA.</t>
        </is>
      </c>
      <c r="F1041" s="70" t="n">
        <v>24</v>
      </c>
      <c r="G1041" s="72" t="inlineStr">
        <is>
          <t>Compra a Prazo - Boletos</t>
        </is>
      </c>
      <c r="H1041" s="70" t="n">
        <v>2110101</v>
      </c>
      <c r="I1041" s="72" t="inlineStr">
        <is>
          <t>FORNECEDORES DE MERCADORIA</t>
        </is>
      </c>
      <c r="J1041" s="70" t="n">
        <v>1312788</v>
      </c>
      <c r="L1041" s="70" t="n">
        <v>565012</v>
      </c>
      <c r="M1041" s="72" t="inlineStr">
        <is>
          <t>02</t>
        </is>
      </c>
      <c r="N1041" s="72" t="inlineStr">
        <is>
          <t>NFE</t>
        </is>
      </c>
      <c r="P1041" s="70" t="n">
        <v>103</v>
      </c>
      <c r="Q1041" s="72" t="inlineStr">
        <is>
          <t>MILKA FRANCIS</t>
        </is>
      </c>
      <c r="R1041" s="72" t="inlineStr">
        <is>
          <t>ESTOQUE DE MERCADORIAS</t>
        </is>
      </c>
      <c r="S1041" s="70" t="n">
        <v>1130101</v>
      </c>
      <c r="T1041" s="72" t="inlineStr">
        <is>
          <t>MERCADORIAS P/REVENDA</t>
        </is>
      </c>
      <c r="U1041" s="73" t="n">
        <v>5229.61</v>
      </c>
      <c r="W1041" s="73" t="n">
        <v>0</v>
      </c>
      <c r="X1041" s="72" t="inlineStr">
        <is>
          <t>NF 565012-02 MILKA</t>
        </is>
      </c>
      <c r="Z1041" s="59">
        <f>IF($T1041="","",IFERROR(INDEX('Resumo Grupos'!$AC$3:$AC$200,MATCH($T1041,'Resumo Grupos'!$AB$3:$AB$200,0)),"n/d"))</f>
        <v/>
      </c>
      <c r="AA1041" s="59">
        <f>IF($T1041="","",IF(COUNTIF('Resumo Grupos'!$AE$3:$AE$40,$T1041)&gt;0,"NAO","SIM"))</f>
        <v/>
      </c>
    </row>
    <row r="1042" ht="54.75" customHeight="1" s="60">
      <c r="A1042" s="70" t="n">
        <v>1</v>
      </c>
      <c r="B1042" s="71" t="n">
        <v>46200</v>
      </c>
      <c r="C1042" s="71" t="n">
        <v>46213</v>
      </c>
      <c r="D1042" s="70" t="n">
        <v>1749</v>
      </c>
      <c r="E1042" s="72" t="inlineStr">
        <is>
          <t>ORIENTE COM. ATACADISTA E REPRES. LTDA</t>
        </is>
      </c>
      <c r="F1042" s="70" t="n">
        <v>24</v>
      </c>
      <c r="G1042" s="72" t="inlineStr">
        <is>
          <t>Compra a Prazo - Boletos</t>
        </is>
      </c>
      <c r="H1042" s="70" t="n">
        <v>2110101</v>
      </c>
      <c r="I1042" s="72" t="inlineStr">
        <is>
          <t>FORNECEDORES DE MERCADORIA</t>
        </is>
      </c>
      <c r="J1042" s="70" t="n">
        <v>1312870</v>
      </c>
      <c r="L1042" s="70" t="n">
        <v>2033</v>
      </c>
      <c r="M1042" s="72" t="inlineStr">
        <is>
          <t>02</t>
        </is>
      </c>
      <c r="N1042" s="72" t="inlineStr">
        <is>
          <t>NFE</t>
        </is>
      </c>
      <c r="P1042" s="70" t="n">
        <v>103</v>
      </c>
      <c r="Q1042" s="72" t="inlineStr">
        <is>
          <t>MILKA FRANCIS</t>
        </is>
      </c>
      <c r="R1042" s="72" t="inlineStr">
        <is>
          <t>ESTOQUE DE MERCADORIAS</t>
        </is>
      </c>
      <c r="S1042" s="70" t="n">
        <v>1130101</v>
      </c>
      <c r="T1042" s="72" t="inlineStr">
        <is>
          <t>MERCADORIAS P/REVENDA</t>
        </is>
      </c>
      <c r="U1042" s="73" t="n">
        <v>754.42</v>
      </c>
      <c r="W1042" s="73" t="n">
        <v>0</v>
      </c>
      <c r="X1042" s="72" t="inlineStr">
        <is>
          <t>2435/2  NF2033 - MILKA</t>
        </is>
      </c>
      <c r="Z1042" s="59">
        <f>IF($T1042="","",IFERROR(INDEX('Resumo Grupos'!$AC$3:$AC$200,MATCH($T1042,'Resumo Grupos'!$AB$3:$AB$200,0)),"n/d"))</f>
        <v/>
      </c>
      <c r="AA1042" s="59">
        <f>IF($T1042="","",IF(COUNTIF('Resumo Grupos'!$AE$3:$AE$40,$T1042)&gt;0,"NAO","SIM"))</f>
        <v/>
      </c>
    </row>
    <row r="1043" ht="45.75" customHeight="1" s="60">
      <c r="A1043" s="70" t="n">
        <v>1</v>
      </c>
      <c r="B1043" s="71" t="n">
        <v>46202</v>
      </c>
      <c r="C1043" s="71" t="n">
        <v>46213</v>
      </c>
      <c r="D1043" s="70" t="n">
        <v>1740</v>
      </c>
      <c r="E1043" s="72" t="inlineStr">
        <is>
          <t>OCIDENTAL COMERCIO DE FRIOS LTDA</t>
        </is>
      </c>
      <c r="F1043" s="70" t="n">
        <v>24</v>
      </c>
      <c r="G1043" s="72" t="inlineStr">
        <is>
          <t>Compra a Prazo - Boletos</t>
        </is>
      </c>
      <c r="H1043" s="70" t="n">
        <v>2110101</v>
      </c>
      <c r="I1043" s="72" t="inlineStr">
        <is>
          <t>FORNECEDORES DE MERCADORIA</t>
        </is>
      </c>
      <c r="J1043" s="70" t="n">
        <v>1322290</v>
      </c>
      <c r="L1043" s="70" t="n">
        <v>1241434</v>
      </c>
      <c r="M1043" s="72" t="inlineStr">
        <is>
          <t>01</t>
        </is>
      </c>
      <c r="N1043" s="72" t="inlineStr">
        <is>
          <t>NFE</t>
        </is>
      </c>
      <c r="P1043" s="70" t="n">
        <v>103</v>
      </c>
      <c r="Q1043" s="72" t="inlineStr">
        <is>
          <t>MILKA FRANCIS</t>
        </is>
      </c>
      <c r="R1043" s="72" t="inlineStr">
        <is>
          <t>ESTOQUE DE MERCADORIAS</t>
        </is>
      </c>
      <c r="S1043" s="70" t="n">
        <v>1130101</v>
      </c>
      <c r="T1043" s="72" t="inlineStr">
        <is>
          <t>MERCADORIAS P/REVENDA</t>
        </is>
      </c>
      <c r="U1043" s="73" t="n">
        <v>537.72</v>
      </c>
      <c r="W1043" s="73" t="n">
        <v>0</v>
      </c>
      <c r="X1043" s="72" t="inlineStr">
        <is>
          <t>NF 1241434-1/3 - MILKA</t>
        </is>
      </c>
      <c r="Z1043" s="59">
        <f>IF($T1043="","",IFERROR(INDEX('Resumo Grupos'!$AC$3:$AC$200,MATCH($T1043,'Resumo Grupos'!$AB$3:$AB$200,0)),"n/d"))</f>
        <v/>
      </c>
      <c r="AA1043" s="59">
        <f>IF($T1043="","",IF(COUNTIF('Resumo Grupos'!$AE$3:$AE$40,$T1043)&gt;0,"NAO","SIM"))</f>
        <v/>
      </c>
    </row>
    <row r="1044" ht="45.75" customHeight="1" s="60">
      <c r="A1044" s="70" t="n">
        <v>1</v>
      </c>
      <c r="B1044" s="71" t="n">
        <v>46202</v>
      </c>
      <c r="C1044" s="71" t="n">
        <v>46213</v>
      </c>
      <c r="D1044" s="70" t="n">
        <v>1114</v>
      </c>
      <c r="E1044" s="72" t="inlineStr">
        <is>
          <t>NT INDUSTRIA E COMERCIO DE PANIFICACAO L</t>
        </is>
      </c>
      <c r="F1044" s="70" t="n">
        <v>24</v>
      </c>
      <c r="G1044" s="72" t="inlineStr">
        <is>
          <t>Compra a Prazo - Boletos</t>
        </is>
      </c>
      <c r="H1044" s="70" t="n">
        <v>2110101</v>
      </c>
      <c r="I1044" s="72" t="inlineStr">
        <is>
          <t>FORNECEDORES DE MERCADORIA</t>
        </is>
      </c>
      <c r="J1044" s="70" t="n">
        <v>1322353</v>
      </c>
      <c r="L1044" s="70" t="n">
        <v>39625</v>
      </c>
      <c r="M1044" s="72" t="inlineStr">
        <is>
          <t>01</t>
        </is>
      </c>
      <c r="N1044" s="72" t="inlineStr">
        <is>
          <t>NFE</t>
        </is>
      </c>
      <c r="P1044" s="70" t="n">
        <v>103</v>
      </c>
      <c r="Q1044" s="72" t="inlineStr">
        <is>
          <t>MILKA FRANCIS</t>
        </is>
      </c>
      <c r="R1044" s="72" t="inlineStr">
        <is>
          <t>ESTOQUE DE MERCADORIAS</t>
        </is>
      </c>
      <c r="S1044" s="70" t="n">
        <v>1130101</v>
      </c>
      <c r="T1044" s="72" t="inlineStr">
        <is>
          <t>MERCADORIAS P/REVENDA</t>
        </is>
      </c>
      <c r="U1044" s="73" t="n">
        <v>4396.37</v>
      </c>
      <c r="W1044" s="73" t="n">
        <v>0</v>
      </c>
      <c r="X1044" s="72" t="inlineStr">
        <is>
          <t>NF 39625 - MILKA</t>
        </is>
      </c>
      <c r="Z1044" s="59">
        <f>IF($T1044="","",IFERROR(INDEX('Resumo Grupos'!$AC$3:$AC$200,MATCH($T1044,'Resumo Grupos'!$AB$3:$AB$200,0)),"n/d"))</f>
        <v/>
      </c>
      <c r="AA1044" s="59">
        <f>IF($T1044="","",IF(COUNTIF('Resumo Grupos'!$AE$3:$AE$40,$T1044)&gt;0,"NAO","SIM"))</f>
        <v/>
      </c>
    </row>
    <row r="1045" ht="45.75" customHeight="1" s="60">
      <c r="A1045" s="70" t="n">
        <v>1</v>
      </c>
      <c r="B1045" s="71" t="n">
        <v>46202</v>
      </c>
      <c r="C1045" s="71" t="n">
        <v>46213</v>
      </c>
      <c r="D1045" s="70" t="n">
        <v>794</v>
      </c>
      <c r="E1045" s="72" t="inlineStr">
        <is>
          <t>EDMARA COMERCIO DE HIGIENE PESSOAL LTDA</t>
        </is>
      </c>
      <c r="F1045" s="70" t="n">
        <v>24</v>
      </c>
      <c r="G1045" s="72" t="inlineStr">
        <is>
          <t>Compra a Prazo - Boletos</t>
        </is>
      </c>
      <c r="H1045" s="70" t="n">
        <v>2110102</v>
      </c>
      <c r="I1045" s="72" t="inlineStr">
        <is>
          <t>OUTROS FORNECEDORES</t>
        </is>
      </c>
      <c r="J1045" s="70" t="n">
        <v>1322709</v>
      </c>
      <c r="L1045" s="70" t="n">
        <v>8210</v>
      </c>
      <c r="M1045" s="72" t="inlineStr">
        <is>
          <t>01</t>
        </is>
      </c>
      <c r="N1045" s="72" t="inlineStr">
        <is>
          <t>NFE</t>
        </is>
      </c>
      <c r="P1045" s="70" t="n">
        <v>103</v>
      </c>
      <c r="Q1045" s="72" t="inlineStr">
        <is>
          <t>MILKA FRANCIS</t>
        </is>
      </c>
      <c r="R1045" s="72" t="inlineStr">
        <is>
          <t>DESPESAS OPERACIONAIS</t>
        </is>
      </c>
      <c r="S1045" s="70" t="n">
        <v>4210204</v>
      </c>
      <c r="T1045" s="72" t="inlineStr">
        <is>
          <t>MATERIAL DE CONSUMO</t>
        </is>
      </c>
      <c r="U1045" s="73" t="n">
        <v>550</v>
      </c>
      <c r="W1045" s="73" t="n">
        <v>0</v>
      </c>
      <c r="X1045" s="72" t="inlineStr">
        <is>
          <t>NF 8210 DESPESA - MILKA</t>
        </is>
      </c>
      <c r="Z1045" s="59">
        <f>IF($T1045="","",IFERROR(INDEX('Resumo Grupos'!$AC$3:$AC$200,MATCH($T1045,'Resumo Grupos'!$AB$3:$AB$200,0)),"n/d"))</f>
        <v/>
      </c>
      <c r="AA1045" s="59">
        <f>IF($T1045="","",IF(COUNTIF('Resumo Grupos'!$AE$3:$AE$40,$T1045)&gt;0,"NAO","SIM"))</f>
        <v/>
      </c>
    </row>
    <row r="1046" ht="36.75" customHeight="1" s="60">
      <c r="A1046" s="70" t="n">
        <v>1</v>
      </c>
      <c r="B1046" s="71" t="n">
        <v>46200</v>
      </c>
      <c r="C1046" s="71" t="n">
        <v>46213</v>
      </c>
      <c r="D1046" s="70" t="n">
        <v>1465</v>
      </c>
      <c r="E1046" s="72" t="inlineStr">
        <is>
          <t>HAVAN S.A.</t>
        </is>
      </c>
      <c r="F1046" s="70" t="n">
        <v>46</v>
      </c>
      <c r="G1046" s="72" t="inlineStr">
        <is>
          <t>Cartao Sant 1 Velho 9336 venc 10</t>
        </is>
      </c>
      <c r="H1046" s="70" t="n">
        <v>2110405</v>
      </c>
      <c r="I1046" s="72" t="inlineStr">
        <is>
          <t>CONTAS A PAGAR</t>
        </is>
      </c>
      <c r="J1046" s="70" t="n">
        <v>1323766</v>
      </c>
      <c r="L1046" s="70" t="n">
        <v>4759</v>
      </c>
      <c r="M1046" s="72" t="inlineStr">
        <is>
          <t>01</t>
        </is>
      </c>
      <c r="N1046" s="72" t="inlineStr">
        <is>
          <t>AVU</t>
        </is>
      </c>
      <c r="P1046" s="70" t="n">
        <v>101</v>
      </c>
      <c r="Q1046" s="72" t="inlineStr">
        <is>
          <t>KEILA LIMA</t>
        </is>
      </c>
      <c r="R1046" s="72" t="inlineStr">
        <is>
          <t>DESPESAS OPERACIONAIS</t>
        </is>
      </c>
      <c r="S1046" s="70" t="n">
        <v>4210228</v>
      </c>
      <c r="T1046" s="72" t="inlineStr">
        <is>
          <t>DESPESAS PADARIA</t>
        </is>
      </c>
      <c r="U1046" s="73" t="n">
        <v>260.29</v>
      </c>
      <c r="W1046" s="73" t="n">
        <v>0</v>
      </c>
      <c r="X1046" s="72" t="inlineStr">
        <is>
          <t>PARC 1/03 LIQUIDIFICADOR PADARIA MO1 - KEILA</t>
        </is>
      </c>
      <c r="Z1046" s="59">
        <f>IF($T1046="","",IFERROR(INDEX('Resumo Grupos'!$AC$3:$AC$200,MATCH($T1046,'Resumo Grupos'!$AB$3:$AB$200,0)),"n/d"))</f>
        <v/>
      </c>
      <c r="AA1046" s="59">
        <f>IF($T1046="","",IF(COUNTIF('Resumo Grupos'!$AE$3:$AE$40,$T1046)&gt;0,"NAO","SIM"))</f>
        <v/>
      </c>
    </row>
    <row r="1047" ht="36.75" customHeight="1" s="60">
      <c r="A1047" s="70" t="n">
        <v>1</v>
      </c>
      <c r="B1047" s="71" t="n">
        <v>46203</v>
      </c>
      <c r="C1047" s="71" t="n">
        <v>46213</v>
      </c>
      <c r="D1047" s="70" t="n">
        <v>794</v>
      </c>
      <c r="E1047" s="72" t="inlineStr">
        <is>
          <t>EDMARA COMERCIO DE HIGIENE PESSOAL LTDA</t>
        </is>
      </c>
      <c r="F1047" s="70" t="n">
        <v>24</v>
      </c>
      <c r="G1047" s="72" t="inlineStr">
        <is>
          <t>Compra a Prazo - Boletos</t>
        </is>
      </c>
      <c r="H1047" s="70" t="n">
        <v>2110101</v>
      </c>
      <c r="I1047" s="72" t="inlineStr">
        <is>
          <t>FORNECEDORES DE MERCADORIA</t>
        </is>
      </c>
      <c r="J1047" s="70" t="n">
        <v>1330337</v>
      </c>
      <c r="L1047" s="70" t="n">
        <v>8208</v>
      </c>
      <c r="M1047" s="72" t="inlineStr">
        <is>
          <t>01</t>
        </is>
      </c>
      <c r="N1047" s="72" t="inlineStr">
        <is>
          <t>NFE</t>
        </is>
      </c>
      <c r="P1047" s="70" t="n">
        <v>103</v>
      </c>
      <c r="Q1047" s="72" t="inlineStr">
        <is>
          <t>MILKA FRANCIS</t>
        </is>
      </c>
      <c r="R1047" s="72" t="inlineStr">
        <is>
          <t>ESTOQUE DE MERCADORIAS</t>
        </is>
      </c>
      <c r="S1047" s="70" t="n">
        <v>1130101</v>
      </c>
      <c r="T1047" s="72" t="inlineStr">
        <is>
          <t>MERCADORIAS P/REVENDA</t>
        </is>
      </c>
      <c r="U1047" s="73" t="n">
        <v>526.89</v>
      </c>
      <c r="W1047" s="73" t="n">
        <v>0</v>
      </c>
      <c r="X1047" s="72" t="inlineStr">
        <is>
          <t>5120-A/C  NF8208 - MILKA</t>
        </is>
      </c>
      <c r="Z1047" s="59">
        <f>IF($T1047="","",IFERROR(INDEX('Resumo Grupos'!$AC$3:$AC$200,MATCH($T1047,'Resumo Grupos'!$AB$3:$AB$200,0)),"n/d"))</f>
        <v/>
      </c>
      <c r="AA1047" s="59">
        <f>IF($T1047="","",IF(COUNTIF('Resumo Grupos'!$AE$3:$AE$40,$T1047)&gt;0,"NAO","SIM"))</f>
        <v/>
      </c>
    </row>
    <row r="1048" ht="45.75" customHeight="1" s="60">
      <c r="A1048" s="70" t="n">
        <v>1</v>
      </c>
      <c r="B1048" s="71" t="n">
        <v>46207</v>
      </c>
      <c r="C1048" s="71" t="n">
        <v>46213</v>
      </c>
      <c r="D1048" s="70" t="n">
        <v>1695</v>
      </c>
      <c r="E1048" s="72" t="inlineStr">
        <is>
          <t>BRAGA TABACARIA EIRELI ME</t>
        </is>
      </c>
      <c r="F1048" s="70" t="n">
        <v>24</v>
      </c>
      <c r="G1048" s="72" t="inlineStr">
        <is>
          <t>Compra a Prazo - Boletos</t>
        </is>
      </c>
      <c r="H1048" s="70" t="n">
        <v>2110101</v>
      </c>
      <c r="I1048" s="72" t="inlineStr">
        <is>
          <t>FORNECEDORES DE MERCADORIA</t>
        </is>
      </c>
      <c r="J1048" s="70" t="n">
        <v>1348708</v>
      </c>
      <c r="L1048" s="70" t="n">
        <v>19022</v>
      </c>
      <c r="M1048" s="72" t="inlineStr">
        <is>
          <t>01</t>
        </is>
      </c>
      <c r="N1048" s="72" t="inlineStr">
        <is>
          <t>NFE</t>
        </is>
      </c>
      <c r="P1048" s="70" t="n">
        <v>103</v>
      </c>
      <c r="Q1048" s="72" t="inlineStr">
        <is>
          <t>MILKA FRANCIS</t>
        </is>
      </c>
      <c r="R1048" s="72" t="inlineStr">
        <is>
          <t>ESTOQUE DE MERCADORIAS</t>
        </is>
      </c>
      <c r="S1048" s="70" t="n">
        <v>1130101</v>
      </c>
      <c r="T1048" s="72" t="inlineStr">
        <is>
          <t>MERCADORIAS P/REVENDA</t>
        </is>
      </c>
      <c r="U1048" s="73" t="n">
        <v>595</v>
      </c>
      <c r="W1048" s="73" t="n">
        <v>0</v>
      </c>
      <c r="X1048" s="72" t="inlineStr">
        <is>
          <t>NF 19022-01 MILKA</t>
        </is>
      </c>
      <c r="Z1048" s="59">
        <f>IF($T1048="","",IFERROR(INDEX('Resumo Grupos'!$AC$3:$AC$200,MATCH($T1048,'Resumo Grupos'!$AB$3:$AB$200,0)),"n/d"))</f>
        <v/>
      </c>
      <c r="AA1048" s="59">
        <f>IF($T1048="","",IF(COUNTIF('Resumo Grupos'!$AE$3:$AE$40,$T1048)&gt;0,"NAO","SIM"))</f>
        <v/>
      </c>
    </row>
    <row r="1049" ht="36.75" customHeight="1" s="60">
      <c r="A1049" s="70" t="n">
        <v>1</v>
      </c>
      <c r="B1049" s="71" t="n">
        <v>46206</v>
      </c>
      <c r="C1049" s="71" t="n">
        <v>46213</v>
      </c>
      <c r="D1049" s="70" t="n">
        <v>1625</v>
      </c>
      <c r="E1049" s="72" t="inlineStr">
        <is>
          <t>MAXFRI DISTRIUIDORA LTDA</t>
        </is>
      </c>
      <c r="F1049" s="70" t="n">
        <v>24</v>
      </c>
      <c r="G1049" s="72" t="inlineStr">
        <is>
          <t>Compra a Prazo - Boletos</t>
        </is>
      </c>
      <c r="H1049" s="70" t="n">
        <v>2110101</v>
      </c>
      <c r="I1049" s="72" t="inlineStr">
        <is>
          <t>FORNECEDORES DE MERCADORIA</t>
        </is>
      </c>
      <c r="J1049" s="70" t="n">
        <v>1345941</v>
      </c>
      <c r="L1049" s="70" t="n">
        <v>14614</v>
      </c>
      <c r="M1049" s="72" t="inlineStr">
        <is>
          <t>01</t>
        </is>
      </c>
      <c r="N1049" s="72" t="inlineStr">
        <is>
          <t>NFE</t>
        </is>
      </c>
      <c r="P1049" s="70" t="n">
        <v>103</v>
      </c>
      <c r="Q1049" s="72" t="inlineStr">
        <is>
          <t>MILKA FRANCIS</t>
        </is>
      </c>
      <c r="R1049" s="72" t="inlineStr">
        <is>
          <t>ESTOQUE DE MERCADORIAS</t>
        </is>
      </c>
      <c r="S1049" s="70" t="n">
        <v>1130101</v>
      </c>
      <c r="T1049" s="72" t="inlineStr">
        <is>
          <t>MERCADORIAS P/REVENDA</t>
        </is>
      </c>
      <c r="U1049" s="73" t="n">
        <v>6374.28</v>
      </c>
      <c r="W1049" s="73" t="n">
        <v>0</v>
      </c>
      <c r="X1049" s="72" t="inlineStr">
        <is>
          <t>NF14614 - MILKA</t>
        </is>
      </c>
      <c r="Z1049" s="59">
        <f>IF($T1049="","",IFERROR(INDEX('Resumo Grupos'!$AC$3:$AC$200,MATCH($T1049,'Resumo Grupos'!$AB$3:$AB$200,0)),"n/d"))</f>
        <v/>
      </c>
      <c r="AA1049" s="59">
        <f>IF($T1049="","",IF(COUNTIF('Resumo Grupos'!$AE$3:$AE$40,$T1049)&gt;0,"NAO","SIM"))</f>
        <v/>
      </c>
    </row>
    <row r="1050" ht="45.75" customHeight="1" s="60">
      <c r="A1050" s="70" t="n">
        <v>1</v>
      </c>
      <c r="B1050" s="71" t="n">
        <v>46206</v>
      </c>
      <c r="C1050" s="71" t="n">
        <v>46213</v>
      </c>
      <c r="D1050" s="70" t="n">
        <v>1614</v>
      </c>
      <c r="E1050" s="72" t="inlineStr">
        <is>
          <t>C. R. PARENTE ABREU</t>
        </is>
      </c>
      <c r="F1050" s="70" t="n">
        <v>24</v>
      </c>
      <c r="G1050" s="72" t="inlineStr">
        <is>
          <t>Compra a Prazo - Boletos</t>
        </is>
      </c>
      <c r="H1050" s="70" t="n">
        <v>2110101</v>
      </c>
      <c r="I1050" s="72" t="inlineStr">
        <is>
          <t>FORNECEDORES DE MERCADORIA</t>
        </is>
      </c>
      <c r="J1050" s="70" t="n">
        <v>1346045</v>
      </c>
      <c r="L1050" s="70" t="n">
        <v>11352</v>
      </c>
      <c r="M1050" s="72" t="inlineStr">
        <is>
          <t>02</t>
        </is>
      </c>
      <c r="N1050" s="72" t="inlineStr">
        <is>
          <t>NFE</t>
        </is>
      </c>
      <c r="P1050" s="70" t="n">
        <v>103</v>
      </c>
      <c r="Q1050" s="72" t="inlineStr">
        <is>
          <t>MILKA FRANCIS</t>
        </is>
      </c>
      <c r="R1050" s="72" t="inlineStr">
        <is>
          <t>ESTOQUE DE MERCADORIAS</t>
        </is>
      </c>
      <c r="S1050" s="70" t="n">
        <v>1130101</v>
      </c>
      <c r="T1050" s="72" t="inlineStr">
        <is>
          <t>MERCADORIAS P/REVENDA</t>
        </is>
      </c>
      <c r="U1050" s="73" t="n">
        <v>406.93</v>
      </c>
      <c r="W1050" s="73" t="n">
        <v>0</v>
      </c>
      <c r="X1050" s="72" t="inlineStr">
        <is>
          <t>NF 11352-2 MILKA</t>
        </is>
      </c>
      <c r="Z1050" s="59">
        <f>IF($T1050="","",IFERROR(INDEX('Resumo Grupos'!$AC$3:$AC$200,MATCH($T1050,'Resumo Grupos'!$AB$3:$AB$200,0)),"n/d"))</f>
        <v/>
      </c>
      <c r="AA1050" s="59">
        <f>IF($T1050="","",IF(COUNTIF('Resumo Grupos'!$AE$3:$AE$40,$T1050)&gt;0,"NAO","SIM"))</f>
        <v/>
      </c>
    </row>
    <row r="1051" ht="36.75" customHeight="1" s="60">
      <c r="A1051" s="70" t="n">
        <v>1</v>
      </c>
      <c r="B1051" s="71" t="n">
        <v>46207</v>
      </c>
      <c r="C1051" s="71" t="n">
        <v>46213</v>
      </c>
      <c r="D1051" s="70" t="n">
        <v>1815</v>
      </c>
      <c r="E1051" s="72" t="inlineStr">
        <is>
          <t>J G COMERCIO DE PRODUTOS ALIMENTICIOS LTDA</t>
        </is>
      </c>
      <c r="F1051" s="70" t="n">
        <v>24</v>
      </c>
      <c r="G1051" s="72" t="inlineStr">
        <is>
          <t>Compra a Prazo - Boletos</t>
        </is>
      </c>
      <c r="H1051" s="70" t="n">
        <v>2110101</v>
      </c>
      <c r="I1051" s="72" t="inlineStr">
        <is>
          <t>FORNECEDORES DE MERCADORIA</t>
        </is>
      </c>
      <c r="J1051" s="70" t="n">
        <v>1348411</v>
      </c>
      <c r="L1051" s="70" t="n">
        <v>390550</v>
      </c>
      <c r="M1051" s="72" t="inlineStr">
        <is>
          <t>01</t>
        </is>
      </c>
      <c r="N1051" s="72" t="inlineStr">
        <is>
          <t>NFE</t>
        </is>
      </c>
      <c r="P1051" s="70" t="n">
        <v>103</v>
      </c>
      <c r="Q1051" s="72" t="inlineStr">
        <is>
          <t>MILKA FRANCIS</t>
        </is>
      </c>
      <c r="R1051" s="72" t="inlineStr">
        <is>
          <t>ESTOQUE DE MERCADORIAS</t>
        </is>
      </c>
      <c r="S1051" s="70" t="n">
        <v>1130101</v>
      </c>
      <c r="T1051" s="72" t="inlineStr">
        <is>
          <t>MERCADORIAS P/REVENDA</t>
        </is>
      </c>
      <c r="U1051" s="73" t="n">
        <v>2340.64</v>
      </c>
      <c r="W1051" s="73" t="n">
        <v>0</v>
      </c>
      <c r="X1051" s="72" t="inlineStr">
        <is>
          <t>454446-A/C  NF390550 - MILKA</t>
        </is>
      </c>
      <c r="Z1051" s="59">
        <f>IF($T1051="","",IFERROR(INDEX('Resumo Grupos'!$AC$3:$AC$200,MATCH($T1051,'Resumo Grupos'!$AB$3:$AB$200,0)),"n/d"))</f>
        <v/>
      </c>
      <c r="AA1051" s="59">
        <f>IF($T1051="","",IF(COUNTIF('Resumo Grupos'!$AE$3:$AE$40,$T1051)&gt;0,"NAO","SIM"))</f>
        <v/>
      </c>
    </row>
    <row r="1052" ht="54.75" customHeight="1" s="60">
      <c r="A1052" s="70" t="n">
        <v>1</v>
      </c>
      <c r="B1052" s="71" t="n">
        <v>46207</v>
      </c>
      <c r="C1052" s="71" t="n">
        <v>46213</v>
      </c>
      <c r="D1052" s="70" t="n">
        <v>1286</v>
      </c>
      <c r="E1052" s="72" t="inlineStr">
        <is>
          <t>VITAPAN COMERCIO VAREJISTA DE PRODUTOS ALIMENTICIOS LTDA</t>
        </is>
      </c>
      <c r="F1052" s="70" t="n">
        <v>24</v>
      </c>
      <c r="G1052" s="72" t="inlineStr">
        <is>
          <t>Compra a Prazo - Boletos</t>
        </is>
      </c>
      <c r="H1052" s="70" t="n">
        <v>2110101</v>
      </c>
      <c r="I1052" s="72" t="inlineStr">
        <is>
          <t>FORNECEDORES DE MERCADORIA</t>
        </is>
      </c>
      <c r="J1052" s="70" t="n">
        <v>1348417</v>
      </c>
      <c r="L1052" s="70" t="n">
        <v>10235</v>
      </c>
      <c r="M1052" s="72" t="inlineStr">
        <is>
          <t>01</t>
        </is>
      </c>
      <c r="N1052" s="72" t="inlineStr">
        <is>
          <t>NFE</t>
        </is>
      </c>
      <c r="P1052" s="70" t="n">
        <v>103</v>
      </c>
      <c r="Q1052" s="72" t="inlineStr">
        <is>
          <t>MILKA FRANCIS</t>
        </is>
      </c>
      <c r="R1052" s="72" t="inlineStr">
        <is>
          <t>ESTOQUE DE MERCADORIAS</t>
        </is>
      </c>
      <c r="S1052" s="70" t="n">
        <v>1130101</v>
      </c>
      <c r="T1052" s="72" t="inlineStr">
        <is>
          <t>MERCADORIAS P/REVENDA</t>
        </is>
      </c>
      <c r="U1052" s="73" t="n">
        <v>918</v>
      </c>
      <c r="W1052" s="73" t="n">
        <v>0</v>
      </c>
      <c r="X1052" s="72" t="inlineStr">
        <is>
          <t>NF10235 - MILKA</t>
        </is>
      </c>
      <c r="Z1052" s="59">
        <f>IF($T1052="","",IFERROR(INDEX('Resumo Grupos'!$AC$3:$AC$200,MATCH($T1052,'Resumo Grupos'!$AB$3:$AB$200,0)),"n/d"))</f>
        <v/>
      </c>
      <c r="AA1052" s="59">
        <f>IF($T1052="","",IF(COUNTIF('Resumo Grupos'!$AE$3:$AE$40,$T1052)&gt;0,"NAO","SIM"))</f>
        <v/>
      </c>
    </row>
    <row r="1053" ht="45.75" customHeight="1" s="60">
      <c r="A1053" s="70" t="n">
        <v>1</v>
      </c>
      <c r="B1053" s="71" t="n">
        <v>46207</v>
      </c>
      <c r="C1053" s="71" t="n">
        <v>46213</v>
      </c>
      <c r="D1053" s="70" t="n">
        <v>1642</v>
      </c>
      <c r="E1053" s="72" t="inlineStr">
        <is>
          <t>BROTHERS  INDUSTRIA DE ALIMENTOS LTDA</t>
        </is>
      </c>
      <c r="F1053" s="70" t="n">
        <v>24</v>
      </c>
      <c r="G1053" s="72" t="inlineStr">
        <is>
          <t>Compra a Prazo - Boletos</t>
        </is>
      </c>
      <c r="H1053" s="70" t="n">
        <v>2110101</v>
      </c>
      <c r="I1053" s="72" t="inlineStr">
        <is>
          <t>FORNECEDORES DE MERCADORIA</t>
        </is>
      </c>
      <c r="J1053" s="70" t="n">
        <v>1348430</v>
      </c>
      <c r="L1053" s="70" t="n">
        <v>1030056</v>
      </c>
      <c r="M1053" s="72" t="inlineStr">
        <is>
          <t>01</t>
        </is>
      </c>
      <c r="N1053" s="72" t="inlineStr">
        <is>
          <t>NFE</t>
        </is>
      </c>
      <c r="P1053" s="70" t="n">
        <v>103</v>
      </c>
      <c r="Q1053" s="72" t="inlineStr">
        <is>
          <t>MILKA FRANCIS</t>
        </is>
      </c>
      <c r="R1053" s="72" t="inlineStr">
        <is>
          <t>ESTOQUE DE MERCADORIAS</t>
        </is>
      </c>
      <c r="S1053" s="70" t="n">
        <v>1130101</v>
      </c>
      <c r="T1053" s="72" t="inlineStr">
        <is>
          <t>MERCADORIAS P/REVENDA</t>
        </is>
      </c>
      <c r="U1053" s="73" t="n">
        <v>640.3</v>
      </c>
      <c r="W1053" s="73" t="n">
        <v>0</v>
      </c>
      <c r="X1053" s="72" t="inlineStr">
        <is>
          <t>NF 1030056 - MILkA</t>
        </is>
      </c>
      <c r="Z1053" s="59">
        <f>IF($T1053="","",IFERROR(INDEX('Resumo Grupos'!$AC$3:$AC$200,MATCH($T1053,'Resumo Grupos'!$AB$3:$AB$200,0)),"n/d"))</f>
        <v/>
      </c>
      <c r="AA1053" s="59">
        <f>IF($T1053="","",IF(COUNTIF('Resumo Grupos'!$AE$3:$AE$40,$T1053)&gt;0,"NAO","SIM"))</f>
        <v/>
      </c>
    </row>
    <row r="1054" ht="45.75" customHeight="1" s="60">
      <c r="A1054" s="70" t="n">
        <v>1</v>
      </c>
      <c r="B1054" s="71" t="n">
        <v>46209</v>
      </c>
      <c r="C1054" s="71" t="n">
        <v>46213</v>
      </c>
      <c r="D1054" s="70" t="n">
        <v>10009</v>
      </c>
      <c r="E1054" s="72" t="inlineStr">
        <is>
          <t>NESTLÉ BRASIL LTDA.</t>
        </is>
      </c>
      <c r="F1054" s="70" t="n">
        <v>24</v>
      </c>
      <c r="G1054" s="72" t="inlineStr">
        <is>
          <t>Compra a Prazo - Boletos</t>
        </is>
      </c>
      <c r="H1054" s="70" t="n">
        <v>2110101</v>
      </c>
      <c r="I1054" s="72" t="inlineStr">
        <is>
          <t>FORNECEDORES DE MERCADORIA</t>
        </is>
      </c>
      <c r="J1054" s="70" t="n">
        <v>1360393</v>
      </c>
      <c r="L1054" s="70" t="n">
        <v>1424401</v>
      </c>
      <c r="M1054" s="72" t="inlineStr">
        <is>
          <t>01</t>
        </is>
      </c>
      <c r="N1054" s="72" t="inlineStr">
        <is>
          <t>NFE</t>
        </is>
      </c>
      <c r="P1054" s="70" t="n">
        <v>103</v>
      </c>
      <c r="Q1054" s="72" t="inlineStr">
        <is>
          <t>MILKA FRANCIS</t>
        </is>
      </c>
      <c r="R1054" s="72" t="inlineStr">
        <is>
          <t>ESTOQUE DE MERCADORIAS</t>
        </is>
      </c>
      <c r="S1054" s="70" t="n">
        <v>1130101</v>
      </c>
      <c r="T1054" s="72" t="inlineStr">
        <is>
          <t>MERCADORIAS P/REVENDA</t>
        </is>
      </c>
      <c r="U1054" s="73" t="n">
        <v>895.1900000000001</v>
      </c>
      <c r="W1054" s="73" t="n">
        <v>0</v>
      </c>
      <c r="X1054" s="72" t="inlineStr">
        <is>
          <t>NF 1424401-01 MILKA</t>
        </is>
      </c>
      <c r="Z1054" s="59">
        <f>IF($T1054="","",IFERROR(INDEX('Resumo Grupos'!$AC$3:$AC$200,MATCH($T1054,'Resumo Grupos'!$AB$3:$AB$200,0)),"n/d"))</f>
        <v/>
      </c>
      <c r="AA1054" s="59">
        <f>IF($T1054="","",IF(COUNTIF('Resumo Grupos'!$AE$3:$AE$40,$T1054)&gt;0,"NAO","SIM"))</f>
        <v/>
      </c>
    </row>
    <row r="1055" ht="45.75" customHeight="1" s="60">
      <c r="A1055" s="70" t="n">
        <v>1</v>
      </c>
      <c r="B1055" s="71" t="n">
        <v>46213</v>
      </c>
      <c r="C1055" s="71" t="n">
        <v>46213</v>
      </c>
      <c r="D1055" s="70" t="n">
        <v>17</v>
      </c>
      <c r="E1055" s="72" t="inlineStr">
        <is>
          <t>NEYLIANE SILVA DE OLIVEIRA</t>
        </is>
      </c>
      <c r="F1055" s="70" t="n">
        <v>34</v>
      </c>
      <c r="G1055" s="72" t="inlineStr">
        <is>
          <t>Transferencia Pix</t>
        </is>
      </c>
      <c r="H1055" s="70" t="n">
        <v>1110202</v>
      </c>
      <c r="I1055" s="72" t="inlineStr">
        <is>
          <t>BANCO ITAU Lj 01</t>
        </is>
      </c>
      <c r="J1055" s="70" t="n">
        <v>1376979</v>
      </c>
      <c r="L1055" s="70" t="n">
        <v>567695</v>
      </c>
      <c r="M1055" s="72" t="inlineStr">
        <is>
          <t>01</t>
        </is>
      </c>
      <c r="N1055" s="72" t="inlineStr">
        <is>
          <t>AVU</t>
        </is>
      </c>
      <c r="P1055" s="70" t="n">
        <v>101</v>
      </c>
      <c r="Q1055" s="72" t="inlineStr">
        <is>
          <t>KEILA LIMA</t>
        </is>
      </c>
      <c r="R1055" s="72" t="inlineStr">
        <is>
          <t>DESPESAS NAO OPERACIONAIS</t>
        </is>
      </c>
      <c r="S1055" s="70" t="n">
        <v>4220199</v>
      </c>
      <c r="T1055" s="72" t="inlineStr">
        <is>
          <t>PAGAMENTOS OUTROS NAO OPERACIONAIS</t>
        </is>
      </c>
      <c r="U1055" s="73" t="n">
        <v>5000</v>
      </c>
      <c r="W1055" s="73" t="n">
        <v>0</v>
      </c>
      <c r="X1055" s="72" t="inlineStr">
        <is>
          <t xml:space="preserve">PL NEILA - NAO SOMAR </t>
        </is>
      </c>
      <c r="Z1055" s="59">
        <f>IF($T1055="","",IFERROR(INDEX('Resumo Grupos'!$AC$3:$AC$200,MATCH($T1055,'Resumo Grupos'!$AB$3:$AB$200,0)),"n/d"))</f>
        <v/>
      </c>
      <c r="AA1055" s="59">
        <f>IF($T1055="","",IF(COUNTIF('Resumo Grupos'!$AE$3:$AE$40,$T1055)&gt;0,"NAO","SIM"))</f>
        <v/>
      </c>
    </row>
    <row r="1056" ht="45.75" customHeight="1" s="60">
      <c r="A1056" s="70" t="n">
        <v>1</v>
      </c>
      <c r="B1056" s="71" t="n">
        <v>46213</v>
      </c>
      <c r="C1056" s="71" t="n">
        <v>46213</v>
      </c>
      <c r="D1056" s="70" t="n">
        <v>1778</v>
      </c>
      <c r="E1056" s="72" t="inlineStr">
        <is>
          <t xml:space="preserve">MANAUS AMBIENTAL S/A </t>
        </is>
      </c>
      <c r="F1056" s="70" t="n">
        <v>24</v>
      </c>
      <c r="G1056" s="72" t="inlineStr">
        <is>
          <t>Compra a Prazo - Boletos</t>
        </is>
      </c>
      <c r="H1056" s="70" t="n">
        <v>1110202</v>
      </c>
      <c r="I1056" s="72" t="inlineStr">
        <is>
          <t>BANCO ITAU Lj 01</t>
        </is>
      </c>
      <c r="J1056" s="70" t="n">
        <v>1377305</v>
      </c>
      <c r="L1056" s="70" t="n">
        <v>1244</v>
      </c>
      <c r="M1056" s="72" t="inlineStr">
        <is>
          <t>01</t>
        </is>
      </c>
      <c r="N1056" s="72" t="inlineStr">
        <is>
          <t>AVU</t>
        </is>
      </c>
      <c r="P1056" s="70" t="n">
        <v>101</v>
      </c>
      <c r="Q1056" s="72" t="inlineStr">
        <is>
          <t>KEILA LIMA</t>
        </is>
      </c>
      <c r="R1056" s="72" t="inlineStr">
        <is>
          <t>DESPESAS OPERACIONAIS</t>
        </is>
      </c>
      <c r="S1056" s="70" t="n">
        <v>4210207</v>
      </c>
      <c r="T1056" s="72" t="inlineStr">
        <is>
          <t>AGUA</t>
        </is>
      </c>
      <c r="U1056" s="73" t="n">
        <v>273.13</v>
      </c>
      <c r="W1056" s="73" t="n">
        <v>0</v>
      </c>
      <c r="X1056" s="72" t="inlineStr">
        <is>
          <t>AGUA MO1 1244736-6 MES  06/26 - KEILA</t>
        </is>
      </c>
      <c r="Z1056" s="59">
        <f>IF($T1056="","",IFERROR(INDEX('Resumo Grupos'!$AC$3:$AC$200,MATCH($T1056,'Resumo Grupos'!$AB$3:$AB$200,0)),"n/d"))</f>
        <v/>
      </c>
      <c r="AA1056" s="59">
        <f>IF($T1056="","",IF(COUNTIF('Resumo Grupos'!$AE$3:$AE$40,$T1056)&gt;0,"NAO","SIM"))</f>
        <v/>
      </c>
    </row>
    <row r="1057" ht="36.75" customHeight="1" s="60">
      <c r="A1057" s="70" t="n">
        <v>1</v>
      </c>
      <c r="B1057" s="71" t="n">
        <v>46213</v>
      </c>
      <c r="C1057" s="71" t="n">
        <v>46213</v>
      </c>
      <c r="D1057" s="70" t="n">
        <v>1778</v>
      </c>
      <c r="E1057" s="72" t="inlineStr">
        <is>
          <t xml:space="preserve">MANAUS AMBIENTAL S/A </t>
        </is>
      </c>
      <c r="F1057" s="70" t="n">
        <v>24</v>
      </c>
      <c r="G1057" s="72" t="inlineStr">
        <is>
          <t>Compra a Prazo - Boletos</t>
        </is>
      </c>
      <c r="H1057" s="70" t="n">
        <v>1110202</v>
      </c>
      <c r="I1057" s="72" t="inlineStr">
        <is>
          <t>BANCO ITAU Lj 01</t>
        </is>
      </c>
      <c r="J1057" s="70" t="n">
        <v>1377339</v>
      </c>
      <c r="L1057" s="70" t="n">
        <v>567698</v>
      </c>
      <c r="M1057" s="72" t="inlineStr">
        <is>
          <t>01</t>
        </is>
      </c>
      <c r="N1057" s="72" t="inlineStr">
        <is>
          <t>AVU</t>
        </is>
      </c>
      <c r="P1057" s="70" t="n">
        <v>101</v>
      </c>
      <c r="Q1057" s="72" t="inlineStr">
        <is>
          <t>KEILA LIMA</t>
        </is>
      </c>
      <c r="R1057" s="72" t="inlineStr">
        <is>
          <t>DESPESAS OPERACIONAIS</t>
        </is>
      </c>
      <c r="S1057" s="70" t="n">
        <v>4210207</v>
      </c>
      <c r="T1057" s="72" t="inlineStr">
        <is>
          <t>AGUA</t>
        </is>
      </c>
      <c r="U1057" s="73" t="n">
        <v>192.47</v>
      </c>
      <c r="W1057" s="73" t="n">
        <v>0</v>
      </c>
      <c r="X1057" s="72" t="inlineStr">
        <is>
          <t>AGUA MO1 1244728-5 MO1 - KEILA</t>
        </is>
      </c>
      <c r="Z1057" s="59">
        <f>IF($T1057="","",IFERROR(INDEX('Resumo Grupos'!$AC$3:$AC$200,MATCH($T1057,'Resumo Grupos'!$AB$3:$AB$200,0)),"n/d"))</f>
        <v/>
      </c>
      <c r="AA1057" s="59">
        <f>IF($T1057="","",IF(COUNTIF('Resumo Grupos'!$AE$3:$AE$40,$T1057)&gt;0,"NAO","SIM"))</f>
        <v/>
      </c>
    </row>
    <row r="1058" ht="36.75" customHeight="1" s="60">
      <c r="A1058" s="70" t="n">
        <v>1</v>
      </c>
      <c r="B1058" s="71" t="n">
        <v>46213</v>
      </c>
      <c r="C1058" s="71" t="n">
        <v>46213</v>
      </c>
      <c r="D1058" s="70" t="n">
        <v>33</v>
      </c>
      <c r="E1058" s="72" t="inlineStr">
        <is>
          <t>RENATO DE O AZEVEDO E CIA LTDA - EPP</t>
        </is>
      </c>
      <c r="F1058" s="70" t="n">
        <v>34</v>
      </c>
      <c r="G1058" s="72" t="inlineStr">
        <is>
          <t>Transferencia Pix</t>
        </is>
      </c>
      <c r="H1058" s="70" t="n">
        <v>2110101</v>
      </c>
      <c r="I1058" s="72" t="inlineStr">
        <is>
          <t>FORNECEDORES DE MERCADORIA</t>
        </is>
      </c>
      <c r="J1058" s="70" t="n">
        <v>1377401</v>
      </c>
      <c r="L1058" s="70" t="n">
        <v>5288</v>
      </c>
      <c r="M1058" s="72" t="inlineStr">
        <is>
          <t>01</t>
        </is>
      </c>
      <c r="N1058" s="72" t="inlineStr">
        <is>
          <t>NFE</t>
        </is>
      </c>
      <c r="P1058" s="70" t="n">
        <v>104</v>
      </c>
      <c r="Q1058" s="72" t="inlineStr">
        <is>
          <t>DEBORA COSTA</t>
        </is>
      </c>
      <c r="R1058" s="72" t="inlineStr">
        <is>
          <t>ESTOQUE DE MERCADORIAS</t>
        </is>
      </c>
      <c r="S1058" s="70" t="n">
        <v>1130101</v>
      </c>
      <c r="T1058" s="72" t="inlineStr">
        <is>
          <t>MERCADORIAS P/REVENDA</t>
        </is>
      </c>
      <c r="U1058" s="73" t="n">
        <v>3482.02</v>
      </c>
      <c r="W1058" s="73" t="n">
        <v>0</v>
      </c>
      <c r="X1058" s="72" t="inlineStr">
        <is>
          <t>FEIRA SR RENATO - DEBORA</t>
        </is>
      </c>
      <c r="Z1058" s="59">
        <f>IF($T1058="","",IFERROR(INDEX('Resumo Grupos'!$AC$3:$AC$200,MATCH($T1058,'Resumo Grupos'!$AB$3:$AB$200,0)),"n/d"))</f>
        <v/>
      </c>
      <c r="AA1058" s="59">
        <f>IF($T1058="","",IF(COUNTIF('Resumo Grupos'!$AE$3:$AE$40,$T1058)&gt;0,"NAO","SIM"))</f>
        <v/>
      </c>
    </row>
    <row r="1059" ht="36.75" customHeight="1" s="60">
      <c r="A1059" s="70" t="n">
        <v>1</v>
      </c>
      <c r="B1059" s="71" t="n">
        <v>46213</v>
      </c>
      <c r="C1059" s="71" t="n">
        <v>46213</v>
      </c>
      <c r="D1059" s="70" t="n">
        <v>1695</v>
      </c>
      <c r="E1059" s="72" t="inlineStr">
        <is>
          <t>BRAGA TABACARIA EIRELI ME</t>
        </is>
      </c>
      <c r="F1059" s="70" t="n">
        <v>34</v>
      </c>
      <c r="G1059" s="72" t="inlineStr">
        <is>
          <t>Transferencia Pix</t>
        </is>
      </c>
      <c r="H1059" s="70" t="n">
        <v>1110202</v>
      </c>
      <c r="I1059" s="72" t="inlineStr">
        <is>
          <t>BANCO ITAU Lj 01</t>
        </is>
      </c>
      <c r="J1059" s="70" t="n">
        <v>1377444</v>
      </c>
      <c r="L1059" s="70" t="n">
        <v>19193</v>
      </c>
      <c r="M1059" s="72" t="inlineStr">
        <is>
          <t>01</t>
        </is>
      </c>
      <c r="N1059" s="72" t="inlineStr">
        <is>
          <t>AVU</t>
        </is>
      </c>
      <c r="P1059" s="70" t="n">
        <v>103</v>
      </c>
      <c r="Q1059" s="72" t="inlineStr">
        <is>
          <t>MILKA FRANCIS</t>
        </is>
      </c>
      <c r="R1059" s="72" t="inlineStr">
        <is>
          <t>ESTOQUE DE MERCADORIAS</t>
        </is>
      </c>
      <c r="S1059" s="70" t="n">
        <v>1130101</v>
      </c>
      <c r="T1059" s="72" t="inlineStr">
        <is>
          <t>MERCADORIAS P/REVENDA</t>
        </is>
      </c>
      <c r="U1059" s="73" t="n">
        <v>462</v>
      </c>
      <c r="W1059" s="73" t="n">
        <v>0</v>
      </c>
      <c r="X1059" s="72" t="inlineStr">
        <is>
          <t>NF19193 / COMPRA SARINHA E TRIGO - MILKA</t>
        </is>
      </c>
      <c r="Z1059" s="59">
        <f>IF($T1059="","",IFERROR(INDEX('Resumo Grupos'!$AC$3:$AC$200,MATCH($T1059,'Resumo Grupos'!$AB$3:$AB$200,0)),"n/d"))</f>
        <v/>
      </c>
      <c r="AA1059" s="59">
        <f>IF($T1059="","",IF(COUNTIF('Resumo Grupos'!$AE$3:$AE$40,$T1059)&gt;0,"NAO","SIM"))</f>
        <v/>
      </c>
    </row>
    <row r="1060" ht="36.75" customHeight="1" s="60">
      <c r="A1060" s="70" t="n">
        <v>1</v>
      </c>
      <c r="B1060" s="71" t="n">
        <v>46199</v>
      </c>
      <c r="C1060" s="71" t="n">
        <v>46213</v>
      </c>
      <c r="D1060" s="70" t="n">
        <v>1758</v>
      </c>
      <c r="E1060" s="72" t="inlineStr">
        <is>
          <t>DESPESA OPER LOJA</t>
        </is>
      </c>
      <c r="F1060" s="70" t="n">
        <v>46</v>
      </c>
      <c r="G1060" s="72" t="inlineStr">
        <is>
          <t>Cartao Sant 1 Velho 9336 venc 10</t>
        </is>
      </c>
      <c r="H1060" s="70" t="n">
        <v>1110202</v>
      </c>
      <c r="I1060" s="72" t="inlineStr">
        <is>
          <t>BANCO ITAU Lj 01</t>
        </is>
      </c>
      <c r="J1060" s="70" t="n">
        <v>1378055</v>
      </c>
      <c r="L1060" s="70" t="n">
        <v>568065</v>
      </c>
      <c r="M1060" s="72" t="inlineStr">
        <is>
          <t>01</t>
        </is>
      </c>
      <c r="N1060" s="72" t="inlineStr">
        <is>
          <t>AVU</t>
        </is>
      </c>
      <c r="P1060" s="70" t="n">
        <v>101</v>
      </c>
      <c r="Q1060" s="72" t="inlineStr">
        <is>
          <t>KEILA LIMA</t>
        </is>
      </c>
      <c r="R1060" s="72" t="inlineStr">
        <is>
          <t>DESPESAS OPERACIONAIS</t>
        </is>
      </c>
      <c r="S1060" s="70" t="n">
        <v>4210227</v>
      </c>
      <c r="T1060" s="72" t="inlineStr">
        <is>
          <t>DESPESAS LOJA</t>
        </is>
      </c>
      <c r="U1060" s="73" t="n">
        <v>429.64</v>
      </c>
      <c r="W1060" s="73" t="n">
        <v>0</v>
      </c>
      <c r="X1060" s="72" t="inlineStr">
        <is>
          <t>PARC 01/05 DESPESA MINEIRO - KEILA</t>
        </is>
      </c>
      <c r="Z1060" s="59">
        <f>IF($T1060="","",IFERROR(INDEX('Resumo Grupos'!$AC$3:$AC$200,MATCH($T1060,'Resumo Grupos'!$AB$3:$AB$200,0)),"n/d"))</f>
        <v/>
      </c>
      <c r="AA1060" s="59">
        <f>IF($T1060="","",IF(COUNTIF('Resumo Grupos'!$AE$3:$AE$40,$T1060)&gt;0,"NAO","SIM"))</f>
        <v/>
      </c>
    </row>
    <row r="1061" ht="72.75" customHeight="1" s="60">
      <c r="A1061" s="70" t="n">
        <v>1</v>
      </c>
      <c r="B1061" s="71" t="n">
        <v>46183</v>
      </c>
      <c r="C1061" s="71" t="n">
        <v>46213</v>
      </c>
      <c r="D1061" s="70" t="n">
        <v>16</v>
      </c>
      <c r="E1061" s="72" t="inlineStr">
        <is>
          <t>RENATO DE OLIVEIRA AZEVEDO</t>
        </is>
      </c>
      <c r="F1061" s="70" t="n">
        <v>46</v>
      </c>
      <c r="G1061" s="72" t="inlineStr">
        <is>
          <t>Cartao Sant 1 Velho 9336 venc 10</t>
        </is>
      </c>
      <c r="H1061" s="70" t="n">
        <v>1110202</v>
      </c>
      <c r="I1061" s="72" t="inlineStr">
        <is>
          <t>BANCO ITAU Lj 01</t>
        </is>
      </c>
      <c r="J1061" s="70" t="n">
        <v>1378230</v>
      </c>
      <c r="L1061" s="70" t="n">
        <v>568166</v>
      </c>
      <c r="M1061" s="72" t="inlineStr">
        <is>
          <t>01</t>
        </is>
      </c>
      <c r="N1061" s="72" t="inlineStr">
        <is>
          <t>AVU</t>
        </is>
      </c>
      <c r="P1061" s="70" t="n">
        <v>101</v>
      </c>
      <c r="Q1061" s="72" t="inlineStr">
        <is>
          <t>KEILA LIMA</t>
        </is>
      </c>
      <c r="R1061" s="72" t="inlineStr">
        <is>
          <t>DESPESAS NAO OPERACIONAIS</t>
        </is>
      </c>
      <c r="S1061" s="70" t="n">
        <v>4220199</v>
      </c>
      <c r="T1061" s="72" t="inlineStr">
        <is>
          <t>PAGAMENTOS OUTROS NAO OPERACIONAIS</t>
        </is>
      </c>
      <c r="U1061" s="73" t="n">
        <v>331.61</v>
      </c>
      <c r="W1061" s="73" t="n">
        <v>0</v>
      </c>
      <c r="X1061" s="72" t="inlineStr">
        <is>
          <t>PL RENATO PARC 01/03 - KEILA</t>
        </is>
      </c>
      <c r="Z1061" s="59">
        <f>IF($T1061="","",IFERROR(INDEX('Resumo Grupos'!$AC$3:$AC$200,MATCH($T1061,'Resumo Grupos'!$AB$3:$AB$200,0)),"n/d"))</f>
        <v/>
      </c>
      <c r="AA1061" s="59">
        <f>IF($T1061="","",IF(COUNTIF('Resumo Grupos'!$AE$3:$AE$40,$T1061)&gt;0,"NAO","SIM"))</f>
        <v/>
      </c>
    </row>
    <row r="1062" ht="45.75" customHeight="1" s="60">
      <c r="A1062" s="70" t="n">
        <v>1</v>
      </c>
      <c r="B1062" s="71" t="n">
        <v>46175</v>
      </c>
      <c r="C1062" s="71" t="n">
        <v>46213</v>
      </c>
      <c r="D1062" s="70" t="n">
        <v>1758</v>
      </c>
      <c r="E1062" s="72" t="inlineStr">
        <is>
          <t>DESPESA OPER LOJA</t>
        </is>
      </c>
      <c r="F1062" s="70" t="n">
        <v>46</v>
      </c>
      <c r="G1062" s="72" t="inlineStr">
        <is>
          <t>Cartao Sant 1 Velho 9336 venc 10</t>
        </is>
      </c>
      <c r="H1062" s="70" t="n">
        <v>1110202</v>
      </c>
      <c r="I1062" s="72" t="inlineStr">
        <is>
          <t>BANCO ITAU Lj 01</t>
        </is>
      </c>
      <c r="J1062" s="70" t="n">
        <v>1378338</v>
      </c>
      <c r="L1062" s="70" t="n">
        <v>206</v>
      </c>
      <c r="M1062" s="72" t="inlineStr">
        <is>
          <t>01</t>
        </is>
      </c>
      <c r="N1062" s="72" t="inlineStr">
        <is>
          <t>AVU</t>
        </is>
      </c>
      <c r="P1062" s="70" t="n">
        <v>101</v>
      </c>
      <c r="Q1062" s="72" t="inlineStr">
        <is>
          <t>KEILA LIMA</t>
        </is>
      </c>
      <c r="R1062" s="72" t="inlineStr">
        <is>
          <t>DESPESAS OPERACIONAIS</t>
        </is>
      </c>
      <c r="S1062" s="70" t="n">
        <v>4210212</v>
      </c>
      <c r="T1062" s="72" t="inlineStr">
        <is>
          <t>GRAFICAS E IMPRESSOS</t>
        </is>
      </c>
      <c r="U1062" s="73" t="n">
        <v>150</v>
      </c>
      <c r="W1062" s="73" t="n">
        <v>0</v>
      </c>
      <c r="X1062" s="72" t="inlineStr">
        <is>
          <t>ADESIVO MOTO MO1 - KEILA</t>
        </is>
      </c>
      <c r="Z1062" s="59">
        <f>IF($T1062="","",IFERROR(INDEX('Resumo Grupos'!$AC$3:$AC$200,MATCH($T1062,'Resumo Grupos'!$AB$3:$AB$200,0)),"n/d"))</f>
        <v/>
      </c>
      <c r="AA1062" s="59">
        <f>IF($T1062="","",IF(COUNTIF('Resumo Grupos'!$AE$3:$AE$40,$T1062)&gt;0,"NAO","SIM"))</f>
        <v/>
      </c>
    </row>
    <row r="1063" ht="72.75" customHeight="1" s="60">
      <c r="A1063" s="70" t="n">
        <v>1</v>
      </c>
      <c r="B1063" s="71" t="n">
        <v>46213</v>
      </c>
      <c r="C1063" s="71" t="n">
        <v>46213</v>
      </c>
      <c r="D1063" s="70" t="n">
        <v>10035</v>
      </c>
      <c r="E1063" s="72" t="inlineStr">
        <is>
          <t>J W N DOS SANTOS</t>
        </is>
      </c>
      <c r="F1063" s="70" t="n">
        <v>13</v>
      </c>
      <c r="G1063" s="72" t="inlineStr">
        <is>
          <t>Compra a Vista</t>
        </is>
      </c>
      <c r="H1063" s="70" t="n">
        <v>2110101</v>
      </c>
      <c r="I1063" s="72" t="inlineStr">
        <is>
          <t>FORNECEDORES DE MERCADORIA</t>
        </is>
      </c>
      <c r="J1063" s="70" t="n">
        <v>1381767</v>
      </c>
      <c r="L1063" s="70" t="n">
        <v>352</v>
      </c>
      <c r="M1063" s="72" t="inlineStr">
        <is>
          <t>01</t>
        </is>
      </c>
      <c r="N1063" s="72" t="inlineStr">
        <is>
          <t>NFE</t>
        </is>
      </c>
      <c r="P1063" s="70" t="n">
        <v>104</v>
      </c>
      <c r="Q1063" s="72" t="inlineStr">
        <is>
          <t>DEBORA COSTA</t>
        </is>
      </c>
      <c r="R1063" s="72" t="inlineStr">
        <is>
          <t>ESTOQUE DE MERCADORIAS</t>
        </is>
      </c>
      <c r="S1063" s="70" t="n">
        <v>1130101</v>
      </c>
      <c r="T1063" s="72" t="inlineStr">
        <is>
          <t>MERCADORIAS P/REVENDA</t>
        </is>
      </c>
      <c r="U1063" s="73" t="n">
        <v>450</v>
      </c>
      <c r="W1063" s="73" t="n">
        <v>0</v>
      </c>
      <c r="X1063" s="72" t="inlineStr">
        <is>
          <t>NF 352 - DEBORA</t>
        </is>
      </c>
      <c r="Z1063" s="59">
        <f>IF($T1063="","",IFERROR(INDEX('Resumo Grupos'!$AC$3:$AC$200,MATCH($T1063,'Resumo Grupos'!$AB$3:$AB$200,0)),"n/d"))</f>
        <v/>
      </c>
      <c r="AA1063" s="59">
        <f>IF($T1063="","",IF(COUNTIF('Resumo Grupos'!$AE$3:$AE$40,$T1063)&gt;0,"NAO","SIM"))</f>
        <v/>
      </c>
    </row>
    <row r="1064" ht="72.75" customHeight="1" s="60">
      <c r="A1064" s="70" t="n">
        <v>1</v>
      </c>
      <c r="B1064" s="71" t="n">
        <v>46169</v>
      </c>
      <c r="C1064" s="71" t="n">
        <v>46213</v>
      </c>
      <c r="D1064" s="70" t="n">
        <v>546</v>
      </c>
      <c r="E1064" s="72" t="inlineStr">
        <is>
          <t xml:space="preserve">IMPERIO FESTAS MIX </t>
        </is>
      </c>
      <c r="F1064" s="70" t="n">
        <v>46</v>
      </c>
      <c r="G1064" s="72" t="inlineStr">
        <is>
          <t>Cartao Sant 1 Velho 9336 venc 10</t>
        </is>
      </c>
      <c r="H1064" s="70" t="n">
        <v>1110202</v>
      </c>
      <c r="I1064" s="72" t="inlineStr">
        <is>
          <t>BANCO ITAU Lj 01</t>
        </is>
      </c>
      <c r="J1064" s="70" t="n">
        <v>1381895</v>
      </c>
      <c r="L1064" s="70" t="n">
        <v>570329</v>
      </c>
      <c r="M1064" s="72" t="inlineStr">
        <is>
          <t>01</t>
        </is>
      </c>
      <c r="N1064" s="72" t="inlineStr">
        <is>
          <t>AVU</t>
        </is>
      </c>
      <c r="P1064" s="70" t="n">
        <v>101</v>
      </c>
      <c r="Q1064" s="72" t="inlineStr">
        <is>
          <t>KEILA LIMA</t>
        </is>
      </c>
      <c r="R1064" s="72" t="inlineStr">
        <is>
          <t>DESPESAS OPERACIONAIS</t>
        </is>
      </c>
      <c r="S1064" s="70" t="n">
        <v>4210227</v>
      </c>
      <c r="T1064" s="72" t="inlineStr">
        <is>
          <t>DESPESAS LOJA</t>
        </is>
      </c>
      <c r="U1064" s="73" t="n">
        <v>208.9</v>
      </c>
      <c r="W1064" s="73" t="n">
        <v>0</v>
      </c>
      <c r="X1064" s="72" t="inlineStr">
        <is>
          <t>DESPESA DECORACAO LOJA COPA - KEILA</t>
        </is>
      </c>
      <c r="Z1064" s="59">
        <f>IF($T1064="","",IFERROR(INDEX('Resumo Grupos'!$AC$3:$AC$200,MATCH($T1064,'Resumo Grupos'!$AB$3:$AB$200,0)),"n/d"))</f>
        <v/>
      </c>
      <c r="AA1064" s="59">
        <f>IF($T1064="","",IF(COUNTIF('Resumo Grupos'!$AE$3:$AE$40,$T1064)&gt;0,"NAO","SIM"))</f>
        <v/>
      </c>
    </row>
    <row r="1065" ht="72.75" customHeight="1" s="60">
      <c r="A1065" s="70" t="n">
        <v>1</v>
      </c>
      <c r="B1065" s="71" t="n">
        <v>46169</v>
      </c>
      <c r="C1065" s="71" t="n">
        <v>46213</v>
      </c>
      <c r="D1065" s="70" t="n">
        <v>1331</v>
      </c>
      <c r="E1065" s="72" t="inlineStr">
        <is>
          <t>POSTO TIRADENTES</t>
        </is>
      </c>
      <c r="F1065" s="70" t="n">
        <v>46</v>
      </c>
      <c r="G1065" s="72" t="inlineStr">
        <is>
          <t>Cartao Sant 1 Velho 9336 venc 10</t>
        </is>
      </c>
      <c r="H1065" s="70" t="n">
        <v>1110202</v>
      </c>
      <c r="I1065" s="72" t="inlineStr">
        <is>
          <t>BANCO ITAU Lj 01</t>
        </is>
      </c>
      <c r="J1065" s="70" t="n">
        <v>1381903</v>
      </c>
      <c r="L1065" s="70" t="n">
        <v>570333</v>
      </c>
      <c r="M1065" s="72" t="inlineStr">
        <is>
          <t>01</t>
        </is>
      </c>
      <c r="N1065" s="72" t="inlineStr">
        <is>
          <t>AVU</t>
        </is>
      </c>
      <c r="P1065" s="70" t="n">
        <v>101</v>
      </c>
      <c r="Q1065" s="72" t="inlineStr">
        <is>
          <t>KEILA LIMA</t>
        </is>
      </c>
      <c r="R1065" s="72" t="inlineStr">
        <is>
          <t>DESPESAS OPERACIONAIS</t>
        </is>
      </c>
      <c r="S1065" s="70" t="n">
        <v>4210209</v>
      </c>
      <c r="T1065" s="72" t="inlineStr">
        <is>
          <t>COMBUSTIVEIS</t>
        </is>
      </c>
      <c r="U1065" s="73" t="n">
        <v>80.75</v>
      </c>
      <c r="W1065" s="73" t="n">
        <v>0</v>
      </c>
      <c r="X1065" s="72" t="inlineStr">
        <is>
          <t>GASOLINA MOTO MO1 - KEILA</t>
        </is>
      </c>
      <c r="Z1065" s="59">
        <f>IF($T1065="","",IFERROR(INDEX('Resumo Grupos'!$AC$3:$AC$200,MATCH($T1065,'Resumo Grupos'!$AB$3:$AB$200,0)),"n/d"))</f>
        <v/>
      </c>
      <c r="AA1065" s="59">
        <f>IF($T1065="","",IF(COUNTIF('Resumo Grupos'!$AE$3:$AE$40,$T1065)&gt;0,"NAO","SIM"))</f>
        <v/>
      </c>
    </row>
    <row r="1066" ht="36.75" customHeight="1" s="60">
      <c r="A1066" s="70" t="n">
        <v>1</v>
      </c>
      <c r="B1066" s="71" t="n">
        <v>46178</v>
      </c>
      <c r="C1066" s="71" t="n">
        <v>46213</v>
      </c>
      <c r="D1066" s="70" t="n">
        <v>1331</v>
      </c>
      <c r="E1066" s="72" t="inlineStr">
        <is>
          <t>POSTO TIRADENTES</t>
        </is>
      </c>
      <c r="F1066" s="70" t="n">
        <v>46</v>
      </c>
      <c r="G1066" s="72" t="inlineStr">
        <is>
          <t>Cartao Sant 1 Velho 9336 venc 10</t>
        </is>
      </c>
      <c r="H1066" s="70" t="n">
        <v>1110202</v>
      </c>
      <c r="I1066" s="72" t="inlineStr">
        <is>
          <t>BANCO ITAU Lj 01</t>
        </is>
      </c>
      <c r="J1066" s="70" t="n">
        <v>1381910</v>
      </c>
      <c r="L1066" s="70" t="n">
        <v>570337</v>
      </c>
      <c r="M1066" s="72" t="inlineStr">
        <is>
          <t>01</t>
        </is>
      </c>
      <c r="N1066" s="72" t="inlineStr">
        <is>
          <t>AVU</t>
        </is>
      </c>
      <c r="P1066" s="70" t="n">
        <v>101</v>
      </c>
      <c r="Q1066" s="72" t="inlineStr">
        <is>
          <t>KEILA LIMA</t>
        </is>
      </c>
      <c r="R1066" s="72" t="inlineStr">
        <is>
          <t>DESPESAS OPERACIONAIS</t>
        </is>
      </c>
      <c r="S1066" s="70" t="n">
        <v>4210209</v>
      </c>
      <c r="T1066" s="72" t="inlineStr">
        <is>
          <t>COMBUSTIVEIS</t>
        </is>
      </c>
      <c r="U1066" s="73" t="n">
        <v>100.02</v>
      </c>
      <c r="W1066" s="73" t="n">
        <v>0</v>
      </c>
      <c r="X1066" s="72" t="inlineStr">
        <is>
          <t>GASOLINA MOTO MO1 - KEILA</t>
        </is>
      </c>
      <c r="Z1066" s="59">
        <f>IF($T1066="","",IFERROR(INDEX('Resumo Grupos'!$AC$3:$AC$200,MATCH($T1066,'Resumo Grupos'!$AB$3:$AB$200,0)),"n/d"))</f>
        <v/>
      </c>
      <c r="AA1066" s="59">
        <f>IF($T1066="","",IF(COUNTIF('Resumo Grupos'!$AE$3:$AE$40,$T1066)&gt;0,"NAO","SIM"))</f>
        <v/>
      </c>
    </row>
    <row r="1067" ht="36.75" customHeight="1" s="60">
      <c r="A1067" s="70" t="n">
        <v>1</v>
      </c>
      <c r="B1067" s="71" t="n">
        <v>46178</v>
      </c>
      <c r="C1067" s="71" t="n">
        <v>46213</v>
      </c>
      <c r="D1067" s="70" t="n">
        <v>1331</v>
      </c>
      <c r="E1067" s="72" t="inlineStr">
        <is>
          <t>POSTO TIRADENTES</t>
        </is>
      </c>
      <c r="F1067" s="70" t="n">
        <v>46</v>
      </c>
      <c r="G1067" s="72" t="inlineStr">
        <is>
          <t>Cartao Sant 1 Velho 9336 venc 10</t>
        </is>
      </c>
      <c r="H1067" s="70" t="n">
        <v>1110202</v>
      </c>
      <c r="I1067" s="72" t="inlineStr">
        <is>
          <t>BANCO ITAU Lj 01</t>
        </is>
      </c>
      <c r="J1067" s="70" t="n">
        <v>1381916</v>
      </c>
      <c r="L1067" s="70" t="n">
        <v>570339</v>
      </c>
      <c r="M1067" s="72" t="inlineStr">
        <is>
          <t>01</t>
        </is>
      </c>
      <c r="N1067" s="72" t="inlineStr">
        <is>
          <t>AVU</t>
        </is>
      </c>
      <c r="P1067" s="70" t="n">
        <v>101</v>
      </c>
      <c r="Q1067" s="72" t="inlineStr">
        <is>
          <t>KEILA LIMA</t>
        </is>
      </c>
      <c r="R1067" s="72" t="inlineStr">
        <is>
          <t>DESPESAS OPERACIONAIS</t>
        </is>
      </c>
      <c r="S1067" s="70" t="n">
        <v>4210209</v>
      </c>
      <c r="T1067" s="72" t="inlineStr">
        <is>
          <t>COMBUSTIVEIS</t>
        </is>
      </c>
      <c r="U1067" s="73" t="n">
        <v>74.64</v>
      </c>
      <c r="W1067" s="73" t="n">
        <v>0</v>
      </c>
      <c r="X1067" s="72" t="inlineStr">
        <is>
          <t>GASOLINA MOTO MO1 - KEILA</t>
        </is>
      </c>
      <c r="Z1067" s="59">
        <f>IF($T1067="","",IFERROR(INDEX('Resumo Grupos'!$AC$3:$AC$200,MATCH($T1067,'Resumo Grupos'!$AB$3:$AB$200,0)),"n/d"))</f>
        <v/>
      </c>
      <c r="AA1067" s="59">
        <f>IF($T1067="","",IF(COUNTIF('Resumo Grupos'!$AE$3:$AE$40,$T1067)&gt;0,"NAO","SIM"))</f>
        <v/>
      </c>
    </row>
    <row r="1068" ht="54.75" customHeight="1" s="60">
      <c r="A1068" s="70" t="n">
        <v>1</v>
      </c>
      <c r="B1068" s="71" t="n">
        <v>46183</v>
      </c>
      <c r="C1068" s="71" t="n">
        <v>46213</v>
      </c>
      <c r="D1068" s="70" t="n">
        <v>1105</v>
      </c>
      <c r="E1068" s="72" t="inlineStr">
        <is>
          <t xml:space="preserve">LEO MOTO PECAS </t>
        </is>
      </c>
      <c r="F1068" s="70" t="n">
        <v>46</v>
      </c>
      <c r="G1068" s="72" t="inlineStr">
        <is>
          <t>Cartao Sant 1 Velho 9336 venc 10</t>
        </is>
      </c>
      <c r="H1068" s="70" t="n">
        <v>1110202</v>
      </c>
      <c r="I1068" s="72" t="inlineStr">
        <is>
          <t>BANCO ITAU Lj 01</t>
        </is>
      </c>
      <c r="J1068" s="70" t="n">
        <v>1381930</v>
      </c>
      <c r="L1068" s="70" t="n">
        <v>570345</v>
      </c>
      <c r="M1068" s="72" t="inlineStr">
        <is>
          <t>01</t>
        </is>
      </c>
      <c r="N1068" s="72" t="inlineStr">
        <is>
          <t>AVU</t>
        </is>
      </c>
      <c r="P1068" s="70" t="n">
        <v>101</v>
      </c>
      <c r="Q1068" s="72" t="inlineStr">
        <is>
          <t>KEILA LIMA</t>
        </is>
      </c>
      <c r="R1068" s="72" t="inlineStr">
        <is>
          <t>DESPESAS OPERACIONAIS</t>
        </is>
      </c>
      <c r="S1068" s="70" t="n">
        <v>4210208</v>
      </c>
      <c r="T1068" s="72" t="inlineStr">
        <is>
          <t>MANUTENCAO VEICULOS</t>
        </is>
      </c>
      <c r="U1068" s="73" t="n">
        <v>25</v>
      </c>
      <c r="W1068" s="73" t="n">
        <v>0</v>
      </c>
      <c r="X1068" s="72" t="inlineStr">
        <is>
          <t>CORRENTE  MOTO MO1 - KEILA</t>
        </is>
      </c>
      <c r="Z1068" s="59">
        <f>IF($T1068="","",IFERROR(INDEX('Resumo Grupos'!$AC$3:$AC$200,MATCH($T1068,'Resumo Grupos'!$AB$3:$AB$200,0)),"n/d"))</f>
        <v/>
      </c>
      <c r="AA1068" s="59">
        <f>IF($T1068="","",IF(COUNTIF('Resumo Grupos'!$AE$3:$AE$40,$T1068)&gt;0,"NAO","SIM"))</f>
        <v/>
      </c>
    </row>
    <row r="1069" ht="54.75" customHeight="1" s="60">
      <c r="A1069" s="70" t="n">
        <v>1</v>
      </c>
      <c r="B1069" s="71" t="n">
        <v>46183</v>
      </c>
      <c r="C1069" s="71" t="n">
        <v>46213</v>
      </c>
      <c r="D1069" s="70" t="n">
        <v>1832</v>
      </c>
      <c r="E1069" s="72" t="inlineStr">
        <is>
          <t>RCR RIBEIRO ME</t>
        </is>
      </c>
      <c r="F1069" s="70" t="n">
        <v>46</v>
      </c>
      <c r="G1069" s="72" t="inlineStr">
        <is>
          <t>Cartao Sant 1 Velho 9336 venc 10</t>
        </is>
      </c>
      <c r="H1069" s="70" t="n">
        <v>1110202</v>
      </c>
      <c r="I1069" s="72" t="inlineStr">
        <is>
          <t>BANCO ITAU Lj 01</t>
        </is>
      </c>
      <c r="J1069" s="70" t="n">
        <v>1381942</v>
      </c>
      <c r="L1069" s="70" t="n">
        <v>570354</v>
      </c>
      <c r="M1069" s="72" t="inlineStr">
        <is>
          <t>01</t>
        </is>
      </c>
      <c r="N1069" s="72" t="inlineStr">
        <is>
          <t>AVU</t>
        </is>
      </c>
      <c r="P1069" s="70" t="n">
        <v>101</v>
      </c>
      <c r="Q1069" s="72" t="inlineStr">
        <is>
          <t>KEILA LIMA</t>
        </is>
      </c>
      <c r="R1069" s="72" t="inlineStr">
        <is>
          <t>DESPESAS OPERACIONAIS</t>
        </is>
      </c>
      <c r="S1069" s="70" t="n">
        <v>4210228</v>
      </c>
      <c r="T1069" s="72" t="inlineStr">
        <is>
          <t>DESPESAS PADARIA</t>
        </is>
      </c>
      <c r="U1069" s="73" t="n">
        <v>8</v>
      </c>
      <c r="W1069" s="73" t="n">
        <v>0</v>
      </c>
      <c r="X1069" s="72" t="inlineStr">
        <is>
          <t>MATERIAL DECORACAO COPA LOJA - KEILA</t>
        </is>
      </c>
      <c r="Z1069" s="59">
        <f>IF($T1069="","",IFERROR(INDEX('Resumo Grupos'!$AC$3:$AC$200,MATCH($T1069,'Resumo Grupos'!$AB$3:$AB$200,0)),"n/d"))</f>
        <v/>
      </c>
      <c r="AA1069" s="59">
        <f>IF($T1069="","",IF(COUNTIF('Resumo Grupos'!$AE$3:$AE$40,$T1069)&gt;0,"NAO","SIM"))</f>
        <v/>
      </c>
    </row>
    <row r="1070" ht="54.75" customHeight="1" s="60">
      <c r="A1070" s="70" t="n">
        <v>1</v>
      </c>
      <c r="B1070" s="71" t="n">
        <v>46184</v>
      </c>
      <c r="C1070" s="71" t="n">
        <v>46213</v>
      </c>
      <c r="D1070" s="70" t="n">
        <v>1134</v>
      </c>
      <c r="E1070" s="72" t="inlineStr">
        <is>
          <t>BEIJA FLOR</t>
        </is>
      </c>
      <c r="F1070" s="70" t="n">
        <v>46</v>
      </c>
      <c r="G1070" s="72" t="inlineStr">
        <is>
          <t>Cartao Sant 1 Velho 9336 venc 10</t>
        </is>
      </c>
      <c r="H1070" s="70" t="n">
        <v>1110202</v>
      </c>
      <c r="I1070" s="72" t="inlineStr">
        <is>
          <t>BANCO ITAU Lj 01</t>
        </is>
      </c>
      <c r="J1070" s="70" t="n">
        <v>1381951</v>
      </c>
      <c r="L1070" s="70" t="n">
        <v>570356</v>
      </c>
      <c r="M1070" s="72" t="inlineStr">
        <is>
          <t>01</t>
        </is>
      </c>
      <c r="N1070" s="72" t="inlineStr">
        <is>
          <t>AVU</t>
        </is>
      </c>
      <c r="P1070" s="70" t="n">
        <v>101</v>
      </c>
      <c r="Q1070" s="72" t="inlineStr">
        <is>
          <t>KEILA LIMA</t>
        </is>
      </c>
      <c r="R1070" s="72" t="inlineStr">
        <is>
          <t>DESPESAS OPERACIONAIS</t>
        </is>
      </c>
      <c r="S1070" s="70" t="n">
        <v>4210227</v>
      </c>
      <c r="T1070" s="72" t="inlineStr">
        <is>
          <t>DESPESAS LOJA</t>
        </is>
      </c>
      <c r="U1070" s="73" t="n">
        <v>8.800000000000001</v>
      </c>
      <c r="W1070" s="73" t="n">
        <v>0</v>
      </c>
      <c r="X1070" s="72" t="inlineStr">
        <is>
          <t>DESPESA LOJA COPA MO1 - KEILA</t>
        </is>
      </c>
      <c r="Z1070" s="59">
        <f>IF($T1070="","",IFERROR(INDEX('Resumo Grupos'!$AC$3:$AC$200,MATCH($T1070,'Resumo Grupos'!$AB$3:$AB$200,0)),"n/d"))</f>
        <v/>
      </c>
      <c r="AA1070" s="59">
        <f>IF($T1070="","",IF(COUNTIF('Resumo Grupos'!$AE$3:$AE$40,$T1070)&gt;0,"NAO","SIM"))</f>
        <v/>
      </c>
    </row>
    <row r="1071" ht="54.75" customHeight="1" s="60">
      <c r="A1071" s="70" t="n">
        <v>1</v>
      </c>
      <c r="B1071" s="71" t="n">
        <v>46185</v>
      </c>
      <c r="C1071" s="71" t="n">
        <v>46213</v>
      </c>
      <c r="D1071" s="70" t="n">
        <v>1331</v>
      </c>
      <c r="E1071" s="72" t="inlineStr">
        <is>
          <t>POSTO TIRADENTES</t>
        </is>
      </c>
      <c r="F1071" s="70" t="n">
        <v>46</v>
      </c>
      <c r="G1071" s="72" t="inlineStr">
        <is>
          <t>Cartao Sant 1 Velho 9336 venc 10</t>
        </is>
      </c>
      <c r="H1071" s="70" t="n">
        <v>1110202</v>
      </c>
      <c r="I1071" s="72" t="inlineStr">
        <is>
          <t>BANCO ITAU Lj 01</t>
        </is>
      </c>
      <c r="J1071" s="70" t="n">
        <v>1381953</v>
      </c>
      <c r="L1071" s="70" t="n">
        <v>570357</v>
      </c>
      <c r="M1071" s="72" t="inlineStr">
        <is>
          <t>01</t>
        </is>
      </c>
      <c r="N1071" s="72" t="inlineStr">
        <is>
          <t>AVU</t>
        </is>
      </c>
      <c r="P1071" s="70" t="n">
        <v>101</v>
      </c>
      <c r="Q1071" s="72" t="inlineStr">
        <is>
          <t>KEILA LIMA</t>
        </is>
      </c>
      <c r="R1071" s="72" t="inlineStr">
        <is>
          <t>DESPESAS OPERACIONAIS</t>
        </is>
      </c>
      <c r="S1071" s="70" t="n">
        <v>4210209</v>
      </c>
      <c r="T1071" s="72" t="inlineStr">
        <is>
          <t>COMBUSTIVEIS</t>
        </is>
      </c>
      <c r="U1071" s="73" t="n">
        <v>70.22</v>
      </c>
      <c r="W1071" s="73" t="n">
        <v>0</v>
      </c>
      <c r="X1071" s="72" t="inlineStr">
        <is>
          <t>GASOLINA MOTO MO1 - KEILA</t>
        </is>
      </c>
      <c r="Z1071" s="59">
        <f>IF($T1071="","",IFERROR(INDEX('Resumo Grupos'!$AC$3:$AC$200,MATCH($T1071,'Resumo Grupos'!$AB$3:$AB$200,0)),"n/d"))</f>
        <v/>
      </c>
      <c r="AA1071" s="59">
        <f>IF($T1071="","",IF(COUNTIF('Resumo Grupos'!$AE$3:$AE$40,$T1071)&gt;0,"NAO","SIM"))</f>
        <v/>
      </c>
    </row>
    <row r="1072" ht="45.75" customHeight="1" s="60">
      <c r="A1072" s="70" t="n">
        <v>1</v>
      </c>
      <c r="B1072" s="71" t="n">
        <v>46192</v>
      </c>
      <c r="C1072" s="71" t="n">
        <v>46213</v>
      </c>
      <c r="D1072" s="70" t="n">
        <v>1331</v>
      </c>
      <c r="E1072" s="72" t="inlineStr">
        <is>
          <t>POSTO TIRADENTES</t>
        </is>
      </c>
      <c r="F1072" s="70" t="n">
        <v>46</v>
      </c>
      <c r="G1072" s="72" t="inlineStr">
        <is>
          <t>Cartao Sant 1 Velho 9336 venc 10</t>
        </is>
      </c>
      <c r="H1072" s="70" t="n">
        <v>1110202</v>
      </c>
      <c r="I1072" s="72" t="inlineStr">
        <is>
          <t>BANCO ITAU Lj 01</t>
        </is>
      </c>
      <c r="J1072" s="70" t="n">
        <v>1381954</v>
      </c>
      <c r="L1072" s="70" t="n">
        <v>570358</v>
      </c>
      <c r="M1072" s="72" t="inlineStr">
        <is>
          <t>01</t>
        </is>
      </c>
      <c r="N1072" s="72" t="inlineStr">
        <is>
          <t>AVU</t>
        </is>
      </c>
      <c r="P1072" s="70" t="n">
        <v>101</v>
      </c>
      <c r="Q1072" s="72" t="inlineStr">
        <is>
          <t>KEILA LIMA</t>
        </is>
      </c>
      <c r="R1072" s="72" t="inlineStr">
        <is>
          <t>DESPESAS OPERACIONAIS</t>
        </is>
      </c>
      <c r="S1072" s="70" t="n">
        <v>4210209</v>
      </c>
      <c r="T1072" s="72" t="inlineStr">
        <is>
          <t>COMBUSTIVEIS</t>
        </is>
      </c>
      <c r="U1072" s="73" t="n">
        <v>74.48</v>
      </c>
      <c r="W1072" s="73" t="n">
        <v>0</v>
      </c>
      <c r="X1072" s="72" t="inlineStr">
        <is>
          <t>GASOLINA MOTO MO1 - KEILA</t>
        </is>
      </c>
      <c r="Z1072" s="59">
        <f>IF($T1072="","",IFERROR(INDEX('Resumo Grupos'!$AC$3:$AC$200,MATCH($T1072,'Resumo Grupos'!$AB$3:$AB$200,0)),"n/d"))</f>
        <v/>
      </c>
      <c r="AA1072" s="59">
        <f>IF($T1072="","",IF(COUNTIF('Resumo Grupos'!$AE$3:$AE$40,$T1072)&gt;0,"NAO","SIM"))</f>
        <v/>
      </c>
    </row>
    <row r="1073" ht="45.75" customHeight="1" s="60">
      <c r="A1073" s="70" t="n">
        <v>1</v>
      </c>
      <c r="B1073" s="71" t="n">
        <v>46198</v>
      </c>
      <c r="C1073" s="71" t="n">
        <v>46213</v>
      </c>
      <c r="D1073" s="70" t="n">
        <v>1006</v>
      </c>
      <c r="E1073" s="72" t="inlineStr">
        <is>
          <t xml:space="preserve">MERCADINHO LELIENE </t>
        </is>
      </c>
      <c r="F1073" s="70" t="n">
        <v>46</v>
      </c>
      <c r="G1073" s="72" t="inlineStr">
        <is>
          <t>Cartao Sant 1 Velho 9336 venc 10</t>
        </is>
      </c>
      <c r="H1073" s="70" t="n">
        <v>1110202</v>
      </c>
      <c r="I1073" s="72" t="inlineStr">
        <is>
          <t>BANCO ITAU Lj 01</t>
        </is>
      </c>
      <c r="J1073" s="70" t="n">
        <v>1381960</v>
      </c>
      <c r="L1073" s="70" t="n">
        <v>570360</v>
      </c>
      <c r="M1073" s="72" t="inlineStr">
        <is>
          <t>01</t>
        </is>
      </c>
      <c r="N1073" s="72" t="inlineStr">
        <is>
          <t>AVU</t>
        </is>
      </c>
      <c r="P1073" s="70" t="n">
        <v>101</v>
      </c>
      <c r="Q1073" s="72" t="inlineStr">
        <is>
          <t>KEILA LIMA</t>
        </is>
      </c>
      <c r="R1073" s="72" t="inlineStr">
        <is>
          <t>DESPESAS OPERACIONAIS</t>
        </is>
      </c>
      <c r="S1073" s="70" t="n">
        <v>4210226</v>
      </c>
      <c r="T1073" s="72" t="inlineStr">
        <is>
          <t>DESPESAS ESCRITORIO</t>
        </is>
      </c>
      <c r="U1073" s="73" t="n">
        <v>10</v>
      </c>
      <c r="W1073" s="73" t="n">
        <v>0</v>
      </c>
      <c r="X1073" s="72" t="inlineStr">
        <is>
          <t>DESPESA COMPRA DE GRAMPOS - KEILA</t>
        </is>
      </c>
      <c r="Z1073" s="59">
        <f>IF($T1073="","",IFERROR(INDEX('Resumo Grupos'!$AC$3:$AC$200,MATCH($T1073,'Resumo Grupos'!$AB$3:$AB$200,0)),"n/d"))</f>
        <v/>
      </c>
      <c r="AA1073" s="59">
        <f>IF($T1073="","",IF(COUNTIF('Resumo Grupos'!$AE$3:$AE$40,$T1073)&gt;0,"NAO","SIM"))</f>
        <v/>
      </c>
    </row>
    <row r="1074" ht="45.75" customHeight="1" s="60">
      <c r="A1074" s="70" t="n">
        <v>1</v>
      </c>
      <c r="B1074" s="71" t="n">
        <v>46199</v>
      </c>
      <c r="C1074" s="71" t="n">
        <v>46213</v>
      </c>
      <c r="D1074" s="70" t="n">
        <v>1331</v>
      </c>
      <c r="E1074" s="72" t="inlineStr">
        <is>
          <t>POSTO TIRADENTES</t>
        </is>
      </c>
      <c r="F1074" s="70" t="n">
        <v>46</v>
      </c>
      <c r="G1074" s="72" t="inlineStr">
        <is>
          <t>Cartao Sant 1 Velho 9336 venc 10</t>
        </is>
      </c>
      <c r="H1074" s="70" t="n">
        <v>1110202</v>
      </c>
      <c r="I1074" s="72" t="inlineStr">
        <is>
          <t>BANCO ITAU Lj 01</t>
        </is>
      </c>
      <c r="J1074" s="70" t="n">
        <v>1381964</v>
      </c>
      <c r="L1074" s="70" t="n">
        <v>570363</v>
      </c>
      <c r="M1074" s="72" t="inlineStr">
        <is>
          <t>01</t>
        </is>
      </c>
      <c r="N1074" s="72" t="inlineStr">
        <is>
          <t>AVU</t>
        </is>
      </c>
      <c r="P1074" s="70" t="n">
        <v>101</v>
      </c>
      <c r="Q1074" s="72" t="inlineStr">
        <is>
          <t>KEILA LIMA</t>
        </is>
      </c>
      <c r="R1074" s="72" t="inlineStr">
        <is>
          <t>DESPESAS OPERACIONAIS</t>
        </is>
      </c>
      <c r="S1074" s="70" t="n">
        <v>4210209</v>
      </c>
      <c r="T1074" s="72" t="inlineStr">
        <is>
          <t>COMBUSTIVEIS</t>
        </is>
      </c>
      <c r="U1074" s="73" t="n">
        <v>66.14</v>
      </c>
      <c r="W1074" s="73" t="n">
        <v>0</v>
      </c>
      <c r="X1074" s="72" t="inlineStr">
        <is>
          <t>GASOLINA MOTO MO1 - KEILA</t>
        </is>
      </c>
      <c r="Z1074" s="59">
        <f>IF($T1074="","",IFERROR(INDEX('Resumo Grupos'!$AC$3:$AC$200,MATCH($T1074,'Resumo Grupos'!$AB$3:$AB$200,0)),"n/d"))</f>
        <v/>
      </c>
      <c r="AA1074" s="59">
        <f>IF($T1074="","",IF(COUNTIF('Resumo Grupos'!$AE$3:$AE$40,$T1074)&gt;0,"NAO","SIM"))</f>
        <v/>
      </c>
    </row>
    <row r="1075" ht="45.75" customHeight="1" s="60">
      <c r="A1075" s="70" t="n">
        <v>1</v>
      </c>
      <c r="B1075" s="71" t="n">
        <v>46171</v>
      </c>
      <c r="C1075" s="71" t="n">
        <v>46213</v>
      </c>
      <c r="D1075" s="70" t="n">
        <v>546</v>
      </c>
      <c r="E1075" s="72" t="inlineStr">
        <is>
          <t xml:space="preserve">IMPERIO FESTAS MIX </t>
        </is>
      </c>
      <c r="F1075" s="70" t="n">
        <v>46</v>
      </c>
      <c r="G1075" s="72" t="inlineStr">
        <is>
          <t>Cartao Sant 1 Velho 9336 venc 10</t>
        </is>
      </c>
      <c r="H1075" s="70" t="n">
        <v>1110202</v>
      </c>
      <c r="I1075" s="72" t="inlineStr">
        <is>
          <t>BANCO ITAU Lj 01</t>
        </is>
      </c>
      <c r="J1075" s="70" t="n">
        <v>1381978</v>
      </c>
      <c r="L1075" s="70" t="n">
        <v>570365</v>
      </c>
      <c r="M1075" s="72" t="inlineStr">
        <is>
          <t>01</t>
        </is>
      </c>
      <c r="N1075" s="72" t="inlineStr">
        <is>
          <t>AVU</t>
        </is>
      </c>
      <c r="P1075" s="70" t="n">
        <v>101</v>
      </c>
      <c r="Q1075" s="72" t="inlineStr">
        <is>
          <t>KEILA LIMA</t>
        </is>
      </c>
      <c r="R1075" s="72" t="inlineStr">
        <is>
          <t>DESPESAS OPERACIONAIS</t>
        </is>
      </c>
      <c r="S1075" s="70" t="n">
        <v>4210228</v>
      </c>
      <c r="T1075" s="72" t="inlineStr">
        <is>
          <t>DESPESAS PADARIA</t>
        </is>
      </c>
      <c r="U1075" s="73" t="n">
        <v>150</v>
      </c>
      <c r="W1075" s="73" t="n">
        <v>0</v>
      </c>
      <c r="X1075" s="72" t="inlineStr">
        <is>
          <t>MATERIAL DECORACAO PADARIA MO1 - KEILA</t>
        </is>
      </c>
      <c r="Z1075" s="59">
        <f>IF($T1075="","",IFERROR(INDEX('Resumo Grupos'!$AC$3:$AC$200,MATCH($T1075,'Resumo Grupos'!$AB$3:$AB$200,0)),"n/d"))</f>
        <v/>
      </c>
      <c r="AA1075" s="59">
        <f>IF($T1075="","",IF(COUNTIF('Resumo Grupos'!$AE$3:$AE$40,$T1075)&gt;0,"NAO","SIM"))</f>
        <v/>
      </c>
    </row>
    <row r="1076" ht="45.75" customHeight="1" s="60">
      <c r="A1076" s="70" t="n">
        <v>1</v>
      </c>
      <c r="B1076" s="71" t="n">
        <v>46174</v>
      </c>
      <c r="C1076" s="71" t="n">
        <v>46213</v>
      </c>
      <c r="D1076" s="70" t="n">
        <v>1933</v>
      </c>
      <c r="E1076" s="72" t="inlineStr">
        <is>
          <t>NEY MATERIAL DE CONSTRUCAO</t>
        </is>
      </c>
      <c r="F1076" s="70" t="n">
        <v>46</v>
      </c>
      <c r="G1076" s="72" t="inlineStr">
        <is>
          <t>Cartao Sant 1 Velho 9336 venc 10</t>
        </is>
      </c>
      <c r="H1076" s="70" t="n">
        <v>2110405</v>
      </c>
      <c r="I1076" s="72" t="inlineStr">
        <is>
          <t>CONTAS A PAGAR</t>
        </is>
      </c>
      <c r="J1076" s="70" t="n">
        <v>1382032</v>
      </c>
      <c r="L1076" s="70" t="n">
        <v>570381</v>
      </c>
      <c r="M1076" s="72" t="inlineStr">
        <is>
          <t>01</t>
        </is>
      </c>
      <c r="N1076" s="72" t="inlineStr">
        <is>
          <t>AVU</t>
        </is>
      </c>
      <c r="P1076" s="70" t="n">
        <v>101</v>
      </c>
      <c r="Q1076" s="72" t="inlineStr">
        <is>
          <t>KEILA LIMA</t>
        </is>
      </c>
      <c r="R1076" s="72" t="inlineStr">
        <is>
          <t>DESPESAS NAO OPERACIONAIS</t>
        </is>
      </c>
      <c r="S1076" s="70" t="n">
        <v>4220199</v>
      </c>
      <c r="T1076" s="72" t="inlineStr">
        <is>
          <t>PAGAMENTOS OUTROS NAO OPERACIONAIS</t>
        </is>
      </c>
      <c r="U1076" s="73" t="n">
        <v>600</v>
      </c>
      <c r="W1076" s="73" t="n">
        <v>0</v>
      </c>
      <c r="X1076" s="72" t="inlineStr">
        <is>
          <t xml:space="preserve">OUTROS ANDERSON PARC 01/03 MATERIAL CONSTRUCAO </t>
        </is>
      </c>
      <c r="Z1076" s="59">
        <f>IF($T1076="","",IFERROR(INDEX('Resumo Grupos'!$AC$3:$AC$200,MATCH($T1076,'Resumo Grupos'!$AB$3:$AB$200,0)),"n/d"))</f>
        <v/>
      </c>
      <c r="AA1076" s="59">
        <f>IF($T1076="","",IF(COUNTIF('Resumo Grupos'!$AE$3:$AE$40,$T1076)&gt;0,"NAO","SIM"))</f>
        <v/>
      </c>
    </row>
    <row r="1077" ht="36.75" customHeight="1" s="60">
      <c r="A1077" s="70" t="n">
        <v>1</v>
      </c>
      <c r="B1077" s="71" t="n">
        <v>46202</v>
      </c>
      <c r="C1077" s="71" t="n">
        <v>46213</v>
      </c>
      <c r="D1077" s="70" t="n">
        <v>1779</v>
      </c>
      <c r="E1077" s="72" t="inlineStr">
        <is>
          <t>BANCO DO BRASIL SA</t>
        </is>
      </c>
      <c r="F1077" s="70" t="n">
        <v>37</v>
      </c>
      <c r="G1077" s="72" t="inlineStr">
        <is>
          <t>Cartao BB Novo 1088 Venc 10</t>
        </is>
      </c>
      <c r="H1077" s="70" t="n">
        <v>1110205</v>
      </c>
      <c r="I1077" s="72" t="inlineStr">
        <is>
          <t>BANCO BRASIL 01</t>
        </is>
      </c>
      <c r="J1077" s="70" t="n">
        <v>1382108</v>
      </c>
      <c r="L1077" s="70" t="n">
        <v>570394</v>
      </c>
      <c r="M1077" s="72" t="inlineStr">
        <is>
          <t>01</t>
        </is>
      </c>
      <c r="N1077" s="72" t="inlineStr">
        <is>
          <t>AVU</t>
        </is>
      </c>
      <c r="P1077" s="70" t="n">
        <v>101</v>
      </c>
      <c r="Q1077" s="72" t="inlineStr">
        <is>
          <t>KEILA LIMA</t>
        </is>
      </c>
      <c r="R1077" s="72" t="inlineStr">
        <is>
          <t>DESPESAS A APROPRIAR</t>
        </is>
      </c>
      <c r="S1077" s="70" t="n">
        <v>1140104</v>
      </c>
      <c r="T1077" s="72" t="inlineStr">
        <is>
          <t>CARTAO DE CREDITO - ANUIDADE</t>
        </is>
      </c>
      <c r="U1077" s="73" t="n">
        <v>16.83</v>
      </c>
      <c r="W1077" s="73" t="n">
        <v>0</v>
      </c>
      <c r="X1077" s="72" t="inlineStr">
        <is>
          <t>ANUIDADE CARTAO CREDI TO BB 1 NOVO - KEILA</t>
        </is>
      </c>
      <c r="Z1077" s="59">
        <f>IF($T1077="","",IFERROR(INDEX('Resumo Grupos'!$AC$3:$AC$200,MATCH($T1077,'Resumo Grupos'!$AB$3:$AB$200,0)),"n/d"))</f>
        <v/>
      </c>
      <c r="AA1077" s="59">
        <f>IF($T1077="","",IF(COUNTIF('Resumo Grupos'!$AE$3:$AE$40,$T1077)&gt;0,"NAO","SIM"))</f>
        <v/>
      </c>
    </row>
    <row r="1078" ht="36.75" customHeight="1" s="60">
      <c r="A1078" s="70" t="n">
        <v>1</v>
      </c>
      <c r="B1078" s="71" t="n">
        <v>46213</v>
      </c>
      <c r="C1078" s="71" t="n">
        <v>46213</v>
      </c>
      <c r="D1078" s="70" t="n">
        <v>1037</v>
      </c>
      <c r="E1078" s="72" t="inlineStr">
        <is>
          <t>FEIRA</t>
        </is>
      </c>
      <c r="F1078" s="70" t="n">
        <v>34</v>
      </c>
      <c r="G1078" s="72" t="inlineStr">
        <is>
          <t>Transferencia Pix</t>
        </is>
      </c>
      <c r="H1078" s="70" t="n">
        <v>1110202</v>
      </c>
      <c r="I1078" s="72" t="inlineStr">
        <is>
          <t>BANCO ITAU Lj 01</t>
        </is>
      </c>
      <c r="J1078" s="70" t="n">
        <v>1449094</v>
      </c>
      <c r="L1078" s="70" t="n">
        <v>596114</v>
      </c>
      <c r="M1078" s="72" t="inlineStr">
        <is>
          <t>01</t>
        </is>
      </c>
      <c r="N1078" s="72" t="inlineStr">
        <is>
          <t>AVU</t>
        </is>
      </c>
      <c r="P1078" s="70" t="n">
        <v>101</v>
      </c>
      <c r="Q1078" s="72" t="inlineStr">
        <is>
          <t>KEILA LIMA</t>
        </is>
      </c>
      <c r="R1078" s="72" t="inlineStr">
        <is>
          <t>DESPESAS NAO OPERACIONAIS</t>
        </is>
      </c>
      <c r="S1078" s="70" t="n">
        <v>4220199</v>
      </c>
      <c r="T1078" s="72" t="inlineStr">
        <is>
          <t>PAGAMENTOS OUTROS NAO OPERACIONAIS</t>
        </is>
      </c>
      <c r="U1078" s="73" t="n">
        <v>6685.5</v>
      </c>
      <c r="W1078" s="73" t="n">
        <v>0</v>
      </c>
      <c r="X1078" s="72" t="inlineStr">
        <is>
          <t>PG FEIRA SR RENATO LOJAS - KEILA</t>
        </is>
      </c>
      <c r="Z1078" s="59">
        <f>IF($T1078="","",IFERROR(INDEX('Resumo Grupos'!$AC$3:$AC$200,MATCH($T1078,'Resumo Grupos'!$AB$3:$AB$200,0)),"n/d"))</f>
        <v/>
      </c>
      <c r="AA1078" s="59">
        <f>IF($T1078="","",IF(COUNTIF('Resumo Grupos'!$AE$3:$AE$40,$T1078)&gt;0,"NAO","SIM"))</f>
        <v/>
      </c>
    </row>
    <row r="1079" ht="54.75" customHeight="1" s="60">
      <c r="A1079" s="70" t="n">
        <v>1</v>
      </c>
      <c r="B1079" s="71" t="n">
        <v>46213</v>
      </c>
      <c r="C1079" s="71" t="n">
        <v>46213</v>
      </c>
      <c r="D1079" s="70" t="n">
        <v>514</v>
      </c>
      <c r="E1079" s="72" t="inlineStr">
        <is>
          <t>SANTANDER SA</t>
        </is>
      </c>
      <c r="F1079" s="70" t="n">
        <v>45</v>
      </c>
      <c r="G1079" s="72" t="inlineStr">
        <is>
          <t>Cartao Sant 1 Novo 4172 venc 10</t>
        </is>
      </c>
      <c r="H1079" s="70" t="n">
        <v>1110202</v>
      </c>
      <c r="I1079" s="72" t="inlineStr">
        <is>
          <t>BANCO ITAU Lj 01</t>
        </is>
      </c>
      <c r="J1079" s="70" t="n">
        <v>1449118</v>
      </c>
      <c r="L1079" s="70" t="n">
        <v>596131</v>
      </c>
      <c r="M1079" s="72" t="inlineStr">
        <is>
          <t>01</t>
        </is>
      </c>
      <c r="N1079" s="72" t="inlineStr">
        <is>
          <t>AVU</t>
        </is>
      </c>
      <c r="P1079" s="70" t="n">
        <v>101</v>
      </c>
      <c r="Q1079" s="72" t="inlineStr">
        <is>
          <t>KEILA LIMA</t>
        </is>
      </c>
      <c r="R1079" s="72" t="inlineStr">
        <is>
          <t>DESPESAS NAO OPERACIONAIS</t>
        </is>
      </c>
      <c r="S1079" s="70" t="n">
        <v>4220199</v>
      </c>
      <c r="T1079" s="72" t="inlineStr">
        <is>
          <t>PAGAMENTOS OUTROS NAO OPERACIONAIS</t>
        </is>
      </c>
      <c r="U1079" s="73" t="n">
        <v>381.22</v>
      </c>
      <c r="W1079" s="73" t="n">
        <v>0</v>
      </c>
      <c r="X1079" s="72" t="inlineStr">
        <is>
          <t>COBERTURA CONTA SANT 1 NOVO LOJAS NAO SOMAR - KI</t>
        </is>
      </c>
      <c r="Z1079" s="59">
        <f>IF($T1079="","",IFERROR(INDEX('Resumo Grupos'!$AC$3:$AC$200,MATCH($T1079,'Resumo Grupos'!$AB$3:$AB$200,0)),"n/d"))</f>
        <v/>
      </c>
      <c r="AA1079" s="59">
        <f>IF($T1079="","",IF(COUNTIF('Resumo Grupos'!$AE$3:$AE$40,$T1079)&gt;0,"NAO","SIM"))</f>
        <v/>
      </c>
    </row>
    <row r="1080" ht="63.75" customHeight="1" s="60">
      <c r="A1080" s="70" t="n">
        <v>1</v>
      </c>
      <c r="B1080" s="71" t="n">
        <v>46213</v>
      </c>
      <c r="C1080" s="71" t="n">
        <v>46213</v>
      </c>
      <c r="D1080" s="70" t="n">
        <v>515</v>
      </c>
      <c r="E1080" s="72" t="inlineStr">
        <is>
          <t>ITAU SA</t>
        </is>
      </c>
      <c r="F1080" s="70" t="n">
        <v>34</v>
      </c>
      <c r="G1080" s="72" t="inlineStr">
        <is>
          <t>Transferencia Pix</t>
        </is>
      </c>
      <c r="H1080" s="70" t="n">
        <v>1110202</v>
      </c>
      <c r="I1080" s="72" t="inlineStr">
        <is>
          <t>BANCO ITAU Lj 01</t>
        </is>
      </c>
      <c r="J1080" s="70" t="n">
        <v>1449141</v>
      </c>
      <c r="L1080" s="70" t="n">
        <v>596139</v>
      </c>
      <c r="M1080" s="72" t="inlineStr">
        <is>
          <t>01</t>
        </is>
      </c>
      <c r="N1080" s="72" t="inlineStr">
        <is>
          <t>AVU</t>
        </is>
      </c>
      <c r="P1080" s="70" t="n">
        <v>101</v>
      </c>
      <c r="Q1080" s="72" t="inlineStr">
        <is>
          <t>KEILA LIMA</t>
        </is>
      </c>
      <c r="R1080" s="72" t="inlineStr">
        <is>
          <t>DESPESAS FINANCEIRAS</t>
        </is>
      </c>
      <c r="S1080" s="70" t="n">
        <v>4210502</v>
      </c>
      <c r="T1080" s="72" t="inlineStr">
        <is>
          <t>JUROS S/ EMPRESTIMOS</t>
        </is>
      </c>
      <c r="U1080" s="73" t="n">
        <v>2465.25</v>
      </c>
      <c r="W1080" s="73" t="n">
        <v>0</v>
      </c>
      <c r="X1080" s="72" t="inlineStr">
        <is>
          <t>JUROS LIMITE DA CONTA MO1 - KEILA</t>
        </is>
      </c>
      <c r="Z1080" s="59">
        <f>IF($T1080="","",IFERROR(INDEX('Resumo Grupos'!$AC$3:$AC$200,MATCH($T1080,'Resumo Grupos'!$AB$3:$AB$200,0)),"n/d"))</f>
        <v/>
      </c>
      <c r="AA1080" s="59">
        <f>IF($T1080="","",IF(COUNTIF('Resumo Grupos'!$AE$3:$AE$40,$T1080)&gt;0,"NAO","SIM"))</f>
        <v/>
      </c>
    </row>
    <row r="1081" ht="36.75" customHeight="1" s="60">
      <c r="A1081" s="70" t="n">
        <v>1</v>
      </c>
      <c r="B1081" s="71" t="n">
        <v>46213</v>
      </c>
      <c r="C1081" s="71" t="n">
        <v>46213</v>
      </c>
      <c r="D1081" s="70" t="n">
        <v>514</v>
      </c>
      <c r="E1081" s="72" t="inlineStr">
        <is>
          <t>SANTANDER SA</t>
        </is>
      </c>
      <c r="F1081" s="70" t="n">
        <v>34</v>
      </c>
      <c r="G1081" s="72" t="inlineStr">
        <is>
          <t>Transferencia Pix</t>
        </is>
      </c>
      <c r="H1081" s="70" t="n">
        <v>1110202</v>
      </c>
      <c r="I1081" s="72" t="inlineStr">
        <is>
          <t>BANCO ITAU Lj 01</t>
        </is>
      </c>
      <c r="J1081" s="70" t="n">
        <v>1449151</v>
      </c>
      <c r="L1081" s="70" t="n">
        <v>596141</v>
      </c>
      <c r="M1081" s="72" t="inlineStr">
        <is>
          <t>01</t>
        </is>
      </c>
      <c r="N1081" s="72" t="inlineStr">
        <is>
          <t>AVU</t>
        </is>
      </c>
      <c r="P1081" s="70" t="n">
        <v>101</v>
      </c>
      <c r="Q1081" s="72" t="inlineStr">
        <is>
          <t>KEILA LIMA</t>
        </is>
      </c>
      <c r="R1081" s="72" t="inlineStr">
        <is>
          <t>DESPESAS NAO OPERACIONAIS</t>
        </is>
      </c>
      <c r="S1081" s="70" t="n">
        <v>4220199</v>
      </c>
      <c r="T1081" s="72" t="inlineStr">
        <is>
          <t>PAGAMENTOS OUTROS NAO OPERACIONAIS</t>
        </is>
      </c>
      <c r="U1081" s="73" t="n">
        <v>9170</v>
      </c>
      <c r="W1081" s="73" t="n">
        <v>0</v>
      </c>
      <c r="X1081" s="72" t="inlineStr">
        <is>
          <t>COBERTURA CONTA MO1 SNATA 1 VELHO NAO SOMAR</t>
        </is>
      </c>
      <c r="Z1081" s="59">
        <f>IF($T1081="","",IFERROR(INDEX('Resumo Grupos'!$AC$3:$AC$200,MATCH($T1081,'Resumo Grupos'!$AB$3:$AB$200,0)),"n/d"))</f>
        <v/>
      </c>
      <c r="AA1081" s="59">
        <f>IF($T1081="","",IF(COUNTIF('Resumo Grupos'!$AE$3:$AE$40,$T1081)&gt;0,"NAO","SIM"))</f>
        <v/>
      </c>
    </row>
    <row r="1082" ht="45.75" customHeight="1" s="60">
      <c r="A1082" s="70" t="n">
        <v>1</v>
      </c>
      <c r="B1082" s="71" t="n">
        <v>46213</v>
      </c>
      <c r="C1082" s="71" t="n">
        <v>46213</v>
      </c>
      <c r="D1082" s="70" t="n">
        <v>1137</v>
      </c>
      <c r="E1082" s="72" t="inlineStr">
        <is>
          <t xml:space="preserve">FOLHA DE PAGAMENTO </t>
        </is>
      </c>
      <c r="F1082" s="70" t="n">
        <v>34</v>
      </c>
      <c r="G1082" s="72" t="inlineStr">
        <is>
          <t>Transferencia Pix</t>
        </is>
      </c>
      <c r="H1082" s="70" t="n">
        <v>1110202</v>
      </c>
      <c r="I1082" s="72" t="inlineStr">
        <is>
          <t>BANCO ITAU Lj 01</t>
        </is>
      </c>
      <c r="J1082" s="70" t="n">
        <v>1449200</v>
      </c>
      <c r="L1082" s="70" t="n">
        <v>596154</v>
      </c>
      <c r="M1082" s="72" t="inlineStr">
        <is>
          <t>01</t>
        </is>
      </c>
      <c r="N1082" s="72" t="inlineStr">
        <is>
          <t>AVU</t>
        </is>
      </c>
      <c r="P1082" s="70" t="n">
        <v>101</v>
      </c>
      <c r="Q1082" s="72" t="inlineStr">
        <is>
          <t>KEILA LIMA</t>
        </is>
      </c>
      <c r="R1082" s="72" t="inlineStr">
        <is>
          <t>DESPESAS COM PESSOAL</t>
        </is>
      </c>
      <c r="S1082" s="70" t="n">
        <v>4210301</v>
      </c>
      <c r="T1082" s="72" t="inlineStr">
        <is>
          <t>SALARIOS</t>
        </is>
      </c>
      <c r="U1082" s="73" t="n">
        <v>2400</v>
      </c>
      <c r="W1082" s="73" t="n">
        <v>0</v>
      </c>
      <c r="X1082" s="72" t="inlineStr">
        <is>
          <t>PAG  ADIANT SALARIO MO1 07/26 - KEILA</t>
        </is>
      </c>
      <c r="Z1082" s="59">
        <f>IF($T1082="","",IFERROR(INDEX('Resumo Grupos'!$AC$3:$AC$200,MATCH($T1082,'Resumo Grupos'!$AB$3:$AB$200,0)),"n/d"))</f>
        <v/>
      </c>
      <c r="AA1082" s="59">
        <f>IF($T1082="","",IF(COUNTIF('Resumo Grupos'!$AE$3:$AE$40,$T1082)&gt;0,"NAO","SIM"))</f>
        <v/>
      </c>
    </row>
    <row r="1083" ht="54.75" customHeight="1" s="60">
      <c r="A1083" s="70" t="n">
        <v>1</v>
      </c>
      <c r="B1083" s="71" t="n">
        <v>46184</v>
      </c>
      <c r="C1083" s="71" t="n">
        <v>46214</v>
      </c>
      <c r="D1083" s="70" t="n">
        <v>1659</v>
      </c>
      <c r="E1083" s="72" t="inlineStr">
        <is>
          <t>ADRIANA DISTRIBUIDORA DE PRODUTOS ALIMEN</t>
        </is>
      </c>
      <c r="F1083" s="70" t="n">
        <v>24</v>
      </c>
      <c r="G1083" s="72" t="inlineStr">
        <is>
          <t>Compra a Prazo - Boletos</t>
        </is>
      </c>
      <c r="H1083" s="70" t="n">
        <v>2110101</v>
      </c>
      <c r="I1083" s="72" t="inlineStr">
        <is>
          <t>FORNECEDORES DE MERCADORIA</t>
        </is>
      </c>
      <c r="J1083" s="70" t="n">
        <v>1236106</v>
      </c>
      <c r="L1083" s="70" t="n">
        <v>877772</v>
      </c>
      <c r="M1083" s="72" t="inlineStr">
        <is>
          <t>03</t>
        </is>
      </c>
      <c r="N1083" s="72" t="inlineStr">
        <is>
          <t>NFE</t>
        </is>
      </c>
      <c r="P1083" s="70" t="n">
        <v>103</v>
      </c>
      <c r="Q1083" s="72" t="inlineStr">
        <is>
          <t>MILKA FRANCIS</t>
        </is>
      </c>
      <c r="R1083" s="72" t="inlineStr">
        <is>
          <t>ESTOQUE DE MERCADORIAS</t>
        </is>
      </c>
      <c r="S1083" s="70" t="n">
        <v>1130101</v>
      </c>
      <c r="T1083" s="72" t="inlineStr">
        <is>
          <t>MERCADORIAS P/REVENDA</t>
        </is>
      </c>
      <c r="U1083" s="73" t="n">
        <v>376.07</v>
      </c>
      <c r="W1083" s="73" t="n">
        <v>0</v>
      </c>
      <c r="X1083" s="72" t="inlineStr">
        <is>
          <t>NF 877772-3 MILKA</t>
        </is>
      </c>
      <c r="Z1083" s="59">
        <f>IF($T1083="","",IFERROR(INDEX('Resumo Grupos'!$AC$3:$AC$200,MATCH($T1083,'Resumo Grupos'!$AB$3:$AB$200,0)),"n/d"))</f>
        <v/>
      </c>
      <c r="AA1083" s="59">
        <f>IF($T1083="","",IF(COUNTIF('Resumo Grupos'!$AE$3:$AE$40,$T1083)&gt;0,"NAO","SIM"))</f>
        <v/>
      </c>
    </row>
    <row r="1084" ht="54.75" customHeight="1" s="60">
      <c r="A1084" s="70" t="n">
        <v>1</v>
      </c>
      <c r="B1084" s="71" t="n">
        <v>46196</v>
      </c>
      <c r="C1084" s="71" t="n">
        <v>46214</v>
      </c>
      <c r="D1084" s="70" t="n">
        <v>1711</v>
      </c>
      <c r="E1084" s="72" t="inlineStr">
        <is>
          <t>J. A. F. DE LIMA</t>
        </is>
      </c>
      <c r="F1084" s="70" t="n">
        <v>24</v>
      </c>
      <c r="G1084" s="72" t="inlineStr">
        <is>
          <t>Compra a Prazo - Boletos</t>
        </is>
      </c>
      <c r="H1084" s="70" t="n">
        <v>2110101</v>
      </c>
      <c r="I1084" s="72" t="inlineStr">
        <is>
          <t>FORNECEDORES DE MERCADORIA</t>
        </is>
      </c>
      <c r="J1084" s="70" t="n">
        <v>1293794</v>
      </c>
      <c r="L1084" s="70" t="n">
        <v>156818</v>
      </c>
      <c r="M1084" s="72" t="inlineStr">
        <is>
          <t>01</t>
        </is>
      </c>
      <c r="N1084" s="72" t="inlineStr">
        <is>
          <t>NFE</t>
        </is>
      </c>
      <c r="P1084" s="70" t="n">
        <v>103</v>
      </c>
      <c r="Q1084" s="72" t="inlineStr">
        <is>
          <t>MILKA FRANCIS</t>
        </is>
      </c>
      <c r="R1084" s="72" t="inlineStr">
        <is>
          <t>ESTOQUE DE MERCADORIAS</t>
        </is>
      </c>
      <c r="S1084" s="70" t="n">
        <v>1130101</v>
      </c>
      <c r="T1084" s="72" t="inlineStr">
        <is>
          <t>MERCADORIAS P/REVENDA</t>
        </is>
      </c>
      <c r="U1084" s="73" t="n">
        <v>875.5599999999999</v>
      </c>
      <c r="W1084" s="73" t="n">
        <v>0</v>
      </c>
      <c r="X1084" s="72" t="inlineStr">
        <is>
          <t>NF 156818 - MILKA</t>
        </is>
      </c>
      <c r="Z1084" s="59">
        <f>IF($T1084="","",IFERROR(INDEX('Resumo Grupos'!$AC$3:$AC$200,MATCH($T1084,'Resumo Grupos'!$AB$3:$AB$200,0)),"n/d"))</f>
        <v/>
      </c>
      <c r="AA1084" s="59">
        <f>IF($T1084="","",IF(COUNTIF('Resumo Grupos'!$AE$3:$AE$40,$T1084)&gt;0,"NAO","SIM"))</f>
        <v/>
      </c>
    </row>
    <row r="1085" ht="36.75" customHeight="1" s="60">
      <c r="A1085" s="70" t="n">
        <v>1</v>
      </c>
      <c r="B1085" s="71" t="n">
        <v>46204</v>
      </c>
      <c r="C1085" s="71" t="n">
        <v>46214</v>
      </c>
      <c r="D1085" s="70" t="n">
        <v>1705</v>
      </c>
      <c r="E1085" s="72" t="inlineStr">
        <is>
          <t>BRASIL NORTE BEBIDAS S/A</t>
        </is>
      </c>
      <c r="F1085" s="70" t="n">
        <v>24</v>
      </c>
      <c r="G1085" s="72" t="inlineStr">
        <is>
          <t>Compra a Prazo - Boletos</t>
        </is>
      </c>
      <c r="H1085" s="70" t="n">
        <v>2110101</v>
      </c>
      <c r="I1085" s="72" t="inlineStr">
        <is>
          <t>FORNECEDORES DE MERCADORIA</t>
        </is>
      </c>
      <c r="J1085" s="70" t="n">
        <v>1334185</v>
      </c>
      <c r="L1085" s="70" t="n">
        <v>1179702</v>
      </c>
      <c r="M1085" s="72" t="inlineStr">
        <is>
          <t>01</t>
        </is>
      </c>
      <c r="N1085" s="72" t="inlineStr">
        <is>
          <t>NFE</t>
        </is>
      </c>
      <c r="P1085" s="70" t="n">
        <v>103</v>
      </c>
      <c r="Q1085" s="72" t="inlineStr">
        <is>
          <t>MILKA FRANCIS</t>
        </is>
      </c>
      <c r="R1085" s="72" t="inlineStr">
        <is>
          <t>ESTOQUE DE MERCADORIAS</t>
        </is>
      </c>
      <c r="S1085" s="70" t="n">
        <v>1130101</v>
      </c>
      <c r="T1085" s="72" t="inlineStr">
        <is>
          <t>MERCADORIAS P/REVENDA</t>
        </is>
      </c>
      <c r="U1085" s="73" t="n">
        <v>2217.35</v>
      </c>
      <c r="W1085" s="73" t="n">
        <v>0</v>
      </c>
      <c r="X1085" s="72" t="inlineStr">
        <is>
          <t>NF 1179702 - MILKA</t>
        </is>
      </c>
      <c r="Z1085" s="59">
        <f>IF($T1085="","",IFERROR(INDEX('Resumo Grupos'!$AC$3:$AC$200,MATCH($T1085,'Resumo Grupos'!$AB$3:$AB$200,0)),"n/d"))</f>
        <v/>
      </c>
      <c r="AA1085" s="59">
        <f>IF($T1085="","",IF(COUNTIF('Resumo Grupos'!$AE$3:$AE$40,$T1085)&gt;0,"NAO","SIM"))</f>
        <v/>
      </c>
    </row>
    <row r="1086" ht="54.75" customHeight="1" s="60">
      <c r="A1086" s="70" t="n">
        <v>1</v>
      </c>
      <c r="B1086" s="71" t="n">
        <v>46204</v>
      </c>
      <c r="C1086" s="71" t="n">
        <v>46214</v>
      </c>
      <c r="D1086" s="70" t="n">
        <v>1705</v>
      </c>
      <c r="E1086" s="72" t="inlineStr">
        <is>
          <t>BRASIL NORTE BEBIDAS S/A</t>
        </is>
      </c>
      <c r="F1086" s="70" t="n">
        <v>24</v>
      </c>
      <c r="G1086" s="72" t="inlineStr">
        <is>
          <t>Compra a Prazo - Boletos</t>
        </is>
      </c>
      <c r="H1086" s="70" t="n">
        <v>2110101</v>
      </c>
      <c r="I1086" s="72" t="inlineStr">
        <is>
          <t>FORNECEDORES DE MERCADORIA</t>
        </is>
      </c>
      <c r="J1086" s="70" t="n">
        <v>1334190</v>
      </c>
      <c r="L1086" s="70" t="n">
        <v>1905191</v>
      </c>
      <c r="M1086" s="72" t="inlineStr">
        <is>
          <t>01</t>
        </is>
      </c>
      <c r="N1086" s="72" t="inlineStr">
        <is>
          <t>NFE</t>
        </is>
      </c>
      <c r="P1086" s="70" t="n">
        <v>103</v>
      </c>
      <c r="Q1086" s="72" t="inlineStr">
        <is>
          <t>MILKA FRANCIS</t>
        </is>
      </c>
      <c r="R1086" s="72" t="inlineStr">
        <is>
          <t>ESTOQUE DE MERCADORIAS</t>
        </is>
      </c>
      <c r="S1086" s="70" t="n">
        <v>1130101</v>
      </c>
      <c r="T1086" s="72" t="inlineStr">
        <is>
          <t>MERCADORIAS P/REVENDA</t>
        </is>
      </c>
      <c r="U1086" s="73" t="n">
        <v>2834.04</v>
      </c>
      <c r="W1086" s="73" t="n">
        <v>0</v>
      </c>
      <c r="X1086" s="72" t="inlineStr">
        <is>
          <t>NF 1905191 - MILKA</t>
        </is>
      </c>
      <c r="Z1086" s="59">
        <f>IF($T1086="","",IFERROR(INDEX('Resumo Grupos'!$AC$3:$AC$200,MATCH($T1086,'Resumo Grupos'!$AB$3:$AB$200,0)),"n/d"))</f>
        <v/>
      </c>
      <c r="AA1086" s="59">
        <f>IF($T1086="","",IF(COUNTIF('Resumo Grupos'!$AE$3:$AE$40,$T1086)&gt;0,"NAO","SIM"))</f>
        <v/>
      </c>
    </row>
    <row r="1087" ht="36.75" customHeight="1" s="60">
      <c r="A1087" s="70" t="n">
        <v>1</v>
      </c>
      <c r="B1087" s="71" t="n">
        <v>46204</v>
      </c>
      <c r="C1087" s="71" t="n">
        <v>46214</v>
      </c>
      <c r="D1087" s="70" t="n">
        <v>1723</v>
      </c>
      <c r="E1087" s="72" t="inlineStr">
        <is>
          <t>COMERCIO DE FRIOS MANAUS LTDA</t>
        </is>
      </c>
      <c r="F1087" s="70" t="n">
        <v>24</v>
      </c>
      <c r="G1087" s="72" t="inlineStr">
        <is>
          <t>Compra a Prazo - Boletos</t>
        </is>
      </c>
      <c r="H1087" s="70" t="n">
        <v>2110101</v>
      </c>
      <c r="I1087" s="72" t="inlineStr">
        <is>
          <t>FORNECEDORES DE MERCADORIA</t>
        </is>
      </c>
      <c r="J1087" s="70" t="n">
        <v>1335893</v>
      </c>
      <c r="L1087" s="70" t="n">
        <v>172452</v>
      </c>
      <c r="M1087" s="72" t="inlineStr">
        <is>
          <t>01</t>
        </is>
      </c>
      <c r="N1087" s="72" t="inlineStr">
        <is>
          <t>NFE</t>
        </is>
      </c>
      <c r="P1087" s="70" t="n">
        <v>103</v>
      </c>
      <c r="Q1087" s="72" t="inlineStr">
        <is>
          <t>MILKA FRANCIS</t>
        </is>
      </c>
      <c r="R1087" s="72" t="inlineStr">
        <is>
          <t>ESTOQUE DE MERCADORIAS</t>
        </is>
      </c>
      <c r="S1087" s="70" t="n">
        <v>1130101</v>
      </c>
      <c r="T1087" s="72" t="inlineStr">
        <is>
          <t>MERCADORIAS P/REVENDA</t>
        </is>
      </c>
      <c r="U1087" s="73" t="n">
        <v>5250</v>
      </c>
      <c r="W1087" s="73" t="n">
        <v>0</v>
      </c>
      <c r="X1087" s="72" t="inlineStr">
        <is>
          <t>NF172452 - MILKA</t>
        </is>
      </c>
      <c r="Z1087" s="59">
        <f>IF($T1087="","",IFERROR(INDEX('Resumo Grupos'!$AC$3:$AC$200,MATCH($T1087,'Resumo Grupos'!$AB$3:$AB$200,0)),"n/d"))</f>
        <v/>
      </c>
      <c r="AA1087" s="59">
        <f>IF($T1087="","",IF(COUNTIF('Resumo Grupos'!$AE$3:$AE$40,$T1087)&gt;0,"NAO","SIM"))</f>
        <v/>
      </c>
    </row>
    <row r="1088" ht="45.75" customHeight="1" s="60">
      <c r="A1088" s="70" t="n">
        <v>1</v>
      </c>
      <c r="B1088" s="71" t="n">
        <v>46209</v>
      </c>
      <c r="C1088" s="71" t="n">
        <v>46214</v>
      </c>
      <c r="D1088" s="70" t="n">
        <v>1625</v>
      </c>
      <c r="E1088" s="72" t="inlineStr">
        <is>
          <t>MAXFRI DISTRIUIDORA LTDA</t>
        </is>
      </c>
      <c r="F1088" s="70" t="n">
        <v>24</v>
      </c>
      <c r="G1088" s="72" t="inlineStr">
        <is>
          <t>Compra a Prazo - Boletos</t>
        </is>
      </c>
      <c r="H1088" s="70" t="n">
        <v>2110101</v>
      </c>
      <c r="I1088" s="72" t="inlineStr">
        <is>
          <t>FORNECEDORES DE MERCADORIA</t>
        </is>
      </c>
      <c r="J1088" s="70" t="n">
        <v>1361386</v>
      </c>
      <c r="L1088" s="70" t="n">
        <v>14625</v>
      </c>
      <c r="M1088" s="72" t="inlineStr">
        <is>
          <t>01</t>
        </is>
      </c>
      <c r="N1088" s="72" t="inlineStr">
        <is>
          <t>NFE</t>
        </is>
      </c>
      <c r="P1088" s="70" t="n">
        <v>103</v>
      </c>
      <c r="Q1088" s="72" t="inlineStr">
        <is>
          <t>MILKA FRANCIS</t>
        </is>
      </c>
      <c r="R1088" s="72" t="inlineStr">
        <is>
          <t>ESTOQUE DE MERCADORIAS</t>
        </is>
      </c>
      <c r="S1088" s="70" t="n">
        <v>1130101</v>
      </c>
      <c r="T1088" s="72" t="inlineStr">
        <is>
          <t>MERCADORIAS P/REVENDA</t>
        </is>
      </c>
      <c r="U1088" s="73" t="n">
        <v>5611.52</v>
      </c>
      <c r="W1088" s="73" t="n">
        <v>0</v>
      </c>
      <c r="X1088" s="72" t="inlineStr">
        <is>
          <t>NF14625 - MILKA</t>
        </is>
      </c>
      <c r="Z1088" s="59">
        <f>IF($T1088="","",IFERROR(INDEX('Resumo Grupos'!$AC$3:$AC$200,MATCH($T1088,'Resumo Grupos'!$AB$3:$AB$200,0)),"n/d"))</f>
        <v/>
      </c>
      <c r="AA1088" s="59">
        <f>IF($T1088="","",IF(COUNTIF('Resumo Grupos'!$AE$3:$AE$40,$T1088)&gt;0,"NAO","SIM"))</f>
        <v/>
      </c>
    </row>
    <row r="1089" ht="63.75" customHeight="1" s="60">
      <c r="A1089" s="70" t="n">
        <v>1</v>
      </c>
      <c r="B1089" s="71" t="n">
        <v>46210</v>
      </c>
      <c r="C1089" s="71" t="n">
        <v>46214</v>
      </c>
      <c r="D1089" s="70" t="n">
        <v>1276</v>
      </c>
      <c r="E1089" s="72" t="inlineStr">
        <is>
          <t>PRIMICIA DISTRIBUIDORA DE FRIOS LTDA</t>
        </is>
      </c>
      <c r="F1089" s="70" t="n">
        <v>24</v>
      </c>
      <c r="G1089" s="72" t="inlineStr">
        <is>
          <t>Compra a Prazo - Boletos</t>
        </is>
      </c>
      <c r="H1089" s="70" t="n">
        <v>2110101</v>
      </c>
      <c r="I1089" s="72" t="inlineStr">
        <is>
          <t>FORNECEDORES DE MERCADORIA</t>
        </is>
      </c>
      <c r="J1089" s="70" t="n">
        <v>1364155</v>
      </c>
      <c r="L1089" s="70" t="n">
        <v>3003</v>
      </c>
      <c r="M1089" s="72" t="inlineStr">
        <is>
          <t>01</t>
        </is>
      </c>
      <c r="N1089" s="72" t="inlineStr">
        <is>
          <t>NFE</t>
        </is>
      </c>
      <c r="P1089" s="70" t="n">
        <v>103</v>
      </c>
      <c r="Q1089" s="72" t="inlineStr">
        <is>
          <t>MILKA FRANCIS</t>
        </is>
      </c>
      <c r="R1089" s="72" t="inlineStr">
        <is>
          <t>ESTOQUE DE MERCADORIAS</t>
        </is>
      </c>
      <c r="S1089" s="70" t="n">
        <v>1130101</v>
      </c>
      <c r="T1089" s="72" t="inlineStr">
        <is>
          <t>MERCADORIAS P/REVENDA</t>
        </is>
      </c>
      <c r="U1089" s="73" t="n">
        <v>1328.5</v>
      </c>
      <c r="W1089" s="73" t="n">
        <v>0</v>
      </c>
      <c r="X1089" s="72" t="inlineStr">
        <is>
          <t>NF 3003 - MILKA</t>
        </is>
      </c>
      <c r="Z1089" s="59">
        <f>IF($T1089="","",IFERROR(INDEX('Resumo Grupos'!$AC$3:$AC$200,MATCH($T1089,'Resumo Grupos'!$AB$3:$AB$200,0)),"n/d"))</f>
        <v/>
      </c>
      <c r="AA1089" s="59">
        <f>IF($T1089="","",IF(COUNTIF('Resumo Grupos'!$AE$3:$AE$40,$T1089)&gt;0,"NAO","SIM"))</f>
        <v/>
      </c>
    </row>
    <row r="1090" ht="45.75" customHeight="1" s="60">
      <c r="A1090" s="70" t="n">
        <v>1</v>
      </c>
      <c r="B1090" s="71" t="n">
        <v>46210</v>
      </c>
      <c r="C1090" s="71" t="n">
        <v>46214</v>
      </c>
      <c r="D1090" s="70" t="n">
        <v>1292</v>
      </c>
      <c r="E1090" s="72" t="inlineStr">
        <is>
          <t>SAO JOSE COMERCIO DE LATICINIOS E FRIOS</t>
        </is>
      </c>
      <c r="F1090" s="70" t="n">
        <v>24</v>
      </c>
      <c r="G1090" s="72" t="inlineStr">
        <is>
          <t>Compra a Prazo - Boletos</t>
        </is>
      </c>
      <c r="H1090" s="70" t="n">
        <v>2110102</v>
      </c>
      <c r="I1090" s="72" t="inlineStr">
        <is>
          <t>OUTROS FORNECEDORES</t>
        </is>
      </c>
      <c r="J1090" s="70" t="n">
        <v>1364180</v>
      </c>
      <c r="L1090" s="70" t="n">
        <v>3553</v>
      </c>
      <c r="M1090" s="72" t="inlineStr">
        <is>
          <t>01</t>
        </is>
      </c>
      <c r="N1090" s="72" t="inlineStr">
        <is>
          <t>NFE</t>
        </is>
      </c>
      <c r="P1090" s="70" t="n">
        <v>103</v>
      </c>
      <c r="Q1090" s="72" t="inlineStr">
        <is>
          <t>MILKA FRANCIS</t>
        </is>
      </c>
      <c r="R1090" s="72" t="inlineStr">
        <is>
          <t>DESPESAS OPERACIONAIS</t>
        </is>
      </c>
      <c r="S1090" s="70" t="n">
        <v>4210204</v>
      </c>
      <c r="T1090" s="72" t="inlineStr">
        <is>
          <t>MATERIAL DE CONSUMO</t>
        </is>
      </c>
      <c r="U1090" s="73" t="n">
        <v>448.5</v>
      </c>
      <c r="W1090" s="73" t="n">
        <v>0</v>
      </c>
      <c r="X1090" s="72" t="inlineStr">
        <is>
          <t>NF3553 DESPESA DE VENDA / PADARIA - MILKA</t>
        </is>
      </c>
      <c r="Z1090" s="59">
        <f>IF($T1090="","",IFERROR(INDEX('Resumo Grupos'!$AC$3:$AC$200,MATCH($T1090,'Resumo Grupos'!$AB$3:$AB$200,0)),"n/d"))</f>
        <v/>
      </c>
      <c r="AA1090" s="59">
        <f>IF($T1090="","",IF(COUNTIF('Resumo Grupos'!$AE$3:$AE$40,$T1090)&gt;0,"NAO","SIM"))</f>
        <v/>
      </c>
    </row>
    <row r="1091" ht="36.75" customHeight="1" s="60">
      <c r="A1091" s="70" t="n">
        <v>1</v>
      </c>
      <c r="B1091" s="71" t="n">
        <v>46210</v>
      </c>
      <c r="C1091" s="71" t="n">
        <v>46214</v>
      </c>
      <c r="D1091" s="70" t="n">
        <v>10090</v>
      </c>
      <c r="E1091" s="72" t="inlineStr">
        <is>
          <t>ALEXSANDRO BEZERRA DA SILVA</t>
        </is>
      </c>
      <c r="F1091" s="70" t="n">
        <v>24</v>
      </c>
      <c r="G1091" s="72" t="inlineStr">
        <is>
          <t>Compra a Prazo - Boletos</t>
        </is>
      </c>
      <c r="H1091" s="70" t="n">
        <v>2110101</v>
      </c>
      <c r="I1091" s="72" t="inlineStr">
        <is>
          <t>FORNECEDORES DE MERCADORIA</t>
        </is>
      </c>
      <c r="J1091" s="70" t="n">
        <v>1366201</v>
      </c>
      <c r="L1091" s="70" t="n">
        <v>264</v>
      </c>
      <c r="M1091" s="72" t="inlineStr">
        <is>
          <t>01</t>
        </is>
      </c>
      <c r="N1091" s="72" t="inlineStr">
        <is>
          <t>NFE</t>
        </is>
      </c>
      <c r="P1091" s="70" t="n">
        <v>103</v>
      </c>
      <c r="Q1091" s="72" t="inlineStr">
        <is>
          <t>MILKA FRANCIS</t>
        </is>
      </c>
      <c r="R1091" s="72" t="inlineStr">
        <is>
          <t>ESTOQUE DE MERCADORIAS</t>
        </is>
      </c>
      <c r="S1091" s="70" t="n">
        <v>1130101</v>
      </c>
      <c r="T1091" s="72" t="inlineStr">
        <is>
          <t>MERCADORIAS P/REVENDA</t>
        </is>
      </c>
      <c r="U1091" s="73" t="n">
        <v>2812.19</v>
      </c>
      <c r="W1091" s="73" t="n">
        <v>0</v>
      </c>
      <c r="X1091" s="72" t="inlineStr">
        <is>
          <t>192032562  NF 264 POTIGUAR - MILKA</t>
        </is>
      </c>
      <c r="Z1091" s="59">
        <f>IF($T1091="","",IFERROR(INDEX('Resumo Grupos'!$AC$3:$AC$200,MATCH($T1091,'Resumo Grupos'!$AB$3:$AB$200,0)),"n/d"))</f>
        <v/>
      </c>
      <c r="AA1091" s="59">
        <f>IF($T1091="","",IF(COUNTIF('Resumo Grupos'!$AE$3:$AE$40,$T1091)&gt;0,"NAO","SIM"))</f>
        <v/>
      </c>
    </row>
    <row r="1092" ht="36.75" customHeight="1" s="60">
      <c r="A1092" s="70" t="n">
        <v>1</v>
      </c>
      <c r="B1092" s="71" t="n">
        <v>46213</v>
      </c>
      <c r="C1092" s="71" t="n">
        <v>46214</v>
      </c>
      <c r="D1092" s="70" t="n">
        <v>33</v>
      </c>
      <c r="E1092" s="72" t="inlineStr">
        <is>
          <t>RENATO DE O AZEVEDO E CIA LTDA - EPP</t>
        </is>
      </c>
      <c r="F1092" s="70" t="n">
        <v>34</v>
      </c>
      <c r="G1092" s="72" t="inlineStr">
        <is>
          <t>Transferencia Pix</t>
        </is>
      </c>
      <c r="H1092" s="70" t="n">
        <v>2110101</v>
      </c>
      <c r="I1092" s="72" t="inlineStr">
        <is>
          <t>FORNECEDORES DE MERCADORIA</t>
        </is>
      </c>
      <c r="J1092" s="70" t="n">
        <v>1377251</v>
      </c>
      <c r="L1092" s="70" t="n">
        <v>5287</v>
      </c>
      <c r="M1092" s="72" t="inlineStr">
        <is>
          <t>01</t>
        </is>
      </c>
      <c r="N1092" s="72" t="inlineStr">
        <is>
          <t>NFE</t>
        </is>
      </c>
      <c r="P1092" s="70" t="n">
        <v>104</v>
      </c>
      <c r="Q1092" s="72" t="inlineStr">
        <is>
          <t>DEBORA COSTA</t>
        </is>
      </c>
      <c r="R1092" s="72" t="inlineStr">
        <is>
          <t>ESTOQUE DE MERCADORIAS</t>
        </is>
      </c>
      <c r="S1092" s="70" t="n">
        <v>1130101</v>
      </c>
      <c r="T1092" s="72" t="inlineStr">
        <is>
          <t>MERCADORIAS P/REVENDA</t>
        </is>
      </c>
      <c r="U1092" s="73" t="n">
        <v>2719</v>
      </c>
      <c r="W1092" s="73" t="n">
        <v>0</v>
      </c>
      <c r="X1092" s="72" t="inlineStr">
        <is>
          <t>FEIRA VERDURAS DO CARLOS - DEBORA</t>
        </is>
      </c>
      <c r="Z1092" s="59">
        <f>IF($T1092="","",IFERROR(INDEX('Resumo Grupos'!$AC$3:$AC$200,MATCH($T1092,'Resumo Grupos'!$AB$3:$AB$200,0)),"n/d"))</f>
        <v/>
      </c>
      <c r="AA1092" s="59">
        <f>IF($T1092="","",IF(COUNTIF('Resumo Grupos'!$AE$3:$AE$40,$T1092)&gt;0,"NAO","SIM"))</f>
        <v/>
      </c>
    </row>
    <row r="1093" ht="36.75" customHeight="1" s="60">
      <c r="A1093" s="70" t="n">
        <v>1</v>
      </c>
      <c r="B1093" s="71" t="n">
        <v>46213</v>
      </c>
      <c r="C1093" s="71" t="n">
        <v>46214</v>
      </c>
      <c r="D1093" s="70" t="n">
        <v>1615</v>
      </c>
      <c r="E1093" s="72" t="inlineStr">
        <is>
          <t>COMERCIO E TRANSPORTE BRANDAO LTDA</t>
        </is>
      </c>
      <c r="F1093" s="70" t="n">
        <v>34</v>
      </c>
      <c r="G1093" s="72" t="inlineStr">
        <is>
          <t>Transferencia Pix</t>
        </is>
      </c>
      <c r="H1093" s="70" t="n">
        <v>2110101</v>
      </c>
      <c r="I1093" s="72" t="inlineStr">
        <is>
          <t>FORNECEDORES DE MERCADORIA</t>
        </is>
      </c>
      <c r="J1093" s="70" t="n">
        <v>1377301</v>
      </c>
      <c r="L1093" s="70" t="n">
        <v>14834</v>
      </c>
      <c r="M1093" s="72" t="inlineStr">
        <is>
          <t>01</t>
        </is>
      </c>
      <c r="N1093" s="72" t="inlineStr">
        <is>
          <t>NFE</t>
        </is>
      </c>
      <c r="P1093" s="70" t="n">
        <v>104</v>
      </c>
      <c r="Q1093" s="72" t="inlineStr">
        <is>
          <t>DEBORA COSTA</t>
        </is>
      </c>
      <c r="R1093" s="72" t="inlineStr">
        <is>
          <t>ESTOQUE DE MERCADORIAS</t>
        </is>
      </c>
      <c r="S1093" s="70" t="n">
        <v>1130101</v>
      </c>
      <c r="T1093" s="72" t="inlineStr">
        <is>
          <t>MERCADORIAS P/REVENDA</t>
        </is>
      </c>
      <c r="U1093" s="73" t="n">
        <v>1120</v>
      </c>
      <c r="W1093" s="73" t="n">
        <v>0</v>
      </c>
      <c r="X1093" s="72" t="inlineStr">
        <is>
          <t>NF 14834 - DEBORA</t>
        </is>
      </c>
      <c r="Z1093" s="59">
        <f>IF($T1093="","",IFERROR(INDEX('Resumo Grupos'!$AC$3:$AC$200,MATCH($T1093,'Resumo Grupos'!$AB$3:$AB$200,0)),"n/d"))</f>
        <v/>
      </c>
      <c r="AA1093" s="59">
        <f>IF($T1093="","",IF(COUNTIF('Resumo Grupos'!$AE$3:$AE$40,$T1093)&gt;0,"NAO","SIM"))</f>
        <v/>
      </c>
    </row>
    <row r="1094" ht="45.75" customHeight="1" s="60">
      <c r="A1094" s="70" t="n">
        <v>1</v>
      </c>
      <c r="B1094" s="71" t="n">
        <v>46213</v>
      </c>
      <c r="C1094" s="71" t="n">
        <v>46214</v>
      </c>
      <c r="D1094" s="70" t="n">
        <v>33</v>
      </c>
      <c r="E1094" s="72" t="inlineStr">
        <is>
          <t>RENATO DE O AZEVEDO E CIA LTDA - EPP</t>
        </is>
      </c>
      <c r="F1094" s="70" t="n">
        <v>34</v>
      </c>
      <c r="G1094" s="72" t="inlineStr">
        <is>
          <t>Transferencia Pix</t>
        </is>
      </c>
      <c r="H1094" s="70" t="n">
        <v>2110101</v>
      </c>
      <c r="I1094" s="72" t="inlineStr">
        <is>
          <t>FORNECEDORES DE MERCADORIA</t>
        </is>
      </c>
      <c r="J1094" s="70" t="n">
        <v>1377309</v>
      </c>
      <c r="L1094" s="70" t="n">
        <v>567696</v>
      </c>
      <c r="M1094" s="72" t="inlineStr">
        <is>
          <t>01</t>
        </is>
      </c>
      <c r="N1094" s="72" t="inlineStr">
        <is>
          <t>AVU</t>
        </is>
      </c>
      <c r="P1094" s="70" t="n">
        <v>104</v>
      </c>
      <c r="Q1094" s="72" t="inlineStr">
        <is>
          <t>DEBORA COSTA</t>
        </is>
      </c>
      <c r="R1094" s="72" t="inlineStr">
        <is>
          <t>ESTOQUE DE MERCADORIAS</t>
        </is>
      </c>
      <c r="S1094" s="70" t="n">
        <v>1130101</v>
      </c>
      <c r="T1094" s="72" t="inlineStr">
        <is>
          <t>MERCADORIAS P/REVENDA</t>
        </is>
      </c>
      <c r="U1094" s="73" t="n">
        <v>70</v>
      </c>
      <c r="W1094" s="73" t="n">
        <v>0</v>
      </c>
      <c r="X1094" s="72" t="inlineStr">
        <is>
          <t>CAMARAO COM CASCA - FEIRA CARLOS - DEBORA</t>
        </is>
      </c>
      <c r="Z1094" s="59">
        <f>IF($T1094="","",IFERROR(INDEX('Resumo Grupos'!$AC$3:$AC$200,MATCH($T1094,'Resumo Grupos'!$AB$3:$AB$200,0)),"n/d"))</f>
        <v/>
      </c>
      <c r="AA1094" s="59">
        <f>IF($T1094="","",IF(COUNTIF('Resumo Grupos'!$AE$3:$AE$40,$T1094)&gt;0,"NAO","SIM"))</f>
        <v/>
      </c>
    </row>
    <row r="1095" ht="45.75" customHeight="1" s="60">
      <c r="A1095" s="70" t="n">
        <v>1</v>
      </c>
      <c r="B1095" s="71" t="n">
        <v>46213</v>
      </c>
      <c r="C1095" s="71" t="n">
        <v>46214</v>
      </c>
      <c r="D1095" s="70" t="n">
        <v>630</v>
      </c>
      <c r="E1095" s="72" t="inlineStr">
        <is>
          <t>PORTO SEGURO SEGURO SAUDE S/A</t>
        </is>
      </c>
      <c r="F1095" s="70" t="n">
        <v>24</v>
      </c>
      <c r="G1095" s="72" t="inlineStr">
        <is>
          <t>Compra a Prazo - Boletos</t>
        </is>
      </c>
      <c r="H1095" s="70" t="n">
        <v>1110202</v>
      </c>
      <c r="I1095" s="72" t="inlineStr">
        <is>
          <t>BANCO ITAU Lj 01</t>
        </is>
      </c>
      <c r="J1095" s="70" t="n">
        <v>1377335</v>
      </c>
      <c r="L1095" s="70" t="n">
        <v>567697</v>
      </c>
      <c r="M1095" s="72" t="inlineStr">
        <is>
          <t>01</t>
        </is>
      </c>
      <c r="N1095" s="72" t="inlineStr">
        <is>
          <t>AVU</t>
        </is>
      </c>
      <c r="P1095" s="70" t="n">
        <v>101</v>
      </c>
      <c r="Q1095" s="72" t="inlineStr">
        <is>
          <t>KEILA LIMA</t>
        </is>
      </c>
      <c r="R1095" s="72" t="inlineStr">
        <is>
          <t>DESPESAS COM PESSOAL</t>
        </is>
      </c>
      <c r="S1095" s="70" t="n">
        <v>4210311</v>
      </c>
      <c r="T1095" s="72" t="inlineStr">
        <is>
          <t>PLANOS DE SAUDE</t>
        </is>
      </c>
      <c r="U1095" s="73" t="n">
        <v>126.03</v>
      </c>
      <c r="W1095" s="73" t="n">
        <v>0</v>
      </c>
      <c r="X1095" s="72" t="inlineStr">
        <is>
          <t>SEGURO ODONTO KEILA ELIANA THAI DAVID HELIO - KEILA</t>
        </is>
      </c>
      <c r="Z1095" s="59">
        <f>IF($T1095="","",IFERROR(INDEX('Resumo Grupos'!$AC$3:$AC$200,MATCH($T1095,'Resumo Grupos'!$AB$3:$AB$200,0)),"n/d"))</f>
        <v/>
      </c>
      <c r="AA1095" s="59">
        <f>IF($T1095="","",IF(COUNTIF('Resumo Grupos'!$AE$3:$AE$40,$T1095)&gt;0,"NAO","SIM"))</f>
        <v/>
      </c>
    </row>
    <row r="1096" ht="45.75" customHeight="1" s="60">
      <c r="A1096" s="70" t="n">
        <v>1</v>
      </c>
      <c r="B1096" s="71" t="n">
        <v>46214</v>
      </c>
      <c r="C1096" s="71" t="n">
        <v>46214</v>
      </c>
      <c r="D1096" s="70" t="n">
        <v>978</v>
      </c>
      <c r="E1096" s="72" t="inlineStr">
        <is>
          <t>GELO DANGELO FABRICACAO DE GELO LTDA</t>
        </is>
      </c>
      <c r="F1096" s="70" t="n">
        <v>13</v>
      </c>
      <c r="G1096" s="72" t="inlineStr">
        <is>
          <t>Compra a Vista</t>
        </is>
      </c>
      <c r="H1096" s="70" t="n">
        <v>2110101</v>
      </c>
      <c r="I1096" s="72" t="inlineStr">
        <is>
          <t>FORNECEDORES DE MERCADORIA</t>
        </is>
      </c>
      <c r="J1096" s="70" t="n">
        <v>1396627</v>
      </c>
      <c r="L1096" s="70" t="n">
        <v>361</v>
      </c>
      <c r="M1096" s="72" t="inlineStr">
        <is>
          <t>01</t>
        </is>
      </c>
      <c r="N1096" s="72" t="inlineStr">
        <is>
          <t>NFE</t>
        </is>
      </c>
      <c r="P1096" s="70" t="n">
        <v>104</v>
      </c>
      <c r="Q1096" s="72" t="inlineStr">
        <is>
          <t>DEBORA COSTA</t>
        </is>
      </c>
      <c r="R1096" s="72" t="inlineStr">
        <is>
          <t>ESTOQUE DE MERCADORIAS</t>
        </is>
      </c>
      <c r="S1096" s="70" t="n">
        <v>1130101</v>
      </c>
      <c r="T1096" s="72" t="inlineStr">
        <is>
          <t>MERCADORIAS P/REVENDA</t>
        </is>
      </c>
      <c r="U1096" s="73" t="n">
        <v>405.5</v>
      </c>
      <c r="W1096" s="73" t="n">
        <v>0</v>
      </c>
      <c r="X1096" s="72" t="inlineStr">
        <is>
          <t>361 - DEBORA</t>
        </is>
      </c>
      <c r="Z1096" s="59">
        <f>IF($T1096="","",IFERROR(INDEX('Resumo Grupos'!$AC$3:$AC$200,MATCH($T1096,'Resumo Grupos'!$AB$3:$AB$200,0)),"n/d"))</f>
        <v/>
      </c>
      <c r="AA1096" s="59">
        <f>IF($T1096="","",IF(COUNTIF('Resumo Grupos'!$AE$3:$AE$40,$T1096)&gt;0,"NAO","SIM"))</f>
        <v/>
      </c>
    </row>
    <row r="1097" ht="27.75" customHeight="1" s="60">
      <c r="A1097" s="70" t="n">
        <v>1</v>
      </c>
      <c r="B1097" s="71" t="n">
        <v>46193</v>
      </c>
      <c r="C1097" s="71" t="n">
        <v>46215</v>
      </c>
      <c r="D1097" s="70" t="n">
        <v>1671</v>
      </c>
      <c r="E1097" s="72" t="inlineStr">
        <is>
          <t>TAPAJOS COM DE PERFUMARIA COSMETICOS E G</t>
        </is>
      </c>
      <c r="F1097" s="70" t="n">
        <v>24</v>
      </c>
      <c r="G1097" s="72" t="inlineStr">
        <is>
          <t>Compra a Prazo - Boletos</t>
        </is>
      </c>
      <c r="H1097" s="70" t="n">
        <v>2110101</v>
      </c>
      <c r="I1097" s="72" t="inlineStr">
        <is>
          <t>FORNECEDORES DE MERCADORIA</t>
        </is>
      </c>
      <c r="J1097" s="70" t="n">
        <v>1279710</v>
      </c>
      <c r="L1097" s="70" t="n">
        <v>575595</v>
      </c>
      <c r="M1097" s="72" t="inlineStr">
        <is>
          <t>01</t>
        </is>
      </c>
      <c r="N1097" s="72" t="inlineStr">
        <is>
          <t>NFE</t>
        </is>
      </c>
      <c r="P1097" s="70" t="n">
        <v>103</v>
      </c>
      <c r="Q1097" s="72" t="inlineStr">
        <is>
          <t>MILKA FRANCIS</t>
        </is>
      </c>
      <c r="R1097" s="72" t="inlineStr">
        <is>
          <t>ESTOQUE DE MERCADORIAS</t>
        </is>
      </c>
      <c r="S1097" s="70" t="n">
        <v>1130101</v>
      </c>
      <c r="T1097" s="72" t="inlineStr">
        <is>
          <t>MERCADORIAS P/REVENDA</t>
        </is>
      </c>
      <c r="U1097" s="73" t="n">
        <v>628.5599999999999</v>
      </c>
      <c r="W1097" s="73" t="n">
        <v>0</v>
      </c>
      <c r="X1097" s="72" t="inlineStr">
        <is>
          <t>NF 575595 - MILKA</t>
        </is>
      </c>
      <c r="Z1097" s="59">
        <f>IF($T1097="","",IFERROR(INDEX('Resumo Grupos'!$AC$3:$AC$200,MATCH($T1097,'Resumo Grupos'!$AB$3:$AB$200,0)),"n/d"))</f>
        <v/>
      </c>
      <c r="AA1097" s="59">
        <f>IF($T1097="","",IF(COUNTIF('Resumo Grupos'!$AE$3:$AE$40,$T1097)&gt;0,"NAO","SIM"))</f>
        <v/>
      </c>
    </row>
    <row r="1098" ht="63.75" customHeight="1" s="60">
      <c r="A1098" s="70" t="n">
        <v>1</v>
      </c>
      <c r="B1098" s="71" t="n">
        <v>46195</v>
      </c>
      <c r="C1098" s="71" t="n">
        <v>46215</v>
      </c>
      <c r="D1098" s="70" t="n">
        <v>10011</v>
      </c>
      <c r="E1098" s="72" t="inlineStr">
        <is>
          <t>OPPORTUNITY ALIMENTOS PARA ANIMAIS LTDA</t>
        </is>
      </c>
      <c r="F1098" s="70" t="n">
        <v>24</v>
      </c>
      <c r="G1098" s="72" t="inlineStr">
        <is>
          <t>Compra a Prazo - Boletos</t>
        </is>
      </c>
      <c r="H1098" s="70" t="n">
        <v>2110101</v>
      </c>
      <c r="I1098" s="72" t="inlineStr">
        <is>
          <t>FORNECEDORES DE MERCADORIA</t>
        </is>
      </c>
      <c r="J1098" s="70" t="n">
        <v>1291292</v>
      </c>
      <c r="L1098" s="70" t="n">
        <v>34212</v>
      </c>
      <c r="M1098" s="72" t="inlineStr">
        <is>
          <t>01</t>
        </is>
      </c>
      <c r="N1098" s="72" t="inlineStr">
        <is>
          <t>NFE</t>
        </is>
      </c>
      <c r="P1098" s="70" t="n">
        <v>103</v>
      </c>
      <c r="Q1098" s="72" t="inlineStr">
        <is>
          <t>MILKA FRANCIS</t>
        </is>
      </c>
      <c r="R1098" s="72" t="inlineStr">
        <is>
          <t>ESTOQUE DE MERCADORIAS</t>
        </is>
      </c>
      <c r="S1098" s="70" t="n">
        <v>1130101</v>
      </c>
      <c r="T1098" s="72" t="inlineStr">
        <is>
          <t>MERCADORIAS P/REVENDA</t>
        </is>
      </c>
      <c r="U1098" s="73" t="n">
        <v>1975</v>
      </c>
      <c r="W1098" s="73" t="n">
        <v>0</v>
      </c>
      <c r="X1098" s="72" t="inlineStr">
        <is>
          <t>NF 34212-1 MILKA</t>
        </is>
      </c>
      <c r="Z1098" s="59">
        <f>IF($T1098="","",IFERROR(INDEX('Resumo Grupos'!$AC$3:$AC$200,MATCH($T1098,'Resumo Grupos'!$AB$3:$AB$200,0)),"n/d"))</f>
        <v/>
      </c>
      <c r="AA1098" s="59">
        <f>IF($T1098="","",IF(COUNTIF('Resumo Grupos'!$AE$3:$AE$40,$T1098)&gt;0,"NAO","SIM"))</f>
        <v/>
      </c>
    </row>
    <row r="1099" ht="63.75" customHeight="1" s="60">
      <c r="A1099" s="70" t="n">
        <v>1</v>
      </c>
      <c r="B1099" s="71" t="n">
        <v>46196</v>
      </c>
      <c r="C1099" s="71" t="n">
        <v>46215</v>
      </c>
      <c r="D1099" s="70" t="n">
        <v>1196</v>
      </c>
      <c r="E1099" s="72" t="inlineStr">
        <is>
          <t>VICTORIA COMERCIO INTERNACIONAL DE ALIME</t>
        </is>
      </c>
      <c r="F1099" s="70" t="n">
        <v>24</v>
      </c>
      <c r="G1099" s="72" t="inlineStr">
        <is>
          <t>Compra a Prazo - Boletos</t>
        </is>
      </c>
      <c r="H1099" s="70" t="n">
        <v>2110101</v>
      </c>
      <c r="I1099" s="72" t="inlineStr">
        <is>
          <t>FORNECEDORES DE MERCADORIA</t>
        </is>
      </c>
      <c r="J1099" s="70" t="n">
        <v>1293749</v>
      </c>
      <c r="L1099" s="70" t="n">
        <v>11908</v>
      </c>
      <c r="M1099" s="72" t="inlineStr">
        <is>
          <t>02</t>
        </is>
      </c>
      <c r="N1099" s="72" t="inlineStr">
        <is>
          <t>NFE</t>
        </is>
      </c>
      <c r="P1099" s="70" t="n">
        <v>103</v>
      </c>
      <c r="Q1099" s="72" t="inlineStr">
        <is>
          <t>MILKA FRANCIS</t>
        </is>
      </c>
      <c r="R1099" s="72" t="inlineStr">
        <is>
          <t>ESTOQUE DE MERCADORIAS</t>
        </is>
      </c>
      <c r="S1099" s="70" t="n">
        <v>1130101</v>
      </c>
      <c r="T1099" s="72" t="inlineStr">
        <is>
          <t>MERCADORIAS P/REVENDA</t>
        </is>
      </c>
      <c r="U1099" s="73" t="n">
        <v>495.44</v>
      </c>
      <c r="W1099" s="73" t="n">
        <v>0</v>
      </c>
      <c r="X1099" s="72" t="inlineStr">
        <is>
          <t>12490-B/B  NF11908 - MILKA</t>
        </is>
      </c>
      <c r="Z1099" s="59">
        <f>IF($T1099="","",IFERROR(INDEX('Resumo Grupos'!$AC$3:$AC$200,MATCH($T1099,'Resumo Grupos'!$AB$3:$AB$200,0)),"n/d"))</f>
        <v/>
      </c>
      <c r="AA1099" s="59">
        <f>IF($T1099="","",IF(COUNTIF('Resumo Grupos'!$AE$3:$AE$40,$T1099)&gt;0,"NAO","SIM"))</f>
        <v/>
      </c>
    </row>
    <row r="1100" ht="63.75" customHeight="1" s="60">
      <c r="A1100" s="70" t="n">
        <v>1</v>
      </c>
      <c r="B1100" s="71" t="n">
        <v>46206</v>
      </c>
      <c r="C1100" s="71" t="n">
        <v>46215</v>
      </c>
      <c r="D1100" s="70" t="n">
        <v>1723</v>
      </c>
      <c r="E1100" s="72" t="inlineStr">
        <is>
          <t>COMERCIO DE FRIOS MANAUS LTDA</t>
        </is>
      </c>
      <c r="F1100" s="70" t="n">
        <v>24</v>
      </c>
      <c r="G1100" s="72" t="inlineStr">
        <is>
          <t>Compra a Prazo - Boletos</t>
        </is>
      </c>
      <c r="H1100" s="70" t="n">
        <v>2110101</v>
      </c>
      <c r="I1100" s="72" t="inlineStr">
        <is>
          <t>FORNECEDORES DE MERCADORIA</t>
        </is>
      </c>
      <c r="J1100" s="70" t="n">
        <v>1345749</v>
      </c>
      <c r="L1100" s="70" t="n">
        <v>172527</v>
      </c>
      <c r="M1100" s="72" t="inlineStr">
        <is>
          <t>01</t>
        </is>
      </c>
      <c r="N1100" s="72" t="inlineStr">
        <is>
          <t>NFE</t>
        </is>
      </c>
      <c r="P1100" s="70" t="n">
        <v>103</v>
      </c>
      <c r="Q1100" s="72" t="inlineStr">
        <is>
          <t>MILKA FRANCIS</t>
        </is>
      </c>
      <c r="R1100" s="72" t="inlineStr">
        <is>
          <t>ESTOQUE DE MERCADORIAS</t>
        </is>
      </c>
      <c r="S1100" s="70" t="n">
        <v>1130101</v>
      </c>
      <c r="T1100" s="72" t="inlineStr">
        <is>
          <t>MERCADORIAS P/REVENDA</t>
        </is>
      </c>
      <c r="U1100" s="73" t="n">
        <v>5723.8</v>
      </c>
      <c r="W1100" s="73" t="n">
        <v>0</v>
      </c>
      <c r="X1100" s="72" t="inlineStr">
        <is>
          <t>NF 172527 - MILKA</t>
        </is>
      </c>
      <c r="Z1100" s="59">
        <f>IF($T1100="","",IFERROR(INDEX('Resumo Grupos'!$AC$3:$AC$200,MATCH($T1100,'Resumo Grupos'!$AB$3:$AB$200,0)),"n/d"))</f>
        <v/>
      </c>
      <c r="AA1100" s="59">
        <f>IF($T1100="","",IF(COUNTIF('Resumo Grupos'!$AE$3:$AE$40,$T1100)&gt;0,"NAO","SIM"))</f>
        <v/>
      </c>
    </row>
    <row r="1101" ht="36.75" customHeight="1" s="60">
      <c r="A1101" s="70" t="n">
        <v>1</v>
      </c>
      <c r="B1101" s="71" t="n">
        <v>46105</v>
      </c>
      <c r="C1101" s="71" t="n">
        <v>46216</v>
      </c>
      <c r="D1101" s="70" t="n">
        <v>10056</v>
      </c>
      <c r="E1101" s="72" t="inlineStr">
        <is>
          <t>BOLT CARD</t>
        </is>
      </c>
      <c r="F1101" s="70" t="n">
        <v>42</v>
      </c>
      <c r="G1101" s="72" t="inlineStr">
        <is>
          <t>Cartao Itau Novo 4620 Venc 13</t>
        </is>
      </c>
      <c r="H1101" s="70" t="n">
        <v>2110405</v>
      </c>
      <c r="I1101" s="72" t="inlineStr">
        <is>
          <t>CONTAS A PAGAR</t>
        </is>
      </c>
      <c r="J1101" s="70" t="n">
        <v>848843</v>
      </c>
      <c r="L1101" s="70" t="n">
        <v>363960</v>
      </c>
      <c r="M1101" s="72" t="inlineStr">
        <is>
          <t>04</t>
        </is>
      </c>
      <c r="N1101" s="72" t="inlineStr">
        <is>
          <t>AVU</t>
        </is>
      </c>
      <c r="P1101" s="70" t="n">
        <v>101</v>
      </c>
      <c r="Q1101" s="72" t="inlineStr">
        <is>
          <t>KEILA LIMA</t>
        </is>
      </c>
      <c r="R1101" s="72" t="inlineStr">
        <is>
          <t>DESPESAS NAO OPERACIONAIS</t>
        </is>
      </c>
      <c r="S1101" s="70" t="n">
        <v>4220199</v>
      </c>
      <c r="T1101" s="72" t="inlineStr">
        <is>
          <t>PAGAMENTOS OUTROS NAO OPERACIONAIS</t>
        </is>
      </c>
      <c r="U1101" s="73" t="n">
        <v>333.33</v>
      </c>
      <c r="W1101" s="73" t="n">
        <v>0</v>
      </c>
      <c r="X1101" s="72" t="inlineStr">
        <is>
          <t>DESPESA - CARTAO BRASIL CARD BOLT LOJAS - KEILA</t>
        </is>
      </c>
      <c r="Z1101" s="59">
        <f>IF($T1101="","",IFERROR(INDEX('Resumo Grupos'!$AC$3:$AC$200,MATCH($T1101,'Resumo Grupos'!$AB$3:$AB$200,0)),"n/d"))</f>
        <v/>
      </c>
      <c r="AA1101" s="59">
        <f>IF($T1101="","",IF(COUNTIF('Resumo Grupos'!$AE$3:$AE$40,$T1101)&gt;0,"NAO","SIM"))</f>
        <v/>
      </c>
    </row>
    <row r="1102" ht="45.75" customHeight="1" s="60">
      <c r="A1102" s="70" t="n">
        <v>1</v>
      </c>
      <c r="B1102" s="71" t="n">
        <v>46164</v>
      </c>
      <c r="C1102" s="71" t="n">
        <v>46216</v>
      </c>
      <c r="D1102" s="70" t="n">
        <v>515</v>
      </c>
      <c r="E1102" s="72" t="inlineStr">
        <is>
          <t>ITAU SA</t>
        </is>
      </c>
      <c r="F1102" s="70" t="n">
        <v>34</v>
      </c>
      <c r="G1102" s="72" t="inlineStr">
        <is>
          <t>Transferencia Pix</t>
        </is>
      </c>
      <c r="H1102" s="70" t="n">
        <v>2110405</v>
      </c>
      <c r="I1102" s="72" t="inlineStr">
        <is>
          <t>CONTAS A PAGAR</t>
        </is>
      </c>
      <c r="J1102" s="70" t="n">
        <v>1137849</v>
      </c>
      <c r="L1102" s="70" t="n">
        <v>474941</v>
      </c>
      <c r="M1102" s="72" t="inlineStr">
        <is>
          <t>02</t>
        </is>
      </c>
      <c r="N1102" s="72" t="inlineStr">
        <is>
          <t>AVU</t>
        </is>
      </c>
      <c r="P1102" s="70" t="n">
        <v>101</v>
      </c>
      <c r="Q1102" s="72" t="inlineStr">
        <is>
          <t>KEILA LIMA</t>
        </is>
      </c>
      <c r="R1102" s="72" t="inlineStr">
        <is>
          <t>EMPRESTIMOS BANCARIOS</t>
        </is>
      </c>
      <c r="S1102" s="70" t="n">
        <v>2110901</v>
      </c>
      <c r="T1102" s="72" t="inlineStr">
        <is>
          <t>EMPRESTIMOS BANCARIOS A PAGAR</t>
        </is>
      </c>
      <c r="U1102" s="73" t="n">
        <v>15770.14</v>
      </c>
      <c r="W1102" s="73" t="n">
        <v>0</v>
      </c>
      <c r="X1102" s="72" t="inlineStr">
        <is>
          <t>PARC 09/48 PARC GIRO MO1 - KEILA</t>
        </is>
      </c>
      <c r="Z1102" s="59">
        <f>IF($T1102="","",IFERROR(INDEX('Resumo Grupos'!$AC$3:$AC$200,MATCH($T1102,'Resumo Grupos'!$AB$3:$AB$200,0)),"n/d"))</f>
        <v/>
      </c>
      <c r="AA1102" s="59">
        <f>IF($T1102="","",IF(COUNTIF('Resumo Grupos'!$AE$3:$AE$40,$T1102)&gt;0,"NAO","SIM"))</f>
        <v/>
      </c>
    </row>
    <row r="1103" ht="45.75" customHeight="1" s="60">
      <c r="A1103" s="70" t="n">
        <v>1</v>
      </c>
      <c r="B1103" s="71" t="n">
        <v>46188</v>
      </c>
      <c r="C1103" s="71" t="n">
        <v>46216</v>
      </c>
      <c r="D1103" s="70" t="n">
        <v>1608</v>
      </c>
      <c r="E1103" s="72" t="inlineStr">
        <is>
          <t>DISTRIBUIDORA LOPES LTDA</t>
        </is>
      </c>
      <c r="F1103" s="70" t="n">
        <v>24</v>
      </c>
      <c r="G1103" s="72" t="inlineStr">
        <is>
          <t>Compra a Prazo - Boletos</t>
        </is>
      </c>
      <c r="H1103" s="70" t="n">
        <v>2110101</v>
      </c>
      <c r="I1103" s="72" t="inlineStr">
        <is>
          <t>FORNECEDORES DE MERCADORIA</t>
        </is>
      </c>
      <c r="J1103" s="70" t="n">
        <v>1256599</v>
      </c>
      <c r="L1103" s="70" t="n">
        <v>1672665</v>
      </c>
      <c r="M1103" s="72" t="inlineStr">
        <is>
          <t>01</t>
        </is>
      </c>
      <c r="N1103" s="72" t="inlineStr">
        <is>
          <t>NFE</t>
        </is>
      </c>
      <c r="P1103" s="70" t="n">
        <v>103</v>
      </c>
      <c r="Q1103" s="72" t="inlineStr">
        <is>
          <t>MILKA FRANCIS</t>
        </is>
      </c>
      <c r="R1103" s="72" t="inlineStr">
        <is>
          <t>ESTOQUE DE MERCADORIAS</t>
        </is>
      </c>
      <c r="S1103" s="70" t="n">
        <v>1130101</v>
      </c>
      <c r="T1103" s="72" t="inlineStr">
        <is>
          <t>MERCADORIAS P/REVENDA</t>
        </is>
      </c>
      <c r="U1103" s="73" t="n">
        <v>1878.71</v>
      </c>
      <c r="W1103" s="73" t="n">
        <v>0</v>
      </c>
      <c r="X1103" s="72" t="inlineStr">
        <is>
          <t>NF 1672665 - MILKA</t>
        </is>
      </c>
      <c r="Z1103" s="59">
        <f>IF($T1103="","",IFERROR(INDEX('Resumo Grupos'!$AC$3:$AC$200,MATCH($T1103,'Resumo Grupos'!$AB$3:$AB$200,0)),"n/d"))</f>
        <v/>
      </c>
      <c r="AA1103" s="59">
        <f>IF($T1103="","",IF(COUNTIF('Resumo Grupos'!$AE$3:$AE$40,$T1103)&gt;0,"NAO","SIM"))</f>
        <v/>
      </c>
    </row>
    <row r="1104" ht="36.75" customHeight="1" s="60">
      <c r="A1104" s="70" t="n">
        <v>1</v>
      </c>
      <c r="B1104" s="71" t="n">
        <v>46192</v>
      </c>
      <c r="C1104" s="71" t="n">
        <v>46216</v>
      </c>
      <c r="D1104" s="70" t="n">
        <v>957</v>
      </c>
      <c r="E1104" s="72" t="inlineStr">
        <is>
          <t>FUNNY PET DISTRIBUIDORA DE ALIMENTOS PAR</t>
        </is>
      </c>
      <c r="F1104" s="70" t="n">
        <v>24</v>
      </c>
      <c r="G1104" s="72" t="inlineStr">
        <is>
          <t>Compra a Prazo - Boletos</t>
        </is>
      </c>
      <c r="H1104" s="70" t="n">
        <v>2110101</v>
      </c>
      <c r="I1104" s="72" t="inlineStr">
        <is>
          <t>FORNECEDORES DE MERCADORIA</t>
        </is>
      </c>
      <c r="J1104" s="70" t="n">
        <v>1273051</v>
      </c>
      <c r="L1104" s="70" t="n">
        <v>20498</v>
      </c>
      <c r="M1104" s="72" t="inlineStr">
        <is>
          <t>01</t>
        </is>
      </c>
      <c r="N1104" s="72" t="inlineStr">
        <is>
          <t>NFE</t>
        </is>
      </c>
      <c r="P1104" s="70" t="n">
        <v>103</v>
      </c>
      <c r="Q1104" s="72" t="inlineStr">
        <is>
          <t>MILKA FRANCIS</t>
        </is>
      </c>
      <c r="R1104" s="72" t="inlineStr">
        <is>
          <t>ESTOQUE DE MERCADORIAS</t>
        </is>
      </c>
      <c r="S1104" s="70" t="n">
        <v>1130101</v>
      </c>
      <c r="T1104" s="72" t="inlineStr">
        <is>
          <t>MERCADORIAS P/REVENDA</t>
        </is>
      </c>
      <c r="U1104" s="73" t="n">
        <v>8427.059999999999</v>
      </c>
      <c r="W1104" s="73" t="n">
        <v>0</v>
      </c>
      <c r="X1104" s="72" t="inlineStr">
        <is>
          <t>NF 20498-1 MILKA</t>
        </is>
      </c>
      <c r="Z1104" s="59">
        <f>IF($T1104="","",IFERROR(INDEX('Resumo Grupos'!$AC$3:$AC$200,MATCH($T1104,'Resumo Grupos'!$AB$3:$AB$200,0)),"n/d"))</f>
        <v/>
      </c>
      <c r="AA1104" s="59">
        <f>IF($T1104="","",IF(COUNTIF('Resumo Grupos'!$AE$3:$AE$40,$T1104)&gt;0,"NAO","SIM"))</f>
        <v/>
      </c>
    </row>
    <row r="1105" ht="36.75" customHeight="1" s="60">
      <c r="A1105" s="70" t="n">
        <v>1</v>
      </c>
      <c r="B1105" s="71" t="n">
        <v>46193</v>
      </c>
      <c r="C1105" s="71" t="n">
        <v>46216</v>
      </c>
      <c r="D1105" s="70" t="n">
        <v>1608</v>
      </c>
      <c r="E1105" s="72" t="inlineStr">
        <is>
          <t>DISTRIBUIDORA LOPES LTDA</t>
        </is>
      </c>
      <c r="F1105" s="70" t="n">
        <v>24</v>
      </c>
      <c r="G1105" s="72" t="inlineStr">
        <is>
          <t>Compra a Prazo - Boletos</t>
        </is>
      </c>
      <c r="H1105" s="70" t="n">
        <v>2110101</v>
      </c>
      <c r="I1105" s="72" t="inlineStr">
        <is>
          <t>FORNECEDORES DE MERCADORIA</t>
        </is>
      </c>
      <c r="J1105" s="70" t="n">
        <v>1279794</v>
      </c>
      <c r="L1105" s="70" t="n">
        <v>1677170</v>
      </c>
      <c r="M1105" s="72" t="inlineStr">
        <is>
          <t>01</t>
        </is>
      </c>
      <c r="N1105" s="72" t="inlineStr">
        <is>
          <t>NFE</t>
        </is>
      </c>
      <c r="P1105" s="70" t="n">
        <v>103</v>
      </c>
      <c r="Q1105" s="72" t="inlineStr">
        <is>
          <t>MILKA FRANCIS</t>
        </is>
      </c>
      <c r="R1105" s="72" t="inlineStr">
        <is>
          <t>ESTOQUE DE MERCADORIAS</t>
        </is>
      </c>
      <c r="S1105" s="70" t="n">
        <v>1130101</v>
      </c>
      <c r="T1105" s="72" t="inlineStr">
        <is>
          <t>MERCADORIAS P/REVENDA</t>
        </is>
      </c>
      <c r="U1105" s="73" t="n">
        <v>1680.21</v>
      </c>
      <c r="W1105" s="73" t="n">
        <v>0</v>
      </c>
      <c r="X1105" s="72" t="inlineStr">
        <is>
          <t>NF 1677170-1 MILKA</t>
        </is>
      </c>
      <c r="Z1105" s="59">
        <f>IF($T1105="","",IFERROR(INDEX('Resumo Grupos'!$AC$3:$AC$200,MATCH($T1105,'Resumo Grupos'!$AB$3:$AB$200,0)),"n/d"))</f>
        <v/>
      </c>
      <c r="AA1105" s="59">
        <f>IF($T1105="","",IF(COUNTIF('Resumo Grupos'!$AE$3:$AE$40,$T1105)&gt;0,"NAO","SIM"))</f>
        <v/>
      </c>
    </row>
    <row r="1106" ht="45.75" customHeight="1" s="60">
      <c r="A1106" s="70" t="n">
        <v>1</v>
      </c>
      <c r="B1106" s="71" t="n">
        <v>46195</v>
      </c>
      <c r="C1106" s="71" t="n">
        <v>46216</v>
      </c>
      <c r="D1106" s="70" t="n">
        <v>1637</v>
      </c>
      <c r="E1106" s="72" t="inlineStr">
        <is>
          <t>ATACADAO S.A.</t>
        </is>
      </c>
      <c r="F1106" s="70" t="n">
        <v>24</v>
      </c>
      <c r="G1106" s="72" t="inlineStr">
        <is>
          <t>Compra a Prazo - Boletos</t>
        </is>
      </c>
      <c r="H1106" s="70" t="n">
        <v>2110101</v>
      </c>
      <c r="I1106" s="72" t="inlineStr">
        <is>
          <t>FORNECEDORES DE MERCADORIA</t>
        </is>
      </c>
      <c r="J1106" s="70" t="n">
        <v>1291426</v>
      </c>
      <c r="L1106" s="70" t="n">
        <v>1894397</v>
      </c>
      <c r="M1106" s="72" t="inlineStr">
        <is>
          <t>01</t>
        </is>
      </c>
      <c r="N1106" s="72" t="inlineStr">
        <is>
          <t>NFE</t>
        </is>
      </c>
      <c r="P1106" s="70" t="n">
        <v>103</v>
      </c>
      <c r="Q1106" s="72" t="inlineStr">
        <is>
          <t>MILKA FRANCIS</t>
        </is>
      </c>
      <c r="R1106" s="72" t="inlineStr">
        <is>
          <t>ESTOQUE DE MERCADORIAS</t>
        </is>
      </c>
      <c r="S1106" s="70" t="n">
        <v>1130101</v>
      </c>
      <c r="T1106" s="72" t="inlineStr">
        <is>
          <t>MERCADORIAS P/REVENDA</t>
        </is>
      </c>
      <c r="U1106" s="73" t="n">
        <v>1035</v>
      </c>
      <c r="W1106" s="73" t="n">
        <v>0</v>
      </c>
      <c r="X1106" s="72" t="inlineStr">
        <is>
          <t>NF 1894397 - MILKA</t>
        </is>
      </c>
      <c r="Z1106" s="59">
        <f>IF($T1106="","",IFERROR(INDEX('Resumo Grupos'!$AC$3:$AC$200,MATCH($T1106,'Resumo Grupos'!$AB$3:$AB$200,0)),"n/d"))</f>
        <v/>
      </c>
      <c r="AA1106" s="59">
        <f>IF($T1106="","",IF(COUNTIF('Resumo Grupos'!$AE$3:$AE$40,$T1106)&gt;0,"NAO","SIM"))</f>
        <v/>
      </c>
    </row>
    <row r="1107" ht="45.75" customHeight="1" s="60">
      <c r="A1107" s="70" t="n">
        <v>1</v>
      </c>
      <c r="B1107" s="71" t="n">
        <v>46196</v>
      </c>
      <c r="C1107" s="71" t="n">
        <v>46216</v>
      </c>
      <c r="D1107" s="70" t="n">
        <v>1107</v>
      </c>
      <c r="E1107" s="72" t="inlineStr">
        <is>
          <t>OESA COMERCIO E REPRESENTACOES S/A</t>
        </is>
      </c>
      <c r="F1107" s="70" t="n">
        <v>24</v>
      </c>
      <c r="G1107" s="72" t="inlineStr">
        <is>
          <t>Compra a Prazo - Boletos</t>
        </is>
      </c>
      <c r="H1107" s="70" t="n">
        <v>2110101</v>
      </c>
      <c r="I1107" s="72" t="inlineStr">
        <is>
          <t>FORNECEDORES DE MERCADORIA</t>
        </is>
      </c>
      <c r="J1107" s="70" t="n">
        <v>1294118</v>
      </c>
      <c r="L1107" s="70" t="n">
        <v>419583</v>
      </c>
      <c r="M1107" s="72" t="inlineStr">
        <is>
          <t>01</t>
        </is>
      </c>
      <c r="N1107" s="72" t="inlineStr">
        <is>
          <t>NFE</t>
        </is>
      </c>
      <c r="P1107" s="70" t="n">
        <v>103</v>
      </c>
      <c r="Q1107" s="72" t="inlineStr">
        <is>
          <t>MILKA FRANCIS</t>
        </is>
      </c>
      <c r="R1107" s="72" t="inlineStr">
        <is>
          <t>ESTOQUE DE MERCADORIAS</t>
        </is>
      </c>
      <c r="S1107" s="70" t="n">
        <v>1130101</v>
      </c>
      <c r="T1107" s="72" t="inlineStr">
        <is>
          <t>MERCADORIAS P/REVENDA</t>
        </is>
      </c>
      <c r="U1107" s="73" t="n">
        <v>1350.99</v>
      </c>
      <c r="W1107" s="73" t="n">
        <v>0</v>
      </c>
      <c r="X1107" s="72" t="inlineStr">
        <is>
          <t>NF 419583-1 MILKA</t>
        </is>
      </c>
      <c r="Z1107" s="59">
        <f>IF($T1107="","",IFERROR(INDEX('Resumo Grupos'!$AC$3:$AC$200,MATCH($T1107,'Resumo Grupos'!$AB$3:$AB$200,0)),"n/d"))</f>
        <v/>
      </c>
      <c r="AA1107" s="59">
        <f>IF($T1107="","",IF(COUNTIF('Resumo Grupos'!$AE$3:$AE$40,$T1107)&gt;0,"NAO","SIM"))</f>
        <v/>
      </c>
    </row>
    <row r="1108" ht="45.75" customHeight="1" s="60">
      <c r="A1108" s="70" t="n">
        <v>1</v>
      </c>
      <c r="B1108" s="71" t="n">
        <v>46196</v>
      </c>
      <c r="C1108" s="71" t="n">
        <v>46216</v>
      </c>
      <c r="D1108" s="70" t="n">
        <v>1616</v>
      </c>
      <c r="E1108" s="72" t="inlineStr">
        <is>
          <t>DURAES DISTRIBUIDORA DE ESTIVAS LTDA</t>
        </is>
      </c>
      <c r="F1108" s="70" t="n">
        <v>24</v>
      </c>
      <c r="G1108" s="72" t="inlineStr">
        <is>
          <t>Compra a Prazo - Boletos</t>
        </is>
      </c>
      <c r="H1108" s="70" t="n">
        <v>2110101</v>
      </c>
      <c r="I1108" s="72" t="inlineStr">
        <is>
          <t>FORNECEDORES DE MERCADORIA</t>
        </is>
      </c>
      <c r="J1108" s="70" t="n">
        <v>1296431</v>
      </c>
      <c r="L1108" s="70" t="n">
        <v>646739</v>
      </c>
      <c r="M1108" s="72" t="inlineStr">
        <is>
          <t>01</t>
        </is>
      </c>
      <c r="N1108" s="72" t="inlineStr">
        <is>
          <t>NFE</t>
        </is>
      </c>
      <c r="P1108" s="70" t="n">
        <v>103</v>
      </c>
      <c r="Q1108" s="72" t="inlineStr">
        <is>
          <t>MILKA FRANCIS</t>
        </is>
      </c>
      <c r="R1108" s="72" t="inlineStr">
        <is>
          <t>ESTOQUE DE MERCADORIAS</t>
        </is>
      </c>
      <c r="S1108" s="70" t="n">
        <v>1130101</v>
      </c>
      <c r="T1108" s="72" t="inlineStr">
        <is>
          <t>MERCADORIAS P/REVENDA</t>
        </is>
      </c>
      <c r="U1108" s="73" t="n">
        <v>924.1799999999999</v>
      </c>
      <c r="W1108" s="73" t="n">
        <v>0</v>
      </c>
      <c r="X1108" s="72" t="inlineStr">
        <is>
          <t>NF 646739 - MILKA</t>
        </is>
      </c>
      <c r="Z1108" s="59">
        <f>IF($T1108="","",IFERROR(INDEX('Resumo Grupos'!$AC$3:$AC$200,MATCH($T1108,'Resumo Grupos'!$AB$3:$AB$200,0)),"n/d"))</f>
        <v/>
      </c>
      <c r="AA1108" s="59">
        <f>IF($T1108="","",IF(COUNTIF('Resumo Grupos'!$AE$3:$AE$40,$T1108)&gt;0,"NAO","SIM"))</f>
        <v/>
      </c>
    </row>
    <row r="1109" ht="45.75" customHeight="1" s="60">
      <c r="A1109" s="70" t="n">
        <v>1</v>
      </c>
      <c r="B1109" s="71" t="n">
        <v>46199</v>
      </c>
      <c r="C1109" s="71" t="n">
        <v>46216</v>
      </c>
      <c r="D1109" s="70" t="n">
        <v>1621</v>
      </c>
      <c r="E1109" s="72" t="inlineStr">
        <is>
          <t>CRBS S/A</t>
        </is>
      </c>
      <c r="F1109" s="70" t="n">
        <v>24</v>
      </c>
      <c r="G1109" s="72" t="inlineStr">
        <is>
          <t>Compra a Prazo - Boletos</t>
        </is>
      </c>
      <c r="H1109" s="70" t="n">
        <v>2110101</v>
      </c>
      <c r="I1109" s="72" t="inlineStr">
        <is>
          <t>FORNECEDORES DE MERCADORIA</t>
        </is>
      </c>
      <c r="J1109" s="70" t="n">
        <v>1309766</v>
      </c>
      <c r="L1109" s="70" t="n">
        <v>875364</v>
      </c>
      <c r="M1109" s="72" t="inlineStr">
        <is>
          <t>01</t>
        </is>
      </c>
      <c r="N1109" s="72" t="inlineStr">
        <is>
          <t>NFE</t>
        </is>
      </c>
      <c r="P1109" s="70" t="n">
        <v>103</v>
      </c>
      <c r="Q1109" s="72" t="inlineStr">
        <is>
          <t>MILKA FRANCIS</t>
        </is>
      </c>
      <c r="R1109" s="72" t="inlineStr">
        <is>
          <t>ESTOQUE DE MERCADORIAS</t>
        </is>
      </c>
      <c r="S1109" s="70" t="n">
        <v>1130101</v>
      </c>
      <c r="T1109" s="72" t="inlineStr">
        <is>
          <t>MERCADORIAS P/REVENDA</t>
        </is>
      </c>
      <c r="U1109" s="73" t="n">
        <v>169.18</v>
      </c>
      <c r="W1109" s="73" t="n">
        <v>0</v>
      </c>
      <c r="X1109" s="72" t="inlineStr">
        <is>
          <t>NF 875364 - MILKA</t>
        </is>
      </c>
      <c r="Z1109" s="59">
        <f>IF($T1109="","",IFERROR(INDEX('Resumo Grupos'!$AC$3:$AC$200,MATCH($T1109,'Resumo Grupos'!$AB$3:$AB$200,0)),"n/d"))</f>
        <v/>
      </c>
      <c r="AA1109" s="59">
        <f>IF($T1109="","",IF(COUNTIF('Resumo Grupos'!$AE$3:$AE$40,$T1109)&gt;0,"NAO","SIM"))</f>
        <v/>
      </c>
    </row>
    <row r="1110" ht="45.75" customHeight="1" s="60">
      <c r="A1110" s="70" t="n">
        <v>1</v>
      </c>
      <c r="B1110" s="71" t="n">
        <v>46199</v>
      </c>
      <c r="C1110" s="71" t="n">
        <v>46216</v>
      </c>
      <c r="D1110" s="70" t="n">
        <v>1621</v>
      </c>
      <c r="E1110" s="72" t="inlineStr">
        <is>
          <t>CRBS S/A</t>
        </is>
      </c>
      <c r="F1110" s="70" t="n">
        <v>24</v>
      </c>
      <c r="G1110" s="72" t="inlineStr">
        <is>
          <t>Compra a Prazo - Boletos</t>
        </is>
      </c>
      <c r="H1110" s="70" t="n">
        <v>2110101</v>
      </c>
      <c r="I1110" s="72" t="inlineStr">
        <is>
          <t>FORNECEDORES DE MERCADORIA</t>
        </is>
      </c>
      <c r="J1110" s="70" t="n">
        <v>1309771</v>
      </c>
      <c r="L1110" s="70" t="n">
        <v>875363</v>
      </c>
      <c r="M1110" s="72" t="inlineStr">
        <is>
          <t>01</t>
        </is>
      </c>
      <c r="N1110" s="72" t="inlineStr">
        <is>
          <t>NFE</t>
        </is>
      </c>
      <c r="P1110" s="70" t="n">
        <v>103</v>
      </c>
      <c r="Q1110" s="72" t="inlineStr">
        <is>
          <t>MILKA FRANCIS</t>
        </is>
      </c>
      <c r="R1110" s="72" t="inlineStr">
        <is>
          <t>ESTOQUE DE MERCADORIAS</t>
        </is>
      </c>
      <c r="S1110" s="70" t="n">
        <v>1130101</v>
      </c>
      <c r="T1110" s="72" t="inlineStr">
        <is>
          <t>MERCADORIAS P/REVENDA</t>
        </is>
      </c>
      <c r="U1110" s="73" t="n">
        <v>325.67</v>
      </c>
      <c r="W1110" s="73" t="n">
        <v>0</v>
      </c>
      <c r="X1110" s="72" t="inlineStr">
        <is>
          <t>NF 875363 - MILKA</t>
        </is>
      </c>
      <c r="Z1110" s="59">
        <f>IF($T1110="","",IFERROR(INDEX('Resumo Grupos'!$AC$3:$AC$200,MATCH($T1110,'Resumo Grupos'!$AB$3:$AB$200,0)),"n/d"))</f>
        <v/>
      </c>
      <c r="AA1110" s="59">
        <f>IF($T1110="","",IF(COUNTIF('Resumo Grupos'!$AE$3:$AE$40,$T1110)&gt;0,"NAO","SIM"))</f>
        <v/>
      </c>
    </row>
    <row r="1111" ht="45.75" customHeight="1" s="60">
      <c r="A1111" s="70" t="n">
        <v>1</v>
      </c>
      <c r="B1111" s="71" t="n">
        <v>46202</v>
      </c>
      <c r="C1111" s="71" t="n">
        <v>46216</v>
      </c>
      <c r="D1111" s="70" t="n">
        <v>1659</v>
      </c>
      <c r="E1111" s="72" t="inlineStr">
        <is>
          <t>ADRIANA DISTRIBUIDORA DE PRODUTOS ALIMEN</t>
        </is>
      </c>
      <c r="F1111" s="70" t="n">
        <v>24</v>
      </c>
      <c r="G1111" s="72" t="inlineStr">
        <is>
          <t>Compra a Prazo - Boletos</t>
        </is>
      </c>
      <c r="H1111" s="70" t="n">
        <v>2110101</v>
      </c>
      <c r="I1111" s="72" t="inlineStr">
        <is>
          <t>FORNECEDORES DE MERCADORIA</t>
        </is>
      </c>
      <c r="J1111" s="70" t="n">
        <v>1323112</v>
      </c>
      <c r="L1111" s="70" t="n">
        <v>882141</v>
      </c>
      <c r="M1111" s="72" t="inlineStr">
        <is>
          <t>01</t>
        </is>
      </c>
      <c r="N1111" s="72" t="inlineStr">
        <is>
          <t>NFE</t>
        </is>
      </c>
      <c r="P1111" s="70" t="n">
        <v>103</v>
      </c>
      <c r="Q1111" s="72" t="inlineStr">
        <is>
          <t>MILKA FRANCIS</t>
        </is>
      </c>
      <c r="R1111" s="72" t="inlineStr">
        <is>
          <t>ESTOQUE DE MERCADORIAS</t>
        </is>
      </c>
      <c r="S1111" s="70" t="n">
        <v>1130101</v>
      </c>
      <c r="T1111" s="72" t="inlineStr">
        <is>
          <t>MERCADORIAS P/REVENDA</t>
        </is>
      </c>
      <c r="U1111" s="73" t="n">
        <v>1326.94</v>
      </c>
      <c r="W1111" s="73" t="n">
        <v>0</v>
      </c>
      <c r="X1111" s="72" t="inlineStr">
        <is>
          <t>NF 882141 -1 MILKA</t>
        </is>
      </c>
      <c r="Z1111" s="59">
        <f>IF($T1111="","",IFERROR(INDEX('Resumo Grupos'!$AC$3:$AC$200,MATCH($T1111,'Resumo Grupos'!$AB$3:$AB$200,0)),"n/d"))</f>
        <v/>
      </c>
      <c r="AA1111" s="59">
        <f>IF($T1111="","",IF(COUNTIF('Resumo Grupos'!$AE$3:$AE$40,$T1111)&gt;0,"NAO","SIM"))</f>
        <v/>
      </c>
    </row>
    <row r="1112" ht="36.75" customHeight="1" s="60">
      <c r="A1112" s="70" t="n">
        <v>1</v>
      </c>
      <c r="B1112" s="71" t="n">
        <v>46203</v>
      </c>
      <c r="C1112" s="71" t="n">
        <v>46216</v>
      </c>
      <c r="D1112" s="70" t="n">
        <v>10037</v>
      </c>
      <c r="E1112" s="72" t="inlineStr">
        <is>
          <t>FORTVET DISTRIBUIDORA LTDA</t>
        </is>
      </c>
      <c r="F1112" s="70" t="n">
        <v>24</v>
      </c>
      <c r="G1112" s="72" t="inlineStr">
        <is>
          <t>Compra a Prazo - Boletos</t>
        </is>
      </c>
      <c r="H1112" s="70" t="n">
        <v>2110101</v>
      </c>
      <c r="I1112" s="72" t="inlineStr">
        <is>
          <t>FORNECEDORES DE MERCADORIA</t>
        </is>
      </c>
      <c r="J1112" s="70" t="n">
        <v>1329937</v>
      </c>
      <c r="L1112" s="70" t="n">
        <v>2524</v>
      </c>
      <c r="M1112" s="72" t="inlineStr">
        <is>
          <t>01</t>
        </is>
      </c>
      <c r="N1112" s="72" t="inlineStr">
        <is>
          <t>NFE</t>
        </is>
      </c>
      <c r="P1112" s="70" t="n">
        <v>103</v>
      </c>
      <c r="Q1112" s="72" t="inlineStr">
        <is>
          <t>MILKA FRANCIS</t>
        </is>
      </c>
      <c r="R1112" s="72" t="inlineStr">
        <is>
          <t>ESTOQUE DE MERCADORIAS</t>
        </is>
      </c>
      <c r="S1112" s="70" t="n">
        <v>1130101</v>
      </c>
      <c r="T1112" s="72" t="inlineStr">
        <is>
          <t>MERCADORIAS P/REVENDA</t>
        </is>
      </c>
      <c r="U1112" s="73" t="n">
        <v>663.8099999999999</v>
      </c>
      <c r="W1112" s="73" t="n">
        <v>0</v>
      </c>
      <c r="X1112" s="72" t="inlineStr">
        <is>
          <t>NF 2524-1 MILKA</t>
        </is>
      </c>
      <c r="Z1112" s="59">
        <f>IF($T1112="","",IFERROR(INDEX('Resumo Grupos'!$AC$3:$AC$200,MATCH($T1112,'Resumo Grupos'!$AB$3:$AB$200,0)),"n/d"))</f>
        <v/>
      </c>
      <c r="AA1112" s="59">
        <f>IF($T1112="","",IF(COUNTIF('Resumo Grupos'!$AE$3:$AE$40,$T1112)&gt;0,"NAO","SIM"))</f>
        <v/>
      </c>
    </row>
    <row r="1113" ht="36.75" customHeight="1" s="60">
      <c r="A1113" s="70" t="n">
        <v>1</v>
      </c>
      <c r="B1113" s="71" t="n">
        <v>46204</v>
      </c>
      <c r="C1113" s="71" t="n">
        <v>46216</v>
      </c>
      <c r="D1113" s="70" t="n">
        <v>1357</v>
      </c>
      <c r="E1113" s="72" t="inlineStr">
        <is>
          <t>DISPPAN DISTRIBUIDORA DE PRODUTOS PARA PANIFICACAO LTDA</t>
        </is>
      </c>
      <c r="F1113" s="70" t="n">
        <v>24</v>
      </c>
      <c r="G1113" s="72" t="inlineStr">
        <is>
          <t>Compra a Prazo - Boletos</t>
        </is>
      </c>
      <c r="H1113" s="70" t="n">
        <v>2110102</v>
      </c>
      <c r="I1113" s="72" t="inlineStr">
        <is>
          <t>OUTROS FORNECEDORES</t>
        </is>
      </c>
      <c r="J1113" s="70" t="n">
        <v>1334239</v>
      </c>
      <c r="L1113" s="70" t="n">
        <v>280092</v>
      </c>
      <c r="M1113" s="72" t="inlineStr">
        <is>
          <t>02</t>
        </is>
      </c>
      <c r="N1113" s="72" t="inlineStr">
        <is>
          <t>NFE</t>
        </is>
      </c>
      <c r="P1113" s="70" t="n">
        <v>103</v>
      </c>
      <c r="Q1113" s="72" t="inlineStr">
        <is>
          <t>MILKA FRANCIS</t>
        </is>
      </c>
      <c r="R1113" s="72" t="inlineStr">
        <is>
          <t>DESPESAS OPERACIONAIS</t>
        </is>
      </c>
      <c r="S1113" s="70" t="n">
        <v>4210204</v>
      </c>
      <c r="T1113" s="72" t="inlineStr">
        <is>
          <t>MATERIAL DE CONSUMO</t>
        </is>
      </c>
      <c r="U1113" s="73" t="n">
        <v>288.85</v>
      </c>
      <c r="W1113" s="73" t="n">
        <v>0</v>
      </c>
      <c r="X1113" s="72" t="inlineStr">
        <is>
          <t>NF 280092-2 MILKA</t>
        </is>
      </c>
      <c r="Z1113" s="59">
        <f>IF($T1113="","",IFERROR(INDEX('Resumo Grupos'!$AC$3:$AC$200,MATCH($T1113,'Resumo Grupos'!$AB$3:$AB$200,0)),"n/d"))</f>
        <v/>
      </c>
      <c r="AA1113" s="59">
        <f>IF($T1113="","",IF(COUNTIF('Resumo Grupos'!$AE$3:$AE$40,$T1113)&gt;0,"NAO","SIM"))</f>
        <v/>
      </c>
    </row>
    <row r="1114" ht="36.75" customHeight="1" s="60">
      <c r="A1114" s="70" t="n">
        <v>1</v>
      </c>
      <c r="B1114" s="71" t="n">
        <v>46204</v>
      </c>
      <c r="C1114" s="71" t="n">
        <v>46216</v>
      </c>
      <c r="D1114" s="70" t="n">
        <v>1196</v>
      </c>
      <c r="E1114" s="72" t="inlineStr">
        <is>
          <t>VICTORIA COMERCIO INTERNACIONAL DE ALIME</t>
        </is>
      </c>
      <c r="F1114" s="70" t="n">
        <v>24</v>
      </c>
      <c r="G1114" s="72" t="inlineStr">
        <is>
          <t>Compra a Prazo - Boletos</t>
        </is>
      </c>
      <c r="H1114" s="70" t="n">
        <v>2110101</v>
      </c>
      <c r="I1114" s="72" t="inlineStr">
        <is>
          <t>FORNECEDORES DE MERCADORIA</t>
        </is>
      </c>
      <c r="J1114" s="70" t="n">
        <v>1334569</v>
      </c>
      <c r="L1114" s="70" t="n">
        <v>12051</v>
      </c>
      <c r="M1114" s="72" t="inlineStr">
        <is>
          <t>01</t>
        </is>
      </c>
      <c r="N1114" s="72" t="inlineStr">
        <is>
          <t>NFE</t>
        </is>
      </c>
      <c r="P1114" s="70" t="n">
        <v>103</v>
      </c>
      <c r="Q1114" s="72" t="inlineStr">
        <is>
          <t>MILKA FRANCIS</t>
        </is>
      </c>
      <c r="R1114" s="72" t="inlineStr">
        <is>
          <t>ESTOQUE DE MERCADORIAS</t>
        </is>
      </c>
      <c r="S1114" s="70" t="n">
        <v>1130101</v>
      </c>
      <c r="T1114" s="72" t="inlineStr">
        <is>
          <t>MERCADORIAS P/REVENDA</t>
        </is>
      </c>
      <c r="U1114" s="73" t="n">
        <v>1393.33</v>
      </c>
      <c r="W1114" s="73" t="n">
        <v>0</v>
      </c>
      <c r="X1114" s="72" t="inlineStr">
        <is>
          <t>NF 12051 - MILKA</t>
        </is>
      </c>
      <c r="Z1114" s="59">
        <f>IF($T1114="","",IFERROR(INDEX('Resumo Grupos'!$AC$3:$AC$200,MATCH($T1114,'Resumo Grupos'!$AB$3:$AB$200,0)),"n/d"))</f>
        <v/>
      </c>
      <c r="AA1114" s="59">
        <f>IF($T1114="","",IF(COUNTIF('Resumo Grupos'!$AE$3:$AE$40,$T1114)&gt;0,"NAO","SIM"))</f>
        <v/>
      </c>
    </row>
    <row r="1115" ht="36.75" customHeight="1" s="60">
      <c r="A1115" s="70" t="n">
        <v>1</v>
      </c>
      <c r="B1115" s="71" t="n">
        <v>46209</v>
      </c>
      <c r="C1115" s="71" t="n">
        <v>46216</v>
      </c>
      <c r="D1115" s="70" t="n">
        <v>1614</v>
      </c>
      <c r="E1115" s="72" t="inlineStr">
        <is>
          <t>C. R. PARENTE ABREU</t>
        </is>
      </c>
      <c r="F1115" s="70" t="n">
        <v>24</v>
      </c>
      <c r="G1115" s="72" t="inlineStr">
        <is>
          <t>Compra a Prazo - Boletos</t>
        </is>
      </c>
      <c r="H1115" s="70" t="n">
        <v>2110101</v>
      </c>
      <c r="I1115" s="72" t="inlineStr">
        <is>
          <t>FORNECEDORES DE MERCADORIA</t>
        </is>
      </c>
      <c r="J1115" s="70" t="n">
        <v>1360000</v>
      </c>
      <c r="L1115" s="70" t="n">
        <v>11381</v>
      </c>
      <c r="M1115" s="72" t="inlineStr">
        <is>
          <t>02</t>
        </is>
      </c>
      <c r="N1115" s="72" t="inlineStr">
        <is>
          <t>NFE</t>
        </is>
      </c>
      <c r="P1115" s="70" t="n">
        <v>103</v>
      </c>
      <c r="Q1115" s="72" t="inlineStr">
        <is>
          <t>MILKA FRANCIS</t>
        </is>
      </c>
      <c r="R1115" s="72" t="inlineStr">
        <is>
          <t>ESTOQUE DE MERCADORIAS</t>
        </is>
      </c>
      <c r="S1115" s="70" t="n">
        <v>1130101</v>
      </c>
      <c r="T1115" s="72" t="inlineStr">
        <is>
          <t>MERCADORIAS P/REVENDA</t>
        </is>
      </c>
      <c r="U1115" s="73" t="n">
        <v>472.6</v>
      </c>
      <c r="W1115" s="73" t="n">
        <v>0</v>
      </c>
      <c r="X1115" s="72" t="inlineStr">
        <is>
          <t>NF 11381-2 MILKA</t>
        </is>
      </c>
      <c r="Z1115" s="59">
        <f>IF($T1115="","",IFERROR(INDEX('Resumo Grupos'!$AC$3:$AC$200,MATCH($T1115,'Resumo Grupos'!$AB$3:$AB$200,0)),"n/d"))</f>
        <v/>
      </c>
      <c r="AA1115" s="59">
        <f>IF($T1115="","",IF(COUNTIF('Resumo Grupos'!$AE$3:$AE$40,$T1115)&gt;0,"NAO","SIM"))</f>
        <v/>
      </c>
    </row>
    <row r="1116" ht="36.75" customHeight="1" s="60">
      <c r="A1116" s="70" t="n">
        <v>1</v>
      </c>
      <c r="B1116" s="71" t="n">
        <v>46209</v>
      </c>
      <c r="C1116" s="71" t="n">
        <v>46216</v>
      </c>
      <c r="D1116" s="70" t="n">
        <v>1631</v>
      </c>
      <c r="E1116" s="72" t="inlineStr">
        <is>
          <t>T. M. L. DA SILVA LTDA</t>
        </is>
      </c>
      <c r="F1116" s="70" t="n">
        <v>24</v>
      </c>
      <c r="G1116" s="72" t="inlineStr">
        <is>
          <t>Compra a Prazo - Boletos</t>
        </is>
      </c>
      <c r="H1116" s="70" t="n">
        <v>2110101</v>
      </c>
      <c r="I1116" s="72" t="inlineStr">
        <is>
          <t>FORNECEDORES DE MERCADORIA</t>
        </is>
      </c>
      <c r="J1116" s="70" t="n">
        <v>1362011</v>
      </c>
      <c r="L1116" s="70" t="n">
        <v>15107</v>
      </c>
      <c r="M1116" s="72" t="inlineStr">
        <is>
          <t>01</t>
        </is>
      </c>
      <c r="N1116" s="72" t="inlineStr">
        <is>
          <t>NFE</t>
        </is>
      </c>
      <c r="P1116" s="70" t="n">
        <v>103</v>
      </c>
      <c r="Q1116" s="72" t="inlineStr">
        <is>
          <t>MILKA FRANCIS</t>
        </is>
      </c>
      <c r="R1116" s="72" t="inlineStr">
        <is>
          <t>ESTOQUE DE MERCADORIAS</t>
        </is>
      </c>
      <c r="S1116" s="70" t="n">
        <v>1130101</v>
      </c>
      <c r="T1116" s="72" t="inlineStr">
        <is>
          <t>MERCADORIAS P/REVENDA</t>
        </is>
      </c>
      <c r="U1116" s="73" t="n">
        <v>627</v>
      </c>
      <c r="W1116" s="73" t="n">
        <v>0</v>
      </c>
      <c r="X1116" s="72" t="inlineStr">
        <is>
          <t>NF 15107 AMAZONGURT - MILKA</t>
        </is>
      </c>
      <c r="Z1116" s="59">
        <f>IF($T1116="","",IFERROR(INDEX('Resumo Grupos'!$AC$3:$AC$200,MATCH($T1116,'Resumo Grupos'!$AB$3:$AB$200,0)),"n/d"))</f>
        <v/>
      </c>
      <c r="AA1116" s="59">
        <f>IF($T1116="","",IF(COUNTIF('Resumo Grupos'!$AE$3:$AE$40,$T1116)&gt;0,"NAO","SIM"))</f>
        <v/>
      </c>
    </row>
    <row r="1117" ht="36.75" customHeight="1" s="60">
      <c r="A1117" s="70" t="n">
        <v>1</v>
      </c>
      <c r="B1117" s="71" t="n">
        <v>46210</v>
      </c>
      <c r="C1117" s="71" t="n">
        <v>46216</v>
      </c>
      <c r="D1117" s="70" t="n">
        <v>1899</v>
      </c>
      <c r="E1117" s="72" t="inlineStr">
        <is>
          <t>PANIFICADORA E CONFEITARIA REAL MADRI LTDA</t>
        </is>
      </c>
      <c r="F1117" s="70" t="n">
        <v>24</v>
      </c>
      <c r="G1117" s="72" t="inlineStr">
        <is>
          <t>Compra a Prazo - Boletos</t>
        </is>
      </c>
      <c r="H1117" s="70" t="n">
        <v>2110101</v>
      </c>
      <c r="I1117" s="72" t="inlineStr">
        <is>
          <t>FORNECEDORES DE MERCADORIA</t>
        </is>
      </c>
      <c r="J1117" s="70" t="n">
        <v>1364144</v>
      </c>
      <c r="L1117" s="70" t="n">
        <v>700</v>
      </c>
      <c r="M1117" s="72" t="inlineStr">
        <is>
          <t>01</t>
        </is>
      </c>
      <c r="N1117" s="72" t="inlineStr">
        <is>
          <t>NFE</t>
        </is>
      </c>
      <c r="P1117" s="70" t="n">
        <v>103</v>
      </c>
      <c r="Q1117" s="72" t="inlineStr">
        <is>
          <t>MILKA FRANCIS</t>
        </is>
      </c>
      <c r="R1117" s="72" t="inlineStr">
        <is>
          <t>ESTOQUE DE MERCADORIAS</t>
        </is>
      </c>
      <c r="S1117" s="70" t="n">
        <v>1130101</v>
      </c>
      <c r="T1117" s="72" t="inlineStr">
        <is>
          <t>MERCADORIAS P/REVENDA</t>
        </is>
      </c>
      <c r="U1117" s="73" t="n">
        <v>700</v>
      </c>
      <c r="W1117" s="73" t="n">
        <v>0</v>
      </c>
      <c r="X1117" s="72" t="inlineStr">
        <is>
          <t>NF 700 - MILKA</t>
        </is>
      </c>
      <c r="Z1117" s="59">
        <f>IF($T1117="","",IFERROR(INDEX('Resumo Grupos'!$AC$3:$AC$200,MATCH($T1117,'Resumo Grupos'!$AB$3:$AB$200,0)),"n/d"))</f>
        <v/>
      </c>
      <c r="AA1117" s="59">
        <f>IF($T1117="","",IF(COUNTIF('Resumo Grupos'!$AE$3:$AE$40,$T1117)&gt;0,"NAO","SIM"))</f>
        <v/>
      </c>
    </row>
    <row r="1118" ht="36.75" customHeight="1" s="60">
      <c r="A1118" s="70" t="n">
        <v>1</v>
      </c>
      <c r="B1118" s="71" t="n">
        <v>46210</v>
      </c>
      <c r="C1118" s="71" t="n">
        <v>46216</v>
      </c>
      <c r="D1118" s="70" t="n">
        <v>1899</v>
      </c>
      <c r="E1118" s="72" t="inlineStr">
        <is>
          <t>PANIFICADORA E CONFEITARIA REAL MADRI LTDA</t>
        </is>
      </c>
      <c r="F1118" s="70" t="n">
        <v>24</v>
      </c>
      <c r="G1118" s="72" t="inlineStr">
        <is>
          <t>Compra a Prazo - Boletos</t>
        </is>
      </c>
      <c r="H1118" s="70" t="n">
        <v>2110101</v>
      </c>
      <c r="I1118" s="72" t="inlineStr">
        <is>
          <t>FORNECEDORES DE MERCADORIA</t>
        </is>
      </c>
      <c r="J1118" s="70" t="n">
        <v>1364147</v>
      </c>
      <c r="L1118" s="70" t="n">
        <v>699</v>
      </c>
      <c r="M1118" s="72" t="inlineStr">
        <is>
          <t>01</t>
        </is>
      </c>
      <c r="N1118" s="72" t="inlineStr">
        <is>
          <t>NFE</t>
        </is>
      </c>
      <c r="P1118" s="70" t="n">
        <v>103</v>
      </c>
      <c r="Q1118" s="72" t="inlineStr">
        <is>
          <t>MILKA FRANCIS</t>
        </is>
      </c>
      <c r="R1118" s="72" t="inlineStr">
        <is>
          <t>ESTOQUE DE MERCADORIAS</t>
        </is>
      </c>
      <c r="S1118" s="70" t="n">
        <v>1130101</v>
      </c>
      <c r="T1118" s="72" t="inlineStr">
        <is>
          <t>MERCADORIAS P/REVENDA</t>
        </is>
      </c>
      <c r="U1118" s="73" t="n">
        <v>284.7</v>
      </c>
      <c r="W1118" s="73" t="n">
        <v>0</v>
      </c>
      <c r="X1118" s="72" t="inlineStr">
        <is>
          <t>NF 699 - MILKA</t>
        </is>
      </c>
      <c r="Z1118" s="59">
        <f>IF($T1118="","",IFERROR(INDEX('Resumo Grupos'!$AC$3:$AC$200,MATCH($T1118,'Resumo Grupos'!$AB$3:$AB$200,0)),"n/d"))</f>
        <v/>
      </c>
      <c r="AA1118" s="59">
        <f>IF($T1118="","",IF(COUNTIF('Resumo Grupos'!$AE$3:$AE$40,$T1118)&gt;0,"NAO","SIM"))</f>
        <v/>
      </c>
    </row>
    <row r="1119" ht="36.75" customHeight="1" s="60">
      <c r="A1119" s="70" t="n">
        <v>1</v>
      </c>
      <c r="B1119" s="71" t="n">
        <v>46210</v>
      </c>
      <c r="C1119" s="71" t="n">
        <v>46216</v>
      </c>
      <c r="D1119" s="70" t="n">
        <v>1292</v>
      </c>
      <c r="E1119" s="72" t="inlineStr">
        <is>
          <t>SAO JOSE COMERCIO DE LATICINIOS E FRIOS</t>
        </is>
      </c>
      <c r="F1119" s="70" t="n">
        <v>24</v>
      </c>
      <c r="G1119" s="72" t="inlineStr">
        <is>
          <t>Compra a Prazo - Boletos</t>
        </is>
      </c>
      <c r="H1119" s="70" t="n">
        <v>2110101</v>
      </c>
      <c r="I1119" s="72" t="inlineStr">
        <is>
          <t>FORNECEDORES DE MERCADORIA</t>
        </is>
      </c>
      <c r="J1119" s="70" t="n">
        <v>1364168</v>
      </c>
      <c r="L1119" s="70" t="n">
        <v>3552</v>
      </c>
      <c r="M1119" s="72" t="inlineStr">
        <is>
          <t>01</t>
        </is>
      </c>
      <c r="N1119" s="72" t="inlineStr">
        <is>
          <t>NFE</t>
        </is>
      </c>
      <c r="P1119" s="70" t="n">
        <v>103</v>
      </c>
      <c r="Q1119" s="72" t="inlineStr">
        <is>
          <t>MILKA FRANCIS</t>
        </is>
      </c>
      <c r="R1119" s="72" t="inlineStr">
        <is>
          <t>ESTOQUE DE MERCADORIAS</t>
        </is>
      </c>
      <c r="S1119" s="70" t="n">
        <v>1130101</v>
      </c>
      <c r="T1119" s="72" t="inlineStr">
        <is>
          <t>MERCADORIAS P/REVENDA</t>
        </is>
      </c>
      <c r="U1119" s="73" t="n">
        <v>1584</v>
      </c>
      <c r="W1119" s="73" t="n">
        <v>0</v>
      </c>
      <c r="X1119" s="72" t="inlineStr">
        <is>
          <t>6781036  NF 3552 SABORE - MILKA</t>
        </is>
      </c>
      <c r="Z1119" s="59">
        <f>IF($T1119="","",IFERROR(INDEX('Resumo Grupos'!$AC$3:$AC$200,MATCH($T1119,'Resumo Grupos'!$AB$3:$AB$200,0)),"n/d"))</f>
        <v/>
      </c>
      <c r="AA1119" s="59">
        <f>IF($T1119="","",IF(COUNTIF('Resumo Grupos'!$AE$3:$AE$40,$T1119)&gt;0,"NAO","SIM"))</f>
        <v/>
      </c>
    </row>
    <row r="1120" ht="45.75" customHeight="1" s="60">
      <c r="A1120" s="70" t="n">
        <v>1</v>
      </c>
      <c r="B1120" s="71" t="n">
        <v>46210</v>
      </c>
      <c r="C1120" s="71" t="n">
        <v>46216</v>
      </c>
      <c r="D1120" s="70" t="n">
        <v>1625</v>
      </c>
      <c r="E1120" s="72" t="inlineStr">
        <is>
          <t>MAXFRI DISTRIUIDORA LTDA</t>
        </is>
      </c>
      <c r="F1120" s="70" t="n">
        <v>24</v>
      </c>
      <c r="G1120" s="72" t="inlineStr">
        <is>
          <t>Compra a Prazo - Boletos</t>
        </is>
      </c>
      <c r="H1120" s="70" t="n">
        <v>2110101</v>
      </c>
      <c r="I1120" s="72" t="inlineStr">
        <is>
          <t>FORNECEDORES DE MERCADORIA</t>
        </is>
      </c>
      <c r="J1120" s="70" t="n">
        <v>1364552</v>
      </c>
      <c r="L1120" s="70" t="n">
        <v>14636</v>
      </c>
      <c r="M1120" s="72" t="inlineStr">
        <is>
          <t>01</t>
        </is>
      </c>
      <c r="N1120" s="72" t="inlineStr">
        <is>
          <t>NFE</t>
        </is>
      </c>
      <c r="P1120" s="70" t="n">
        <v>103</v>
      </c>
      <c r="Q1120" s="72" t="inlineStr">
        <is>
          <t>MILKA FRANCIS</t>
        </is>
      </c>
      <c r="R1120" s="72" t="inlineStr">
        <is>
          <t>ESTOQUE DE MERCADORIAS</t>
        </is>
      </c>
      <c r="S1120" s="70" t="n">
        <v>1130101</v>
      </c>
      <c r="T1120" s="72" t="inlineStr">
        <is>
          <t>MERCADORIAS P/REVENDA</t>
        </is>
      </c>
      <c r="U1120" s="73" t="n">
        <v>1767.88</v>
      </c>
      <c r="W1120" s="73" t="n">
        <v>0</v>
      </c>
      <c r="X1120" s="72" t="inlineStr">
        <is>
          <t>NF14636 - MILKA</t>
        </is>
      </c>
      <c r="Z1120" s="59">
        <f>IF($T1120="","",IFERROR(INDEX('Resumo Grupos'!$AC$3:$AC$200,MATCH($T1120,'Resumo Grupos'!$AB$3:$AB$200,0)),"n/d"))</f>
        <v/>
      </c>
      <c r="AA1120" s="59">
        <f>IF($T1120="","",IF(COUNTIF('Resumo Grupos'!$AE$3:$AE$40,$T1120)&gt;0,"NAO","SIM"))</f>
        <v/>
      </c>
    </row>
    <row r="1121" ht="45.75" customHeight="1" s="60">
      <c r="A1121" s="70" t="n">
        <v>1</v>
      </c>
      <c r="B1121" s="71" t="n">
        <v>46210</v>
      </c>
      <c r="C1121" s="71" t="n">
        <v>46216</v>
      </c>
      <c r="D1121" s="70" t="n">
        <v>1286</v>
      </c>
      <c r="E1121" s="72" t="inlineStr">
        <is>
          <t>VITAPAN COMERCIO VAREJISTA DE PRODUTOS ALIMENTICIOS LTDA</t>
        </is>
      </c>
      <c r="F1121" s="70" t="n">
        <v>24</v>
      </c>
      <c r="G1121" s="72" t="inlineStr">
        <is>
          <t>Compra a Prazo - Boletos</t>
        </is>
      </c>
      <c r="H1121" s="70" t="n">
        <v>2110101</v>
      </c>
      <c r="I1121" s="72" t="inlineStr">
        <is>
          <t>FORNECEDORES DE MERCADORIA</t>
        </is>
      </c>
      <c r="J1121" s="70" t="n">
        <v>1366378</v>
      </c>
      <c r="L1121" s="70" t="n">
        <v>10259</v>
      </c>
      <c r="M1121" s="72" t="inlineStr">
        <is>
          <t>01</t>
        </is>
      </c>
      <c r="N1121" s="72" t="inlineStr">
        <is>
          <t>NFE</t>
        </is>
      </c>
      <c r="P1121" s="70" t="n">
        <v>103</v>
      </c>
      <c r="Q1121" s="72" t="inlineStr">
        <is>
          <t>MILKA FRANCIS</t>
        </is>
      </c>
      <c r="R1121" s="72" t="inlineStr">
        <is>
          <t>ESTOQUE DE MERCADORIAS</t>
        </is>
      </c>
      <c r="S1121" s="70" t="n">
        <v>1130101</v>
      </c>
      <c r="T1121" s="72" t="inlineStr">
        <is>
          <t>MERCADORIAS P/REVENDA</t>
        </is>
      </c>
      <c r="U1121" s="73" t="n">
        <v>540</v>
      </c>
      <c r="W1121" s="73" t="n">
        <v>0</v>
      </c>
      <c r="X1121" s="72" t="inlineStr">
        <is>
          <t>NF 10259 - MILKA</t>
        </is>
      </c>
      <c r="Z1121" s="59">
        <f>IF($T1121="","",IFERROR(INDEX('Resumo Grupos'!$AC$3:$AC$200,MATCH($T1121,'Resumo Grupos'!$AB$3:$AB$200,0)),"n/d"))</f>
        <v/>
      </c>
      <c r="AA1121" s="59">
        <f>IF($T1121="","",IF(COUNTIF('Resumo Grupos'!$AE$3:$AE$40,$T1121)&gt;0,"NAO","SIM"))</f>
        <v/>
      </c>
    </row>
    <row r="1122" ht="45.75" customHeight="1" s="60">
      <c r="A1122" s="70" t="n">
        <v>1</v>
      </c>
      <c r="B1122" s="71" t="n">
        <v>46211</v>
      </c>
      <c r="C1122" s="71" t="n">
        <v>46216</v>
      </c>
      <c r="D1122" s="70" t="n">
        <v>33</v>
      </c>
      <c r="E1122" s="72" t="inlineStr">
        <is>
          <t>RENATO DE O AZEVEDO E CIA LTDA - EPP</t>
        </is>
      </c>
      <c r="F1122" s="70" t="n">
        <v>34</v>
      </c>
      <c r="G1122" s="72" t="inlineStr">
        <is>
          <t>Transferencia Pix</t>
        </is>
      </c>
      <c r="H1122" s="70" t="n">
        <v>2110101</v>
      </c>
      <c r="I1122" s="72" t="inlineStr">
        <is>
          <t>FORNECEDORES DE MERCADORIA</t>
        </is>
      </c>
      <c r="J1122" s="70" t="n">
        <v>1370221</v>
      </c>
      <c r="L1122" s="70" t="n">
        <v>5276</v>
      </c>
      <c r="M1122" s="72" t="inlineStr">
        <is>
          <t>01</t>
        </is>
      </c>
      <c r="N1122" s="72" t="inlineStr">
        <is>
          <t>NFE</t>
        </is>
      </c>
      <c r="P1122" s="70" t="n">
        <v>103</v>
      </c>
      <c r="Q1122" s="72" t="inlineStr">
        <is>
          <t>MILKA FRANCIS</t>
        </is>
      </c>
      <c r="R1122" s="72" t="inlineStr">
        <is>
          <t>ESTOQUE DE MERCADORIAS</t>
        </is>
      </c>
      <c r="S1122" s="70" t="n">
        <v>1130101</v>
      </c>
      <c r="T1122" s="72" t="inlineStr">
        <is>
          <t>MERCADORIAS P/REVENDA</t>
        </is>
      </c>
      <c r="U1122" s="73" t="n">
        <v>1295</v>
      </c>
      <c r="W1122" s="73" t="n">
        <v>0</v>
      </c>
      <c r="X1122" s="72" t="inlineStr">
        <is>
          <t>PGTO P/ DONA GERALDA - MILKA</t>
        </is>
      </c>
      <c r="Z1122" s="59">
        <f>IF($T1122="","",IFERROR(INDEX('Resumo Grupos'!$AC$3:$AC$200,MATCH($T1122,'Resumo Grupos'!$AB$3:$AB$200,0)),"n/d"))</f>
        <v/>
      </c>
      <c r="AA1122" s="59">
        <f>IF($T1122="","",IF(COUNTIF('Resumo Grupos'!$AE$3:$AE$40,$T1122)&gt;0,"NAO","SIM"))</f>
        <v/>
      </c>
    </row>
    <row r="1123" ht="36.75" customHeight="1" s="60">
      <c r="A1123" s="70" t="n">
        <v>1</v>
      </c>
      <c r="B1123" s="71" t="n">
        <v>46212</v>
      </c>
      <c r="C1123" s="71" t="n">
        <v>46216</v>
      </c>
      <c r="D1123" s="70" t="n">
        <v>10018</v>
      </c>
      <c r="E1123" s="72" t="inlineStr">
        <is>
          <t>ADRIANO FEITOSA OLIVEIRA LTDA</t>
        </is>
      </c>
      <c r="F1123" s="70" t="n">
        <v>34</v>
      </c>
      <c r="G1123" s="72" t="inlineStr">
        <is>
          <t>Transferencia Pix</t>
        </is>
      </c>
      <c r="H1123" s="70" t="n">
        <v>2110101</v>
      </c>
      <c r="I1123" s="72" t="inlineStr">
        <is>
          <t>FORNECEDORES DE MERCADORIA</t>
        </is>
      </c>
      <c r="J1123" s="70" t="n">
        <v>1373800</v>
      </c>
      <c r="L1123" s="70" t="n">
        <v>330</v>
      </c>
      <c r="M1123" s="72" t="inlineStr">
        <is>
          <t>01</t>
        </is>
      </c>
      <c r="N1123" s="72" t="inlineStr">
        <is>
          <t>NFE</t>
        </is>
      </c>
      <c r="P1123" s="70" t="n">
        <v>103</v>
      </c>
      <c r="Q1123" s="72" t="inlineStr">
        <is>
          <t>MILKA FRANCIS</t>
        </is>
      </c>
      <c r="R1123" s="72" t="inlineStr">
        <is>
          <t>ESTOQUE DE MERCADORIAS</t>
        </is>
      </c>
      <c r="S1123" s="70" t="n">
        <v>1130101</v>
      </c>
      <c r="T1123" s="72" t="inlineStr">
        <is>
          <t>MERCADORIAS P/REVENDA</t>
        </is>
      </c>
      <c r="U1123" s="73" t="n">
        <v>2745</v>
      </c>
      <c r="W1123" s="73" t="n">
        <v>0</v>
      </c>
      <c r="X1123" s="72" t="inlineStr">
        <is>
          <t>NF 330 - MILKA</t>
        </is>
      </c>
      <c r="Z1123" s="59">
        <f>IF($T1123="","",IFERROR(INDEX('Resumo Grupos'!$AC$3:$AC$200,MATCH($T1123,'Resumo Grupos'!$AB$3:$AB$200,0)),"n/d"))</f>
        <v/>
      </c>
      <c r="AA1123" s="59">
        <f>IF($T1123="","",IF(COUNTIF('Resumo Grupos'!$AE$3:$AE$40,$T1123)&gt;0,"NAO","SIM"))</f>
        <v/>
      </c>
    </row>
    <row r="1124" ht="36.75" customHeight="1" s="60">
      <c r="A1124" s="70" t="n">
        <v>1</v>
      </c>
      <c r="B1124" s="71" t="n">
        <v>46212</v>
      </c>
      <c r="C1124" s="71" t="n">
        <v>46216</v>
      </c>
      <c r="D1124" s="70" t="n">
        <v>1899</v>
      </c>
      <c r="E1124" s="72" t="inlineStr">
        <is>
          <t>PANIFICADORA E CONFEITARIA REAL MADRI LTDA</t>
        </is>
      </c>
      <c r="F1124" s="70" t="n">
        <v>24</v>
      </c>
      <c r="G1124" s="72" t="inlineStr">
        <is>
          <t>Compra a Prazo - Boletos</t>
        </is>
      </c>
      <c r="H1124" s="70" t="n">
        <v>1110202</v>
      </c>
      <c r="I1124" s="72" t="inlineStr">
        <is>
          <t>BANCO ITAU Lj 01</t>
        </is>
      </c>
      <c r="J1124" s="70" t="n">
        <v>1374214</v>
      </c>
      <c r="L1124" s="70" t="n">
        <v>706</v>
      </c>
      <c r="M1124" s="72" t="inlineStr">
        <is>
          <t>01</t>
        </is>
      </c>
      <c r="N1124" s="72" t="inlineStr">
        <is>
          <t>AVU</t>
        </is>
      </c>
      <c r="P1124" s="70" t="n">
        <v>103</v>
      </c>
      <c r="Q1124" s="72" t="inlineStr">
        <is>
          <t>MILKA FRANCIS</t>
        </is>
      </c>
      <c r="R1124" s="72" t="inlineStr">
        <is>
          <t>ESTOQUE DE MERCADORIAS</t>
        </is>
      </c>
      <c r="S1124" s="70" t="n">
        <v>1130101</v>
      </c>
      <c r="T1124" s="72" t="inlineStr">
        <is>
          <t>MERCADORIAS P/REVENDA</t>
        </is>
      </c>
      <c r="U1124" s="73" t="n">
        <v>697.1</v>
      </c>
      <c r="W1124" s="73" t="n">
        <v>0</v>
      </c>
      <c r="X1124" s="72" t="inlineStr">
        <is>
          <t>NF 706 REAL MADRID - MILKA</t>
        </is>
      </c>
      <c r="Z1124" s="59">
        <f>IF($T1124="","",IFERROR(INDEX('Resumo Grupos'!$AC$3:$AC$200,MATCH($T1124,'Resumo Grupos'!$AB$3:$AB$200,0)),"n/d"))</f>
        <v/>
      </c>
      <c r="AA1124" s="59">
        <f>IF($T1124="","",IF(COUNTIF('Resumo Grupos'!$AE$3:$AE$40,$T1124)&gt;0,"NAO","SIM"))</f>
        <v/>
      </c>
    </row>
    <row r="1125" ht="36.75" customHeight="1" s="60">
      <c r="A1125" s="70" t="n">
        <v>1</v>
      </c>
      <c r="B1125" s="71" t="n">
        <v>46213</v>
      </c>
      <c r="C1125" s="71" t="n">
        <v>46216</v>
      </c>
      <c r="D1125" s="70" t="n">
        <v>1614</v>
      </c>
      <c r="E1125" s="72" t="inlineStr">
        <is>
          <t>C. R. PARENTE ABREU</t>
        </is>
      </c>
      <c r="F1125" s="70" t="n">
        <v>24</v>
      </c>
      <c r="G1125" s="72" t="inlineStr">
        <is>
          <t>Compra a Prazo - Boletos</t>
        </is>
      </c>
      <c r="H1125" s="70" t="n">
        <v>1110202</v>
      </c>
      <c r="I1125" s="72" t="inlineStr">
        <is>
          <t>BANCO ITAU Lj 01</t>
        </is>
      </c>
      <c r="J1125" s="70" t="n">
        <v>1376903</v>
      </c>
      <c r="L1125" s="70" t="n">
        <v>11400</v>
      </c>
      <c r="M1125" s="72" t="inlineStr">
        <is>
          <t>01</t>
        </is>
      </c>
      <c r="N1125" s="72" t="inlineStr">
        <is>
          <t>AVU</t>
        </is>
      </c>
      <c r="P1125" s="70" t="n">
        <v>103</v>
      </c>
      <c r="Q1125" s="72" t="inlineStr">
        <is>
          <t>MILKA FRANCIS</t>
        </is>
      </c>
      <c r="R1125" s="72" t="inlineStr">
        <is>
          <t>ESTOQUE DE MERCADORIAS</t>
        </is>
      </c>
      <c r="S1125" s="70" t="n">
        <v>1130101</v>
      </c>
      <c r="T1125" s="72" t="inlineStr">
        <is>
          <t>MERCADORIAS P/REVENDA</t>
        </is>
      </c>
      <c r="U1125" s="73" t="n">
        <v>259.39</v>
      </c>
      <c r="W1125" s="73" t="n">
        <v>0</v>
      </c>
      <c r="X1125" s="72" t="inlineStr">
        <is>
          <t>NF 11400 -01 KARU -  MILKA</t>
        </is>
      </c>
      <c r="Z1125" s="59">
        <f>IF($T1125="","",IFERROR(INDEX('Resumo Grupos'!$AC$3:$AC$200,MATCH($T1125,'Resumo Grupos'!$AB$3:$AB$200,0)),"n/d"))</f>
        <v/>
      </c>
      <c r="AA1125" s="59">
        <f>IF($T1125="","",IF(COUNTIF('Resumo Grupos'!$AE$3:$AE$40,$T1125)&gt;0,"NAO","SIM"))</f>
        <v/>
      </c>
    </row>
    <row r="1126" ht="54.75" customHeight="1" s="60">
      <c r="A1126" s="70" t="n">
        <v>1</v>
      </c>
      <c r="B1126" s="71" t="n">
        <v>46213</v>
      </c>
      <c r="C1126" s="71" t="n">
        <v>46216</v>
      </c>
      <c r="D1126" s="70" t="n">
        <v>515</v>
      </c>
      <c r="E1126" s="72" t="inlineStr">
        <is>
          <t>ITAU SA</t>
        </is>
      </c>
      <c r="F1126" s="70" t="n">
        <v>42</v>
      </c>
      <c r="G1126" s="72" t="inlineStr">
        <is>
          <t>Cartao Itau Novo 4620 Venc 13</t>
        </is>
      </c>
      <c r="H1126" s="70" t="n">
        <v>1110202</v>
      </c>
      <c r="I1126" s="72" t="inlineStr">
        <is>
          <t>BANCO ITAU Lj 01</t>
        </is>
      </c>
      <c r="J1126" s="70" t="n">
        <v>1377362</v>
      </c>
      <c r="L1126" s="70" t="n">
        <v>567700</v>
      </c>
      <c r="M1126" s="72" t="inlineStr">
        <is>
          <t>01</t>
        </is>
      </c>
      <c r="N1126" s="72" t="inlineStr">
        <is>
          <t>AVU</t>
        </is>
      </c>
      <c r="P1126" s="70" t="n">
        <v>101</v>
      </c>
      <c r="Q1126" s="72" t="inlineStr">
        <is>
          <t>KEILA LIMA</t>
        </is>
      </c>
      <c r="R1126" s="72" t="inlineStr">
        <is>
          <t>DESPESAS NAO OPERACIONAIS</t>
        </is>
      </c>
      <c r="S1126" s="70" t="n">
        <v>4220199</v>
      </c>
      <c r="T1126" s="72" t="inlineStr">
        <is>
          <t>PAGAMENTOS OUTROS NAO OPERACIONAIS</t>
        </is>
      </c>
      <c r="U1126" s="73" t="n">
        <v>233.35</v>
      </c>
      <c r="W1126" s="73" t="n">
        <v>0</v>
      </c>
      <c r="X1126" s="72" t="inlineStr">
        <is>
          <t>NAO SOMAR - VALOR REAL DO CARTAO RATEIO LOJAS BL</t>
        </is>
      </c>
      <c r="Z1126" s="59">
        <f>IF($T1126="","",IFERROR(INDEX('Resumo Grupos'!$AC$3:$AC$200,MATCH($T1126,'Resumo Grupos'!$AB$3:$AB$200,0)),"n/d"))</f>
        <v/>
      </c>
      <c r="AA1126" s="59">
        <f>IF($T1126="","",IF(COUNTIF('Resumo Grupos'!$AE$3:$AE$40,$T1126)&gt;0,"NAO","SIM"))</f>
        <v/>
      </c>
    </row>
    <row r="1127" ht="54.75" customHeight="1" s="60">
      <c r="A1127" s="70" t="n">
        <v>1</v>
      </c>
      <c r="B1127" s="71" t="n">
        <v>46213</v>
      </c>
      <c r="C1127" s="71" t="n">
        <v>46216</v>
      </c>
      <c r="D1127" s="70" t="n">
        <v>1789</v>
      </c>
      <c r="E1127" s="72" t="inlineStr">
        <is>
          <t>AMAZONAS ENERGIA S/A</t>
        </is>
      </c>
      <c r="F1127" s="70" t="n">
        <v>24</v>
      </c>
      <c r="G1127" s="72" t="inlineStr">
        <is>
          <t>Compra a Prazo - Boletos</t>
        </is>
      </c>
      <c r="H1127" s="70" t="n">
        <v>1110202</v>
      </c>
      <c r="I1127" s="72" t="inlineStr">
        <is>
          <t>BANCO ITAU Lj 01</t>
        </is>
      </c>
      <c r="J1127" s="70" t="n">
        <v>1377366</v>
      </c>
      <c r="L1127" s="70" t="n">
        <v>626</v>
      </c>
      <c r="M1127" s="72" t="inlineStr">
        <is>
          <t>01</t>
        </is>
      </c>
      <c r="N1127" s="72" t="inlineStr">
        <is>
          <t>AVU</t>
        </is>
      </c>
      <c r="P1127" s="70" t="n">
        <v>101</v>
      </c>
      <c r="Q1127" s="72" t="inlineStr">
        <is>
          <t>KEILA LIMA</t>
        </is>
      </c>
      <c r="R1127" s="72" t="inlineStr">
        <is>
          <t>DESPESAS COMERCIAIS</t>
        </is>
      </c>
      <c r="S1127" s="70" t="n">
        <v>4210112</v>
      </c>
      <c r="T1127" s="72" t="inlineStr">
        <is>
          <t>ENERGIA ELETRICA</t>
        </is>
      </c>
      <c r="U1127" s="73" t="n">
        <v>21248.79</v>
      </c>
      <c r="W1127" s="73" t="n">
        <v>0</v>
      </c>
      <c r="X1127" s="72" t="inlineStr">
        <is>
          <t>CONTA ENERGIA MO1 UC552193002-71 - KEILA</t>
        </is>
      </c>
      <c r="Z1127" s="59">
        <f>IF($T1127="","",IFERROR(INDEX('Resumo Grupos'!$AC$3:$AC$200,MATCH($T1127,'Resumo Grupos'!$AB$3:$AB$200,0)),"n/d"))</f>
        <v/>
      </c>
      <c r="AA1127" s="59">
        <f>IF($T1127="","",IF(COUNTIF('Resumo Grupos'!$AE$3:$AE$40,$T1127)&gt;0,"NAO","SIM"))</f>
        <v/>
      </c>
    </row>
    <row r="1128" ht="54.75" customHeight="1" s="60">
      <c r="A1128" s="70" t="n">
        <v>1</v>
      </c>
      <c r="B1128" s="71" t="n">
        <v>46213</v>
      </c>
      <c r="C1128" s="71" t="n">
        <v>46216</v>
      </c>
      <c r="D1128" s="70" t="n">
        <v>1695</v>
      </c>
      <c r="E1128" s="72" t="inlineStr">
        <is>
          <t>BRAGA TABACARIA EIRELI ME</t>
        </is>
      </c>
      <c r="F1128" s="70" t="n">
        <v>34</v>
      </c>
      <c r="G1128" s="72" t="inlineStr">
        <is>
          <t>Transferencia Pix</t>
        </is>
      </c>
      <c r="H1128" s="70" t="n">
        <v>1110202</v>
      </c>
      <c r="I1128" s="72" t="inlineStr">
        <is>
          <t>BANCO ITAU Lj 01</t>
        </is>
      </c>
      <c r="J1128" s="70" t="n">
        <v>1377371</v>
      </c>
      <c r="L1128" s="70" t="n">
        <v>53655</v>
      </c>
      <c r="M1128" s="72" t="inlineStr">
        <is>
          <t>01</t>
        </is>
      </c>
      <c r="N1128" s="72" t="inlineStr">
        <is>
          <t>AVU</t>
        </is>
      </c>
      <c r="P1128" s="70" t="n">
        <v>103</v>
      </c>
      <c r="Q1128" s="72" t="inlineStr">
        <is>
          <t>MILKA FRANCIS</t>
        </is>
      </c>
      <c r="R1128" s="72" t="inlineStr">
        <is>
          <t>ESTOQUE DE MERCADORIAS</t>
        </is>
      </c>
      <c r="S1128" s="70" t="n">
        <v>1130101</v>
      </c>
      <c r="T1128" s="72" t="inlineStr">
        <is>
          <t>MERCADORIAS P/REVENDA</t>
        </is>
      </c>
      <c r="U1128" s="73" t="n">
        <v>952.5599999999999</v>
      </c>
      <c r="W1128" s="73" t="n">
        <v>0</v>
      </c>
      <c r="X1128" s="72" t="inlineStr">
        <is>
          <t>COMPRA DE CIGARRO / PGTO BRAGA TABACARIA - MILKA</t>
        </is>
      </c>
      <c r="Z1128" s="59">
        <f>IF($T1128="","",IFERROR(INDEX('Resumo Grupos'!$AC$3:$AC$200,MATCH($T1128,'Resumo Grupos'!$AB$3:$AB$200,0)),"n/d"))</f>
        <v/>
      </c>
      <c r="AA1128" s="59">
        <f>IF($T1128="","",IF(COUNTIF('Resumo Grupos'!$AE$3:$AE$40,$T1128)&gt;0,"NAO","SIM"))</f>
        <v/>
      </c>
    </row>
    <row r="1129" ht="36.75" customHeight="1" s="60">
      <c r="A1129" s="70" t="n">
        <v>1</v>
      </c>
      <c r="B1129" s="71" t="n">
        <v>46214</v>
      </c>
      <c r="C1129" s="71" t="n">
        <v>46216</v>
      </c>
      <c r="D1129" s="70" t="n">
        <v>306</v>
      </c>
      <c r="E1129" s="72" t="inlineStr">
        <is>
          <t>P. A. P. CAVALCANTE LTDA</t>
        </is>
      </c>
      <c r="F1129" s="70" t="n">
        <v>34</v>
      </c>
      <c r="G1129" s="72" t="inlineStr">
        <is>
          <t>Transferencia Pix</t>
        </is>
      </c>
      <c r="H1129" s="70" t="n">
        <v>1110202</v>
      </c>
      <c r="I1129" s="72" t="inlineStr">
        <is>
          <t>BANCO ITAU Lj 01</t>
        </is>
      </c>
      <c r="J1129" s="70" t="n">
        <v>1381734</v>
      </c>
      <c r="L1129" s="70" t="n">
        <v>375</v>
      </c>
      <c r="M1129" s="72" t="inlineStr">
        <is>
          <t>01</t>
        </is>
      </c>
      <c r="N1129" s="72" t="inlineStr">
        <is>
          <t>AVU</t>
        </is>
      </c>
      <c r="P1129" s="70" t="n">
        <v>103</v>
      </c>
      <c r="Q1129" s="72" t="inlineStr">
        <is>
          <t>MILKA FRANCIS</t>
        </is>
      </c>
      <c r="R1129" s="72" t="inlineStr">
        <is>
          <t>ESTOQUE DE MERCADORIAS</t>
        </is>
      </c>
      <c r="S1129" s="70" t="n">
        <v>1130101</v>
      </c>
      <c r="T1129" s="72" t="inlineStr">
        <is>
          <t>MERCADORIAS P/REVENDA</t>
        </is>
      </c>
      <c r="U1129" s="73" t="n">
        <v>460</v>
      </c>
      <c r="W1129" s="73" t="n">
        <v>0</v>
      </c>
      <c r="X1129" s="72" t="inlineStr">
        <is>
          <t>NF375 / PGTO PARA PAULA - MILKA</t>
        </is>
      </c>
      <c r="Z1129" s="59">
        <f>IF($T1129="","",IFERROR(INDEX('Resumo Grupos'!$AC$3:$AC$200,MATCH($T1129,'Resumo Grupos'!$AB$3:$AB$200,0)),"n/d"))</f>
        <v/>
      </c>
      <c r="AA1129" s="59">
        <f>IF($T1129="","",IF(COUNTIF('Resumo Grupos'!$AE$3:$AE$40,$T1129)&gt;0,"NAO","SIM"))</f>
        <v/>
      </c>
    </row>
    <row r="1130" ht="45.75" customHeight="1" s="60">
      <c r="A1130" s="70" t="n">
        <v>1</v>
      </c>
      <c r="B1130" s="71" t="n">
        <v>46214</v>
      </c>
      <c r="C1130" s="71" t="n">
        <v>46216</v>
      </c>
      <c r="D1130" s="70" t="n">
        <v>1899</v>
      </c>
      <c r="E1130" s="72" t="inlineStr">
        <is>
          <t>PANIFICADORA E CONFEITARIA REAL MADRI LTDA</t>
        </is>
      </c>
      <c r="F1130" s="70" t="n">
        <v>24</v>
      </c>
      <c r="G1130" s="72" t="inlineStr">
        <is>
          <t>Compra a Prazo - Boletos</t>
        </is>
      </c>
      <c r="H1130" s="70" t="n">
        <v>1110202</v>
      </c>
      <c r="I1130" s="72" t="inlineStr">
        <is>
          <t>BANCO ITAU Lj 01</t>
        </is>
      </c>
      <c r="J1130" s="70" t="n">
        <v>1381924</v>
      </c>
      <c r="L1130" s="70" t="n">
        <v>709</v>
      </c>
      <c r="M1130" s="72" t="inlineStr">
        <is>
          <t>01</t>
        </is>
      </c>
      <c r="N1130" s="72" t="inlineStr">
        <is>
          <t>AVU</t>
        </is>
      </c>
      <c r="P1130" s="70" t="n">
        <v>103</v>
      </c>
      <c r="Q1130" s="72" t="inlineStr">
        <is>
          <t>MILKA FRANCIS</t>
        </is>
      </c>
      <c r="R1130" s="72" t="inlineStr">
        <is>
          <t>ESTOQUE DE MERCADORIAS</t>
        </is>
      </c>
      <c r="S1130" s="70" t="n">
        <v>1130101</v>
      </c>
      <c r="T1130" s="72" t="inlineStr">
        <is>
          <t>MERCADORIAS P/REVENDA</t>
        </is>
      </c>
      <c r="U1130" s="73" t="n">
        <v>1120</v>
      </c>
      <c r="W1130" s="73" t="n">
        <v>0</v>
      </c>
      <c r="X1130" s="72" t="inlineStr">
        <is>
          <t>NF 709 REAL MADRID - MILKA</t>
        </is>
      </c>
      <c r="Z1130" s="59">
        <f>IF($T1130="","",IFERROR(INDEX('Resumo Grupos'!$AC$3:$AC$200,MATCH($T1130,'Resumo Grupos'!$AB$3:$AB$200,0)),"n/d"))</f>
        <v/>
      </c>
      <c r="AA1130" s="59">
        <f>IF($T1130="","",IF(COUNTIF('Resumo Grupos'!$AE$3:$AE$40,$T1130)&gt;0,"NAO","SIM"))</f>
        <v/>
      </c>
    </row>
    <row r="1131" ht="36.75" customHeight="1" s="60">
      <c r="A1131" s="70" t="n">
        <v>1</v>
      </c>
      <c r="B1131" s="71" t="n">
        <v>46211</v>
      </c>
      <c r="C1131" s="71" t="n">
        <v>46216</v>
      </c>
      <c r="D1131" s="70" t="n">
        <v>1899</v>
      </c>
      <c r="E1131" s="72" t="inlineStr">
        <is>
          <t>PANIFICADORA E CONFEITARIA REAL MADRI LTDA</t>
        </is>
      </c>
      <c r="F1131" s="70" t="n">
        <v>24</v>
      </c>
      <c r="G1131" s="72" t="inlineStr">
        <is>
          <t>Compra a Prazo - Boletos</t>
        </is>
      </c>
      <c r="H1131" s="70" t="n">
        <v>2110101</v>
      </c>
      <c r="I1131" s="72" t="inlineStr">
        <is>
          <t>FORNECEDORES DE MERCADORIA</t>
        </is>
      </c>
      <c r="J1131" s="70" t="n">
        <v>1368782</v>
      </c>
      <c r="L1131" s="70" t="n">
        <v>703</v>
      </c>
      <c r="M1131" s="72" t="inlineStr">
        <is>
          <t>01</t>
        </is>
      </c>
      <c r="N1131" s="72" t="inlineStr">
        <is>
          <t>NFE</t>
        </is>
      </c>
      <c r="P1131" s="70" t="n">
        <v>103</v>
      </c>
      <c r="Q1131" s="72" t="inlineStr">
        <is>
          <t>MILKA FRANCIS</t>
        </is>
      </c>
      <c r="R1131" s="72" t="inlineStr">
        <is>
          <t>ESTOQUE DE MERCADORIAS</t>
        </is>
      </c>
      <c r="S1131" s="70" t="n">
        <v>1130101</v>
      </c>
      <c r="T1131" s="72" t="inlineStr">
        <is>
          <t>MERCADORIAS P/REVENDA</t>
        </is>
      </c>
      <c r="U1131" s="73" t="n">
        <v>372.25</v>
      </c>
      <c r="W1131" s="73" t="n">
        <v>0</v>
      </c>
      <c r="X1131" s="72" t="inlineStr">
        <is>
          <t>NF 703 - MILKA</t>
        </is>
      </c>
      <c r="Z1131" s="59">
        <f>IF($T1131="","",IFERROR(INDEX('Resumo Grupos'!$AC$3:$AC$200,MATCH($T1131,'Resumo Grupos'!$AB$3:$AB$200,0)),"n/d"))</f>
        <v/>
      </c>
      <c r="AA1131" s="59">
        <f>IF($T1131="","",IF(COUNTIF('Resumo Grupos'!$AE$3:$AE$40,$T1131)&gt;0,"NAO","SIM"))</f>
        <v/>
      </c>
    </row>
    <row r="1132" ht="54.75" customHeight="1" s="60">
      <c r="A1132" s="70" t="n">
        <v>1</v>
      </c>
      <c r="B1132" s="71" t="n">
        <v>46216</v>
      </c>
      <c r="C1132" s="71" t="n">
        <v>46216</v>
      </c>
      <c r="D1132" s="70" t="n">
        <v>690</v>
      </c>
      <c r="E1132" s="72" t="inlineStr">
        <is>
          <t>AMMAC INDUSTRIA E COMERCIO DE ALIMENTOS</t>
        </is>
      </c>
      <c r="F1132" s="70" t="n">
        <v>34</v>
      </c>
      <c r="G1132" s="72" t="inlineStr">
        <is>
          <t>Transferencia Pix</t>
        </is>
      </c>
      <c r="H1132" s="70" t="n">
        <v>1110202</v>
      </c>
      <c r="I1132" s="72" t="inlineStr">
        <is>
          <t>BANCO ITAU Lj 01</t>
        </is>
      </c>
      <c r="J1132" s="70" t="n">
        <v>1394132</v>
      </c>
      <c r="L1132" s="70" t="n">
        <v>128773</v>
      </c>
      <c r="M1132" s="72" t="inlineStr">
        <is>
          <t>01</t>
        </is>
      </c>
      <c r="N1132" s="72" t="inlineStr">
        <is>
          <t>AVU</t>
        </is>
      </c>
      <c r="P1132" s="70" t="n">
        <v>103</v>
      </c>
      <c r="Q1132" s="72" t="inlineStr">
        <is>
          <t>MILKA FRANCIS</t>
        </is>
      </c>
      <c r="R1132" s="72" t="inlineStr">
        <is>
          <t>ESTOQUE DE MERCADORIAS</t>
        </is>
      </c>
      <c r="S1132" s="70" t="n">
        <v>1130101</v>
      </c>
      <c r="T1132" s="72" t="inlineStr">
        <is>
          <t>MERCADORIAS P/REVENDA</t>
        </is>
      </c>
      <c r="U1132" s="73" t="n">
        <v>1033.13</v>
      </c>
      <c r="W1132" s="73" t="n">
        <v>0</v>
      </c>
      <c r="X1132" s="72" t="inlineStr">
        <is>
          <t>NF128773 MITTOS / PAGO NO PIX EM 13/07/26 - MILKA</t>
        </is>
      </c>
      <c r="Z1132" s="59">
        <f>IF($T1132="","",IFERROR(INDEX('Resumo Grupos'!$AC$3:$AC$200,MATCH($T1132,'Resumo Grupos'!$AB$3:$AB$200,0)),"n/d"))</f>
        <v/>
      </c>
      <c r="AA1132" s="59">
        <f>IF($T1132="","",IF(COUNTIF('Resumo Grupos'!$AE$3:$AE$40,$T1132)&gt;0,"NAO","SIM"))</f>
        <v/>
      </c>
    </row>
    <row r="1133" ht="54.75" customHeight="1" s="60">
      <c r="A1133" s="70" t="n">
        <v>1</v>
      </c>
      <c r="B1133" s="71" t="n">
        <v>46216</v>
      </c>
      <c r="C1133" s="71" t="n">
        <v>46216</v>
      </c>
      <c r="D1133" s="70" t="n">
        <v>514</v>
      </c>
      <c r="E1133" s="72" t="inlineStr">
        <is>
          <t>SANTANDER SA</t>
        </is>
      </c>
      <c r="F1133" s="70" t="n">
        <v>34</v>
      </c>
      <c r="G1133" s="72" t="inlineStr">
        <is>
          <t>Transferencia Pix</t>
        </is>
      </c>
      <c r="H1133" s="70" t="n">
        <v>1110202</v>
      </c>
      <c r="I1133" s="72" t="inlineStr">
        <is>
          <t>BANCO ITAU Lj 01</t>
        </is>
      </c>
      <c r="J1133" s="70" t="n">
        <v>1397866</v>
      </c>
      <c r="L1133" s="70" t="n">
        <v>576431</v>
      </c>
      <c r="M1133" s="72" t="inlineStr">
        <is>
          <t>01</t>
        </is>
      </c>
      <c r="N1133" s="72" t="inlineStr">
        <is>
          <t>AVU</t>
        </is>
      </c>
      <c r="P1133" s="70" t="n">
        <v>102</v>
      </c>
      <c r="Q1133" s="72" t="inlineStr">
        <is>
          <t>ANDREZA ANDRADE</t>
        </is>
      </c>
      <c r="R1133" s="72" t="inlineStr">
        <is>
          <t>DESPESAS FINANCEIRAS</t>
        </is>
      </c>
      <c r="S1133" s="70" t="n">
        <v>4210504</v>
      </c>
      <c r="T1133" s="72" t="inlineStr">
        <is>
          <t>DESPESAS BANCARIAS</t>
        </is>
      </c>
      <c r="U1133" s="73" t="n">
        <v>16</v>
      </c>
      <c r="W1133" s="73" t="n">
        <v>0</v>
      </c>
      <c r="X1133" s="72" t="inlineStr">
        <is>
          <t>TAR EXTRATO INTEL.BCO SANTANDER 1VELHO-ANDREZA</t>
        </is>
      </c>
      <c r="Z1133" s="59">
        <f>IF($T1133="","",IFERROR(INDEX('Resumo Grupos'!$AC$3:$AC$200,MATCH($T1133,'Resumo Grupos'!$AB$3:$AB$200,0)),"n/d"))</f>
        <v/>
      </c>
      <c r="AA1133" s="59">
        <f>IF($T1133="","",IF(COUNTIF('Resumo Grupos'!$AE$3:$AE$40,$T1133)&gt;0,"NAO","SIM"))</f>
        <v/>
      </c>
    </row>
    <row r="1134" ht="54.75" customHeight="1" s="60">
      <c r="A1134" s="70" t="n">
        <v>1</v>
      </c>
      <c r="B1134" s="71" t="n">
        <v>46216</v>
      </c>
      <c r="C1134" s="71" t="n">
        <v>46216</v>
      </c>
      <c r="D1134" s="70" t="n">
        <v>514</v>
      </c>
      <c r="E1134" s="72" t="inlineStr">
        <is>
          <t>SANTANDER SA</t>
        </is>
      </c>
      <c r="F1134" s="70" t="n">
        <v>34</v>
      </c>
      <c r="G1134" s="72" t="inlineStr">
        <is>
          <t>Transferencia Pix</t>
        </is>
      </c>
      <c r="H1134" s="70" t="n">
        <v>1110202</v>
      </c>
      <c r="I1134" s="72" t="inlineStr">
        <is>
          <t>BANCO ITAU Lj 01</t>
        </is>
      </c>
      <c r="J1134" s="70" t="n">
        <v>1397879</v>
      </c>
      <c r="L1134" s="70" t="n">
        <v>576436</v>
      </c>
      <c r="M1134" s="72" t="inlineStr">
        <is>
          <t>01</t>
        </is>
      </c>
      <c r="N1134" s="72" t="inlineStr">
        <is>
          <t>AVU</t>
        </is>
      </c>
      <c r="P1134" s="70" t="n">
        <v>102</v>
      </c>
      <c r="Q1134" s="72" t="inlineStr">
        <is>
          <t>ANDREZA ANDRADE</t>
        </is>
      </c>
      <c r="R1134" s="72" t="inlineStr">
        <is>
          <t>DESPESAS FINANCEIRAS</t>
        </is>
      </c>
      <c r="S1134" s="70" t="n">
        <v>4210504</v>
      </c>
      <c r="T1134" s="72" t="inlineStr">
        <is>
          <t>DESPESAS BANCARIAS</t>
        </is>
      </c>
      <c r="U1134" s="73" t="n">
        <v>422</v>
      </c>
      <c r="W1134" s="73" t="n">
        <v>0</v>
      </c>
      <c r="X1134" s="72" t="inlineStr">
        <is>
          <t>TAR MENS. PACOTE SANTANDER 1VELHO-ANDREZA</t>
        </is>
      </c>
      <c r="Z1134" s="59">
        <f>IF($T1134="","",IFERROR(INDEX('Resumo Grupos'!$AC$3:$AC$200,MATCH($T1134,'Resumo Grupos'!$AB$3:$AB$200,0)),"n/d"))</f>
        <v/>
      </c>
      <c r="AA1134" s="59">
        <f>IF($T1134="","",IF(COUNTIF('Resumo Grupos'!$AE$3:$AE$40,$T1134)&gt;0,"NAO","SIM"))</f>
        <v/>
      </c>
    </row>
    <row r="1135" ht="36.75" customHeight="1" s="60">
      <c r="A1135" s="70" t="n">
        <v>1</v>
      </c>
      <c r="B1135" s="71" t="n">
        <v>46219</v>
      </c>
      <c r="C1135" s="71" t="n">
        <v>46216</v>
      </c>
      <c r="D1135" s="70" t="n">
        <v>887</v>
      </c>
      <c r="E1135" s="72" t="inlineStr">
        <is>
          <t>INTLINK TECNOLOGIA LTDA</t>
        </is>
      </c>
      <c r="F1135" s="70" t="n">
        <v>24</v>
      </c>
      <c r="G1135" s="72" t="inlineStr">
        <is>
          <t>Compra a Prazo - Boletos</t>
        </is>
      </c>
      <c r="H1135" s="70" t="n">
        <v>2110405</v>
      </c>
      <c r="I1135" s="72" t="inlineStr">
        <is>
          <t>CONTAS A PAGAR</t>
        </is>
      </c>
      <c r="J1135" s="70" t="n">
        <v>310123</v>
      </c>
      <c r="L1135" s="70" t="n">
        <v>1212</v>
      </c>
      <c r="M1135" s="72" t="inlineStr">
        <is>
          <t>03</t>
        </is>
      </c>
      <c r="N1135" s="72" t="inlineStr">
        <is>
          <t>AVU</t>
        </is>
      </c>
      <c r="P1135" s="70" t="n">
        <v>102</v>
      </c>
      <c r="Q1135" s="72" t="inlineStr">
        <is>
          <t>ANDREZA ANDRADE</t>
        </is>
      </c>
      <c r="R1135" s="72" t="inlineStr">
        <is>
          <t>DESPESAS COM PESSOAL</t>
        </is>
      </c>
      <c r="S1135" s="70" t="n">
        <v>4210315</v>
      </c>
      <c r="T1135" s="72" t="inlineStr">
        <is>
          <t>INTERNET</t>
        </is>
      </c>
      <c r="U1135" s="73" t="n">
        <v>199.8</v>
      </c>
      <c r="W1135" s="73" t="n">
        <v>0</v>
      </c>
      <c r="X1135" s="72" t="inlineStr">
        <is>
          <t>MENS INTERNET MO1 - KEILA,</t>
        </is>
      </c>
      <c r="Z1135" s="59">
        <f>IF($T1135="","",IFERROR(INDEX('Resumo Grupos'!$AC$3:$AC$200,MATCH($T1135,'Resumo Grupos'!$AB$3:$AB$200,0)),"n/d"))</f>
        <v/>
      </c>
      <c r="AA1135" s="59">
        <f>IF($T1135="","",IF(COUNTIF('Resumo Grupos'!$AE$3:$AE$40,$T1135)&gt;0,"NAO","SIM"))</f>
        <v/>
      </c>
    </row>
    <row r="1136" ht="45.75" customHeight="1" s="60">
      <c r="A1136" s="70" t="n">
        <v>1</v>
      </c>
      <c r="B1136" s="71" t="n">
        <v>46216</v>
      </c>
      <c r="C1136" s="71" t="n">
        <v>46216</v>
      </c>
      <c r="D1136" s="70" t="n">
        <v>515</v>
      </c>
      <c r="E1136" s="72" t="inlineStr">
        <is>
          <t>ITAU SA</t>
        </is>
      </c>
      <c r="F1136" s="70" t="n">
        <v>42</v>
      </c>
      <c r="G1136" s="72" t="inlineStr">
        <is>
          <t>Cartao Itau Novo 4620 Venc 13</t>
        </is>
      </c>
      <c r="H1136" s="70" t="n">
        <v>1110202</v>
      </c>
      <c r="I1136" s="72" t="inlineStr">
        <is>
          <t>BANCO ITAU Lj 01</t>
        </is>
      </c>
      <c r="J1136" s="70" t="n">
        <v>1407866</v>
      </c>
      <c r="L1136" s="70" t="n">
        <v>580252</v>
      </c>
      <c r="M1136" s="72" t="inlineStr">
        <is>
          <t>01</t>
        </is>
      </c>
      <c r="N1136" s="72" t="inlineStr">
        <is>
          <t>AVU</t>
        </is>
      </c>
      <c r="P1136" s="70" t="n">
        <v>102</v>
      </c>
      <c r="Q1136" s="72" t="inlineStr">
        <is>
          <t>ANDREZA ANDRADE</t>
        </is>
      </c>
      <c r="R1136" s="72" t="inlineStr">
        <is>
          <t>DESPESAS A APROPRIAR</t>
        </is>
      </c>
      <c r="S1136" s="70" t="n">
        <v>1140104</v>
      </c>
      <c r="T1136" s="72" t="inlineStr">
        <is>
          <t>CARTAO DE CREDITO - ANUIDADE</t>
        </is>
      </c>
      <c r="U1136" s="73" t="n">
        <v>18.75</v>
      </c>
      <c r="W1136" s="73" t="n">
        <v>0</v>
      </c>
      <c r="X1136" s="72" t="inlineStr">
        <is>
          <t>ANUIDADE  CARTAOITAU 1NV-ANDREZA</t>
        </is>
      </c>
      <c r="Z1136" s="59">
        <f>IF($T1136="","",IFERROR(INDEX('Resumo Grupos'!$AC$3:$AC$200,MATCH($T1136,'Resumo Grupos'!$AB$3:$AB$200,0)),"n/d"))</f>
        <v/>
      </c>
      <c r="AA1136" s="59">
        <f>IF($T1136="","",IF(COUNTIF('Resumo Grupos'!$AE$3:$AE$40,$T1136)&gt;0,"NAO","SIM"))</f>
        <v/>
      </c>
    </row>
    <row r="1137" ht="45.75" customHeight="1" s="60">
      <c r="A1137" s="70" t="n">
        <v>1</v>
      </c>
      <c r="B1137" s="71" t="n">
        <v>46216</v>
      </c>
      <c r="C1137" s="71" t="n">
        <v>46216</v>
      </c>
      <c r="D1137" s="70" t="n">
        <v>681</v>
      </c>
      <c r="E1137" s="72" t="inlineStr">
        <is>
          <t>GRADE DE COCA COLA</t>
        </is>
      </c>
      <c r="F1137" s="70" t="n">
        <v>24</v>
      </c>
      <c r="G1137" s="72" t="inlineStr">
        <is>
          <t>Compra a Prazo - Boletos</t>
        </is>
      </c>
      <c r="H1137" s="70" t="n">
        <v>1110202</v>
      </c>
      <c r="I1137" s="72" t="inlineStr">
        <is>
          <t>BANCO ITAU Lj 01</t>
        </is>
      </c>
      <c r="J1137" s="70" t="n">
        <v>1449410</v>
      </c>
      <c r="L1137" s="70" t="n">
        <v>596221</v>
      </c>
      <c r="M1137" s="72" t="inlineStr">
        <is>
          <t>01</t>
        </is>
      </c>
      <c r="N1137" s="72" t="inlineStr">
        <is>
          <t>AVU</t>
        </is>
      </c>
      <c r="P1137" s="70" t="n">
        <v>101</v>
      </c>
      <c r="Q1137" s="72" t="inlineStr">
        <is>
          <t>KEILA LIMA</t>
        </is>
      </c>
      <c r="R1137" s="72" t="inlineStr">
        <is>
          <t>ESTOQUE DE MERCADORIAS</t>
        </is>
      </c>
      <c r="S1137" s="70" t="n">
        <v>1130101</v>
      </c>
      <c r="T1137" s="72" t="inlineStr">
        <is>
          <t>MERCADORIAS P/REVENDA</t>
        </is>
      </c>
      <c r="U1137" s="73" t="n">
        <v>4.2</v>
      </c>
      <c r="W1137" s="73" t="n">
        <v>0</v>
      </c>
      <c r="X1137" s="72" t="inlineStr">
        <is>
          <t>NF1905191 TARIFA BOLETO COCA - KEILA</t>
        </is>
      </c>
      <c r="Z1137" s="59">
        <f>IF($T1137="","",IFERROR(INDEX('Resumo Grupos'!$AC$3:$AC$200,MATCH($T1137,'Resumo Grupos'!$AB$3:$AB$200,0)),"n/d"))</f>
        <v/>
      </c>
      <c r="AA1137" s="59">
        <f>IF($T1137="","",IF(COUNTIF('Resumo Grupos'!$AE$3:$AE$40,$T1137)&gt;0,"NAO","SIM"))</f>
        <v/>
      </c>
    </row>
    <row r="1138" ht="36.75" customHeight="1" s="60">
      <c r="A1138" s="70" t="n">
        <v>1</v>
      </c>
      <c r="B1138" s="71" t="n">
        <v>46216</v>
      </c>
      <c r="C1138" s="71" t="n">
        <v>46216</v>
      </c>
      <c r="D1138" s="70" t="n">
        <v>515</v>
      </c>
      <c r="E1138" s="72" t="inlineStr">
        <is>
          <t>ITAU SA</t>
        </is>
      </c>
      <c r="F1138" s="70" t="n">
        <v>34</v>
      </c>
      <c r="G1138" s="72" t="inlineStr">
        <is>
          <t>Transferencia Pix</t>
        </is>
      </c>
      <c r="H1138" s="70" t="n">
        <v>1110202</v>
      </c>
      <c r="I1138" s="72" t="inlineStr">
        <is>
          <t>BANCO ITAU Lj 01</t>
        </is>
      </c>
      <c r="J1138" s="70" t="n">
        <v>1449441</v>
      </c>
      <c r="L1138" s="70" t="n">
        <v>596228</v>
      </c>
      <c r="M1138" s="72" t="inlineStr">
        <is>
          <t>01</t>
        </is>
      </c>
      <c r="N1138" s="72" t="inlineStr">
        <is>
          <t>AVU</t>
        </is>
      </c>
      <c r="P1138" s="70" t="n">
        <v>101</v>
      </c>
      <c r="Q1138" s="72" t="inlineStr">
        <is>
          <t>KEILA LIMA</t>
        </is>
      </c>
      <c r="R1138" s="72" t="inlineStr">
        <is>
          <t>DESPESAS NAO OPERACIONAIS</t>
        </is>
      </c>
      <c r="S1138" s="70" t="n">
        <v>4220199</v>
      </c>
      <c r="T1138" s="72" t="inlineStr">
        <is>
          <t>PAGAMENTOS OUTROS NAO OPERACIONAIS</t>
        </is>
      </c>
      <c r="U1138" s="73" t="n">
        <v>252.1</v>
      </c>
      <c r="W1138" s="73" t="n">
        <v>0</v>
      </c>
      <c r="X1138" s="72" t="inlineStr">
        <is>
          <t xml:space="preserve">CARTAO CREDITO NAO SOMAR </t>
        </is>
      </c>
      <c r="Z1138" s="59">
        <f>IF($T1138="","",IFERROR(INDEX('Resumo Grupos'!$AC$3:$AC$200,MATCH($T1138,'Resumo Grupos'!$AB$3:$AB$200,0)),"n/d"))</f>
        <v/>
      </c>
      <c r="AA1138" s="59">
        <f>IF($T1138="","",IF(COUNTIF('Resumo Grupos'!$AE$3:$AE$40,$T1138)&gt;0,"NAO","SIM"))</f>
        <v/>
      </c>
    </row>
    <row r="1139" ht="36.75" customHeight="1" s="60">
      <c r="A1139" s="70" t="n">
        <v>1</v>
      </c>
      <c r="B1139" s="71" t="n">
        <v>46172</v>
      </c>
      <c r="C1139" s="71" t="n">
        <v>46217</v>
      </c>
      <c r="D1139" s="70" t="n">
        <v>607</v>
      </c>
      <c r="E1139" s="72" t="inlineStr">
        <is>
          <t>PRIME PET DISTRIBUIDORA LTDA</t>
        </is>
      </c>
      <c r="F1139" s="70" t="n">
        <v>24</v>
      </c>
      <c r="G1139" s="72" t="inlineStr">
        <is>
          <t>Compra a Prazo - Boletos</t>
        </is>
      </c>
      <c r="H1139" s="70" t="n">
        <v>2110101</v>
      </c>
      <c r="I1139" s="72" t="inlineStr">
        <is>
          <t>FORNECEDORES DE MERCADORIA</t>
        </is>
      </c>
      <c r="J1139" s="70" t="n">
        <v>1177249</v>
      </c>
      <c r="L1139" s="70" t="n">
        <v>10589</v>
      </c>
      <c r="M1139" s="72" t="inlineStr">
        <is>
          <t>04</t>
        </is>
      </c>
      <c r="N1139" s="72" t="inlineStr">
        <is>
          <t>NFE</t>
        </is>
      </c>
      <c r="P1139" s="70" t="n">
        <v>103</v>
      </c>
      <c r="Q1139" s="72" t="inlineStr">
        <is>
          <t>MILKA FRANCIS</t>
        </is>
      </c>
      <c r="R1139" s="72" t="inlineStr">
        <is>
          <t>ESTOQUE DE MERCADORIAS</t>
        </is>
      </c>
      <c r="S1139" s="70" t="n">
        <v>1130101</v>
      </c>
      <c r="T1139" s="72" t="inlineStr">
        <is>
          <t>MERCADORIAS P/REVENDA</t>
        </is>
      </c>
      <c r="U1139" s="73" t="n">
        <v>1060.9</v>
      </c>
      <c r="W1139" s="73" t="n">
        <v>0</v>
      </c>
      <c r="X1139" s="72" t="inlineStr">
        <is>
          <t>NF 10589-04/05 MILKA</t>
        </is>
      </c>
      <c r="Z1139" s="59">
        <f>IF($T1139="","",IFERROR(INDEX('Resumo Grupos'!$AC$3:$AC$200,MATCH($T1139,'Resumo Grupos'!$AB$3:$AB$200,0)),"n/d"))</f>
        <v/>
      </c>
      <c r="AA1139" s="59">
        <f>IF($T1139="","",IF(COUNTIF('Resumo Grupos'!$AE$3:$AE$40,$T1139)&gt;0,"NAO","SIM"))</f>
        <v/>
      </c>
    </row>
    <row r="1140" ht="36.75" customHeight="1" s="60">
      <c r="A1140" s="70" t="n">
        <v>1</v>
      </c>
      <c r="B1140" s="71" t="n">
        <v>46184</v>
      </c>
      <c r="C1140" s="71" t="n">
        <v>46217</v>
      </c>
      <c r="D1140" s="70" t="n">
        <v>1390</v>
      </c>
      <c r="E1140" s="72" t="inlineStr">
        <is>
          <t>SMV COMERCIO DE PRODUTOS ALIMENTICIOS LT</t>
        </is>
      </c>
      <c r="F1140" s="70" t="n">
        <v>24</v>
      </c>
      <c r="G1140" s="72" t="inlineStr">
        <is>
          <t>Compra a Prazo - Boletos</t>
        </is>
      </c>
      <c r="H1140" s="70" t="n">
        <v>2110101</v>
      </c>
      <c r="I1140" s="72" t="inlineStr">
        <is>
          <t>FORNECEDORES DE MERCADORIA</t>
        </is>
      </c>
      <c r="J1140" s="70" t="n">
        <v>1235862</v>
      </c>
      <c r="L1140" s="70" t="n">
        <v>6597</v>
      </c>
      <c r="M1140" s="72" t="inlineStr">
        <is>
          <t>01</t>
        </is>
      </c>
      <c r="N1140" s="72" t="inlineStr">
        <is>
          <t>NFE</t>
        </is>
      </c>
      <c r="P1140" s="70" t="n">
        <v>103</v>
      </c>
      <c r="Q1140" s="72" t="inlineStr">
        <is>
          <t>MILKA FRANCIS</t>
        </is>
      </c>
      <c r="R1140" s="72" t="inlineStr">
        <is>
          <t>ESTOQUE DE MERCADORIAS</t>
        </is>
      </c>
      <c r="S1140" s="70" t="n">
        <v>1130101</v>
      </c>
      <c r="T1140" s="72" t="inlineStr">
        <is>
          <t>MERCADORIAS P/REVENDA</t>
        </is>
      </c>
      <c r="U1140" s="73" t="n">
        <v>525.0700000000001</v>
      </c>
      <c r="W1140" s="73" t="n">
        <v>0</v>
      </c>
      <c r="X1140" s="72" t="inlineStr">
        <is>
          <t>6860-1/2  NF6597 - MILKA</t>
        </is>
      </c>
      <c r="Z1140" s="59">
        <f>IF($T1140="","",IFERROR(INDEX('Resumo Grupos'!$AC$3:$AC$200,MATCH($T1140,'Resumo Grupos'!$AB$3:$AB$200,0)),"n/d"))</f>
        <v/>
      </c>
      <c r="AA1140" s="59">
        <f>IF($T1140="","",IF(COUNTIF('Resumo Grupos'!$AE$3:$AE$40,$T1140)&gt;0,"NAO","SIM"))</f>
        <v/>
      </c>
    </row>
    <row r="1141" ht="36.75" customHeight="1" s="60">
      <c r="A1141" s="70" t="n">
        <v>1</v>
      </c>
      <c r="B1141" s="71" t="n">
        <v>46189</v>
      </c>
      <c r="C1141" s="71" t="n">
        <v>46217</v>
      </c>
      <c r="D1141" s="70" t="n">
        <v>1921</v>
      </c>
      <c r="E1141" s="72" t="inlineStr">
        <is>
          <t>BF COMERCIO DE ALIMENTOS REPRESENTACAO L</t>
        </is>
      </c>
      <c r="F1141" s="70" t="n">
        <v>24</v>
      </c>
      <c r="G1141" s="72" t="inlineStr">
        <is>
          <t>Compra a Prazo - Boletos</t>
        </is>
      </c>
      <c r="H1141" s="70" t="n">
        <v>2110101</v>
      </c>
      <c r="I1141" s="72" t="inlineStr">
        <is>
          <t>FORNECEDORES DE MERCADORIA</t>
        </is>
      </c>
      <c r="J1141" s="70" t="n">
        <v>1261759</v>
      </c>
      <c r="L1141" s="70" t="n">
        <v>20900</v>
      </c>
      <c r="M1141" s="72" t="inlineStr">
        <is>
          <t>01</t>
        </is>
      </c>
      <c r="N1141" s="72" t="inlineStr">
        <is>
          <t>NFE</t>
        </is>
      </c>
      <c r="P1141" s="70" t="n">
        <v>103</v>
      </c>
      <c r="Q1141" s="72" t="inlineStr">
        <is>
          <t>MILKA FRANCIS</t>
        </is>
      </c>
      <c r="R1141" s="72" t="inlineStr">
        <is>
          <t>ESTOQUE DE MERCADORIAS</t>
        </is>
      </c>
      <c r="S1141" s="70" t="n">
        <v>1130101</v>
      </c>
      <c r="T1141" s="72" t="inlineStr">
        <is>
          <t>MERCADORIAS P/REVENDA</t>
        </is>
      </c>
      <c r="U1141" s="73" t="n">
        <v>2301.99</v>
      </c>
      <c r="W1141" s="73" t="n">
        <v>0</v>
      </c>
      <c r="X1141" s="72" t="inlineStr">
        <is>
          <t>NF 20900 RAIZ ALIMENTOS - MILKA</t>
        </is>
      </c>
      <c r="Z1141" s="59">
        <f>IF($T1141="","",IFERROR(INDEX('Resumo Grupos'!$AC$3:$AC$200,MATCH($T1141,'Resumo Grupos'!$AB$3:$AB$200,0)),"n/d"))</f>
        <v/>
      </c>
      <c r="AA1141" s="59">
        <f>IF($T1141="","",IF(COUNTIF('Resumo Grupos'!$AE$3:$AE$40,$T1141)&gt;0,"NAO","SIM"))</f>
        <v/>
      </c>
    </row>
    <row r="1142" ht="36.75" customHeight="1" s="60">
      <c r="A1142" s="70" t="n">
        <v>1</v>
      </c>
      <c r="B1142" s="71" t="n">
        <v>46199</v>
      </c>
      <c r="C1142" s="71" t="n">
        <v>46217</v>
      </c>
      <c r="D1142" s="70" t="n">
        <v>1745</v>
      </c>
      <c r="E1142" s="72" t="inlineStr">
        <is>
          <t>TRES CORACOES ALIMENTOS S.A.</t>
        </is>
      </c>
      <c r="F1142" s="70" t="n">
        <v>24</v>
      </c>
      <c r="G1142" s="72" t="inlineStr">
        <is>
          <t>Compra a Prazo - Boletos</t>
        </is>
      </c>
      <c r="H1142" s="70" t="n">
        <v>2110101</v>
      </c>
      <c r="I1142" s="72" t="inlineStr">
        <is>
          <t>FORNECEDORES DE MERCADORIA</t>
        </is>
      </c>
      <c r="J1142" s="70" t="n">
        <v>1310155</v>
      </c>
      <c r="L1142" s="70" t="n">
        <v>348726</v>
      </c>
      <c r="M1142" s="72" t="inlineStr">
        <is>
          <t>01</t>
        </is>
      </c>
      <c r="N1142" s="72" t="inlineStr">
        <is>
          <t>NFE</t>
        </is>
      </c>
      <c r="P1142" s="70" t="n">
        <v>103</v>
      </c>
      <c r="Q1142" s="72" t="inlineStr">
        <is>
          <t>MILKA FRANCIS</t>
        </is>
      </c>
      <c r="R1142" s="72" t="inlineStr">
        <is>
          <t>ESTOQUE DE MERCADORIAS</t>
        </is>
      </c>
      <c r="S1142" s="70" t="n">
        <v>1130101</v>
      </c>
      <c r="T1142" s="72" t="inlineStr">
        <is>
          <t>MERCADORIAS P/REVENDA</t>
        </is>
      </c>
      <c r="U1142" s="73" t="n">
        <v>901.9400000000001</v>
      </c>
      <c r="W1142" s="73" t="n">
        <v>0</v>
      </c>
      <c r="X1142" s="72" t="inlineStr">
        <is>
          <t>NF 348726 - MILKA</t>
        </is>
      </c>
      <c r="Z1142" s="59">
        <f>IF($T1142="","",IFERROR(INDEX('Resumo Grupos'!$AC$3:$AC$200,MATCH($T1142,'Resumo Grupos'!$AB$3:$AB$200,0)),"n/d"))</f>
        <v/>
      </c>
      <c r="AA1142" s="59">
        <f>IF($T1142="","",IF(COUNTIF('Resumo Grupos'!$AE$3:$AE$40,$T1142)&gt;0,"NAO","SIM"))</f>
        <v/>
      </c>
    </row>
    <row r="1143" ht="45.75" customHeight="1" s="60">
      <c r="A1143" s="70" t="n">
        <v>1</v>
      </c>
      <c r="B1143" s="71" t="n">
        <v>46199</v>
      </c>
      <c r="C1143" s="71" t="n">
        <v>46217</v>
      </c>
      <c r="D1143" s="70" t="n">
        <v>1668</v>
      </c>
      <c r="E1143" s="72" t="inlineStr">
        <is>
          <t>NATUREZA COMERCIO DE DESCARTAVEIS LTDA</t>
        </is>
      </c>
      <c r="F1143" s="70" t="n">
        <v>24</v>
      </c>
      <c r="G1143" s="72" t="inlineStr">
        <is>
          <t>Compra a Prazo - Boletos</t>
        </is>
      </c>
      <c r="H1143" s="70" t="n">
        <v>2110101</v>
      </c>
      <c r="I1143" s="72" t="inlineStr">
        <is>
          <t>FORNECEDORES DE MERCADORIA</t>
        </is>
      </c>
      <c r="J1143" s="70" t="n">
        <v>1310257</v>
      </c>
      <c r="L1143" s="70" t="n">
        <v>731754</v>
      </c>
      <c r="M1143" s="72" t="inlineStr">
        <is>
          <t>01</t>
        </is>
      </c>
      <c r="N1143" s="72" t="inlineStr">
        <is>
          <t>NFE</t>
        </is>
      </c>
      <c r="P1143" s="70" t="n">
        <v>103</v>
      </c>
      <c r="Q1143" s="72" t="inlineStr">
        <is>
          <t>MILKA FRANCIS</t>
        </is>
      </c>
      <c r="R1143" s="72" t="inlineStr">
        <is>
          <t>ESTOQUE DE MERCADORIAS</t>
        </is>
      </c>
      <c r="S1143" s="70" t="n">
        <v>1130101</v>
      </c>
      <c r="T1143" s="72" t="inlineStr">
        <is>
          <t>MERCADORIAS P/REVENDA</t>
        </is>
      </c>
      <c r="U1143" s="73" t="n">
        <v>206.31</v>
      </c>
      <c r="W1143" s="73" t="n">
        <v>0</v>
      </c>
      <c r="X1143" s="72" t="inlineStr">
        <is>
          <t>NF 731754 - MILKA</t>
        </is>
      </c>
      <c r="Z1143" s="59">
        <f>IF($T1143="","",IFERROR(INDEX('Resumo Grupos'!$AC$3:$AC$200,MATCH($T1143,'Resumo Grupos'!$AB$3:$AB$200,0)),"n/d"))</f>
        <v/>
      </c>
      <c r="AA1143" s="59">
        <f>IF($T1143="","",IF(COUNTIF('Resumo Grupos'!$AE$3:$AE$40,$T1143)&gt;0,"NAO","SIM"))</f>
        <v/>
      </c>
    </row>
    <row r="1144" ht="36.75" customHeight="1" s="60">
      <c r="A1144" s="70" t="n">
        <v>1</v>
      </c>
      <c r="B1144" s="71" t="n">
        <v>46202</v>
      </c>
      <c r="C1144" s="71" t="n">
        <v>46217</v>
      </c>
      <c r="D1144" s="70" t="n">
        <v>1402</v>
      </c>
      <c r="E1144" s="72" t="inlineStr">
        <is>
          <t>TRIPLASTIK COMERCIAL</t>
        </is>
      </c>
      <c r="F1144" s="70" t="n">
        <v>24</v>
      </c>
      <c r="G1144" s="72" t="inlineStr">
        <is>
          <t>Compra a Prazo - Boletos</t>
        </is>
      </c>
      <c r="H1144" s="70" t="n">
        <v>2110102</v>
      </c>
      <c r="I1144" s="72" t="inlineStr">
        <is>
          <t>OUTROS FORNECEDORES</t>
        </is>
      </c>
      <c r="J1144" s="70" t="n">
        <v>1323014</v>
      </c>
      <c r="L1144" s="70" t="n">
        <v>3370</v>
      </c>
      <c r="M1144" s="72" t="inlineStr">
        <is>
          <t>01</t>
        </is>
      </c>
      <c r="N1144" s="72" t="inlineStr">
        <is>
          <t>NFE</t>
        </is>
      </c>
      <c r="P1144" s="70" t="n">
        <v>103</v>
      </c>
      <c r="Q1144" s="72" t="inlineStr">
        <is>
          <t>MILKA FRANCIS</t>
        </is>
      </c>
      <c r="R1144" s="72" t="inlineStr">
        <is>
          <t>DESPESAS OPERACIONAIS</t>
        </is>
      </c>
      <c r="S1144" s="70" t="n">
        <v>4210204</v>
      </c>
      <c r="T1144" s="72" t="inlineStr">
        <is>
          <t>MATERIAL DE CONSUMO</t>
        </is>
      </c>
      <c r="U1144" s="73" t="n">
        <v>1580.8</v>
      </c>
      <c r="W1144" s="73" t="n">
        <v>0</v>
      </c>
      <c r="X1144" s="72" t="inlineStr">
        <is>
          <t>NF 3370 DESPESA - MILKA</t>
        </is>
      </c>
      <c r="Z1144" s="59">
        <f>IF($T1144="","",IFERROR(INDEX('Resumo Grupos'!$AC$3:$AC$200,MATCH($T1144,'Resumo Grupos'!$AB$3:$AB$200,0)),"n/d"))</f>
        <v/>
      </c>
      <c r="AA1144" s="59">
        <f>IF($T1144="","",IF(COUNTIF('Resumo Grupos'!$AE$3:$AE$40,$T1144)&gt;0,"NAO","SIM"))</f>
        <v/>
      </c>
    </row>
    <row r="1145" ht="36.75" customHeight="1" s="60">
      <c r="A1145" s="70" t="n">
        <v>1</v>
      </c>
      <c r="B1145" s="71" t="n">
        <v>46204</v>
      </c>
      <c r="C1145" s="71" t="n">
        <v>46217</v>
      </c>
      <c r="D1145" s="70" t="n">
        <v>1114</v>
      </c>
      <c r="E1145" s="72" t="inlineStr">
        <is>
          <t>NT INDUSTRIA E COMERCIO DE PANIFICACAO L</t>
        </is>
      </c>
      <c r="F1145" s="70" t="n">
        <v>24</v>
      </c>
      <c r="G1145" s="72" t="inlineStr">
        <is>
          <t>Compra a Prazo - Boletos</t>
        </is>
      </c>
      <c r="H1145" s="70" t="n">
        <v>2110101</v>
      </c>
      <c r="I1145" s="72" t="inlineStr">
        <is>
          <t>FORNECEDORES DE MERCADORIA</t>
        </is>
      </c>
      <c r="J1145" s="70" t="n">
        <v>1333931</v>
      </c>
      <c r="L1145" s="70" t="n">
        <v>39854</v>
      </c>
      <c r="M1145" s="72" t="inlineStr">
        <is>
          <t>01</t>
        </is>
      </c>
      <c r="N1145" s="72" t="inlineStr">
        <is>
          <t>NFE</t>
        </is>
      </c>
      <c r="P1145" s="70" t="n">
        <v>103</v>
      </c>
      <c r="Q1145" s="72" t="inlineStr">
        <is>
          <t>MILKA FRANCIS</t>
        </is>
      </c>
      <c r="R1145" s="72" t="inlineStr">
        <is>
          <t>ESTOQUE DE MERCADORIAS</t>
        </is>
      </c>
      <c r="S1145" s="70" t="n">
        <v>1130101</v>
      </c>
      <c r="T1145" s="72" t="inlineStr">
        <is>
          <t>MERCADORIAS P/REVENDA</t>
        </is>
      </c>
      <c r="U1145" s="73" t="n">
        <v>4298.22</v>
      </c>
      <c r="W1145" s="73" t="n">
        <v>0</v>
      </c>
      <c r="X1145" s="72" t="inlineStr">
        <is>
          <t>NF 39854 - MILKA</t>
        </is>
      </c>
      <c r="Z1145" s="59">
        <f>IF($T1145="","",IFERROR(INDEX('Resumo Grupos'!$AC$3:$AC$200,MATCH($T1145,'Resumo Grupos'!$AB$3:$AB$200,0)),"n/d"))</f>
        <v/>
      </c>
      <c r="AA1145" s="59">
        <f>IF($T1145="","",IF(COUNTIF('Resumo Grupos'!$AE$3:$AE$40,$T1145)&gt;0,"NAO","SIM"))</f>
        <v/>
      </c>
    </row>
    <row r="1146" ht="36.75" customHeight="1" s="60">
      <c r="A1146" s="70" t="n">
        <v>1</v>
      </c>
      <c r="B1146" s="71" t="n">
        <v>46204</v>
      </c>
      <c r="C1146" s="71" t="n">
        <v>46217</v>
      </c>
      <c r="D1146" s="70" t="n">
        <v>1107</v>
      </c>
      <c r="E1146" s="72" t="inlineStr">
        <is>
          <t>OESA COMERCIO E REPRESENTACOES S/A</t>
        </is>
      </c>
      <c r="F1146" s="70" t="n">
        <v>24</v>
      </c>
      <c r="G1146" s="72" t="inlineStr">
        <is>
          <t>Compra a Prazo - Boletos</t>
        </is>
      </c>
      <c r="H1146" s="70" t="n">
        <v>2110101</v>
      </c>
      <c r="I1146" s="72" t="inlineStr">
        <is>
          <t>FORNECEDORES DE MERCADORIA</t>
        </is>
      </c>
      <c r="J1146" s="70" t="n">
        <v>1335361</v>
      </c>
      <c r="L1146" s="70" t="n">
        <v>423615</v>
      </c>
      <c r="M1146" s="72" t="inlineStr">
        <is>
          <t>01</t>
        </is>
      </c>
      <c r="N1146" s="72" t="inlineStr">
        <is>
          <t>NFE</t>
        </is>
      </c>
      <c r="P1146" s="70" t="n">
        <v>103</v>
      </c>
      <c r="Q1146" s="72" t="inlineStr">
        <is>
          <t>MILKA FRANCIS</t>
        </is>
      </c>
      <c r="R1146" s="72" t="inlineStr">
        <is>
          <t>ESTOQUE DE MERCADORIAS</t>
        </is>
      </c>
      <c r="S1146" s="70" t="n">
        <v>1130101</v>
      </c>
      <c r="T1146" s="72" t="inlineStr">
        <is>
          <t>MERCADORIAS P/REVENDA</t>
        </is>
      </c>
      <c r="U1146" s="73" t="n">
        <v>1120.61</v>
      </c>
      <c r="W1146" s="73" t="n">
        <v>0</v>
      </c>
      <c r="X1146" s="72" t="inlineStr">
        <is>
          <t>NF 423615 -1 MILKA</t>
        </is>
      </c>
      <c r="Z1146" s="59">
        <f>IF($T1146="","",IFERROR(INDEX('Resumo Grupos'!$AC$3:$AC$200,MATCH($T1146,'Resumo Grupos'!$AB$3:$AB$200,0)),"n/d"))</f>
        <v/>
      </c>
      <c r="AA1146" s="59">
        <f>IF($T1146="","",IF(COUNTIF('Resumo Grupos'!$AE$3:$AE$40,$T1146)&gt;0,"NAO","SIM"))</f>
        <v/>
      </c>
    </row>
    <row r="1147" ht="36.75" customHeight="1" s="60">
      <c r="A1147" s="70" t="n">
        <v>1</v>
      </c>
      <c r="B1147" s="71" t="n">
        <v>46205</v>
      </c>
      <c r="C1147" s="71" t="n">
        <v>46217</v>
      </c>
      <c r="D1147" s="70" t="n">
        <v>703</v>
      </c>
      <c r="E1147" s="72" t="inlineStr">
        <is>
          <t>NEXUS DISTRIBUIDORA</t>
        </is>
      </c>
      <c r="F1147" s="70" t="n">
        <v>24</v>
      </c>
      <c r="G1147" s="72" t="inlineStr">
        <is>
          <t>Compra a Prazo - Boletos</t>
        </is>
      </c>
      <c r="H1147" s="70" t="n">
        <v>2110101</v>
      </c>
      <c r="I1147" s="72" t="inlineStr">
        <is>
          <t>FORNECEDORES DE MERCADORIA</t>
        </is>
      </c>
      <c r="J1147" s="70" t="n">
        <v>1340626</v>
      </c>
      <c r="L1147" s="70" t="n">
        <v>101974</v>
      </c>
      <c r="M1147" s="72" t="inlineStr">
        <is>
          <t>01</t>
        </is>
      </c>
      <c r="N1147" s="72" t="inlineStr">
        <is>
          <t>NFE</t>
        </is>
      </c>
      <c r="P1147" s="70" t="n">
        <v>103</v>
      </c>
      <c r="Q1147" s="72" t="inlineStr">
        <is>
          <t>MILKA FRANCIS</t>
        </is>
      </c>
      <c r="R1147" s="72" t="inlineStr">
        <is>
          <t>ESTOQUE DE MERCADORIAS</t>
        </is>
      </c>
      <c r="S1147" s="70" t="n">
        <v>1130101</v>
      </c>
      <c r="T1147" s="72" t="inlineStr">
        <is>
          <t>MERCADORIAS P/REVENDA</t>
        </is>
      </c>
      <c r="U1147" s="73" t="n">
        <v>584.73</v>
      </c>
      <c r="W1147" s="73" t="n">
        <v>0</v>
      </c>
      <c r="X1147" s="72" t="inlineStr">
        <is>
          <t>NF 101974 - MILKA</t>
        </is>
      </c>
      <c r="Z1147" s="59">
        <f>IF($T1147="","",IFERROR(INDEX('Resumo Grupos'!$AC$3:$AC$200,MATCH($T1147,'Resumo Grupos'!$AB$3:$AB$200,0)),"n/d"))</f>
        <v/>
      </c>
      <c r="AA1147" s="59">
        <f>IF($T1147="","",IF(COUNTIF('Resumo Grupos'!$AE$3:$AE$40,$T1147)&gt;0,"NAO","SIM"))</f>
        <v/>
      </c>
    </row>
    <row r="1148" ht="36.75" customHeight="1" s="60">
      <c r="A1148" s="70" t="n">
        <v>1</v>
      </c>
      <c r="B1148" s="71" t="n">
        <v>46205</v>
      </c>
      <c r="C1148" s="71" t="n">
        <v>46217</v>
      </c>
      <c r="D1148" s="70" t="n">
        <v>10009</v>
      </c>
      <c r="E1148" s="72" t="inlineStr">
        <is>
          <t>NESTLÉ BRASIL LTDA.</t>
        </is>
      </c>
      <c r="F1148" s="70" t="n">
        <v>24</v>
      </c>
      <c r="G1148" s="72" t="inlineStr">
        <is>
          <t>Compra a Prazo - Boletos</t>
        </is>
      </c>
      <c r="H1148" s="70" t="n">
        <v>2110101</v>
      </c>
      <c r="I1148" s="72" t="inlineStr">
        <is>
          <t>FORNECEDORES DE MERCADORIA</t>
        </is>
      </c>
      <c r="J1148" s="70" t="n">
        <v>1340751</v>
      </c>
      <c r="L1148" s="70" t="n">
        <v>1423353</v>
      </c>
      <c r="M1148" s="72" t="inlineStr">
        <is>
          <t>01</t>
        </is>
      </c>
      <c r="N1148" s="72" t="inlineStr">
        <is>
          <t>NFE</t>
        </is>
      </c>
      <c r="P1148" s="70" t="n">
        <v>103</v>
      </c>
      <c r="Q1148" s="72" t="inlineStr">
        <is>
          <t>MILKA FRANCIS</t>
        </is>
      </c>
      <c r="R1148" s="72" t="inlineStr">
        <is>
          <t>ESTOQUE DE MERCADORIAS</t>
        </is>
      </c>
      <c r="S1148" s="70" t="n">
        <v>1130101</v>
      </c>
      <c r="T1148" s="72" t="inlineStr">
        <is>
          <t>MERCADORIAS P/REVENDA</t>
        </is>
      </c>
      <c r="U1148" s="73" t="n">
        <v>494.27</v>
      </c>
      <c r="W1148" s="73" t="n">
        <v>0</v>
      </c>
      <c r="X1148" s="72" t="inlineStr">
        <is>
          <t>NF 1423353 - MILKA</t>
        </is>
      </c>
      <c r="Z1148" s="59">
        <f>IF($T1148="","",IFERROR(INDEX('Resumo Grupos'!$AC$3:$AC$200,MATCH($T1148,'Resumo Grupos'!$AB$3:$AB$200,0)),"n/d"))</f>
        <v/>
      </c>
      <c r="AA1148" s="59">
        <f>IF($T1148="","",IF(COUNTIF('Resumo Grupos'!$AE$3:$AE$40,$T1148)&gt;0,"NAO","SIM"))</f>
        <v/>
      </c>
    </row>
    <row r="1149" ht="45.75" customHeight="1" s="60">
      <c r="A1149" s="70" t="n">
        <v>1</v>
      </c>
      <c r="B1149" s="71" t="n">
        <v>46209</v>
      </c>
      <c r="C1149" s="71" t="n">
        <v>46217</v>
      </c>
      <c r="D1149" s="70" t="n">
        <v>1723</v>
      </c>
      <c r="E1149" s="72" t="inlineStr">
        <is>
          <t>COMERCIO DE FRIOS MANAUS LTDA</t>
        </is>
      </c>
      <c r="F1149" s="70" t="n">
        <v>24</v>
      </c>
      <c r="G1149" s="72" t="inlineStr">
        <is>
          <t>Compra a Prazo - Boletos</t>
        </is>
      </c>
      <c r="H1149" s="70" t="n">
        <v>2110101</v>
      </c>
      <c r="I1149" s="72" t="inlineStr">
        <is>
          <t>FORNECEDORES DE MERCADORIA</t>
        </is>
      </c>
      <c r="J1149" s="70" t="n">
        <v>1361249</v>
      </c>
      <c r="L1149" s="70" t="n">
        <v>172658</v>
      </c>
      <c r="M1149" s="72" t="inlineStr">
        <is>
          <t>01</t>
        </is>
      </c>
      <c r="N1149" s="72" t="inlineStr">
        <is>
          <t>NFE</t>
        </is>
      </c>
      <c r="P1149" s="70" t="n">
        <v>103</v>
      </c>
      <c r="Q1149" s="72" t="inlineStr">
        <is>
          <t>MILKA FRANCIS</t>
        </is>
      </c>
      <c r="R1149" s="72" t="inlineStr">
        <is>
          <t>ESTOQUE DE MERCADORIAS</t>
        </is>
      </c>
      <c r="S1149" s="70" t="n">
        <v>1130101</v>
      </c>
      <c r="T1149" s="72" t="inlineStr">
        <is>
          <t>MERCADORIAS P/REVENDA</t>
        </is>
      </c>
      <c r="U1149" s="73" t="n">
        <v>5387.4</v>
      </c>
      <c r="W1149" s="73" t="n">
        <v>0</v>
      </c>
      <c r="X1149" s="72" t="inlineStr">
        <is>
          <t>NF 172658 - MILKA</t>
        </is>
      </c>
      <c r="Z1149" s="59">
        <f>IF($T1149="","",IFERROR(INDEX('Resumo Grupos'!$AC$3:$AC$200,MATCH($T1149,'Resumo Grupos'!$AB$3:$AB$200,0)),"n/d"))</f>
        <v/>
      </c>
      <c r="AA1149" s="59">
        <f>IF($T1149="","",IF(COUNTIF('Resumo Grupos'!$AE$3:$AE$40,$T1149)&gt;0,"NAO","SIM"))</f>
        <v/>
      </c>
    </row>
    <row r="1150" ht="36.75" customHeight="1" s="60">
      <c r="A1150" s="70" t="n">
        <v>1</v>
      </c>
      <c r="B1150" s="71" t="n">
        <v>46210</v>
      </c>
      <c r="C1150" s="71" t="n">
        <v>46217</v>
      </c>
      <c r="D1150" s="70" t="n">
        <v>1625</v>
      </c>
      <c r="E1150" s="72" t="inlineStr">
        <is>
          <t>MAXFRI DISTRIUIDORA LTDA</t>
        </is>
      </c>
      <c r="F1150" s="70" t="n">
        <v>24</v>
      </c>
      <c r="G1150" s="72" t="inlineStr">
        <is>
          <t>Compra a Prazo - Boletos</t>
        </is>
      </c>
      <c r="H1150" s="70" t="n">
        <v>2110101</v>
      </c>
      <c r="I1150" s="72" t="inlineStr">
        <is>
          <t>FORNECEDORES DE MERCADORIA</t>
        </is>
      </c>
      <c r="J1150" s="70" t="n">
        <v>1365606</v>
      </c>
      <c r="L1150" s="70" t="n">
        <v>14643</v>
      </c>
      <c r="M1150" s="72" t="inlineStr">
        <is>
          <t>01</t>
        </is>
      </c>
      <c r="N1150" s="72" t="inlineStr">
        <is>
          <t>NFE</t>
        </is>
      </c>
      <c r="P1150" s="70" t="n">
        <v>103</v>
      </c>
      <c r="Q1150" s="72" t="inlineStr">
        <is>
          <t>MILKA FRANCIS</t>
        </is>
      </c>
      <c r="R1150" s="72" t="inlineStr">
        <is>
          <t>ESTOQUE DE MERCADORIAS</t>
        </is>
      </c>
      <c r="S1150" s="70" t="n">
        <v>1130101</v>
      </c>
      <c r="T1150" s="72" t="inlineStr">
        <is>
          <t>MERCADORIAS P/REVENDA</t>
        </is>
      </c>
      <c r="U1150" s="73" t="n">
        <v>1595.65</v>
      </c>
      <c r="W1150" s="73" t="n">
        <v>0</v>
      </c>
      <c r="X1150" s="72" t="inlineStr">
        <is>
          <t>NF14643 - MILKA</t>
        </is>
      </c>
      <c r="Z1150" s="59">
        <f>IF($T1150="","",IFERROR(INDEX('Resumo Grupos'!$AC$3:$AC$200,MATCH($T1150,'Resumo Grupos'!$AB$3:$AB$200,0)),"n/d"))</f>
        <v/>
      </c>
      <c r="AA1150" s="59">
        <f>IF($T1150="","",IF(COUNTIF('Resumo Grupos'!$AE$3:$AE$40,$T1150)&gt;0,"NAO","SIM"))</f>
        <v/>
      </c>
    </row>
    <row r="1151" ht="36.75" customHeight="1" s="60">
      <c r="A1151" s="70" t="n">
        <v>1</v>
      </c>
      <c r="B1151" s="71" t="n">
        <v>46210</v>
      </c>
      <c r="C1151" s="71" t="n">
        <v>46217</v>
      </c>
      <c r="D1151" s="70" t="n">
        <v>1642</v>
      </c>
      <c r="E1151" s="72" t="inlineStr">
        <is>
          <t>BROTHERS  INDUSTRIA DE ALIMENTOS LTDA</t>
        </is>
      </c>
      <c r="F1151" s="70" t="n">
        <v>24</v>
      </c>
      <c r="G1151" s="72" t="inlineStr">
        <is>
          <t>Compra a Prazo - Boletos</t>
        </is>
      </c>
      <c r="H1151" s="70" t="n">
        <v>2110101</v>
      </c>
      <c r="I1151" s="72" t="inlineStr">
        <is>
          <t>FORNECEDORES DE MERCADORIA</t>
        </is>
      </c>
      <c r="J1151" s="70" t="n">
        <v>1366342</v>
      </c>
      <c r="L1151" s="70" t="n">
        <v>1030665</v>
      </c>
      <c r="M1151" s="72" t="inlineStr">
        <is>
          <t>01</t>
        </is>
      </c>
      <c r="N1151" s="72" t="inlineStr">
        <is>
          <t>NFE</t>
        </is>
      </c>
      <c r="P1151" s="70" t="n">
        <v>103</v>
      </c>
      <c r="Q1151" s="72" t="inlineStr">
        <is>
          <t>MILKA FRANCIS</t>
        </is>
      </c>
      <c r="R1151" s="72" t="inlineStr">
        <is>
          <t>ESTOQUE DE MERCADORIAS</t>
        </is>
      </c>
      <c r="S1151" s="70" t="n">
        <v>1130101</v>
      </c>
      <c r="T1151" s="72" t="inlineStr">
        <is>
          <t>MERCADORIAS P/REVENDA</t>
        </is>
      </c>
      <c r="U1151" s="73" t="n">
        <v>509.45</v>
      </c>
      <c r="W1151" s="73" t="n">
        <v>0</v>
      </c>
      <c r="X1151" s="72" t="inlineStr">
        <is>
          <t>NF 1030665 - MILKA</t>
        </is>
      </c>
      <c r="Z1151" s="59">
        <f>IF($T1151="","",IFERROR(INDEX('Resumo Grupos'!$AC$3:$AC$200,MATCH($T1151,'Resumo Grupos'!$AB$3:$AB$200,0)),"n/d"))</f>
        <v/>
      </c>
      <c r="AA1151" s="59">
        <f>IF($T1151="","",IF(COUNTIF('Resumo Grupos'!$AE$3:$AE$40,$T1151)&gt;0,"NAO","SIM"))</f>
        <v/>
      </c>
    </row>
    <row r="1152" ht="36.75" customHeight="1" s="60">
      <c r="A1152" s="70" t="n">
        <v>1</v>
      </c>
      <c r="B1152" s="71" t="n">
        <v>46210</v>
      </c>
      <c r="C1152" s="71" t="n">
        <v>46217</v>
      </c>
      <c r="D1152" s="70" t="n">
        <v>1363</v>
      </c>
      <c r="E1152" s="72" t="inlineStr">
        <is>
          <t>JAB COMERCIO DE PRODUTOS ALIMENTICIOS LT</t>
        </is>
      </c>
      <c r="F1152" s="70" t="n">
        <v>24</v>
      </c>
      <c r="G1152" s="72" t="inlineStr">
        <is>
          <t>Compra a Prazo - Boletos</t>
        </is>
      </c>
      <c r="H1152" s="70" t="n">
        <v>2110101</v>
      </c>
      <c r="I1152" s="72" t="inlineStr">
        <is>
          <t>FORNECEDORES DE MERCADORIA</t>
        </is>
      </c>
      <c r="J1152" s="70" t="n">
        <v>1366370</v>
      </c>
      <c r="L1152" s="70" t="n">
        <v>3502</v>
      </c>
      <c r="M1152" s="72" t="inlineStr">
        <is>
          <t>01</t>
        </is>
      </c>
      <c r="N1152" s="72" t="inlineStr">
        <is>
          <t>NFE</t>
        </is>
      </c>
      <c r="P1152" s="70" t="n">
        <v>103</v>
      </c>
      <c r="Q1152" s="72" t="inlineStr">
        <is>
          <t>MILKA FRANCIS</t>
        </is>
      </c>
      <c r="R1152" s="72" t="inlineStr">
        <is>
          <t>ESTOQUE DE MERCADORIAS</t>
        </is>
      </c>
      <c r="S1152" s="70" t="n">
        <v>1130101</v>
      </c>
      <c r="T1152" s="72" t="inlineStr">
        <is>
          <t>MERCADORIAS P/REVENDA</t>
        </is>
      </c>
      <c r="U1152" s="73" t="n">
        <v>353</v>
      </c>
      <c r="W1152" s="73" t="n">
        <v>0</v>
      </c>
      <c r="X1152" s="72" t="inlineStr">
        <is>
          <t>NF 3502 SANTOPAO - MILKA</t>
        </is>
      </c>
      <c r="Z1152" s="59">
        <f>IF($T1152="","",IFERROR(INDEX('Resumo Grupos'!$AC$3:$AC$200,MATCH($T1152,'Resumo Grupos'!$AB$3:$AB$200,0)),"n/d"))</f>
        <v/>
      </c>
      <c r="AA1152" s="59">
        <f>IF($T1152="","",IF(COUNTIF('Resumo Grupos'!$AE$3:$AE$40,$T1152)&gt;0,"NAO","SIM"))</f>
        <v/>
      </c>
    </row>
    <row r="1153" ht="36.75" customHeight="1" s="60">
      <c r="A1153" s="70" t="n">
        <v>1</v>
      </c>
      <c r="B1153" s="71" t="n">
        <v>46210</v>
      </c>
      <c r="C1153" s="71" t="n">
        <v>46217</v>
      </c>
      <c r="D1153" s="70" t="n">
        <v>666</v>
      </c>
      <c r="E1153" s="72" t="inlineStr">
        <is>
          <t>NSB COMERCIO ATACADISTA E VAREJISTA DE P</t>
        </is>
      </c>
      <c r="F1153" s="70" t="n">
        <v>24</v>
      </c>
      <c r="G1153" s="72" t="inlineStr">
        <is>
          <t>Compra a Prazo - Boletos</t>
        </is>
      </c>
      <c r="H1153" s="70" t="n">
        <v>2110101</v>
      </c>
      <c r="I1153" s="72" t="inlineStr">
        <is>
          <t>FORNECEDORES DE MERCADORIA</t>
        </is>
      </c>
      <c r="J1153" s="70" t="n">
        <v>1366430</v>
      </c>
      <c r="L1153" s="70" t="n">
        <v>7876</v>
      </c>
      <c r="M1153" s="72" t="inlineStr">
        <is>
          <t>01</t>
        </is>
      </c>
      <c r="N1153" s="72" t="inlineStr">
        <is>
          <t>NFE</t>
        </is>
      </c>
      <c r="P1153" s="70" t="n">
        <v>103</v>
      </c>
      <c r="Q1153" s="72" t="inlineStr">
        <is>
          <t>MILKA FRANCIS</t>
        </is>
      </c>
      <c r="R1153" s="72" t="inlineStr">
        <is>
          <t>ESTOQUE DE MERCADORIAS</t>
        </is>
      </c>
      <c r="S1153" s="70" t="n">
        <v>1130101</v>
      </c>
      <c r="T1153" s="72" t="inlineStr">
        <is>
          <t>MERCADORIAS P/REVENDA</t>
        </is>
      </c>
      <c r="U1153" s="73" t="n">
        <v>287.8</v>
      </c>
      <c r="W1153" s="73" t="n">
        <v>0</v>
      </c>
      <c r="X1153" s="72" t="inlineStr">
        <is>
          <t>192333641  NF7876 - MILKA</t>
        </is>
      </c>
      <c r="Z1153" s="59">
        <f>IF($T1153="","",IFERROR(INDEX('Resumo Grupos'!$AC$3:$AC$200,MATCH($T1153,'Resumo Grupos'!$AB$3:$AB$200,0)),"n/d"))</f>
        <v/>
      </c>
      <c r="AA1153" s="59">
        <f>IF($T1153="","",IF(COUNTIF('Resumo Grupos'!$AE$3:$AE$40,$T1153)&gt;0,"NAO","SIM"))</f>
        <v/>
      </c>
    </row>
    <row r="1154" ht="45.75" customHeight="1" s="60">
      <c r="A1154" s="70" t="n">
        <v>1</v>
      </c>
      <c r="B1154" s="71" t="n">
        <v>46211</v>
      </c>
      <c r="C1154" s="71" t="n">
        <v>46217</v>
      </c>
      <c r="D1154" s="70" t="n">
        <v>1650</v>
      </c>
      <c r="E1154" s="72" t="inlineStr">
        <is>
          <t>FRUTAL INDUSTRIA E COMERCIO LTDA</t>
        </is>
      </c>
      <c r="F1154" s="70" t="n">
        <v>24</v>
      </c>
      <c r="G1154" s="72" t="inlineStr">
        <is>
          <t>Compra a Prazo - Boletos</t>
        </is>
      </c>
      <c r="H1154" s="70" t="n">
        <v>2110101</v>
      </c>
      <c r="I1154" s="72" t="inlineStr">
        <is>
          <t>FORNECEDORES DE MERCADORIA</t>
        </is>
      </c>
      <c r="J1154" s="70" t="n">
        <v>1368814</v>
      </c>
      <c r="L1154" s="70" t="n">
        <v>225390</v>
      </c>
      <c r="M1154" s="72" t="inlineStr">
        <is>
          <t>01</t>
        </is>
      </c>
      <c r="N1154" s="72" t="inlineStr">
        <is>
          <t>NFE</t>
        </is>
      </c>
      <c r="P1154" s="70" t="n">
        <v>103</v>
      </c>
      <c r="Q1154" s="72" t="inlineStr">
        <is>
          <t>MILKA FRANCIS</t>
        </is>
      </c>
      <c r="R1154" s="72" t="inlineStr">
        <is>
          <t>ESTOQUE DE MERCADORIAS</t>
        </is>
      </c>
      <c r="S1154" s="70" t="n">
        <v>1130101</v>
      </c>
      <c r="T1154" s="72" t="inlineStr">
        <is>
          <t>MERCADORIAS P/REVENDA</t>
        </is>
      </c>
      <c r="U1154" s="73" t="n">
        <v>943.83</v>
      </c>
      <c r="W1154" s="73" t="n">
        <v>0</v>
      </c>
      <c r="X1154" s="72" t="inlineStr">
        <is>
          <t>NF 225390 - MILKA</t>
        </is>
      </c>
      <c r="Z1154" s="59">
        <f>IF($T1154="","",IFERROR(INDEX('Resumo Grupos'!$AC$3:$AC$200,MATCH($T1154,'Resumo Grupos'!$AB$3:$AB$200,0)),"n/d"))</f>
        <v/>
      </c>
      <c r="AA1154" s="59">
        <f>IF($T1154="","",IF(COUNTIF('Resumo Grupos'!$AE$3:$AE$40,$T1154)&gt;0,"NAO","SIM"))</f>
        <v/>
      </c>
    </row>
    <row r="1155" ht="27.75" customHeight="1" s="60">
      <c r="A1155" s="70" t="n">
        <v>1</v>
      </c>
      <c r="B1155" s="71" t="n">
        <v>46211</v>
      </c>
      <c r="C1155" s="71" t="n">
        <v>46217</v>
      </c>
      <c r="D1155" s="70" t="n">
        <v>1650</v>
      </c>
      <c r="E1155" s="72" t="inlineStr">
        <is>
          <t>FRUTAL INDUSTRIA E COMERCIO LTDA</t>
        </is>
      </c>
      <c r="F1155" s="70" t="n">
        <v>24</v>
      </c>
      <c r="G1155" s="72" t="inlineStr">
        <is>
          <t>Compra a Prazo - Boletos</t>
        </is>
      </c>
      <c r="H1155" s="70" t="n">
        <v>2110101</v>
      </c>
      <c r="I1155" s="72" t="inlineStr">
        <is>
          <t>FORNECEDORES DE MERCADORIA</t>
        </is>
      </c>
      <c r="J1155" s="70" t="n">
        <v>1368818</v>
      </c>
      <c r="L1155" s="70" t="n">
        <v>225391</v>
      </c>
      <c r="M1155" s="72" t="inlineStr">
        <is>
          <t>01</t>
        </is>
      </c>
      <c r="N1155" s="72" t="inlineStr">
        <is>
          <t>NFE</t>
        </is>
      </c>
      <c r="P1155" s="70" t="n">
        <v>103</v>
      </c>
      <c r="Q1155" s="72" t="inlineStr">
        <is>
          <t>MILKA FRANCIS</t>
        </is>
      </c>
      <c r="R1155" s="72" t="inlineStr">
        <is>
          <t>ESTOQUE DE MERCADORIAS</t>
        </is>
      </c>
      <c r="S1155" s="70" t="n">
        <v>1130101</v>
      </c>
      <c r="T1155" s="72" t="inlineStr">
        <is>
          <t>MERCADORIAS P/REVENDA</t>
        </is>
      </c>
      <c r="U1155" s="73" t="n">
        <v>178.4</v>
      </c>
      <c r="W1155" s="73" t="n">
        <v>0</v>
      </c>
      <c r="X1155" s="72" t="inlineStr">
        <is>
          <t>NF 225391 - MILKA</t>
        </is>
      </c>
      <c r="Z1155" s="59">
        <f>IF($T1155="","",IFERROR(INDEX('Resumo Grupos'!$AC$3:$AC$200,MATCH($T1155,'Resumo Grupos'!$AB$3:$AB$200,0)),"n/d"))</f>
        <v/>
      </c>
      <c r="AA1155" s="59">
        <f>IF($T1155="","",IF(COUNTIF('Resumo Grupos'!$AE$3:$AE$40,$T1155)&gt;0,"NAO","SIM"))</f>
        <v/>
      </c>
    </row>
    <row r="1156" ht="36.75" customHeight="1" s="60">
      <c r="A1156" s="70" t="n">
        <v>1</v>
      </c>
      <c r="B1156" s="71" t="n">
        <v>46211</v>
      </c>
      <c r="C1156" s="71" t="n">
        <v>46217</v>
      </c>
      <c r="D1156" s="70" t="n">
        <v>754</v>
      </c>
      <c r="E1156" s="72" t="inlineStr">
        <is>
          <t>SILVA E SANTOS FRIGORIFICO LTDA</t>
        </is>
      </c>
      <c r="F1156" s="70" t="n">
        <v>24</v>
      </c>
      <c r="G1156" s="72" t="inlineStr">
        <is>
          <t>Compra a Prazo - Boletos</t>
        </is>
      </c>
      <c r="H1156" s="70" t="n">
        <v>2110101</v>
      </c>
      <c r="I1156" s="72" t="inlineStr">
        <is>
          <t>FORNECEDORES DE MERCADORIA</t>
        </is>
      </c>
      <c r="J1156" s="70" t="n">
        <v>1369311</v>
      </c>
      <c r="L1156" s="70" t="n">
        <v>31659</v>
      </c>
      <c r="M1156" s="72" t="inlineStr">
        <is>
          <t>01</t>
        </is>
      </c>
      <c r="N1156" s="72" t="inlineStr">
        <is>
          <t>NFE</t>
        </is>
      </c>
      <c r="P1156" s="70" t="n">
        <v>103</v>
      </c>
      <c r="Q1156" s="72" t="inlineStr">
        <is>
          <t>MILKA FRANCIS</t>
        </is>
      </c>
      <c r="R1156" s="72" t="inlineStr">
        <is>
          <t>ESTOQUE DE MERCADORIAS</t>
        </is>
      </c>
      <c r="S1156" s="70" t="n">
        <v>1130101</v>
      </c>
      <c r="T1156" s="72" t="inlineStr">
        <is>
          <t>MERCADORIAS P/REVENDA</t>
        </is>
      </c>
      <c r="U1156" s="73" t="n">
        <v>2880</v>
      </c>
      <c r="W1156" s="73" t="n">
        <v>0</v>
      </c>
      <c r="X1156" s="72" t="inlineStr">
        <is>
          <t>NF 31659 - MILKA</t>
        </is>
      </c>
      <c r="Z1156" s="59">
        <f>IF($T1156="","",IFERROR(INDEX('Resumo Grupos'!$AC$3:$AC$200,MATCH($T1156,'Resumo Grupos'!$AB$3:$AB$200,0)),"n/d"))</f>
        <v/>
      </c>
      <c r="AA1156" s="59">
        <f>IF($T1156="","",IF(COUNTIF('Resumo Grupos'!$AE$3:$AE$40,$T1156)&gt;0,"NAO","SIM"))</f>
        <v/>
      </c>
    </row>
    <row r="1157" ht="36.75" customHeight="1" s="60">
      <c r="A1157" s="70" t="n">
        <v>1</v>
      </c>
      <c r="B1157" s="71" t="n">
        <v>46211</v>
      </c>
      <c r="C1157" s="71" t="n">
        <v>46217</v>
      </c>
      <c r="D1157" s="70" t="n">
        <v>33</v>
      </c>
      <c r="E1157" s="72" t="inlineStr">
        <is>
          <t>RENATO DE O AZEVEDO E CIA LTDA - EPP</t>
        </is>
      </c>
      <c r="F1157" s="70" t="n">
        <v>24</v>
      </c>
      <c r="G1157" s="72" t="inlineStr">
        <is>
          <t>Compra a Prazo - Boletos</t>
        </is>
      </c>
      <c r="H1157" s="70" t="n">
        <v>2110101</v>
      </c>
      <c r="I1157" s="72" t="inlineStr">
        <is>
          <t>FORNECEDORES DE MERCADORIA</t>
        </is>
      </c>
      <c r="J1157" s="70" t="n">
        <v>1369426</v>
      </c>
      <c r="L1157" s="70" t="n">
        <v>5275</v>
      </c>
      <c r="M1157" s="72" t="inlineStr">
        <is>
          <t>01</t>
        </is>
      </c>
      <c r="N1157" s="72" t="inlineStr">
        <is>
          <t>NFE</t>
        </is>
      </c>
      <c r="P1157" s="70" t="n">
        <v>103</v>
      </c>
      <c r="Q1157" s="72" t="inlineStr">
        <is>
          <t>MILKA FRANCIS</t>
        </is>
      </c>
      <c r="R1157" s="72" t="inlineStr">
        <is>
          <t>ESTOQUE DE MERCADORIAS</t>
        </is>
      </c>
      <c r="S1157" s="70" t="n">
        <v>1130101</v>
      </c>
      <c r="T1157" s="72" t="inlineStr">
        <is>
          <t>MERCADORIAS P/REVENDA</t>
        </is>
      </c>
      <c r="U1157" s="73" t="n">
        <v>290</v>
      </c>
      <c r="W1157" s="73" t="n">
        <v>0</v>
      </c>
      <c r="X1157" s="72" t="inlineStr">
        <is>
          <t>VISCERA DE BOI /SR. RENATO - MILKA</t>
        </is>
      </c>
      <c r="Z1157" s="59">
        <f>IF($T1157="","",IFERROR(INDEX('Resumo Grupos'!$AC$3:$AC$200,MATCH($T1157,'Resumo Grupos'!$AB$3:$AB$200,0)),"n/d"))</f>
        <v/>
      </c>
      <c r="AA1157" s="59">
        <f>IF($T1157="","",IF(COUNTIF('Resumo Grupos'!$AE$3:$AE$40,$T1157)&gt;0,"NAO","SIM"))</f>
        <v/>
      </c>
    </row>
    <row r="1158" ht="36.75" customHeight="1" s="60">
      <c r="A1158" s="70" t="n">
        <v>1</v>
      </c>
      <c r="B1158" s="71" t="n">
        <v>46212</v>
      </c>
      <c r="C1158" s="71" t="n">
        <v>46217</v>
      </c>
      <c r="D1158" s="70" t="n">
        <v>1328</v>
      </c>
      <c r="E1158" s="72" t="inlineStr">
        <is>
          <t>NOVA FRIOS COMERCIO ATACADISTA DE LATICINIOS LTDA</t>
        </is>
      </c>
      <c r="F1158" s="70" t="n">
        <v>24</v>
      </c>
      <c r="G1158" s="72" t="inlineStr">
        <is>
          <t>Compra a Prazo - Boletos</t>
        </is>
      </c>
      <c r="H1158" s="70" t="n">
        <v>1110202</v>
      </c>
      <c r="I1158" s="72" t="inlineStr">
        <is>
          <t>BANCO ITAU Lj 01</t>
        </is>
      </c>
      <c r="J1158" s="70" t="n">
        <v>1374263</v>
      </c>
      <c r="L1158" s="70" t="n">
        <v>3999</v>
      </c>
      <c r="M1158" s="72" t="inlineStr">
        <is>
          <t>01</t>
        </is>
      </c>
      <c r="N1158" s="72" t="inlineStr">
        <is>
          <t>AVU</t>
        </is>
      </c>
      <c r="P1158" s="70" t="n">
        <v>103</v>
      </c>
      <c r="Q1158" s="72" t="inlineStr">
        <is>
          <t>MILKA FRANCIS</t>
        </is>
      </c>
      <c r="R1158" s="72" t="inlineStr">
        <is>
          <t>ESTOQUE DE MERCADORIAS</t>
        </is>
      </c>
      <c r="S1158" s="70" t="n">
        <v>1130101</v>
      </c>
      <c r="T1158" s="72" t="inlineStr">
        <is>
          <t>MERCADORIAS P/REVENDA</t>
        </is>
      </c>
      <c r="U1158" s="73" t="n">
        <v>241.6</v>
      </c>
      <c r="W1158" s="73" t="n">
        <v>0</v>
      </c>
      <c r="X1158" s="72" t="inlineStr">
        <is>
          <t>NF 3999 BODEGA DO PAO - MILKA</t>
        </is>
      </c>
      <c r="Z1158" s="59">
        <f>IF($T1158="","",IFERROR(INDEX('Resumo Grupos'!$AC$3:$AC$200,MATCH($T1158,'Resumo Grupos'!$AB$3:$AB$200,0)),"n/d"))</f>
        <v/>
      </c>
      <c r="AA1158" s="59">
        <f>IF($T1158="","",IF(COUNTIF('Resumo Grupos'!$AE$3:$AE$40,$T1158)&gt;0,"NAO","SIM"))</f>
        <v/>
      </c>
    </row>
    <row r="1159" ht="45.75" customHeight="1" s="60">
      <c r="A1159" s="70" t="n">
        <v>1</v>
      </c>
      <c r="B1159" s="71" t="n">
        <v>46212</v>
      </c>
      <c r="C1159" s="71" t="n">
        <v>46217</v>
      </c>
      <c r="D1159" s="70" t="n">
        <v>1658</v>
      </c>
      <c r="E1159" s="72" t="inlineStr">
        <is>
          <t>FORT COMERCIO DE BEBIDA LTDA</t>
        </is>
      </c>
      <c r="F1159" s="70" t="n">
        <v>24</v>
      </c>
      <c r="G1159" s="72" t="inlineStr">
        <is>
          <t>Compra a Prazo - Boletos</t>
        </is>
      </c>
      <c r="H1159" s="70" t="n">
        <v>1110202</v>
      </c>
      <c r="I1159" s="72" t="inlineStr">
        <is>
          <t>BANCO ITAU Lj 01</t>
        </is>
      </c>
      <c r="J1159" s="70" t="n">
        <v>1374651</v>
      </c>
      <c r="L1159" s="70" t="n">
        <v>143091</v>
      </c>
      <c r="M1159" s="72" t="inlineStr">
        <is>
          <t>01</t>
        </is>
      </c>
      <c r="N1159" s="72" t="inlineStr">
        <is>
          <t>AVU</t>
        </is>
      </c>
      <c r="P1159" s="70" t="n">
        <v>103</v>
      </c>
      <c r="Q1159" s="72" t="inlineStr">
        <is>
          <t>MILKA FRANCIS</t>
        </is>
      </c>
      <c r="R1159" s="72" t="inlineStr">
        <is>
          <t>ESTOQUE DE MERCADORIAS</t>
        </is>
      </c>
      <c r="S1159" s="70" t="n">
        <v>1130101</v>
      </c>
      <c r="T1159" s="72" t="inlineStr">
        <is>
          <t>MERCADORIAS P/REVENDA</t>
        </is>
      </c>
      <c r="U1159" s="73" t="n">
        <v>770</v>
      </c>
      <c r="W1159" s="73" t="n">
        <v>0</v>
      </c>
      <c r="X1159" s="72" t="inlineStr">
        <is>
          <t>NF143091 TOYA - MILKA</t>
        </is>
      </c>
      <c r="Z1159" s="59">
        <f>IF($T1159="","",IFERROR(INDEX('Resumo Grupos'!$AC$3:$AC$200,MATCH($T1159,'Resumo Grupos'!$AB$3:$AB$200,0)),"n/d"))</f>
        <v/>
      </c>
      <c r="AA1159" s="59">
        <f>IF($T1159="","",IF(COUNTIF('Resumo Grupos'!$AE$3:$AE$40,$T1159)&gt;0,"NAO","SIM"))</f>
        <v/>
      </c>
    </row>
    <row r="1160" ht="27.75" customHeight="1" s="60">
      <c r="A1160" s="70" t="n">
        <v>1</v>
      </c>
      <c r="B1160" s="71" t="n">
        <v>46214</v>
      </c>
      <c r="C1160" s="71" t="n">
        <v>46217</v>
      </c>
      <c r="D1160" s="70" t="n">
        <v>642</v>
      </c>
      <c r="E1160" s="72" t="inlineStr">
        <is>
          <t>ADICSO FABIAN GONZALEZ MONTILLA 70302186</t>
        </is>
      </c>
      <c r="F1160" s="70" t="n">
        <v>24</v>
      </c>
      <c r="G1160" s="72" t="inlineStr">
        <is>
          <t>Compra a Prazo - Boletos</t>
        </is>
      </c>
      <c r="H1160" s="70" t="n">
        <v>1110202</v>
      </c>
      <c r="I1160" s="72" t="inlineStr">
        <is>
          <t>BANCO ITAU Lj 01</t>
        </is>
      </c>
      <c r="J1160" s="70" t="n">
        <v>1381977</v>
      </c>
      <c r="L1160" s="70" t="n">
        <v>526</v>
      </c>
      <c r="M1160" s="72" t="inlineStr">
        <is>
          <t>01</t>
        </is>
      </c>
      <c r="N1160" s="72" t="inlineStr">
        <is>
          <t>AVU</t>
        </is>
      </c>
      <c r="P1160" s="70" t="n">
        <v>103</v>
      </c>
      <c r="Q1160" s="72" t="inlineStr">
        <is>
          <t>MILKA FRANCIS</t>
        </is>
      </c>
      <c r="R1160" s="72" t="inlineStr">
        <is>
          <t>ESTOQUE DE MERCADORIAS</t>
        </is>
      </c>
      <c r="S1160" s="70" t="n">
        <v>1130101</v>
      </c>
      <c r="T1160" s="72" t="inlineStr">
        <is>
          <t>MERCADORIAS P/REVENDA</t>
        </is>
      </c>
      <c r="U1160" s="73" t="n">
        <v>840</v>
      </c>
      <c r="W1160" s="73" t="n">
        <v>0</v>
      </c>
      <c r="X1160" s="72" t="inlineStr">
        <is>
          <t>NF 526 BLOOM - MILKA</t>
        </is>
      </c>
      <c r="Z1160" s="59">
        <f>IF($T1160="","",IFERROR(INDEX('Resumo Grupos'!$AC$3:$AC$200,MATCH($T1160,'Resumo Grupos'!$AB$3:$AB$200,0)),"n/d"))</f>
        <v/>
      </c>
      <c r="AA1160" s="59">
        <f>IF($T1160="","",IF(COUNTIF('Resumo Grupos'!$AE$3:$AE$40,$T1160)&gt;0,"NAO","SIM"))</f>
        <v/>
      </c>
    </row>
    <row r="1161" ht="36.75" customHeight="1" s="60">
      <c r="A1161" s="70" t="n">
        <v>1</v>
      </c>
      <c r="B1161" s="71" t="n">
        <v>46217</v>
      </c>
      <c r="C1161" s="71" t="n">
        <v>46217</v>
      </c>
      <c r="D1161" s="70" t="n">
        <v>33</v>
      </c>
      <c r="E1161" s="72" t="inlineStr">
        <is>
          <t>RENATO DE O AZEVEDO E CIA LTDA - EPP</t>
        </is>
      </c>
      <c r="F1161" s="70" t="n">
        <v>13</v>
      </c>
      <c r="G1161" s="72" t="inlineStr">
        <is>
          <t>Compra a Vista</t>
        </is>
      </c>
      <c r="H1161" s="70" t="n">
        <v>2110101</v>
      </c>
      <c r="I1161" s="72" t="inlineStr">
        <is>
          <t>FORNECEDORES DE MERCADORIA</t>
        </is>
      </c>
      <c r="J1161" s="70" t="n">
        <v>1397824</v>
      </c>
      <c r="L1161" s="70" t="n">
        <v>5296</v>
      </c>
      <c r="M1161" s="72" t="inlineStr">
        <is>
          <t>01</t>
        </is>
      </c>
      <c r="N1161" s="72" t="inlineStr">
        <is>
          <t>NFE</t>
        </is>
      </c>
      <c r="P1161" s="70" t="n">
        <v>104</v>
      </c>
      <c r="Q1161" s="72" t="inlineStr">
        <is>
          <t>DEBORA COSTA</t>
        </is>
      </c>
      <c r="R1161" s="72" t="inlineStr">
        <is>
          <t>ESTOQUE DE MERCADORIAS</t>
        </is>
      </c>
      <c r="S1161" s="70" t="n">
        <v>1130101</v>
      </c>
      <c r="T1161" s="72" t="inlineStr">
        <is>
          <t>MERCADORIAS P/REVENDA</t>
        </is>
      </c>
      <c r="U1161" s="73" t="n">
        <v>280</v>
      </c>
      <c r="W1161" s="73" t="n">
        <v>280</v>
      </c>
      <c r="X1161" s="72" t="inlineStr">
        <is>
          <t>ACAI DE ANORI - DEBORA</t>
        </is>
      </c>
      <c r="Z1161" s="59">
        <f>IF($T1161="","",IFERROR(INDEX('Resumo Grupos'!$AC$3:$AC$200,MATCH($T1161,'Resumo Grupos'!$AB$3:$AB$200,0)),"n/d"))</f>
        <v/>
      </c>
      <c r="AA1161" s="59">
        <f>IF($T1161="","",IF(COUNTIF('Resumo Grupos'!$AE$3:$AE$40,$T1161)&gt;0,"NAO","SIM"))</f>
        <v/>
      </c>
    </row>
    <row r="1162" ht="45.75" customHeight="1" s="60">
      <c r="A1162" s="70" t="n">
        <v>1</v>
      </c>
      <c r="B1162" s="71" t="n">
        <v>46217</v>
      </c>
      <c r="C1162" s="71" t="n">
        <v>46217</v>
      </c>
      <c r="D1162" s="70" t="n">
        <v>514</v>
      </c>
      <c r="E1162" s="72" t="inlineStr">
        <is>
          <t>SANTANDER SA</t>
        </is>
      </c>
      <c r="F1162" s="70" t="n">
        <v>34</v>
      </c>
      <c r="G1162" s="72" t="inlineStr">
        <is>
          <t>Transferencia Pix</t>
        </is>
      </c>
      <c r="H1162" s="70" t="n">
        <v>1110202</v>
      </c>
      <c r="I1162" s="72" t="inlineStr">
        <is>
          <t>BANCO ITAU Lj 01</t>
        </is>
      </c>
      <c r="J1162" s="70" t="n">
        <v>1397889</v>
      </c>
      <c r="L1162" s="70" t="n">
        <v>576438</v>
      </c>
      <c r="M1162" s="72" t="inlineStr">
        <is>
          <t>01</t>
        </is>
      </c>
      <c r="N1162" s="72" t="inlineStr">
        <is>
          <t>AVU</t>
        </is>
      </c>
      <c r="P1162" s="70" t="n">
        <v>102</v>
      </c>
      <c r="Q1162" s="72" t="inlineStr">
        <is>
          <t>ANDREZA ANDRADE</t>
        </is>
      </c>
      <c r="R1162" s="72" t="inlineStr">
        <is>
          <t>DESPESAS NAO OPERACIONAIS</t>
        </is>
      </c>
      <c r="S1162" s="70" t="n">
        <v>4220199</v>
      </c>
      <c r="T1162" s="72" t="inlineStr">
        <is>
          <t>PAGAMENTOS OUTROS NAO OPERACIONAIS</t>
        </is>
      </c>
      <c r="U1162" s="73" t="n">
        <v>450</v>
      </c>
      <c r="W1162" s="73" t="n">
        <v>0</v>
      </c>
      <c r="X1162" s="72" t="inlineStr">
        <is>
          <t>COBERTURA DE CONTA BCO SANTANDER 1 VELHO-ANDREZA</t>
        </is>
      </c>
      <c r="Z1162" s="59">
        <f>IF($T1162="","",IFERROR(INDEX('Resumo Grupos'!$AC$3:$AC$200,MATCH($T1162,'Resumo Grupos'!$AB$3:$AB$200,0)),"n/d"))</f>
        <v/>
      </c>
      <c r="AA1162" s="59">
        <f>IF($T1162="","",IF(COUNTIF('Resumo Grupos'!$AE$3:$AE$40,$T1162)&gt;0,"NAO","SIM"))</f>
        <v/>
      </c>
    </row>
    <row r="1163" ht="45.75" customHeight="1" s="60">
      <c r="A1163" s="70" t="n">
        <v>1</v>
      </c>
      <c r="B1163" s="71" t="n">
        <v>46217</v>
      </c>
      <c r="C1163" s="71" t="n">
        <v>46217</v>
      </c>
      <c r="D1163" s="70" t="n">
        <v>33</v>
      </c>
      <c r="E1163" s="72" t="inlineStr">
        <is>
          <t>RENATO DE O AZEVEDO E CIA LTDA - EPP</t>
        </is>
      </c>
      <c r="F1163" s="70" t="n">
        <v>13</v>
      </c>
      <c r="G1163" s="72" t="inlineStr">
        <is>
          <t>Compra a Vista</t>
        </is>
      </c>
      <c r="H1163" s="70" t="n">
        <v>2110101</v>
      </c>
      <c r="I1163" s="72" t="inlineStr">
        <is>
          <t>FORNECEDORES DE MERCADORIA</t>
        </is>
      </c>
      <c r="J1163" s="70" t="n">
        <v>1397913</v>
      </c>
      <c r="L1163" s="70" t="n">
        <v>5297</v>
      </c>
      <c r="M1163" s="72" t="inlineStr">
        <is>
          <t>01</t>
        </is>
      </c>
      <c r="N1163" s="72" t="inlineStr">
        <is>
          <t>NFE</t>
        </is>
      </c>
      <c r="P1163" s="70" t="n">
        <v>104</v>
      </c>
      <c r="Q1163" s="72" t="inlineStr">
        <is>
          <t>DEBORA COSTA</t>
        </is>
      </c>
      <c r="R1163" s="72" t="inlineStr">
        <is>
          <t>ESTOQUE DE MERCADORIAS</t>
        </is>
      </c>
      <c r="S1163" s="70" t="n">
        <v>1130101</v>
      </c>
      <c r="T1163" s="72" t="inlineStr">
        <is>
          <t>MERCADORIAS P/REVENDA</t>
        </is>
      </c>
      <c r="U1163" s="73" t="n">
        <v>280</v>
      </c>
      <c r="W1163" s="73" t="n">
        <v>280</v>
      </c>
      <c r="X1163" s="72" t="inlineStr">
        <is>
          <t>ACAI DE ANORI - DEBORA</t>
        </is>
      </c>
      <c r="Z1163" s="59">
        <f>IF($T1163="","",IFERROR(INDEX('Resumo Grupos'!$AC$3:$AC$200,MATCH($T1163,'Resumo Grupos'!$AB$3:$AB$200,0)),"n/d"))</f>
        <v/>
      </c>
      <c r="AA1163" s="59">
        <f>IF($T1163="","",IF(COUNTIF('Resumo Grupos'!$AE$3:$AE$40,$T1163)&gt;0,"NAO","SIM"))</f>
        <v/>
      </c>
    </row>
    <row r="1164" ht="27.75" customHeight="1" s="60">
      <c r="A1164" s="70" t="n">
        <v>1</v>
      </c>
      <c r="B1164" s="71" t="n">
        <v>46217</v>
      </c>
      <c r="C1164" s="71" t="n">
        <v>46217</v>
      </c>
      <c r="D1164" s="70" t="n">
        <v>1779</v>
      </c>
      <c r="E1164" s="72" t="inlineStr">
        <is>
          <t>BANCO DO BRASIL SA</t>
        </is>
      </c>
      <c r="F1164" s="70" t="n">
        <v>34</v>
      </c>
      <c r="G1164" s="72" t="inlineStr">
        <is>
          <t>Transferencia Pix</t>
        </is>
      </c>
      <c r="H1164" s="70" t="n">
        <v>1110202</v>
      </c>
      <c r="I1164" s="72" t="inlineStr">
        <is>
          <t>BANCO ITAU Lj 01</t>
        </is>
      </c>
      <c r="J1164" s="70" t="n">
        <v>1397925</v>
      </c>
      <c r="L1164" s="70" t="n">
        <v>576445</v>
      </c>
      <c r="M1164" s="72" t="inlineStr">
        <is>
          <t>01</t>
        </is>
      </c>
      <c r="N1164" s="72" t="inlineStr">
        <is>
          <t>AVU</t>
        </is>
      </c>
      <c r="P1164" s="70" t="n">
        <v>102</v>
      </c>
      <c r="Q1164" s="72" t="inlineStr">
        <is>
          <t>ANDREZA ANDRADE</t>
        </is>
      </c>
      <c r="R1164" s="72" t="inlineStr">
        <is>
          <t>DESPESAS NAO OPERACIONAIS</t>
        </is>
      </c>
      <c r="S1164" s="70" t="n">
        <v>4220199</v>
      </c>
      <c r="T1164" s="72" t="inlineStr">
        <is>
          <t>PAGAMENTOS OUTROS NAO OPERACIONAIS</t>
        </is>
      </c>
      <c r="U1164" s="73" t="n">
        <v>1370</v>
      </c>
      <c r="W1164" s="73" t="n">
        <v>0</v>
      </c>
      <c r="X1164" s="72" t="inlineStr">
        <is>
          <t>CPBERTURA DE CONTA BB 1 VELHO-ANDREZA</t>
        </is>
      </c>
      <c r="Z1164" s="59">
        <f>IF($T1164="","",IFERROR(INDEX('Resumo Grupos'!$AC$3:$AC$200,MATCH($T1164,'Resumo Grupos'!$AB$3:$AB$200,0)),"n/d"))</f>
        <v/>
      </c>
      <c r="AA1164" s="59">
        <f>IF($T1164="","",IF(COUNTIF('Resumo Grupos'!$AE$3:$AE$40,$T1164)&gt;0,"NAO","SIM"))</f>
        <v/>
      </c>
    </row>
    <row r="1165" ht="45.75" customHeight="1" s="60">
      <c r="A1165" s="70" t="n">
        <v>1</v>
      </c>
      <c r="B1165" s="71" t="n">
        <v>46217</v>
      </c>
      <c r="C1165" s="71" t="n">
        <v>46217</v>
      </c>
      <c r="D1165" s="70" t="n">
        <v>33</v>
      </c>
      <c r="E1165" s="72" t="inlineStr">
        <is>
          <t>RENATO DE O AZEVEDO E CIA LTDA - EPP</t>
        </is>
      </c>
      <c r="F1165" s="70" t="n">
        <v>34</v>
      </c>
      <c r="G1165" s="72" t="inlineStr">
        <is>
          <t>Transferencia Pix</t>
        </is>
      </c>
      <c r="H1165" s="70" t="n">
        <v>2110101</v>
      </c>
      <c r="I1165" s="72" t="inlineStr">
        <is>
          <t>FORNECEDORES DE MERCADORIA</t>
        </is>
      </c>
      <c r="J1165" s="70" t="n">
        <v>1398159</v>
      </c>
      <c r="L1165" s="70" t="n">
        <v>5302</v>
      </c>
      <c r="M1165" s="72" t="inlineStr">
        <is>
          <t>01</t>
        </is>
      </c>
      <c r="N1165" s="72" t="inlineStr">
        <is>
          <t>NFE</t>
        </is>
      </c>
      <c r="P1165" s="70" t="n">
        <v>104</v>
      </c>
      <c r="Q1165" s="72" t="inlineStr">
        <is>
          <t>DEBORA COSTA</t>
        </is>
      </c>
      <c r="R1165" s="72" t="inlineStr">
        <is>
          <t>ESTOQUE DE MERCADORIAS</t>
        </is>
      </c>
      <c r="S1165" s="70" t="n">
        <v>1130101</v>
      </c>
      <c r="T1165" s="72" t="inlineStr">
        <is>
          <t>MERCADORIAS P/REVENDA</t>
        </is>
      </c>
      <c r="U1165" s="73" t="n">
        <v>3395.95</v>
      </c>
      <c r="W1165" s="73" t="n">
        <v>0</v>
      </c>
      <c r="X1165" s="72" t="inlineStr">
        <is>
          <t>FEIRA SR RENATO - DEBORA</t>
        </is>
      </c>
      <c r="Z1165" s="59">
        <f>IF($T1165="","",IFERROR(INDEX('Resumo Grupos'!$AC$3:$AC$200,MATCH($T1165,'Resumo Grupos'!$AB$3:$AB$200,0)),"n/d"))</f>
        <v/>
      </c>
      <c r="AA1165" s="59">
        <f>IF($T1165="","",IF(COUNTIF('Resumo Grupos'!$AE$3:$AE$40,$T1165)&gt;0,"NAO","SIM"))</f>
        <v/>
      </c>
    </row>
    <row r="1166" ht="27.75" customHeight="1" s="60">
      <c r="A1166" s="70" t="n">
        <v>1</v>
      </c>
      <c r="B1166" s="71" t="n">
        <v>46217</v>
      </c>
      <c r="C1166" s="71" t="n">
        <v>46217</v>
      </c>
      <c r="D1166" s="70" t="n">
        <v>978</v>
      </c>
      <c r="E1166" s="72" t="inlineStr">
        <is>
          <t>GELO DANGELO FABRICACAO DE GELO LTDA</t>
        </is>
      </c>
      <c r="F1166" s="70" t="n">
        <v>13</v>
      </c>
      <c r="G1166" s="72" t="inlineStr">
        <is>
          <t>Compra a Vista</t>
        </is>
      </c>
      <c r="H1166" s="70" t="n">
        <v>2110101</v>
      </c>
      <c r="I1166" s="72" t="inlineStr">
        <is>
          <t>FORNECEDORES DE MERCADORIA</t>
        </is>
      </c>
      <c r="J1166" s="70" t="n">
        <v>1435607</v>
      </c>
      <c r="L1166" s="70" t="n">
        <v>368</v>
      </c>
      <c r="M1166" s="72" t="inlineStr">
        <is>
          <t>01</t>
        </is>
      </c>
      <c r="N1166" s="72" t="inlineStr">
        <is>
          <t>NFE</t>
        </is>
      </c>
      <c r="P1166" s="70" t="n">
        <v>104</v>
      </c>
      <c r="Q1166" s="72" t="inlineStr">
        <is>
          <t>DEBORA COSTA</t>
        </is>
      </c>
      <c r="R1166" s="72" t="inlineStr">
        <is>
          <t>ESTOQUE DE MERCADORIAS</t>
        </is>
      </c>
      <c r="S1166" s="70" t="n">
        <v>1130101</v>
      </c>
      <c r="T1166" s="72" t="inlineStr">
        <is>
          <t>MERCADORIAS P/REVENDA</t>
        </is>
      </c>
      <c r="U1166" s="73" t="n">
        <v>394</v>
      </c>
      <c r="W1166" s="73" t="n">
        <v>0</v>
      </c>
      <c r="X1166" s="72" t="inlineStr">
        <is>
          <t>NF 368 - DEBORA</t>
        </is>
      </c>
      <c r="Z1166" s="59">
        <f>IF($T1166="","",IFERROR(INDEX('Resumo Grupos'!$AC$3:$AC$200,MATCH($T1166,'Resumo Grupos'!$AB$3:$AB$200,0)),"n/d"))</f>
        <v/>
      </c>
      <c r="AA1166" s="59">
        <f>IF($T1166="","",IF(COUNTIF('Resumo Grupos'!$AE$3:$AE$40,$T1166)&gt;0,"NAO","SIM"))</f>
        <v/>
      </c>
    </row>
    <row r="1167" ht="45.75" customHeight="1" s="60">
      <c r="A1167" s="70" t="n">
        <v>1</v>
      </c>
      <c r="B1167" s="71" t="n">
        <v>46217</v>
      </c>
      <c r="C1167" s="71" t="n">
        <v>46217</v>
      </c>
      <c r="D1167" s="70" t="n">
        <v>1037</v>
      </c>
      <c r="E1167" s="72" t="inlineStr">
        <is>
          <t>FEIRA</t>
        </is>
      </c>
      <c r="F1167" s="70" t="n">
        <v>34</v>
      </c>
      <c r="G1167" s="72" t="inlineStr">
        <is>
          <t>Transferencia Pix</t>
        </is>
      </c>
      <c r="H1167" s="70" t="n">
        <v>1110202</v>
      </c>
      <c r="I1167" s="72" t="inlineStr">
        <is>
          <t>BANCO ITAU Lj 01</t>
        </is>
      </c>
      <c r="J1167" s="70" t="n">
        <v>1445364</v>
      </c>
      <c r="L1167" s="70" t="n">
        <v>594545</v>
      </c>
      <c r="M1167" s="72" t="inlineStr">
        <is>
          <t>01</t>
        </is>
      </c>
      <c r="N1167" s="72" t="inlineStr">
        <is>
          <t>AVU</t>
        </is>
      </c>
      <c r="P1167" s="70" t="n">
        <v>102</v>
      </c>
      <c r="Q1167" s="72" t="inlineStr">
        <is>
          <t>ANDREZA ANDRADE</t>
        </is>
      </c>
      <c r="R1167" s="72" t="inlineStr">
        <is>
          <t>DESPESAS NAO OPERACIONAIS</t>
        </is>
      </c>
      <c r="S1167" s="70" t="n">
        <v>4220199</v>
      </c>
      <c r="T1167" s="72" t="inlineStr">
        <is>
          <t>PAGAMENTOS OUTROS NAO OPERACIONAIS</t>
        </is>
      </c>
      <c r="U1167" s="73" t="n">
        <v>2900</v>
      </c>
      <c r="W1167" s="73" t="n">
        <v>0</v>
      </c>
      <c r="X1167" s="72" t="inlineStr">
        <is>
          <t>FEIRA SR RENATO LOJAS. -ANDREZA</t>
        </is>
      </c>
      <c r="Z1167" s="59">
        <f>IF($T1167="","",IFERROR(INDEX('Resumo Grupos'!$AC$3:$AC$200,MATCH($T1167,'Resumo Grupos'!$AB$3:$AB$200,0)),"n/d"))</f>
        <v/>
      </c>
      <c r="AA1167" s="59">
        <f>IF($T1167="","",IF(COUNTIF('Resumo Grupos'!$AE$3:$AE$40,$T1167)&gt;0,"NAO","SIM"))</f>
        <v/>
      </c>
    </row>
    <row r="1168" ht="45.75" customHeight="1" s="60">
      <c r="A1168" s="70" t="n">
        <v>1</v>
      </c>
      <c r="B1168" s="71" t="n">
        <v>46217</v>
      </c>
      <c r="C1168" s="71" t="n">
        <v>46217</v>
      </c>
      <c r="D1168" s="70" t="n">
        <v>1037</v>
      </c>
      <c r="E1168" s="72" t="inlineStr">
        <is>
          <t>FEIRA</t>
        </is>
      </c>
      <c r="F1168" s="70" t="n">
        <v>13</v>
      </c>
      <c r="G1168" s="72" t="inlineStr">
        <is>
          <t>Compra a Vista</t>
        </is>
      </c>
      <c r="H1168" s="70" t="n">
        <v>1110101</v>
      </c>
      <c r="I1168" s="72" t="inlineStr">
        <is>
          <t>CAIXA GERAL</t>
        </is>
      </c>
      <c r="J1168" s="70" t="n">
        <v>1445372</v>
      </c>
      <c r="L1168" s="70" t="n">
        <v>594548</v>
      </c>
      <c r="M1168" s="72" t="inlineStr">
        <is>
          <t>01</t>
        </is>
      </c>
      <c r="N1168" s="72" t="inlineStr">
        <is>
          <t>AVU</t>
        </is>
      </c>
      <c r="P1168" s="70" t="n">
        <v>102</v>
      </c>
      <c r="Q1168" s="72" t="inlineStr">
        <is>
          <t>ANDREZA ANDRADE</t>
        </is>
      </c>
      <c r="R1168" s="72" t="inlineStr">
        <is>
          <t>DESPESAS NAO OPERACIONAIS</t>
        </is>
      </c>
      <c r="S1168" s="70" t="n">
        <v>4220199</v>
      </c>
      <c r="T1168" s="72" t="inlineStr">
        <is>
          <t>PAGAMENTOS OUTROS NAO OPERACIONAIS</t>
        </is>
      </c>
      <c r="U1168" s="73" t="n">
        <v>4816</v>
      </c>
      <c r="W1168" s="73" t="n">
        <v>0</v>
      </c>
      <c r="X1168" s="72" t="inlineStr">
        <is>
          <t>FEIRA SR RENATO LOJAS POTE LJ MO1-ANDREZA</t>
        </is>
      </c>
      <c r="Z1168" s="59">
        <f>IF($T1168="","",IFERROR(INDEX('Resumo Grupos'!$AC$3:$AC$200,MATCH($T1168,'Resumo Grupos'!$AB$3:$AB$200,0)),"n/d"))</f>
        <v/>
      </c>
      <c r="AA1168" s="59">
        <f>IF($T1168="","",IF(COUNTIF('Resumo Grupos'!$AE$3:$AE$40,$T1168)&gt;0,"NAO","SIM"))</f>
        <v/>
      </c>
    </row>
    <row r="1169" ht="27.75" customHeight="1" s="60">
      <c r="A1169" s="70" t="n">
        <v>1</v>
      </c>
      <c r="B1169" s="71" t="n">
        <v>46097</v>
      </c>
      <c r="C1169" s="71" t="n">
        <v>46218</v>
      </c>
      <c r="D1169" s="70" t="n">
        <v>1867</v>
      </c>
      <c r="E1169" s="72" t="inlineStr">
        <is>
          <t>PREFEITURA MUNICIPAL DE MANAUS - IPTU</t>
        </is>
      </c>
      <c r="F1169" s="70" t="n">
        <v>24</v>
      </c>
      <c r="G1169" s="72" t="inlineStr">
        <is>
          <t>Compra a Prazo - Boletos</t>
        </is>
      </c>
      <c r="H1169" s="70" t="n">
        <v>2110405</v>
      </c>
      <c r="I1169" s="72" t="inlineStr">
        <is>
          <t>CONTAS A PAGAR</t>
        </is>
      </c>
      <c r="J1169" s="70" t="n">
        <v>809298</v>
      </c>
      <c r="L1169" s="70" t="n">
        <v>100914</v>
      </c>
      <c r="M1169" s="72" t="inlineStr">
        <is>
          <t>05</t>
        </is>
      </c>
      <c r="N1169" s="72" t="inlineStr">
        <is>
          <t>AVU</t>
        </is>
      </c>
      <c r="P1169" s="70" t="n">
        <v>101</v>
      </c>
      <c r="Q1169" s="72" t="inlineStr">
        <is>
          <t>KEILA LIMA</t>
        </is>
      </c>
      <c r="R1169" s="72" t="inlineStr">
        <is>
          <t>DESPESAS TRIBUTARIAS</t>
        </is>
      </c>
      <c r="S1169" s="70" t="n">
        <v>4210401</v>
      </c>
      <c r="T1169" s="72" t="inlineStr">
        <is>
          <t>IPTU</t>
        </is>
      </c>
      <c r="U1169" s="73" t="n">
        <v>134.55</v>
      </c>
      <c r="W1169" s="73" t="n">
        <v>0</v>
      </c>
      <c r="X1169" s="72" t="inlineStr">
        <is>
          <t>PARC 05/10 IPTU PADARIA MO1 - KEILA</t>
        </is>
      </c>
      <c r="Z1169" s="59">
        <f>IF($T1169="","",IFERROR(INDEX('Resumo Grupos'!$AC$3:$AC$200,MATCH($T1169,'Resumo Grupos'!$AB$3:$AB$200,0)),"n/d"))</f>
        <v/>
      </c>
      <c r="AA1169" s="59">
        <f>IF($T1169="","",IF(COUNTIF('Resumo Grupos'!$AE$3:$AE$40,$T1169)&gt;0,"NAO","SIM"))</f>
        <v/>
      </c>
    </row>
    <row r="1170" ht="27.75" customHeight="1" s="60">
      <c r="A1170" s="70" t="n">
        <v>1</v>
      </c>
      <c r="B1170" s="71" t="n">
        <v>46097</v>
      </c>
      <c r="C1170" s="71" t="n">
        <v>46218</v>
      </c>
      <c r="D1170" s="70" t="n">
        <v>1867</v>
      </c>
      <c r="E1170" s="72" t="inlineStr">
        <is>
          <t>PREFEITURA MUNICIPAL DE MANAUS - IPTU</t>
        </is>
      </c>
      <c r="F1170" s="70" t="n">
        <v>24</v>
      </c>
      <c r="G1170" s="72" t="inlineStr">
        <is>
          <t>Compra a Prazo - Boletos</t>
        </is>
      </c>
      <c r="H1170" s="70" t="n">
        <v>2110405</v>
      </c>
      <c r="I1170" s="72" t="inlineStr">
        <is>
          <t>CONTAS A PAGAR</t>
        </is>
      </c>
      <c r="J1170" s="70" t="n">
        <v>809315</v>
      </c>
      <c r="L1170" s="70" t="n">
        <v>100910</v>
      </c>
      <c r="M1170" s="72" t="inlineStr">
        <is>
          <t>05</t>
        </is>
      </c>
      <c r="N1170" s="72" t="inlineStr">
        <is>
          <t>AVU</t>
        </is>
      </c>
      <c r="P1170" s="70" t="n">
        <v>101</v>
      </c>
      <c r="Q1170" s="72" t="inlineStr">
        <is>
          <t>KEILA LIMA</t>
        </is>
      </c>
      <c r="R1170" s="72" t="inlineStr">
        <is>
          <t>DESPESAS TRIBUTARIAS</t>
        </is>
      </c>
      <c r="S1170" s="70" t="n">
        <v>4210401</v>
      </c>
      <c r="T1170" s="72" t="inlineStr">
        <is>
          <t>IPTU</t>
        </is>
      </c>
      <c r="U1170" s="73" t="n">
        <v>185.89</v>
      </c>
      <c r="W1170" s="73" t="n">
        <v>0</v>
      </c>
      <c r="X1170" s="72" t="inlineStr">
        <is>
          <t>PAR 05/10 IPTU MO1 100910 - KEILA</t>
        </is>
      </c>
      <c r="Z1170" s="59">
        <f>IF($T1170="","",IFERROR(INDEX('Resumo Grupos'!$AC$3:$AC$200,MATCH($T1170,'Resumo Grupos'!$AB$3:$AB$200,0)),"n/d"))</f>
        <v/>
      </c>
      <c r="AA1170" s="59">
        <f>IF($T1170="","",IF(COUNTIF('Resumo Grupos'!$AE$3:$AE$40,$T1170)&gt;0,"NAO","SIM"))</f>
        <v/>
      </c>
    </row>
    <row r="1171" ht="36.75" customHeight="1" s="60">
      <c r="A1171" s="70" t="n">
        <v>1</v>
      </c>
      <c r="B1171" s="71" t="n">
        <v>46097</v>
      </c>
      <c r="C1171" s="71" t="n">
        <v>46218</v>
      </c>
      <c r="D1171" s="70" t="n">
        <v>17</v>
      </c>
      <c r="E1171" s="72" t="inlineStr">
        <is>
          <t>NEYLIANE SILVA DE OLIVEIRA</t>
        </is>
      </c>
      <c r="F1171" s="70" t="n">
        <v>24</v>
      </c>
      <c r="G1171" s="72" t="inlineStr">
        <is>
          <t>Compra a Prazo - Boletos</t>
        </is>
      </c>
      <c r="H1171" s="70" t="n">
        <v>2110405</v>
      </c>
      <c r="I1171" s="72" t="inlineStr">
        <is>
          <t>CONTAS A PAGAR</t>
        </is>
      </c>
      <c r="J1171" s="70" t="n">
        <v>809413</v>
      </c>
      <c r="L1171" s="70" t="n">
        <v>2115476</v>
      </c>
      <c r="M1171" s="72" t="inlineStr">
        <is>
          <t>05</t>
        </is>
      </c>
      <c r="N1171" s="72" t="inlineStr">
        <is>
          <t>AVU</t>
        </is>
      </c>
      <c r="P1171" s="70" t="n">
        <v>101</v>
      </c>
      <c r="Q1171" s="72" t="inlineStr">
        <is>
          <t>KEILA LIMA</t>
        </is>
      </c>
      <c r="R1171" s="72" t="inlineStr">
        <is>
          <t>DESPESAS NAO OPERACIONAIS</t>
        </is>
      </c>
      <c r="S1171" s="70" t="n">
        <v>4220199</v>
      </c>
      <c r="T1171" s="72" t="inlineStr">
        <is>
          <t>PAGAMENTOS OUTROS NAO OPERACIONAIS</t>
        </is>
      </c>
      <c r="U1171" s="73" t="n">
        <v>102.14</v>
      </c>
      <c r="W1171" s="73" t="n">
        <v>0</v>
      </c>
      <c r="X1171" s="72" t="inlineStr">
        <is>
          <t>PL NEILA IPTU MAE - KEILA</t>
        </is>
      </c>
      <c r="Z1171" s="59">
        <f>IF($T1171="","",IFERROR(INDEX('Resumo Grupos'!$AC$3:$AC$200,MATCH($T1171,'Resumo Grupos'!$AB$3:$AB$200,0)),"n/d"))</f>
        <v/>
      </c>
      <c r="AA1171" s="59">
        <f>IF($T1171="","",IF(COUNTIF('Resumo Grupos'!$AE$3:$AE$40,$T1171)&gt;0,"NAO","SIM"))</f>
        <v/>
      </c>
    </row>
    <row r="1172" ht="45.75" customHeight="1" s="60">
      <c r="A1172" s="70" t="n">
        <v>1</v>
      </c>
      <c r="B1172" s="71" t="n">
        <v>46190</v>
      </c>
      <c r="C1172" s="71" t="n">
        <v>46218</v>
      </c>
      <c r="D1172" s="70" t="n">
        <v>10017</v>
      </c>
      <c r="E1172" s="72" t="inlineStr">
        <is>
          <t>PIARARA COMERCIO, IMPORTACAO E EXPORTACAO LTDA</t>
        </is>
      </c>
      <c r="F1172" s="70" t="n">
        <v>24</v>
      </c>
      <c r="G1172" s="72" t="inlineStr">
        <is>
          <t>Compra a Prazo - Boletos</t>
        </is>
      </c>
      <c r="H1172" s="70" t="n">
        <v>2110101</v>
      </c>
      <c r="I1172" s="72" t="inlineStr">
        <is>
          <t>FORNECEDORES DE MERCADORIA</t>
        </is>
      </c>
      <c r="J1172" s="70" t="n">
        <v>1265872</v>
      </c>
      <c r="L1172" s="70" t="n">
        <v>193491</v>
      </c>
      <c r="M1172" s="72" t="inlineStr">
        <is>
          <t>03</t>
        </is>
      </c>
      <c r="N1172" s="72" t="inlineStr">
        <is>
          <t>NFE</t>
        </is>
      </c>
      <c r="P1172" s="70" t="n">
        <v>103</v>
      </c>
      <c r="Q1172" s="72" t="inlineStr">
        <is>
          <t>MILKA FRANCIS</t>
        </is>
      </c>
      <c r="R1172" s="72" t="inlineStr">
        <is>
          <t>ESTOQUE DE MERCADORIAS</t>
        </is>
      </c>
      <c r="S1172" s="70" t="n">
        <v>1130101</v>
      </c>
      <c r="T1172" s="72" t="inlineStr">
        <is>
          <t>MERCADORIAS P/REVENDA</t>
        </is>
      </c>
      <c r="U1172" s="73" t="n">
        <v>568.92</v>
      </c>
      <c r="W1172" s="73" t="n">
        <v>0</v>
      </c>
      <c r="X1172" s="72" t="inlineStr">
        <is>
          <t>NF 193491-3 MILKA</t>
        </is>
      </c>
      <c r="Z1172" s="59">
        <f>IF($T1172="","",IFERROR(INDEX('Resumo Grupos'!$AC$3:$AC$200,MATCH($T1172,'Resumo Grupos'!$AB$3:$AB$200,0)),"n/d"))</f>
        <v/>
      </c>
      <c r="AA1172" s="59">
        <f>IF($T1172="","",IF(COUNTIF('Resumo Grupos'!$AE$3:$AE$40,$T1172)&gt;0,"NAO","SIM"))</f>
        <v/>
      </c>
    </row>
    <row r="1173" ht="27.75" customHeight="1" s="60">
      <c r="A1173" s="70" t="n">
        <v>1</v>
      </c>
      <c r="B1173" s="71" t="n">
        <v>46190</v>
      </c>
      <c r="C1173" s="71" t="n">
        <v>46218</v>
      </c>
      <c r="D1173" s="70" t="n">
        <v>911</v>
      </c>
      <c r="E1173" s="72" t="inlineStr">
        <is>
          <t>FEMAR IND E COM DE BEBIDAS LTDA</t>
        </is>
      </c>
      <c r="F1173" s="70" t="n">
        <v>24</v>
      </c>
      <c r="G1173" s="72" t="inlineStr">
        <is>
          <t>Compra a Prazo - Boletos</t>
        </is>
      </c>
      <c r="H1173" s="70" t="n">
        <v>2110101</v>
      </c>
      <c r="I1173" s="72" t="inlineStr">
        <is>
          <t>FORNECEDORES DE MERCADORIA</t>
        </is>
      </c>
      <c r="J1173" s="70" t="n">
        <v>1265903</v>
      </c>
      <c r="L1173" s="70" t="n">
        <v>51879</v>
      </c>
      <c r="M1173" s="72" t="inlineStr">
        <is>
          <t>01</t>
        </is>
      </c>
      <c r="N1173" s="72" t="inlineStr">
        <is>
          <t>NFE</t>
        </is>
      </c>
      <c r="P1173" s="70" t="n">
        <v>103</v>
      </c>
      <c r="Q1173" s="72" t="inlineStr">
        <is>
          <t>MILKA FRANCIS</t>
        </is>
      </c>
      <c r="R1173" s="72" t="inlineStr">
        <is>
          <t>ESTOQUE DE MERCADORIAS</t>
        </is>
      </c>
      <c r="S1173" s="70" t="n">
        <v>1130101</v>
      </c>
      <c r="T1173" s="72" t="inlineStr">
        <is>
          <t>MERCADORIAS P/REVENDA</t>
        </is>
      </c>
      <c r="U1173" s="73" t="n">
        <v>636.67</v>
      </c>
      <c r="W1173" s="73" t="n">
        <v>0</v>
      </c>
      <c r="X1173" s="72" t="inlineStr">
        <is>
          <t>NF 51879 - MILKA</t>
        </is>
      </c>
      <c r="Z1173" s="59">
        <f>IF($T1173="","",IFERROR(INDEX('Resumo Grupos'!$AC$3:$AC$200,MATCH($T1173,'Resumo Grupos'!$AB$3:$AB$200,0)),"n/d"))</f>
        <v/>
      </c>
      <c r="AA1173" s="59">
        <f>IF($T1173="","",IF(COUNTIF('Resumo Grupos'!$AE$3:$AE$40,$T1173)&gt;0,"NAO","SIM"))</f>
        <v/>
      </c>
    </row>
    <row r="1174" ht="27.75" customHeight="1" s="60">
      <c r="A1174" s="70" t="n">
        <v>1</v>
      </c>
      <c r="B1174" s="71" t="n">
        <v>46191</v>
      </c>
      <c r="C1174" s="71" t="n">
        <v>46218</v>
      </c>
      <c r="D1174" s="70" t="n">
        <v>1601</v>
      </c>
      <c r="E1174" s="72" t="inlineStr">
        <is>
          <t>CB COMERCIO E DISTRIBUIDORA DE ALIMENTOS</t>
        </is>
      </c>
      <c r="F1174" s="70" t="n">
        <v>24</v>
      </c>
      <c r="G1174" s="72" t="inlineStr">
        <is>
          <t>Compra a Prazo - Boletos</t>
        </is>
      </c>
      <c r="H1174" s="70" t="n">
        <v>2110101</v>
      </c>
      <c r="I1174" s="72" t="inlineStr">
        <is>
          <t>FORNECEDORES DE MERCADORIA</t>
        </is>
      </c>
      <c r="J1174" s="70" t="n">
        <v>1268785</v>
      </c>
      <c r="L1174" s="70" t="n">
        <v>844855</v>
      </c>
      <c r="M1174" s="72" t="inlineStr">
        <is>
          <t>03</t>
        </is>
      </c>
      <c r="N1174" s="72" t="inlineStr">
        <is>
          <t>NFE</t>
        </is>
      </c>
      <c r="P1174" s="70" t="n">
        <v>103</v>
      </c>
      <c r="Q1174" s="72" t="inlineStr">
        <is>
          <t>MILKA FRANCIS</t>
        </is>
      </c>
      <c r="R1174" s="72" t="inlineStr">
        <is>
          <t>ESTOQUE DE MERCADORIAS</t>
        </is>
      </c>
      <c r="S1174" s="70" t="n">
        <v>1130101</v>
      </c>
      <c r="T1174" s="72" t="inlineStr">
        <is>
          <t>MERCADORIAS P/REVENDA</t>
        </is>
      </c>
      <c r="U1174" s="73" t="n">
        <v>985.3</v>
      </c>
      <c r="W1174" s="73" t="n">
        <v>0</v>
      </c>
      <c r="X1174" s="72" t="inlineStr">
        <is>
          <t>941304-C/C  NF844855 - MILKA</t>
        </is>
      </c>
      <c r="Z1174" s="59">
        <f>IF($T1174="","",IFERROR(INDEX('Resumo Grupos'!$AC$3:$AC$200,MATCH($T1174,'Resumo Grupos'!$AB$3:$AB$200,0)),"n/d"))</f>
        <v/>
      </c>
      <c r="AA1174" s="59">
        <f>IF($T1174="","",IF(COUNTIF('Resumo Grupos'!$AE$3:$AE$40,$T1174)&gt;0,"NAO","SIM"))</f>
        <v/>
      </c>
    </row>
    <row r="1175" ht="45.75" customHeight="1" s="60">
      <c r="A1175" s="70" t="n">
        <v>1</v>
      </c>
      <c r="B1175" s="71" t="n">
        <v>46196</v>
      </c>
      <c r="C1175" s="71" t="n">
        <v>46218</v>
      </c>
      <c r="D1175" s="70" t="n">
        <v>1637</v>
      </c>
      <c r="E1175" s="72" t="inlineStr">
        <is>
          <t>ATACADAO S.A.</t>
        </is>
      </c>
      <c r="F1175" s="70" t="n">
        <v>24</v>
      </c>
      <c r="G1175" s="72" t="inlineStr">
        <is>
          <t>Compra a Prazo - Boletos</t>
        </is>
      </c>
      <c r="H1175" s="70" t="n">
        <v>2110101</v>
      </c>
      <c r="I1175" s="72" t="inlineStr">
        <is>
          <t>FORNECEDORES DE MERCADORIA</t>
        </is>
      </c>
      <c r="J1175" s="70" t="n">
        <v>1295752</v>
      </c>
      <c r="L1175" s="70" t="n">
        <v>1892632</v>
      </c>
      <c r="M1175" s="72" t="inlineStr">
        <is>
          <t>01</t>
        </is>
      </c>
      <c r="N1175" s="72" t="inlineStr">
        <is>
          <t>NFE</t>
        </is>
      </c>
      <c r="P1175" s="70" t="n">
        <v>103</v>
      </c>
      <c r="Q1175" s="72" t="inlineStr">
        <is>
          <t>MILKA FRANCIS</t>
        </is>
      </c>
      <c r="R1175" s="72" t="inlineStr">
        <is>
          <t>ESTOQUE DE MERCADORIAS</t>
        </is>
      </c>
      <c r="S1175" s="70" t="n">
        <v>1130101</v>
      </c>
      <c r="T1175" s="72" t="inlineStr">
        <is>
          <t>MERCADORIAS P/REVENDA</t>
        </is>
      </c>
      <c r="U1175" s="73" t="n">
        <v>757</v>
      </c>
      <c r="W1175" s="73" t="n">
        <v>0</v>
      </c>
      <c r="X1175" s="72" t="inlineStr">
        <is>
          <t>NF 1892632 - MILKA</t>
        </is>
      </c>
      <c r="Z1175" s="59">
        <f>IF($T1175="","",IFERROR(INDEX('Resumo Grupos'!$AC$3:$AC$200,MATCH($T1175,'Resumo Grupos'!$AB$3:$AB$200,0)),"n/d"))</f>
        <v/>
      </c>
      <c r="AA1175" s="59">
        <f>IF($T1175="","",IF(COUNTIF('Resumo Grupos'!$AE$3:$AE$40,$T1175)&gt;0,"NAO","SIM"))</f>
        <v/>
      </c>
    </row>
    <row r="1176" ht="45.75" customHeight="1" s="60">
      <c r="A1176" s="70" t="n">
        <v>1</v>
      </c>
      <c r="B1176" s="71" t="n">
        <v>46197</v>
      </c>
      <c r="C1176" s="71" t="n">
        <v>46218</v>
      </c>
      <c r="D1176" s="70" t="n">
        <v>1608</v>
      </c>
      <c r="E1176" s="72" t="inlineStr">
        <is>
          <t>DISTRIBUIDORA LOPES LTDA</t>
        </is>
      </c>
      <c r="F1176" s="70" t="n">
        <v>24</v>
      </c>
      <c r="G1176" s="72" t="inlineStr">
        <is>
          <t>Compra a Prazo - Boletos</t>
        </is>
      </c>
      <c r="H1176" s="70" t="n">
        <v>2110101</v>
      </c>
      <c r="I1176" s="72" t="inlineStr">
        <is>
          <t>FORNECEDORES DE MERCADORIA</t>
        </is>
      </c>
      <c r="J1176" s="70" t="n">
        <v>1299186</v>
      </c>
      <c r="L1176" s="70" t="n">
        <v>1679265</v>
      </c>
      <c r="M1176" s="72" t="inlineStr">
        <is>
          <t>01</t>
        </is>
      </c>
      <c r="N1176" s="72" t="inlineStr">
        <is>
          <t>NFE</t>
        </is>
      </c>
      <c r="P1176" s="70" t="n">
        <v>103</v>
      </c>
      <c r="Q1176" s="72" t="inlineStr">
        <is>
          <t>MILKA FRANCIS</t>
        </is>
      </c>
      <c r="R1176" s="72" t="inlineStr">
        <is>
          <t>ESTOQUE DE MERCADORIAS</t>
        </is>
      </c>
      <c r="S1176" s="70" t="n">
        <v>1130101</v>
      </c>
      <c r="T1176" s="72" t="inlineStr">
        <is>
          <t>MERCADORIAS P/REVENDA</t>
        </is>
      </c>
      <c r="U1176" s="73" t="n">
        <v>1065.06</v>
      </c>
      <c r="W1176" s="73" t="n">
        <v>0</v>
      </c>
      <c r="X1176" s="72" t="inlineStr">
        <is>
          <t>NF 1679265-1 MILKA</t>
        </is>
      </c>
      <c r="Z1176" s="59">
        <f>IF($T1176="","",IFERROR(INDEX('Resumo Grupos'!$AC$3:$AC$200,MATCH($T1176,'Resumo Grupos'!$AB$3:$AB$200,0)),"n/d"))</f>
        <v/>
      </c>
      <c r="AA1176" s="59">
        <f>IF($T1176="","",IF(COUNTIF('Resumo Grupos'!$AE$3:$AE$40,$T1176)&gt;0,"NAO","SIM"))</f>
        <v/>
      </c>
    </row>
    <row r="1177" ht="27.75" customHeight="1" s="60">
      <c r="A1177" s="70" t="n">
        <v>1</v>
      </c>
      <c r="B1177" s="71" t="n">
        <v>46197</v>
      </c>
      <c r="C1177" s="71" t="n">
        <v>46218</v>
      </c>
      <c r="D1177" s="70" t="n">
        <v>1608</v>
      </c>
      <c r="E1177" s="72" t="inlineStr">
        <is>
          <t>DISTRIBUIDORA LOPES LTDA</t>
        </is>
      </c>
      <c r="F1177" s="70" t="n">
        <v>24</v>
      </c>
      <c r="G1177" s="72" t="inlineStr">
        <is>
          <t>Compra a Prazo - Boletos</t>
        </is>
      </c>
      <c r="H1177" s="70" t="n">
        <v>2110101</v>
      </c>
      <c r="I1177" s="72" t="inlineStr">
        <is>
          <t>FORNECEDORES DE MERCADORIA</t>
        </is>
      </c>
      <c r="J1177" s="70" t="n">
        <v>1300337</v>
      </c>
      <c r="L1177" s="70" t="n">
        <v>1679646</v>
      </c>
      <c r="M1177" s="72" t="inlineStr">
        <is>
          <t>01</t>
        </is>
      </c>
      <c r="N1177" s="72" t="inlineStr">
        <is>
          <t>NFE</t>
        </is>
      </c>
      <c r="P1177" s="70" t="n">
        <v>103</v>
      </c>
      <c r="Q1177" s="72" t="inlineStr">
        <is>
          <t>MILKA FRANCIS</t>
        </is>
      </c>
      <c r="R1177" s="72" t="inlineStr">
        <is>
          <t>ESTOQUE DE MERCADORIAS</t>
        </is>
      </c>
      <c r="S1177" s="70" t="n">
        <v>1130101</v>
      </c>
      <c r="T1177" s="72" t="inlineStr">
        <is>
          <t>MERCADORIAS P/REVENDA</t>
        </is>
      </c>
      <c r="U1177" s="73" t="n">
        <v>1271.27</v>
      </c>
      <c r="W1177" s="73" t="n">
        <v>0</v>
      </c>
      <c r="X1177" s="72" t="inlineStr">
        <is>
          <t xml:space="preserve">NF 1679646-1 MILKA </t>
        </is>
      </c>
      <c r="Z1177" s="59">
        <f>IF($T1177="","",IFERROR(INDEX('Resumo Grupos'!$AC$3:$AC$200,MATCH($T1177,'Resumo Grupos'!$AB$3:$AB$200,0)),"n/d"))</f>
        <v/>
      </c>
      <c r="AA1177" s="59">
        <f>IF($T1177="","",IF(COUNTIF('Resumo Grupos'!$AE$3:$AE$40,$T1177)&gt;0,"NAO","SIM"))</f>
        <v/>
      </c>
    </row>
    <row r="1178" ht="45.75" customHeight="1" s="60">
      <c r="A1178" s="70" t="n">
        <v>1</v>
      </c>
      <c r="B1178" s="71" t="n">
        <v>46198</v>
      </c>
      <c r="C1178" s="71" t="n">
        <v>46218</v>
      </c>
      <c r="D1178" s="70" t="n">
        <v>1815</v>
      </c>
      <c r="E1178" s="72" t="inlineStr">
        <is>
          <t>J G COMERCIO DE PRODUTOS ALIMENTICIOS LTDA</t>
        </is>
      </c>
      <c r="F1178" s="70" t="n">
        <v>24</v>
      </c>
      <c r="G1178" s="72" t="inlineStr">
        <is>
          <t>Compra a Prazo - Boletos</t>
        </is>
      </c>
      <c r="H1178" s="70" t="n">
        <v>2110101</v>
      </c>
      <c r="I1178" s="72" t="inlineStr">
        <is>
          <t>FORNECEDORES DE MERCADORIA</t>
        </is>
      </c>
      <c r="J1178" s="70" t="n">
        <v>1304557</v>
      </c>
      <c r="L1178" s="70" t="n">
        <v>388860</v>
      </c>
      <c r="M1178" s="72" t="inlineStr">
        <is>
          <t>03</t>
        </is>
      </c>
      <c r="N1178" s="72" t="inlineStr">
        <is>
          <t>NFE</t>
        </is>
      </c>
      <c r="P1178" s="70" t="n">
        <v>103</v>
      </c>
      <c r="Q1178" s="72" t="inlineStr">
        <is>
          <t>MILKA FRANCIS</t>
        </is>
      </c>
      <c r="R1178" s="72" t="inlineStr">
        <is>
          <t>ESTOQUE DE MERCADORIAS</t>
        </is>
      </c>
      <c r="S1178" s="70" t="n">
        <v>1130101</v>
      </c>
      <c r="T1178" s="72" t="inlineStr">
        <is>
          <t>MERCADORIAS P/REVENDA</t>
        </is>
      </c>
      <c r="U1178" s="73" t="n">
        <v>1283.27</v>
      </c>
      <c r="W1178" s="73" t="n">
        <v>0</v>
      </c>
      <c r="X1178" s="72" t="inlineStr">
        <is>
          <t>452671-C/C  NF388860 - MILKA</t>
        </is>
      </c>
      <c r="Z1178" s="59">
        <f>IF($T1178="","",IFERROR(INDEX('Resumo Grupos'!$AC$3:$AC$200,MATCH($T1178,'Resumo Grupos'!$AB$3:$AB$200,0)),"n/d"))</f>
        <v/>
      </c>
      <c r="AA1178" s="59">
        <f>IF($T1178="","",IF(COUNTIF('Resumo Grupos'!$AE$3:$AE$40,$T1178)&gt;0,"NAO","SIM"))</f>
        <v/>
      </c>
    </row>
    <row r="1179" ht="27.75" customHeight="1" s="60">
      <c r="A1179" s="70" t="n">
        <v>1</v>
      </c>
      <c r="B1179" s="71" t="n">
        <v>46198</v>
      </c>
      <c r="C1179" s="71" t="n">
        <v>46218</v>
      </c>
      <c r="D1179" s="70" t="n">
        <v>1671</v>
      </c>
      <c r="E1179" s="72" t="inlineStr">
        <is>
          <t>TAPAJOS COM DE PERFUMARIA COSMETICOS E G</t>
        </is>
      </c>
      <c r="F1179" s="70" t="n">
        <v>24</v>
      </c>
      <c r="G1179" s="72" t="inlineStr">
        <is>
          <t>Compra a Prazo - Boletos</t>
        </is>
      </c>
      <c r="H1179" s="70" t="n">
        <v>2110101</v>
      </c>
      <c r="I1179" s="72" t="inlineStr">
        <is>
          <t>FORNECEDORES DE MERCADORIA</t>
        </is>
      </c>
      <c r="J1179" s="70" t="n">
        <v>1304959</v>
      </c>
      <c r="L1179" s="70" t="n">
        <v>576439</v>
      </c>
      <c r="M1179" s="72" t="inlineStr">
        <is>
          <t>01</t>
        </is>
      </c>
      <c r="N1179" s="72" t="inlineStr">
        <is>
          <t>NFE</t>
        </is>
      </c>
      <c r="P1179" s="70" t="n">
        <v>103</v>
      </c>
      <c r="Q1179" s="72" t="inlineStr">
        <is>
          <t>MILKA FRANCIS</t>
        </is>
      </c>
      <c r="R1179" s="72" t="inlineStr">
        <is>
          <t>ESTOQUE DE MERCADORIAS</t>
        </is>
      </c>
      <c r="S1179" s="70" t="n">
        <v>1130101</v>
      </c>
      <c r="T1179" s="72" t="inlineStr">
        <is>
          <t>MERCADORIAS P/REVENDA</t>
        </is>
      </c>
      <c r="U1179" s="73" t="n">
        <v>1497.41</v>
      </c>
      <c r="W1179" s="73" t="n">
        <v>0</v>
      </c>
      <c r="X1179" s="72" t="inlineStr">
        <is>
          <t>NF 576439-1 MILKA</t>
        </is>
      </c>
      <c r="Z1179" s="59">
        <f>IF($T1179="","",IFERROR(INDEX('Resumo Grupos'!$AC$3:$AC$200,MATCH($T1179,'Resumo Grupos'!$AB$3:$AB$200,0)),"n/d"))</f>
        <v/>
      </c>
      <c r="AA1179" s="59">
        <f>IF($T1179="","",IF(COUNTIF('Resumo Grupos'!$AE$3:$AE$40,$T1179)&gt;0,"NAO","SIM"))</f>
        <v/>
      </c>
    </row>
    <row r="1180" ht="72.75" customHeight="1" s="60">
      <c r="A1180" s="70" t="n">
        <v>1</v>
      </c>
      <c r="B1180" s="71" t="n">
        <v>46198</v>
      </c>
      <c r="C1180" s="71" t="n">
        <v>46218</v>
      </c>
      <c r="D1180" s="70" t="n">
        <v>1637</v>
      </c>
      <c r="E1180" s="72" t="inlineStr">
        <is>
          <t>ATACADAO S.A.</t>
        </is>
      </c>
      <c r="F1180" s="70" t="n">
        <v>24</v>
      </c>
      <c r="G1180" s="72" t="inlineStr">
        <is>
          <t>Compra a Prazo - Boletos</t>
        </is>
      </c>
      <c r="H1180" s="70" t="n">
        <v>2110101</v>
      </c>
      <c r="I1180" s="72" t="inlineStr">
        <is>
          <t>FORNECEDORES DE MERCADORIA</t>
        </is>
      </c>
      <c r="J1180" s="70" t="n">
        <v>1305288</v>
      </c>
      <c r="L1180" s="70" t="n">
        <v>1895762</v>
      </c>
      <c r="M1180" s="72" t="inlineStr">
        <is>
          <t>01</t>
        </is>
      </c>
      <c r="N1180" s="72" t="inlineStr">
        <is>
          <t>NFE</t>
        </is>
      </c>
      <c r="P1180" s="70" t="n">
        <v>103</v>
      </c>
      <c r="Q1180" s="72" t="inlineStr">
        <is>
          <t>MILKA FRANCIS</t>
        </is>
      </c>
      <c r="R1180" s="72" t="inlineStr">
        <is>
          <t>ESTOQUE DE MERCADORIAS</t>
        </is>
      </c>
      <c r="S1180" s="70" t="n">
        <v>1130101</v>
      </c>
      <c r="T1180" s="72" t="inlineStr">
        <is>
          <t>MERCADORIAS P/REVENDA</t>
        </is>
      </c>
      <c r="U1180" s="73" t="n">
        <v>1686.85</v>
      </c>
      <c r="W1180" s="73" t="n">
        <v>0</v>
      </c>
      <c r="X1180" s="72" t="inlineStr">
        <is>
          <t>NF 1895762 - MILKA</t>
        </is>
      </c>
      <c r="Z1180" s="59">
        <f>IF($T1180="","",IFERROR(INDEX('Resumo Grupos'!$AC$3:$AC$200,MATCH($T1180,'Resumo Grupos'!$AB$3:$AB$200,0)),"n/d"))</f>
        <v/>
      </c>
      <c r="AA1180" s="59">
        <f>IF($T1180="","",IF(COUNTIF('Resumo Grupos'!$AE$3:$AE$40,$T1180)&gt;0,"NAO","SIM"))</f>
        <v/>
      </c>
    </row>
    <row r="1181" ht="72.75" customHeight="1" s="60">
      <c r="A1181" s="70" t="n">
        <v>1</v>
      </c>
      <c r="B1181" s="71" t="n">
        <v>46198</v>
      </c>
      <c r="C1181" s="71" t="n">
        <v>46218</v>
      </c>
      <c r="D1181" s="70" t="n">
        <v>1637</v>
      </c>
      <c r="E1181" s="72" t="inlineStr">
        <is>
          <t>ATACADAO S.A.</t>
        </is>
      </c>
      <c r="F1181" s="70" t="n">
        <v>24</v>
      </c>
      <c r="G1181" s="72" t="inlineStr">
        <is>
          <t>Compra a Prazo - Boletos</t>
        </is>
      </c>
      <c r="H1181" s="70" t="n">
        <v>2110101</v>
      </c>
      <c r="I1181" s="72" t="inlineStr">
        <is>
          <t>FORNECEDORES DE MERCADORIA</t>
        </is>
      </c>
      <c r="J1181" s="70" t="n">
        <v>1305735</v>
      </c>
      <c r="L1181" s="70" t="n">
        <v>1895809</v>
      </c>
      <c r="M1181" s="72" t="inlineStr">
        <is>
          <t>01</t>
        </is>
      </c>
      <c r="N1181" s="72" t="inlineStr">
        <is>
          <t>NFE</t>
        </is>
      </c>
      <c r="P1181" s="70" t="n">
        <v>103</v>
      </c>
      <c r="Q1181" s="72" t="inlineStr">
        <is>
          <t>MILKA FRANCIS</t>
        </is>
      </c>
      <c r="R1181" s="72" t="inlineStr">
        <is>
          <t>ESTOQUE DE MERCADORIAS</t>
        </is>
      </c>
      <c r="S1181" s="70" t="n">
        <v>1130101</v>
      </c>
      <c r="T1181" s="72" t="inlineStr">
        <is>
          <t>MERCADORIAS P/REVENDA</t>
        </is>
      </c>
      <c r="U1181" s="73" t="n">
        <v>519.51</v>
      </c>
      <c r="W1181" s="73" t="n">
        <v>0</v>
      </c>
      <c r="X1181" s="72" t="inlineStr">
        <is>
          <t>NF 1895809 - MILKA</t>
        </is>
      </c>
      <c r="Z1181" s="59">
        <f>IF($T1181="","",IFERROR(INDEX('Resumo Grupos'!$AC$3:$AC$200,MATCH($T1181,'Resumo Grupos'!$AB$3:$AB$200,0)),"n/d"))</f>
        <v/>
      </c>
      <c r="AA1181" s="59">
        <f>IF($T1181="","",IF(COUNTIF('Resumo Grupos'!$AE$3:$AE$40,$T1181)&gt;0,"NAO","SIM"))</f>
        <v/>
      </c>
    </row>
    <row r="1182" ht="45.75" customHeight="1" s="60">
      <c r="A1182" s="70" t="n">
        <v>1</v>
      </c>
      <c r="B1182" s="71" t="n">
        <v>46199</v>
      </c>
      <c r="C1182" s="71" t="n">
        <v>46218</v>
      </c>
      <c r="D1182" s="70" t="n">
        <v>1613</v>
      </c>
      <c r="E1182" s="72" t="inlineStr">
        <is>
          <t>BRF S A</t>
        </is>
      </c>
      <c r="F1182" s="70" t="n">
        <v>24</v>
      </c>
      <c r="G1182" s="72" t="inlineStr">
        <is>
          <t>Compra a Prazo - Boletos</t>
        </is>
      </c>
      <c r="H1182" s="70" t="n">
        <v>2110101</v>
      </c>
      <c r="I1182" s="72" t="inlineStr">
        <is>
          <t>FORNECEDORES DE MERCADORIA</t>
        </is>
      </c>
      <c r="J1182" s="70" t="n">
        <v>1309293</v>
      </c>
      <c r="L1182" s="70" t="n">
        <v>1600670</v>
      </c>
      <c r="M1182" s="72" t="inlineStr">
        <is>
          <t>02</t>
        </is>
      </c>
      <c r="N1182" s="72" t="inlineStr">
        <is>
          <t>NFE</t>
        </is>
      </c>
      <c r="P1182" s="70" t="n">
        <v>103</v>
      </c>
      <c r="Q1182" s="72" t="inlineStr">
        <is>
          <t>MILKA FRANCIS</t>
        </is>
      </c>
      <c r="R1182" s="72" t="inlineStr">
        <is>
          <t>ESTOQUE DE MERCADORIAS</t>
        </is>
      </c>
      <c r="S1182" s="70" t="n">
        <v>1130101</v>
      </c>
      <c r="T1182" s="72" t="inlineStr">
        <is>
          <t>MERCADORIAS P/REVENDA</t>
        </is>
      </c>
      <c r="U1182" s="73" t="n">
        <v>6714.04</v>
      </c>
      <c r="W1182" s="73" t="n">
        <v>0</v>
      </c>
      <c r="X1182" s="72" t="inlineStr">
        <is>
          <t>NF 1600670-02 MILKA</t>
        </is>
      </c>
      <c r="Z1182" s="59">
        <f>IF($T1182="","",IFERROR(INDEX('Resumo Grupos'!$AC$3:$AC$200,MATCH($T1182,'Resumo Grupos'!$AB$3:$AB$200,0)),"n/d"))</f>
        <v/>
      </c>
      <c r="AA1182" s="59">
        <f>IF($T1182="","",IF(COUNTIF('Resumo Grupos'!$AE$3:$AE$40,$T1182)&gt;0,"NAO","SIM"))</f>
        <v/>
      </c>
    </row>
    <row r="1183" ht="27.75" customHeight="1" s="60">
      <c r="A1183" s="70" t="n">
        <v>1</v>
      </c>
      <c r="B1183" s="71" t="n">
        <v>46202</v>
      </c>
      <c r="C1183" s="71" t="n">
        <v>46218</v>
      </c>
      <c r="D1183" s="70" t="n">
        <v>10009</v>
      </c>
      <c r="E1183" s="72" t="inlineStr">
        <is>
          <t>NESTLÉ BRASIL LTDA.</t>
        </is>
      </c>
      <c r="F1183" s="70" t="n">
        <v>24</v>
      </c>
      <c r="G1183" s="72" t="inlineStr">
        <is>
          <t>Compra a Prazo - Boletos</t>
        </is>
      </c>
      <c r="H1183" s="70" t="n">
        <v>2110101</v>
      </c>
      <c r="I1183" s="72" t="inlineStr">
        <is>
          <t>FORNECEDORES DE MERCADORIA</t>
        </is>
      </c>
      <c r="J1183" s="70" t="n">
        <v>1324513</v>
      </c>
      <c r="L1183" s="70" t="n">
        <v>1420457</v>
      </c>
      <c r="M1183" s="72" t="inlineStr">
        <is>
          <t>01</t>
        </is>
      </c>
      <c r="N1183" s="72" t="inlineStr">
        <is>
          <t>NFE</t>
        </is>
      </c>
      <c r="P1183" s="70" t="n">
        <v>103</v>
      </c>
      <c r="Q1183" s="72" t="inlineStr">
        <is>
          <t>MILKA FRANCIS</t>
        </is>
      </c>
      <c r="R1183" s="72" t="inlineStr">
        <is>
          <t>ESTOQUE DE MERCADORIAS</t>
        </is>
      </c>
      <c r="S1183" s="70" t="n">
        <v>1130101</v>
      </c>
      <c r="T1183" s="72" t="inlineStr">
        <is>
          <t>MERCADORIAS P/REVENDA</t>
        </is>
      </c>
      <c r="U1183" s="73" t="n">
        <v>1345.38</v>
      </c>
      <c r="W1183" s="73" t="n">
        <v>0</v>
      </c>
      <c r="X1183" s="72" t="inlineStr">
        <is>
          <t>NF 1420457 - MILKA</t>
        </is>
      </c>
      <c r="Z1183" s="59">
        <f>IF($T1183="","",IFERROR(INDEX('Resumo Grupos'!$AC$3:$AC$200,MATCH($T1183,'Resumo Grupos'!$AB$3:$AB$200,0)),"n/d"))</f>
        <v/>
      </c>
      <c r="AA1183" s="59">
        <f>IF($T1183="","",IF(COUNTIF('Resumo Grupos'!$AE$3:$AE$40,$T1183)&gt;0,"NAO","SIM"))</f>
        <v/>
      </c>
    </row>
    <row r="1184" ht="36.75" customHeight="1" s="60">
      <c r="A1184" s="70" t="n">
        <v>1</v>
      </c>
      <c r="B1184" s="71" t="n">
        <v>46204</v>
      </c>
      <c r="C1184" s="71" t="n">
        <v>46218</v>
      </c>
      <c r="D1184" s="70" t="n">
        <v>1699</v>
      </c>
      <c r="E1184" s="72" t="inlineStr">
        <is>
          <t>L S M COMERCIO DE ALIMENTOS E NAVEGACAO</t>
        </is>
      </c>
      <c r="F1184" s="70" t="n">
        <v>24</v>
      </c>
      <c r="G1184" s="72" t="inlineStr">
        <is>
          <t>Compra a Prazo - Boletos</t>
        </is>
      </c>
      <c r="H1184" s="70" t="n">
        <v>2110101</v>
      </c>
      <c r="I1184" s="72" t="inlineStr">
        <is>
          <t>FORNECEDORES DE MERCADORIA</t>
        </is>
      </c>
      <c r="J1184" s="70" t="n">
        <v>1334706</v>
      </c>
      <c r="L1184" s="70" t="n">
        <v>306058</v>
      </c>
      <c r="M1184" s="72" t="inlineStr">
        <is>
          <t>01</t>
        </is>
      </c>
      <c r="N1184" s="72" t="inlineStr">
        <is>
          <t>NFE</t>
        </is>
      </c>
      <c r="P1184" s="70" t="n">
        <v>103</v>
      </c>
      <c r="Q1184" s="72" t="inlineStr">
        <is>
          <t>MILKA FRANCIS</t>
        </is>
      </c>
      <c r="R1184" s="72" t="inlineStr">
        <is>
          <t>ESTOQUE DE MERCADORIAS</t>
        </is>
      </c>
      <c r="S1184" s="70" t="n">
        <v>1130101</v>
      </c>
      <c r="T1184" s="72" t="inlineStr">
        <is>
          <t>MERCADORIAS P/REVENDA</t>
        </is>
      </c>
      <c r="U1184" s="73" t="n">
        <v>1613.93</v>
      </c>
      <c r="W1184" s="73" t="n">
        <v>0</v>
      </c>
      <c r="X1184" s="72" t="inlineStr">
        <is>
          <t>NF 306058-1 MILKA</t>
        </is>
      </c>
      <c r="Z1184" s="59">
        <f>IF($T1184="","",IFERROR(INDEX('Resumo Grupos'!$AC$3:$AC$200,MATCH($T1184,'Resumo Grupos'!$AB$3:$AB$200,0)),"n/d"))</f>
        <v/>
      </c>
      <c r="AA1184" s="59">
        <f>IF($T1184="","",IF(COUNTIF('Resumo Grupos'!$AE$3:$AE$40,$T1184)&gt;0,"NAO","SIM"))</f>
        <v/>
      </c>
    </row>
    <row r="1185" ht="45.75" customHeight="1" s="60">
      <c r="A1185" s="70" t="n">
        <v>1</v>
      </c>
      <c r="B1185" s="71" t="n">
        <v>46207</v>
      </c>
      <c r="C1185" s="71" t="n">
        <v>46218</v>
      </c>
      <c r="D1185" s="70" t="n">
        <v>1613</v>
      </c>
      <c r="E1185" s="72" t="inlineStr">
        <is>
          <t>BRF S A</t>
        </is>
      </c>
      <c r="F1185" s="70" t="n">
        <v>24</v>
      </c>
      <c r="G1185" s="72" t="inlineStr">
        <is>
          <t>Compra a Prazo - Boletos</t>
        </is>
      </c>
      <c r="H1185" s="70" t="n">
        <v>2110101</v>
      </c>
      <c r="I1185" s="72" t="inlineStr">
        <is>
          <t>FORNECEDORES DE MERCADORIA</t>
        </is>
      </c>
      <c r="J1185" s="70" t="n">
        <v>1348480</v>
      </c>
      <c r="L1185" s="70" t="n">
        <v>1603506</v>
      </c>
      <c r="M1185" s="72" t="inlineStr">
        <is>
          <t>01</t>
        </is>
      </c>
      <c r="N1185" s="72" t="inlineStr">
        <is>
          <t>NFE</t>
        </is>
      </c>
      <c r="P1185" s="70" t="n">
        <v>103</v>
      </c>
      <c r="Q1185" s="72" t="inlineStr">
        <is>
          <t>MILKA FRANCIS</t>
        </is>
      </c>
      <c r="R1185" s="72" t="inlineStr">
        <is>
          <t>ESTOQUE DE MERCADORIAS</t>
        </is>
      </c>
      <c r="S1185" s="70" t="n">
        <v>1130101</v>
      </c>
      <c r="T1185" s="72" t="inlineStr">
        <is>
          <t>MERCADORIAS P/REVENDA</t>
        </is>
      </c>
      <c r="U1185" s="73" t="n">
        <v>2368.52</v>
      </c>
      <c r="W1185" s="73" t="n">
        <v>0</v>
      </c>
      <c r="X1185" s="72" t="inlineStr">
        <is>
          <t>NF 1603506-01/02 MILKA</t>
        </is>
      </c>
      <c r="Z1185" s="59">
        <f>IF($T1185="","",IFERROR(INDEX('Resumo Grupos'!$AC$3:$AC$200,MATCH($T1185,'Resumo Grupos'!$AB$3:$AB$200,0)),"n/d"))</f>
        <v/>
      </c>
      <c r="AA1185" s="59">
        <f>IF($T1185="","",IF(COUNTIF('Resumo Grupos'!$AE$3:$AE$40,$T1185)&gt;0,"NAO","SIM"))</f>
        <v/>
      </c>
    </row>
    <row r="1186" ht="45.75" customHeight="1" s="60">
      <c r="A1186" s="70" t="n">
        <v>1</v>
      </c>
      <c r="B1186" s="71" t="n">
        <v>46213</v>
      </c>
      <c r="C1186" s="71" t="n">
        <v>46218</v>
      </c>
      <c r="D1186" s="70" t="n">
        <v>513</v>
      </c>
      <c r="E1186" s="72" t="inlineStr">
        <is>
          <t>NET CLARO</t>
        </is>
      </c>
      <c r="F1186" s="70" t="n">
        <v>24</v>
      </c>
      <c r="G1186" s="72" t="inlineStr">
        <is>
          <t>Compra a Prazo - Boletos</t>
        </is>
      </c>
      <c r="H1186" s="70" t="n">
        <v>1110202</v>
      </c>
      <c r="I1186" s="72" t="inlineStr">
        <is>
          <t>BANCO ITAU Lj 01</t>
        </is>
      </c>
      <c r="J1186" s="70" t="n">
        <v>1377363</v>
      </c>
      <c r="L1186" s="70" t="n">
        <v>567701</v>
      </c>
      <c r="M1186" s="72" t="inlineStr">
        <is>
          <t>01</t>
        </is>
      </c>
      <c r="N1186" s="72" t="inlineStr">
        <is>
          <t>AVU</t>
        </is>
      </c>
      <c r="P1186" s="70" t="n">
        <v>101</v>
      </c>
      <c r="Q1186" s="72" t="inlineStr">
        <is>
          <t>KEILA LIMA</t>
        </is>
      </c>
      <c r="R1186" s="72" t="inlineStr">
        <is>
          <t>DESPESAS COM PESSOAL</t>
        </is>
      </c>
      <c r="S1186" s="70" t="n">
        <v>4210315</v>
      </c>
      <c r="T1186" s="72" t="inlineStr">
        <is>
          <t>INTERNET</t>
        </is>
      </c>
      <c r="U1186" s="73" t="n">
        <v>167.03</v>
      </c>
      <c r="W1186" s="73" t="n">
        <v>0</v>
      </c>
      <c r="X1186" s="72" t="inlineStr">
        <is>
          <t>INTERNET MO1 CLARO - KEILA</t>
        </is>
      </c>
      <c r="Z1186" s="59">
        <f>IF($T1186="","",IFERROR(INDEX('Resumo Grupos'!$AC$3:$AC$200,MATCH($T1186,'Resumo Grupos'!$AB$3:$AB$200,0)),"n/d"))</f>
        <v/>
      </c>
      <c r="AA1186" s="59">
        <f>IF($T1186="","",IF(COUNTIF('Resumo Grupos'!$AE$3:$AE$40,$T1186)&gt;0,"NAO","SIM"))</f>
        <v/>
      </c>
    </row>
    <row r="1187" ht="45.75" customHeight="1" s="60">
      <c r="A1187" s="70" t="n">
        <v>1</v>
      </c>
      <c r="B1187" s="71" t="n">
        <v>46214</v>
      </c>
      <c r="C1187" s="71" t="n">
        <v>46218</v>
      </c>
      <c r="D1187" s="70" t="n">
        <v>10009</v>
      </c>
      <c r="E1187" s="72" t="inlineStr">
        <is>
          <t>NESTLÉ BRASIL LTDA.</t>
        </is>
      </c>
      <c r="F1187" s="70" t="n">
        <v>24</v>
      </c>
      <c r="G1187" s="72" t="inlineStr">
        <is>
          <t>Compra a Prazo - Boletos</t>
        </is>
      </c>
      <c r="H1187" s="70" t="n">
        <v>1110202</v>
      </c>
      <c r="I1187" s="72" t="inlineStr">
        <is>
          <t>BANCO ITAU Lj 01</t>
        </is>
      </c>
      <c r="J1187" s="70" t="n">
        <v>1381864</v>
      </c>
      <c r="L1187" s="70" t="n">
        <v>1425692</v>
      </c>
      <c r="M1187" s="72" t="inlineStr">
        <is>
          <t>01</t>
        </is>
      </c>
      <c r="N1187" s="72" t="inlineStr">
        <is>
          <t>AVU</t>
        </is>
      </c>
      <c r="P1187" s="70" t="n">
        <v>103</v>
      </c>
      <c r="Q1187" s="72" t="inlineStr">
        <is>
          <t>MILKA FRANCIS</t>
        </is>
      </c>
      <c r="R1187" s="72" t="inlineStr">
        <is>
          <t>ESTOQUE DE MERCADORIAS</t>
        </is>
      </c>
      <c r="S1187" s="70" t="n">
        <v>1130101</v>
      </c>
      <c r="T1187" s="72" t="inlineStr">
        <is>
          <t>MERCADORIAS P/REVENDA</t>
        </is>
      </c>
      <c r="U1187" s="73" t="n">
        <v>1083.11</v>
      </c>
      <c r="W1187" s="73" t="n">
        <v>0</v>
      </c>
      <c r="X1187" s="72" t="inlineStr">
        <is>
          <t>NF1425692-01/03 MILKA</t>
        </is>
      </c>
      <c r="Z1187" s="59">
        <f>IF($T1187="","",IFERROR(INDEX('Resumo Grupos'!$AC$3:$AC$200,MATCH($T1187,'Resumo Grupos'!$AB$3:$AB$200,0)),"n/d"))</f>
        <v/>
      </c>
      <c r="AA1187" s="59">
        <f>IF($T1187="","",IF(COUNTIF('Resumo Grupos'!$AE$3:$AE$40,$T1187)&gt;0,"NAO","SIM"))</f>
        <v/>
      </c>
    </row>
    <row r="1188" ht="45.75" customHeight="1" s="60">
      <c r="A1188" s="70" t="n">
        <v>1</v>
      </c>
      <c r="B1188" s="71" t="n">
        <v>46217</v>
      </c>
      <c r="C1188" s="71" t="n">
        <v>46218</v>
      </c>
      <c r="D1188" s="70" t="n">
        <v>33</v>
      </c>
      <c r="E1188" s="72" t="inlineStr">
        <is>
          <t>RENATO DE O AZEVEDO E CIA LTDA - EPP</t>
        </is>
      </c>
      <c r="F1188" s="70" t="n">
        <v>34</v>
      </c>
      <c r="G1188" s="72" t="inlineStr">
        <is>
          <t>Transferencia Pix</t>
        </is>
      </c>
      <c r="H1188" s="70" t="n">
        <v>2110101</v>
      </c>
      <c r="I1188" s="72" t="inlineStr">
        <is>
          <t>FORNECEDORES DE MERCADORIA</t>
        </is>
      </c>
      <c r="J1188" s="70" t="n">
        <v>1397765</v>
      </c>
      <c r="L1188" s="70" t="n">
        <v>5295</v>
      </c>
      <c r="M1188" s="72" t="inlineStr">
        <is>
          <t>01</t>
        </is>
      </c>
      <c r="N1188" s="72" t="inlineStr">
        <is>
          <t>NFE</t>
        </is>
      </c>
      <c r="P1188" s="70" t="n">
        <v>104</v>
      </c>
      <c r="Q1188" s="72" t="inlineStr">
        <is>
          <t>DEBORA COSTA</t>
        </is>
      </c>
      <c r="R1188" s="72" t="inlineStr">
        <is>
          <t>ESTOQUE DE MERCADORIAS</t>
        </is>
      </c>
      <c r="S1188" s="70" t="n">
        <v>1130101</v>
      </c>
      <c r="T1188" s="72" t="inlineStr">
        <is>
          <t>MERCADORIAS P/REVENDA</t>
        </is>
      </c>
      <c r="U1188" s="73" t="n">
        <v>1592</v>
      </c>
      <c r="W1188" s="73" t="n">
        <v>0</v>
      </c>
      <c r="X1188" s="72" t="inlineStr">
        <is>
          <t>FEIRA DO CARLOS - DEBORA</t>
        </is>
      </c>
      <c r="Z1188" s="59">
        <f>IF($T1188="","",IFERROR(INDEX('Resumo Grupos'!$AC$3:$AC$200,MATCH($T1188,'Resumo Grupos'!$AB$3:$AB$200,0)),"n/d"))</f>
        <v/>
      </c>
      <c r="AA1188" s="59">
        <f>IF($T1188="","",IF(COUNTIF('Resumo Grupos'!$AE$3:$AE$40,$T1188)&gt;0,"NAO","SIM"))</f>
        <v/>
      </c>
    </row>
    <row r="1189" ht="45.75" customHeight="1" s="60">
      <c r="A1189" s="70" t="n">
        <v>1</v>
      </c>
      <c r="B1189" s="71" t="n">
        <v>46217</v>
      </c>
      <c r="C1189" s="71" t="n">
        <v>46218</v>
      </c>
      <c r="D1189" s="70" t="n">
        <v>1615</v>
      </c>
      <c r="E1189" s="72" t="inlineStr">
        <is>
          <t>COMERCIO E TRANSPORTE BRANDAO LTDA</t>
        </is>
      </c>
      <c r="F1189" s="70" t="n">
        <v>34</v>
      </c>
      <c r="G1189" s="72" t="inlineStr">
        <is>
          <t>Transferencia Pix</t>
        </is>
      </c>
      <c r="H1189" s="70" t="n">
        <v>2110101</v>
      </c>
      <c r="I1189" s="72" t="inlineStr">
        <is>
          <t>FORNECEDORES DE MERCADORIA</t>
        </is>
      </c>
      <c r="J1189" s="70" t="n">
        <v>1397792</v>
      </c>
      <c r="L1189" s="70" t="n">
        <v>14862</v>
      </c>
      <c r="M1189" s="72" t="inlineStr">
        <is>
          <t>01</t>
        </is>
      </c>
      <c r="N1189" s="72" t="inlineStr">
        <is>
          <t>NFE</t>
        </is>
      </c>
      <c r="P1189" s="70" t="n">
        <v>104</v>
      </c>
      <c r="Q1189" s="72" t="inlineStr">
        <is>
          <t>DEBORA COSTA</t>
        </is>
      </c>
      <c r="R1189" s="72" t="inlineStr">
        <is>
          <t>ESTOQUE DE MERCADORIAS</t>
        </is>
      </c>
      <c r="S1189" s="70" t="n">
        <v>1130101</v>
      </c>
      <c r="T1189" s="72" t="inlineStr">
        <is>
          <t>MERCADORIAS P/REVENDA</t>
        </is>
      </c>
      <c r="U1189" s="73" t="n">
        <v>340</v>
      </c>
      <c r="W1189" s="73" t="n">
        <v>0</v>
      </c>
      <c r="X1189" s="72" t="inlineStr">
        <is>
          <t>NF 14862 - DEBORA</t>
        </is>
      </c>
      <c r="Z1189" s="59">
        <f>IF($T1189="","",IFERROR(INDEX('Resumo Grupos'!$AC$3:$AC$200,MATCH($T1189,'Resumo Grupos'!$AB$3:$AB$200,0)),"n/d"))</f>
        <v/>
      </c>
      <c r="AA1189" s="59">
        <f>IF($T1189="","",IF(COUNTIF('Resumo Grupos'!$AE$3:$AE$40,$T1189)&gt;0,"NAO","SIM"))</f>
        <v/>
      </c>
    </row>
    <row r="1190" ht="45.75" customHeight="1" s="60">
      <c r="A1190" s="70" t="n">
        <v>1</v>
      </c>
      <c r="B1190" s="71" t="n">
        <v>46211</v>
      </c>
      <c r="C1190" s="71" t="n">
        <v>46218</v>
      </c>
      <c r="D1190" s="70" t="n">
        <v>1683</v>
      </c>
      <c r="E1190" s="72" t="inlineStr">
        <is>
          <t>EDSON AGUIAR DE SOUZA</t>
        </is>
      </c>
      <c r="F1190" s="70" t="n">
        <v>34</v>
      </c>
      <c r="G1190" s="72" t="inlineStr">
        <is>
          <t>Transferencia Pix</t>
        </is>
      </c>
      <c r="H1190" s="70" t="n">
        <v>2110101</v>
      </c>
      <c r="I1190" s="72" t="inlineStr">
        <is>
          <t>FORNECEDORES DE MERCADORIA</t>
        </is>
      </c>
      <c r="J1190" s="70" t="n">
        <v>1398444</v>
      </c>
      <c r="L1190" s="70" t="n">
        <v>1644513</v>
      </c>
      <c r="M1190" s="72" t="inlineStr">
        <is>
          <t>01</t>
        </is>
      </c>
      <c r="N1190" s="72" t="inlineStr">
        <is>
          <t>NFE</t>
        </is>
      </c>
      <c r="P1190" s="70" t="n">
        <v>104</v>
      </c>
      <c r="Q1190" s="72" t="inlineStr">
        <is>
          <t>DEBORA COSTA</t>
        </is>
      </c>
      <c r="R1190" s="72" t="inlineStr">
        <is>
          <t>ESTOQUE DE MERCADORIAS</t>
        </is>
      </c>
      <c r="S1190" s="70" t="n">
        <v>1130101</v>
      </c>
      <c r="T1190" s="72" t="inlineStr">
        <is>
          <t>MERCADORIAS P/REVENDA</t>
        </is>
      </c>
      <c r="U1190" s="73" t="n">
        <v>261</v>
      </c>
      <c r="W1190" s="73" t="n">
        <v>0</v>
      </c>
      <c r="X1190" s="72" t="inlineStr">
        <is>
          <t>NF 1644513 - DEBORA</t>
        </is>
      </c>
      <c r="Z1190" s="59">
        <f>IF($T1190="","",IFERROR(INDEX('Resumo Grupos'!$AC$3:$AC$200,MATCH($T1190,'Resumo Grupos'!$AB$3:$AB$200,0)),"n/d"))</f>
        <v/>
      </c>
      <c r="AA1190" s="59">
        <f>IF($T1190="","",IF(COUNTIF('Resumo Grupos'!$AE$3:$AE$40,$T1190)&gt;0,"NAO","SIM"))</f>
        <v/>
      </c>
    </row>
    <row r="1191" ht="45.75" customHeight="1" s="60">
      <c r="A1191" s="70" t="n">
        <v>1</v>
      </c>
      <c r="B1191" s="71" t="n">
        <v>46211</v>
      </c>
      <c r="C1191" s="71" t="n">
        <v>46218</v>
      </c>
      <c r="D1191" s="70" t="n">
        <v>1683</v>
      </c>
      <c r="E1191" s="72" t="inlineStr">
        <is>
          <t>EDSON AGUIAR DE SOUZA</t>
        </is>
      </c>
      <c r="F1191" s="70" t="n">
        <v>34</v>
      </c>
      <c r="G1191" s="72" t="inlineStr">
        <is>
          <t>Transferencia Pix</t>
        </is>
      </c>
      <c r="H1191" s="70" t="n">
        <v>2110101</v>
      </c>
      <c r="I1191" s="72" t="inlineStr">
        <is>
          <t>FORNECEDORES DE MERCADORIA</t>
        </is>
      </c>
      <c r="J1191" s="70" t="n">
        <v>1398464</v>
      </c>
      <c r="L1191" s="70" t="n">
        <v>1644532</v>
      </c>
      <c r="M1191" s="72" t="inlineStr">
        <is>
          <t>01</t>
        </is>
      </c>
      <c r="N1191" s="72" t="inlineStr">
        <is>
          <t>NFE</t>
        </is>
      </c>
      <c r="P1191" s="70" t="n">
        <v>104</v>
      </c>
      <c r="Q1191" s="72" t="inlineStr">
        <is>
          <t>DEBORA COSTA</t>
        </is>
      </c>
      <c r="R1191" s="72" t="inlineStr">
        <is>
          <t>ESTOQUE DE MERCADORIAS</t>
        </is>
      </c>
      <c r="S1191" s="70" t="n">
        <v>1130101</v>
      </c>
      <c r="T1191" s="72" t="inlineStr">
        <is>
          <t>MERCADORIAS P/REVENDA</t>
        </is>
      </c>
      <c r="U1191" s="73" t="n">
        <v>315</v>
      </c>
      <c r="W1191" s="73" t="n">
        <v>0</v>
      </c>
      <c r="X1191" s="72" t="inlineStr">
        <is>
          <t>NF 1644532 - DEBORA</t>
        </is>
      </c>
      <c r="Z1191" s="59">
        <f>IF($T1191="","",IFERROR(INDEX('Resumo Grupos'!$AC$3:$AC$200,MATCH($T1191,'Resumo Grupos'!$AB$3:$AB$200,0)),"n/d"))</f>
        <v/>
      </c>
      <c r="AA1191" s="59">
        <f>IF($T1191="","",IF(COUNTIF('Resumo Grupos'!$AE$3:$AE$40,$T1191)&gt;0,"NAO","SIM"))</f>
        <v/>
      </c>
    </row>
    <row r="1192" ht="27.75" customHeight="1" s="60">
      <c r="A1192" s="70" t="n">
        <v>1</v>
      </c>
      <c r="B1192" s="71" t="n">
        <v>46211</v>
      </c>
      <c r="C1192" s="71" t="n">
        <v>46218</v>
      </c>
      <c r="D1192" s="70" t="n">
        <v>1683</v>
      </c>
      <c r="E1192" s="72" t="inlineStr">
        <is>
          <t>EDSON AGUIAR DE SOUZA</t>
        </is>
      </c>
      <c r="F1192" s="70" t="n">
        <v>34</v>
      </c>
      <c r="G1192" s="72" t="inlineStr">
        <is>
          <t>Transferencia Pix</t>
        </is>
      </c>
      <c r="H1192" s="70" t="n">
        <v>2110101</v>
      </c>
      <c r="I1192" s="72" t="inlineStr">
        <is>
          <t>FORNECEDORES DE MERCADORIA</t>
        </is>
      </c>
      <c r="J1192" s="70" t="n">
        <v>1398528</v>
      </c>
      <c r="L1192" s="70" t="n">
        <v>1644528</v>
      </c>
      <c r="M1192" s="72" t="inlineStr">
        <is>
          <t>01</t>
        </is>
      </c>
      <c r="N1192" s="72" t="inlineStr">
        <is>
          <t>NFE</t>
        </is>
      </c>
      <c r="P1192" s="70" t="n">
        <v>104</v>
      </c>
      <c r="Q1192" s="72" t="inlineStr">
        <is>
          <t>DEBORA COSTA</t>
        </is>
      </c>
      <c r="R1192" s="72" t="inlineStr">
        <is>
          <t>ESTOQUE DE MERCADORIAS</t>
        </is>
      </c>
      <c r="S1192" s="70" t="n">
        <v>1130101</v>
      </c>
      <c r="T1192" s="72" t="inlineStr">
        <is>
          <t>MERCADORIAS P/REVENDA</t>
        </is>
      </c>
      <c r="U1192" s="73" t="n">
        <v>210</v>
      </c>
      <c r="W1192" s="73" t="n">
        <v>0</v>
      </c>
      <c r="X1192" s="72" t="inlineStr">
        <is>
          <t>NF 1644528 - DEBORA</t>
        </is>
      </c>
      <c r="Z1192" s="59">
        <f>IF($T1192="","",IFERROR(INDEX('Resumo Grupos'!$AC$3:$AC$200,MATCH($T1192,'Resumo Grupos'!$AB$3:$AB$200,0)),"n/d"))</f>
        <v/>
      </c>
      <c r="AA1192" s="59">
        <f>IF($T1192="","",IF(COUNTIF('Resumo Grupos'!$AE$3:$AE$40,$T1192)&gt;0,"NAO","SIM"))</f>
        <v/>
      </c>
    </row>
    <row r="1193" ht="54.75" customHeight="1" s="60">
      <c r="A1193" s="70" t="n">
        <v>1</v>
      </c>
      <c r="B1193" s="71" t="n">
        <v>46211</v>
      </c>
      <c r="C1193" s="71" t="n">
        <v>46218</v>
      </c>
      <c r="D1193" s="70" t="n">
        <v>1683</v>
      </c>
      <c r="E1193" s="72" t="inlineStr">
        <is>
          <t>EDSON AGUIAR DE SOUZA</t>
        </is>
      </c>
      <c r="F1193" s="70" t="n">
        <v>34</v>
      </c>
      <c r="G1193" s="72" t="inlineStr">
        <is>
          <t>Transferencia Pix</t>
        </is>
      </c>
      <c r="H1193" s="70" t="n">
        <v>2110101</v>
      </c>
      <c r="I1193" s="72" t="inlineStr">
        <is>
          <t>FORNECEDORES DE MERCADORIA</t>
        </is>
      </c>
      <c r="J1193" s="70" t="n">
        <v>1398549</v>
      </c>
      <c r="L1193" s="70" t="n">
        <v>1644535</v>
      </c>
      <c r="M1193" s="72" t="inlineStr">
        <is>
          <t>01</t>
        </is>
      </c>
      <c r="N1193" s="72" t="inlineStr">
        <is>
          <t>NFE</t>
        </is>
      </c>
      <c r="P1193" s="70" t="n">
        <v>104</v>
      </c>
      <c r="Q1193" s="72" t="inlineStr">
        <is>
          <t>DEBORA COSTA</t>
        </is>
      </c>
      <c r="R1193" s="72" t="inlineStr">
        <is>
          <t>ESTOQUE DE MERCADORIAS</t>
        </is>
      </c>
      <c r="S1193" s="70" t="n">
        <v>1130101</v>
      </c>
      <c r="T1193" s="72" t="inlineStr">
        <is>
          <t>MERCADORIAS P/REVENDA</t>
        </is>
      </c>
      <c r="U1193" s="73" t="n">
        <v>210</v>
      </c>
      <c r="W1193" s="73" t="n">
        <v>0</v>
      </c>
      <c r="X1193" s="72" t="inlineStr">
        <is>
          <t>NF 1644535 - DEBORA</t>
        </is>
      </c>
      <c r="Z1193" s="59">
        <f>IF($T1193="","",IFERROR(INDEX('Resumo Grupos'!$AC$3:$AC$200,MATCH($T1193,'Resumo Grupos'!$AB$3:$AB$200,0)),"n/d"))</f>
        <v/>
      </c>
      <c r="AA1193" s="59">
        <f>IF($T1193="","",IF(COUNTIF('Resumo Grupos'!$AE$3:$AE$40,$T1193)&gt;0,"NAO","SIM"))</f>
        <v/>
      </c>
    </row>
    <row r="1194" ht="54.75" customHeight="1" s="60">
      <c r="A1194" s="70" t="n">
        <v>1</v>
      </c>
      <c r="B1194" s="71" t="n">
        <v>46211</v>
      </c>
      <c r="C1194" s="71" t="n">
        <v>46218</v>
      </c>
      <c r="D1194" s="70" t="n">
        <v>1683</v>
      </c>
      <c r="E1194" s="72" t="inlineStr">
        <is>
          <t>EDSON AGUIAR DE SOUZA</t>
        </is>
      </c>
      <c r="F1194" s="70" t="n">
        <v>34</v>
      </c>
      <c r="G1194" s="72" t="inlineStr">
        <is>
          <t>Transferencia Pix</t>
        </is>
      </c>
      <c r="H1194" s="70" t="n">
        <v>2110101</v>
      </c>
      <c r="I1194" s="72" t="inlineStr">
        <is>
          <t>FORNECEDORES DE MERCADORIA</t>
        </is>
      </c>
      <c r="J1194" s="70" t="n">
        <v>1401380</v>
      </c>
      <c r="L1194" s="70" t="n">
        <v>1644538</v>
      </c>
      <c r="M1194" s="72" t="inlineStr">
        <is>
          <t>01</t>
        </is>
      </c>
      <c r="N1194" s="72" t="inlineStr">
        <is>
          <t>NFE</t>
        </is>
      </c>
      <c r="P1194" s="70" t="n">
        <v>104</v>
      </c>
      <c r="Q1194" s="72" t="inlineStr">
        <is>
          <t>DEBORA COSTA</t>
        </is>
      </c>
      <c r="R1194" s="72" t="inlineStr">
        <is>
          <t>ESTOQUE DE MERCADORIAS</t>
        </is>
      </c>
      <c r="S1194" s="70" t="n">
        <v>1130101</v>
      </c>
      <c r="T1194" s="72" t="inlineStr">
        <is>
          <t>MERCADORIAS P/REVENDA</t>
        </is>
      </c>
      <c r="U1194" s="73" t="n">
        <v>246</v>
      </c>
      <c r="W1194" s="73" t="n">
        <v>0</v>
      </c>
      <c r="X1194" s="72" t="inlineStr">
        <is>
          <t>NF 1644538 - DEBORA</t>
        </is>
      </c>
      <c r="Z1194" s="59">
        <f>IF($T1194="","",IFERROR(INDEX('Resumo Grupos'!$AC$3:$AC$200,MATCH($T1194,'Resumo Grupos'!$AB$3:$AB$200,0)),"n/d"))</f>
        <v/>
      </c>
      <c r="AA1194" s="59">
        <f>IF($T1194="","",IF(COUNTIF('Resumo Grupos'!$AE$3:$AE$40,$T1194)&gt;0,"NAO","SIM"))</f>
        <v/>
      </c>
    </row>
    <row r="1195" ht="72.75" customHeight="1" s="60">
      <c r="A1195" s="70" t="n">
        <v>1</v>
      </c>
      <c r="B1195" s="71" t="n">
        <v>46213</v>
      </c>
      <c r="C1195" s="71" t="n">
        <v>46218</v>
      </c>
      <c r="D1195" s="70" t="n">
        <v>1683</v>
      </c>
      <c r="E1195" s="72" t="inlineStr">
        <is>
          <t>EDSON AGUIAR DE SOUZA</t>
        </is>
      </c>
      <c r="F1195" s="70" t="n">
        <v>34</v>
      </c>
      <c r="G1195" s="72" t="inlineStr">
        <is>
          <t>Transferencia Pix</t>
        </is>
      </c>
      <c r="H1195" s="70" t="n">
        <v>2110101</v>
      </c>
      <c r="I1195" s="72" t="inlineStr">
        <is>
          <t>FORNECEDORES DE MERCADORIA</t>
        </is>
      </c>
      <c r="J1195" s="70" t="n">
        <v>1401410</v>
      </c>
      <c r="L1195" s="70" t="n">
        <v>1645598</v>
      </c>
      <c r="M1195" s="72" t="inlineStr">
        <is>
          <t>01</t>
        </is>
      </c>
      <c r="N1195" s="72" t="inlineStr">
        <is>
          <t>NFE</t>
        </is>
      </c>
      <c r="P1195" s="70" t="n">
        <v>104</v>
      </c>
      <c r="Q1195" s="72" t="inlineStr">
        <is>
          <t>DEBORA COSTA</t>
        </is>
      </c>
      <c r="R1195" s="72" t="inlineStr">
        <is>
          <t>ESTOQUE DE MERCADORIAS</t>
        </is>
      </c>
      <c r="S1195" s="70" t="n">
        <v>1130101</v>
      </c>
      <c r="T1195" s="72" t="inlineStr">
        <is>
          <t>MERCADORIAS P/REVENDA</t>
        </is>
      </c>
      <c r="U1195" s="73" t="n">
        <v>90</v>
      </c>
      <c r="W1195" s="73" t="n">
        <v>0</v>
      </c>
      <c r="X1195" s="72" t="inlineStr">
        <is>
          <t>NF 1645598 - DEBORA</t>
        </is>
      </c>
      <c r="Z1195" s="59">
        <f>IF($T1195="","",IFERROR(INDEX('Resumo Grupos'!$AC$3:$AC$200,MATCH($T1195,'Resumo Grupos'!$AB$3:$AB$200,0)),"n/d"))</f>
        <v/>
      </c>
      <c r="AA1195" s="59">
        <f>IF($T1195="","",IF(COUNTIF('Resumo Grupos'!$AE$3:$AE$40,$T1195)&gt;0,"NAO","SIM"))</f>
        <v/>
      </c>
    </row>
    <row r="1196" ht="63.75" customHeight="1" s="60">
      <c r="A1196" s="70" t="n">
        <v>1</v>
      </c>
      <c r="B1196" s="71" t="n">
        <v>46217</v>
      </c>
      <c r="C1196" s="71" t="n">
        <v>46218</v>
      </c>
      <c r="D1196" s="70" t="n">
        <v>1683</v>
      </c>
      <c r="E1196" s="72" t="inlineStr">
        <is>
          <t>EDSON AGUIAR DE SOUZA</t>
        </is>
      </c>
      <c r="F1196" s="70" t="n">
        <v>34</v>
      </c>
      <c r="G1196" s="72" t="inlineStr">
        <is>
          <t>Transferencia Pix</t>
        </is>
      </c>
      <c r="H1196" s="70" t="n">
        <v>2110101</v>
      </c>
      <c r="I1196" s="72" t="inlineStr">
        <is>
          <t>FORNECEDORES DE MERCADORIA</t>
        </is>
      </c>
      <c r="J1196" s="70" t="n">
        <v>1401472</v>
      </c>
      <c r="L1196" s="70" t="n">
        <v>1647045</v>
      </c>
      <c r="M1196" s="72" t="inlineStr">
        <is>
          <t>01</t>
        </is>
      </c>
      <c r="N1196" s="72" t="inlineStr">
        <is>
          <t>NFE</t>
        </is>
      </c>
      <c r="P1196" s="70" t="n">
        <v>104</v>
      </c>
      <c r="Q1196" s="72" t="inlineStr">
        <is>
          <t>DEBORA COSTA</t>
        </is>
      </c>
      <c r="R1196" s="72" t="inlineStr">
        <is>
          <t>ESTOQUE DE MERCADORIAS</t>
        </is>
      </c>
      <c r="S1196" s="70" t="n">
        <v>1130101</v>
      </c>
      <c r="T1196" s="72" t="inlineStr">
        <is>
          <t>MERCADORIAS P/REVENDA</t>
        </is>
      </c>
      <c r="U1196" s="73" t="n">
        <v>261</v>
      </c>
      <c r="W1196" s="73" t="n">
        <v>0</v>
      </c>
      <c r="X1196" s="72" t="inlineStr">
        <is>
          <t>NF 1647045 - DEBORA</t>
        </is>
      </c>
      <c r="Z1196" s="59">
        <f>IF($T1196="","",IFERROR(INDEX('Resumo Grupos'!$AC$3:$AC$200,MATCH($T1196,'Resumo Grupos'!$AB$3:$AB$200,0)),"n/d"))</f>
        <v/>
      </c>
      <c r="AA1196" s="59">
        <f>IF($T1196="","",IF(COUNTIF('Resumo Grupos'!$AE$3:$AE$40,$T1196)&gt;0,"NAO","SIM"))</f>
        <v/>
      </c>
    </row>
    <row r="1197" ht="63.75" customHeight="1" s="60">
      <c r="A1197" s="70" t="n">
        <v>1</v>
      </c>
      <c r="B1197" s="71" t="n">
        <v>46217</v>
      </c>
      <c r="C1197" s="71" t="n">
        <v>46218</v>
      </c>
      <c r="D1197" s="70" t="n">
        <v>1683</v>
      </c>
      <c r="E1197" s="72" t="inlineStr">
        <is>
          <t>EDSON AGUIAR DE SOUZA</t>
        </is>
      </c>
      <c r="F1197" s="70" t="n">
        <v>34</v>
      </c>
      <c r="G1197" s="72" t="inlineStr">
        <is>
          <t>Transferencia Pix</t>
        </is>
      </c>
      <c r="H1197" s="70" t="n">
        <v>2110101</v>
      </c>
      <c r="I1197" s="72" t="inlineStr">
        <is>
          <t>FORNECEDORES DE MERCADORIA</t>
        </is>
      </c>
      <c r="J1197" s="70" t="n">
        <v>1401502</v>
      </c>
      <c r="L1197" s="70" t="n">
        <v>1647051</v>
      </c>
      <c r="M1197" s="72" t="inlineStr">
        <is>
          <t>01</t>
        </is>
      </c>
      <c r="N1197" s="72" t="inlineStr">
        <is>
          <t>NFE</t>
        </is>
      </c>
      <c r="P1197" s="70" t="n">
        <v>104</v>
      </c>
      <c r="Q1197" s="72" t="inlineStr">
        <is>
          <t>DEBORA COSTA</t>
        </is>
      </c>
      <c r="R1197" s="72" t="inlineStr">
        <is>
          <t>ESTOQUE DE MERCADORIAS</t>
        </is>
      </c>
      <c r="S1197" s="70" t="n">
        <v>1130101</v>
      </c>
      <c r="T1197" s="72" t="inlineStr">
        <is>
          <t>MERCADORIAS P/REVENDA</t>
        </is>
      </c>
      <c r="U1197" s="73" t="n">
        <v>210</v>
      </c>
      <c r="W1197" s="73" t="n">
        <v>0</v>
      </c>
      <c r="X1197" s="72" t="inlineStr">
        <is>
          <t>NF 1647051 - DEBORA</t>
        </is>
      </c>
      <c r="Z1197" s="59">
        <f>IF($T1197="","",IFERROR(INDEX('Resumo Grupos'!$AC$3:$AC$200,MATCH($T1197,'Resumo Grupos'!$AB$3:$AB$200,0)),"n/d"))</f>
        <v/>
      </c>
      <c r="AA1197" s="59">
        <f>IF($T1197="","",IF(COUNTIF('Resumo Grupos'!$AE$3:$AE$40,$T1197)&gt;0,"NAO","SIM"))</f>
        <v/>
      </c>
    </row>
    <row r="1198" ht="36.75" customHeight="1" s="60">
      <c r="A1198" s="70" t="n">
        <v>1</v>
      </c>
      <c r="B1198" s="71" t="n">
        <v>46218</v>
      </c>
      <c r="C1198" s="71" t="n">
        <v>46218</v>
      </c>
      <c r="D1198" s="70" t="n">
        <v>1683</v>
      </c>
      <c r="E1198" s="72" t="inlineStr">
        <is>
          <t>EDSON AGUIAR DE SOUZA</t>
        </is>
      </c>
      <c r="F1198" s="70" t="n">
        <v>34</v>
      </c>
      <c r="G1198" s="72" t="inlineStr">
        <is>
          <t>Transferencia Pix</t>
        </is>
      </c>
      <c r="H1198" s="70" t="n">
        <v>2110101</v>
      </c>
      <c r="I1198" s="72" t="inlineStr">
        <is>
          <t>FORNECEDORES DE MERCADORIA</t>
        </is>
      </c>
      <c r="J1198" s="70" t="n">
        <v>1406042</v>
      </c>
      <c r="L1198" s="70" t="n">
        <v>1647750</v>
      </c>
      <c r="M1198" s="72" t="inlineStr">
        <is>
          <t>01</t>
        </is>
      </c>
      <c r="N1198" s="72" t="inlineStr">
        <is>
          <t>NFE</t>
        </is>
      </c>
      <c r="P1198" s="70" t="n">
        <v>104</v>
      </c>
      <c r="Q1198" s="72" t="inlineStr">
        <is>
          <t>DEBORA COSTA</t>
        </is>
      </c>
      <c r="R1198" s="72" t="inlineStr">
        <is>
          <t>ESTOQUE DE MERCADORIAS</t>
        </is>
      </c>
      <c r="S1198" s="70" t="n">
        <v>1130101</v>
      </c>
      <c r="T1198" s="72" t="inlineStr">
        <is>
          <t>MERCADORIAS P/REVENDA</t>
        </is>
      </c>
      <c r="U1198" s="73" t="n">
        <v>225</v>
      </c>
      <c r="W1198" s="73" t="n">
        <v>0</v>
      </c>
      <c r="X1198" s="72" t="inlineStr">
        <is>
          <t>NF 1647750 - DEBORA</t>
        </is>
      </c>
      <c r="Z1198" s="59">
        <f>IF($T1198="","",IFERROR(INDEX('Resumo Grupos'!$AC$3:$AC$200,MATCH($T1198,'Resumo Grupos'!$AB$3:$AB$200,0)),"n/d"))</f>
        <v/>
      </c>
      <c r="AA1198" s="59">
        <f>IF($T1198="","",IF(COUNTIF('Resumo Grupos'!$AE$3:$AE$40,$T1198)&gt;0,"NAO","SIM"))</f>
        <v/>
      </c>
    </row>
    <row r="1199" ht="36.75" customHeight="1" s="60">
      <c r="A1199" s="70" t="n">
        <v>1</v>
      </c>
      <c r="B1199" s="71" t="n">
        <v>46218</v>
      </c>
      <c r="C1199" s="71" t="n">
        <v>46218</v>
      </c>
      <c r="D1199" s="70" t="n">
        <v>1137</v>
      </c>
      <c r="E1199" s="72" t="inlineStr">
        <is>
          <t xml:space="preserve">FOLHA DE PAGAMENTO </t>
        </is>
      </c>
      <c r="F1199" s="70" t="n">
        <v>34</v>
      </c>
      <c r="G1199" s="72" t="inlineStr">
        <is>
          <t>Transferencia Pix</t>
        </is>
      </c>
      <c r="H1199" s="70" t="n">
        <v>1110202</v>
      </c>
      <c r="I1199" s="72" t="inlineStr">
        <is>
          <t>BANCO ITAU Lj 01</t>
        </is>
      </c>
      <c r="J1199" s="70" t="n">
        <v>1406880</v>
      </c>
      <c r="L1199" s="70" t="n">
        <v>579953</v>
      </c>
      <c r="M1199" s="72" t="inlineStr">
        <is>
          <t>01</t>
        </is>
      </c>
      <c r="N1199" s="72" t="inlineStr">
        <is>
          <t>AVU</t>
        </is>
      </c>
      <c r="P1199" s="70" t="n">
        <v>101</v>
      </c>
      <c r="Q1199" s="72" t="inlineStr">
        <is>
          <t>KEILA LIMA</t>
        </is>
      </c>
      <c r="R1199" s="72" t="inlineStr">
        <is>
          <t>DESPESAS COM PESSOAL</t>
        </is>
      </c>
      <c r="S1199" s="70" t="n">
        <v>4210301</v>
      </c>
      <c r="T1199" s="72" t="inlineStr">
        <is>
          <t>SALARIOS</t>
        </is>
      </c>
      <c r="U1199" s="73" t="n">
        <v>5500</v>
      </c>
      <c r="W1199" s="73" t="n">
        <v>0</v>
      </c>
      <c r="X1199" s="72" t="inlineStr">
        <is>
          <t>PAG ADIANT SALARIO 07/26 MO1/ESCR - KEILA</t>
        </is>
      </c>
      <c r="Z1199" s="59">
        <f>IF($T1199="","",IFERROR(INDEX('Resumo Grupos'!$AC$3:$AC$200,MATCH($T1199,'Resumo Grupos'!$AB$3:$AB$200,0)),"n/d"))</f>
        <v/>
      </c>
      <c r="AA1199" s="59">
        <f>IF($T1199="","",IF(COUNTIF('Resumo Grupos'!$AE$3:$AE$40,$T1199)&gt;0,"NAO","SIM"))</f>
        <v/>
      </c>
    </row>
    <row r="1200" ht="36.75" customHeight="1" s="60">
      <c r="A1200" s="70" t="n">
        <v>1</v>
      </c>
      <c r="B1200" s="71" t="n">
        <v>46218</v>
      </c>
      <c r="C1200" s="71" t="n">
        <v>46218</v>
      </c>
      <c r="D1200" s="70" t="n">
        <v>1061</v>
      </c>
      <c r="E1200" s="72" t="inlineStr">
        <is>
          <t xml:space="preserve">ELIANA SILVA DE OLIVEIRA </t>
        </is>
      </c>
      <c r="F1200" s="70" t="n">
        <v>34</v>
      </c>
      <c r="G1200" s="72" t="inlineStr">
        <is>
          <t>Transferencia Pix</t>
        </is>
      </c>
      <c r="H1200" s="70" t="n">
        <v>1110202</v>
      </c>
      <c r="I1200" s="72" t="inlineStr">
        <is>
          <t>BANCO ITAU Lj 01</t>
        </is>
      </c>
      <c r="J1200" s="70" t="n">
        <v>1449315</v>
      </c>
      <c r="L1200" s="70" t="n">
        <v>596195</v>
      </c>
      <c r="M1200" s="72" t="inlineStr">
        <is>
          <t>01</t>
        </is>
      </c>
      <c r="N1200" s="72" t="inlineStr">
        <is>
          <t>AVU</t>
        </is>
      </c>
      <c r="P1200" s="70" t="n">
        <v>102</v>
      </c>
      <c r="Q1200" s="72" t="inlineStr">
        <is>
          <t>ANDREZA ANDRADE</t>
        </is>
      </c>
      <c r="R1200" s="72" t="inlineStr">
        <is>
          <t>DESPESAS NAO OPERACIONAIS</t>
        </is>
      </c>
      <c r="S1200" s="70" t="n">
        <v>4220199</v>
      </c>
      <c r="T1200" s="72" t="inlineStr">
        <is>
          <t>PAGAMENTOS OUTROS NAO OPERACIONAIS</t>
        </is>
      </c>
      <c r="U1200" s="73" t="n">
        <v>810</v>
      </c>
      <c r="W1200" s="73" t="n">
        <v>0</v>
      </c>
      <c r="X1200" s="72" t="inlineStr">
        <is>
          <t>DINHEIRO TROCADO -ANDREZA</t>
        </is>
      </c>
      <c r="Z1200" s="59">
        <f>IF($T1200="","",IFERROR(INDEX('Resumo Grupos'!$AC$3:$AC$200,MATCH($T1200,'Resumo Grupos'!$AB$3:$AB$200,0)),"n/d"))</f>
        <v/>
      </c>
      <c r="AA1200" s="59">
        <f>IF($T1200="","",IF(COUNTIF('Resumo Grupos'!$AE$3:$AE$40,$T1200)&gt;0,"NAO","SIM"))</f>
        <v/>
      </c>
    </row>
    <row r="1201" ht="36.75" customHeight="1" s="60">
      <c r="A1201" s="70" t="n">
        <v>1</v>
      </c>
      <c r="B1201" s="71" t="n">
        <v>46228</v>
      </c>
      <c r="C1201" s="71" t="n">
        <v>46218</v>
      </c>
      <c r="D1201" s="70" t="n">
        <v>1137</v>
      </c>
      <c r="E1201" s="72" t="inlineStr">
        <is>
          <t xml:space="preserve">FOLHA DE PAGAMENTO </t>
        </is>
      </c>
      <c r="F1201" s="70" t="n">
        <v>34</v>
      </c>
      <c r="G1201" s="72" t="inlineStr">
        <is>
          <t>Transferencia Pix</t>
        </is>
      </c>
      <c r="H1201" s="70" t="n">
        <v>1110202</v>
      </c>
      <c r="I1201" s="72" t="inlineStr">
        <is>
          <t>BANCO ITAU Lj 01</t>
        </is>
      </c>
      <c r="J1201" s="70" t="n">
        <v>1207186</v>
      </c>
      <c r="L1201" s="70" t="n">
        <v>502160</v>
      </c>
      <c r="M1201" s="72" t="inlineStr">
        <is>
          <t>02</t>
        </is>
      </c>
      <c r="N1201" s="72" t="inlineStr">
        <is>
          <t>AVU</t>
        </is>
      </c>
      <c r="P1201" s="70" t="n">
        <v>102</v>
      </c>
      <c r="Q1201" s="72" t="inlineStr">
        <is>
          <t>ANDREZA ANDRADE</t>
        </is>
      </c>
      <c r="R1201" s="72" t="inlineStr">
        <is>
          <t>DESPESAS COM PESSOAL</t>
        </is>
      </c>
      <c r="S1201" s="70" t="n">
        <v>4210309</v>
      </c>
      <c r="T1201" s="72" t="inlineStr">
        <is>
          <t>VALE TRANSPORTE</t>
        </is>
      </c>
      <c r="U1201" s="73" t="n">
        <v>260</v>
      </c>
      <c r="W1201" s="73" t="n">
        <v>0</v>
      </c>
      <c r="X1201" s="72" t="inlineStr">
        <is>
          <t xml:space="preserve">VALE TRANSP MO1 - </t>
        </is>
      </c>
      <c r="Z1201" s="59">
        <f>IF($T1201="","",IFERROR(INDEX('Resumo Grupos'!$AC$3:$AC$200,MATCH($T1201,'Resumo Grupos'!$AB$3:$AB$200,0)),"n/d"))</f>
        <v/>
      </c>
      <c r="AA1201" s="59">
        <f>IF($T1201="","",IF(COUNTIF('Resumo Grupos'!$AE$3:$AE$40,$T1201)&gt;0,"NAO","SIM"))</f>
        <v/>
      </c>
    </row>
    <row r="1202" ht="36.75" customHeight="1" s="60">
      <c r="A1202" s="70" t="n">
        <v>1</v>
      </c>
      <c r="B1202" s="71" t="n">
        <v>46142</v>
      </c>
      <c r="C1202" s="71" t="n">
        <v>46219</v>
      </c>
      <c r="D1202" s="70" t="n">
        <v>607</v>
      </c>
      <c r="E1202" s="72" t="inlineStr">
        <is>
          <t>PRIME PET DISTRIBUIDORA LTDA</t>
        </is>
      </c>
      <c r="F1202" s="70" t="n">
        <v>24</v>
      </c>
      <c r="G1202" s="72" t="inlineStr">
        <is>
          <t>Compra a Prazo - Boletos</t>
        </is>
      </c>
      <c r="H1202" s="70" t="n">
        <v>2110101</v>
      </c>
      <c r="I1202" s="72" t="inlineStr">
        <is>
          <t>FORNECEDORES DE MERCADORIA</t>
        </is>
      </c>
      <c r="J1202" s="70" t="n">
        <v>1028242</v>
      </c>
      <c r="L1202" s="70" t="n">
        <v>10262</v>
      </c>
      <c r="M1202" s="72" t="inlineStr">
        <is>
          <t>06</t>
        </is>
      </c>
      <c r="N1202" s="72" t="inlineStr">
        <is>
          <t>NFE</t>
        </is>
      </c>
      <c r="P1202" s="70" t="n">
        <v>103</v>
      </c>
      <c r="Q1202" s="72" t="inlineStr">
        <is>
          <t>MILKA FRANCIS</t>
        </is>
      </c>
      <c r="R1202" s="72" t="inlineStr">
        <is>
          <t>ESTOQUE DE MERCADORIAS</t>
        </is>
      </c>
      <c r="S1202" s="70" t="n">
        <v>1130101</v>
      </c>
      <c r="T1202" s="72" t="inlineStr">
        <is>
          <t>MERCADORIAS P/REVENDA</t>
        </is>
      </c>
      <c r="U1202" s="73" t="n">
        <v>1488.3</v>
      </c>
      <c r="W1202" s="73" t="n">
        <v>0</v>
      </c>
      <c r="X1202" s="72" t="inlineStr">
        <is>
          <t>NF 10262 -06/09 MILKA</t>
        </is>
      </c>
      <c r="Z1202" s="59">
        <f>IF($T1202="","",IFERROR(INDEX('Resumo Grupos'!$AC$3:$AC$200,MATCH($T1202,'Resumo Grupos'!$AB$3:$AB$200,0)),"n/d"))</f>
        <v/>
      </c>
      <c r="AA1202" s="59">
        <f>IF($T1202="","",IF(COUNTIF('Resumo Grupos'!$AE$3:$AE$40,$T1202)&gt;0,"NAO","SIM"))</f>
        <v/>
      </c>
    </row>
    <row r="1203" ht="36.75" customHeight="1" s="60">
      <c r="A1203" s="70" t="n">
        <v>1</v>
      </c>
      <c r="B1203" s="71" t="n">
        <v>46189</v>
      </c>
      <c r="C1203" s="71" t="n">
        <v>46219</v>
      </c>
      <c r="D1203" s="70" t="n">
        <v>10012</v>
      </c>
      <c r="E1203" s="72" t="inlineStr">
        <is>
          <t>SB COMERCIO LTDA</t>
        </is>
      </c>
      <c r="F1203" s="70" t="n">
        <v>24</v>
      </c>
      <c r="G1203" s="72" t="inlineStr">
        <is>
          <t>Compra a Prazo - Boletos</t>
        </is>
      </c>
      <c r="H1203" s="70" t="n">
        <v>2110101</v>
      </c>
      <c r="I1203" s="72" t="inlineStr">
        <is>
          <t>FORNECEDORES DE MERCADORIA</t>
        </is>
      </c>
      <c r="J1203" s="70" t="n">
        <v>1261364</v>
      </c>
      <c r="L1203" s="70" t="n">
        <v>1957890</v>
      </c>
      <c r="M1203" s="72" t="inlineStr">
        <is>
          <t>03</t>
        </is>
      </c>
      <c r="N1203" s="72" t="inlineStr">
        <is>
          <t>NFE</t>
        </is>
      </c>
      <c r="P1203" s="70" t="n">
        <v>103</v>
      </c>
      <c r="Q1203" s="72" t="inlineStr">
        <is>
          <t>MILKA FRANCIS</t>
        </is>
      </c>
      <c r="R1203" s="72" t="inlineStr">
        <is>
          <t>ESTOQUE DE MERCADORIAS</t>
        </is>
      </c>
      <c r="S1203" s="70" t="n">
        <v>1130101</v>
      </c>
      <c r="T1203" s="72" t="inlineStr">
        <is>
          <t>MERCADORIAS P/REVENDA</t>
        </is>
      </c>
      <c r="U1203" s="73" t="n">
        <v>3937.78</v>
      </c>
      <c r="W1203" s="73" t="n">
        <v>0</v>
      </c>
      <c r="X1203" s="72" t="inlineStr">
        <is>
          <t>NF 1957890-3 MILKA</t>
        </is>
      </c>
      <c r="Z1203" s="59">
        <f>IF($T1203="","",IFERROR(INDEX('Resumo Grupos'!$AC$3:$AC$200,MATCH($T1203,'Resumo Grupos'!$AB$3:$AB$200,0)),"n/d"))</f>
        <v/>
      </c>
      <c r="AA1203" s="59">
        <f>IF($T1203="","",IF(COUNTIF('Resumo Grupos'!$AE$3:$AE$40,$T1203)&gt;0,"NAO","SIM"))</f>
        <v/>
      </c>
    </row>
    <row r="1204" ht="36.75" customHeight="1" s="60">
      <c r="A1204" s="70" t="n">
        <v>1</v>
      </c>
      <c r="B1204" s="71" t="n">
        <v>46189</v>
      </c>
      <c r="C1204" s="71" t="n">
        <v>46219</v>
      </c>
      <c r="D1204" s="70" t="n">
        <v>1659</v>
      </c>
      <c r="E1204" s="72" t="inlineStr">
        <is>
          <t>ADRIANA DISTRIBUIDORA DE PRODUTOS ALIMEN</t>
        </is>
      </c>
      <c r="F1204" s="70" t="n">
        <v>24</v>
      </c>
      <c r="G1204" s="72" t="inlineStr">
        <is>
          <t>Compra a Prazo - Boletos</t>
        </is>
      </c>
      <c r="H1204" s="70" t="n">
        <v>2110101</v>
      </c>
      <c r="I1204" s="72" t="inlineStr">
        <is>
          <t>FORNECEDORES DE MERCADORIA</t>
        </is>
      </c>
      <c r="J1204" s="70" t="n">
        <v>1262158</v>
      </c>
      <c r="L1204" s="70" t="n">
        <v>878848</v>
      </c>
      <c r="M1204" s="72" t="inlineStr">
        <is>
          <t>03</t>
        </is>
      </c>
      <c r="N1204" s="72" t="inlineStr">
        <is>
          <t>NFE</t>
        </is>
      </c>
      <c r="P1204" s="70" t="n">
        <v>103</v>
      </c>
      <c r="Q1204" s="72" t="inlineStr">
        <is>
          <t>MILKA FRANCIS</t>
        </is>
      </c>
      <c r="R1204" s="72" t="inlineStr">
        <is>
          <t>ESTOQUE DE MERCADORIAS</t>
        </is>
      </c>
      <c r="S1204" s="70" t="n">
        <v>1130101</v>
      </c>
      <c r="T1204" s="72" t="inlineStr">
        <is>
          <t>MERCADORIAS P/REVENDA</t>
        </is>
      </c>
      <c r="U1204" s="73" t="n">
        <v>1402.88</v>
      </c>
      <c r="W1204" s="73" t="n">
        <v>0</v>
      </c>
      <c r="X1204" s="72" t="inlineStr">
        <is>
          <t>NF 878848-3 MILKA</t>
        </is>
      </c>
      <c r="Z1204" s="59">
        <f>IF($T1204="","",IFERROR(INDEX('Resumo Grupos'!$AC$3:$AC$200,MATCH($T1204,'Resumo Grupos'!$AB$3:$AB$200,0)),"n/d"))</f>
        <v/>
      </c>
      <c r="AA1204" s="59">
        <f>IF($T1204="","",IF(COUNTIF('Resumo Grupos'!$AE$3:$AE$40,$T1204)&gt;0,"NAO","SIM"))</f>
        <v/>
      </c>
    </row>
    <row r="1205" ht="36.75" customHeight="1" s="60">
      <c r="A1205" s="70" t="n">
        <v>1</v>
      </c>
      <c r="B1205" s="71" t="n">
        <v>46190</v>
      </c>
      <c r="C1205" s="71" t="n">
        <v>46219</v>
      </c>
      <c r="D1205" s="70" t="n">
        <v>1699</v>
      </c>
      <c r="E1205" s="72" t="inlineStr">
        <is>
          <t>L S M COMERCIO DE ALIMENTOS E NAVEGACAO</t>
        </is>
      </c>
      <c r="F1205" s="70" t="n">
        <v>24</v>
      </c>
      <c r="G1205" s="72" t="inlineStr">
        <is>
          <t>Compra a Prazo - Boletos</t>
        </is>
      </c>
      <c r="H1205" s="70" t="n">
        <v>2110101</v>
      </c>
      <c r="I1205" s="72" t="inlineStr">
        <is>
          <t>FORNECEDORES DE MERCADORIA</t>
        </is>
      </c>
      <c r="J1205" s="70" t="n">
        <v>1265932</v>
      </c>
      <c r="L1205" s="70" t="n">
        <v>304776</v>
      </c>
      <c r="M1205" s="72" t="inlineStr">
        <is>
          <t>03</t>
        </is>
      </c>
      <c r="N1205" s="72" t="inlineStr">
        <is>
          <t>NFE</t>
        </is>
      </c>
      <c r="P1205" s="70" t="n">
        <v>103</v>
      </c>
      <c r="Q1205" s="72" t="inlineStr">
        <is>
          <t>MILKA FRANCIS</t>
        </is>
      </c>
      <c r="R1205" s="72" t="inlineStr">
        <is>
          <t>ESTOQUE DE MERCADORIAS</t>
        </is>
      </c>
      <c r="S1205" s="70" t="n">
        <v>1130101</v>
      </c>
      <c r="T1205" s="72" t="inlineStr">
        <is>
          <t>MERCADORIAS P/REVENDA</t>
        </is>
      </c>
      <c r="U1205" s="73" t="n">
        <v>1568.1</v>
      </c>
      <c r="W1205" s="73" t="n">
        <v>0</v>
      </c>
      <c r="X1205" s="72" t="inlineStr">
        <is>
          <t>NF 304776 -3 MILKA</t>
        </is>
      </c>
      <c r="Z1205" s="59">
        <f>IF($T1205="","",IFERROR(INDEX('Resumo Grupos'!$AC$3:$AC$200,MATCH($T1205,'Resumo Grupos'!$AB$3:$AB$200,0)),"n/d"))</f>
        <v/>
      </c>
      <c r="AA1205" s="59">
        <f>IF($T1205="","",IF(COUNTIF('Resumo Grupos'!$AE$3:$AE$40,$T1205)&gt;0,"NAO","SIM"))</f>
        <v/>
      </c>
    </row>
    <row r="1206" ht="54.75" customHeight="1" s="60">
      <c r="A1206" s="70" t="n">
        <v>1</v>
      </c>
      <c r="B1206" s="71" t="n">
        <v>46191</v>
      </c>
      <c r="C1206" s="71" t="n">
        <v>46219</v>
      </c>
      <c r="D1206" s="70" t="n">
        <v>1608</v>
      </c>
      <c r="E1206" s="72" t="inlineStr">
        <is>
          <t>DISTRIBUIDORA LOPES LTDA</t>
        </is>
      </c>
      <c r="F1206" s="70" t="n">
        <v>24</v>
      </c>
      <c r="G1206" s="72" t="inlineStr">
        <is>
          <t>Compra a Prazo - Boletos</t>
        </is>
      </c>
      <c r="H1206" s="70" t="n">
        <v>2110101</v>
      </c>
      <c r="I1206" s="72" t="inlineStr">
        <is>
          <t>FORNECEDORES DE MERCADORIA</t>
        </is>
      </c>
      <c r="J1206" s="70" t="n">
        <v>1269204</v>
      </c>
      <c r="L1206" s="70" t="n">
        <v>1675757</v>
      </c>
      <c r="M1206" s="72" t="inlineStr">
        <is>
          <t>02</t>
        </is>
      </c>
      <c r="N1206" s="72" t="inlineStr">
        <is>
          <t>NFE</t>
        </is>
      </c>
      <c r="P1206" s="70" t="n">
        <v>103</v>
      </c>
      <c r="Q1206" s="72" t="inlineStr">
        <is>
          <t>MILKA FRANCIS</t>
        </is>
      </c>
      <c r="R1206" s="72" t="inlineStr">
        <is>
          <t>ESTOQUE DE MERCADORIAS</t>
        </is>
      </c>
      <c r="S1206" s="70" t="n">
        <v>1130101</v>
      </c>
      <c r="T1206" s="72" t="inlineStr">
        <is>
          <t>MERCADORIAS P/REVENDA</t>
        </is>
      </c>
      <c r="U1206" s="73" t="n">
        <v>1279.76</v>
      </c>
      <c r="W1206" s="73" t="n">
        <v>0</v>
      </c>
      <c r="X1206" s="72" t="inlineStr">
        <is>
          <t>NF 1675757-2 MILKA</t>
        </is>
      </c>
      <c r="Z1206" s="59">
        <f>IF($T1206="","",IFERROR(INDEX('Resumo Grupos'!$AC$3:$AC$200,MATCH($T1206,'Resumo Grupos'!$AB$3:$AB$200,0)),"n/d"))</f>
        <v/>
      </c>
      <c r="AA1206" s="59">
        <f>IF($T1206="","",IF(COUNTIF('Resumo Grupos'!$AE$3:$AE$40,$T1206)&gt;0,"NAO","SIM"))</f>
        <v/>
      </c>
    </row>
    <row r="1207" ht="54.75" customHeight="1" s="60">
      <c r="A1207" s="70" t="n">
        <v>1</v>
      </c>
      <c r="B1207" s="71" t="n">
        <v>46192</v>
      </c>
      <c r="C1207" s="71" t="n">
        <v>46219</v>
      </c>
      <c r="D1207" s="70" t="n">
        <v>957</v>
      </c>
      <c r="E1207" s="72" t="inlineStr">
        <is>
          <t>FUNNY PET DISTRIBUIDORA DE ALIMENTOS PAR</t>
        </is>
      </c>
      <c r="F1207" s="70" t="n">
        <v>24</v>
      </c>
      <c r="G1207" s="72" t="inlineStr">
        <is>
          <t>Compra a Prazo - Boletos</t>
        </is>
      </c>
      <c r="H1207" s="70" t="n">
        <v>2110101</v>
      </c>
      <c r="I1207" s="72" t="inlineStr">
        <is>
          <t>FORNECEDORES DE MERCADORIA</t>
        </is>
      </c>
      <c r="J1207" s="70" t="n">
        <v>1272947</v>
      </c>
      <c r="L1207" s="70" t="n">
        <v>20352</v>
      </c>
      <c r="M1207" s="72" t="inlineStr">
        <is>
          <t>02</t>
        </is>
      </c>
      <c r="N1207" s="72" t="inlineStr">
        <is>
          <t>NFE</t>
        </is>
      </c>
      <c r="P1207" s="70" t="n">
        <v>103</v>
      </c>
      <c r="Q1207" s="72" t="inlineStr">
        <is>
          <t>MILKA FRANCIS</t>
        </is>
      </c>
      <c r="R1207" s="72" t="inlineStr">
        <is>
          <t>ESTOQUE DE MERCADORIAS</t>
        </is>
      </c>
      <c r="S1207" s="70" t="n">
        <v>1130101</v>
      </c>
      <c r="T1207" s="72" t="inlineStr">
        <is>
          <t>MERCADORIAS P/REVENDA</t>
        </is>
      </c>
      <c r="U1207" s="73" t="n">
        <v>1263.3</v>
      </c>
      <c r="W1207" s="73" t="n">
        <v>0</v>
      </c>
      <c r="X1207" s="72" t="inlineStr">
        <is>
          <t>NF 20352-2 MILKA</t>
        </is>
      </c>
      <c r="Z1207" s="59">
        <f>IF($T1207="","",IFERROR(INDEX('Resumo Grupos'!$AC$3:$AC$200,MATCH($T1207,'Resumo Grupos'!$AB$3:$AB$200,0)),"n/d"))</f>
        <v/>
      </c>
      <c r="AA1207" s="59">
        <f>IF($T1207="","",IF(COUNTIF('Resumo Grupos'!$AE$3:$AE$40,$T1207)&gt;0,"NAO","SIM"))</f>
        <v/>
      </c>
    </row>
    <row r="1208" ht="54.75" customHeight="1" s="60">
      <c r="A1208" s="70" t="n">
        <v>1</v>
      </c>
      <c r="B1208" s="71" t="n">
        <v>46193</v>
      </c>
      <c r="C1208" s="71" t="n">
        <v>46219</v>
      </c>
      <c r="D1208" s="70" t="n">
        <v>1657</v>
      </c>
      <c r="E1208" s="72" t="inlineStr">
        <is>
          <t>IRMÃOS LIMA  ATACADO  DE ALIMENTOS LTDA</t>
        </is>
      </c>
      <c r="F1208" s="70" t="n">
        <v>24</v>
      </c>
      <c r="G1208" s="72" t="inlineStr">
        <is>
          <t>Compra a Prazo - Boletos</t>
        </is>
      </c>
      <c r="H1208" s="70" t="n">
        <v>2110101</v>
      </c>
      <c r="I1208" s="72" t="inlineStr">
        <is>
          <t>FORNECEDORES DE MERCADORIA</t>
        </is>
      </c>
      <c r="J1208" s="70" t="n">
        <v>1280916</v>
      </c>
      <c r="L1208" s="70" t="n">
        <v>293860</v>
      </c>
      <c r="M1208" s="72" t="inlineStr">
        <is>
          <t>03</t>
        </is>
      </c>
      <c r="N1208" s="72" t="inlineStr">
        <is>
          <t>NFE</t>
        </is>
      </c>
      <c r="P1208" s="70" t="n">
        <v>103</v>
      </c>
      <c r="Q1208" s="72" t="inlineStr">
        <is>
          <t>MILKA FRANCIS</t>
        </is>
      </c>
      <c r="R1208" s="72" t="inlineStr">
        <is>
          <t>ESTOQUE DE MERCADORIAS</t>
        </is>
      </c>
      <c r="S1208" s="70" t="n">
        <v>1130101</v>
      </c>
      <c r="T1208" s="72" t="inlineStr">
        <is>
          <t>MERCADORIAS P/REVENDA</t>
        </is>
      </c>
      <c r="U1208" s="73" t="n">
        <v>1250.11</v>
      </c>
      <c r="W1208" s="73" t="n">
        <v>0</v>
      </c>
      <c r="X1208" s="72" t="inlineStr">
        <is>
          <t>374805-C/C  NF293860 - MILKA</t>
        </is>
      </c>
      <c r="Z1208" s="59">
        <f>IF($T1208="","",IFERROR(INDEX('Resumo Grupos'!$AC$3:$AC$200,MATCH($T1208,'Resumo Grupos'!$AB$3:$AB$200,0)),"n/d"))</f>
        <v/>
      </c>
      <c r="AA1208" s="59">
        <f>IF($T1208="","",IF(COUNTIF('Resumo Grupos'!$AE$3:$AE$40,$T1208)&gt;0,"NAO","SIM"))</f>
        <v/>
      </c>
    </row>
    <row r="1209" ht="36.75" customHeight="1" s="60">
      <c r="A1209" s="70" t="n">
        <v>1</v>
      </c>
      <c r="B1209" s="71" t="n">
        <v>46197</v>
      </c>
      <c r="C1209" s="71" t="n">
        <v>46219</v>
      </c>
      <c r="D1209" s="70" t="n">
        <v>1608</v>
      </c>
      <c r="E1209" s="72" t="inlineStr">
        <is>
          <t>DISTRIBUIDORA LOPES LTDA</t>
        </is>
      </c>
      <c r="F1209" s="70" t="n">
        <v>24</v>
      </c>
      <c r="G1209" s="72" t="inlineStr">
        <is>
          <t>Compra a Prazo - Boletos</t>
        </is>
      </c>
      <c r="H1209" s="70" t="n">
        <v>2110101</v>
      </c>
      <c r="I1209" s="72" t="inlineStr">
        <is>
          <t>FORNECEDORES DE MERCADORIA</t>
        </is>
      </c>
      <c r="J1209" s="70" t="n">
        <v>1299280</v>
      </c>
      <c r="L1209" s="70" t="n">
        <v>1680082</v>
      </c>
      <c r="M1209" s="72" t="inlineStr">
        <is>
          <t>01</t>
        </is>
      </c>
      <c r="N1209" s="72" t="inlineStr">
        <is>
          <t>NFE</t>
        </is>
      </c>
      <c r="P1209" s="70" t="n">
        <v>103</v>
      </c>
      <c r="Q1209" s="72" t="inlineStr">
        <is>
          <t>MILKA FRANCIS</t>
        </is>
      </c>
      <c r="R1209" s="72" t="inlineStr">
        <is>
          <t>ESTOQUE DE MERCADORIAS</t>
        </is>
      </c>
      <c r="S1209" s="70" t="n">
        <v>1130101</v>
      </c>
      <c r="T1209" s="72" t="inlineStr">
        <is>
          <t>MERCADORIAS P/REVENDA</t>
        </is>
      </c>
      <c r="U1209" s="73" t="n">
        <v>1310.03</v>
      </c>
      <c r="W1209" s="73" t="n">
        <v>0</v>
      </c>
      <c r="X1209" s="72" t="inlineStr">
        <is>
          <t xml:space="preserve">NF 1680082-1 MILKA </t>
        </is>
      </c>
      <c r="Z1209" s="59">
        <f>IF($T1209="","",IFERROR(INDEX('Resumo Grupos'!$AC$3:$AC$200,MATCH($T1209,'Resumo Grupos'!$AB$3:$AB$200,0)),"n/d"))</f>
        <v/>
      </c>
      <c r="AA1209" s="59">
        <f>IF($T1209="","",IF(COUNTIF('Resumo Grupos'!$AE$3:$AE$40,$T1209)&gt;0,"NAO","SIM"))</f>
        <v/>
      </c>
    </row>
    <row r="1210" ht="36.75" customHeight="1" s="60">
      <c r="A1210" s="70" t="n">
        <v>1</v>
      </c>
      <c r="B1210" s="71" t="n">
        <v>46198</v>
      </c>
      <c r="C1210" s="71" t="n">
        <v>46219</v>
      </c>
      <c r="D1210" s="70" t="n">
        <v>1626</v>
      </c>
      <c r="E1210" s="72" t="inlineStr">
        <is>
          <t>FENNIX BRASIL DISTRIBUIDORA DE PRODUTOS</t>
        </is>
      </c>
      <c r="F1210" s="70" t="n">
        <v>24</v>
      </c>
      <c r="G1210" s="72" t="inlineStr">
        <is>
          <t>Compra a Prazo - Boletos</t>
        </is>
      </c>
      <c r="H1210" s="70" t="n">
        <v>2110101</v>
      </c>
      <c r="I1210" s="72" t="inlineStr">
        <is>
          <t>FORNECEDORES DE MERCADORIA</t>
        </is>
      </c>
      <c r="J1210" s="70" t="n">
        <v>1305846</v>
      </c>
      <c r="L1210" s="70" t="n">
        <v>311084</v>
      </c>
      <c r="M1210" s="72" t="inlineStr">
        <is>
          <t>02</t>
        </is>
      </c>
      <c r="N1210" s="72" t="inlineStr">
        <is>
          <t>NFE</t>
        </is>
      </c>
      <c r="P1210" s="70" t="n">
        <v>103</v>
      </c>
      <c r="Q1210" s="72" t="inlineStr">
        <is>
          <t>MILKA FRANCIS</t>
        </is>
      </c>
      <c r="R1210" s="72" t="inlineStr">
        <is>
          <t>ESTOQUE DE MERCADORIAS</t>
        </is>
      </c>
      <c r="S1210" s="70" t="n">
        <v>1130101</v>
      </c>
      <c r="T1210" s="72" t="inlineStr">
        <is>
          <t>MERCADORIAS P/REVENDA</t>
        </is>
      </c>
      <c r="U1210" s="73" t="n">
        <v>2048.68</v>
      </c>
      <c r="W1210" s="73" t="n">
        <v>0</v>
      </c>
      <c r="X1210" s="72" t="inlineStr">
        <is>
          <t>NF 311084 -2 MILKA</t>
        </is>
      </c>
      <c r="Z1210" s="59">
        <f>IF($T1210="","",IFERROR(INDEX('Resumo Grupos'!$AC$3:$AC$200,MATCH($T1210,'Resumo Grupos'!$AB$3:$AB$200,0)),"n/d"))</f>
        <v/>
      </c>
      <c r="AA1210" s="59">
        <f>IF($T1210="","",IF(COUNTIF('Resumo Grupos'!$AE$3:$AE$40,$T1210)&gt;0,"NAO","SIM"))</f>
        <v/>
      </c>
    </row>
    <row r="1211" ht="36.75" customHeight="1" s="60">
      <c r="A1211" s="70" t="n">
        <v>1</v>
      </c>
      <c r="B1211" s="71" t="n">
        <v>46199</v>
      </c>
      <c r="C1211" s="71" t="n">
        <v>46219</v>
      </c>
      <c r="D1211" s="70" t="n">
        <v>10017</v>
      </c>
      <c r="E1211" s="72" t="inlineStr">
        <is>
          <t>PIARARA COMERCIO, IMPORTACAO E EXPORTACAO LTDA</t>
        </is>
      </c>
      <c r="F1211" s="70" t="n">
        <v>24</v>
      </c>
      <c r="G1211" s="72" t="inlineStr">
        <is>
          <t>Compra a Prazo - Boletos</t>
        </is>
      </c>
      <c r="H1211" s="70" t="n">
        <v>2110101</v>
      </c>
      <c r="I1211" s="72" t="inlineStr">
        <is>
          <t>FORNECEDORES DE MERCADORIA</t>
        </is>
      </c>
      <c r="J1211" s="70" t="n">
        <v>1310224</v>
      </c>
      <c r="L1211" s="70" t="n">
        <v>193797</v>
      </c>
      <c r="M1211" s="72" t="inlineStr">
        <is>
          <t>02</t>
        </is>
      </c>
      <c r="N1211" s="72" t="inlineStr">
        <is>
          <t>NFE</t>
        </is>
      </c>
      <c r="P1211" s="70" t="n">
        <v>103</v>
      </c>
      <c r="Q1211" s="72" t="inlineStr">
        <is>
          <t>MILKA FRANCIS</t>
        </is>
      </c>
      <c r="R1211" s="72" t="inlineStr">
        <is>
          <t>ESTOQUE DE MERCADORIAS</t>
        </is>
      </c>
      <c r="S1211" s="70" t="n">
        <v>1130101</v>
      </c>
      <c r="T1211" s="72" t="inlineStr">
        <is>
          <t>MERCADORIAS P/REVENDA</t>
        </is>
      </c>
      <c r="U1211" s="73" t="n">
        <v>1024.54</v>
      </c>
      <c r="W1211" s="73" t="n">
        <v>0</v>
      </c>
      <c r="X1211" s="72" t="inlineStr">
        <is>
          <t>NF 193797 -2 MILKA</t>
        </is>
      </c>
      <c r="Z1211" s="59">
        <f>IF($T1211="","",IFERROR(INDEX('Resumo Grupos'!$AC$3:$AC$200,MATCH($T1211,'Resumo Grupos'!$AB$3:$AB$200,0)),"n/d"))</f>
        <v/>
      </c>
      <c r="AA1211" s="59">
        <f>IF($T1211="","",IF(COUNTIF('Resumo Grupos'!$AE$3:$AE$40,$T1211)&gt;0,"NAO","SIM"))</f>
        <v/>
      </c>
    </row>
    <row r="1212" ht="45.75" customHeight="1" s="60">
      <c r="A1212" s="70" t="n">
        <v>1</v>
      </c>
      <c r="B1212" s="71" t="n">
        <v>46202</v>
      </c>
      <c r="C1212" s="71" t="n">
        <v>46219</v>
      </c>
      <c r="D1212" s="70" t="n">
        <v>10009</v>
      </c>
      <c r="E1212" s="72" t="inlineStr">
        <is>
          <t>NESTLÉ BRASIL LTDA.</t>
        </is>
      </c>
      <c r="F1212" s="70" t="n">
        <v>24</v>
      </c>
      <c r="G1212" s="72" t="inlineStr">
        <is>
          <t>Compra a Prazo - Boletos</t>
        </is>
      </c>
      <c r="H1212" s="70" t="n">
        <v>2110101</v>
      </c>
      <c r="I1212" s="72" t="inlineStr">
        <is>
          <t>FORNECEDORES DE MERCADORIA</t>
        </is>
      </c>
      <c r="J1212" s="70" t="n">
        <v>1324820</v>
      </c>
      <c r="L1212" s="70" t="n">
        <v>1420957</v>
      </c>
      <c r="M1212" s="72" t="inlineStr">
        <is>
          <t>01</t>
        </is>
      </c>
      <c r="N1212" s="72" t="inlineStr">
        <is>
          <t>NFE</t>
        </is>
      </c>
      <c r="P1212" s="70" t="n">
        <v>103</v>
      </c>
      <c r="Q1212" s="72" t="inlineStr">
        <is>
          <t>MILKA FRANCIS</t>
        </is>
      </c>
      <c r="R1212" s="72" t="inlineStr">
        <is>
          <t>ESTOQUE DE MERCADORIAS</t>
        </is>
      </c>
      <c r="S1212" s="70" t="n">
        <v>1130101</v>
      </c>
      <c r="T1212" s="72" t="inlineStr">
        <is>
          <t>MERCADORIAS P/REVENDA</t>
        </is>
      </c>
      <c r="U1212" s="73" t="n">
        <v>1493.87</v>
      </c>
      <c r="W1212" s="73" t="n">
        <v>0</v>
      </c>
      <c r="X1212" s="72" t="inlineStr">
        <is>
          <t>NF 1420957 - MILKA</t>
        </is>
      </c>
      <c r="Z1212" s="59">
        <f>IF($T1212="","",IFERROR(INDEX('Resumo Grupos'!$AC$3:$AC$200,MATCH($T1212,'Resumo Grupos'!$AB$3:$AB$200,0)),"n/d"))</f>
        <v/>
      </c>
      <c r="AA1212" s="59">
        <f>IF($T1212="","",IF(COUNTIF('Resumo Grupos'!$AE$3:$AE$40,$T1212)&gt;0,"NAO","SIM"))</f>
        <v/>
      </c>
    </row>
    <row r="1213" ht="36.75" customHeight="1" s="60">
      <c r="A1213" s="70" t="n">
        <v>1</v>
      </c>
      <c r="B1213" s="71" t="n">
        <v>46202</v>
      </c>
      <c r="C1213" s="71" t="n">
        <v>46219</v>
      </c>
      <c r="D1213" s="70" t="n">
        <v>1740</v>
      </c>
      <c r="E1213" s="72" t="inlineStr">
        <is>
          <t>OCIDENTAL COMERCIO DE FRIOS LTDA</t>
        </is>
      </c>
      <c r="F1213" s="70" t="n">
        <v>24</v>
      </c>
      <c r="G1213" s="72" t="inlineStr">
        <is>
          <t>Compra a Prazo - Boletos</t>
        </is>
      </c>
      <c r="H1213" s="70" t="n">
        <v>2110101</v>
      </c>
      <c r="I1213" s="72" t="inlineStr">
        <is>
          <t>FORNECEDORES DE MERCADORIA</t>
        </is>
      </c>
      <c r="J1213" s="70" t="n">
        <v>1325622</v>
      </c>
      <c r="L1213" s="70" t="n">
        <v>1240896</v>
      </c>
      <c r="M1213" s="72" t="inlineStr">
        <is>
          <t>01</t>
        </is>
      </c>
      <c r="N1213" s="72" t="inlineStr">
        <is>
          <t>NFE</t>
        </is>
      </c>
      <c r="P1213" s="70" t="n">
        <v>103</v>
      </c>
      <c r="Q1213" s="72" t="inlineStr">
        <is>
          <t>MILKA FRANCIS</t>
        </is>
      </c>
      <c r="R1213" s="72" t="inlineStr">
        <is>
          <t>ESTOQUE DE MERCADORIAS</t>
        </is>
      </c>
      <c r="S1213" s="70" t="n">
        <v>1130101</v>
      </c>
      <c r="T1213" s="72" t="inlineStr">
        <is>
          <t>MERCADORIAS P/REVENDA</t>
        </is>
      </c>
      <c r="U1213" s="73" t="n">
        <v>983.77</v>
      </c>
      <c r="W1213" s="73" t="n">
        <v>0</v>
      </c>
      <c r="X1213" s="72" t="inlineStr">
        <is>
          <t>NF 1240896-1/2 MILKA</t>
        </is>
      </c>
      <c r="Z1213" s="59">
        <f>IF($T1213="","",IFERROR(INDEX('Resumo Grupos'!$AC$3:$AC$200,MATCH($T1213,'Resumo Grupos'!$AB$3:$AB$200,0)),"n/d"))</f>
        <v/>
      </c>
      <c r="AA1213" s="59">
        <f>IF($T1213="","",IF(COUNTIF('Resumo Grupos'!$AE$3:$AE$40,$T1213)&gt;0,"NAO","SIM"))</f>
        <v/>
      </c>
    </row>
    <row r="1214" ht="45.75" customHeight="1" s="60">
      <c r="A1214" s="70" t="n">
        <v>1</v>
      </c>
      <c r="B1214" s="71" t="n">
        <v>46205</v>
      </c>
      <c r="C1214" s="71" t="n">
        <v>46219</v>
      </c>
      <c r="D1214" s="70" t="n">
        <v>1675</v>
      </c>
      <c r="E1214" s="72" t="inlineStr">
        <is>
          <t>MARQUES &amp; MELO LTDA - FILIAL</t>
        </is>
      </c>
      <c r="F1214" s="70" t="n">
        <v>24</v>
      </c>
      <c r="G1214" s="72" t="inlineStr">
        <is>
          <t>Compra a Prazo - Boletos</t>
        </is>
      </c>
      <c r="H1214" s="70" t="n">
        <v>2110101</v>
      </c>
      <c r="I1214" s="72" t="inlineStr">
        <is>
          <t>FORNECEDORES DE MERCADORIA</t>
        </is>
      </c>
      <c r="J1214" s="70" t="n">
        <v>1341229</v>
      </c>
      <c r="L1214" s="70" t="n">
        <v>496957</v>
      </c>
      <c r="M1214" s="72" t="inlineStr">
        <is>
          <t>01</t>
        </is>
      </c>
      <c r="N1214" s="72" t="inlineStr">
        <is>
          <t>NFE</t>
        </is>
      </c>
      <c r="P1214" s="70" t="n">
        <v>103</v>
      </c>
      <c r="Q1214" s="72" t="inlineStr">
        <is>
          <t>MILKA FRANCIS</t>
        </is>
      </c>
      <c r="R1214" s="72" t="inlineStr">
        <is>
          <t>ESTOQUE DE MERCADORIAS</t>
        </is>
      </c>
      <c r="S1214" s="70" t="n">
        <v>1130101</v>
      </c>
      <c r="T1214" s="72" t="inlineStr">
        <is>
          <t>MERCADORIAS P/REVENDA</t>
        </is>
      </c>
      <c r="U1214" s="73" t="n">
        <v>1012.57</v>
      </c>
      <c r="W1214" s="73" t="n">
        <v>0</v>
      </c>
      <c r="X1214" s="72" t="inlineStr">
        <is>
          <t>NF 496957 - MILKA</t>
        </is>
      </c>
      <c r="Z1214" s="59">
        <f>IF($T1214="","",IFERROR(INDEX('Resumo Grupos'!$AC$3:$AC$200,MATCH($T1214,'Resumo Grupos'!$AB$3:$AB$200,0)),"n/d"))</f>
        <v/>
      </c>
      <c r="AA1214" s="59">
        <f>IF($T1214="","",IF(COUNTIF('Resumo Grupos'!$AE$3:$AE$40,$T1214)&gt;0,"NAO","SIM"))</f>
        <v/>
      </c>
    </row>
    <row r="1215" ht="45.75" customHeight="1" s="60">
      <c r="A1215" s="70" t="n">
        <v>1</v>
      </c>
      <c r="B1215" s="71" t="n">
        <v>46206</v>
      </c>
      <c r="C1215" s="71" t="n">
        <v>46219</v>
      </c>
      <c r="D1215" s="70" t="n">
        <v>1643</v>
      </c>
      <c r="E1215" s="72" t="inlineStr">
        <is>
          <t>T A DE MATTOS COMIM EIRELI</t>
        </is>
      </c>
      <c r="F1215" s="70" t="n">
        <v>24</v>
      </c>
      <c r="G1215" s="72" t="inlineStr">
        <is>
          <t>Compra a Prazo - Boletos</t>
        </is>
      </c>
      <c r="H1215" s="70" t="n">
        <v>2110101</v>
      </c>
      <c r="I1215" s="72" t="inlineStr">
        <is>
          <t>FORNECEDORES DE MERCADORIA</t>
        </is>
      </c>
      <c r="J1215" s="70" t="n">
        <v>1343984</v>
      </c>
      <c r="L1215" s="70" t="n">
        <v>10653</v>
      </c>
      <c r="M1215" s="72" t="inlineStr">
        <is>
          <t>01</t>
        </is>
      </c>
      <c r="N1215" s="72" t="inlineStr">
        <is>
          <t>NFE</t>
        </is>
      </c>
      <c r="P1215" s="70" t="n">
        <v>103</v>
      </c>
      <c r="Q1215" s="72" t="inlineStr">
        <is>
          <t>MILKA FRANCIS</t>
        </is>
      </c>
      <c r="R1215" s="72" t="inlineStr">
        <is>
          <t>ESTOQUE DE MERCADORIAS</t>
        </is>
      </c>
      <c r="S1215" s="70" t="n">
        <v>1130101</v>
      </c>
      <c r="T1215" s="72" t="inlineStr">
        <is>
          <t>MERCADORIAS P/REVENDA</t>
        </is>
      </c>
      <c r="U1215" s="73" t="n">
        <v>228</v>
      </c>
      <c r="W1215" s="73" t="n">
        <v>0</v>
      </c>
      <c r="X1215" s="72" t="inlineStr">
        <is>
          <t>NF 10653 - MILKA</t>
        </is>
      </c>
      <c r="Z1215" s="59">
        <f>IF($T1215="","",IFERROR(INDEX('Resumo Grupos'!$AC$3:$AC$200,MATCH($T1215,'Resumo Grupos'!$AB$3:$AB$200,0)),"n/d"))</f>
        <v/>
      </c>
      <c r="AA1215" s="59">
        <f>IF($T1215="","",IF(COUNTIF('Resumo Grupos'!$AE$3:$AE$40,$T1215)&gt;0,"NAO","SIM"))</f>
        <v/>
      </c>
    </row>
    <row r="1216" ht="45.75" customHeight="1" s="60">
      <c r="A1216" s="70" t="n">
        <v>1</v>
      </c>
      <c r="B1216" s="71" t="n">
        <v>46207</v>
      </c>
      <c r="C1216" s="71" t="n">
        <v>46219</v>
      </c>
      <c r="D1216" s="70" t="n">
        <v>1705</v>
      </c>
      <c r="E1216" s="72" t="inlineStr">
        <is>
          <t>BRASIL NORTE BEBIDAS S/A</t>
        </is>
      </c>
      <c r="F1216" s="70" t="n">
        <v>24</v>
      </c>
      <c r="G1216" s="72" t="inlineStr">
        <is>
          <t>Compra a Prazo - Boletos</t>
        </is>
      </c>
      <c r="H1216" s="70" t="n">
        <v>2110101</v>
      </c>
      <c r="I1216" s="72" t="inlineStr">
        <is>
          <t>FORNECEDORES DE MERCADORIA</t>
        </is>
      </c>
      <c r="J1216" s="70" t="n">
        <v>1348536</v>
      </c>
      <c r="L1216" s="70" t="n">
        <v>1910367</v>
      </c>
      <c r="M1216" s="72" t="inlineStr">
        <is>
          <t>01</t>
        </is>
      </c>
      <c r="N1216" s="72" t="inlineStr">
        <is>
          <t>NFE</t>
        </is>
      </c>
      <c r="P1216" s="70" t="n">
        <v>103</v>
      </c>
      <c r="Q1216" s="72" t="inlineStr">
        <is>
          <t>MILKA FRANCIS</t>
        </is>
      </c>
      <c r="R1216" s="72" t="inlineStr">
        <is>
          <t>ESTOQUE DE MERCADORIAS</t>
        </is>
      </c>
      <c r="S1216" s="70" t="n">
        <v>1130101</v>
      </c>
      <c r="T1216" s="72" t="inlineStr">
        <is>
          <t>MERCADORIAS P/REVENDA</t>
        </is>
      </c>
      <c r="U1216" s="73" t="n">
        <v>56.96</v>
      </c>
      <c r="W1216" s="73" t="n">
        <v>0</v>
      </c>
      <c r="X1216" s="72" t="inlineStr">
        <is>
          <t>NF 1910367 - MILKA</t>
        </is>
      </c>
      <c r="Z1216" s="59">
        <f>IF($T1216="","",IFERROR(INDEX('Resumo Grupos'!$AC$3:$AC$200,MATCH($T1216,'Resumo Grupos'!$AB$3:$AB$200,0)),"n/d"))</f>
        <v/>
      </c>
      <c r="AA1216" s="59">
        <f>IF($T1216="","",IF(COUNTIF('Resumo Grupos'!$AE$3:$AE$40,$T1216)&gt;0,"NAO","SIM"))</f>
        <v/>
      </c>
    </row>
    <row r="1217" ht="63.75" customHeight="1" s="60">
      <c r="A1217" s="70" t="n">
        <v>1</v>
      </c>
      <c r="B1217" s="71" t="n">
        <v>46207</v>
      </c>
      <c r="C1217" s="71" t="n">
        <v>46219</v>
      </c>
      <c r="D1217" s="70" t="n">
        <v>1705</v>
      </c>
      <c r="E1217" s="72" t="inlineStr">
        <is>
          <t>BRASIL NORTE BEBIDAS S/A</t>
        </is>
      </c>
      <c r="F1217" s="70" t="n">
        <v>24</v>
      </c>
      <c r="G1217" s="72" t="inlineStr">
        <is>
          <t>Compra a Prazo - Boletos</t>
        </is>
      </c>
      <c r="H1217" s="70" t="n">
        <v>2110101</v>
      </c>
      <c r="I1217" s="72" t="inlineStr">
        <is>
          <t>FORNECEDORES DE MERCADORIA</t>
        </is>
      </c>
      <c r="J1217" s="70" t="n">
        <v>1348564</v>
      </c>
      <c r="L1217" s="70" t="n">
        <v>1182811</v>
      </c>
      <c r="M1217" s="72" t="inlineStr">
        <is>
          <t>01</t>
        </is>
      </c>
      <c r="N1217" s="72" t="inlineStr">
        <is>
          <t>NFE</t>
        </is>
      </c>
      <c r="P1217" s="70" t="n">
        <v>103</v>
      </c>
      <c r="Q1217" s="72" t="inlineStr">
        <is>
          <t>MILKA FRANCIS</t>
        </is>
      </c>
      <c r="R1217" s="72" t="inlineStr">
        <is>
          <t>ESTOQUE DE MERCADORIAS</t>
        </is>
      </c>
      <c r="S1217" s="70" t="n">
        <v>1130101</v>
      </c>
      <c r="T1217" s="72" t="inlineStr">
        <is>
          <t>MERCADORIAS P/REVENDA</t>
        </is>
      </c>
      <c r="U1217" s="73" t="n">
        <v>335.01</v>
      </c>
      <c r="W1217" s="73" t="n">
        <v>0</v>
      </c>
      <c r="X1217" s="72" t="inlineStr">
        <is>
          <t>NF 1182811 - MILKA</t>
        </is>
      </c>
      <c r="Z1217" s="59">
        <f>IF($T1217="","",IFERROR(INDEX('Resumo Grupos'!$AC$3:$AC$200,MATCH($T1217,'Resumo Grupos'!$AB$3:$AB$200,0)),"n/d"))</f>
        <v/>
      </c>
      <c r="AA1217" s="59">
        <f>IF($T1217="","",IF(COUNTIF('Resumo Grupos'!$AE$3:$AE$40,$T1217)&gt;0,"NAO","SIM"))</f>
        <v/>
      </c>
    </row>
    <row r="1218" ht="36.75" customHeight="1" s="60">
      <c r="A1218" s="70" t="n">
        <v>1</v>
      </c>
      <c r="B1218" s="71" t="n">
        <v>46207</v>
      </c>
      <c r="C1218" s="71" t="n">
        <v>46219</v>
      </c>
      <c r="D1218" s="70" t="n">
        <v>1705</v>
      </c>
      <c r="E1218" s="72" t="inlineStr">
        <is>
          <t>BRASIL NORTE BEBIDAS S/A</t>
        </is>
      </c>
      <c r="F1218" s="70" t="n">
        <v>24</v>
      </c>
      <c r="G1218" s="72" t="inlineStr">
        <is>
          <t>Compra a Prazo - Boletos</t>
        </is>
      </c>
      <c r="H1218" s="70" t="n">
        <v>2110101</v>
      </c>
      <c r="I1218" s="72" t="inlineStr">
        <is>
          <t>FORNECEDORES DE MERCADORIA</t>
        </is>
      </c>
      <c r="J1218" s="70" t="n">
        <v>1348586</v>
      </c>
      <c r="L1218" s="70" t="n">
        <v>1184135</v>
      </c>
      <c r="M1218" s="72" t="inlineStr">
        <is>
          <t>01</t>
        </is>
      </c>
      <c r="N1218" s="72" t="inlineStr">
        <is>
          <t>NFE</t>
        </is>
      </c>
      <c r="P1218" s="70" t="n">
        <v>103</v>
      </c>
      <c r="Q1218" s="72" t="inlineStr">
        <is>
          <t>MILKA FRANCIS</t>
        </is>
      </c>
      <c r="R1218" s="72" t="inlineStr">
        <is>
          <t>ESTOQUE DE MERCADORIAS</t>
        </is>
      </c>
      <c r="S1218" s="70" t="n">
        <v>1130101</v>
      </c>
      <c r="T1218" s="72" t="inlineStr">
        <is>
          <t>MERCADORIAS P/REVENDA</t>
        </is>
      </c>
      <c r="U1218" s="73" t="n">
        <v>3237</v>
      </c>
      <c r="W1218" s="73" t="n">
        <v>0</v>
      </c>
      <c r="X1218" s="72" t="inlineStr">
        <is>
          <t>NF 1184135 - MILKA</t>
        </is>
      </c>
      <c r="Z1218" s="59">
        <f>IF($T1218="","",IFERROR(INDEX('Resumo Grupos'!$AC$3:$AC$200,MATCH($T1218,'Resumo Grupos'!$AB$3:$AB$200,0)),"n/d"))</f>
        <v/>
      </c>
      <c r="AA1218" s="59">
        <f>IF($T1218="","",IF(COUNTIF('Resumo Grupos'!$AE$3:$AE$40,$T1218)&gt;0,"NAO","SIM"))</f>
        <v/>
      </c>
    </row>
    <row r="1219" ht="36.75" customHeight="1" s="60">
      <c r="A1219" s="70" t="n">
        <v>1</v>
      </c>
      <c r="B1219" s="71" t="n">
        <v>46207</v>
      </c>
      <c r="C1219" s="71" t="n">
        <v>46219</v>
      </c>
      <c r="D1219" s="70" t="n">
        <v>1705</v>
      </c>
      <c r="E1219" s="72" t="inlineStr">
        <is>
          <t>BRASIL NORTE BEBIDAS S/A</t>
        </is>
      </c>
      <c r="F1219" s="70" t="n">
        <v>24</v>
      </c>
      <c r="G1219" s="72" t="inlineStr">
        <is>
          <t>Compra a Prazo - Boletos</t>
        </is>
      </c>
      <c r="H1219" s="70" t="n">
        <v>2110101</v>
      </c>
      <c r="I1219" s="72" t="inlineStr">
        <is>
          <t>FORNECEDORES DE MERCADORIA</t>
        </is>
      </c>
      <c r="J1219" s="70" t="n">
        <v>1348607</v>
      </c>
      <c r="L1219" s="70" t="n">
        <v>1910815</v>
      </c>
      <c r="M1219" s="72" t="inlineStr">
        <is>
          <t>01</t>
        </is>
      </c>
      <c r="N1219" s="72" t="inlineStr">
        <is>
          <t>NFE</t>
        </is>
      </c>
      <c r="P1219" s="70" t="n">
        <v>103</v>
      </c>
      <c r="Q1219" s="72" t="inlineStr">
        <is>
          <t>MILKA FRANCIS</t>
        </is>
      </c>
      <c r="R1219" s="72" t="inlineStr">
        <is>
          <t>ESTOQUE DE MERCADORIAS</t>
        </is>
      </c>
      <c r="S1219" s="70" t="n">
        <v>1130101</v>
      </c>
      <c r="T1219" s="72" t="inlineStr">
        <is>
          <t>MERCADORIAS P/REVENDA</t>
        </is>
      </c>
      <c r="U1219" s="73" t="n">
        <v>6181.16</v>
      </c>
      <c r="W1219" s="73" t="n">
        <v>0</v>
      </c>
      <c r="X1219" s="72" t="inlineStr">
        <is>
          <t>NF 1910815 - MILKA</t>
        </is>
      </c>
      <c r="Z1219" s="59">
        <f>IF($T1219="","",IFERROR(INDEX('Resumo Grupos'!$AC$3:$AC$200,MATCH($T1219,'Resumo Grupos'!$AB$3:$AB$200,0)),"n/d"))</f>
        <v/>
      </c>
      <c r="AA1219" s="59">
        <f>IF($T1219="","",IF(COUNTIF('Resumo Grupos'!$AE$3:$AE$40,$T1219)&gt;0,"NAO","SIM"))</f>
        <v/>
      </c>
    </row>
    <row r="1220" ht="36.75" customHeight="1" s="60">
      <c r="A1220" s="70" t="n">
        <v>1</v>
      </c>
      <c r="B1220" s="71" t="n">
        <v>46212</v>
      </c>
      <c r="C1220" s="71" t="n">
        <v>46219</v>
      </c>
      <c r="D1220" s="70" t="n">
        <v>754</v>
      </c>
      <c r="E1220" s="72" t="inlineStr">
        <is>
          <t>SILVA E SANTOS FRIGORIFICO LTDA</t>
        </is>
      </c>
      <c r="F1220" s="70" t="n">
        <v>24</v>
      </c>
      <c r="G1220" s="72" t="inlineStr">
        <is>
          <t>Compra a Prazo - Boletos</t>
        </is>
      </c>
      <c r="H1220" s="70" t="n">
        <v>1110202</v>
      </c>
      <c r="I1220" s="72" t="inlineStr">
        <is>
          <t>BANCO ITAU Lj 01</t>
        </is>
      </c>
      <c r="J1220" s="70" t="n">
        <v>1374885</v>
      </c>
      <c r="L1220" s="70" t="n">
        <v>31702</v>
      </c>
      <c r="M1220" s="72" t="inlineStr">
        <is>
          <t>01</t>
        </is>
      </c>
      <c r="N1220" s="72" t="inlineStr">
        <is>
          <t>AVU</t>
        </is>
      </c>
      <c r="P1220" s="70" t="n">
        <v>103</v>
      </c>
      <c r="Q1220" s="72" t="inlineStr">
        <is>
          <t>MILKA FRANCIS</t>
        </is>
      </c>
      <c r="R1220" s="72" t="inlineStr">
        <is>
          <t>ESTOQUE DE MERCADORIAS</t>
        </is>
      </c>
      <c r="S1220" s="70" t="n">
        <v>1130101</v>
      </c>
      <c r="T1220" s="72" t="inlineStr">
        <is>
          <t>MERCADORIAS P/REVENDA</t>
        </is>
      </c>
      <c r="U1220" s="73" t="n">
        <v>3130</v>
      </c>
      <c r="W1220" s="73" t="n">
        <v>0</v>
      </c>
      <c r="X1220" s="72" t="inlineStr">
        <is>
          <t>NF31702 - MILKA</t>
        </is>
      </c>
      <c r="Z1220" s="59">
        <f>IF($T1220="","",IFERROR(INDEX('Resumo Grupos'!$AC$3:$AC$200,MATCH($T1220,'Resumo Grupos'!$AB$3:$AB$200,0)),"n/d"))</f>
        <v/>
      </c>
      <c r="AA1220" s="59">
        <f>IF($T1220="","",IF(COUNTIF('Resumo Grupos'!$AE$3:$AE$40,$T1220)&gt;0,"NAO","SIM"))</f>
        <v/>
      </c>
    </row>
    <row r="1221" ht="36.75" customHeight="1" s="60">
      <c r="A1221" s="70" t="n">
        <v>1</v>
      </c>
      <c r="B1221" s="71" t="n">
        <v>46213</v>
      </c>
      <c r="C1221" s="71" t="n">
        <v>46219</v>
      </c>
      <c r="D1221" s="70" t="n">
        <v>1666</v>
      </c>
      <c r="E1221" s="72" t="inlineStr">
        <is>
          <t>SOUZA CRUZ LTDA.</t>
        </is>
      </c>
      <c r="F1221" s="70" t="n">
        <v>24</v>
      </c>
      <c r="G1221" s="72" t="inlineStr">
        <is>
          <t>Compra a Prazo - Boletos</t>
        </is>
      </c>
      <c r="H1221" s="70" t="n">
        <v>1110202</v>
      </c>
      <c r="I1221" s="72" t="inlineStr">
        <is>
          <t>BANCO ITAU Lj 01</t>
        </is>
      </c>
      <c r="J1221" s="70" t="n">
        <v>1376753</v>
      </c>
      <c r="L1221" s="70" t="n">
        <v>566298</v>
      </c>
      <c r="M1221" s="72" t="inlineStr">
        <is>
          <t>01</t>
        </is>
      </c>
      <c r="N1221" s="72" t="inlineStr">
        <is>
          <t>AVU</t>
        </is>
      </c>
      <c r="P1221" s="70" t="n">
        <v>103</v>
      </c>
      <c r="Q1221" s="72" t="inlineStr">
        <is>
          <t>MILKA FRANCIS</t>
        </is>
      </c>
      <c r="R1221" s="72" t="inlineStr">
        <is>
          <t>ESTOQUE DE MERCADORIAS</t>
        </is>
      </c>
      <c r="S1221" s="70" t="n">
        <v>1130101</v>
      </c>
      <c r="T1221" s="72" t="inlineStr">
        <is>
          <t>MERCADORIAS P/REVENDA</t>
        </is>
      </c>
      <c r="U1221" s="73" t="n">
        <v>5877.89</v>
      </c>
      <c r="W1221" s="73" t="n">
        <v>0</v>
      </c>
      <c r="X1221" s="72" t="inlineStr">
        <is>
          <t>NF 566298 -01 MILKA</t>
        </is>
      </c>
      <c r="Z1221" s="59">
        <f>IF($T1221="","",IFERROR(INDEX('Resumo Grupos'!$AC$3:$AC$200,MATCH($T1221,'Resumo Grupos'!$AB$3:$AB$200,0)),"n/d"))</f>
        <v/>
      </c>
      <c r="AA1221" s="59">
        <f>IF($T1221="","",IF(COUNTIF('Resumo Grupos'!$AE$3:$AE$40,$T1221)&gt;0,"NAO","SIM"))</f>
        <v/>
      </c>
    </row>
    <row r="1222" ht="45.75" customHeight="1" s="60">
      <c r="A1222" s="70" t="n">
        <v>1</v>
      </c>
      <c r="B1222" s="71" t="n">
        <v>46213</v>
      </c>
      <c r="C1222" s="71" t="n">
        <v>46219</v>
      </c>
      <c r="D1222" s="70" t="n">
        <v>1614</v>
      </c>
      <c r="E1222" s="72" t="inlineStr">
        <is>
          <t>C. R. PARENTE ABREU</t>
        </is>
      </c>
      <c r="F1222" s="70" t="n">
        <v>24</v>
      </c>
      <c r="G1222" s="72" t="inlineStr">
        <is>
          <t>Compra a Prazo - Boletos</t>
        </is>
      </c>
      <c r="H1222" s="70" t="n">
        <v>1110202</v>
      </c>
      <c r="I1222" s="72" t="inlineStr">
        <is>
          <t>BANCO ITAU Lj 01</t>
        </is>
      </c>
      <c r="J1222" s="70" t="n">
        <v>1376903</v>
      </c>
      <c r="L1222" s="70" t="n">
        <v>11400</v>
      </c>
      <c r="M1222" s="72" t="inlineStr">
        <is>
          <t>02</t>
        </is>
      </c>
      <c r="N1222" s="72" t="inlineStr">
        <is>
          <t>AVU</t>
        </is>
      </c>
      <c r="P1222" s="70" t="n">
        <v>103</v>
      </c>
      <c r="Q1222" s="72" t="inlineStr">
        <is>
          <t>MILKA FRANCIS</t>
        </is>
      </c>
      <c r="R1222" s="72" t="inlineStr">
        <is>
          <t>ESTOQUE DE MERCADORIAS</t>
        </is>
      </c>
      <c r="S1222" s="70" t="n">
        <v>1130101</v>
      </c>
      <c r="T1222" s="72" t="inlineStr">
        <is>
          <t>MERCADORIAS P/REVENDA</t>
        </is>
      </c>
      <c r="U1222" s="73" t="n">
        <v>259.39</v>
      </c>
      <c r="W1222" s="73" t="n">
        <v>0</v>
      </c>
      <c r="X1222" s="72" t="inlineStr">
        <is>
          <t>NF 11400 -02 KARU - MILKA</t>
        </is>
      </c>
      <c r="Z1222" s="59">
        <f>IF($T1222="","",IFERROR(INDEX('Resumo Grupos'!$AC$3:$AC$200,MATCH($T1222,'Resumo Grupos'!$AB$3:$AB$200,0)),"n/d"))</f>
        <v/>
      </c>
      <c r="AA1222" s="59">
        <f>IF($T1222="","",IF(COUNTIF('Resumo Grupos'!$AE$3:$AE$40,$T1222)&gt;0,"NAO","SIM"))</f>
        <v/>
      </c>
    </row>
    <row r="1223" ht="54.75" customHeight="1" s="60">
      <c r="A1223" s="70" t="n">
        <v>1</v>
      </c>
      <c r="B1223" s="71" t="n">
        <v>46213</v>
      </c>
      <c r="C1223" s="71" t="n">
        <v>46219</v>
      </c>
      <c r="D1223" s="70" t="n">
        <v>901</v>
      </c>
      <c r="E1223" s="72" t="inlineStr">
        <is>
          <t>CHERRYS SEMI JOIAS LTDA</t>
        </is>
      </c>
      <c r="F1223" s="70" t="n">
        <v>24</v>
      </c>
      <c r="G1223" s="72" t="inlineStr">
        <is>
          <t>Compra a Prazo - Boletos</t>
        </is>
      </c>
      <c r="H1223" s="70" t="n">
        <v>1110202</v>
      </c>
      <c r="I1223" s="72" t="inlineStr">
        <is>
          <t>BANCO ITAU Lj 01</t>
        </is>
      </c>
      <c r="J1223" s="70" t="n">
        <v>1376959</v>
      </c>
      <c r="L1223" s="70" t="n">
        <v>464</v>
      </c>
      <c r="M1223" s="72" t="inlineStr">
        <is>
          <t>01</t>
        </is>
      </c>
      <c r="N1223" s="72" t="inlineStr">
        <is>
          <t>AVU</t>
        </is>
      </c>
      <c r="P1223" s="70" t="n">
        <v>103</v>
      </c>
      <c r="Q1223" s="72" t="inlineStr">
        <is>
          <t>MILKA FRANCIS</t>
        </is>
      </c>
      <c r="R1223" s="72" t="inlineStr">
        <is>
          <t>ESTOQUE DE MERCADORIAS</t>
        </is>
      </c>
      <c r="S1223" s="70" t="n">
        <v>1130101</v>
      </c>
      <c r="T1223" s="72" t="inlineStr">
        <is>
          <t>MERCADORIAS P/REVENDA</t>
        </is>
      </c>
      <c r="U1223" s="73" t="n">
        <v>465</v>
      </c>
      <c r="W1223" s="73" t="n">
        <v>0</v>
      </c>
      <c r="X1223" s="72" t="inlineStr">
        <is>
          <t>NF 464 - MILKA</t>
        </is>
      </c>
      <c r="Z1223" s="59">
        <f>IF($T1223="","",IFERROR(INDEX('Resumo Grupos'!$AC$3:$AC$200,MATCH($T1223,'Resumo Grupos'!$AB$3:$AB$200,0)),"n/d"))</f>
        <v/>
      </c>
      <c r="AA1223" s="59">
        <f>IF($T1223="","",IF(COUNTIF('Resumo Grupos'!$AE$3:$AE$40,$T1223)&gt;0,"NAO","SIM"))</f>
        <v/>
      </c>
    </row>
    <row r="1224" ht="54.75" customHeight="1" s="60">
      <c r="A1224" s="70" t="n">
        <v>1</v>
      </c>
      <c r="B1224" s="71" t="n">
        <v>46216</v>
      </c>
      <c r="C1224" s="71" t="n">
        <v>46219</v>
      </c>
      <c r="D1224" s="70" t="n">
        <v>581</v>
      </c>
      <c r="E1224" s="72" t="inlineStr">
        <is>
          <t>LIMA E BARANDA COMERCIO DE PRODUTOS REGI</t>
        </is>
      </c>
      <c r="F1224" s="70" t="n">
        <v>24</v>
      </c>
      <c r="G1224" s="72" t="inlineStr">
        <is>
          <t>Compra a Prazo - Boletos</t>
        </is>
      </c>
      <c r="H1224" s="70" t="n">
        <v>1110202</v>
      </c>
      <c r="I1224" s="72" t="inlineStr">
        <is>
          <t>BANCO ITAU Lj 01</t>
        </is>
      </c>
      <c r="J1224" s="70" t="n">
        <v>1392932</v>
      </c>
      <c r="L1224" s="70" t="n">
        <v>31367</v>
      </c>
      <c r="M1224" s="72" t="inlineStr">
        <is>
          <t>01</t>
        </is>
      </c>
      <c r="N1224" s="72" t="inlineStr">
        <is>
          <t>AVU</t>
        </is>
      </c>
      <c r="P1224" s="70" t="n">
        <v>103</v>
      </c>
      <c r="Q1224" s="72" t="inlineStr">
        <is>
          <t>MILKA FRANCIS</t>
        </is>
      </c>
      <c r="R1224" s="72" t="inlineStr">
        <is>
          <t>ESTOQUE DE MERCADORIAS</t>
        </is>
      </c>
      <c r="S1224" s="70" t="n">
        <v>1130101</v>
      </c>
      <c r="T1224" s="72" t="inlineStr">
        <is>
          <t>MERCADORIAS P/REVENDA</t>
        </is>
      </c>
      <c r="U1224" s="73" t="n">
        <v>363.5</v>
      </c>
      <c r="W1224" s="73" t="n">
        <v>0</v>
      </c>
      <c r="X1224" s="72" t="inlineStr">
        <is>
          <t>NF31367 - MILKA</t>
        </is>
      </c>
      <c r="Z1224" s="59">
        <f>IF($T1224="","",IFERROR(INDEX('Resumo Grupos'!$AC$3:$AC$200,MATCH($T1224,'Resumo Grupos'!$AB$3:$AB$200,0)),"n/d"))</f>
        <v/>
      </c>
      <c r="AA1224" s="59">
        <f>IF($T1224="","",IF(COUNTIF('Resumo Grupos'!$AE$3:$AE$40,$T1224)&gt;0,"NAO","SIM"))</f>
        <v/>
      </c>
    </row>
    <row r="1225" ht="36.75" customHeight="1" s="60">
      <c r="A1225" s="70" t="n">
        <v>1</v>
      </c>
      <c r="B1225" s="71" t="n">
        <v>46216</v>
      </c>
      <c r="C1225" s="71" t="n">
        <v>46219</v>
      </c>
      <c r="D1225" s="70" t="n">
        <v>1899</v>
      </c>
      <c r="E1225" s="72" t="inlineStr">
        <is>
          <t>PANIFICADORA E CONFEITARIA REAL MADRI LTDA</t>
        </is>
      </c>
      <c r="F1225" s="70" t="n">
        <v>24</v>
      </c>
      <c r="G1225" s="72" t="inlineStr">
        <is>
          <t>Compra a Prazo - Boletos</t>
        </is>
      </c>
      <c r="H1225" s="70" t="n">
        <v>1110202</v>
      </c>
      <c r="I1225" s="72" t="inlineStr">
        <is>
          <t>BANCO ITAU Lj 01</t>
        </is>
      </c>
      <c r="J1225" s="70" t="n">
        <v>1393619</v>
      </c>
      <c r="L1225" s="70" t="n">
        <v>710</v>
      </c>
      <c r="M1225" s="72" t="inlineStr">
        <is>
          <t>01</t>
        </is>
      </c>
      <c r="N1225" s="72" t="inlineStr">
        <is>
          <t>AVU</t>
        </is>
      </c>
      <c r="P1225" s="70" t="n">
        <v>103</v>
      </c>
      <c r="Q1225" s="72" t="inlineStr">
        <is>
          <t>MILKA FRANCIS</t>
        </is>
      </c>
      <c r="R1225" s="72" t="inlineStr">
        <is>
          <t>ESTOQUE DE MERCADORIAS</t>
        </is>
      </c>
      <c r="S1225" s="70" t="n">
        <v>1130101</v>
      </c>
      <c r="T1225" s="72" t="inlineStr">
        <is>
          <t>MERCADORIAS P/REVENDA</t>
        </is>
      </c>
      <c r="U1225" s="73" t="n">
        <v>664.48</v>
      </c>
      <c r="W1225" s="73" t="n">
        <v>0</v>
      </c>
      <c r="X1225" s="72" t="inlineStr">
        <is>
          <t>NF710 - MILKA</t>
        </is>
      </c>
      <c r="Z1225" s="59">
        <f>IF($T1225="","",IFERROR(INDEX('Resumo Grupos'!$AC$3:$AC$200,MATCH($T1225,'Resumo Grupos'!$AB$3:$AB$200,0)),"n/d"))</f>
        <v/>
      </c>
      <c r="AA1225" s="59">
        <f>IF($T1225="","",IF(COUNTIF('Resumo Grupos'!$AE$3:$AE$40,$T1225)&gt;0,"NAO","SIM"))</f>
        <v/>
      </c>
    </row>
    <row r="1226" ht="45.75" customHeight="1" s="60">
      <c r="A1226" s="70" t="n">
        <v>1</v>
      </c>
      <c r="B1226" s="71" t="n">
        <v>46216</v>
      </c>
      <c r="C1226" s="71" t="n">
        <v>46219</v>
      </c>
      <c r="D1226" s="70" t="n">
        <v>1614</v>
      </c>
      <c r="E1226" s="72" t="inlineStr">
        <is>
          <t>C. R. PARENTE ABREU</t>
        </is>
      </c>
      <c r="F1226" s="70" t="n">
        <v>24</v>
      </c>
      <c r="G1226" s="72" t="inlineStr">
        <is>
          <t>Compra a Prazo - Boletos</t>
        </is>
      </c>
      <c r="H1226" s="70" t="n">
        <v>1110202</v>
      </c>
      <c r="I1226" s="72" t="inlineStr">
        <is>
          <t>BANCO ITAU Lj 01</t>
        </is>
      </c>
      <c r="J1226" s="70" t="n">
        <v>1393772</v>
      </c>
      <c r="L1226" s="70" t="n">
        <v>11415</v>
      </c>
      <c r="M1226" s="72" t="inlineStr">
        <is>
          <t>01</t>
        </is>
      </c>
      <c r="N1226" s="72" t="inlineStr">
        <is>
          <t>AVU</t>
        </is>
      </c>
      <c r="P1226" s="70" t="n">
        <v>103</v>
      </c>
      <c r="Q1226" s="72" t="inlineStr">
        <is>
          <t>MILKA FRANCIS</t>
        </is>
      </c>
      <c r="R1226" s="72" t="inlineStr">
        <is>
          <t>ESTOQUE DE MERCADORIAS</t>
        </is>
      </c>
      <c r="S1226" s="70" t="n">
        <v>1130101</v>
      </c>
      <c r="T1226" s="72" t="inlineStr">
        <is>
          <t>MERCADORIAS P/REVENDA</t>
        </is>
      </c>
      <c r="U1226" s="73" t="n">
        <v>378.43</v>
      </c>
      <c r="W1226" s="73" t="n">
        <v>0</v>
      </c>
      <c r="X1226" s="72" t="inlineStr">
        <is>
          <t>NF 11415-1 MILKA</t>
        </is>
      </c>
      <c r="Z1226" s="59">
        <f>IF($T1226="","",IFERROR(INDEX('Resumo Grupos'!$AC$3:$AC$200,MATCH($T1226,'Resumo Grupos'!$AB$3:$AB$200,0)),"n/d"))</f>
        <v/>
      </c>
      <c r="AA1226" s="59">
        <f>IF($T1226="","",IF(COUNTIF('Resumo Grupos'!$AE$3:$AE$40,$T1226)&gt;0,"NAO","SIM"))</f>
        <v/>
      </c>
    </row>
    <row r="1227" ht="36.75" customHeight="1" s="60">
      <c r="A1227" s="70" t="n">
        <v>1</v>
      </c>
      <c r="B1227" s="71" t="n">
        <v>46217</v>
      </c>
      <c r="C1227" s="71" t="n">
        <v>46219</v>
      </c>
      <c r="D1227" s="70" t="n">
        <v>642</v>
      </c>
      <c r="E1227" s="72" t="inlineStr">
        <is>
          <t>ADICSO FABIAN GONZALEZ MONTILLA 70302186</t>
        </is>
      </c>
      <c r="F1227" s="70" t="n">
        <v>24</v>
      </c>
      <c r="G1227" s="72" t="inlineStr">
        <is>
          <t>Compra a Prazo - Boletos</t>
        </is>
      </c>
      <c r="H1227" s="70" t="n">
        <v>1110202</v>
      </c>
      <c r="I1227" s="72" t="inlineStr">
        <is>
          <t>BANCO ITAU Lj 01</t>
        </is>
      </c>
      <c r="J1227" s="70" t="n">
        <v>1398367</v>
      </c>
      <c r="L1227" s="70" t="n">
        <v>531</v>
      </c>
      <c r="M1227" s="72" t="inlineStr">
        <is>
          <t>01</t>
        </is>
      </c>
      <c r="N1227" s="72" t="inlineStr">
        <is>
          <t>AVU</t>
        </is>
      </c>
      <c r="P1227" s="70" t="n">
        <v>103</v>
      </c>
      <c r="Q1227" s="72" t="inlineStr">
        <is>
          <t>MILKA FRANCIS</t>
        </is>
      </c>
      <c r="R1227" s="72" t="inlineStr">
        <is>
          <t>ESTOQUE DE MERCADORIAS</t>
        </is>
      </c>
      <c r="S1227" s="70" t="n">
        <v>1130101</v>
      </c>
      <c r="T1227" s="72" t="inlineStr">
        <is>
          <t>MERCADORIAS P/REVENDA</t>
        </is>
      </c>
      <c r="U1227" s="73" t="n">
        <v>840</v>
      </c>
      <c r="W1227" s="73" t="n">
        <v>0</v>
      </c>
      <c r="X1227" s="72" t="inlineStr">
        <is>
          <t>NF 531 BLOOM - MILKA</t>
        </is>
      </c>
      <c r="Z1227" s="59">
        <f>IF($T1227="","",IFERROR(INDEX('Resumo Grupos'!$AC$3:$AC$200,MATCH($T1227,'Resumo Grupos'!$AB$3:$AB$200,0)),"n/d"))</f>
        <v/>
      </c>
      <c r="AA1227" s="59">
        <f>IF($T1227="","",IF(COUNTIF('Resumo Grupos'!$AE$3:$AE$40,$T1227)&gt;0,"NAO","SIM"))</f>
        <v/>
      </c>
    </row>
    <row r="1228" ht="36.75" customHeight="1" s="60">
      <c r="A1228" s="70" t="n">
        <v>1</v>
      </c>
      <c r="B1228" s="71" t="n">
        <v>46219</v>
      </c>
      <c r="C1228" s="71" t="n">
        <v>46219</v>
      </c>
      <c r="D1228" s="70" t="n">
        <v>1955</v>
      </c>
      <c r="E1228" s="72" t="inlineStr">
        <is>
          <t>RV TECNOLOGIA E SISTEMAS S.A. - MA</t>
        </is>
      </c>
      <c r="F1228" s="70" t="n">
        <v>24</v>
      </c>
      <c r="G1228" s="72" t="inlineStr">
        <is>
          <t>Compra a Prazo - Boletos</t>
        </is>
      </c>
      <c r="H1228" s="70" t="n">
        <v>1110202</v>
      </c>
      <c r="I1228" s="72" t="inlineStr">
        <is>
          <t>BANCO ITAU Lj 01</t>
        </is>
      </c>
      <c r="J1228" s="70" t="n">
        <v>1405668</v>
      </c>
      <c r="L1228" s="70" t="n">
        <v>579610</v>
      </c>
      <c r="M1228" s="72" t="inlineStr">
        <is>
          <t>01</t>
        </is>
      </c>
      <c r="N1228" s="72" t="inlineStr">
        <is>
          <t>AVU</t>
        </is>
      </c>
      <c r="P1228" s="70" t="n">
        <v>102</v>
      </c>
      <c r="Q1228" s="72" t="inlineStr">
        <is>
          <t>ANDREZA ANDRADE</t>
        </is>
      </c>
      <c r="R1228" s="72" t="inlineStr">
        <is>
          <t>ESTOQUE DE MERCADORIAS</t>
        </is>
      </c>
      <c r="S1228" s="70" t="n">
        <v>1130101</v>
      </c>
      <c r="T1228" s="72" t="inlineStr">
        <is>
          <t>MERCADORIAS P/REVENDA</t>
        </is>
      </c>
      <c r="U1228" s="73" t="n">
        <v>36.15</v>
      </c>
      <c r="W1228" s="73" t="n">
        <v>0</v>
      </c>
      <c r="X1228" s="72" t="inlineStr">
        <is>
          <t>RECARGA CELULAR MO1-ANDREZA</t>
        </is>
      </c>
      <c r="Z1228" s="59">
        <f>IF($T1228="","",IFERROR(INDEX('Resumo Grupos'!$AC$3:$AC$200,MATCH($T1228,'Resumo Grupos'!$AB$3:$AB$200,0)),"n/d"))</f>
        <v/>
      </c>
      <c r="AA1228" s="59">
        <f>IF($T1228="","",IF(COUNTIF('Resumo Grupos'!$AE$3:$AE$40,$T1228)&gt;0,"NAO","SIM"))</f>
        <v/>
      </c>
    </row>
    <row r="1229" ht="36.75" customHeight="1" s="60">
      <c r="A1229" s="70" t="n">
        <v>1</v>
      </c>
      <c r="B1229" s="71" t="n">
        <v>46219</v>
      </c>
      <c r="C1229" s="71" t="n">
        <v>46219</v>
      </c>
      <c r="D1229" s="70" t="n">
        <v>1137</v>
      </c>
      <c r="E1229" s="72" t="inlineStr">
        <is>
          <t xml:space="preserve">FOLHA DE PAGAMENTO </t>
        </is>
      </c>
      <c r="F1229" s="70" t="n">
        <v>34</v>
      </c>
      <c r="G1229" s="72" t="inlineStr">
        <is>
          <t>Transferencia Pix</t>
        </is>
      </c>
      <c r="H1229" s="70" t="n">
        <v>1110202</v>
      </c>
      <c r="I1229" s="72" t="inlineStr">
        <is>
          <t>BANCO ITAU Lj 01</t>
        </is>
      </c>
      <c r="J1229" s="70" t="n">
        <v>1406866</v>
      </c>
      <c r="L1229" s="70" t="n">
        <v>579950</v>
      </c>
      <c r="M1229" s="72" t="inlineStr">
        <is>
          <t>01</t>
        </is>
      </c>
      <c r="N1229" s="72" t="inlineStr">
        <is>
          <t>AVU</t>
        </is>
      </c>
      <c r="P1229" s="70" t="n">
        <v>101</v>
      </c>
      <c r="Q1229" s="72" t="inlineStr">
        <is>
          <t>KEILA LIMA</t>
        </is>
      </c>
      <c r="R1229" s="72" t="inlineStr">
        <is>
          <t>DESPESAS COM PESSOAL</t>
        </is>
      </c>
      <c r="S1229" s="70" t="n">
        <v>4210301</v>
      </c>
      <c r="T1229" s="72" t="inlineStr">
        <is>
          <t>SALARIOS</t>
        </is>
      </c>
      <c r="U1229" s="73" t="n">
        <v>3500</v>
      </c>
      <c r="W1229" s="73" t="n">
        <v>0</v>
      </c>
      <c r="X1229" s="72" t="inlineStr">
        <is>
          <t>PAG ADIANTAMENTO SALARIO MO1 07/26 - KEILA</t>
        </is>
      </c>
      <c r="Z1229" s="59">
        <f>IF($T1229="","",IFERROR(INDEX('Resumo Grupos'!$AC$3:$AC$200,MATCH($T1229,'Resumo Grupos'!$AB$3:$AB$200,0)),"n/d"))</f>
        <v/>
      </c>
      <c r="AA1229" s="59">
        <f>IF($T1229="","",IF(COUNTIF('Resumo Grupos'!$AE$3:$AE$40,$T1229)&gt;0,"NAO","SIM"))</f>
        <v/>
      </c>
    </row>
    <row r="1230" ht="54.75" customHeight="1" s="60">
      <c r="A1230" s="70" t="n">
        <v>1</v>
      </c>
      <c r="B1230" s="71" t="n">
        <v>46219</v>
      </c>
      <c r="C1230" s="71" t="n">
        <v>46219</v>
      </c>
      <c r="D1230" s="70" t="n">
        <v>514</v>
      </c>
      <c r="E1230" s="72" t="inlineStr">
        <is>
          <t>SANTANDER SA</t>
        </is>
      </c>
      <c r="F1230" s="70" t="n">
        <v>34</v>
      </c>
      <c r="G1230" s="72" t="inlineStr">
        <is>
          <t>Transferencia Pix</t>
        </is>
      </c>
      <c r="H1230" s="70" t="n">
        <v>1110202</v>
      </c>
      <c r="I1230" s="72" t="inlineStr">
        <is>
          <t>BANCO ITAU Lj 01</t>
        </is>
      </c>
      <c r="J1230" s="70" t="n">
        <v>1406993</v>
      </c>
      <c r="L1230" s="70" t="n">
        <v>579980</v>
      </c>
      <c r="M1230" s="72" t="inlineStr">
        <is>
          <t>01</t>
        </is>
      </c>
      <c r="N1230" s="72" t="inlineStr">
        <is>
          <t>AVU</t>
        </is>
      </c>
      <c r="P1230" s="70" t="n">
        <v>102</v>
      </c>
      <c r="Q1230" s="72" t="inlineStr">
        <is>
          <t>ANDREZA ANDRADE</t>
        </is>
      </c>
      <c r="R1230" s="72" t="inlineStr">
        <is>
          <t>DESPESAS OPERACIONAIS</t>
        </is>
      </c>
      <c r="S1230" s="70" t="n">
        <v>4210210</v>
      </c>
      <c r="T1230" s="72" t="inlineStr">
        <is>
          <t>SEGUROS</t>
        </is>
      </c>
      <c r="U1230" s="73" t="n">
        <v>709.67</v>
      </c>
      <c r="W1230" s="73" t="n">
        <v>0</v>
      </c>
      <c r="X1230" s="72" t="inlineStr">
        <is>
          <t>MENSALIDADE DE DE SEGURO SANTANDER 1 VELHO -ANDREZA</t>
        </is>
      </c>
      <c r="Z1230" s="59">
        <f>IF($T1230="","",IFERROR(INDEX('Resumo Grupos'!$AC$3:$AC$200,MATCH($T1230,'Resumo Grupos'!$AB$3:$AB$200,0)),"n/d"))</f>
        <v/>
      </c>
      <c r="AA1230" s="59">
        <f>IF($T1230="","",IF(COUNTIF('Resumo Grupos'!$AE$3:$AE$40,$T1230)&gt;0,"NAO","SIM"))</f>
        <v/>
      </c>
    </row>
    <row r="1231" ht="36.75" customHeight="1" s="60">
      <c r="A1231" s="70" t="n">
        <v>1</v>
      </c>
      <c r="B1231" s="71" t="n">
        <v>46219</v>
      </c>
      <c r="C1231" s="71" t="n">
        <v>46219</v>
      </c>
      <c r="D1231" s="70" t="n">
        <v>514</v>
      </c>
      <c r="E1231" s="72" t="inlineStr">
        <is>
          <t>SANTANDER SA</t>
        </is>
      </c>
      <c r="F1231" s="70" t="n">
        <v>34</v>
      </c>
      <c r="G1231" s="72" t="inlineStr">
        <is>
          <t>Transferencia Pix</t>
        </is>
      </c>
      <c r="H1231" s="70" t="n">
        <v>1110202</v>
      </c>
      <c r="I1231" s="72" t="inlineStr">
        <is>
          <t>BANCO ITAU Lj 01</t>
        </is>
      </c>
      <c r="J1231" s="70" t="n">
        <v>1406999</v>
      </c>
      <c r="L1231" s="70" t="n">
        <v>579982</v>
      </c>
      <c r="M1231" s="72" t="inlineStr">
        <is>
          <t>01</t>
        </is>
      </c>
      <c r="N1231" s="72" t="inlineStr">
        <is>
          <t>AVU</t>
        </is>
      </c>
      <c r="P1231" s="70" t="n">
        <v>102</v>
      </c>
      <c r="Q1231" s="72" t="inlineStr">
        <is>
          <t>ANDREZA ANDRADE</t>
        </is>
      </c>
      <c r="R1231" s="72" t="inlineStr">
        <is>
          <t>DESPESAS NAO OPERACIONAIS</t>
        </is>
      </c>
      <c r="S1231" s="70" t="n">
        <v>4220199</v>
      </c>
      <c r="T1231" s="72" t="inlineStr">
        <is>
          <t>PAGAMENTOS OUTROS NAO OPERACIONAIS</t>
        </is>
      </c>
      <c r="U1231" s="73" t="n">
        <v>710</v>
      </c>
      <c r="W1231" s="73" t="n">
        <v>0</v>
      </c>
      <c r="X1231" s="72" t="inlineStr">
        <is>
          <t>COBERTURA DE CONTA BCO SANTANDER 1 VELHO-ANDREZA</t>
        </is>
      </c>
      <c r="Z1231" s="59">
        <f>IF($T1231="","",IFERROR(INDEX('Resumo Grupos'!$AC$3:$AC$200,MATCH($T1231,'Resumo Grupos'!$AB$3:$AB$200,0)),"n/d"))</f>
        <v/>
      </c>
      <c r="AA1231" s="59">
        <f>IF($T1231="","",IF(COUNTIF('Resumo Grupos'!$AE$3:$AE$40,$T1231)&gt;0,"NAO","SIM"))</f>
        <v/>
      </c>
    </row>
    <row r="1232" ht="36.75" customHeight="1" s="60">
      <c r="A1232" s="70" t="n">
        <v>1</v>
      </c>
      <c r="B1232" s="71" t="n">
        <v>46219</v>
      </c>
      <c r="C1232" s="71" t="n">
        <v>46219</v>
      </c>
      <c r="D1232" s="70" t="n">
        <v>1695</v>
      </c>
      <c r="E1232" s="72" t="inlineStr">
        <is>
          <t>BRAGA TABACARIA EIRELI ME</t>
        </is>
      </c>
      <c r="F1232" s="70" t="n">
        <v>34</v>
      </c>
      <c r="G1232" s="72" t="inlineStr">
        <is>
          <t>Transferencia Pix</t>
        </is>
      </c>
      <c r="H1232" s="70" t="n">
        <v>1110202</v>
      </c>
      <c r="I1232" s="72" t="inlineStr">
        <is>
          <t>BANCO ITAU Lj 01</t>
        </is>
      </c>
      <c r="J1232" s="70" t="n">
        <v>1434803</v>
      </c>
      <c r="L1232" s="70" t="n">
        <v>590716</v>
      </c>
      <c r="M1232" s="72" t="inlineStr">
        <is>
          <t>01</t>
        </is>
      </c>
      <c r="N1232" s="72" t="inlineStr">
        <is>
          <t>AVU</t>
        </is>
      </c>
      <c r="P1232" s="70" t="n">
        <v>102</v>
      </c>
      <c r="Q1232" s="72" t="inlineStr">
        <is>
          <t>ANDREZA ANDRADE</t>
        </is>
      </c>
      <c r="R1232" s="72" t="inlineStr">
        <is>
          <t>ESTOQUE DE MERCADORIAS</t>
        </is>
      </c>
      <c r="S1232" s="70" t="n">
        <v>1130101</v>
      </c>
      <c r="T1232" s="72" t="inlineStr">
        <is>
          <t>MERCADORIAS P/REVENDA</t>
        </is>
      </c>
      <c r="U1232" s="73" t="n">
        <v>118.45</v>
      </c>
      <c r="W1232" s="73" t="n">
        <v>0</v>
      </c>
      <c r="X1232" s="72" t="inlineStr">
        <is>
          <t xml:space="preserve">COMPRAS S/NF XAROPE -ANDREZA </t>
        </is>
      </c>
      <c r="Z1232" s="59">
        <f>IF($T1232="","",IFERROR(INDEX('Resumo Grupos'!$AC$3:$AC$200,MATCH($T1232,'Resumo Grupos'!$AB$3:$AB$200,0)),"n/d"))</f>
        <v/>
      </c>
      <c r="AA1232" s="59">
        <f>IF($T1232="","",IF(COUNTIF('Resumo Grupos'!$AE$3:$AE$40,$T1232)&gt;0,"NAO","SIM"))</f>
        <v/>
      </c>
    </row>
    <row r="1233" ht="36.75" customHeight="1" s="60">
      <c r="A1233" s="70" t="n">
        <v>1</v>
      </c>
      <c r="B1233" s="71" t="n">
        <v>46220</v>
      </c>
      <c r="C1233" s="71" t="n">
        <v>46220</v>
      </c>
      <c r="D1233" s="70" t="n">
        <v>10096</v>
      </c>
      <c r="E1233" s="72" t="inlineStr">
        <is>
          <t>H L M PADARIA E CONFEITARIA LTDA</t>
        </is>
      </c>
      <c r="F1233" s="70" t="n">
        <v>13</v>
      </c>
      <c r="G1233" s="72" t="inlineStr">
        <is>
          <t>Compra a Vista</t>
        </is>
      </c>
      <c r="H1233" s="70" t="n">
        <v>2110101</v>
      </c>
      <c r="I1233" s="72" t="inlineStr">
        <is>
          <t>FORNECEDORES DE MERCADORIA</t>
        </is>
      </c>
      <c r="J1233" s="70" t="n">
        <v>1460043</v>
      </c>
      <c r="L1233" s="70" t="n">
        <v>26</v>
      </c>
      <c r="M1233" s="72" t="inlineStr">
        <is>
          <t>01</t>
        </is>
      </c>
      <c r="N1233" s="72" t="inlineStr">
        <is>
          <t>NFE</t>
        </is>
      </c>
      <c r="P1233" s="70" t="n">
        <v>104</v>
      </c>
      <c r="Q1233" s="72" t="inlineStr">
        <is>
          <t>DEBORA COSTA</t>
        </is>
      </c>
      <c r="R1233" s="72" t="inlineStr">
        <is>
          <t>ESTOQUE DE MERCADORIAS</t>
        </is>
      </c>
      <c r="S1233" s="70" t="n">
        <v>1130101</v>
      </c>
      <c r="T1233" s="72" t="inlineStr">
        <is>
          <t>MERCADORIAS P/REVENDA</t>
        </is>
      </c>
      <c r="U1233" s="73" t="n">
        <v>560</v>
      </c>
      <c r="W1233" s="73" t="n">
        <v>560</v>
      </c>
      <c r="X1233" s="72" t="inlineStr">
        <is>
          <t>NF 26 - 20/06 - DEBORA</t>
        </is>
      </c>
      <c r="Z1233" s="59">
        <f>IF($T1233="","",IFERROR(INDEX('Resumo Grupos'!$AC$3:$AC$200,MATCH($T1233,'Resumo Grupos'!$AB$3:$AB$200,0)),"n/d"))</f>
        <v/>
      </c>
      <c r="AA1233" s="59">
        <f>IF($T1233="","",IF(COUNTIF('Resumo Grupos'!$AE$3:$AE$40,$T1233)&gt;0,"NAO","SIM"))</f>
        <v/>
      </c>
    </row>
    <row r="1234" ht="36.75" customHeight="1" s="60">
      <c r="A1234" s="70" t="n">
        <v>1</v>
      </c>
      <c r="B1234" s="71" t="n">
        <v>46160</v>
      </c>
      <c r="C1234" s="71" t="n">
        <v>46220</v>
      </c>
      <c r="D1234" s="70" t="n">
        <v>815</v>
      </c>
      <c r="E1234" s="72" t="inlineStr">
        <is>
          <t xml:space="preserve">ROBSON - ROBINHO </t>
        </is>
      </c>
      <c r="F1234" s="70" t="n">
        <v>34</v>
      </c>
      <c r="G1234" s="72" t="inlineStr">
        <is>
          <t>Transferencia Pix</t>
        </is>
      </c>
      <c r="H1234" s="70" t="n">
        <v>2110405</v>
      </c>
      <c r="I1234" s="72" t="inlineStr">
        <is>
          <t>CONTAS A PAGAR</t>
        </is>
      </c>
      <c r="J1234" s="70" t="n">
        <v>1117358</v>
      </c>
      <c r="L1234" s="70" t="n">
        <v>467458</v>
      </c>
      <c r="M1234" s="72" t="inlineStr">
        <is>
          <t>02</t>
        </is>
      </c>
      <c r="N1234" s="72" t="inlineStr">
        <is>
          <t>AVU</t>
        </is>
      </c>
      <c r="P1234" s="70" t="n">
        <v>101</v>
      </c>
      <c r="Q1234" s="72" t="inlineStr">
        <is>
          <t>KEILA LIMA</t>
        </is>
      </c>
      <c r="R1234" s="72" t="inlineStr">
        <is>
          <t>EMPRESTIMOS BANCARIOS</t>
        </is>
      </c>
      <c r="S1234" s="70" t="n">
        <v>2110901</v>
      </c>
      <c r="T1234" s="72" t="inlineStr">
        <is>
          <t>EMPRESTIMOS BANCARIOS A PAGAR</t>
        </is>
      </c>
      <c r="U1234" s="73" t="n">
        <v>6000</v>
      </c>
      <c r="W1234" s="73" t="n">
        <v>0</v>
      </c>
      <c r="X1234" s="72" t="inlineStr">
        <is>
          <t>JUROS DO EMPRESTIMO C/ ROBINHO 200MIL MO1 -KEILA</t>
        </is>
      </c>
      <c r="Z1234" s="59">
        <f>IF($T1234="","",IFERROR(INDEX('Resumo Grupos'!$AC$3:$AC$200,MATCH($T1234,'Resumo Grupos'!$AB$3:$AB$200,0)),"n/d"))</f>
        <v/>
      </c>
      <c r="AA1234" s="59">
        <f>IF($T1234="","",IF(COUNTIF('Resumo Grupos'!$AE$3:$AE$40,$T1234)&gt;0,"NAO","SIM"))</f>
        <v/>
      </c>
    </row>
    <row r="1235" ht="36.75" customHeight="1" s="60">
      <c r="A1235" s="70" t="n">
        <v>1</v>
      </c>
      <c r="B1235" s="71" t="n">
        <v>46192</v>
      </c>
      <c r="C1235" s="71" t="n">
        <v>46220</v>
      </c>
      <c r="D1235" s="70" t="n">
        <v>1739</v>
      </c>
      <c r="E1235" s="72" t="inlineStr">
        <is>
          <t>SABIA COMERCIO DE COSMETICOS LTDA</t>
        </is>
      </c>
      <c r="F1235" s="70" t="n">
        <v>24</v>
      </c>
      <c r="G1235" s="72" t="inlineStr">
        <is>
          <t>Compra a Prazo - Boletos</t>
        </is>
      </c>
      <c r="H1235" s="70" t="n">
        <v>2110101</v>
      </c>
      <c r="I1235" s="72" t="inlineStr">
        <is>
          <t>FORNECEDORES DE MERCADORIA</t>
        </is>
      </c>
      <c r="J1235" s="70" t="n">
        <v>1273162</v>
      </c>
      <c r="L1235" s="70" t="n">
        <v>250257</v>
      </c>
      <c r="M1235" s="72" t="inlineStr">
        <is>
          <t>02</t>
        </is>
      </c>
      <c r="N1235" s="72" t="inlineStr">
        <is>
          <t>NFE</t>
        </is>
      </c>
      <c r="P1235" s="70" t="n">
        <v>103</v>
      </c>
      <c r="Q1235" s="72" t="inlineStr">
        <is>
          <t>MILKA FRANCIS</t>
        </is>
      </c>
      <c r="R1235" s="72" t="inlineStr">
        <is>
          <t>ESTOQUE DE MERCADORIAS</t>
        </is>
      </c>
      <c r="S1235" s="70" t="n">
        <v>1130101</v>
      </c>
      <c r="T1235" s="72" t="inlineStr">
        <is>
          <t>MERCADORIAS P/REVENDA</t>
        </is>
      </c>
      <c r="U1235" s="73" t="n">
        <v>477.39</v>
      </c>
      <c r="W1235" s="73" t="n">
        <v>0</v>
      </c>
      <c r="X1235" s="72" t="inlineStr">
        <is>
          <t>NF 250257-2 MILKA</t>
        </is>
      </c>
      <c r="Z1235" s="59">
        <f>IF($T1235="","",IFERROR(INDEX('Resumo Grupos'!$AC$3:$AC$200,MATCH($T1235,'Resumo Grupos'!$AB$3:$AB$200,0)),"n/d"))</f>
        <v/>
      </c>
      <c r="AA1235" s="59">
        <f>IF($T1235="","",IF(COUNTIF('Resumo Grupos'!$AE$3:$AE$40,$T1235)&gt;0,"NAO","SIM"))</f>
        <v/>
      </c>
    </row>
    <row r="1236" ht="36.75" customHeight="1" s="60">
      <c r="A1236" s="70" t="n">
        <v>1</v>
      </c>
      <c r="B1236" s="71" t="n">
        <v>46193</v>
      </c>
      <c r="C1236" s="71" t="n">
        <v>46220</v>
      </c>
      <c r="D1236" s="70" t="n">
        <v>1718</v>
      </c>
      <c r="E1236" s="72" t="inlineStr">
        <is>
          <t>DISTRIBUIDORA FARIAS LTDA.</t>
        </is>
      </c>
      <c r="F1236" s="70" t="n">
        <v>24</v>
      </c>
      <c r="G1236" s="72" t="inlineStr">
        <is>
          <t>Compra a Prazo - Boletos</t>
        </is>
      </c>
      <c r="H1236" s="70" t="n">
        <v>2110101</v>
      </c>
      <c r="I1236" s="72" t="inlineStr">
        <is>
          <t>FORNECEDORES DE MERCADORIA</t>
        </is>
      </c>
      <c r="J1236" s="70" t="n">
        <v>1280728</v>
      </c>
      <c r="L1236" s="70" t="n">
        <v>674930</v>
      </c>
      <c r="M1236" s="72" t="inlineStr">
        <is>
          <t>03</t>
        </is>
      </c>
      <c r="N1236" s="72" t="inlineStr">
        <is>
          <t>NFE</t>
        </is>
      </c>
      <c r="P1236" s="70" t="n">
        <v>103</v>
      </c>
      <c r="Q1236" s="72" t="inlineStr">
        <is>
          <t>MILKA FRANCIS</t>
        </is>
      </c>
      <c r="R1236" s="72" t="inlineStr">
        <is>
          <t>ESTOQUE DE MERCADORIAS</t>
        </is>
      </c>
      <c r="S1236" s="70" t="n">
        <v>1130101</v>
      </c>
      <c r="T1236" s="72" t="inlineStr">
        <is>
          <t>MERCADORIAS P/REVENDA</t>
        </is>
      </c>
      <c r="U1236" s="73" t="n">
        <v>478.43</v>
      </c>
      <c r="W1236" s="73" t="n">
        <v>0</v>
      </c>
      <c r="X1236" s="72" t="inlineStr">
        <is>
          <t>789209-C/C  NF674930 - MILKA</t>
        </is>
      </c>
      <c r="Z1236" s="59">
        <f>IF($T1236="","",IFERROR(INDEX('Resumo Grupos'!$AC$3:$AC$200,MATCH($T1236,'Resumo Grupos'!$AB$3:$AB$200,0)),"n/d"))</f>
        <v/>
      </c>
      <c r="AA1236" s="59">
        <f>IF($T1236="","",IF(COUNTIF('Resumo Grupos'!$AE$3:$AE$40,$T1236)&gt;0,"NAO","SIM"))</f>
        <v/>
      </c>
    </row>
    <row r="1237" ht="45.75" customHeight="1" s="60">
      <c r="A1237" s="70" t="n">
        <v>1</v>
      </c>
      <c r="B1237" s="71" t="n">
        <v>46195</v>
      </c>
      <c r="C1237" s="71" t="n">
        <v>46220</v>
      </c>
      <c r="D1237" s="70" t="n">
        <v>1740</v>
      </c>
      <c r="E1237" s="72" t="inlineStr">
        <is>
          <t>OCIDENTAL COMERCIO DE FRIOS LTDA</t>
        </is>
      </c>
      <c r="F1237" s="70" t="n">
        <v>24</v>
      </c>
      <c r="G1237" s="72" t="inlineStr">
        <is>
          <t>Compra a Prazo - Boletos</t>
        </is>
      </c>
      <c r="H1237" s="70" t="n">
        <v>2110101</v>
      </c>
      <c r="I1237" s="72" t="inlineStr">
        <is>
          <t>FORNECEDORES DE MERCADORIA</t>
        </is>
      </c>
      <c r="J1237" s="70" t="n">
        <v>1289301</v>
      </c>
      <c r="L1237" s="70" t="n">
        <v>1238958</v>
      </c>
      <c r="M1237" s="72" t="inlineStr">
        <is>
          <t>03</t>
        </is>
      </c>
      <c r="N1237" s="72" t="inlineStr">
        <is>
          <t>NFE</t>
        </is>
      </c>
      <c r="P1237" s="70" t="n">
        <v>103</v>
      </c>
      <c r="Q1237" s="72" t="inlineStr">
        <is>
          <t>MILKA FRANCIS</t>
        </is>
      </c>
      <c r="R1237" s="72" t="inlineStr">
        <is>
          <t>ESTOQUE DE MERCADORIAS</t>
        </is>
      </c>
      <c r="S1237" s="70" t="n">
        <v>1130101</v>
      </c>
      <c r="T1237" s="72" t="inlineStr">
        <is>
          <t>MERCADORIAS P/REVENDA</t>
        </is>
      </c>
      <c r="U1237" s="73" t="n">
        <v>2272.59</v>
      </c>
      <c r="W1237" s="73" t="n">
        <v>0</v>
      </c>
      <c r="X1237" s="72" t="inlineStr">
        <is>
          <t>NF 1238958-3/3 MILKA</t>
        </is>
      </c>
      <c r="Z1237" s="59">
        <f>IF($T1237="","",IFERROR(INDEX('Resumo Grupos'!$AC$3:$AC$200,MATCH($T1237,'Resumo Grupos'!$AB$3:$AB$200,0)),"n/d"))</f>
        <v/>
      </c>
      <c r="AA1237" s="59">
        <f>IF($T1237="","",IF(COUNTIF('Resumo Grupos'!$AE$3:$AE$40,$T1237)&gt;0,"NAO","SIM"))</f>
        <v/>
      </c>
    </row>
    <row r="1238" ht="36.75" customHeight="1" s="60">
      <c r="A1238" s="70" t="n">
        <v>1</v>
      </c>
      <c r="B1238" s="71" t="n">
        <v>46199</v>
      </c>
      <c r="C1238" s="71" t="n">
        <v>46220</v>
      </c>
      <c r="D1238" s="70" t="n">
        <v>1612</v>
      </c>
      <c r="E1238" s="72" t="inlineStr">
        <is>
          <t>EMPRESA BRASILEIRA DE DISTRIBUICAO LTDA</t>
        </is>
      </c>
      <c r="F1238" s="70" t="n">
        <v>24</v>
      </c>
      <c r="G1238" s="72" t="inlineStr">
        <is>
          <t>Compra a Prazo - Boletos</t>
        </is>
      </c>
      <c r="H1238" s="70" t="n">
        <v>2110101</v>
      </c>
      <c r="I1238" s="72" t="inlineStr">
        <is>
          <t>FORNECEDORES DE MERCADORIA</t>
        </is>
      </c>
      <c r="J1238" s="70" t="n">
        <v>1309121</v>
      </c>
      <c r="L1238" s="70" t="n">
        <v>2295786</v>
      </c>
      <c r="M1238" s="72" t="inlineStr">
        <is>
          <t>01</t>
        </is>
      </c>
      <c r="N1238" s="72" t="inlineStr">
        <is>
          <t>NFE</t>
        </is>
      </c>
      <c r="P1238" s="70" t="n">
        <v>103</v>
      </c>
      <c r="Q1238" s="72" t="inlineStr">
        <is>
          <t>MILKA FRANCIS</t>
        </is>
      </c>
      <c r="R1238" s="72" t="inlineStr">
        <is>
          <t>ESTOQUE DE MERCADORIAS</t>
        </is>
      </c>
      <c r="S1238" s="70" t="n">
        <v>1130101</v>
      </c>
      <c r="T1238" s="72" t="inlineStr">
        <is>
          <t>MERCADORIAS P/REVENDA</t>
        </is>
      </c>
      <c r="U1238" s="73" t="n">
        <v>1646.34</v>
      </c>
      <c r="W1238" s="73" t="n">
        <v>0</v>
      </c>
      <c r="X1238" s="72" t="inlineStr">
        <is>
          <t>NF 2295786 - MILKA</t>
        </is>
      </c>
      <c r="Z1238" s="59">
        <f>IF($T1238="","",IFERROR(INDEX('Resumo Grupos'!$AC$3:$AC$200,MATCH($T1238,'Resumo Grupos'!$AB$3:$AB$200,0)),"n/d"))</f>
        <v/>
      </c>
      <c r="AA1238" s="59">
        <f>IF($T1238="","",IF(COUNTIF('Resumo Grupos'!$AE$3:$AE$40,$T1238)&gt;0,"NAO","SIM"))</f>
        <v/>
      </c>
    </row>
    <row r="1239" ht="45.75" customHeight="1" s="60">
      <c r="A1239" s="70" t="n">
        <v>1</v>
      </c>
      <c r="B1239" s="71" t="n">
        <v>46200</v>
      </c>
      <c r="C1239" s="71" t="n">
        <v>46220</v>
      </c>
      <c r="D1239" s="70" t="n">
        <v>1749</v>
      </c>
      <c r="E1239" s="72" t="inlineStr">
        <is>
          <t>ORIENTE COM. ATACADISTA E REPRES. LTDA</t>
        </is>
      </c>
      <c r="F1239" s="70" t="n">
        <v>24</v>
      </c>
      <c r="G1239" s="72" t="inlineStr">
        <is>
          <t>Compra a Prazo - Boletos</t>
        </is>
      </c>
      <c r="H1239" s="70" t="n">
        <v>2110101</v>
      </c>
      <c r="I1239" s="72" t="inlineStr">
        <is>
          <t>FORNECEDORES DE MERCADORIA</t>
        </is>
      </c>
      <c r="J1239" s="70" t="n">
        <v>1312870</v>
      </c>
      <c r="L1239" s="70" t="n">
        <v>2033</v>
      </c>
      <c r="M1239" s="72" t="inlineStr">
        <is>
          <t>03</t>
        </is>
      </c>
      <c r="N1239" s="72" t="inlineStr">
        <is>
          <t>NFE</t>
        </is>
      </c>
      <c r="P1239" s="70" t="n">
        <v>103</v>
      </c>
      <c r="Q1239" s="72" t="inlineStr">
        <is>
          <t>MILKA FRANCIS</t>
        </is>
      </c>
      <c r="R1239" s="72" t="inlineStr">
        <is>
          <t>ESTOQUE DE MERCADORIAS</t>
        </is>
      </c>
      <c r="S1239" s="70" t="n">
        <v>1130101</v>
      </c>
      <c r="T1239" s="72" t="inlineStr">
        <is>
          <t>MERCADORIAS P/REVENDA</t>
        </is>
      </c>
      <c r="U1239" s="73" t="n">
        <v>754.66</v>
      </c>
      <c r="W1239" s="73" t="n">
        <v>0</v>
      </c>
      <c r="X1239" s="72" t="inlineStr">
        <is>
          <t>2435/3  NF2033 - MILKA</t>
        </is>
      </c>
      <c r="Z1239" s="59">
        <f>IF($T1239="","",IFERROR(INDEX('Resumo Grupos'!$AC$3:$AC$200,MATCH($T1239,'Resumo Grupos'!$AB$3:$AB$200,0)),"n/d"))</f>
        <v/>
      </c>
      <c r="AA1239" s="59">
        <f>IF($T1239="","",IF(COUNTIF('Resumo Grupos'!$AE$3:$AE$40,$T1239)&gt;0,"NAO","SIM"))</f>
        <v/>
      </c>
    </row>
    <row r="1240" ht="36.75" customHeight="1" s="60">
      <c r="A1240" s="70" t="n">
        <v>1</v>
      </c>
      <c r="B1240" s="71" t="n">
        <v>46202</v>
      </c>
      <c r="C1240" s="71" t="n">
        <v>46220</v>
      </c>
      <c r="D1240" s="70" t="n">
        <v>1740</v>
      </c>
      <c r="E1240" s="72" t="inlineStr">
        <is>
          <t>OCIDENTAL COMERCIO DE FRIOS LTDA</t>
        </is>
      </c>
      <c r="F1240" s="70" t="n">
        <v>24</v>
      </c>
      <c r="G1240" s="72" t="inlineStr">
        <is>
          <t>Compra a Prazo - Boletos</t>
        </is>
      </c>
      <c r="H1240" s="70" t="n">
        <v>2110101</v>
      </c>
      <c r="I1240" s="72" t="inlineStr">
        <is>
          <t>FORNECEDORES DE MERCADORIA</t>
        </is>
      </c>
      <c r="J1240" s="70" t="n">
        <v>1322290</v>
      </c>
      <c r="L1240" s="70" t="n">
        <v>1241434</v>
      </c>
      <c r="M1240" s="72" t="inlineStr">
        <is>
          <t>02</t>
        </is>
      </c>
      <c r="N1240" s="72" t="inlineStr">
        <is>
          <t>NFE</t>
        </is>
      </c>
      <c r="P1240" s="70" t="n">
        <v>103</v>
      </c>
      <c r="Q1240" s="72" t="inlineStr">
        <is>
          <t>MILKA FRANCIS</t>
        </is>
      </c>
      <c r="R1240" s="72" t="inlineStr">
        <is>
          <t>ESTOQUE DE MERCADORIAS</t>
        </is>
      </c>
      <c r="S1240" s="70" t="n">
        <v>1130101</v>
      </c>
      <c r="T1240" s="72" t="inlineStr">
        <is>
          <t>MERCADORIAS P/REVENDA</t>
        </is>
      </c>
      <c r="U1240" s="73" t="n">
        <v>537.72</v>
      </c>
      <c r="W1240" s="73" t="n">
        <v>0</v>
      </c>
      <c r="X1240" s="72" t="inlineStr">
        <is>
          <t>NF 1241434-2/3 - MILKA</t>
        </is>
      </c>
      <c r="Z1240" s="59">
        <f>IF($T1240="","",IFERROR(INDEX('Resumo Grupos'!$AC$3:$AC$200,MATCH($T1240,'Resumo Grupos'!$AB$3:$AB$200,0)),"n/d"))</f>
        <v/>
      </c>
      <c r="AA1240" s="59">
        <f>IF($T1240="","",IF(COUNTIF('Resumo Grupos'!$AE$3:$AE$40,$T1240)&gt;0,"NAO","SIM"))</f>
        <v/>
      </c>
    </row>
    <row r="1241" ht="36.75" customHeight="1" s="60">
      <c r="A1241" s="70" t="n">
        <v>1</v>
      </c>
      <c r="B1241" s="71" t="n">
        <v>46203</v>
      </c>
      <c r="C1241" s="71" t="n">
        <v>46220</v>
      </c>
      <c r="D1241" s="70" t="n">
        <v>794</v>
      </c>
      <c r="E1241" s="72" t="inlineStr">
        <is>
          <t>EDMARA COMERCIO DE HIGIENE PESSOAL LTDA</t>
        </is>
      </c>
      <c r="F1241" s="70" t="n">
        <v>24</v>
      </c>
      <c r="G1241" s="72" t="inlineStr">
        <is>
          <t>Compra a Prazo - Boletos</t>
        </is>
      </c>
      <c r="H1241" s="70" t="n">
        <v>2110101</v>
      </c>
      <c r="I1241" s="72" t="inlineStr">
        <is>
          <t>FORNECEDORES DE MERCADORIA</t>
        </is>
      </c>
      <c r="J1241" s="70" t="n">
        <v>1330337</v>
      </c>
      <c r="L1241" s="70" t="n">
        <v>8208</v>
      </c>
      <c r="M1241" s="72" t="inlineStr">
        <is>
          <t>02</t>
        </is>
      </c>
      <c r="N1241" s="72" t="inlineStr">
        <is>
          <t>NFE</t>
        </is>
      </c>
      <c r="P1241" s="70" t="n">
        <v>103</v>
      </c>
      <c r="Q1241" s="72" t="inlineStr">
        <is>
          <t>MILKA FRANCIS</t>
        </is>
      </c>
      <c r="R1241" s="72" t="inlineStr">
        <is>
          <t>ESTOQUE DE MERCADORIAS</t>
        </is>
      </c>
      <c r="S1241" s="70" t="n">
        <v>1130101</v>
      </c>
      <c r="T1241" s="72" t="inlineStr">
        <is>
          <t>MERCADORIAS P/REVENDA</t>
        </is>
      </c>
      <c r="U1241" s="73" t="n">
        <v>526.89</v>
      </c>
      <c r="W1241" s="73" t="n">
        <v>0</v>
      </c>
      <c r="X1241" s="72" t="inlineStr">
        <is>
          <t>5120-B/C  NF8208 - MILKA</t>
        </is>
      </c>
      <c r="Z1241" s="59">
        <f>IF($T1241="","",IFERROR(INDEX('Resumo Grupos'!$AC$3:$AC$200,MATCH($T1241,'Resumo Grupos'!$AB$3:$AB$200,0)),"n/d"))</f>
        <v/>
      </c>
      <c r="AA1241" s="59">
        <f>IF($T1241="","",IF(COUNTIF('Resumo Grupos'!$AE$3:$AE$40,$T1241)&gt;0,"NAO","SIM"))</f>
        <v/>
      </c>
    </row>
    <row r="1242" ht="72.75" customHeight="1" s="60">
      <c r="A1242" s="70" t="n">
        <v>1</v>
      </c>
      <c r="B1242" s="71" t="n">
        <v>46207</v>
      </c>
      <c r="C1242" s="71" t="n">
        <v>46220</v>
      </c>
      <c r="D1242" s="70" t="n">
        <v>1815</v>
      </c>
      <c r="E1242" s="72" t="inlineStr">
        <is>
          <t>J G COMERCIO DE PRODUTOS ALIMENTICIOS LTDA</t>
        </is>
      </c>
      <c r="F1242" s="70" t="n">
        <v>24</v>
      </c>
      <c r="G1242" s="72" t="inlineStr">
        <is>
          <t>Compra a Prazo - Boletos</t>
        </is>
      </c>
      <c r="H1242" s="70" t="n">
        <v>2110101</v>
      </c>
      <c r="I1242" s="72" t="inlineStr">
        <is>
          <t>FORNECEDORES DE MERCADORIA</t>
        </is>
      </c>
      <c r="J1242" s="70" t="n">
        <v>1348411</v>
      </c>
      <c r="L1242" s="70" t="n">
        <v>390550</v>
      </c>
      <c r="M1242" s="72" t="inlineStr">
        <is>
          <t>02</t>
        </is>
      </c>
      <c r="N1242" s="72" t="inlineStr">
        <is>
          <t>NFE</t>
        </is>
      </c>
      <c r="P1242" s="70" t="n">
        <v>103</v>
      </c>
      <c r="Q1242" s="72" t="inlineStr">
        <is>
          <t>MILKA FRANCIS</t>
        </is>
      </c>
      <c r="R1242" s="72" t="inlineStr">
        <is>
          <t>ESTOQUE DE MERCADORIAS</t>
        </is>
      </c>
      <c r="S1242" s="70" t="n">
        <v>1130101</v>
      </c>
      <c r="T1242" s="72" t="inlineStr">
        <is>
          <t>MERCADORIAS P/REVENDA</t>
        </is>
      </c>
      <c r="U1242" s="73" t="n">
        <v>2340.64</v>
      </c>
      <c r="W1242" s="73" t="n">
        <v>0</v>
      </c>
      <c r="X1242" s="72" t="inlineStr">
        <is>
          <t>454446-B/C  NF390550 - MILKA</t>
        </is>
      </c>
      <c r="Z1242" s="59">
        <f>IF($T1242="","",IFERROR(INDEX('Resumo Grupos'!$AC$3:$AC$200,MATCH($T1242,'Resumo Grupos'!$AB$3:$AB$200,0)),"n/d"))</f>
        <v/>
      </c>
      <c r="AA1242" s="59">
        <f>IF($T1242="","",IF(COUNTIF('Resumo Grupos'!$AE$3:$AE$40,$T1242)&gt;0,"NAO","SIM"))</f>
        <v/>
      </c>
    </row>
    <row r="1243" ht="36.75" customHeight="1" s="60">
      <c r="A1243" s="70" t="n">
        <v>1</v>
      </c>
      <c r="B1243" s="71" t="n">
        <v>46207</v>
      </c>
      <c r="C1243" s="71" t="n">
        <v>46220</v>
      </c>
      <c r="D1243" s="70" t="n">
        <v>1114</v>
      </c>
      <c r="E1243" s="72" t="inlineStr">
        <is>
          <t>NT INDUSTRIA E COMERCIO DE PANIFICACAO L</t>
        </is>
      </c>
      <c r="F1243" s="70" t="n">
        <v>24</v>
      </c>
      <c r="G1243" s="72" t="inlineStr">
        <is>
          <t>Compra a Prazo - Boletos</t>
        </is>
      </c>
      <c r="H1243" s="70" t="n">
        <v>2110101</v>
      </c>
      <c r="I1243" s="72" t="inlineStr">
        <is>
          <t>FORNECEDORES DE MERCADORIA</t>
        </is>
      </c>
      <c r="J1243" s="70" t="n">
        <v>1348443</v>
      </c>
      <c r="L1243" s="70" t="n">
        <v>40130</v>
      </c>
      <c r="M1243" s="72" t="inlineStr">
        <is>
          <t>01</t>
        </is>
      </c>
      <c r="N1243" s="72" t="inlineStr">
        <is>
          <t>NFE</t>
        </is>
      </c>
      <c r="P1243" s="70" t="n">
        <v>103</v>
      </c>
      <c r="Q1243" s="72" t="inlineStr">
        <is>
          <t>MILKA FRANCIS</t>
        </is>
      </c>
      <c r="R1243" s="72" t="inlineStr">
        <is>
          <t>ESTOQUE DE MERCADORIAS</t>
        </is>
      </c>
      <c r="S1243" s="70" t="n">
        <v>1130101</v>
      </c>
      <c r="T1243" s="72" t="inlineStr">
        <is>
          <t>MERCADORIAS P/REVENDA</t>
        </is>
      </c>
      <c r="U1243" s="73" t="n">
        <v>5344.86</v>
      </c>
      <c r="W1243" s="73" t="n">
        <v>0</v>
      </c>
      <c r="X1243" s="72" t="inlineStr">
        <is>
          <t>NF 40130 - MILKA</t>
        </is>
      </c>
      <c r="Z1243" s="59">
        <f>IF($T1243="","",IFERROR(INDEX('Resumo Grupos'!$AC$3:$AC$200,MATCH($T1243,'Resumo Grupos'!$AB$3:$AB$200,0)),"n/d"))</f>
        <v/>
      </c>
      <c r="AA1243" s="59">
        <f>IF($T1243="","",IF(COUNTIF('Resumo Grupos'!$AE$3:$AE$40,$T1243)&gt;0,"NAO","SIM"))</f>
        <v/>
      </c>
    </row>
    <row r="1244" ht="36.75" customHeight="1" s="60">
      <c r="A1244" s="70" t="n">
        <v>1</v>
      </c>
      <c r="B1244" s="71" t="n">
        <v>46207</v>
      </c>
      <c r="C1244" s="71" t="n">
        <v>46220</v>
      </c>
      <c r="D1244" s="70" t="n">
        <v>1695</v>
      </c>
      <c r="E1244" s="72" t="inlineStr">
        <is>
          <t>BRAGA TABACARIA EIRELI ME</t>
        </is>
      </c>
      <c r="F1244" s="70" t="n">
        <v>24</v>
      </c>
      <c r="G1244" s="72" t="inlineStr">
        <is>
          <t>Compra a Prazo - Boletos</t>
        </is>
      </c>
      <c r="H1244" s="70" t="n">
        <v>2110101</v>
      </c>
      <c r="I1244" s="72" t="inlineStr">
        <is>
          <t>FORNECEDORES DE MERCADORIA</t>
        </is>
      </c>
      <c r="J1244" s="70" t="n">
        <v>1348708</v>
      </c>
      <c r="L1244" s="70" t="n">
        <v>19022</v>
      </c>
      <c r="M1244" s="72" t="inlineStr">
        <is>
          <t>02</t>
        </is>
      </c>
      <c r="N1244" s="72" t="inlineStr">
        <is>
          <t>NFE</t>
        </is>
      </c>
      <c r="P1244" s="70" t="n">
        <v>103</v>
      </c>
      <c r="Q1244" s="72" t="inlineStr">
        <is>
          <t>MILKA FRANCIS</t>
        </is>
      </c>
      <c r="R1244" s="72" t="inlineStr">
        <is>
          <t>ESTOQUE DE MERCADORIAS</t>
        </is>
      </c>
      <c r="S1244" s="70" t="n">
        <v>1130101</v>
      </c>
      <c r="T1244" s="72" t="inlineStr">
        <is>
          <t>MERCADORIAS P/REVENDA</t>
        </is>
      </c>
      <c r="U1244" s="73" t="n">
        <v>595</v>
      </c>
      <c r="W1244" s="73" t="n">
        <v>0</v>
      </c>
      <c r="X1244" s="72" t="inlineStr">
        <is>
          <t>NF 19022-02 MILKA</t>
        </is>
      </c>
      <c r="Z1244" s="59">
        <f>IF($T1244="","",IFERROR(INDEX('Resumo Grupos'!$AC$3:$AC$200,MATCH($T1244,'Resumo Grupos'!$AB$3:$AB$200,0)),"n/d"))</f>
        <v/>
      </c>
      <c r="AA1244" s="59">
        <f>IF($T1244="","",IF(COUNTIF('Resumo Grupos'!$AE$3:$AE$40,$T1244)&gt;0,"NAO","SIM"))</f>
        <v/>
      </c>
    </row>
    <row r="1245" ht="54.75" customHeight="1" s="60">
      <c r="A1245" s="70" t="n">
        <v>1</v>
      </c>
      <c r="B1245" s="71" t="n">
        <v>46209</v>
      </c>
      <c r="C1245" s="71" t="n">
        <v>46220</v>
      </c>
      <c r="D1245" s="70" t="n">
        <v>10009</v>
      </c>
      <c r="E1245" s="72" t="inlineStr">
        <is>
          <t>NESTLÉ BRASIL LTDA.</t>
        </is>
      </c>
      <c r="F1245" s="70" t="n">
        <v>24</v>
      </c>
      <c r="G1245" s="72" t="inlineStr">
        <is>
          <t>Compra a Prazo - Boletos</t>
        </is>
      </c>
      <c r="H1245" s="70" t="n">
        <v>2110101</v>
      </c>
      <c r="I1245" s="72" t="inlineStr">
        <is>
          <t>FORNECEDORES DE MERCADORIA</t>
        </is>
      </c>
      <c r="J1245" s="70" t="n">
        <v>1360393</v>
      </c>
      <c r="L1245" s="70" t="n">
        <v>1424401</v>
      </c>
      <c r="M1245" s="72" t="inlineStr">
        <is>
          <t>02</t>
        </is>
      </c>
      <c r="N1245" s="72" t="inlineStr">
        <is>
          <t>NFE</t>
        </is>
      </c>
      <c r="P1245" s="70" t="n">
        <v>103</v>
      </c>
      <c r="Q1245" s="72" t="inlineStr">
        <is>
          <t>MILKA FRANCIS</t>
        </is>
      </c>
      <c r="R1245" s="72" t="inlineStr">
        <is>
          <t>ESTOQUE DE MERCADORIAS</t>
        </is>
      </c>
      <c r="S1245" s="70" t="n">
        <v>1130101</v>
      </c>
      <c r="T1245" s="72" t="inlineStr">
        <is>
          <t>MERCADORIAS P/REVENDA</t>
        </is>
      </c>
      <c r="U1245" s="73" t="n">
        <v>868.86</v>
      </c>
      <c r="W1245" s="73" t="n">
        <v>0</v>
      </c>
      <c r="X1245" s="72" t="inlineStr">
        <is>
          <t>NF 1424401-02 MILKA</t>
        </is>
      </c>
      <c r="Z1245" s="59">
        <f>IF($T1245="","",IFERROR(INDEX('Resumo Grupos'!$AC$3:$AC$200,MATCH($T1245,'Resumo Grupos'!$AB$3:$AB$200,0)),"n/d"))</f>
        <v/>
      </c>
      <c r="AA1245" s="59">
        <f>IF($T1245="","",IF(COUNTIF('Resumo Grupos'!$AE$3:$AE$40,$T1245)&gt;0,"NAO","SIM"))</f>
        <v/>
      </c>
    </row>
    <row r="1246" ht="36.75" customHeight="1" s="60">
      <c r="A1246" s="70" t="n">
        <v>1</v>
      </c>
      <c r="B1246" s="71" t="n">
        <v>46211</v>
      </c>
      <c r="C1246" s="71" t="n">
        <v>46220</v>
      </c>
      <c r="D1246" s="70" t="n">
        <v>1270</v>
      </c>
      <c r="E1246" s="72" t="inlineStr">
        <is>
          <t>J. S. MOREIRA ALVES LTDA</t>
        </is>
      </c>
      <c r="F1246" s="70" t="n">
        <v>24</v>
      </c>
      <c r="G1246" s="72" t="inlineStr">
        <is>
          <t>Compra a Prazo - Boletos</t>
        </is>
      </c>
      <c r="H1246" s="70" t="n">
        <v>2110101</v>
      </c>
      <c r="I1246" s="72" t="inlineStr">
        <is>
          <t>FORNECEDORES DE MERCADORIA</t>
        </is>
      </c>
      <c r="J1246" s="70" t="n">
        <v>1369484</v>
      </c>
      <c r="L1246" s="70" t="n">
        <v>2602</v>
      </c>
      <c r="M1246" s="72" t="inlineStr">
        <is>
          <t>01</t>
        </is>
      </c>
      <c r="N1246" s="72" t="inlineStr">
        <is>
          <t>NFE</t>
        </is>
      </c>
      <c r="P1246" s="70" t="n">
        <v>103</v>
      </c>
      <c r="Q1246" s="72" t="inlineStr">
        <is>
          <t>MILKA FRANCIS</t>
        </is>
      </c>
      <c r="R1246" s="72" t="inlineStr">
        <is>
          <t>ESTOQUE DE MERCADORIAS</t>
        </is>
      </c>
      <c r="S1246" s="70" t="n">
        <v>1130101</v>
      </c>
      <c r="T1246" s="72" t="inlineStr">
        <is>
          <t>MERCADORIAS P/REVENDA</t>
        </is>
      </c>
      <c r="U1246" s="73" t="n">
        <v>580.5</v>
      </c>
      <c r="W1246" s="73" t="n">
        <v>0</v>
      </c>
      <c r="X1246" s="72" t="inlineStr">
        <is>
          <t>NF2602 MESA FARTA- MILKA</t>
        </is>
      </c>
      <c r="Z1246" s="59">
        <f>IF($T1246="","",IFERROR(INDEX('Resumo Grupos'!$AC$3:$AC$200,MATCH($T1246,'Resumo Grupos'!$AB$3:$AB$200,0)),"n/d"))</f>
        <v/>
      </c>
      <c r="AA1246" s="59">
        <f>IF($T1246="","",IF(COUNTIF('Resumo Grupos'!$AE$3:$AE$40,$T1246)&gt;0,"NAO","SIM"))</f>
        <v/>
      </c>
    </row>
    <row r="1247" ht="36.75" customHeight="1" s="60">
      <c r="A1247" s="70" t="n">
        <v>1</v>
      </c>
      <c r="B1247" s="71" t="n">
        <v>46213</v>
      </c>
      <c r="C1247" s="71" t="n">
        <v>46220</v>
      </c>
      <c r="D1247" s="70" t="n">
        <v>1642</v>
      </c>
      <c r="E1247" s="72" t="inlineStr">
        <is>
          <t>BROTHERS  INDUSTRIA DE ALIMENTOS LTDA</t>
        </is>
      </c>
      <c r="F1247" s="70" t="n">
        <v>24</v>
      </c>
      <c r="G1247" s="72" t="inlineStr">
        <is>
          <t>Compra a Prazo - Boletos</t>
        </is>
      </c>
      <c r="H1247" s="70" t="n">
        <v>1110202</v>
      </c>
      <c r="I1247" s="72" t="inlineStr">
        <is>
          <t>BANCO ITAU Lj 01</t>
        </is>
      </c>
      <c r="J1247" s="70" t="n">
        <v>1376504</v>
      </c>
      <c r="L1247" s="70" t="n">
        <v>1031245</v>
      </c>
      <c r="M1247" s="72" t="inlineStr">
        <is>
          <t>01</t>
        </is>
      </c>
      <c r="N1247" s="72" t="inlineStr">
        <is>
          <t>AVU</t>
        </is>
      </c>
      <c r="P1247" s="70" t="n">
        <v>103</v>
      </c>
      <c r="Q1247" s="72" t="inlineStr">
        <is>
          <t>MILKA FRANCIS</t>
        </is>
      </c>
      <c r="R1247" s="72" t="inlineStr">
        <is>
          <t>ESTOQUE DE MERCADORIAS</t>
        </is>
      </c>
      <c r="S1247" s="70" t="n">
        <v>1130101</v>
      </c>
      <c r="T1247" s="72" t="inlineStr">
        <is>
          <t>MERCADORIAS P/REVENDA</t>
        </is>
      </c>
      <c r="U1247" s="73" t="n">
        <v>756.45</v>
      </c>
      <c r="W1247" s="73" t="n">
        <v>0</v>
      </c>
      <c r="X1247" s="72" t="inlineStr">
        <is>
          <t>NF 1031245 - MILKA</t>
        </is>
      </c>
      <c r="Z1247" s="59">
        <f>IF($T1247="","",IFERROR(INDEX('Resumo Grupos'!$AC$3:$AC$200,MATCH($T1247,'Resumo Grupos'!$AB$3:$AB$200,0)),"n/d"))</f>
        <v/>
      </c>
      <c r="AA1247" s="59">
        <f>IF($T1247="","",IF(COUNTIF('Resumo Grupos'!$AE$3:$AE$40,$T1247)&gt;0,"NAO","SIM"))</f>
        <v/>
      </c>
    </row>
    <row r="1248" ht="45.75" customHeight="1" s="60">
      <c r="A1248" s="70" t="n">
        <v>1</v>
      </c>
      <c r="B1248" s="71" t="n">
        <v>46213</v>
      </c>
      <c r="C1248" s="71" t="n">
        <v>46220</v>
      </c>
      <c r="D1248" s="70" t="n">
        <v>1666</v>
      </c>
      <c r="E1248" s="72" t="inlineStr">
        <is>
          <t>SOUZA CRUZ LTDA.</t>
        </is>
      </c>
      <c r="F1248" s="70" t="n">
        <v>24</v>
      </c>
      <c r="G1248" s="72" t="inlineStr">
        <is>
          <t>Compra a Prazo - Boletos</t>
        </is>
      </c>
      <c r="H1248" s="70" t="n">
        <v>1110202</v>
      </c>
      <c r="I1248" s="72" t="inlineStr">
        <is>
          <t>BANCO ITAU Lj 01</t>
        </is>
      </c>
      <c r="J1248" s="70" t="n">
        <v>1376881</v>
      </c>
      <c r="L1248" s="70" t="n">
        <v>566543</v>
      </c>
      <c r="M1248" s="72" t="inlineStr">
        <is>
          <t>01</t>
        </is>
      </c>
      <c r="N1248" s="72" t="inlineStr">
        <is>
          <t>AVU</t>
        </is>
      </c>
      <c r="P1248" s="70" t="n">
        <v>103</v>
      </c>
      <c r="Q1248" s="72" t="inlineStr">
        <is>
          <t>MILKA FRANCIS</t>
        </is>
      </c>
      <c r="R1248" s="72" t="inlineStr">
        <is>
          <t>ESTOQUE DE MERCADORIAS</t>
        </is>
      </c>
      <c r="S1248" s="70" t="n">
        <v>1130101</v>
      </c>
      <c r="T1248" s="72" t="inlineStr">
        <is>
          <t>MERCADORIAS P/REVENDA</t>
        </is>
      </c>
      <c r="U1248" s="73" t="n">
        <v>282.34</v>
      </c>
      <c r="W1248" s="73" t="n">
        <v>0</v>
      </c>
      <c r="X1248" s="72" t="inlineStr">
        <is>
          <t>NF 566543 - MILKA</t>
        </is>
      </c>
      <c r="Z1248" s="59">
        <f>IF($T1248="","",IFERROR(INDEX('Resumo Grupos'!$AC$3:$AC$200,MATCH($T1248,'Resumo Grupos'!$AB$3:$AB$200,0)),"n/d"))</f>
        <v/>
      </c>
      <c r="AA1248" s="59">
        <f>IF($T1248="","",IF(COUNTIF('Resumo Grupos'!$AE$3:$AE$40,$T1248)&gt;0,"NAO","SIM"))</f>
        <v/>
      </c>
    </row>
    <row r="1249" ht="82.5" customHeight="1" s="60">
      <c r="A1249" s="70" t="n">
        <v>1</v>
      </c>
      <c r="B1249" s="71" t="n">
        <v>46213</v>
      </c>
      <c r="C1249" s="71" t="n">
        <v>46220</v>
      </c>
      <c r="D1249" s="70" t="n">
        <v>33</v>
      </c>
      <c r="E1249" s="72" t="inlineStr">
        <is>
          <t>RENATO DE O AZEVEDO E CIA LTDA - EPP</t>
        </is>
      </c>
      <c r="F1249" s="70" t="n">
        <v>34</v>
      </c>
      <c r="G1249" s="72" t="inlineStr">
        <is>
          <t>Transferencia Pix</t>
        </is>
      </c>
      <c r="H1249" s="70" t="n">
        <v>2110101</v>
      </c>
      <c r="I1249" s="72" t="inlineStr">
        <is>
          <t>FORNECEDORES DE MERCADORIA</t>
        </is>
      </c>
      <c r="J1249" s="70" t="n">
        <v>1377147</v>
      </c>
      <c r="L1249" s="70" t="n">
        <v>5286</v>
      </c>
      <c r="M1249" s="72" t="inlineStr">
        <is>
          <t>01</t>
        </is>
      </c>
      <c r="N1249" s="72" t="inlineStr">
        <is>
          <t>NFE</t>
        </is>
      </c>
      <c r="P1249" s="70" t="n">
        <v>103</v>
      </c>
      <c r="Q1249" s="72" t="inlineStr">
        <is>
          <t>MILKA FRANCIS</t>
        </is>
      </c>
      <c r="R1249" s="72" t="inlineStr">
        <is>
          <t>ESTOQUE DE MERCADORIAS</t>
        </is>
      </c>
      <c r="S1249" s="70" t="n">
        <v>1130101</v>
      </c>
      <c r="T1249" s="72" t="inlineStr">
        <is>
          <t>MERCADORIAS P/REVENDA</t>
        </is>
      </c>
      <c r="U1249" s="73" t="n">
        <v>1395</v>
      </c>
      <c r="W1249" s="73" t="n">
        <v>0</v>
      </c>
      <c r="X1249" s="72" t="inlineStr">
        <is>
          <t xml:space="preserve">COMPRA FARINHA CRUZEIRO /PGTO JOSE CLAUDIO - MILKA </t>
        </is>
      </c>
      <c r="Z1249" s="59">
        <f>IF($T1249="","",IFERROR(INDEX('Resumo Grupos'!$AC$3:$AC$200,MATCH($T1249,'Resumo Grupos'!$AB$3:$AB$200,0)),"n/d"))</f>
        <v/>
      </c>
      <c r="AA1249" s="59">
        <f>IF($T1249="","",IF(COUNTIF('Resumo Grupos'!$AE$3:$AE$40,$T1249)&gt;0,"NAO","SIM"))</f>
        <v/>
      </c>
    </row>
    <row r="1250" ht="36.75" customHeight="1" s="60">
      <c r="A1250" s="70" t="n">
        <v>1</v>
      </c>
      <c r="B1250" s="71" t="n">
        <v>46213</v>
      </c>
      <c r="C1250" s="71" t="n">
        <v>46220</v>
      </c>
      <c r="D1250" s="70" t="n">
        <v>1286</v>
      </c>
      <c r="E1250" s="72" t="inlineStr">
        <is>
          <t>VITAPAN COMERCIO VAREJISTA DE PRODUTOS ALIMENTICIOS LTDA</t>
        </is>
      </c>
      <c r="F1250" s="70" t="n">
        <v>24</v>
      </c>
      <c r="G1250" s="72" t="inlineStr">
        <is>
          <t>Compra a Prazo - Boletos</t>
        </is>
      </c>
      <c r="H1250" s="70" t="n">
        <v>1110202</v>
      </c>
      <c r="I1250" s="72" t="inlineStr">
        <is>
          <t>BANCO ITAU Lj 01</t>
        </is>
      </c>
      <c r="J1250" s="70" t="n">
        <v>1377326</v>
      </c>
      <c r="L1250" s="70" t="n">
        <v>10280</v>
      </c>
      <c r="M1250" s="72" t="inlineStr">
        <is>
          <t>01</t>
        </is>
      </c>
      <c r="N1250" s="72" t="inlineStr">
        <is>
          <t>AVU</t>
        </is>
      </c>
      <c r="P1250" s="70" t="n">
        <v>103</v>
      </c>
      <c r="Q1250" s="72" t="inlineStr">
        <is>
          <t>MILKA FRANCIS</t>
        </is>
      </c>
      <c r="R1250" s="72" t="inlineStr">
        <is>
          <t>ESTOQUE DE MERCADORIAS</t>
        </is>
      </c>
      <c r="S1250" s="70" t="n">
        <v>1130101</v>
      </c>
      <c r="T1250" s="72" t="inlineStr">
        <is>
          <t>MERCADORIAS P/REVENDA</t>
        </is>
      </c>
      <c r="U1250" s="73" t="n">
        <v>540</v>
      </c>
      <c r="W1250" s="73" t="n">
        <v>0</v>
      </c>
      <c r="X1250" s="72" t="inlineStr">
        <is>
          <t>NF 10280 - MILKA</t>
        </is>
      </c>
      <c r="Z1250" s="59">
        <f>IF($T1250="","",IFERROR(INDEX('Resumo Grupos'!$AC$3:$AC$200,MATCH($T1250,'Resumo Grupos'!$AB$3:$AB$200,0)),"n/d"))</f>
        <v/>
      </c>
      <c r="AA1250" s="59">
        <f>IF($T1250="","",IF(COUNTIF('Resumo Grupos'!$AE$3:$AE$40,$T1250)&gt;0,"NAO","SIM"))</f>
        <v/>
      </c>
    </row>
    <row r="1251" ht="36.75" customHeight="1" s="60">
      <c r="A1251" s="70" t="n">
        <v>1</v>
      </c>
      <c r="B1251" s="71" t="n">
        <v>46214</v>
      </c>
      <c r="C1251" s="71" t="n">
        <v>46220</v>
      </c>
      <c r="D1251" s="70" t="n">
        <v>513</v>
      </c>
      <c r="E1251" s="72" t="inlineStr">
        <is>
          <t>NET CLARO</t>
        </is>
      </c>
      <c r="F1251" s="70" t="n">
        <v>24</v>
      </c>
      <c r="G1251" s="72" t="inlineStr">
        <is>
          <t>Compra a Prazo - Boletos</t>
        </is>
      </c>
      <c r="H1251" s="70" t="n">
        <v>1110202</v>
      </c>
      <c r="I1251" s="72" t="inlineStr">
        <is>
          <t>BANCO ITAU Lj 01</t>
        </is>
      </c>
      <c r="J1251" s="70" t="n">
        <v>1382112</v>
      </c>
      <c r="L1251" s="70" t="n">
        <v>570410</v>
      </c>
      <c r="M1251" s="72" t="inlineStr">
        <is>
          <t>01</t>
        </is>
      </c>
      <c r="N1251" s="72" t="inlineStr">
        <is>
          <t>AVU</t>
        </is>
      </c>
      <c r="P1251" s="70" t="n">
        <v>101</v>
      </c>
      <c r="Q1251" s="72" t="inlineStr">
        <is>
          <t>KEILA LIMA</t>
        </is>
      </c>
      <c r="R1251" s="72" t="inlineStr">
        <is>
          <t>DESPESAS OPERACIONAIS</t>
        </is>
      </c>
      <c r="S1251" s="70" t="n">
        <v>4210206</v>
      </c>
      <c r="T1251" s="72" t="inlineStr">
        <is>
          <t>TELEFONE</t>
        </is>
      </c>
      <c r="U1251" s="73" t="n">
        <v>28.9</v>
      </c>
      <c r="W1251" s="73" t="n">
        <v>0</v>
      </c>
      <c r="X1251" s="72" t="inlineStr">
        <is>
          <t>CELULAR DELIVERY MO1 - KEILA</t>
        </is>
      </c>
      <c r="Z1251" s="59">
        <f>IF($T1251="","",IFERROR(INDEX('Resumo Grupos'!$AC$3:$AC$200,MATCH($T1251,'Resumo Grupos'!$AB$3:$AB$200,0)),"n/d"))</f>
        <v/>
      </c>
      <c r="AA1251" s="59">
        <f>IF($T1251="","",IF(COUNTIF('Resumo Grupos'!$AE$3:$AE$40,$T1251)&gt;0,"NAO","SIM"))</f>
        <v/>
      </c>
    </row>
    <row r="1252" ht="36.75" customHeight="1" s="60">
      <c r="A1252" s="70" t="n">
        <v>1</v>
      </c>
      <c r="B1252" s="71" t="n">
        <v>46214</v>
      </c>
      <c r="C1252" s="71" t="n">
        <v>46220</v>
      </c>
      <c r="D1252" s="70" t="n">
        <v>1123</v>
      </c>
      <c r="E1252" s="72" t="inlineStr">
        <is>
          <t>NORTELAC DISTRIBUIDORA DE FRIOS LTDA</t>
        </is>
      </c>
      <c r="F1252" s="70" t="n">
        <v>24</v>
      </c>
      <c r="G1252" s="72" t="inlineStr">
        <is>
          <t>Compra a Prazo - Boletos</t>
        </is>
      </c>
      <c r="H1252" s="70" t="n">
        <v>1110202</v>
      </c>
      <c r="I1252" s="72" t="inlineStr">
        <is>
          <t>BANCO ITAU Lj 01</t>
        </is>
      </c>
      <c r="J1252" s="70" t="n">
        <v>1382295</v>
      </c>
      <c r="L1252" s="70" t="n">
        <v>43438</v>
      </c>
      <c r="M1252" s="72" t="inlineStr">
        <is>
          <t>01</t>
        </is>
      </c>
      <c r="N1252" s="72" t="inlineStr">
        <is>
          <t>AVU</t>
        </is>
      </c>
      <c r="P1252" s="70" t="n">
        <v>103</v>
      </c>
      <c r="Q1252" s="72" t="inlineStr">
        <is>
          <t>MILKA FRANCIS</t>
        </is>
      </c>
      <c r="R1252" s="72" t="inlineStr">
        <is>
          <t>ESTOQUE DE MERCADORIAS</t>
        </is>
      </c>
      <c r="S1252" s="70" t="n">
        <v>1130101</v>
      </c>
      <c r="T1252" s="72" t="inlineStr">
        <is>
          <t>MERCADORIAS P/REVENDA</t>
        </is>
      </c>
      <c r="U1252" s="73" t="n">
        <v>1380</v>
      </c>
      <c r="W1252" s="73" t="n">
        <v>0</v>
      </c>
      <c r="X1252" s="72" t="inlineStr">
        <is>
          <t>NF43438 - MILKA</t>
        </is>
      </c>
      <c r="Z1252" s="59">
        <f>IF($T1252="","",IFERROR(INDEX('Resumo Grupos'!$AC$3:$AC$200,MATCH($T1252,'Resumo Grupos'!$AB$3:$AB$200,0)),"n/d"))</f>
        <v/>
      </c>
      <c r="AA1252" s="59">
        <f>IF($T1252="","",IF(COUNTIF('Resumo Grupos'!$AE$3:$AE$40,$T1252)&gt;0,"NAO","SIM"))</f>
        <v/>
      </c>
    </row>
    <row r="1253" ht="36.75" customHeight="1" s="60">
      <c r="A1253" s="70" t="n">
        <v>1</v>
      </c>
      <c r="B1253" s="71" t="n">
        <v>46214</v>
      </c>
      <c r="C1253" s="71" t="n">
        <v>46220</v>
      </c>
      <c r="D1253" s="70" t="n">
        <v>1650</v>
      </c>
      <c r="E1253" s="72" t="inlineStr">
        <is>
          <t>FRUTAL INDUSTRIA E COMERCIO LTDA</t>
        </is>
      </c>
      <c r="F1253" s="70" t="n">
        <v>24</v>
      </c>
      <c r="G1253" s="72" t="inlineStr">
        <is>
          <t>Compra a Prazo - Boletos</t>
        </is>
      </c>
      <c r="H1253" s="70" t="n">
        <v>1110202</v>
      </c>
      <c r="I1253" s="72" t="inlineStr">
        <is>
          <t>BANCO ITAU Lj 01</t>
        </is>
      </c>
      <c r="J1253" s="70" t="n">
        <v>1382317</v>
      </c>
      <c r="L1253" s="70" t="n">
        <v>225770</v>
      </c>
      <c r="M1253" s="72" t="inlineStr">
        <is>
          <t>01</t>
        </is>
      </c>
      <c r="N1253" s="72" t="inlineStr">
        <is>
          <t>AVU</t>
        </is>
      </c>
      <c r="P1253" s="70" t="n">
        <v>103</v>
      </c>
      <c r="Q1253" s="72" t="inlineStr">
        <is>
          <t>MILKA FRANCIS</t>
        </is>
      </c>
      <c r="R1253" s="72" t="inlineStr">
        <is>
          <t>ESTOQUE DE MERCADORIAS</t>
        </is>
      </c>
      <c r="S1253" s="70" t="n">
        <v>1130101</v>
      </c>
      <c r="T1253" s="72" t="inlineStr">
        <is>
          <t>MERCADORIAS P/REVENDA</t>
        </is>
      </c>
      <c r="U1253" s="73" t="n">
        <v>460.18</v>
      </c>
      <c r="W1253" s="73" t="n">
        <v>0</v>
      </c>
      <c r="X1253" s="72" t="inlineStr">
        <is>
          <t>NF 225770 - MILKA</t>
        </is>
      </c>
      <c r="Z1253" s="59">
        <f>IF($T1253="","",IFERROR(INDEX('Resumo Grupos'!$AC$3:$AC$200,MATCH($T1253,'Resumo Grupos'!$AB$3:$AB$200,0)),"n/d"))</f>
        <v/>
      </c>
      <c r="AA1253" s="59">
        <f>IF($T1253="","",IF(COUNTIF('Resumo Grupos'!$AE$3:$AE$40,$T1253)&gt;0,"NAO","SIM"))</f>
        <v/>
      </c>
    </row>
    <row r="1254" ht="36.75" customHeight="1" s="60">
      <c r="A1254" s="70" t="n">
        <v>1</v>
      </c>
      <c r="B1254" s="71" t="n">
        <v>46214</v>
      </c>
      <c r="C1254" s="71" t="n">
        <v>46220</v>
      </c>
      <c r="D1254" s="70" t="n">
        <v>1815</v>
      </c>
      <c r="E1254" s="72" t="inlineStr">
        <is>
          <t>J G COMERCIO DE PRODUTOS ALIMENTICIOS LTDA</t>
        </is>
      </c>
      <c r="F1254" s="70" t="n">
        <v>24</v>
      </c>
      <c r="G1254" s="72" t="inlineStr">
        <is>
          <t>Compra a Prazo - Boletos</t>
        </is>
      </c>
      <c r="H1254" s="70" t="n">
        <v>1110202</v>
      </c>
      <c r="I1254" s="72" t="inlineStr">
        <is>
          <t>BANCO ITAU Lj 01</t>
        </is>
      </c>
      <c r="J1254" s="70" t="n">
        <v>1382433</v>
      </c>
      <c r="L1254" s="70" t="n">
        <v>391785</v>
      </c>
      <c r="M1254" s="72" t="inlineStr">
        <is>
          <t>01</t>
        </is>
      </c>
      <c r="N1254" s="72" t="inlineStr">
        <is>
          <t>AVU</t>
        </is>
      </c>
      <c r="P1254" s="70" t="n">
        <v>103</v>
      </c>
      <c r="Q1254" s="72" t="inlineStr">
        <is>
          <t>MILKA FRANCIS</t>
        </is>
      </c>
      <c r="R1254" s="72" t="inlineStr">
        <is>
          <t>ESTOQUE DE MERCADORIAS</t>
        </is>
      </c>
      <c r="S1254" s="70" t="n">
        <v>1130101</v>
      </c>
      <c r="T1254" s="72" t="inlineStr">
        <is>
          <t>MERCADORIAS P/REVENDA</t>
        </is>
      </c>
      <c r="U1254" s="73" t="n">
        <v>785.66</v>
      </c>
      <c r="W1254" s="73" t="n">
        <v>0</v>
      </c>
      <c r="X1254" s="72" t="inlineStr">
        <is>
          <t>455810-A/C  NF391785 MASTERFRIGO - MILKA</t>
        </is>
      </c>
      <c r="Z1254" s="59">
        <f>IF($T1254="","",IFERROR(INDEX('Resumo Grupos'!$AC$3:$AC$200,MATCH($T1254,'Resumo Grupos'!$AB$3:$AB$200,0)),"n/d"))</f>
        <v/>
      </c>
      <c r="AA1254" s="59">
        <f>IF($T1254="","",IF(COUNTIF('Resumo Grupos'!$AE$3:$AE$40,$T1254)&gt;0,"NAO","SIM"))</f>
        <v/>
      </c>
    </row>
    <row r="1255" ht="36.75" customHeight="1" s="60">
      <c r="A1255" s="70" t="n">
        <v>1</v>
      </c>
      <c r="B1255" s="71" t="n">
        <v>46216</v>
      </c>
      <c r="C1255" s="71" t="n">
        <v>46220</v>
      </c>
      <c r="D1255" s="70" t="n">
        <v>1621</v>
      </c>
      <c r="E1255" s="72" t="inlineStr">
        <is>
          <t>CRBS S/A</t>
        </is>
      </c>
      <c r="F1255" s="70" t="n">
        <v>24</v>
      </c>
      <c r="G1255" s="72" t="inlineStr">
        <is>
          <t>Compra a Prazo - Boletos</t>
        </is>
      </c>
      <c r="H1255" s="70" t="n">
        <v>1110202</v>
      </c>
      <c r="I1255" s="72" t="inlineStr">
        <is>
          <t>BANCO ITAU Lj 01</t>
        </is>
      </c>
      <c r="J1255" s="70" t="n">
        <v>1392454</v>
      </c>
      <c r="L1255" s="70" t="n">
        <v>900346</v>
      </c>
      <c r="M1255" s="72" t="inlineStr">
        <is>
          <t>01</t>
        </is>
      </c>
      <c r="N1255" s="72" t="inlineStr">
        <is>
          <t>AVU</t>
        </is>
      </c>
      <c r="P1255" s="70" t="n">
        <v>103</v>
      </c>
      <c r="Q1255" s="72" t="inlineStr">
        <is>
          <t>MILKA FRANCIS</t>
        </is>
      </c>
      <c r="R1255" s="72" t="inlineStr">
        <is>
          <t>ESTOQUE DE MERCADORIAS</t>
        </is>
      </c>
      <c r="S1255" s="70" t="n">
        <v>1130101</v>
      </c>
      <c r="T1255" s="72" t="inlineStr">
        <is>
          <t>MERCADORIAS P/REVENDA</t>
        </is>
      </c>
      <c r="U1255" s="73" t="n">
        <v>552.36</v>
      </c>
      <c r="W1255" s="73" t="n">
        <v>0</v>
      </c>
      <c r="X1255" s="72" t="inlineStr">
        <is>
          <t>NF900346 AMBEV C/ TARIFA INCLUSA - MILKA</t>
        </is>
      </c>
      <c r="Z1255" s="59">
        <f>IF($T1255="","",IFERROR(INDEX('Resumo Grupos'!$AC$3:$AC$200,MATCH($T1255,'Resumo Grupos'!$AB$3:$AB$200,0)),"n/d"))</f>
        <v/>
      </c>
      <c r="AA1255" s="59">
        <f>IF($T1255="","",IF(COUNTIF('Resumo Grupos'!$AE$3:$AE$40,$T1255)&gt;0,"NAO","SIM"))</f>
        <v/>
      </c>
    </row>
    <row r="1256" ht="82.5" customHeight="1" s="60">
      <c r="A1256" s="70" t="n">
        <v>1</v>
      </c>
      <c r="B1256" s="71" t="n">
        <v>46216</v>
      </c>
      <c r="C1256" s="71" t="n">
        <v>46220</v>
      </c>
      <c r="D1256" s="70" t="n">
        <v>1621</v>
      </c>
      <c r="E1256" s="72" t="inlineStr">
        <is>
          <t>CRBS S/A</t>
        </is>
      </c>
      <c r="F1256" s="70" t="n">
        <v>24</v>
      </c>
      <c r="G1256" s="72" t="inlineStr">
        <is>
          <t>Compra a Prazo - Boletos</t>
        </is>
      </c>
      <c r="H1256" s="70" t="n">
        <v>1110202</v>
      </c>
      <c r="I1256" s="72" t="inlineStr">
        <is>
          <t>BANCO ITAU Lj 01</t>
        </is>
      </c>
      <c r="J1256" s="70" t="n">
        <v>1392495</v>
      </c>
      <c r="L1256" s="70" t="n">
        <v>900347</v>
      </c>
      <c r="M1256" s="72" t="inlineStr">
        <is>
          <t>01</t>
        </is>
      </c>
      <c r="N1256" s="72" t="inlineStr">
        <is>
          <t>AVU</t>
        </is>
      </c>
      <c r="P1256" s="70" t="n">
        <v>103</v>
      </c>
      <c r="Q1256" s="72" t="inlineStr">
        <is>
          <t>MILKA FRANCIS</t>
        </is>
      </c>
      <c r="R1256" s="72" t="inlineStr">
        <is>
          <t>ESTOQUE DE MERCADORIAS</t>
        </is>
      </c>
      <c r="S1256" s="70" t="n">
        <v>1130101</v>
      </c>
      <c r="T1256" s="72" t="inlineStr">
        <is>
          <t>MERCADORIAS P/REVENDA</t>
        </is>
      </c>
      <c r="U1256" s="73" t="n">
        <v>1321.58</v>
      </c>
      <c r="W1256" s="73" t="n">
        <v>0</v>
      </c>
      <c r="X1256" s="72" t="inlineStr">
        <is>
          <t>NF900347 AMBEV / BONIFICACAO INCLUSA - MILKA</t>
        </is>
      </c>
      <c r="Z1256" s="59">
        <f>IF($T1256="","",IFERROR(INDEX('Resumo Grupos'!$AC$3:$AC$200,MATCH($T1256,'Resumo Grupos'!$AB$3:$AB$200,0)),"n/d"))</f>
        <v/>
      </c>
      <c r="AA1256" s="59">
        <f>IF($T1256="","",IF(COUNTIF('Resumo Grupos'!$AE$3:$AE$40,$T1256)&gt;0,"NAO","SIM"))</f>
        <v/>
      </c>
    </row>
    <row r="1257" ht="82.5" customHeight="1" s="60">
      <c r="A1257" s="70" t="n">
        <v>1</v>
      </c>
      <c r="B1257" s="71" t="n">
        <v>46217</v>
      </c>
      <c r="C1257" s="71" t="n">
        <v>46220</v>
      </c>
      <c r="D1257" s="70" t="n">
        <v>1899</v>
      </c>
      <c r="E1257" s="72" t="inlineStr">
        <is>
          <t>PANIFICADORA E CONFEITARIA REAL MADRI LTDA</t>
        </is>
      </c>
      <c r="F1257" s="70" t="n">
        <v>24</v>
      </c>
      <c r="G1257" s="72" t="inlineStr">
        <is>
          <t>Compra a Prazo - Boletos</t>
        </is>
      </c>
      <c r="H1257" s="70" t="n">
        <v>1110202</v>
      </c>
      <c r="I1257" s="72" t="inlineStr">
        <is>
          <t>BANCO ITAU Lj 01</t>
        </is>
      </c>
      <c r="J1257" s="70" t="n">
        <v>1397123</v>
      </c>
      <c r="L1257" s="70" t="n">
        <v>713</v>
      </c>
      <c r="M1257" s="72" t="inlineStr">
        <is>
          <t>01</t>
        </is>
      </c>
      <c r="N1257" s="72" t="inlineStr">
        <is>
          <t>AVU</t>
        </is>
      </c>
      <c r="P1257" s="70" t="n">
        <v>103</v>
      </c>
      <c r="Q1257" s="72" t="inlineStr">
        <is>
          <t>MILKA FRANCIS</t>
        </is>
      </c>
      <c r="R1257" s="72" t="inlineStr">
        <is>
          <t>ESTOQUE DE MERCADORIAS</t>
        </is>
      </c>
      <c r="S1257" s="70" t="n">
        <v>1130101</v>
      </c>
      <c r="T1257" s="72" t="inlineStr">
        <is>
          <t>MERCADORIAS P/REVENDA</t>
        </is>
      </c>
      <c r="U1257" s="73" t="n">
        <v>374.7</v>
      </c>
      <c r="W1257" s="73" t="n">
        <v>0</v>
      </c>
      <c r="X1257" s="72" t="inlineStr">
        <is>
          <t>NF 713 - MILKA</t>
        </is>
      </c>
      <c r="Z1257" s="59">
        <f>IF($T1257="","",IFERROR(INDEX('Resumo Grupos'!$AC$3:$AC$200,MATCH($T1257,'Resumo Grupos'!$AB$3:$AB$200,0)),"n/d"))</f>
        <v/>
      </c>
      <c r="AA1257" s="59">
        <f>IF($T1257="","",IF(COUNTIF('Resumo Grupos'!$AE$3:$AE$40,$T1257)&gt;0,"NAO","SIM"))</f>
        <v/>
      </c>
    </row>
    <row r="1258" ht="36.75" customHeight="1" s="60">
      <c r="A1258" s="70" t="n">
        <v>1</v>
      </c>
      <c r="B1258" s="71" t="n">
        <v>46217</v>
      </c>
      <c r="C1258" s="71" t="n">
        <v>46220</v>
      </c>
      <c r="D1258" s="70" t="n">
        <v>1899</v>
      </c>
      <c r="E1258" s="72" t="inlineStr">
        <is>
          <t>PANIFICADORA E CONFEITARIA REAL MADRI LTDA</t>
        </is>
      </c>
      <c r="F1258" s="70" t="n">
        <v>24</v>
      </c>
      <c r="G1258" s="72" t="inlineStr">
        <is>
          <t>Compra a Prazo - Boletos</t>
        </is>
      </c>
      <c r="H1258" s="70" t="n">
        <v>1110202</v>
      </c>
      <c r="I1258" s="72" t="inlineStr">
        <is>
          <t>BANCO ITAU Lj 01</t>
        </is>
      </c>
      <c r="J1258" s="70" t="n">
        <v>1397354</v>
      </c>
      <c r="L1258" s="70" t="n">
        <v>715</v>
      </c>
      <c r="M1258" s="72" t="inlineStr">
        <is>
          <t>01</t>
        </is>
      </c>
      <c r="N1258" s="72" t="inlineStr">
        <is>
          <t>AVU</t>
        </is>
      </c>
      <c r="P1258" s="70" t="n">
        <v>103</v>
      </c>
      <c r="Q1258" s="72" t="inlineStr">
        <is>
          <t>MILKA FRANCIS</t>
        </is>
      </c>
      <c r="R1258" s="72" t="inlineStr">
        <is>
          <t>ESTOQUE DE MERCADORIAS</t>
        </is>
      </c>
      <c r="S1258" s="70" t="n">
        <v>1130101</v>
      </c>
      <c r="T1258" s="72" t="inlineStr">
        <is>
          <t>MERCADORIAS P/REVENDA</t>
        </is>
      </c>
      <c r="U1258" s="73" t="n">
        <v>1120</v>
      </c>
      <c r="W1258" s="73" t="n">
        <v>0</v>
      </c>
      <c r="X1258" s="72" t="inlineStr">
        <is>
          <t>NF 715 - MILKA</t>
        </is>
      </c>
      <c r="Z1258" s="59">
        <f>IF($T1258="","",IFERROR(INDEX('Resumo Grupos'!$AC$3:$AC$200,MATCH($T1258,'Resumo Grupos'!$AB$3:$AB$200,0)),"n/d"))</f>
        <v/>
      </c>
      <c r="AA1258" s="59">
        <f>IF($T1258="","",IF(COUNTIF('Resumo Grupos'!$AE$3:$AE$40,$T1258)&gt;0,"NAO","SIM"))</f>
        <v/>
      </c>
    </row>
    <row r="1259" ht="82.5" customHeight="1" s="60">
      <c r="A1259" s="70" t="n">
        <v>1</v>
      </c>
      <c r="B1259" s="71" t="n">
        <v>46220</v>
      </c>
      <c r="C1259" s="71" t="n">
        <v>46220</v>
      </c>
      <c r="D1259" s="70" t="n">
        <v>33</v>
      </c>
      <c r="E1259" s="72" t="inlineStr">
        <is>
          <t>RENATO DE O AZEVEDO E CIA LTDA - EPP</t>
        </is>
      </c>
      <c r="F1259" s="70" t="n">
        <v>34</v>
      </c>
      <c r="G1259" s="72" t="inlineStr">
        <is>
          <t>Transferencia Pix</t>
        </is>
      </c>
      <c r="H1259" s="70" t="n">
        <v>2110101</v>
      </c>
      <c r="I1259" s="72" t="inlineStr">
        <is>
          <t>FORNECEDORES DE MERCADORIA</t>
        </is>
      </c>
      <c r="J1259" s="70" t="n">
        <v>1411286</v>
      </c>
      <c r="L1259" s="70" t="n">
        <v>5309</v>
      </c>
      <c r="M1259" s="72" t="inlineStr">
        <is>
          <t>01</t>
        </is>
      </c>
      <c r="N1259" s="72" t="inlineStr">
        <is>
          <t>NFE</t>
        </is>
      </c>
      <c r="P1259" s="70" t="n">
        <v>104</v>
      </c>
      <c r="Q1259" s="72" t="inlineStr">
        <is>
          <t>DEBORA COSTA</t>
        </is>
      </c>
      <c r="R1259" s="72" t="inlineStr">
        <is>
          <t>ESTOQUE DE MERCADORIAS</t>
        </is>
      </c>
      <c r="S1259" s="70" t="n">
        <v>1130101</v>
      </c>
      <c r="T1259" s="72" t="inlineStr">
        <is>
          <t>MERCADORIAS P/REVENDA</t>
        </is>
      </c>
      <c r="U1259" s="73" t="n">
        <v>2682</v>
      </c>
      <c r="W1259" s="73" t="n">
        <v>0</v>
      </c>
      <c r="X1259" s="72" t="inlineStr">
        <is>
          <t>FEIRA CARLOS - DEBORA</t>
        </is>
      </c>
      <c r="Z1259" s="59">
        <f>IF($T1259="","",IFERROR(INDEX('Resumo Grupos'!$AC$3:$AC$200,MATCH($T1259,'Resumo Grupos'!$AB$3:$AB$200,0)),"n/d"))</f>
        <v/>
      </c>
      <c r="AA1259" s="59">
        <f>IF($T1259="","",IF(COUNTIF('Resumo Grupos'!$AE$3:$AE$40,$T1259)&gt;0,"NAO","SIM"))</f>
        <v/>
      </c>
    </row>
    <row r="1260" ht="82.5" customHeight="1" s="60">
      <c r="A1260" s="70" t="n">
        <v>1</v>
      </c>
      <c r="B1260" s="71" t="n">
        <v>46220</v>
      </c>
      <c r="C1260" s="71" t="n">
        <v>46220</v>
      </c>
      <c r="D1260" s="70" t="n">
        <v>33</v>
      </c>
      <c r="E1260" s="72" t="inlineStr">
        <is>
          <t>RENATO DE O AZEVEDO E CIA LTDA - EPP</t>
        </is>
      </c>
      <c r="F1260" s="70" t="n">
        <v>34</v>
      </c>
      <c r="G1260" s="72" t="inlineStr">
        <is>
          <t>Transferencia Pix</t>
        </is>
      </c>
      <c r="H1260" s="70" t="n">
        <v>2110101</v>
      </c>
      <c r="I1260" s="72" t="inlineStr">
        <is>
          <t>FORNECEDORES DE MERCADORIA</t>
        </is>
      </c>
      <c r="J1260" s="70" t="n">
        <v>1411296</v>
      </c>
      <c r="L1260" s="70" t="n">
        <v>581698</v>
      </c>
      <c r="M1260" s="72" t="inlineStr">
        <is>
          <t>01</t>
        </is>
      </c>
      <c r="N1260" s="72" t="inlineStr">
        <is>
          <t>AVU</t>
        </is>
      </c>
      <c r="P1260" s="70" t="n">
        <v>104</v>
      </c>
      <c r="Q1260" s="72" t="inlineStr">
        <is>
          <t>DEBORA COSTA</t>
        </is>
      </c>
      <c r="R1260" s="72" t="inlineStr">
        <is>
          <t>ESTOQUE DE MERCADORIAS</t>
        </is>
      </c>
      <c r="S1260" s="70" t="n">
        <v>1130101</v>
      </c>
      <c r="T1260" s="72" t="inlineStr">
        <is>
          <t>MERCADORIAS P/REVENDA</t>
        </is>
      </c>
      <c r="U1260" s="73" t="n">
        <v>160</v>
      </c>
      <c r="W1260" s="73" t="n">
        <v>0</v>
      </c>
      <c r="X1260" s="72" t="inlineStr">
        <is>
          <t>CAMARAO COM E SEM CASCA - FEIRA CARLOS - DEBORA</t>
        </is>
      </c>
      <c r="Z1260" s="59">
        <f>IF($T1260="","",IFERROR(INDEX('Resumo Grupos'!$AC$3:$AC$200,MATCH($T1260,'Resumo Grupos'!$AB$3:$AB$200,0)),"n/d"))</f>
        <v/>
      </c>
      <c r="AA1260" s="59">
        <f>IF($T1260="","",IF(COUNTIF('Resumo Grupos'!$AE$3:$AE$40,$T1260)&gt;0,"NAO","SIM"))</f>
        <v/>
      </c>
    </row>
    <row r="1261" ht="45.75" customHeight="1" s="60">
      <c r="A1261" s="70" t="n">
        <v>1</v>
      </c>
      <c r="B1261" s="71" t="n">
        <v>46220</v>
      </c>
      <c r="C1261" s="71" t="n">
        <v>46220</v>
      </c>
      <c r="D1261" s="70" t="n">
        <v>1615</v>
      </c>
      <c r="E1261" s="72" t="inlineStr">
        <is>
          <t>COMERCIO E TRANSPORTE BRANDAO LTDA</t>
        </is>
      </c>
      <c r="F1261" s="70" t="n">
        <v>34</v>
      </c>
      <c r="G1261" s="72" t="inlineStr">
        <is>
          <t>Transferencia Pix</t>
        </is>
      </c>
      <c r="H1261" s="70" t="n">
        <v>2110101</v>
      </c>
      <c r="I1261" s="72" t="inlineStr">
        <is>
          <t>FORNECEDORES DE MERCADORIA</t>
        </is>
      </c>
      <c r="J1261" s="70" t="n">
        <v>1411307</v>
      </c>
      <c r="L1261" s="70" t="n">
        <v>14888</v>
      </c>
      <c r="M1261" s="72" t="inlineStr">
        <is>
          <t>01</t>
        </is>
      </c>
      <c r="N1261" s="72" t="inlineStr">
        <is>
          <t>NFE</t>
        </is>
      </c>
      <c r="P1261" s="70" t="n">
        <v>104</v>
      </c>
      <c r="Q1261" s="72" t="inlineStr">
        <is>
          <t>DEBORA COSTA</t>
        </is>
      </c>
      <c r="R1261" s="72" t="inlineStr">
        <is>
          <t>ESTOQUE DE MERCADORIAS</t>
        </is>
      </c>
      <c r="S1261" s="70" t="n">
        <v>1130101</v>
      </c>
      <c r="T1261" s="72" t="inlineStr">
        <is>
          <t>MERCADORIAS P/REVENDA</t>
        </is>
      </c>
      <c r="U1261" s="73" t="n">
        <v>990</v>
      </c>
      <c r="W1261" s="73" t="n">
        <v>0</v>
      </c>
      <c r="X1261" s="72" t="inlineStr">
        <is>
          <t>NF 14888 - DEBORA</t>
        </is>
      </c>
      <c r="Z1261" s="59">
        <f>IF($T1261="","",IFERROR(INDEX('Resumo Grupos'!$AC$3:$AC$200,MATCH($T1261,'Resumo Grupos'!$AB$3:$AB$200,0)),"n/d"))</f>
        <v/>
      </c>
      <c r="AA1261" s="59">
        <f>IF($T1261="","",IF(COUNTIF('Resumo Grupos'!$AE$3:$AE$40,$T1261)&gt;0,"NAO","SIM"))</f>
        <v/>
      </c>
    </row>
    <row r="1262" ht="45.75" customHeight="1" s="60">
      <c r="A1262" s="70" t="n">
        <v>1</v>
      </c>
      <c r="B1262" s="71" t="n">
        <v>46220</v>
      </c>
      <c r="C1262" s="71" t="n">
        <v>46220</v>
      </c>
      <c r="D1262" s="70" t="n">
        <v>1037</v>
      </c>
      <c r="E1262" s="72" t="inlineStr">
        <is>
          <t>FEIRA</t>
        </is>
      </c>
      <c r="F1262" s="70" t="n">
        <v>34</v>
      </c>
      <c r="G1262" s="72" t="inlineStr">
        <is>
          <t>Transferencia Pix</t>
        </is>
      </c>
      <c r="H1262" s="70" t="n">
        <v>1110202</v>
      </c>
      <c r="I1262" s="72" t="inlineStr">
        <is>
          <t>BANCO ITAU Lj 01</t>
        </is>
      </c>
      <c r="J1262" s="70" t="n">
        <v>1411594</v>
      </c>
      <c r="L1262" s="70" t="n">
        <v>581772</v>
      </c>
      <c r="M1262" s="72" t="inlineStr">
        <is>
          <t>01</t>
        </is>
      </c>
      <c r="N1262" s="72" t="inlineStr">
        <is>
          <t>AVU</t>
        </is>
      </c>
      <c r="P1262" s="70" t="n">
        <v>101</v>
      </c>
      <c r="Q1262" s="72" t="inlineStr">
        <is>
          <t>KEILA LIMA</t>
        </is>
      </c>
      <c r="R1262" s="72" t="inlineStr">
        <is>
          <t>DESPESAS NAO OPERACIONAIS</t>
        </is>
      </c>
      <c r="S1262" s="70" t="n">
        <v>4220199</v>
      </c>
      <c r="T1262" s="72" t="inlineStr">
        <is>
          <t>PAGAMENTOS OUTROS NAO OPERACIONAIS</t>
        </is>
      </c>
      <c r="U1262" s="73" t="n">
        <v>2624</v>
      </c>
      <c r="W1262" s="73" t="n">
        <v>0</v>
      </c>
      <c r="X1262" s="72" t="inlineStr">
        <is>
          <t>FEIRAS LOJAS RATEIO NAO SOMAR - KEILA</t>
        </is>
      </c>
      <c r="Z1262" s="59">
        <f>IF($T1262="","",IFERROR(INDEX('Resumo Grupos'!$AC$3:$AC$200,MATCH($T1262,'Resumo Grupos'!$AB$3:$AB$200,0)),"n/d"))</f>
        <v/>
      </c>
      <c r="AA1262" s="59">
        <f>IF($T1262="","",IF(COUNTIF('Resumo Grupos'!$AE$3:$AE$40,$T1262)&gt;0,"NAO","SIM"))</f>
        <v/>
      </c>
    </row>
    <row r="1263" ht="27.75" customHeight="1" s="60">
      <c r="A1263" s="70" t="n">
        <v>1</v>
      </c>
      <c r="B1263" s="71" t="n">
        <v>46220</v>
      </c>
      <c r="C1263" s="71" t="n">
        <v>46220</v>
      </c>
      <c r="D1263" s="70" t="n">
        <v>33</v>
      </c>
      <c r="E1263" s="72" t="inlineStr">
        <is>
          <t>RENATO DE O AZEVEDO E CIA LTDA - EPP</t>
        </is>
      </c>
      <c r="F1263" s="70" t="n">
        <v>34</v>
      </c>
      <c r="G1263" s="72" t="inlineStr">
        <is>
          <t>Transferencia Pix</t>
        </is>
      </c>
      <c r="H1263" s="70" t="n">
        <v>2110101</v>
      </c>
      <c r="I1263" s="72" t="inlineStr">
        <is>
          <t>FORNECEDORES DE MERCADORIA</t>
        </is>
      </c>
      <c r="J1263" s="70" t="n">
        <v>1411783</v>
      </c>
      <c r="L1263" s="70" t="n">
        <v>5310</v>
      </c>
      <c r="M1263" s="72" t="inlineStr">
        <is>
          <t>01</t>
        </is>
      </c>
      <c r="N1263" s="72" t="inlineStr">
        <is>
          <t>NFE</t>
        </is>
      </c>
      <c r="P1263" s="70" t="n">
        <v>104</v>
      </c>
      <c r="Q1263" s="72" t="inlineStr">
        <is>
          <t>DEBORA COSTA</t>
        </is>
      </c>
      <c r="R1263" s="72" t="inlineStr">
        <is>
          <t>ESTOQUE DE MERCADORIAS</t>
        </is>
      </c>
      <c r="S1263" s="70" t="n">
        <v>1130101</v>
      </c>
      <c r="T1263" s="72" t="inlineStr">
        <is>
          <t>MERCADORIAS P/REVENDA</t>
        </is>
      </c>
      <c r="U1263" s="73" t="n">
        <v>3110</v>
      </c>
      <c r="W1263" s="73" t="n">
        <v>0</v>
      </c>
      <c r="X1263" s="72" t="inlineStr">
        <is>
          <t>FEIRA SR RENATO - DEBORA</t>
        </is>
      </c>
      <c r="Z1263" s="59">
        <f>IF($T1263="","",IFERROR(INDEX('Resumo Grupos'!$AC$3:$AC$200,MATCH($T1263,'Resumo Grupos'!$AB$3:$AB$200,0)),"n/d"))</f>
        <v/>
      </c>
      <c r="AA1263" s="59">
        <f>IF($T1263="","",IF(COUNTIF('Resumo Grupos'!$AE$3:$AE$40,$T1263)&gt;0,"NAO","SIM"))</f>
        <v/>
      </c>
    </row>
    <row r="1264" ht="27.75" customHeight="1" s="60">
      <c r="A1264" s="70" t="n">
        <v>1</v>
      </c>
      <c r="B1264" s="71" t="n">
        <v>46220</v>
      </c>
      <c r="C1264" s="71" t="n">
        <v>46220</v>
      </c>
      <c r="D1264" s="70" t="n">
        <v>1137</v>
      </c>
      <c r="E1264" s="72" t="inlineStr">
        <is>
          <t xml:space="preserve">FOLHA DE PAGAMENTO </t>
        </is>
      </c>
      <c r="F1264" s="70" t="n">
        <v>34</v>
      </c>
      <c r="G1264" s="72" t="inlineStr">
        <is>
          <t>Transferencia Pix</t>
        </is>
      </c>
      <c r="H1264" s="70" t="n">
        <v>1110202</v>
      </c>
      <c r="I1264" s="72" t="inlineStr">
        <is>
          <t>BANCO ITAU Lj 01</t>
        </is>
      </c>
      <c r="J1264" s="70" t="n">
        <v>1412497</v>
      </c>
      <c r="L1264" s="70" t="n">
        <v>582124</v>
      </c>
      <c r="M1264" s="72" t="inlineStr">
        <is>
          <t>01</t>
        </is>
      </c>
      <c r="N1264" s="72" t="inlineStr">
        <is>
          <t>AVU</t>
        </is>
      </c>
      <c r="P1264" s="70" t="n">
        <v>101</v>
      </c>
      <c r="Q1264" s="72" t="inlineStr">
        <is>
          <t>KEILA LIMA</t>
        </is>
      </c>
      <c r="R1264" s="72" t="inlineStr">
        <is>
          <t>DESPESAS COM PESSOAL</t>
        </is>
      </c>
      <c r="S1264" s="70" t="n">
        <v>4210301</v>
      </c>
      <c r="T1264" s="72" t="inlineStr">
        <is>
          <t>SALARIOS</t>
        </is>
      </c>
      <c r="U1264" s="73" t="n">
        <v>100</v>
      </c>
      <c r="W1264" s="73" t="n">
        <v>0</v>
      </c>
      <c r="X1264" s="72" t="inlineStr">
        <is>
          <t>PAG ADIANT SALARIO LUIZ - KEILA</t>
        </is>
      </c>
      <c r="Z1264" s="59">
        <f>IF($T1264="","",IFERROR(INDEX('Resumo Grupos'!$AC$3:$AC$200,MATCH($T1264,'Resumo Grupos'!$AB$3:$AB$200,0)),"n/d"))</f>
        <v/>
      </c>
      <c r="AA1264" s="59">
        <f>IF($T1264="","",IF(COUNTIF('Resumo Grupos'!$AE$3:$AE$40,$T1264)&gt;0,"NAO","SIM"))</f>
        <v/>
      </c>
    </row>
    <row r="1265" ht="36.75" customHeight="1" s="60">
      <c r="A1265" s="70" t="n">
        <v>1</v>
      </c>
      <c r="B1265" s="71" t="n">
        <v>46220</v>
      </c>
      <c r="C1265" s="71" t="n">
        <v>46220</v>
      </c>
      <c r="D1265" s="70" t="n">
        <v>978</v>
      </c>
      <c r="E1265" s="72" t="inlineStr">
        <is>
          <t>GELO DANGELO FABRICACAO DE GELO LTDA</t>
        </is>
      </c>
      <c r="F1265" s="70" t="n">
        <v>13</v>
      </c>
      <c r="G1265" s="72" t="inlineStr">
        <is>
          <t>Compra a Vista</t>
        </is>
      </c>
      <c r="H1265" s="70" t="n">
        <v>2110101</v>
      </c>
      <c r="I1265" s="72" t="inlineStr">
        <is>
          <t>FORNECEDORES DE MERCADORIA</t>
        </is>
      </c>
      <c r="J1265" s="70" t="n">
        <v>1425085</v>
      </c>
      <c r="L1265" s="70" t="n">
        <v>375</v>
      </c>
      <c r="M1265" s="72" t="inlineStr">
        <is>
          <t>01</t>
        </is>
      </c>
      <c r="N1265" s="72" t="inlineStr">
        <is>
          <t>NFE</t>
        </is>
      </c>
      <c r="P1265" s="70" t="n">
        <v>104</v>
      </c>
      <c r="Q1265" s="72" t="inlineStr">
        <is>
          <t>DEBORA COSTA</t>
        </is>
      </c>
      <c r="R1265" s="72" t="inlineStr">
        <is>
          <t>ESTOQUE DE MERCADORIAS</t>
        </is>
      </c>
      <c r="S1265" s="70" t="n">
        <v>1130101</v>
      </c>
      <c r="T1265" s="72" t="inlineStr">
        <is>
          <t>MERCADORIAS P/REVENDA</t>
        </is>
      </c>
      <c r="U1265" s="73" t="n">
        <v>416.5</v>
      </c>
      <c r="W1265" s="73" t="n">
        <v>0</v>
      </c>
      <c r="X1265" s="72" t="inlineStr">
        <is>
          <t>NF 375 - DEBORA</t>
        </is>
      </c>
      <c r="Z1265" s="59">
        <f>IF($T1265="","",IFERROR(INDEX('Resumo Grupos'!$AC$3:$AC$200,MATCH($T1265,'Resumo Grupos'!$AB$3:$AB$200,0)),"n/d"))</f>
        <v/>
      </c>
      <c r="AA1265" s="59">
        <f>IF($T1265="","",IF(COUNTIF('Resumo Grupos'!$AE$3:$AE$40,$T1265)&gt;0,"NAO","SIM"))</f>
        <v/>
      </c>
    </row>
    <row r="1266" ht="45.75" customHeight="1" s="60">
      <c r="A1266" s="70" t="n">
        <v>1</v>
      </c>
      <c r="B1266" s="71" t="n">
        <v>46220</v>
      </c>
      <c r="C1266" s="71" t="n">
        <v>46220</v>
      </c>
      <c r="D1266" s="70" t="n">
        <v>10035</v>
      </c>
      <c r="E1266" s="72" t="inlineStr">
        <is>
          <t>J W N DOS SANTOS</t>
        </is>
      </c>
      <c r="F1266" s="70" t="n">
        <v>13</v>
      </c>
      <c r="G1266" s="72" t="inlineStr">
        <is>
          <t>Compra a Vista</t>
        </is>
      </c>
      <c r="H1266" s="70" t="n">
        <v>2110101</v>
      </c>
      <c r="I1266" s="72" t="inlineStr">
        <is>
          <t>FORNECEDORES DE MERCADORIA</t>
        </is>
      </c>
      <c r="J1266" s="70" t="n">
        <v>1425318</v>
      </c>
      <c r="L1266" s="70" t="n">
        <v>363</v>
      </c>
      <c r="M1266" s="72" t="inlineStr">
        <is>
          <t>01</t>
        </is>
      </c>
      <c r="N1266" s="72" t="inlineStr">
        <is>
          <t>NFE</t>
        </is>
      </c>
      <c r="P1266" s="70" t="n">
        <v>104</v>
      </c>
      <c r="Q1266" s="72" t="inlineStr">
        <is>
          <t>DEBORA COSTA</t>
        </is>
      </c>
      <c r="R1266" s="72" t="inlineStr">
        <is>
          <t>ESTOQUE DE MERCADORIAS</t>
        </is>
      </c>
      <c r="S1266" s="70" t="n">
        <v>1130101</v>
      </c>
      <c r="T1266" s="72" t="inlineStr">
        <is>
          <t>MERCADORIAS P/REVENDA</t>
        </is>
      </c>
      <c r="U1266" s="73" t="n">
        <v>270</v>
      </c>
      <c r="W1266" s="73" t="n">
        <v>0</v>
      </c>
      <c r="X1266" s="72" t="inlineStr">
        <is>
          <t>NF 363 - DEBORA</t>
        </is>
      </c>
      <c r="Z1266" s="59">
        <f>IF($T1266="","",IFERROR(INDEX('Resumo Grupos'!$AC$3:$AC$200,MATCH($T1266,'Resumo Grupos'!$AB$3:$AB$200,0)),"n/d"))</f>
        <v/>
      </c>
      <c r="AA1266" s="59">
        <f>IF($T1266="","",IF(COUNTIF('Resumo Grupos'!$AE$3:$AE$40,$T1266)&gt;0,"NAO","SIM"))</f>
        <v/>
      </c>
    </row>
    <row r="1267" ht="45.75" customHeight="1" s="60">
      <c r="A1267" s="70" t="n">
        <v>1</v>
      </c>
      <c r="B1267" s="71" t="n">
        <v>46220</v>
      </c>
      <c r="C1267" s="71" t="n">
        <v>46220</v>
      </c>
      <c r="D1267" s="70" t="n">
        <v>10096</v>
      </c>
      <c r="E1267" s="72" t="inlineStr">
        <is>
          <t>H L M PADARIA E CONFEITARIA LTDA</t>
        </is>
      </c>
      <c r="F1267" s="70" t="n">
        <v>13</v>
      </c>
      <c r="G1267" s="72" t="inlineStr">
        <is>
          <t>Compra a Vista</t>
        </is>
      </c>
      <c r="H1267" s="70" t="n">
        <v>2110101</v>
      </c>
      <c r="I1267" s="72" t="inlineStr">
        <is>
          <t>FORNECEDORES DE MERCADORIA</t>
        </is>
      </c>
      <c r="J1267" s="70" t="n">
        <v>1425418</v>
      </c>
      <c r="L1267" s="70" t="n">
        <v>33</v>
      </c>
      <c r="M1267" s="72" t="inlineStr">
        <is>
          <t>01</t>
        </is>
      </c>
      <c r="N1267" s="72" t="inlineStr">
        <is>
          <t>NFE</t>
        </is>
      </c>
      <c r="P1267" s="70" t="n">
        <v>104</v>
      </c>
      <c r="Q1267" s="72" t="inlineStr">
        <is>
          <t>DEBORA COSTA</t>
        </is>
      </c>
      <c r="R1267" s="72" t="inlineStr">
        <is>
          <t>ESTOQUE DE MERCADORIAS</t>
        </is>
      </c>
      <c r="S1267" s="70" t="n">
        <v>1130101</v>
      </c>
      <c r="T1267" s="72" t="inlineStr">
        <is>
          <t>MERCADORIAS P/REVENDA</t>
        </is>
      </c>
      <c r="U1267" s="73" t="n">
        <v>480</v>
      </c>
      <c r="W1267" s="73" t="n">
        <v>0</v>
      </c>
      <c r="X1267" s="72" t="inlineStr">
        <is>
          <t>NF 33 - DEBORA</t>
        </is>
      </c>
      <c r="Z1267" s="59">
        <f>IF($T1267="","",IFERROR(INDEX('Resumo Grupos'!$AC$3:$AC$200,MATCH($T1267,'Resumo Grupos'!$AB$3:$AB$200,0)),"n/d"))</f>
        <v/>
      </c>
      <c r="AA1267" s="59">
        <f>IF($T1267="","",IF(COUNTIF('Resumo Grupos'!$AE$3:$AE$40,$T1267)&gt;0,"NAO","SIM"))</f>
        <v/>
      </c>
    </row>
    <row r="1268" ht="36.75" customHeight="1" s="60">
      <c r="A1268" s="70" t="n">
        <v>1</v>
      </c>
      <c r="B1268" s="71" t="n">
        <v>46220</v>
      </c>
      <c r="C1268" s="71" t="n">
        <v>46220</v>
      </c>
      <c r="D1268" s="70" t="n">
        <v>10096</v>
      </c>
      <c r="E1268" s="72" t="inlineStr">
        <is>
          <t>H L M PADARIA E CONFEITARIA LTDA</t>
        </is>
      </c>
      <c r="F1268" s="70" t="n">
        <v>13</v>
      </c>
      <c r="G1268" s="72" t="inlineStr">
        <is>
          <t>Compra a Vista</t>
        </is>
      </c>
      <c r="H1268" s="70" t="n">
        <v>2110101</v>
      </c>
      <c r="I1268" s="72" t="inlineStr">
        <is>
          <t>FORNECEDORES DE MERCADORIA</t>
        </is>
      </c>
      <c r="J1268" s="70" t="n">
        <v>1460091</v>
      </c>
      <c r="L1268" s="70" t="n">
        <v>25</v>
      </c>
      <c r="M1268" s="72" t="inlineStr">
        <is>
          <t>01</t>
        </is>
      </c>
      <c r="N1268" s="72" t="inlineStr">
        <is>
          <t>NFE</t>
        </is>
      </c>
      <c r="P1268" s="70" t="n">
        <v>104</v>
      </c>
      <c r="Q1268" s="72" t="inlineStr">
        <is>
          <t>DEBORA COSTA</t>
        </is>
      </c>
      <c r="R1268" s="72" t="inlineStr">
        <is>
          <t>ESTOQUE DE MERCADORIAS</t>
        </is>
      </c>
      <c r="S1268" s="70" t="n">
        <v>1130101</v>
      </c>
      <c r="T1268" s="72" t="inlineStr">
        <is>
          <t>MERCADORIAS P/REVENDA</t>
        </is>
      </c>
      <c r="U1268" s="73" t="n">
        <v>440</v>
      </c>
      <c r="W1268" s="73" t="n">
        <v>440</v>
      </c>
      <c r="X1268" s="72" t="inlineStr">
        <is>
          <t>NF 25 - 11/07 - DEBORA</t>
        </is>
      </c>
      <c r="Z1268" s="59">
        <f>IF($T1268="","",IFERROR(INDEX('Resumo Grupos'!$AC$3:$AC$200,MATCH($T1268,'Resumo Grupos'!$AB$3:$AB$200,0)),"n/d"))</f>
        <v/>
      </c>
      <c r="AA1268" s="59">
        <f>IF($T1268="","",IF(COUNTIF('Resumo Grupos'!$AE$3:$AE$40,$T1268)&gt;0,"NAO","SIM"))</f>
        <v/>
      </c>
    </row>
    <row r="1269" ht="36.75" customHeight="1" s="60">
      <c r="A1269" s="70" t="n">
        <v>1</v>
      </c>
      <c r="B1269" s="71" t="n">
        <v>46220</v>
      </c>
      <c r="C1269" s="71" t="n">
        <v>46220</v>
      </c>
      <c r="D1269" s="70" t="n">
        <v>10096</v>
      </c>
      <c r="E1269" s="72" t="inlineStr">
        <is>
          <t>H L M PADARIA E CONFEITARIA LTDA</t>
        </is>
      </c>
      <c r="F1269" s="70" t="n">
        <v>13</v>
      </c>
      <c r="G1269" s="72" t="inlineStr">
        <is>
          <t>Compra a Vista</t>
        </is>
      </c>
      <c r="H1269" s="70" t="n">
        <v>2110101</v>
      </c>
      <c r="I1269" s="72" t="inlineStr">
        <is>
          <t>FORNECEDORES DE MERCADORIA</t>
        </is>
      </c>
      <c r="J1269" s="70" t="n">
        <v>1460196</v>
      </c>
      <c r="L1269" s="70" t="n">
        <v>32</v>
      </c>
      <c r="M1269" s="72" t="inlineStr">
        <is>
          <t>01</t>
        </is>
      </c>
      <c r="N1269" s="72" t="inlineStr">
        <is>
          <t>NFE</t>
        </is>
      </c>
      <c r="P1269" s="70" t="n">
        <v>104</v>
      </c>
      <c r="Q1269" s="72" t="inlineStr">
        <is>
          <t>DEBORA COSTA</t>
        </is>
      </c>
      <c r="R1269" s="72" t="inlineStr">
        <is>
          <t>ESTOQUE DE MERCADORIAS</t>
        </is>
      </c>
      <c r="S1269" s="70" t="n">
        <v>1130101</v>
      </c>
      <c r="T1269" s="72" t="inlineStr">
        <is>
          <t>MERCADORIAS P/REVENDA</t>
        </is>
      </c>
      <c r="U1269" s="73" t="n">
        <v>300</v>
      </c>
      <c r="W1269" s="73" t="n">
        <v>300</v>
      </c>
      <c r="X1269" s="72" t="inlineStr">
        <is>
          <t>NF 32 - 16/07 - DEBORA</t>
        </is>
      </c>
      <c r="Z1269" s="59">
        <f>IF($T1269="","",IFERROR(INDEX('Resumo Grupos'!$AC$3:$AC$200,MATCH($T1269,'Resumo Grupos'!$AB$3:$AB$200,0)),"n/d"))</f>
        <v/>
      </c>
      <c r="AA1269" s="59">
        <f>IF($T1269="","",IF(COUNTIF('Resumo Grupos'!$AE$3:$AE$40,$T1269)&gt;0,"NAO","SIM"))</f>
        <v/>
      </c>
    </row>
    <row r="1270" ht="45.75" customHeight="1" s="60">
      <c r="A1270" s="70" t="n">
        <v>1</v>
      </c>
      <c r="B1270" s="71" t="n">
        <v>46220</v>
      </c>
      <c r="C1270" s="71" t="n">
        <v>46220</v>
      </c>
      <c r="D1270" s="70" t="n">
        <v>10096</v>
      </c>
      <c r="E1270" s="72" t="inlineStr">
        <is>
          <t>H L M PADARIA E CONFEITARIA LTDA</t>
        </is>
      </c>
      <c r="F1270" s="70" t="n">
        <v>13</v>
      </c>
      <c r="G1270" s="72" t="inlineStr">
        <is>
          <t>Compra a Vista</t>
        </is>
      </c>
      <c r="H1270" s="70" t="n">
        <v>2110101</v>
      </c>
      <c r="I1270" s="72" t="inlineStr">
        <is>
          <t>FORNECEDORES DE MERCADORIA</t>
        </is>
      </c>
      <c r="J1270" s="70" t="n">
        <v>1460251</v>
      </c>
      <c r="L1270" s="70" t="n">
        <v>31</v>
      </c>
      <c r="M1270" s="72" t="inlineStr">
        <is>
          <t>01</t>
        </is>
      </c>
      <c r="N1270" s="72" t="inlineStr">
        <is>
          <t>NFE</t>
        </is>
      </c>
      <c r="P1270" s="70" t="n">
        <v>104</v>
      </c>
      <c r="Q1270" s="72" t="inlineStr">
        <is>
          <t>DEBORA COSTA</t>
        </is>
      </c>
      <c r="R1270" s="72" t="inlineStr">
        <is>
          <t>ESTOQUE DE MERCADORIAS</t>
        </is>
      </c>
      <c r="S1270" s="70" t="n">
        <v>1130101</v>
      </c>
      <c r="T1270" s="72" t="inlineStr">
        <is>
          <t>MERCADORIAS P/REVENDA</t>
        </is>
      </c>
      <c r="U1270" s="73" t="n">
        <v>420</v>
      </c>
      <c r="W1270" s="73" t="n">
        <v>420</v>
      </c>
      <c r="X1270" s="72" t="inlineStr">
        <is>
          <t>NF 31 - DEBORA</t>
        </is>
      </c>
      <c r="Z1270" s="59">
        <f>IF($T1270="","",IFERROR(INDEX('Resumo Grupos'!$AC$3:$AC$200,MATCH($T1270,'Resumo Grupos'!$AB$3:$AB$200,0)),"n/d"))</f>
        <v/>
      </c>
      <c r="AA1270" s="59">
        <f>IF($T1270="","",IF(COUNTIF('Resumo Grupos'!$AE$3:$AE$40,$T1270)&gt;0,"NAO","SIM"))</f>
        <v/>
      </c>
    </row>
    <row r="1271" ht="36.75" customHeight="1" s="60">
      <c r="A1271" s="70" t="n">
        <v>1</v>
      </c>
      <c r="B1271" s="71" t="n">
        <v>46220</v>
      </c>
      <c r="C1271" s="71" t="n">
        <v>46220</v>
      </c>
      <c r="D1271" s="70" t="n">
        <v>10096</v>
      </c>
      <c r="E1271" s="72" t="inlineStr">
        <is>
          <t>H L M PADARIA E CONFEITARIA LTDA</t>
        </is>
      </c>
      <c r="F1271" s="70" t="n">
        <v>13</v>
      </c>
      <c r="G1271" s="72" t="inlineStr">
        <is>
          <t>Compra a Vista</t>
        </is>
      </c>
      <c r="H1271" s="70" t="n">
        <v>2110101</v>
      </c>
      <c r="I1271" s="72" t="inlineStr">
        <is>
          <t>FORNECEDORES DE MERCADORIA</t>
        </is>
      </c>
      <c r="J1271" s="70" t="n">
        <v>1460314</v>
      </c>
      <c r="L1271" s="70" t="n">
        <v>29</v>
      </c>
      <c r="M1271" s="72" t="inlineStr">
        <is>
          <t>01</t>
        </is>
      </c>
      <c r="N1271" s="72" t="inlineStr">
        <is>
          <t>NFE</t>
        </is>
      </c>
      <c r="P1271" s="70" t="n">
        <v>104</v>
      </c>
      <c r="Q1271" s="72" t="inlineStr">
        <is>
          <t>DEBORA COSTA</t>
        </is>
      </c>
      <c r="R1271" s="72" t="inlineStr">
        <is>
          <t>ESTOQUE DE MERCADORIAS</t>
        </is>
      </c>
      <c r="S1271" s="70" t="n">
        <v>1130101</v>
      </c>
      <c r="T1271" s="72" t="inlineStr">
        <is>
          <t>MERCADORIAS P/REVENDA</t>
        </is>
      </c>
      <c r="U1271" s="73" t="n">
        <v>480</v>
      </c>
      <c r="W1271" s="73" t="n">
        <v>480</v>
      </c>
      <c r="X1271" s="72" t="inlineStr">
        <is>
          <t>NF 29 - 10/07 - DEBORA</t>
        </is>
      </c>
      <c r="Z1271" s="59">
        <f>IF($T1271="","",IFERROR(INDEX('Resumo Grupos'!$AC$3:$AC$200,MATCH($T1271,'Resumo Grupos'!$AB$3:$AB$200,0)),"n/d"))</f>
        <v/>
      </c>
      <c r="AA1271" s="59">
        <f>IF($T1271="","",IF(COUNTIF('Resumo Grupos'!$AE$3:$AE$40,$T1271)&gt;0,"NAO","SIM"))</f>
        <v/>
      </c>
    </row>
    <row r="1272" ht="36.75" customHeight="1" s="60">
      <c r="A1272" s="70" t="n">
        <v>1</v>
      </c>
      <c r="B1272" s="71" t="n">
        <v>46220</v>
      </c>
      <c r="C1272" s="71" t="n">
        <v>46220</v>
      </c>
      <c r="D1272" s="70" t="n">
        <v>10096</v>
      </c>
      <c r="E1272" s="72" t="inlineStr">
        <is>
          <t>H L M PADARIA E CONFEITARIA LTDA</t>
        </is>
      </c>
      <c r="F1272" s="70" t="n">
        <v>13</v>
      </c>
      <c r="G1272" s="72" t="inlineStr">
        <is>
          <t>Compra a Vista</t>
        </is>
      </c>
      <c r="H1272" s="70" t="n">
        <v>2110101</v>
      </c>
      <c r="I1272" s="72" t="inlineStr">
        <is>
          <t>FORNECEDORES DE MERCADORIA</t>
        </is>
      </c>
      <c r="J1272" s="70" t="n">
        <v>1462689</v>
      </c>
      <c r="L1272" s="70" t="n">
        <v>28</v>
      </c>
      <c r="M1272" s="72" t="inlineStr">
        <is>
          <t>01</t>
        </is>
      </c>
      <c r="N1272" s="72" t="inlineStr">
        <is>
          <t>NFE</t>
        </is>
      </c>
      <c r="P1272" s="70" t="n">
        <v>104</v>
      </c>
      <c r="Q1272" s="72" t="inlineStr">
        <is>
          <t>DEBORA COSTA</t>
        </is>
      </c>
      <c r="R1272" s="72" t="inlineStr">
        <is>
          <t>ESTOQUE DE MERCADORIAS</t>
        </is>
      </c>
      <c r="S1272" s="70" t="n">
        <v>1130101</v>
      </c>
      <c r="T1272" s="72" t="inlineStr">
        <is>
          <t>MERCADORIAS P/REVENDA</t>
        </is>
      </c>
      <c r="U1272" s="73" t="n">
        <v>400</v>
      </c>
      <c r="W1272" s="73" t="n">
        <v>400</v>
      </c>
      <c r="X1272" s="72" t="inlineStr">
        <is>
          <t>NF 28 - 08/07 - DEBORA</t>
        </is>
      </c>
      <c r="Z1272" s="59">
        <f>IF($T1272="","",IFERROR(INDEX('Resumo Grupos'!$AC$3:$AC$200,MATCH($T1272,'Resumo Grupos'!$AB$3:$AB$200,0)),"n/d"))</f>
        <v/>
      </c>
      <c r="AA1272" s="59">
        <f>IF($T1272="","",IF(COUNTIF('Resumo Grupos'!$AE$3:$AE$40,$T1272)&gt;0,"NAO","SIM"))</f>
        <v/>
      </c>
    </row>
    <row r="1273" ht="36.75" customHeight="1" s="60">
      <c r="A1273" s="70" t="n">
        <v>1</v>
      </c>
      <c r="B1273" s="71" t="n">
        <v>46220</v>
      </c>
      <c r="C1273" s="71" t="n">
        <v>46220</v>
      </c>
      <c r="D1273" s="70" t="n">
        <v>10096</v>
      </c>
      <c r="E1273" s="72" t="inlineStr">
        <is>
          <t>H L M PADARIA E CONFEITARIA LTDA</t>
        </is>
      </c>
      <c r="F1273" s="70" t="n">
        <v>13</v>
      </c>
      <c r="G1273" s="72" t="inlineStr">
        <is>
          <t>Compra a Vista</t>
        </is>
      </c>
      <c r="H1273" s="70" t="n">
        <v>2110101</v>
      </c>
      <c r="I1273" s="72" t="inlineStr">
        <is>
          <t>FORNECEDORES DE MERCADORIA</t>
        </is>
      </c>
      <c r="J1273" s="70" t="n">
        <v>1462933</v>
      </c>
      <c r="L1273" s="70" t="n">
        <v>30</v>
      </c>
      <c r="M1273" s="72" t="inlineStr">
        <is>
          <t>01</t>
        </is>
      </c>
      <c r="N1273" s="72" t="inlineStr">
        <is>
          <t>NFE</t>
        </is>
      </c>
      <c r="P1273" s="70" t="n">
        <v>104</v>
      </c>
      <c r="Q1273" s="72" t="inlineStr">
        <is>
          <t>DEBORA COSTA</t>
        </is>
      </c>
      <c r="R1273" s="72" t="inlineStr">
        <is>
          <t>ESTOQUE DE MERCADORIAS</t>
        </is>
      </c>
      <c r="S1273" s="70" t="n">
        <v>1130101</v>
      </c>
      <c r="T1273" s="72" t="inlineStr">
        <is>
          <t>MERCADORIAS P/REVENDA</t>
        </is>
      </c>
      <c r="U1273" s="73" t="n">
        <v>440</v>
      </c>
      <c r="W1273" s="73" t="n">
        <v>440</v>
      </c>
      <c r="X1273" s="72" t="inlineStr">
        <is>
          <t>NF 30 - 04/07 - DEBORA</t>
        </is>
      </c>
      <c r="Z1273" s="59">
        <f>IF($T1273="","",IFERROR(INDEX('Resumo Grupos'!$AC$3:$AC$200,MATCH($T1273,'Resumo Grupos'!$AB$3:$AB$200,0)),"n/d"))</f>
        <v/>
      </c>
      <c r="AA1273" s="59">
        <f>IF($T1273="","",IF(COUNTIF('Resumo Grupos'!$AE$3:$AE$40,$T1273)&gt;0,"NAO","SIM"))</f>
        <v/>
      </c>
    </row>
    <row r="1274" ht="36.75" customHeight="1" s="60">
      <c r="A1274" s="70" t="n">
        <v>1</v>
      </c>
      <c r="B1274" s="71" t="n">
        <v>46220</v>
      </c>
      <c r="C1274" s="71" t="n">
        <v>46220</v>
      </c>
      <c r="D1274" s="70" t="n">
        <v>10096</v>
      </c>
      <c r="E1274" s="72" t="inlineStr">
        <is>
          <t>H L M PADARIA E CONFEITARIA LTDA</t>
        </is>
      </c>
      <c r="F1274" s="70" t="n">
        <v>13</v>
      </c>
      <c r="G1274" s="72" t="inlineStr">
        <is>
          <t>Compra a Vista</t>
        </is>
      </c>
      <c r="H1274" s="70" t="n">
        <v>2110101</v>
      </c>
      <c r="I1274" s="72" t="inlineStr">
        <is>
          <t>FORNECEDORES DE MERCADORIA</t>
        </is>
      </c>
      <c r="J1274" s="70" t="n">
        <v>1463047</v>
      </c>
      <c r="L1274" s="70" t="n">
        <v>27</v>
      </c>
      <c r="M1274" s="72" t="inlineStr">
        <is>
          <t>01</t>
        </is>
      </c>
      <c r="N1274" s="72" t="inlineStr">
        <is>
          <t>NFE</t>
        </is>
      </c>
      <c r="P1274" s="70" t="n">
        <v>104</v>
      </c>
      <c r="Q1274" s="72" t="inlineStr">
        <is>
          <t>DEBORA COSTA</t>
        </is>
      </c>
      <c r="R1274" s="72" t="inlineStr">
        <is>
          <t>ESTOQUE DE MERCADORIAS</t>
        </is>
      </c>
      <c r="S1274" s="70" t="n">
        <v>1130101</v>
      </c>
      <c r="T1274" s="72" t="inlineStr">
        <is>
          <t>MERCADORIAS P/REVENDA</t>
        </is>
      </c>
      <c r="U1274" s="73" t="n">
        <v>240</v>
      </c>
      <c r="W1274" s="73" t="n">
        <v>240</v>
      </c>
      <c r="X1274" s="72" t="inlineStr">
        <is>
          <t>NF 27 - 01/07 - DEBORA</t>
        </is>
      </c>
      <c r="Z1274" s="59">
        <f>IF($T1274="","",IFERROR(INDEX('Resumo Grupos'!$AC$3:$AC$200,MATCH($T1274,'Resumo Grupos'!$AB$3:$AB$200,0)),"n/d"))</f>
        <v/>
      </c>
      <c r="AA1274" s="59">
        <f>IF($T1274="","",IF(COUNTIF('Resumo Grupos'!$AE$3:$AE$40,$T1274)&gt;0,"NAO","SIM"))</f>
        <v/>
      </c>
    </row>
    <row r="1275" ht="36.75" customHeight="1" s="60">
      <c r="A1275" s="70" t="n">
        <v>1</v>
      </c>
      <c r="B1275" s="71" t="n">
        <v>46220</v>
      </c>
      <c r="C1275" s="71" t="n">
        <v>46220</v>
      </c>
      <c r="D1275" s="70" t="n">
        <v>10096</v>
      </c>
      <c r="E1275" s="72" t="inlineStr">
        <is>
          <t>H L M PADARIA E CONFEITARIA LTDA</t>
        </is>
      </c>
      <c r="F1275" s="70" t="n">
        <v>13</v>
      </c>
      <c r="G1275" s="72" t="inlineStr">
        <is>
          <t>Compra a Vista</t>
        </is>
      </c>
      <c r="H1275" s="70" t="n">
        <v>2110101</v>
      </c>
      <c r="I1275" s="72" t="inlineStr">
        <is>
          <t>FORNECEDORES DE MERCADORIA</t>
        </is>
      </c>
      <c r="J1275" s="70" t="n">
        <v>1463081</v>
      </c>
      <c r="L1275" s="70" t="n">
        <v>1</v>
      </c>
      <c r="M1275" s="72" t="inlineStr">
        <is>
          <t>01</t>
        </is>
      </c>
      <c r="N1275" s="72" t="inlineStr">
        <is>
          <t>NFE</t>
        </is>
      </c>
      <c r="P1275" s="70" t="n">
        <v>104</v>
      </c>
      <c r="Q1275" s="72" t="inlineStr">
        <is>
          <t>DEBORA COSTA</t>
        </is>
      </c>
      <c r="R1275" s="72" t="inlineStr">
        <is>
          <t>ESTOQUE DE MERCADORIAS</t>
        </is>
      </c>
      <c r="S1275" s="70" t="n">
        <v>1130101</v>
      </c>
      <c r="T1275" s="72" t="inlineStr">
        <is>
          <t>MERCADORIAS P/REVENDA</t>
        </is>
      </c>
      <c r="U1275" s="73" t="n">
        <v>560</v>
      </c>
      <c r="W1275" s="73" t="n">
        <v>560</v>
      </c>
      <c r="X1275" s="72" t="inlineStr">
        <is>
          <t>NF 1 - 29/06 - DEBORA</t>
        </is>
      </c>
      <c r="Z1275" s="59">
        <f>IF($T1275="","",IFERROR(INDEX('Resumo Grupos'!$AC$3:$AC$200,MATCH($T1275,'Resumo Grupos'!$AB$3:$AB$200,0)),"n/d"))</f>
        <v/>
      </c>
      <c r="AA1275" s="59">
        <f>IF($T1275="","",IF(COUNTIF('Resumo Grupos'!$AE$3:$AE$40,$T1275)&gt;0,"NAO","SIM"))</f>
        <v/>
      </c>
    </row>
    <row r="1276" ht="36.75" customHeight="1" s="60">
      <c r="A1276" s="70" t="n">
        <v>1</v>
      </c>
      <c r="B1276" s="71" t="n">
        <v>46220</v>
      </c>
      <c r="C1276" s="71" t="n">
        <v>46220</v>
      </c>
      <c r="D1276" s="70" t="n">
        <v>10096</v>
      </c>
      <c r="E1276" s="72" t="inlineStr">
        <is>
          <t>H L M PADARIA E CONFEITARIA LTDA</t>
        </is>
      </c>
      <c r="F1276" s="70" t="n">
        <v>13</v>
      </c>
      <c r="G1276" s="72" t="inlineStr">
        <is>
          <t>Compra a Vista</t>
        </is>
      </c>
      <c r="H1276" s="70" t="n">
        <v>2110101</v>
      </c>
      <c r="I1276" s="72" t="inlineStr">
        <is>
          <t>FORNECEDORES DE MERCADORIA</t>
        </is>
      </c>
      <c r="J1276" s="70" t="n">
        <v>1463156</v>
      </c>
      <c r="L1276" s="70" t="n">
        <v>24</v>
      </c>
      <c r="M1276" s="72" t="inlineStr">
        <is>
          <t>01</t>
        </is>
      </c>
      <c r="N1276" s="72" t="inlineStr">
        <is>
          <t>NFE</t>
        </is>
      </c>
      <c r="P1276" s="70" t="n">
        <v>104</v>
      </c>
      <c r="Q1276" s="72" t="inlineStr">
        <is>
          <t>DEBORA COSTA</t>
        </is>
      </c>
      <c r="R1276" s="72" t="inlineStr">
        <is>
          <t>ESTOQUE DE MERCADORIAS</t>
        </is>
      </c>
      <c r="S1276" s="70" t="n">
        <v>1130101</v>
      </c>
      <c r="T1276" s="72" t="inlineStr">
        <is>
          <t>MERCADORIAS P/REVENDA</t>
        </is>
      </c>
      <c r="U1276" s="73" t="n">
        <v>240</v>
      </c>
      <c r="W1276" s="73" t="n">
        <v>240</v>
      </c>
      <c r="X1276" s="72" t="inlineStr">
        <is>
          <t>NF 24 - 26/06 - DEBORA</t>
        </is>
      </c>
      <c r="Z1276" s="59">
        <f>IF($T1276="","",IFERROR(INDEX('Resumo Grupos'!$AC$3:$AC$200,MATCH($T1276,'Resumo Grupos'!$AB$3:$AB$200,0)),"n/d"))</f>
        <v/>
      </c>
      <c r="AA1276" s="59">
        <f>IF($T1276="","",IF(COUNTIF('Resumo Grupos'!$AE$3:$AE$40,$T1276)&gt;0,"NAO","SIM"))</f>
        <v/>
      </c>
    </row>
    <row r="1277" ht="36.75" customHeight="1" s="60">
      <c r="A1277" s="70" t="n">
        <v>1</v>
      </c>
      <c r="B1277" s="71" t="n">
        <v>46148</v>
      </c>
      <c r="C1277" s="71" t="n">
        <v>46221</v>
      </c>
      <c r="D1277" s="70" t="n">
        <v>607</v>
      </c>
      <c r="E1277" s="72" t="inlineStr">
        <is>
          <t>PRIME PET DISTRIBUIDORA LTDA</t>
        </is>
      </c>
      <c r="F1277" s="70" t="n">
        <v>24</v>
      </c>
      <c r="G1277" s="72" t="inlineStr">
        <is>
          <t>Compra a Prazo - Boletos</t>
        </is>
      </c>
      <c r="H1277" s="70" t="n">
        <v>2110101</v>
      </c>
      <c r="I1277" s="72" t="inlineStr">
        <is>
          <t>FORNECEDORES DE MERCADORIA</t>
        </is>
      </c>
      <c r="J1277" s="70" t="n">
        <v>1057743</v>
      </c>
      <c r="L1277" s="70" t="n">
        <v>10336</v>
      </c>
      <c r="M1277" s="72" t="inlineStr">
        <is>
          <t>06</t>
        </is>
      </c>
      <c r="N1277" s="72" t="inlineStr">
        <is>
          <t>NFE</t>
        </is>
      </c>
      <c r="P1277" s="70" t="n">
        <v>103</v>
      </c>
      <c r="Q1277" s="72" t="inlineStr">
        <is>
          <t>MILKA FRANCIS</t>
        </is>
      </c>
      <c r="R1277" s="72" t="inlineStr">
        <is>
          <t>ESTOQUE DE MERCADORIAS</t>
        </is>
      </c>
      <c r="S1277" s="70" t="n">
        <v>1130101</v>
      </c>
      <c r="T1277" s="72" t="inlineStr">
        <is>
          <t>MERCADORIAS P/REVENDA</t>
        </is>
      </c>
      <c r="U1277" s="73" t="n">
        <v>250.35</v>
      </c>
      <c r="W1277" s="73" t="n">
        <v>0</v>
      </c>
      <c r="X1277" s="72" t="inlineStr">
        <is>
          <t>NF 10336 -06 MILKA</t>
        </is>
      </c>
      <c r="Z1277" s="59">
        <f>IF($T1277="","",IFERROR(INDEX('Resumo Grupos'!$AC$3:$AC$200,MATCH($T1277,'Resumo Grupos'!$AB$3:$AB$200,0)),"n/d"))</f>
        <v/>
      </c>
      <c r="AA1277" s="59">
        <f>IF($T1277="","",IF(COUNTIF('Resumo Grupos'!$AE$3:$AE$40,$T1277)&gt;0,"NAO","SIM"))</f>
        <v/>
      </c>
    </row>
    <row r="1278" ht="36.75" customHeight="1" s="60">
      <c r="A1278" s="70" t="n">
        <v>1</v>
      </c>
      <c r="B1278" s="71" t="n">
        <v>46182</v>
      </c>
      <c r="C1278" s="71" t="n">
        <v>46221</v>
      </c>
      <c r="D1278" s="70" t="n">
        <v>957</v>
      </c>
      <c r="E1278" s="72" t="inlineStr">
        <is>
          <t>FUNNY PET DISTRIBUIDORA DE ALIMENTOS PAR</t>
        </is>
      </c>
      <c r="F1278" s="70" t="n">
        <v>24</v>
      </c>
      <c r="G1278" s="72" t="inlineStr">
        <is>
          <t>Compra a Prazo - Boletos</t>
        </is>
      </c>
      <c r="H1278" s="70" t="n">
        <v>2110101</v>
      </c>
      <c r="I1278" s="72" t="inlineStr">
        <is>
          <t>FORNECEDORES DE MERCADORIA</t>
        </is>
      </c>
      <c r="J1278" s="70" t="n">
        <v>1227398</v>
      </c>
      <c r="L1278" s="70" t="n">
        <v>20167</v>
      </c>
      <c r="M1278" s="72" t="inlineStr">
        <is>
          <t>04</t>
        </is>
      </c>
      <c r="N1278" s="72" t="inlineStr">
        <is>
          <t>NFE</t>
        </is>
      </c>
      <c r="P1278" s="70" t="n">
        <v>103</v>
      </c>
      <c r="Q1278" s="72" t="inlineStr">
        <is>
          <t>MILKA FRANCIS</t>
        </is>
      </c>
      <c r="R1278" s="72" t="inlineStr">
        <is>
          <t>ESTOQUE DE MERCADORIAS</t>
        </is>
      </c>
      <c r="S1278" s="70" t="n">
        <v>1130101</v>
      </c>
      <c r="T1278" s="72" t="inlineStr">
        <is>
          <t>MERCADORIAS P/REVENDA</t>
        </is>
      </c>
      <c r="U1278" s="73" t="n">
        <v>4521.75</v>
      </c>
      <c r="W1278" s="73" t="n">
        <v>0</v>
      </c>
      <c r="X1278" s="72" t="inlineStr">
        <is>
          <t>NF 20167 4- MILKA</t>
        </is>
      </c>
      <c r="Z1278" s="59">
        <f>IF($T1278="","",IFERROR(INDEX('Resumo Grupos'!$AC$3:$AC$200,MATCH($T1278,'Resumo Grupos'!$AB$3:$AB$200,0)),"n/d"))</f>
        <v/>
      </c>
      <c r="AA1278" s="59">
        <f>IF($T1278="","",IF(COUNTIF('Resumo Grupos'!$AE$3:$AE$40,$T1278)&gt;0,"NAO","SIM"))</f>
        <v/>
      </c>
    </row>
    <row r="1279" ht="54.75" customHeight="1" s="60">
      <c r="A1279" s="70" t="n">
        <v>1</v>
      </c>
      <c r="B1279" s="71" t="n">
        <v>46192</v>
      </c>
      <c r="C1279" s="71" t="n">
        <v>46221</v>
      </c>
      <c r="D1279" s="70" t="n">
        <v>10037</v>
      </c>
      <c r="E1279" s="72" t="inlineStr">
        <is>
          <t>FORTVET DISTRIBUIDORA LTDA</t>
        </is>
      </c>
      <c r="F1279" s="70" t="n">
        <v>24</v>
      </c>
      <c r="G1279" s="72" t="inlineStr">
        <is>
          <t>Compra a Prazo - Boletos</t>
        </is>
      </c>
      <c r="H1279" s="70" t="n">
        <v>2110101</v>
      </c>
      <c r="I1279" s="72" t="inlineStr">
        <is>
          <t>FORNECEDORES DE MERCADORIA</t>
        </is>
      </c>
      <c r="J1279" s="70" t="n">
        <v>1273218</v>
      </c>
      <c r="L1279" s="70" t="n">
        <v>2494</v>
      </c>
      <c r="M1279" s="72" t="inlineStr">
        <is>
          <t>01</t>
        </is>
      </c>
      <c r="N1279" s="72" t="inlineStr">
        <is>
          <t>NFE</t>
        </is>
      </c>
      <c r="P1279" s="70" t="n">
        <v>103</v>
      </c>
      <c r="Q1279" s="72" t="inlineStr">
        <is>
          <t>MILKA FRANCIS</t>
        </is>
      </c>
      <c r="R1279" s="72" t="inlineStr">
        <is>
          <t>ESTOQUE DE MERCADORIAS</t>
        </is>
      </c>
      <c r="S1279" s="70" t="n">
        <v>1130101</v>
      </c>
      <c r="T1279" s="72" t="inlineStr">
        <is>
          <t>MERCADORIAS P/REVENDA</t>
        </is>
      </c>
      <c r="U1279" s="73" t="n">
        <v>1098.8</v>
      </c>
      <c r="W1279" s="73" t="n">
        <v>0</v>
      </c>
      <c r="X1279" s="72" t="inlineStr">
        <is>
          <t>NF 2494-1 MILKA</t>
        </is>
      </c>
      <c r="Z1279" s="59">
        <f>IF($T1279="","",IFERROR(INDEX('Resumo Grupos'!$AC$3:$AC$200,MATCH($T1279,'Resumo Grupos'!$AB$3:$AB$200,0)),"n/d"))</f>
        <v/>
      </c>
      <c r="AA1279" s="59">
        <f>IF($T1279="","",IF(COUNTIF('Resumo Grupos'!$AE$3:$AE$40,$T1279)&gt;0,"NAO","SIM"))</f>
        <v/>
      </c>
    </row>
    <row r="1280" ht="45.75" customHeight="1" s="60">
      <c r="A1280" s="70" t="n">
        <v>1</v>
      </c>
      <c r="B1280" s="71" t="n">
        <v>46202</v>
      </c>
      <c r="C1280" s="71" t="n">
        <v>46221</v>
      </c>
      <c r="D1280" s="70" t="n">
        <v>1749</v>
      </c>
      <c r="E1280" s="72" t="inlineStr">
        <is>
          <t>ORIENTE COM. ATACADISTA E REPRES. LTDA</t>
        </is>
      </c>
      <c r="F1280" s="70" t="n">
        <v>24</v>
      </c>
      <c r="G1280" s="72" t="inlineStr">
        <is>
          <t>Compra a Prazo - Boletos</t>
        </is>
      </c>
      <c r="H1280" s="70" t="n">
        <v>2110101</v>
      </c>
      <c r="I1280" s="72" t="inlineStr">
        <is>
          <t>FORNECEDORES DE MERCADORIA</t>
        </is>
      </c>
      <c r="J1280" s="70" t="n">
        <v>1323701</v>
      </c>
      <c r="L1280" s="70" t="n">
        <v>2053</v>
      </c>
      <c r="M1280" s="72" t="inlineStr">
        <is>
          <t>01</t>
        </is>
      </c>
      <c r="N1280" s="72" t="inlineStr">
        <is>
          <t>NFE</t>
        </is>
      </c>
      <c r="P1280" s="70" t="n">
        <v>103</v>
      </c>
      <c r="Q1280" s="72" t="inlineStr">
        <is>
          <t>MILKA FRANCIS</t>
        </is>
      </c>
      <c r="R1280" s="72" t="inlineStr">
        <is>
          <t>ESTOQUE DE MERCADORIAS</t>
        </is>
      </c>
      <c r="S1280" s="70" t="n">
        <v>1130101</v>
      </c>
      <c r="T1280" s="72" t="inlineStr">
        <is>
          <t>MERCADORIAS P/REVENDA</t>
        </is>
      </c>
      <c r="U1280" s="73" t="n">
        <v>689.5</v>
      </c>
      <c r="W1280" s="73" t="n">
        <v>0</v>
      </c>
      <c r="X1280" s="72" t="inlineStr">
        <is>
          <t>2477/1  NF2053 - MILKA</t>
        </is>
      </c>
      <c r="Z1280" s="59">
        <f>IF($T1280="","",IFERROR(INDEX('Resumo Grupos'!$AC$3:$AC$200,MATCH($T1280,'Resumo Grupos'!$AB$3:$AB$200,0)),"n/d"))</f>
        <v/>
      </c>
      <c r="AA1280" s="59">
        <f>IF($T1280="","",IF(COUNTIF('Resumo Grupos'!$AE$3:$AE$40,$T1280)&gt;0,"NAO","SIM"))</f>
        <v/>
      </c>
    </row>
    <row r="1281" ht="45.75" customHeight="1" s="60">
      <c r="A1281" s="70" t="n">
        <v>1</v>
      </c>
      <c r="B1281" s="71" t="n">
        <v>46206</v>
      </c>
      <c r="C1281" s="71" t="n">
        <v>46221</v>
      </c>
      <c r="D1281" s="70" t="n">
        <v>804</v>
      </c>
      <c r="E1281" s="72" t="inlineStr">
        <is>
          <t>PIMENTEL SOCIEDADE INDIVIDUAL DE ADVOGAC</t>
        </is>
      </c>
      <c r="F1281" s="70" t="n">
        <v>34</v>
      </c>
      <c r="G1281" s="72" t="inlineStr">
        <is>
          <t>Transferencia Pix</t>
        </is>
      </c>
      <c r="H1281" s="70" t="n">
        <v>1110202</v>
      </c>
      <c r="I1281" s="72" t="inlineStr">
        <is>
          <t>BANCO ITAU Lj 01</t>
        </is>
      </c>
      <c r="J1281" s="70" t="n">
        <v>1345479</v>
      </c>
      <c r="L1281" s="70" t="n">
        <v>555726</v>
      </c>
      <c r="M1281" s="72" t="inlineStr">
        <is>
          <t>01</t>
        </is>
      </c>
      <c r="N1281" s="72" t="inlineStr">
        <is>
          <t>AVU</t>
        </is>
      </c>
      <c r="P1281" s="70" t="n">
        <v>101</v>
      </c>
      <c r="Q1281" s="72" t="inlineStr">
        <is>
          <t>KEILA LIMA</t>
        </is>
      </c>
      <c r="R1281" s="72" t="inlineStr">
        <is>
          <t>DESPESAS OPERACIONAIS</t>
        </is>
      </c>
      <c r="S1281" s="70" t="n">
        <v>4210203</v>
      </c>
      <c r="T1281" s="72" t="inlineStr">
        <is>
          <t>HONORARIOS JURIDICOS</t>
        </is>
      </c>
      <c r="U1281" s="73" t="n">
        <v>836.78</v>
      </c>
      <c r="W1281" s="73" t="n">
        <v>0</v>
      </c>
      <c r="X1281" s="72" t="inlineStr">
        <is>
          <t>MENSALIDADE ADVOGADO MO1 MES - KEILA</t>
        </is>
      </c>
      <c r="Z1281" s="59">
        <f>IF($T1281="","",IFERROR(INDEX('Resumo Grupos'!$AC$3:$AC$200,MATCH($T1281,'Resumo Grupos'!$AB$3:$AB$200,0)),"n/d"))</f>
        <v/>
      </c>
      <c r="AA1281" s="59">
        <f>IF($T1281="","",IF(COUNTIF('Resumo Grupos'!$AE$3:$AE$40,$T1281)&gt;0,"NAO","SIM"))</f>
        <v/>
      </c>
    </row>
    <row r="1282" ht="45.75" customHeight="1" s="60">
      <c r="A1282" s="70" t="n">
        <v>1</v>
      </c>
      <c r="B1282" s="71" t="n">
        <v>46206</v>
      </c>
      <c r="C1282" s="71" t="n">
        <v>46221</v>
      </c>
      <c r="D1282" s="70" t="n">
        <v>804</v>
      </c>
      <c r="E1282" s="72" t="inlineStr">
        <is>
          <t>PIMENTEL SOCIEDADE INDIVIDUAL DE ADVOGAC</t>
        </is>
      </c>
      <c r="F1282" s="70" t="n">
        <v>34</v>
      </c>
      <c r="G1282" s="72" t="inlineStr">
        <is>
          <t>Transferencia Pix</t>
        </is>
      </c>
      <c r="H1282" s="70" t="n">
        <v>1110202</v>
      </c>
      <c r="I1282" s="72" t="inlineStr">
        <is>
          <t>BANCO ITAU Lj 01</t>
        </is>
      </c>
      <c r="J1282" s="70" t="n">
        <v>1345494</v>
      </c>
      <c r="L1282" s="70" t="n">
        <v>555731</v>
      </c>
      <c r="M1282" s="72" t="inlineStr">
        <is>
          <t>01</t>
        </is>
      </c>
      <c r="N1282" s="72" t="inlineStr">
        <is>
          <t>AVU</t>
        </is>
      </c>
      <c r="P1282" s="70" t="n">
        <v>101</v>
      </c>
      <c r="Q1282" s="72" t="inlineStr">
        <is>
          <t>KEILA LIMA</t>
        </is>
      </c>
      <c r="R1282" s="72" t="inlineStr">
        <is>
          <t>DESPESAS NAO OPERACIONAIS</t>
        </is>
      </c>
      <c r="S1282" s="70" t="n">
        <v>4220199</v>
      </c>
      <c r="T1282" s="72" t="inlineStr">
        <is>
          <t>PAGAMENTOS OUTROS NAO OPERACIONAIS</t>
        </is>
      </c>
      <c r="U1282" s="73" t="n">
        <v>1621</v>
      </c>
      <c r="W1282" s="73" t="n">
        <v>0</v>
      </c>
      <c r="X1282" s="72" t="inlineStr">
        <is>
          <t>MENSALIDADE ADVOGADO LOJAS RATEIO  DO MES - KEILA</t>
        </is>
      </c>
      <c r="Z1282" s="59">
        <f>IF($T1282="","",IFERROR(INDEX('Resumo Grupos'!$AC$3:$AC$200,MATCH($T1282,'Resumo Grupos'!$AB$3:$AB$200,0)),"n/d"))</f>
        <v/>
      </c>
      <c r="AA1282" s="59">
        <f>IF($T1282="","",IF(COUNTIF('Resumo Grupos'!$AE$3:$AE$40,$T1282)&gt;0,"NAO","SIM"))</f>
        <v/>
      </c>
    </row>
    <row r="1283" ht="45.75" customHeight="1" s="60">
      <c r="A1283" s="70" t="n">
        <v>1</v>
      </c>
      <c r="B1283" s="71" t="n">
        <v>46210</v>
      </c>
      <c r="C1283" s="71" t="n">
        <v>46221</v>
      </c>
      <c r="D1283" s="70" t="n">
        <v>10090</v>
      </c>
      <c r="E1283" s="72" t="inlineStr">
        <is>
          <t>ALEXSANDRO BEZERRA DA SILVA</t>
        </is>
      </c>
      <c r="F1283" s="70" t="n">
        <v>24</v>
      </c>
      <c r="G1283" s="72" t="inlineStr">
        <is>
          <t>Compra a Prazo - Boletos</t>
        </is>
      </c>
      <c r="H1283" s="70" t="n">
        <v>2110101</v>
      </c>
      <c r="I1283" s="72" t="inlineStr">
        <is>
          <t>FORNECEDORES DE MERCADORIA</t>
        </is>
      </c>
      <c r="J1283" s="70" t="n">
        <v>1366201</v>
      </c>
      <c r="L1283" s="70" t="n">
        <v>264</v>
      </c>
      <c r="M1283" s="72" t="inlineStr">
        <is>
          <t>02</t>
        </is>
      </c>
      <c r="N1283" s="72" t="inlineStr">
        <is>
          <t>NFE</t>
        </is>
      </c>
      <c r="P1283" s="70" t="n">
        <v>103</v>
      </c>
      <c r="Q1283" s="72" t="inlineStr">
        <is>
          <t>MILKA FRANCIS</t>
        </is>
      </c>
      <c r="R1283" s="72" t="inlineStr">
        <is>
          <t>ESTOQUE DE MERCADORIAS</t>
        </is>
      </c>
      <c r="S1283" s="70" t="n">
        <v>1130101</v>
      </c>
      <c r="T1283" s="72" t="inlineStr">
        <is>
          <t>MERCADORIAS P/REVENDA</t>
        </is>
      </c>
      <c r="U1283" s="73" t="n">
        <v>2812.18</v>
      </c>
      <c r="W1283" s="73" t="n">
        <v>0</v>
      </c>
      <c r="X1283" s="72" t="inlineStr">
        <is>
          <t>192032563  NF 264 POTIGUAR - MILKA</t>
        </is>
      </c>
      <c r="Z1283" s="59">
        <f>IF($T1283="","",IFERROR(INDEX('Resumo Grupos'!$AC$3:$AC$200,MATCH($T1283,'Resumo Grupos'!$AB$3:$AB$200,0)),"n/d"))</f>
        <v/>
      </c>
      <c r="AA1283" s="59">
        <f>IF($T1283="","",IF(COUNTIF('Resumo Grupos'!$AE$3:$AE$40,$T1283)&gt;0,"NAO","SIM"))</f>
        <v/>
      </c>
    </row>
    <row r="1284" ht="27.75" customHeight="1" s="60">
      <c r="A1284" s="70" t="n">
        <v>1</v>
      </c>
      <c r="B1284" s="71" t="n">
        <v>46211</v>
      </c>
      <c r="C1284" s="71" t="n">
        <v>46221</v>
      </c>
      <c r="D1284" s="70" t="n">
        <v>1723</v>
      </c>
      <c r="E1284" s="72" t="inlineStr">
        <is>
          <t>COMERCIO DE FRIOS MANAUS LTDA</t>
        </is>
      </c>
      <c r="F1284" s="70" t="n">
        <v>24</v>
      </c>
      <c r="G1284" s="72" t="inlineStr">
        <is>
          <t>Compra a Prazo - Boletos</t>
        </is>
      </c>
      <c r="H1284" s="70" t="n">
        <v>2110101</v>
      </c>
      <c r="I1284" s="72" t="inlineStr">
        <is>
          <t>FORNECEDORES DE MERCADORIA</t>
        </is>
      </c>
      <c r="J1284" s="70" t="n">
        <v>1370529</v>
      </c>
      <c r="L1284" s="70" t="n">
        <v>172856</v>
      </c>
      <c r="M1284" s="72" t="inlineStr">
        <is>
          <t>01</t>
        </is>
      </c>
      <c r="N1284" s="72" t="inlineStr">
        <is>
          <t>NFE</t>
        </is>
      </c>
      <c r="P1284" s="70" t="n">
        <v>103</v>
      </c>
      <c r="Q1284" s="72" t="inlineStr">
        <is>
          <t>MILKA FRANCIS</t>
        </is>
      </c>
      <c r="R1284" s="72" t="inlineStr">
        <is>
          <t>ESTOQUE DE MERCADORIAS</t>
        </is>
      </c>
      <c r="S1284" s="70" t="n">
        <v>1130101</v>
      </c>
      <c r="T1284" s="72" t="inlineStr">
        <is>
          <t>MERCADORIAS P/REVENDA</t>
        </is>
      </c>
      <c r="U1284" s="73" t="n">
        <v>6394.2</v>
      </c>
      <c r="W1284" s="73" t="n">
        <v>0</v>
      </c>
      <c r="X1284" s="72" t="inlineStr">
        <is>
          <t>NF172856 - MILKA</t>
        </is>
      </c>
      <c r="Z1284" s="59">
        <f>IF($T1284="","",IFERROR(INDEX('Resumo Grupos'!$AC$3:$AC$200,MATCH($T1284,'Resumo Grupos'!$AB$3:$AB$200,0)),"n/d"))</f>
        <v/>
      </c>
      <c r="AA1284" s="59">
        <f>IF($T1284="","",IF(COUNTIF('Resumo Grupos'!$AE$3:$AE$40,$T1284)&gt;0,"NAO","SIM"))</f>
        <v/>
      </c>
    </row>
    <row r="1285" ht="36.75" customHeight="1" s="60">
      <c r="A1285" s="70" t="n">
        <v>1</v>
      </c>
      <c r="B1285" s="71" t="n">
        <v>46213</v>
      </c>
      <c r="C1285" s="71" t="n">
        <v>46221</v>
      </c>
      <c r="D1285" s="70" t="n">
        <v>10090</v>
      </c>
      <c r="E1285" s="72" t="inlineStr">
        <is>
          <t>ALEXSANDRO BEZERRA DA SILVA</t>
        </is>
      </c>
      <c r="F1285" s="70" t="n">
        <v>24</v>
      </c>
      <c r="G1285" s="72" t="inlineStr">
        <is>
          <t>Compra a Prazo - Boletos</t>
        </is>
      </c>
      <c r="H1285" s="70" t="n">
        <v>1110202</v>
      </c>
      <c r="I1285" s="72" t="inlineStr">
        <is>
          <t>BANCO ITAU Lj 01</t>
        </is>
      </c>
      <c r="J1285" s="70" t="n">
        <v>1377385</v>
      </c>
      <c r="L1285" s="70" t="n">
        <v>271</v>
      </c>
      <c r="M1285" s="72" t="inlineStr">
        <is>
          <t>01</t>
        </is>
      </c>
      <c r="N1285" s="72" t="inlineStr">
        <is>
          <t>AVU</t>
        </is>
      </c>
      <c r="P1285" s="70" t="n">
        <v>103</v>
      </c>
      <c r="Q1285" s="72" t="inlineStr">
        <is>
          <t>MILKA FRANCIS</t>
        </is>
      </c>
      <c r="R1285" s="72" t="inlineStr">
        <is>
          <t>ESTOQUE DE MERCADORIAS</t>
        </is>
      </c>
      <c r="S1285" s="70" t="n">
        <v>1130101</v>
      </c>
      <c r="T1285" s="72" t="inlineStr">
        <is>
          <t>MERCADORIAS P/REVENDA</t>
        </is>
      </c>
      <c r="U1285" s="73" t="n">
        <v>1646.64</v>
      </c>
      <c r="W1285" s="73" t="n">
        <v>0</v>
      </c>
      <c r="X1285" s="72" t="inlineStr">
        <is>
          <t>192925187  NF271 COMERCIAL POTIGUAR - MILKA</t>
        </is>
      </c>
      <c r="Z1285" s="59">
        <f>IF($T1285="","",IFERROR(INDEX('Resumo Grupos'!$AC$3:$AC$200,MATCH($T1285,'Resumo Grupos'!$AB$3:$AB$200,0)),"n/d"))</f>
        <v/>
      </c>
      <c r="AA1285" s="59">
        <f>IF($T1285="","",IF(COUNTIF('Resumo Grupos'!$AE$3:$AE$40,$T1285)&gt;0,"NAO","SIM"))</f>
        <v/>
      </c>
    </row>
    <row r="1286" ht="27.75" customHeight="1" s="60">
      <c r="A1286" s="70" t="n">
        <v>1</v>
      </c>
      <c r="B1286" s="71" t="n">
        <v>46216</v>
      </c>
      <c r="C1286" s="71" t="n">
        <v>46221</v>
      </c>
      <c r="D1286" s="70" t="n">
        <v>1625</v>
      </c>
      <c r="E1286" s="72" t="inlineStr">
        <is>
          <t>MAXFRI DISTRIUIDORA LTDA</t>
        </is>
      </c>
      <c r="F1286" s="70" t="n">
        <v>24</v>
      </c>
      <c r="G1286" s="72" t="inlineStr">
        <is>
          <t>Compra a Prazo - Boletos</t>
        </is>
      </c>
      <c r="H1286" s="70" t="n">
        <v>1110202</v>
      </c>
      <c r="I1286" s="72" t="inlineStr">
        <is>
          <t>BANCO ITAU Lj 01</t>
        </is>
      </c>
      <c r="J1286" s="70" t="n">
        <v>1392828</v>
      </c>
      <c r="L1286" s="70" t="n">
        <v>14684</v>
      </c>
      <c r="M1286" s="72" t="inlineStr">
        <is>
          <t>01</t>
        </is>
      </c>
      <c r="N1286" s="72" t="inlineStr">
        <is>
          <t>AVU</t>
        </is>
      </c>
      <c r="P1286" s="70" t="n">
        <v>103</v>
      </c>
      <c r="Q1286" s="72" t="inlineStr">
        <is>
          <t>MILKA FRANCIS</t>
        </is>
      </c>
      <c r="R1286" s="72" t="inlineStr">
        <is>
          <t>ESTOQUE DE MERCADORIAS</t>
        </is>
      </c>
      <c r="S1286" s="70" t="n">
        <v>1130101</v>
      </c>
      <c r="T1286" s="72" t="inlineStr">
        <is>
          <t>MERCADORIAS P/REVENDA</t>
        </is>
      </c>
      <c r="U1286" s="73" t="n">
        <v>8622.58</v>
      </c>
      <c r="W1286" s="73" t="n">
        <v>0</v>
      </c>
      <c r="X1286" s="72" t="inlineStr">
        <is>
          <t>NF 14684 - MILKA</t>
        </is>
      </c>
      <c r="Z1286" s="59">
        <f>IF($T1286="","",IFERROR(INDEX('Resumo Grupos'!$AC$3:$AC$200,MATCH($T1286,'Resumo Grupos'!$AB$3:$AB$200,0)),"n/d"))</f>
        <v/>
      </c>
      <c r="AA1286" s="59">
        <f>IF($T1286="","",IF(COUNTIF('Resumo Grupos'!$AE$3:$AE$40,$T1286)&gt;0,"NAO","SIM"))</f>
        <v/>
      </c>
    </row>
    <row r="1287" ht="36.75" customHeight="1" s="60">
      <c r="A1287" s="70" t="n">
        <v>1</v>
      </c>
      <c r="B1287" s="71" t="n">
        <v>46217</v>
      </c>
      <c r="C1287" s="71" t="n">
        <v>46221</v>
      </c>
      <c r="D1287" s="70" t="n">
        <v>1269</v>
      </c>
      <c r="E1287" s="72" t="inlineStr">
        <is>
          <t>DINÂMICA SOLUÇÕES EM SUPRIMENTOS E GESTÃ</t>
        </is>
      </c>
      <c r="F1287" s="70" t="n">
        <v>24</v>
      </c>
      <c r="G1287" s="72" t="inlineStr">
        <is>
          <t>Compra a Prazo - Boletos</t>
        </is>
      </c>
      <c r="H1287" s="70" t="n">
        <v>1110202</v>
      </c>
      <c r="I1287" s="72" t="inlineStr">
        <is>
          <t>BANCO ITAU Lj 01</t>
        </is>
      </c>
      <c r="J1287" s="70" t="n">
        <v>1397166</v>
      </c>
      <c r="L1287" s="70" t="n">
        <v>742</v>
      </c>
      <c r="M1287" s="72" t="inlineStr">
        <is>
          <t>01</t>
        </is>
      </c>
      <c r="N1287" s="72" t="inlineStr">
        <is>
          <t>AVU</t>
        </is>
      </c>
      <c r="P1287" s="70" t="n">
        <v>103</v>
      </c>
      <c r="Q1287" s="72" t="inlineStr">
        <is>
          <t>MILKA FRANCIS</t>
        </is>
      </c>
      <c r="R1287" s="72" t="inlineStr">
        <is>
          <t>ESTOQUE DE MERCADORIAS</t>
        </is>
      </c>
      <c r="S1287" s="70" t="n">
        <v>1130101</v>
      </c>
      <c r="T1287" s="72" t="inlineStr">
        <is>
          <t>MERCADORIAS P/REVENDA</t>
        </is>
      </c>
      <c r="U1287" s="73" t="n">
        <v>607.5</v>
      </c>
      <c r="W1287" s="73" t="n">
        <v>0</v>
      </c>
      <c r="X1287" s="72" t="inlineStr">
        <is>
          <t>NF 742-01 MILKA</t>
        </is>
      </c>
      <c r="Z1287" s="59">
        <f>IF($T1287="","",IFERROR(INDEX('Resumo Grupos'!$AC$3:$AC$200,MATCH($T1287,'Resumo Grupos'!$AB$3:$AB$200,0)),"n/d"))</f>
        <v/>
      </c>
      <c r="AA1287" s="59">
        <f>IF($T1287="","",IF(COUNTIF('Resumo Grupos'!$AE$3:$AE$40,$T1287)&gt;0,"NAO","SIM"))</f>
        <v/>
      </c>
    </row>
    <row r="1288" ht="45.75" customHeight="1" s="60">
      <c r="A1288" s="70" t="n">
        <v>1</v>
      </c>
      <c r="B1288" s="71" t="n">
        <v>46221</v>
      </c>
      <c r="C1288" s="71" t="n">
        <v>46221</v>
      </c>
      <c r="D1288" s="70" t="n">
        <v>10096</v>
      </c>
      <c r="E1288" s="72" t="inlineStr">
        <is>
          <t>H L M PADARIA E CONFEITARIA LTDA</t>
        </is>
      </c>
      <c r="F1288" s="70" t="n">
        <v>13</v>
      </c>
      <c r="G1288" s="72" t="inlineStr">
        <is>
          <t>Compra a Vista</t>
        </is>
      </c>
      <c r="H1288" s="70" t="n">
        <v>2110101</v>
      </c>
      <c r="I1288" s="72" t="inlineStr">
        <is>
          <t>FORNECEDORES DE MERCADORIA</t>
        </is>
      </c>
      <c r="J1288" s="70" t="n">
        <v>1425390</v>
      </c>
      <c r="L1288" s="70" t="n">
        <v>34</v>
      </c>
      <c r="M1288" s="72" t="inlineStr">
        <is>
          <t>01</t>
        </is>
      </c>
      <c r="N1288" s="72" t="inlineStr">
        <is>
          <t>NFE</t>
        </is>
      </c>
      <c r="P1288" s="70" t="n">
        <v>104</v>
      </c>
      <c r="Q1288" s="72" t="inlineStr">
        <is>
          <t>DEBORA COSTA</t>
        </is>
      </c>
      <c r="R1288" s="72" t="inlineStr">
        <is>
          <t>ESTOQUE DE MERCADORIAS</t>
        </is>
      </c>
      <c r="S1288" s="70" t="n">
        <v>1130101</v>
      </c>
      <c r="T1288" s="72" t="inlineStr">
        <is>
          <t>MERCADORIAS P/REVENDA</t>
        </is>
      </c>
      <c r="U1288" s="73" t="n">
        <v>560</v>
      </c>
      <c r="W1288" s="73" t="n">
        <v>0</v>
      </c>
      <c r="X1288" s="72" t="inlineStr">
        <is>
          <t>NF 34 - DEBORA</t>
        </is>
      </c>
      <c r="Z1288" s="59">
        <f>IF($T1288="","",IFERROR(INDEX('Resumo Grupos'!$AC$3:$AC$200,MATCH($T1288,'Resumo Grupos'!$AB$3:$AB$200,0)),"n/d"))</f>
        <v/>
      </c>
      <c r="AA1288" s="59">
        <f>IF($T1288="","",IF(COUNTIF('Resumo Grupos'!$AE$3:$AE$40,$T1288)&gt;0,"NAO","SIM"))</f>
        <v/>
      </c>
    </row>
    <row r="1289" ht="45.75" customHeight="1" s="60">
      <c r="A1289" s="70" t="n">
        <v>1</v>
      </c>
      <c r="B1289" s="71" t="n">
        <v>46172</v>
      </c>
      <c r="C1289" s="71" t="n">
        <v>46222</v>
      </c>
      <c r="D1289" s="70" t="n">
        <v>607</v>
      </c>
      <c r="E1289" s="72" t="inlineStr">
        <is>
          <t>PRIME PET DISTRIBUIDORA LTDA</t>
        </is>
      </c>
      <c r="F1289" s="70" t="n">
        <v>24</v>
      </c>
      <c r="G1289" s="72" t="inlineStr">
        <is>
          <t>Compra a Prazo - Boletos</t>
        </is>
      </c>
      <c r="H1289" s="70" t="n">
        <v>2110101</v>
      </c>
      <c r="I1289" s="72" t="inlineStr">
        <is>
          <t>FORNECEDORES DE MERCADORIA</t>
        </is>
      </c>
      <c r="J1289" s="70" t="n">
        <v>1177308</v>
      </c>
      <c r="L1289" s="70" t="n">
        <v>10643</v>
      </c>
      <c r="M1289" s="72" t="inlineStr">
        <is>
          <t>04</t>
        </is>
      </c>
      <c r="N1289" s="72" t="inlineStr">
        <is>
          <t>NFE</t>
        </is>
      </c>
      <c r="P1289" s="70" t="n">
        <v>103</v>
      </c>
      <c r="Q1289" s="72" t="inlineStr">
        <is>
          <t>MILKA FRANCIS</t>
        </is>
      </c>
      <c r="R1289" s="72" t="inlineStr">
        <is>
          <t>ESTOQUE DE MERCADORIAS</t>
        </is>
      </c>
      <c r="S1289" s="70" t="n">
        <v>1130101</v>
      </c>
      <c r="T1289" s="72" t="inlineStr">
        <is>
          <t>MERCADORIAS P/REVENDA</t>
        </is>
      </c>
      <c r="U1289" s="73" t="n">
        <v>319.72</v>
      </c>
      <c r="W1289" s="73" t="n">
        <v>0</v>
      </c>
      <c r="X1289" s="72" t="inlineStr">
        <is>
          <t>NF 10643-04/05 MILKA</t>
        </is>
      </c>
      <c r="Z1289" s="59">
        <f>IF($T1289="","",IFERROR(INDEX('Resumo Grupos'!$AC$3:$AC$200,MATCH($T1289,'Resumo Grupos'!$AB$3:$AB$200,0)),"n/d"))</f>
        <v/>
      </c>
      <c r="AA1289" s="59">
        <f>IF($T1289="","",IF(COUNTIF('Resumo Grupos'!$AE$3:$AE$40,$T1289)&gt;0,"NAO","SIM"))</f>
        <v/>
      </c>
    </row>
    <row r="1290" ht="36.75" customHeight="1" s="60">
      <c r="A1290" s="70" t="n">
        <v>1</v>
      </c>
      <c r="B1290" s="71" t="n">
        <v>46209</v>
      </c>
      <c r="C1290" s="71" t="n">
        <v>46222</v>
      </c>
      <c r="D1290" s="70" t="n">
        <v>10020</v>
      </c>
      <c r="E1290" s="72" t="inlineStr">
        <is>
          <t>E. SALES DO NASCIMENTO</t>
        </is>
      </c>
      <c r="F1290" s="70" t="n">
        <v>24</v>
      </c>
      <c r="G1290" s="72" t="inlineStr">
        <is>
          <t>Compra a Prazo - Boletos</t>
        </is>
      </c>
      <c r="H1290" s="70" t="n">
        <v>2110101</v>
      </c>
      <c r="I1290" s="72" t="inlineStr">
        <is>
          <t>FORNECEDORES DE MERCADORIA</t>
        </is>
      </c>
      <c r="J1290" s="70" t="n">
        <v>1360452</v>
      </c>
      <c r="L1290" s="70" t="n">
        <v>707</v>
      </c>
      <c r="M1290" s="72" t="inlineStr">
        <is>
          <t>01</t>
        </is>
      </c>
      <c r="N1290" s="72" t="inlineStr">
        <is>
          <t>NFE</t>
        </is>
      </c>
      <c r="P1290" s="70" t="n">
        <v>103</v>
      </c>
      <c r="Q1290" s="72" t="inlineStr">
        <is>
          <t>MILKA FRANCIS</t>
        </is>
      </c>
      <c r="R1290" s="72" t="inlineStr">
        <is>
          <t>ESTOQUE DE MERCADORIAS</t>
        </is>
      </c>
      <c r="S1290" s="70" t="n">
        <v>1130101</v>
      </c>
      <c r="T1290" s="72" t="inlineStr">
        <is>
          <t>MERCADORIAS P/REVENDA</t>
        </is>
      </c>
      <c r="U1290" s="73" t="n">
        <v>410.72</v>
      </c>
      <c r="W1290" s="73" t="n">
        <v>0</v>
      </c>
      <c r="X1290" s="72" t="inlineStr">
        <is>
          <t>NF 707 -01 MILKA</t>
        </is>
      </c>
      <c r="Z1290" s="59">
        <f>IF($T1290="","",IFERROR(INDEX('Resumo Grupos'!$AC$3:$AC$200,MATCH($T1290,'Resumo Grupos'!$AB$3:$AB$200,0)),"n/d"))</f>
        <v/>
      </c>
      <c r="AA1290" s="59">
        <f>IF($T1290="","",IF(COUNTIF('Resumo Grupos'!$AE$3:$AE$40,$T1290)&gt;0,"NAO","SIM"))</f>
        <v/>
      </c>
    </row>
    <row r="1291" ht="45.75" customHeight="1" s="60">
      <c r="A1291" s="70" t="n">
        <v>1</v>
      </c>
      <c r="B1291" s="71" t="n">
        <v>46211</v>
      </c>
      <c r="C1291" s="71" t="n">
        <v>46222</v>
      </c>
      <c r="D1291" s="70" t="n">
        <v>1613</v>
      </c>
      <c r="E1291" s="72" t="inlineStr">
        <is>
          <t>BRF S A</t>
        </is>
      </c>
      <c r="F1291" s="70" t="n">
        <v>24</v>
      </c>
      <c r="G1291" s="72" t="inlineStr">
        <is>
          <t>Compra a Prazo - Boletos</t>
        </is>
      </c>
      <c r="H1291" s="70" t="n">
        <v>2110101</v>
      </c>
      <c r="I1291" s="72" t="inlineStr">
        <is>
          <t>FORNECEDORES DE MERCADORIA</t>
        </is>
      </c>
      <c r="J1291" s="70" t="n">
        <v>1368798</v>
      </c>
      <c r="L1291" s="70" t="n">
        <v>1604302</v>
      </c>
      <c r="M1291" s="72" t="inlineStr">
        <is>
          <t>01</t>
        </is>
      </c>
      <c r="N1291" s="72" t="inlineStr">
        <is>
          <t>NFE</t>
        </is>
      </c>
      <c r="P1291" s="70" t="n">
        <v>103</v>
      </c>
      <c r="Q1291" s="72" t="inlineStr">
        <is>
          <t>MILKA FRANCIS</t>
        </is>
      </c>
      <c r="R1291" s="72" t="inlineStr">
        <is>
          <t>ESTOQUE DE MERCADORIAS</t>
        </is>
      </c>
      <c r="S1291" s="70" t="n">
        <v>1130101</v>
      </c>
      <c r="T1291" s="72" t="inlineStr">
        <is>
          <t>MERCADORIAS P/REVENDA</t>
        </is>
      </c>
      <c r="U1291" s="73" t="n">
        <v>650.23</v>
      </c>
      <c r="W1291" s="73" t="n">
        <v>0</v>
      </c>
      <c r="X1291" s="72" t="inlineStr">
        <is>
          <t>NF 1604302-01/02 MILKA</t>
        </is>
      </c>
      <c r="Z1291" s="59">
        <f>IF($T1291="","",IFERROR(INDEX('Resumo Grupos'!$AC$3:$AC$200,MATCH($T1291,'Resumo Grupos'!$AB$3:$AB$200,0)),"n/d"))</f>
        <v/>
      </c>
      <c r="AA1291" s="59">
        <f>IF($T1291="","",IF(COUNTIF('Resumo Grupos'!$AE$3:$AE$40,$T1291)&gt;0,"NAO","SIM"))</f>
        <v/>
      </c>
    </row>
    <row r="1292" ht="36.75" customHeight="1" s="60">
      <c r="A1292" s="70" t="n">
        <v>1</v>
      </c>
      <c r="B1292" s="71" t="n">
        <v>46216</v>
      </c>
      <c r="C1292" s="71" t="n">
        <v>46222</v>
      </c>
      <c r="D1292" s="70" t="n">
        <v>1628</v>
      </c>
      <c r="E1292" s="72" t="inlineStr">
        <is>
          <t>AMAZON DISTRIBUIDORA DE PRODUTOS ALIMENT</t>
        </is>
      </c>
      <c r="F1292" s="70" t="n">
        <v>24</v>
      </c>
      <c r="G1292" s="72" t="inlineStr">
        <is>
          <t>Compra a Prazo - Boletos</t>
        </is>
      </c>
      <c r="H1292" s="70" t="n">
        <v>1110202</v>
      </c>
      <c r="I1292" s="72" t="inlineStr">
        <is>
          <t>BANCO ITAU Lj 01</t>
        </is>
      </c>
      <c r="J1292" s="70" t="n">
        <v>1393744</v>
      </c>
      <c r="L1292" s="70" t="n">
        <v>89871</v>
      </c>
      <c r="M1292" s="72" t="inlineStr">
        <is>
          <t>01</t>
        </is>
      </c>
      <c r="N1292" s="72" t="inlineStr">
        <is>
          <t>AVU</t>
        </is>
      </c>
      <c r="P1292" s="70" t="n">
        <v>103</v>
      </c>
      <c r="Q1292" s="72" t="inlineStr">
        <is>
          <t>MILKA FRANCIS</t>
        </is>
      </c>
      <c r="R1292" s="72" t="inlineStr">
        <is>
          <t>ESTOQUE DE MERCADORIAS</t>
        </is>
      </c>
      <c r="S1292" s="70" t="n">
        <v>1130101</v>
      </c>
      <c r="T1292" s="72" t="inlineStr">
        <is>
          <t>MERCADORIAS P/REVENDA</t>
        </is>
      </c>
      <c r="U1292" s="73" t="n">
        <v>436.29</v>
      </c>
      <c r="W1292" s="73" t="n">
        <v>0</v>
      </c>
      <c r="X1292" s="72" t="inlineStr">
        <is>
          <t>NF 89871 AMZ - MILKA</t>
        </is>
      </c>
      <c r="Z1292" s="59">
        <f>IF($T1292="","",IFERROR(INDEX('Resumo Grupos'!$AC$3:$AC$200,MATCH($T1292,'Resumo Grupos'!$AB$3:$AB$200,0)),"n/d"))</f>
        <v/>
      </c>
      <c r="AA1292" s="59">
        <f>IF($T1292="","",IF(COUNTIF('Resumo Grupos'!$AE$3:$AE$40,$T1292)&gt;0,"NAO","SIM"))</f>
        <v/>
      </c>
    </row>
    <row r="1293" ht="63.75" customHeight="1" s="60">
      <c r="A1293" s="70" t="n">
        <v>1</v>
      </c>
      <c r="B1293" s="71" t="n">
        <v>46219</v>
      </c>
      <c r="C1293" s="71" t="n">
        <v>46222</v>
      </c>
      <c r="D1293" s="70" t="n">
        <v>821</v>
      </c>
      <c r="E1293" s="72" t="inlineStr">
        <is>
          <t>ADF DISTRIBUIDORA DE BEBIDAS LTDA</t>
        </is>
      </c>
      <c r="F1293" s="70" t="n">
        <v>24</v>
      </c>
      <c r="G1293" s="72" t="inlineStr">
        <is>
          <t>Compra a Prazo - Boletos</t>
        </is>
      </c>
      <c r="H1293" s="70" t="n">
        <v>1110202</v>
      </c>
      <c r="I1293" s="72" t="inlineStr">
        <is>
          <t>BANCO ITAU Lj 01</t>
        </is>
      </c>
      <c r="J1293" s="70" t="n">
        <v>1405504</v>
      </c>
      <c r="L1293" s="70" t="n">
        <v>473149</v>
      </c>
      <c r="M1293" s="72" t="inlineStr">
        <is>
          <t>01</t>
        </is>
      </c>
      <c r="N1293" s="72" t="inlineStr">
        <is>
          <t>AVU</t>
        </is>
      </c>
      <c r="P1293" s="70" t="n">
        <v>103</v>
      </c>
      <c r="Q1293" s="72" t="inlineStr">
        <is>
          <t>MILKA FRANCIS</t>
        </is>
      </c>
      <c r="R1293" s="72" t="inlineStr">
        <is>
          <t>ESTOQUE DE MERCADORIAS</t>
        </is>
      </c>
      <c r="S1293" s="70" t="n">
        <v>1130101</v>
      </c>
      <c r="T1293" s="72" t="inlineStr">
        <is>
          <t>MERCADORIAS P/REVENDA</t>
        </is>
      </c>
      <c r="U1293" s="73" t="n">
        <v>374</v>
      </c>
      <c r="W1293" s="73" t="n">
        <v>0</v>
      </c>
      <c r="X1293" s="72" t="inlineStr">
        <is>
          <t>NF 473149 - MILKA</t>
        </is>
      </c>
      <c r="Z1293" s="59">
        <f>IF($T1293="","",IFERROR(INDEX('Resumo Grupos'!$AC$3:$AC$200,MATCH($T1293,'Resumo Grupos'!$AB$3:$AB$200,0)),"n/d"))</f>
        <v/>
      </c>
      <c r="AA1293" s="59">
        <f>IF($T1293="","",IF(COUNTIF('Resumo Grupos'!$AE$3:$AE$40,$T1293)&gt;0,"NAO","SIM"))</f>
        <v/>
      </c>
    </row>
    <row r="1294" ht="45.75" customHeight="1" s="60">
      <c r="A1294" s="70" t="n">
        <v>1</v>
      </c>
      <c r="B1294" s="71" t="n">
        <v>46172</v>
      </c>
      <c r="C1294" s="71" t="n">
        <v>46223</v>
      </c>
      <c r="D1294" s="70" t="n">
        <v>659</v>
      </c>
      <c r="E1294" s="72" t="inlineStr">
        <is>
          <t xml:space="preserve">CENTRAL NACIONAL UNIMED </t>
        </is>
      </c>
      <c r="F1294" s="70" t="n">
        <v>24</v>
      </c>
      <c r="G1294" s="72" t="inlineStr">
        <is>
          <t>Compra a Prazo - Boletos</t>
        </is>
      </c>
      <c r="H1294" s="70" t="n">
        <v>2110405</v>
      </c>
      <c r="I1294" s="72" t="inlineStr">
        <is>
          <t>CONTAS A PAGAR</t>
        </is>
      </c>
      <c r="J1294" s="70" t="n">
        <v>1176202</v>
      </c>
      <c r="L1294" s="70" t="n">
        <v>489997</v>
      </c>
      <c r="M1294" s="72" t="inlineStr">
        <is>
          <t>01</t>
        </is>
      </c>
      <c r="N1294" s="72" t="inlineStr">
        <is>
          <t>AVU</t>
        </is>
      </c>
      <c r="P1294" s="70" t="n">
        <v>101</v>
      </c>
      <c r="Q1294" s="72" t="inlineStr">
        <is>
          <t>KEILA LIMA</t>
        </is>
      </c>
      <c r="R1294" s="72" t="inlineStr">
        <is>
          <t>DESPESAS COM PESSOAL</t>
        </is>
      </c>
      <c r="S1294" s="70" t="n">
        <v>4210311</v>
      </c>
      <c r="T1294" s="72" t="inlineStr">
        <is>
          <t>PLANOS DE SAUDE</t>
        </is>
      </c>
      <c r="U1294" s="73" t="n">
        <v>6193.08</v>
      </c>
      <c r="W1294" s="73" t="n">
        <v>0</v>
      </c>
      <c r="X1294" s="72" t="inlineStr">
        <is>
          <t>PLANO DE SAUDE UNIMED - KEILA</t>
        </is>
      </c>
      <c r="Z1294" s="59">
        <f>IF($T1294="","",IFERROR(INDEX('Resumo Grupos'!$AC$3:$AC$200,MATCH($T1294,'Resumo Grupos'!$AB$3:$AB$200,0)),"n/d"))</f>
        <v/>
      </c>
      <c r="AA1294" s="59">
        <f>IF($T1294="","",IF(COUNTIF('Resumo Grupos'!$AE$3:$AE$40,$T1294)&gt;0,"NAO","SIM"))</f>
        <v/>
      </c>
    </row>
    <row r="1295" ht="63.75" customHeight="1" s="60">
      <c r="A1295" s="70" t="n">
        <v>1</v>
      </c>
      <c r="B1295" s="71" t="n">
        <v>46183</v>
      </c>
      <c r="C1295" s="71" t="n">
        <v>46223</v>
      </c>
      <c r="D1295" s="70" t="n">
        <v>1624</v>
      </c>
      <c r="E1295" s="72" t="inlineStr">
        <is>
          <t>RISADINHA LTDA</t>
        </is>
      </c>
      <c r="F1295" s="70" t="n">
        <v>24</v>
      </c>
      <c r="G1295" s="72" t="inlineStr">
        <is>
          <t>Compra a Prazo - Boletos</t>
        </is>
      </c>
      <c r="H1295" s="70" t="n">
        <v>2110101</v>
      </c>
      <c r="I1295" s="72" t="inlineStr">
        <is>
          <t>FORNECEDORES DE MERCADORIA</t>
        </is>
      </c>
      <c r="J1295" s="70" t="n">
        <v>1230768</v>
      </c>
      <c r="L1295" s="70" t="n">
        <v>657246</v>
      </c>
      <c r="M1295" s="72" t="inlineStr">
        <is>
          <t>02</t>
        </is>
      </c>
      <c r="N1295" s="72" t="inlineStr">
        <is>
          <t>NFE</t>
        </is>
      </c>
      <c r="P1295" s="70" t="n">
        <v>103</v>
      </c>
      <c r="Q1295" s="72" t="inlineStr">
        <is>
          <t>MILKA FRANCIS</t>
        </is>
      </c>
      <c r="R1295" s="72" t="inlineStr">
        <is>
          <t>ESTOQUE DE MERCADORIAS</t>
        </is>
      </c>
      <c r="S1295" s="70" t="n">
        <v>1130101</v>
      </c>
      <c r="T1295" s="72" t="inlineStr">
        <is>
          <t>MERCADORIAS P/REVENDA</t>
        </is>
      </c>
      <c r="U1295" s="73" t="n">
        <v>1755.4</v>
      </c>
      <c r="W1295" s="73" t="n">
        <v>0</v>
      </c>
      <c r="X1295" s="72" t="inlineStr">
        <is>
          <t>NF 657246 -02 MILKA</t>
        </is>
      </c>
      <c r="Z1295" s="59">
        <f>IF($T1295="","",IFERROR(INDEX('Resumo Grupos'!$AC$3:$AC$200,MATCH($T1295,'Resumo Grupos'!$AB$3:$AB$200,0)),"n/d"))</f>
        <v/>
      </c>
      <c r="AA1295" s="59">
        <f>IF($T1295="","",IF(COUNTIF('Resumo Grupos'!$AE$3:$AE$40,$T1295)&gt;0,"NAO","SIM"))</f>
        <v/>
      </c>
    </row>
    <row r="1296" ht="63.75" customHeight="1" s="60">
      <c r="A1296" s="70" t="n">
        <v>1</v>
      </c>
      <c r="B1296" s="71" t="n">
        <v>46193</v>
      </c>
      <c r="C1296" s="71" t="n">
        <v>46223</v>
      </c>
      <c r="D1296" s="70" t="n">
        <v>1608</v>
      </c>
      <c r="E1296" s="72" t="inlineStr">
        <is>
          <t>DISTRIBUIDORA LOPES LTDA</t>
        </is>
      </c>
      <c r="F1296" s="70" t="n">
        <v>24</v>
      </c>
      <c r="G1296" s="72" t="inlineStr">
        <is>
          <t>Compra a Prazo - Boletos</t>
        </is>
      </c>
      <c r="H1296" s="70" t="n">
        <v>2110101</v>
      </c>
      <c r="I1296" s="72" t="inlineStr">
        <is>
          <t>FORNECEDORES DE MERCADORIA</t>
        </is>
      </c>
      <c r="J1296" s="70" t="n">
        <v>1279794</v>
      </c>
      <c r="L1296" s="70" t="n">
        <v>1677170</v>
      </c>
      <c r="M1296" s="72" t="inlineStr">
        <is>
          <t>02</t>
        </is>
      </c>
      <c r="N1296" s="72" t="inlineStr">
        <is>
          <t>NFE</t>
        </is>
      </c>
      <c r="P1296" s="70" t="n">
        <v>103</v>
      </c>
      <c r="Q1296" s="72" t="inlineStr">
        <is>
          <t>MILKA FRANCIS</t>
        </is>
      </c>
      <c r="R1296" s="72" t="inlineStr">
        <is>
          <t>ESTOQUE DE MERCADORIAS</t>
        </is>
      </c>
      <c r="S1296" s="70" t="n">
        <v>1130101</v>
      </c>
      <c r="T1296" s="72" t="inlineStr">
        <is>
          <t>MERCADORIAS P/REVENDA</t>
        </is>
      </c>
      <c r="U1296" s="73" t="n">
        <v>1680.21</v>
      </c>
      <c r="W1296" s="73" t="n">
        <v>0</v>
      </c>
      <c r="X1296" s="72" t="inlineStr">
        <is>
          <t>NF 1677170-2 MILKA</t>
        </is>
      </c>
      <c r="Z1296" s="59">
        <f>IF($T1296="","",IFERROR(INDEX('Resumo Grupos'!$AC$3:$AC$200,MATCH($T1296,'Resumo Grupos'!$AB$3:$AB$200,0)),"n/d"))</f>
        <v/>
      </c>
      <c r="AA1296" s="59">
        <f>IF($T1296="","",IF(COUNTIF('Resumo Grupos'!$AE$3:$AE$40,$T1296)&gt;0,"NAO","SIM"))</f>
        <v/>
      </c>
    </row>
    <row r="1297" ht="54.75" customHeight="1" s="60">
      <c r="A1297" s="70" t="n">
        <v>1</v>
      </c>
      <c r="B1297" s="71" t="n">
        <v>46196</v>
      </c>
      <c r="C1297" s="71" t="n">
        <v>46223</v>
      </c>
      <c r="D1297" s="70" t="n">
        <v>1107</v>
      </c>
      <c r="E1297" s="72" t="inlineStr">
        <is>
          <t>OESA COMERCIO E REPRESENTACOES S/A</t>
        </is>
      </c>
      <c r="F1297" s="70" t="n">
        <v>24</v>
      </c>
      <c r="G1297" s="72" t="inlineStr">
        <is>
          <t>Compra a Prazo - Boletos</t>
        </is>
      </c>
      <c r="H1297" s="70" t="n">
        <v>2110101</v>
      </c>
      <c r="I1297" s="72" t="inlineStr">
        <is>
          <t>FORNECEDORES DE MERCADORIA</t>
        </is>
      </c>
      <c r="J1297" s="70" t="n">
        <v>1294118</v>
      </c>
      <c r="L1297" s="70" t="n">
        <v>419583</v>
      </c>
      <c r="M1297" s="72" t="inlineStr">
        <is>
          <t>02</t>
        </is>
      </c>
      <c r="N1297" s="72" t="inlineStr">
        <is>
          <t>NFE</t>
        </is>
      </c>
      <c r="P1297" s="70" t="n">
        <v>103</v>
      </c>
      <c r="Q1297" s="72" t="inlineStr">
        <is>
          <t>MILKA FRANCIS</t>
        </is>
      </c>
      <c r="R1297" s="72" t="inlineStr">
        <is>
          <t>ESTOQUE DE MERCADORIAS</t>
        </is>
      </c>
      <c r="S1297" s="70" t="n">
        <v>1130101</v>
      </c>
      <c r="T1297" s="72" t="inlineStr">
        <is>
          <t>MERCADORIAS P/REVENDA</t>
        </is>
      </c>
      <c r="U1297" s="73" t="n">
        <v>1351</v>
      </c>
      <c r="W1297" s="73" t="n">
        <v>0</v>
      </c>
      <c r="X1297" s="72" t="inlineStr">
        <is>
          <t>NF 419583-2 MILKA</t>
        </is>
      </c>
      <c r="Z1297" s="59">
        <f>IF($T1297="","",IFERROR(INDEX('Resumo Grupos'!$AC$3:$AC$200,MATCH($T1297,'Resumo Grupos'!$AB$3:$AB$200,0)),"n/d"))</f>
        <v/>
      </c>
      <c r="AA1297" s="59">
        <f>IF($T1297="","",IF(COUNTIF('Resumo Grupos'!$AE$3:$AE$40,$T1297)&gt;0,"NAO","SIM"))</f>
        <v/>
      </c>
    </row>
    <row r="1298" ht="54.75" customHeight="1" s="60">
      <c r="A1298" s="70" t="n">
        <v>1</v>
      </c>
      <c r="B1298" s="71" t="n">
        <v>46196</v>
      </c>
      <c r="C1298" s="71" t="n">
        <v>46223</v>
      </c>
      <c r="D1298" s="70" t="n">
        <v>1107</v>
      </c>
      <c r="E1298" s="72" t="inlineStr">
        <is>
          <t>OESA COMERCIO E REPRESENTACOES S/A</t>
        </is>
      </c>
      <c r="F1298" s="70" t="n">
        <v>24</v>
      </c>
      <c r="G1298" s="72" t="inlineStr">
        <is>
          <t>Compra a Prazo - Boletos</t>
        </is>
      </c>
      <c r="H1298" s="70" t="n">
        <v>2110101</v>
      </c>
      <c r="I1298" s="72" t="inlineStr">
        <is>
          <t>FORNECEDORES DE MERCADORIA</t>
        </is>
      </c>
      <c r="J1298" s="70" t="n">
        <v>1294268</v>
      </c>
      <c r="L1298" s="70" t="n">
        <v>419611</v>
      </c>
      <c r="M1298" s="72" t="inlineStr">
        <is>
          <t>01</t>
        </is>
      </c>
      <c r="N1298" s="72" t="inlineStr">
        <is>
          <t>NFE</t>
        </is>
      </c>
      <c r="P1298" s="70" t="n">
        <v>103</v>
      </c>
      <c r="Q1298" s="72" t="inlineStr">
        <is>
          <t>MILKA FRANCIS</t>
        </is>
      </c>
      <c r="R1298" s="72" t="inlineStr">
        <is>
          <t>ESTOQUE DE MERCADORIAS</t>
        </is>
      </c>
      <c r="S1298" s="70" t="n">
        <v>1130101</v>
      </c>
      <c r="T1298" s="72" t="inlineStr">
        <is>
          <t>MERCADORIAS P/REVENDA</t>
        </is>
      </c>
      <c r="U1298" s="73" t="n">
        <v>1805.4</v>
      </c>
      <c r="W1298" s="73" t="n">
        <v>0</v>
      </c>
      <c r="X1298" s="72" t="inlineStr">
        <is>
          <t>NF 419611 - MILKA</t>
        </is>
      </c>
      <c r="Z1298" s="59">
        <f>IF($T1298="","",IFERROR(INDEX('Resumo Grupos'!$AC$3:$AC$200,MATCH($T1298,'Resumo Grupos'!$AB$3:$AB$200,0)),"n/d"))</f>
        <v/>
      </c>
      <c r="AA1298" s="59">
        <f>IF($T1298="","",IF(COUNTIF('Resumo Grupos'!$AE$3:$AE$40,$T1298)&gt;0,"NAO","SIM"))</f>
        <v/>
      </c>
    </row>
    <row r="1299" ht="36.75" customHeight="1" s="60">
      <c r="A1299" s="70" t="n">
        <v>1</v>
      </c>
      <c r="B1299" s="71" t="n">
        <v>46196</v>
      </c>
      <c r="C1299" s="71" t="n">
        <v>46223</v>
      </c>
      <c r="D1299" s="70" t="n">
        <v>1637</v>
      </c>
      <c r="E1299" s="72" t="inlineStr">
        <is>
          <t>ATACADAO S.A.</t>
        </is>
      </c>
      <c r="F1299" s="70" t="n">
        <v>24</v>
      </c>
      <c r="G1299" s="72" t="inlineStr">
        <is>
          <t>Compra a Prazo - Boletos</t>
        </is>
      </c>
      <c r="H1299" s="70" t="n">
        <v>2110101</v>
      </c>
      <c r="I1299" s="72" t="inlineStr">
        <is>
          <t>FORNECEDORES DE MERCADORIA</t>
        </is>
      </c>
      <c r="J1299" s="70" t="n">
        <v>1296353</v>
      </c>
      <c r="L1299" s="70" t="n">
        <v>1894398</v>
      </c>
      <c r="M1299" s="72" t="inlineStr">
        <is>
          <t>01</t>
        </is>
      </c>
      <c r="N1299" s="72" t="inlineStr">
        <is>
          <t>NFE</t>
        </is>
      </c>
      <c r="P1299" s="70" t="n">
        <v>103</v>
      </c>
      <c r="Q1299" s="72" t="inlineStr">
        <is>
          <t>MILKA FRANCIS</t>
        </is>
      </c>
      <c r="R1299" s="72" t="inlineStr">
        <is>
          <t>ESTOQUE DE MERCADORIAS</t>
        </is>
      </c>
      <c r="S1299" s="70" t="n">
        <v>1130101</v>
      </c>
      <c r="T1299" s="72" t="inlineStr">
        <is>
          <t>MERCADORIAS P/REVENDA</t>
        </is>
      </c>
      <c r="U1299" s="73" t="n">
        <v>977.5</v>
      </c>
      <c r="W1299" s="73" t="n">
        <v>0</v>
      </c>
      <c r="X1299" s="72" t="inlineStr">
        <is>
          <t>NF 1894398 - MILKA</t>
        </is>
      </c>
      <c r="Z1299" s="59">
        <f>IF($T1299="","",IFERROR(INDEX('Resumo Grupos'!$AC$3:$AC$200,MATCH($T1299,'Resumo Grupos'!$AB$3:$AB$200,0)),"n/d"))</f>
        <v/>
      </c>
      <c r="AA1299" s="59">
        <f>IF($T1299="","",IF(COUNTIF('Resumo Grupos'!$AE$3:$AE$40,$T1299)&gt;0,"NAO","SIM"))</f>
        <v/>
      </c>
    </row>
    <row r="1300" ht="36.75" customHeight="1" s="60">
      <c r="A1300" s="70" t="n">
        <v>1</v>
      </c>
      <c r="B1300" s="71" t="n">
        <v>46202</v>
      </c>
      <c r="C1300" s="71" t="n">
        <v>46223</v>
      </c>
      <c r="D1300" s="70" t="n">
        <v>1659</v>
      </c>
      <c r="E1300" s="72" t="inlineStr">
        <is>
          <t>ADRIANA DISTRIBUIDORA DE PRODUTOS ALIMEN</t>
        </is>
      </c>
      <c r="F1300" s="70" t="n">
        <v>24</v>
      </c>
      <c r="G1300" s="72" t="inlineStr">
        <is>
          <t>Compra a Prazo - Boletos</t>
        </is>
      </c>
      <c r="H1300" s="70" t="n">
        <v>2110101</v>
      </c>
      <c r="I1300" s="72" t="inlineStr">
        <is>
          <t>FORNECEDORES DE MERCADORIA</t>
        </is>
      </c>
      <c r="J1300" s="70" t="n">
        <v>1323112</v>
      </c>
      <c r="L1300" s="70" t="n">
        <v>882141</v>
      </c>
      <c r="M1300" s="72" t="inlineStr">
        <is>
          <t>02</t>
        </is>
      </c>
      <c r="N1300" s="72" t="inlineStr">
        <is>
          <t>NFE</t>
        </is>
      </c>
      <c r="P1300" s="70" t="n">
        <v>103</v>
      </c>
      <c r="Q1300" s="72" t="inlineStr">
        <is>
          <t>MILKA FRANCIS</t>
        </is>
      </c>
      <c r="R1300" s="72" t="inlineStr">
        <is>
          <t>ESTOQUE DE MERCADORIAS</t>
        </is>
      </c>
      <c r="S1300" s="70" t="n">
        <v>1130101</v>
      </c>
      <c r="T1300" s="72" t="inlineStr">
        <is>
          <t>MERCADORIAS P/REVENDA</t>
        </is>
      </c>
      <c r="U1300" s="73" t="n">
        <v>1326.93</v>
      </c>
      <c r="W1300" s="73" t="n">
        <v>0</v>
      </c>
      <c r="X1300" s="72" t="inlineStr">
        <is>
          <t>NF 882141 -2 MILKA</t>
        </is>
      </c>
      <c r="Z1300" s="59">
        <f>IF($T1300="","",IFERROR(INDEX('Resumo Grupos'!$AC$3:$AC$200,MATCH($T1300,'Resumo Grupos'!$AB$3:$AB$200,0)),"n/d"))</f>
        <v/>
      </c>
      <c r="AA1300" s="59">
        <f>IF($T1300="","",IF(COUNTIF('Resumo Grupos'!$AE$3:$AE$40,$T1300)&gt;0,"NAO","SIM"))</f>
        <v/>
      </c>
    </row>
    <row r="1301" ht="36.75" customHeight="1" s="60">
      <c r="A1301" s="70" t="n">
        <v>1</v>
      </c>
      <c r="B1301" s="71" t="n">
        <v>46203</v>
      </c>
      <c r="C1301" s="71" t="n">
        <v>46223</v>
      </c>
      <c r="D1301" s="70" t="n">
        <v>10037</v>
      </c>
      <c r="E1301" s="72" t="inlineStr">
        <is>
          <t>FORTVET DISTRIBUIDORA LTDA</t>
        </is>
      </c>
      <c r="F1301" s="70" t="n">
        <v>24</v>
      </c>
      <c r="G1301" s="72" t="inlineStr">
        <is>
          <t>Compra a Prazo - Boletos</t>
        </is>
      </c>
      <c r="H1301" s="70" t="n">
        <v>2110101</v>
      </c>
      <c r="I1301" s="72" t="inlineStr">
        <is>
          <t>FORNECEDORES DE MERCADORIA</t>
        </is>
      </c>
      <c r="J1301" s="70" t="n">
        <v>1329937</v>
      </c>
      <c r="L1301" s="70" t="n">
        <v>2524</v>
      </c>
      <c r="M1301" s="72" t="inlineStr">
        <is>
          <t>02</t>
        </is>
      </c>
      <c r="N1301" s="72" t="inlineStr">
        <is>
          <t>NFE</t>
        </is>
      </c>
      <c r="P1301" s="70" t="n">
        <v>103</v>
      </c>
      <c r="Q1301" s="72" t="inlineStr">
        <is>
          <t>MILKA FRANCIS</t>
        </is>
      </c>
      <c r="R1301" s="72" t="inlineStr">
        <is>
          <t>ESTOQUE DE MERCADORIAS</t>
        </is>
      </c>
      <c r="S1301" s="70" t="n">
        <v>1130101</v>
      </c>
      <c r="T1301" s="72" t="inlineStr">
        <is>
          <t>MERCADORIAS P/REVENDA</t>
        </is>
      </c>
      <c r="U1301" s="73" t="n">
        <v>663.8099999999999</v>
      </c>
      <c r="W1301" s="73" t="n">
        <v>0</v>
      </c>
      <c r="X1301" s="72" t="inlineStr">
        <is>
          <t>NF 2524-2 MILKA</t>
        </is>
      </c>
      <c r="Z1301" s="59">
        <f>IF($T1301="","",IFERROR(INDEX('Resumo Grupos'!$AC$3:$AC$200,MATCH($T1301,'Resumo Grupos'!$AB$3:$AB$200,0)),"n/d"))</f>
        <v/>
      </c>
      <c r="AA1301" s="59">
        <f>IF($T1301="","",IF(COUNTIF('Resumo Grupos'!$AE$3:$AE$40,$T1301)&gt;0,"NAO","SIM"))</f>
        <v/>
      </c>
    </row>
    <row r="1302" ht="36.75" customHeight="1" s="60">
      <c r="A1302" s="70" t="n">
        <v>1</v>
      </c>
      <c r="B1302" s="71" t="n">
        <v>46203</v>
      </c>
      <c r="C1302" s="71" t="n">
        <v>46223</v>
      </c>
      <c r="D1302" s="70" t="n">
        <v>10011</v>
      </c>
      <c r="E1302" s="72" t="inlineStr">
        <is>
          <t>OPPORTUNITY ALIMENTOS PARA ANIMAIS LTDA</t>
        </is>
      </c>
      <c r="F1302" s="70" t="n">
        <v>24</v>
      </c>
      <c r="G1302" s="72" t="inlineStr">
        <is>
          <t>Compra a Prazo - Boletos</t>
        </is>
      </c>
      <c r="H1302" s="70" t="n">
        <v>2110101</v>
      </c>
      <c r="I1302" s="72" t="inlineStr">
        <is>
          <t>FORNECEDORES DE MERCADORIA</t>
        </is>
      </c>
      <c r="J1302" s="70" t="n">
        <v>1330475</v>
      </c>
      <c r="L1302" s="70" t="n">
        <v>34300</v>
      </c>
      <c r="M1302" s="72" t="inlineStr">
        <is>
          <t>01</t>
        </is>
      </c>
      <c r="N1302" s="72" t="inlineStr">
        <is>
          <t>NFE</t>
        </is>
      </c>
      <c r="P1302" s="70" t="n">
        <v>103</v>
      </c>
      <c r="Q1302" s="72" t="inlineStr">
        <is>
          <t>MILKA FRANCIS</t>
        </is>
      </c>
      <c r="R1302" s="72" t="inlineStr">
        <is>
          <t>ESTOQUE DE MERCADORIAS</t>
        </is>
      </c>
      <c r="S1302" s="70" t="n">
        <v>1130101</v>
      </c>
      <c r="T1302" s="72" t="inlineStr">
        <is>
          <t>MERCADORIAS P/REVENDA</t>
        </is>
      </c>
      <c r="U1302" s="73" t="n">
        <v>3377.6</v>
      </c>
      <c r="W1302" s="73" t="n">
        <v>0</v>
      </c>
      <c r="X1302" s="72" t="inlineStr">
        <is>
          <t>NF 34300-1 MILKA</t>
        </is>
      </c>
      <c r="Z1302" s="59">
        <f>IF($T1302="","",IFERROR(INDEX('Resumo Grupos'!$AC$3:$AC$200,MATCH($T1302,'Resumo Grupos'!$AB$3:$AB$200,0)),"n/d"))</f>
        <v/>
      </c>
      <c r="AA1302" s="59">
        <f>IF($T1302="","",IF(COUNTIF('Resumo Grupos'!$AE$3:$AE$40,$T1302)&gt;0,"NAO","SIM"))</f>
        <v/>
      </c>
    </row>
    <row r="1303" ht="45.75" customHeight="1" s="60">
      <c r="A1303" s="70" t="n">
        <v>1</v>
      </c>
      <c r="B1303" s="71" t="n">
        <v>46204</v>
      </c>
      <c r="C1303" s="71" t="n">
        <v>46223</v>
      </c>
      <c r="D1303" s="70" t="n">
        <v>1637</v>
      </c>
      <c r="E1303" s="72" t="inlineStr">
        <is>
          <t>ATACADAO S.A.</t>
        </is>
      </c>
      <c r="F1303" s="70" t="n">
        <v>24</v>
      </c>
      <c r="G1303" s="72" t="inlineStr">
        <is>
          <t>Compra a Prazo - Boletos</t>
        </is>
      </c>
      <c r="H1303" s="70" t="n">
        <v>2110101</v>
      </c>
      <c r="I1303" s="72" t="inlineStr">
        <is>
          <t>FORNECEDORES DE MERCADORIA</t>
        </is>
      </c>
      <c r="J1303" s="70" t="n">
        <v>1334033</v>
      </c>
      <c r="L1303" s="70" t="n">
        <v>1897392</v>
      </c>
      <c r="M1303" s="72" t="inlineStr">
        <is>
          <t>01</t>
        </is>
      </c>
      <c r="N1303" s="72" t="inlineStr">
        <is>
          <t>NFE</t>
        </is>
      </c>
      <c r="P1303" s="70" t="n">
        <v>103</v>
      </c>
      <c r="Q1303" s="72" t="inlineStr">
        <is>
          <t>MILKA FRANCIS</t>
        </is>
      </c>
      <c r="R1303" s="72" t="inlineStr">
        <is>
          <t>ESTOQUE DE MERCADORIAS</t>
        </is>
      </c>
      <c r="S1303" s="70" t="n">
        <v>1130101</v>
      </c>
      <c r="T1303" s="72" t="inlineStr">
        <is>
          <t>MERCADORIAS P/REVENDA</t>
        </is>
      </c>
      <c r="U1303" s="73" t="n">
        <v>499.5</v>
      </c>
      <c r="W1303" s="73" t="n">
        <v>0</v>
      </c>
      <c r="X1303" s="72" t="inlineStr">
        <is>
          <t>NF 1897392 - MILKA</t>
        </is>
      </c>
      <c r="Z1303" s="59">
        <f>IF($T1303="","",IFERROR(INDEX('Resumo Grupos'!$AC$3:$AC$200,MATCH($T1303,'Resumo Grupos'!$AB$3:$AB$200,0)),"n/d"))</f>
        <v/>
      </c>
      <c r="AA1303" s="59">
        <f>IF($T1303="","",IF(COUNTIF('Resumo Grupos'!$AE$3:$AE$40,$T1303)&gt;0,"NAO","SIM"))</f>
        <v/>
      </c>
    </row>
    <row r="1304" ht="45.75" customHeight="1" s="60">
      <c r="A1304" s="70" t="n">
        <v>1</v>
      </c>
      <c r="B1304" s="71" t="n">
        <v>46210</v>
      </c>
      <c r="C1304" s="71" t="n">
        <v>46223</v>
      </c>
      <c r="D1304" s="70" t="n">
        <v>1292</v>
      </c>
      <c r="E1304" s="72" t="inlineStr">
        <is>
          <t>SAO JOSE COMERCIO DE LATICINIOS E FRIOS</t>
        </is>
      </c>
      <c r="F1304" s="70" t="n">
        <v>24</v>
      </c>
      <c r="G1304" s="72" t="inlineStr">
        <is>
          <t>Compra a Prazo - Boletos</t>
        </is>
      </c>
      <c r="H1304" s="70" t="n">
        <v>2110101</v>
      </c>
      <c r="I1304" s="72" t="inlineStr">
        <is>
          <t>FORNECEDORES DE MERCADORIA</t>
        </is>
      </c>
      <c r="J1304" s="70" t="n">
        <v>1364168</v>
      </c>
      <c r="L1304" s="70" t="n">
        <v>3552</v>
      </c>
      <c r="M1304" s="72" t="inlineStr">
        <is>
          <t>02</t>
        </is>
      </c>
      <c r="N1304" s="72" t="inlineStr">
        <is>
          <t>NFE</t>
        </is>
      </c>
      <c r="P1304" s="70" t="n">
        <v>103</v>
      </c>
      <c r="Q1304" s="72" t="inlineStr">
        <is>
          <t>MILKA FRANCIS</t>
        </is>
      </c>
      <c r="R1304" s="72" t="inlineStr">
        <is>
          <t>ESTOQUE DE MERCADORIAS</t>
        </is>
      </c>
      <c r="S1304" s="70" t="n">
        <v>1130101</v>
      </c>
      <c r="T1304" s="72" t="inlineStr">
        <is>
          <t>MERCADORIAS P/REVENDA</t>
        </is>
      </c>
      <c r="U1304" s="73" t="n">
        <v>1584</v>
      </c>
      <c r="W1304" s="73" t="n">
        <v>0</v>
      </c>
      <c r="X1304" s="72" t="inlineStr">
        <is>
          <t>6781037  NF 3552 SABORE - MILKA</t>
        </is>
      </c>
      <c r="Z1304" s="59">
        <f>IF($T1304="","",IFERROR(INDEX('Resumo Grupos'!$AC$3:$AC$200,MATCH($T1304,'Resumo Grupos'!$AB$3:$AB$200,0)),"n/d"))</f>
        <v/>
      </c>
      <c r="AA1304" s="59">
        <f>IF($T1304="","",IF(COUNTIF('Resumo Grupos'!$AE$3:$AE$40,$T1304)&gt;0,"NAO","SIM"))</f>
        <v/>
      </c>
    </row>
    <row r="1305" ht="45.75" customHeight="1" s="60">
      <c r="A1305" s="70" t="n">
        <v>1</v>
      </c>
      <c r="B1305" s="71" t="n">
        <v>46210</v>
      </c>
      <c r="C1305" s="71" t="n">
        <v>46223</v>
      </c>
      <c r="D1305" s="70" t="n">
        <v>1114</v>
      </c>
      <c r="E1305" s="72" t="inlineStr">
        <is>
          <t>NT INDUSTRIA E COMERCIO DE PANIFICACAO L</t>
        </is>
      </c>
      <c r="F1305" s="70" t="n">
        <v>24</v>
      </c>
      <c r="G1305" s="72" t="inlineStr">
        <is>
          <t>Compra a Prazo - Boletos</t>
        </is>
      </c>
      <c r="H1305" s="70" t="n">
        <v>2110101</v>
      </c>
      <c r="I1305" s="72" t="inlineStr">
        <is>
          <t>FORNECEDORES DE MERCADORIA</t>
        </is>
      </c>
      <c r="J1305" s="70" t="n">
        <v>1366284</v>
      </c>
      <c r="L1305" s="70" t="n">
        <v>40389</v>
      </c>
      <c r="M1305" s="72" t="inlineStr">
        <is>
          <t>01</t>
        </is>
      </c>
      <c r="N1305" s="72" t="inlineStr">
        <is>
          <t>NFE</t>
        </is>
      </c>
      <c r="P1305" s="70" t="n">
        <v>103</v>
      </c>
      <c r="Q1305" s="72" t="inlineStr">
        <is>
          <t>MILKA FRANCIS</t>
        </is>
      </c>
      <c r="R1305" s="72" t="inlineStr">
        <is>
          <t>ESTOQUE DE MERCADORIAS</t>
        </is>
      </c>
      <c r="S1305" s="70" t="n">
        <v>1130101</v>
      </c>
      <c r="T1305" s="72" t="inlineStr">
        <is>
          <t>MERCADORIAS P/REVENDA</t>
        </is>
      </c>
      <c r="U1305" s="73" t="n">
        <v>2754.99</v>
      </c>
      <c r="W1305" s="73" t="n">
        <v>0</v>
      </c>
      <c r="X1305" s="72" t="inlineStr">
        <is>
          <t>NF 40389 - MILKA</t>
        </is>
      </c>
      <c r="Z1305" s="59">
        <f>IF($T1305="","",IFERROR(INDEX('Resumo Grupos'!$AC$3:$AC$200,MATCH($T1305,'Resumo Grupos'!$AB$3:$AB$200,0)),"n/d"))</f>
        <v/>
      </c>
      <c r="AA1305" s="59">
        <f>IF($T1305="","",IF(COUNTIF('Resumo Grupos'!$AE$3:$AE$40,$T1305)&gt;0,"NAO","SIM"))</f>
        <v/>
      </c>
    </row>
    <row r="1306" ht="36.75" customHeight="1" s="60">
      <c r="A1306" s="70" t="n">
        <v>1</v>
      </c>
      <c r="B1306" s="71" t="n">
        <v>46211</v>
      </c>
      <c r="C1306" s="71" t="n">
        <v>46223</v>
      </c>
      <c r="D1306" s="70" t="n">
        <v>1932</v>
      </c>
      <c r="E1306" s="72" t="inlineStr">
        <is>
          <t>OI S.A</t>
        </is>
      </c>
      <c r="F1306" s="70" t="n">
        <v>24</v>
      </c>
      <c r="G1306" s="72" t="inlineStr">
        <is>
          <t>Compra a Prazo - Boletos</t>
        </is>
      </c>
      <c r="H1306" s="70" t="n">
        <v>2110405</v>
      </c>
      <c r="I1306" s="72" t="inlineStr">
        <is>
          <t>CONTAS A PAGAR</t>
        </is>
      </c>
      <c r="J1306" s="70" t="n">
        <v>1370654</v>
      </c>
      <c r="L1306" s="70" t="n">
        <v>565734</v>
      </c>
      <c r="M1306" s="72" t="inlineStr">
        <is>
          <t>01</t>
        </is>
      </c>
      <c r="N1306" s="72" t="inlineStr">
        <is>
          <t>AVU</t>
        </is>
      </c>
      <c r="P1306" s="70" t="n">
        <v>101</v>
      </c>
      <c r="Q1306" s="72" t="inlineStr">
        <is>
          <t>KEILA LIMA</t>
        </is>
      </c>
      <c r="R1306" s="72" t="inlineStr">
        <is>
          <t>DESPESAS COM PESSOAL</t>
        </is>
      </c>
      <c r="S1306" s="70" t="n">
        <v>4210315</v>
      </c>
      <c r="T1306" s="72" t="inlineStr">
        <is>
          <t>INTERNET</t>
        </is>
      </c>
      <c r="U1306" s="73" t="n">
        <v>139.97</v>
      </c>
      <c r="W1306" s="73" t="n">
        <v>0</v>
      </c>
      <c r="X1306" s="72" t="inlineStr">
        <is>
          <t>MENSALIDADE INTERNET MO1 - KEILA</t>
        </is>
      </c>
      <c r="Z1306" s="59">
        <f>IF($T1306="","",IFERROR(INDEX('Resumo Grupos'!$AC$3:$AC$200,MATCH($T1306,'Resumo Grupos'!$AB$3:$AB$200,0)),"n/d"))</f>
        <v/>
      </c>
      <c r="AA1306" s="59">
        <f>IF($T1306="","",IF(COUNTIF('Resumo Grupos'!$AE$3:$AE$40,$T1306)&gt;0,"NAO","SIM"))</f>
        <v/>
      </c>
    </row>
    <row r="1307" ht="36.75" customHeight="1" s="60">
      <c r="A1307" s="70" t="n">
        <v>1</v>
      </c>
      <c r="B1307" s="71" t="n">
        <v>46211</v>
      </c>
      <c r="C1307" s="71" t="n">
        <v>46223</v>
      </c>
      <c r="D1307" s="70" t="n">
        <v>10028</v>
      </c>
      <c r="E1307" s="72" t="inlineStr">
        <is>
          <t>EYES NWHERE SISTEMAS INTELIGENTES DE IMAGEM SA</t>
        </is>
      </c>
      <c r="F1307" s="70" t="n">
        <v>24</v>
      </c>
      <c r="G1307" s="72" t="inlineStr">
        <is>
          <t>Compra a Prazo - Boletos</t>
        </is>
      </c>
      <c r="H1307" s="70" t="n">
        <v>2110405</v>
      </c>
      <c r="I1307" s="72" t="inlineStr">
        <is>
          <t>CONTAS A PAGAR</t>
        </is>
      </c>
      <c r="J1307" s="70" t="n">
        <v>1370662</v>
      </c>
      <c r="L1307" s="70" t="n">
        <v>565739</v>
      </c>
      <c r="M1307" s="72" t="inlineStr">
        <is>
          <t>01</t>
        </is>
      </c>
      <c r="N1307" s="72" t="inlineStr">
        <is>
          <t>AVU</t>
        </is>
      </c>
      <c r="P1307" s="70" t="n">
        <v>101</v>
      </c>
      <c r="Q1307" s="72" t="inlineStr">
        <is>
          <t>KEILA LIMA</t>
        </is>
      </c>
      <c r="R1307" s="72" t="inlineStr">
        <is>
          <t>DESPESAS COM PESSOAL</t>
        </is>
      </c>
      <c r="S1307" s="70" t="n">
        <v>4210315</v>
      </c>
      <c r="T1307" s="72" t="inlineStr">
        <is>
          <t>INTERNET</t>
        </is>
      </c>
      <c r="U1307" s="73" t="n">
        <v>595.9</v>
      </c>
      <c r="W1307" s="73" t="n">
        <v>0</v>
      </c>
      <c r="X1307" s="72" t="inlineStr">
        <is>
          <t>MENSALIDADE INTERNTE MO1 - KEILA</t>
        </is>
      </c>
      <c r="Z1307" s="59">
        <f>IF($T1307="","",IFERROR(INDEX('Resumo Grupos'!$AC$3:$AC$200,MATCH($T1307,'Resumo Grupos'!$AB$3:$AB$200,0)),"n/d"))</f>
        <v/>
      </c>
      <c r="AA1307" s="59">
        <f>IF($T1307="","",IF(COUNTIF('Resumo Grupos'!$AE$3:$AE$40,$T1307)&gt;0,"NAO","SIM"))</f>
        <v/>
      </c>
    </row>
    <row r="1308" ht="36.75" customHeight="1" s="60">
      <c r="A1308" s="70" t="n">
        <v>1</v>
      </c>
      <c r="B1308" s="71" t="n">
        <v>46211</v>
      </c>
      <c r="C1308" s="71" t="n">
        <v>46223</v>
      </c>
      <c r="D1308" s="70" t="n">
        <v>17</v>
      </c>
      <c r="E1308" s="72" t="inlineStr">
        <is>
          <t>NEYLIANE SILVA DE OLIVEIRA</t>
        </is>
      </c>
      <c r="F1308" s="70" t="n">
        <v>24</v>
      </c>
      <c r="G1308" s="72" t="inlineStr">
        <is>
          <t>Compra a Prazo - Boletos</t>
        </is>
      </c>
      <c r="H1308" s="70" t="n">
        <v>1110202</v>
      </c>
      <c r="I1308" s="72" t="inlineStr">
        <is>
          <t>BANCO ITAU Lj 01</t>
        </is>
      </c>
      <c r="J1308" s="70" t="n">
        <v>1370668</v>
      </c>
      <c r="L1308" s="70" t="n">
        <v>565745</v>
      </c>
      <c r="M1308" s="72" t="inlineStr">
        <is>
          <t>01</t>
        </is>
      </c>
      <c r="N1308" s="72" t="inlineStr">
        <is>
          <t>AVU</t>
        </is>
      </c>
      <c r="P1308" s="70" t="n">
        <v>101</v>
      </c>
      <c r="Q1308" s="72" t="inlineStr">
        <is>
          <t>KEILA LIMA</t>
        </is>
      </c>
      <c r="R1308" s="72" t="inlineStr">
        <is>
          <t>DESPESAS NAO OPERACIONAIS</t>
        </is>
      </c>
      <c r="S1308" s="70" t="n">
        <v>4220199</v>
      </c>
      <c r="T1308" s="72" t="inlineStr">
        <is>
          <t>PAGAMENTOS OUTROS NAO OPERACIONAIS</t>
        </is>
      </c>
      <c r="U1308" s="73" t="n">
        <v>448.38</v>
      </c>
      <c r="W1308" s="73" t="n">
        <v>0</v>
      </c>
      <c r="X1308" s="72" t="inlineStr">
        <is>
          <t>PL NEILA E RENATO ESOCIAL  - KEILA</t>
        </is>
      </c>
      <c r="Z1308" s="59">
        <f>IF($T1308="","",IFERROR(INDEX('Resumo Grupos'!$AC$3:$AC$200,MATCH($T1308,'Resumo Grupos'!$AB$3:$AB$200,0)),"n/d"))</f>
        <v/>
      </c>
      <c r="AA1308" s="59">
        <f>IF($T1308="","",IF(COUNTIF('Resumo Grupos'!$AE$3:$AE$40,$T1308)&gt;0,"NAO","SIM"))</f>
        <v/>
      </c>
    </row>
    <row r="1309" ht="45.75" customHeight="1" s="60">
      <c r="A1309" s="70" t="n">
        <v>1</v>
      </c>
      <c r="B1309" s="71" t="n">
        <v>46217</v>
      </c>
      <c r="C1309" s="71" t="n">
        <v>46223</v>
      </c>
      <c r="D1309" s="70" t="n">
        <v>1631</v>
      </c>
      <c r="E1309" s="72" t="inlineStr">
        <is>
          <t>T. M. L. DA SILVA LTDA</t>
        </is>
      </c>
      <c r="F1309" s="70" t="n">
        <v>24</v>
      </c>
      <c r="G1309" s="72" t="inlineStr">
        <is>
          <t>Compra a Prazo - Boletos</t>
        </is>
      </c>
      <c r="H1309" s="70" t="n">
        <v>1110202</v>
      </c>
      <c r="I1309" s="72" t="inlineStr">
        <is>
          <t>BANCO ITAU Lj 01</t>
        </is>
      </c>
      <c r="J1309" s="70" t="n">
        <v>1397408</v>
      </c>
      <c r="L1309" s="70" t="n">
        <v>15129</v>
      </c>
      <c r="M1309" s="72" t="inlineStr">
        <is>
          <t>01</t>
        </is>
      </c>
      <c r="N1309" s="72" t="inlineStr">
        <is>
          <t>AVU</t>
        </is>
      </c>
      <c r="P1309" s="70" t="n">
        <v>103</v>
      </c>
      <c r="Q1309" s="72" t="inlineStr">
        <is>
          <t>MILKA FRANCIS</t>
        </is>
      </c>
      <c r="R1309" s="72" t="inlineStr">
        <is>
          <t>ESTOQUE DE MERCADORIAS</t>
        </is>
      </c>
      <c r="S1309" s="70" t="n">
        <v>1130101</v>
      </c>
      <c r="T1309" s="72" t="inlineStr">
        <is>
          <t>MERCADORIAS P/REVENDA</t>
        </is>
      </c>
      <c r="U1309" s="73" t="n">
        <v>622.5</v>
      </c>
      <c r="W1309" s="73" t="n">
        <v>0</v>
      </c>
      <c r="X1309" s="72" t="inlineStr">
        <is>
          <t>NF 15129 AMAZONGURT - MILKA</t>
        </is>
      </c>
      <c r="Z1309" s="59">
        <f>IF($T1309="","",IFERROR(INDEX('Resumo Grupos'!$AC$3:$AC$200,MATCH($T1309,'Resumo Grupos'!$AB$3:$AB$200,0)),"n/d"))</f>
        <v/>
      </c>
      <c r="AA1309" s="59">
        <f>IF($T1309="","",IF(COUNTIF('Resumo Grupos'!$AE$3:$AE$40,$T1309)&gt;0,"NAO","SIM"))</f>
        <v/>
      </c>
    </row>
    <row r="1310" ht="36.75" customHeight="1" s="60">
      <c r="A1310" s="70" t="n">
        <v>1</v>
      </c>
      <c r="B1310" s="71" t="n">
        <v>46213</v>
      </c>
      <c r="C1310" s="71" t="n">
        <v>46223</v>
      </c>
      <c r="D1310" s="70" t="n">
        <v>1666</v>
      </c>
      <c r="E1310" s="72" t="inlineStr">
        <is>
          <t>SOUZA CRUZ LTDA.</t>
        </is>
      </c>
      <c r="F1310" s="70" t="n">
        <v>24</v>
      </c>
      <c r="G1310" s="72" t="inlineStr">
        <is>
          <t>Compra a Prazo - Boletos</t>
        </is>
      </c>
      <c r="H1310" s="70" t="n">
        <v>1110202</v>
      </c>
      <c r="I1310" s="72" t="inlineStr">
        <is>
          <t>BANCO ITAU Lj 01</t>
        </is>
      </c>
      <c r="J1310" s="70" t="n">
        <v>1376853</v>
      </c>
      <c r="L1310" s="70" t="n">
        <v>566688</v>
      </c>
      <c r="M1310" s="72" t="inlineStr">
        <is>
          <t>01</t>
        </is>
      </c>
      <c r="N1310" s="72" t="inlineStr">
        <is>
          <t>AVU</t>
        </is>
      </c>
      <c r="P1310" s="70" t="n">
        <v>103</v>
      </c>
      <c r="Q1310" s="72" t="inlineStr">
        <is>
          <t>MILKA FRANCIS</t>
        </is>
      </c>
      <c r="R1310" s="72" t="inlineStr">
        <is>
          <t>ESTOQUE DE MERCADORIAS</t>
        </is>
      </c>
      <c r="S1310" s="70" t="n">
        <v>1130101</v>
      </c>
      <c r="T1310" s="72" t="inlineStr">
        <is>
          <t>MERCADORIAS P/REVENDA</t>
        </is>
      </c>
      <c r="U1310" s="73" t="n">
        <v>6643.66</v>
      </c>
      <c r="W1310" s="73" t="n">
        <v>0</v>
      </c>
      <c r="X1310" s="72" t="inlineStr">
        <is>
          <t>NF 566688 -01 MILKA</t>
        </is>
      </c>
      <c r="Z1310" s="59">
        <f>IF($T1310="","",IFERROR(INDEX('Resumo Grupos'!$AC$3:$AC$200,MATCH($T1310,'Resumo Grupos'!$AB$3:$AB$200,0)),"n/d"))</f>
        <v/>
      </c>
      <c r="AA1310" s="59">
        <f>IF($T1310="","",IF(COUNTIF('Resumo Grupos'!$AE$3:$AE$40,$T1310)&gt;0,"NAO","SIM"))</f>
        <v/>
      </c>
    </row>
    <row r="1311" ht="36.75" customHeight="1" s="60">
      <c r="A1311" s="70" t="n">
        <v>1</v>
      </c>
      <c r="B1311" s="71" t="n">
        <v>46213</v>
      </c>
      <c r="C1311" s="71" t="n">
        <v>46223</v>
      </c>
      <c r="D1311" s="70" t="n">
        <v>659</v>
      </c>
      <c r="E1311" s="72" t="inlineStr">
        <is>
          <t xml:space="preserve">CENTRAL NACIONAL UNIMED </t>
        </is>
      </c>
      <c r="F1311" s="70" t="n">
        <v>24</v>
      </c>
      <c r="G1311" s="72" t="inlineStr">
        <is>
          <t>Compra a Prazo - Boletos</t>
        </is>
      </c>
      <c r="H1311" s="70" t="n">
        <v>1110202</v>
      </c>
      <c r="I1311" s="72" t="inlineStr">
        <is>
          <t>BANCO ITAU Lj 01</t>
        </is>
      </c>
      <c r="J1311" s="70" t="n">
        <v>1377357</v>
      </c>
      <c r="L1311" s="70" t="n">
        <v>567699</v>
      </c>
      <c r="M1311" s="72" t="inlineStr">
        <is>
          <t>01</t>
        </is>
      </c>
      <c r="N1311" s="72" t="inlineStr">
        <is>
          <t>AVU</t>
        </is>
      </c>
      <c r="P1311" s="70" t="n">
        <v>101</v>
      </c>
      <c r="Q1311" s="72" t="inlineStr">
        <is>
          <t>KEILA LIMA</t>
        </is>
      </c>
      <c r="R1311" s="72" t="inlineStr">
        <is>
          <t>DESPESAS COM PESSOAL</t>
        </is>
      </c>
      <c r="S1311" s="70" t="n">
        <v>4210311</v>
      </c>
      <c r="T1311" s="72" t="inlineStr">
        <is>
          <t>PLANOS DE SAUDE</t>
        </is>
      </c>
      <c r="U1311" s="73" t="n">
        <v>6193.08</v>
      </c>
      <c r="W1311" s="73" t="n">
        <v>0</v>
      </c>
      <c r="X1311" s="72" t="inlineStr">
        <is>
          <t>PLANO DE SAUDE NEILA RENATO MARIAS - KEILA</t>
        </is>
      </c>
      <c r="Z1311" s="59">
        <f>IF($T1311="","",IFERROR(INDEX('Resumo Grupos'!$AC$3:$AC$200,MATCH($T1311,'Resumo Grupos'!$AB$3:$AB$200,0)),"n/d"))</f>
        <v/>
      </c>
      <c r="AA1311" s="59">
        <f>IF($T1311="","",IF(COUNTIF('Resumo Grupos'!$AE$3:$AE$40,$T1311)&gt;0,"NAO","SIM"))</f>
        <v/>
      </c>
    </row>
    <row r="1312" ht="36.75" customHeight="1" s="60">
      <c r="A1312" s="70" t="n">
        <v>1</v>
      </c>
      <c r="B1312" s="71" t="n">
        <v>46214</v>
      </c>
      <c r="C1312" s="71" t="n">
        <v>46223</v>
      </c>
      <c r="D1312" s="70" t="n">
        <v>1609</v>
      </c>
      <c r="E1312" s="72" t="inlineStr">
        <is>
          <t>H. L. DO NASCIMENTO</t>
        </is>
      </c>
      <c r="F1312" s="70" t="n">
        <v>24</v>
      </c>
      <c r="G1312" s="72" t="inlineStr">
        <is>
          <t>Compra a Prazo - Boletos</t>
        </is>
      </c>
      <c r="H1312" s="70" t="n">
        <v>1110202</v>
      </c>
      <c r="I1312" s="72" t="inlineStr">
        <is>
          <t>BANCO ITAU Lj 01</t>
        </is>
      </c>
      <c r="J1312" s="70" t="n">
        <v>1382471</v>
      </c>
      <c r="L1312" s="70" t="n">
        <v>5787</v>
      </c>
      <c r="M1312" s="72" t="inlineStr">
        <is>
          <t>01</t>
        </is>
      </c>
      <c r="N1312" s="72" t="inlineStr">
        <is>
          <t>AVU</t>
        </is>
      </c>
      <c r="P1312" s="70" t="n">
        <v>103</v>
      </c>
      <c r="Q1312" s="72" t="inlineStr">
        <is>
          <t>MILKA FRANCIS</t>
        </is>
      </c>
      <c r="R1312" s="72" t="inlineStr">
        <is>
          <t>ESTOQUE DE MERCADORIAS</t>
        </is>
      </c>
      <c r="S1312" s="70" t="n">
        <v>1130101</v>
      </c>
      <c r="T1312" s="72" t="inlineStr">
        <is>
          <t>MERCADORIAS P/REVENDA</t>
        </is>
      </c>
      <c r="U1312" s="73" t="n">
        <v>1285.3</v>
      </c>
      <c r="W1312" s="73" t="n">
        <v>0</v>
      </c>
      <c r="X1312" s="72" t="inlineStr">
        <is>
          <t>NF 5787 FAZENDINHA - MILKA</t>
        </is>
      </c>
      <c r="Z1312" s="59">
        <f>IF($T1312="","",IFERROR(INDEX('Resumo Grupos'!$AC$3:$AC$200,MATCH($T1312,'Resumo Grupos'!$AB$3:$AB$200,0)),"n/d"))</f>
        <v/>
      </c>
      <c r="AA1312" s="59">
        <f>IF($T1312="","",IF(COUNTIF('Resumo Grupos'!$AE$3:$AE$40,$T1312)&gt;0,"NAO","SIM"))</f>
        <v/>
      </c>
    </row>
    <row r="1313" ht="36.75" customHeight="1" s="60">
      <c r="A1313" s="70" t="n">
        <v>1</v>
      </c>
      <c r="B1313" s="71" t="n">
        <v>46216</v>
      </c>
      <c r="C1313" s="71" t="n">
        <v>46223</v>
      </c>
      <c r="D1313" s="70" t="n">
        <v>1292</v>
      </c>
      <c r="E1313" s="72" t="inlineStr">
        <is>
          <t>SAO JOSE COMERCIO DE LATICINIOS E FRIOS</t>
        </is>
      </c>
      <c r="F1313" s="70" t="n">
        <v>24</v>
      </c>
      <c r="G1313" s="72" t="inlineStr">
        <is>
          <t>Compra a Prazo - Boletos</t>
        </is>
      </c>
      <c r="H1313" s="70" t="n">
        <v>1110202</v>
      </c>
      <c r="I1313" s="72" t="inlineStr">
        <is>
          <t>BANCO ITAU Lj 01</t>
        </is>
      </c>
      <c r="J1313" s="70" t="n">
        <v>1393587</v>
      </c>
      <c r="L1313" s="70" t="n">
        <v>3599</v>
      </c>
      <c r="M1313" s="72" t="inlineStr">
        <is>
          <t>01</t>
        </is>
      </c>
      <c r="N1313" s="72" t="inlineStr">
        <is>
          <t>AVU</t>
        </is>
      </c>
      <c r="P1313" s="70" t="n">
        <v>103</v>
      </c>
      <c r="Q1313" s="72" t="inlineStr">
        <is>
          <t>MILKA FRANCIS</t>
        </is>
      </c>
      <c r="R1313" s="72" t="inlineStr">
        <is>
          <t>ESTOQUE DE MERCADORIAS</t>
        </is>
      </c>
      <c r="S1313" s="70" t="n">
        <v>1130101</v>
      </c>
      <c r="T1313" s="72" t="inlineStr">
        <is>
          <t>MERCADORIAS P/REVENDA</t>
        </is>
      </c>
      <c r="U1313" s="73" t="n">
        <v>448.5</v>
      </c>
      <c r="W1313" s="73" t="n">
        <v>0</v>
      </c>
      <c r="X1313" s="72" t="inlineStr">
        <is>
          <t>NF 3599 SABORE /USO E CONSUMO/ DESPESA PADARIA - MILKA</t>
        </is>
      </c>
      <c r="Z1313" s="59">
        <f>IF($T1313="","",IFERROR(INDEX('Resumo Grupos'!$AC$3:$AC$200,MATCH($T1313,'Resumo Grupos'!$AB$3:$AB$200,0)),"n/d"))</f>
        <v/>
      </c>
      <c r="AA1313" s="59">
        <f>IF($T1313="","",IF(COUNTIF('Resumo Grupos'!$AE$3:$AE$40,$T1313)&gt;0,"NAO","SIM"))</f>
        <v/>
      </c>
    </row>
    <row r="1314" ht="36.75" customHeight="1" s="60">
      <c r="A1314" s="70" t="n">
        <v>1</v>
      </c>
      <c r="B1314" s="71" t="n">
        <v>46216</v>
      </c>
      <c r="C1314" s="71" t="n">
        <v>46223</v>
      </c>
      <c r="D1314" s="70" t="n">
        <v>560</v>
      </c>
      <c r="E1314" s="72" t="inlineStr">
        <is>
          <t>KAROLINY RODRIGUES SOUZA VENANCIO 915783</t>
        </is>
      </c>
      <c r="F1314" s="70" t="n">
        <v>24</v>
      </c>
      <c r="G1314" s="72" t="inlineStr">
        <is>
          <t>Compra a Prazo - Boletos</t>
        </is>
      </c>
      <c r="H1314" s="70" t="n">
        <v>1110202</v>
      </c>
      <c r="I1314" s="72" t="inlineStr">
        <is>
          <t>BANCO ITAU Lj 01</t>
        </is>
      </c>
      <c r="J1314" s="70" t="n">
        <v>1393675</v>
      </c>
      <c r="L1314" s="70" t="n">
        <v>1790</v>
      </c>
      <c r="M1314" s="72" t="inlineStr">
        <is>
          <t>01</t>
        </is>
      </c>
      <c r="N1314" s="72" t="inlineStr">
        <is>
          <t>AVU</t>
        </is>
      </c>
      <c r="P1314" s="70" t="n">
        <v>103</v>
      </c>
      <c r="Q1314" s="72" t="inlineStr">
        <is>
          <t>MILKA FRANCIS</t>
        </is>
      </c>
      <c r="R1314" s="72" t="inlineStr">
        <is>
          <t>ESTOQUE DE MERCADORIAS</t>
        </is>
      </c>
      <c r="S1314" s="70" t="n">
        <v>1130101</v>
      </c>
      <c r="T1314" s="72" t="inlineStr">
        <is>
          <t>MERCADORIAS P/REVENDA</t>
        </is>
      </c>
      <c r="U1314" s="73" t="n">
        <v>250</v>
      </c>
      <c r="W1314" s="73" t="n">
        <v>0</v>
      </c>
      <c r="X1314" s="72" t="inlineStr">
        <is>
          <t>NF1790 BIS.DONA MARIA - MILKA</t>
        </is>
      </c>
      <c r="Z1314" s="59">
        <f>IF($T1314="","",IFERROR(INDEX('Resumo Grupos'!$AC$3:$AC$200,MATCH($T1314,'Resumo Grupos'!$AB$3:$AB$200,0)),"n/d"))</f>
        <v/>
      </c>
      <c r="AA1314" s="59">
        <f>IF($T1314="","",IF(COUNTIF('Resumo Grupos'!$AE$3:$AE$40,$T1314)&gt;0,"NAO","SIM"))</f>
        <v/>
      </c>
    </row>
    <row r="1315" ht="45.75" customHeight="1" s="60">
      <c r="A1315" s="70" t="n">
        <v>1</v>
      </c>
      <c r="B1315" s="71" t="n">
        <v>46216</v>
      </c>
      <c r="C1315" s="71" t="n">
        <v>46223</v>
      </c>
      <c r="D1315" s="70" t="n">
        <v>1614</v>
      </c>
      <c r="E1315" s="72" t="inlineStr">
        <is>
          <t>C. R. PARENTE ABREU</t>
        </is>
      </c>
      <c r="F1315" s="70" t="n">
        <v>24</v>
      </c>
      <c r="G1315" s="72" t="inlineStr">
        <is>
          <t>Compra a Prazo - Boletos</t>
        </is>
      </c>
      <c r="H1315" s="70" t="n">
        <v>1110202</v>
      </c>
      <c r="I1315" s="72" t="inlineStr">
        <is>
          <t>BANCO ITAU Lj 01</t>
        </is>
      </c>
      <c r="J1315" s="70" t="n">
        <v>1393772</v>
      </c>
      <c r="L1315" s="70" t="n">
        <v>11415</v>
      </c>
      <c r="M1315" s="72" t="inlineStr">
        <is>
          <t>02</t>
        </is>
      </c>
      <c r="N1315" s="72" t="inlineStr">
        <is>
          <t>AVU</t>
        </is>
      </c>
      <c r="P1315" s="70" t="n">
        <v>103</v>
      </c>
      <c r="Q1315" s="72" t="inlineStr">
        <is>
          <t>MILKA FRANCIS</t>
        </is>
      </c>
      <c r="R1315" s="72" t="inlineStr">
        <is>
          <t>ESTOQUE DE MERCADORIAS</t>
        </is>
      </c>
      <c r="S1315" s="70" t="n">
        <v>1130101</v>
      </c>
      <c r="T1315" s="72" t="inlineStr">
        <is>
          <t>MERCADORIAS P/REVENDA</t>
        </is>
      </c>
      <c r="U1315" s="73" t="n">
        <v>378.43</v>
      </c>
      <c r="W1315" s="73" t="n">
        <v>0</v>
      </c>
      <c r="X1315" s="72" t="inlineStr">
        <is>
          <t>NF 11415-2 MILKA</t>
        </is>
      </c>
      <c r="Z1315" s="59">
        <f>IF($T1315="","",IFERROR(INDEX('Resumo Grupos'!$AC$3:$AC$200,MATCH($T1315,'Resumo Grupos'!$AB$3:$AB$200,0)),"n/d"))</f>
        <v/>
      </c>
      <c r="AA1315" s="59">
        <f>IF($T1315="","",IF(COUNTIF('Resumo Grupos'!$AE$3:$AE$40,$T1315)&gt;0,"NAO","SIM"))</f>
        <v/>
      </c>
    </row>
    <row r="1316" ht="45.75" customHeight="1" s="60">
      <c r="A1316" s="70" t="n">
        <v>1</v>
      </c>
      <c r="B1316" s="71" t="n">
        <v>46216</v>
      </c>
      <c r="C1316" s="71" t="n">
        <v>46223</v>
      </c>
      <c r="D1316" s="70" t="n">
        <v>1625</v>
      </c>
      <c r="E1316" s="72" t="inlineStr">
        <is>
          <t>MAXFRI DISTRIUIDORA LTDA</t>
        </is>
      </c>
      <c r="F1316" s="70" t="n">
        <v>24</v>
      </c>
      <c r="G1316" s="72" t="inlineStr">
        <is>
          <t>Compra a Prazo - Boletos</t>
        </is>
      </c>
      <c r="H1316" s="70" t="n">
        <v>1110202</v>
      </c>
      <c r="I1316" s="72" t="inlineStr">
        <is>
          <t>BANCO ITAU Lj 01</t>
        </is>
      </c>
      <c r="J1316" s="70" t="n">
        <v>1394176</v>
      </c>
      <c r="L1316" s="70" t="n">
        <v>14695</v>
      </c>
      <c r="M1316" s="72" t="inlineStr">
        <is>
          <t>01</t>
        </is>
      </c>
      <c r="N1316" s="72" t="inlineStr">
        <is>
          <t>AVU</t>
        </is>
      </c>
      <c r="P1316" s="70" t="n">
        <v>103</v>
      </c>
      <c r="Q1316" s="72" t="inlineStr">
        <is>
          <t>MILKA FRANCIS</t>
        </is>
      </c>
      <c r="R1316" s="72" t="inlineStr">
        <is>
          <t>ESTOQUE DE MERCADORIAS</t>
        </is>
      </c>
      <c r="S1316" s="70" t="n">
        <v>1130101</v>
      </c>
      <c r="T1316" s="72" t="inlineStr">
        <is>
          <t>MERCADORIAS P/REVENDA</t>
        </is>
      </c>
      <c r="U1316" s="73" t="n">
        <v>1607.58</v>
      </c>
      <c r="W1316" s="73" t="n">
        <v>0</v>
      </c>
      <c r="X1316" s="72" t="inlineStr">
        <is>
          <t>NF14695 - MILKA</t>
        </is>
      </c>
      <c r="Z1316" s="59">
        <f>IF($T1316="","",IFERROR(INDEX('Resumo Grupos'!$AC$3:$AC$200,MATCH($T1316,'Resumo Grupos'!$AB$3:$AB$200,0)),"n/d"))</f>
        <v/>
      </c>
      <c r="AA1316" s="59">
        <f>IF($T1316="","",IF(COUNTIF('Resumo Grupos'!$AE$3:$AE$40,$T1316)&gt;0,"NAO","SIM"))</f>
        <v/>
      </c>
    </row>
    <row r="1317" ht="36.75" customHeight="1" s="60">
      <c r="A1317" s="70" t="n">
        <v>1</v>
      </c>
      <c r="B1317" s="71" t="n">
        <v>46217</v>
      </c>
      <c r="C1317" s="71" t="n">
        <v>46223</v>
      </c>
      <c r="D1317" s="70" t="n">
        <v>1328</v>
      </c>
      <c r="E1317" s="72" t="inlineStr">
        <is>
          <t>NOVA FRIOS COMERCIO ATACADISTA DE LATICINIOS LTDA</t>
        </is>
      </c>
      <c r="F1317" s="70" t="n">
        <v>24</v>
      </c>
      <c r="G1317" s="72" t="inlineStr">
        <is>
          <t>Compra a Prazo - Boletos</t>
        </is>
      </c>
      <c r="H1317" s="70" t="n">
        <v>1110202</v>
      </c>
      <c r="I1317" s="72" t="inlineStr">
        <is>
          <t>BANCO ITAU Lj 01</t>
        </is>
      </c>
      <c r="J1317" s="70" t="n">
        <v>1397292</v>
      </c>
      <c r="L1317" s="70" t="n">
        <v>4053</v>
      </c>
      <c r="M1317" s="72" t="inlineStr">
        <is>
          <t>01</t>
        </is>
      </c>
      <c r="N1317" s="72" t="inlineStr">
        <is>
          <t>AVU</t>
        </is>
      </c>
      <c r="P1317" s="70" t="n">
        <v>103</v>
      </c>
      <c r="Q1317" s="72" t="inlineStr">
        <is>
          <t>MILKA FRANCIS</t>
        </is>
      </c>
      <c r="R1317" s="72" t="inlineStr">
        <is>
          <t>ESTOQUE DE MERCADORIAS</t>
        </is>
      </c>
      <c r="S1317" s="70" t="n">
        <v>1130101</v>
      </c>
      <c r="T1317" s="72" t="inlineStr">
        <is>
          <t>MERCADORIAS P/REVENDA</t>
        </is>
      </c>
      <c r="U1317" s="73" t="n">
        <v>358.25</v>
      </c>
      <c r="W1317" s="73" t="n">
        <v>0</v>
      </c>
      <c r="X1317" s="72" t="inlineStr">
        <is>
          <t>NF 4053 BODEGA DO PAO - MILKA</t>
        </is>
      </c>
      <c r="Z1317" s="59">
        <f>IF($T1317="","",IFERROR(INDEX('Resumo Grupos'!$AC$3:$AC$200,MATCH($T1317,'Resumo Grupos'!$AB$3:$AB$200,0)),"n/d"))</f>
        <v/>
      </c>
      <c r="AA1317" s="59">
        <f>IF($T1317="","",IF(COUNTIF('Resumo Grupos'!$AE$3:$AE$40,$T1317)&gt;0,"NAO","SIM"))</f>
        <v/>
      </c>
    </row>
    <row r="1318" ht="45.75" customHeight="1" s="60">
      <c r="A1318" s="70" t="n">
        <v>1</v>
      </c>
      <c r="B1318" s="71" t="n">
        <v>46217</v>
      </c>
      <c r="C1318" s="71" t="n">
        <v>46223</v>
      </c>
      <c r="D1318" s="70" t="n">
        <v>1363</v>
      </c>
      <c r="E1318" s="72" t="inlineStr">
        <is>
          <t>JAB COMERCIO DE PRODUTOS ALIMENTICIOS LT</t>
        </is>
      </c>
      <c r="F1318" s="70" t="n">
        <v>24</v>
      </c>
      <c r="G1318" s="72" t="inlineStr">
        <is>
          <t>Compra a Prazo - Boletos</t>
        </is>
      </c>
      <c r="H1318" s="70" t="n">
        <v>1110202</v>
      </c>
      <c r="I1318" s="72" t="inlineStr">
        <is>
          <t>BANCO ITAU Lj 01</t>
        </is>
      </c>
      <c r="J1318" s="70" t="n">
        <v>1397372</v>
      </c>
      <c r="L1318" s="70" t="n">
        <v>3541</v>
      </c>
      <c r="M1318" s="72" t="inlineStr">
        <is>
          <t>01</t>
        </is>
      </c>
      <c r="N1318" s="72" t="inlineStr">
        <is>
          <t>AVU</t>
        </is>
      </c>
      <c r="P1318" s="70" t="n">
        <v>103</v>
      </c>
      <c r="Q1318" s="72" t="inlineStr">
        <is>
          <t>MILKA FRANCIS</t>
        </is>
      </c>
      <c r="R1318" s="72" t="inlineStr">
        <is>
          <t>ESTOQUE DE MERCADORIAS</t>
        </is>
      </c>
      <c r="S1318" s="70" t="n">
        <v>1130101</v>
      </c>
      <c r="T1318" s="72" t="inlineStr">
        <is>
          <t>MERCADORIAS P/REVENDA</t>
        </is>
      </c>
      <c r="U1318" s="73" t="n">
        <v>297</v>
      </c>
      <c r="W1318" s="73" t="n">
        <v>0</v>
      </c>
      <c r="X1318" s="72" t="inlineStr">
        <is>
          <t>NF 3541 SANTO PAO - MILKA</t>
        </is>
      </c>
      <c r="Z1318" s="59">
        <f>IF($T1318="","",IFERROR(INDEX('Resumo Grupos'!$AC$3:$AC$200,MATCH($T1318,'Resumo Grupos'!$AB$3:$AB$200,0)),"n/d"))</f>
        <v/>
      </c>
      <c r="AA1318" s="59">
        <f>IF($T1318="","",IF(COUNTIF('Resumo Grupos'!$AE$3:$AE$40,$T1318)&gt;0,"NAO","SIM"))</f>
        <v/>
      </c>
    </row>
    <row r="1319" ht="54.75" customHeight="1" s="60">
      <c r="A1319" s="70" t="n">
        <v>1</v>
      </c>
      <c r="B1319" s="71" t="n">
        <v>46217</v>
      </c>
      <c r="C1319" s="71" t="n">
        <v>46223</v>
      </c>
      <c r="D1319" s="70" t="n">
        <v>1947</v>
      </c>
      <c r="E1319" s="72" t="inlineStr">
        <is>
          <t>E S O CONSULTORIA EIRELI</t>
        </is>
      </c>
      <c r="F1319" s="70" t="n">
        <v>34</v>
      </c>
      <c r="G1319" s="72" t="inlineStr">
        <is>
          <t>Transferencia Pix</t>
        </is>
      </c>
      <c r="H1319" s="70" t="n">
        <v>2110405</v>
      </c>
      <c r="I1319" s="72" t="inlineStr">
        <is>
          <t>CONTAS A PAGAR</t>
        </is>
      </c>
      <c r="J1319" s="70" t="n">
        <v>1397793</v>
      </c>
      <c r="L1319" s="70" t="n">
        <v>576413</v>
      </c>
      <c r="M1319" s="72" t="inlineStr">
        <is>
          <t>01</t>
        </is>
      </c>
      <c r="N1319" s="72" t="inlineStr">
        <is>
          <t>AVU</t>
        </is>
      </c>
      <c r="P1319" s="70" t="n">
        <v>101</v>
      </c>
      <c r="Q1319" s="72" t="inlineStr">
        <is>
          <t>KEILA LIMA</t>
        </is>
      </c>
      <c r="R1319" s="72" t="inlineStr">
        <is>
          <t>DESPESAS COM PESSOAL</t>
        </is>
      </c>
      <c r="S1319" s="70" t="n">
        <v>4210302</v>
      </c>
      <c r="T1319" s="72" t="inlineStr">
        <is>
          <t>FGTS</t>
        </is>
      </c>
      <c r="U1319" s="73" t="n">
        <v>7169.13</v>
      </c>
      <c r="W1319" s="73" t="n">
        <v>0</v>
      </c>
      <c r="X1319" s="72" t="inlineStr">
        <is>
          <t>FGTS MO1 ESO 06/26 - KEILA</t>
        </is>
      </c>
      <c r="Z1319" s="59">
        <f>IF($T1319="","",IFERROR(INDEX('Resumo Grupos'!$AC$3:$AC$200,MATCH($T1319,'Resumo Grupos'!$AB$3:$AB$200,0)),"n/d"))</f>
        <v/>
      </c>
      <c r="AA1319" s="59">
        <f>IF($T1319="","",IF(COUNTIF('Resumo Grupos'!$AE$3:$AE$40,$T1319)&gt;0,"NAO","SIM"))</f>
        <v/>
      </c>
    </row>
    <row r="1320" ht="36.75" customHeight="1" s="60">
      <c r="A1320" s="70" t="n">
        <v>1</v>
      </c>
      <c r="B1320" s="71" t="n">
        <v>46217</v>
      </c>
      <c r="C1320" s="71" t="n">
        <v>46223</v>
      </c>
      <c r="D1320" s="70" t="n">
        <v>1947</v>
      </c>
      <c r="E1320" s="72" t="inlineStr">
        <is>
          <t>E S O CONSULTORIA EIRELI</t>
        </is>
      </c>
      <c r="F1320" s="70" t="n">
        <v>34</v>
      </c>
      <c r="G1320" s="72" t="inlineStr">
        <is>
          <t>Transferencia Pix</t>
        </is>
      </c>
      <c r="H1320" s="70" t="n">
        <v>1110202</v>
      </c>
      <c r="I1320" s="72" t="inlineStr">
        <is>
          <t>BANCO ITAU Lj 01</t>
        </is>
      </c>
      <c r="J1320" s="70" t="n">
        <v>1397870</v>
      </c>
      <c r="L1320" s="70" t="n">
        <v>576435</v>
      </c>
      <c r="M1320" s="72" t="inlineStr">
        <is>
          <t>01</t>
        </is>
      </c>
      <c r="N1320" s="72" t="inlineStr">
        <is>
          <t>AVU</t>
        </is>
      </c>
      <c r="P1320" s="70" t="n">
        <v>101</v>
      </c>
      <c r="Q1320" s="72" t="inlineStr">
        <is>
          <t>KEILA LIMA</t>
        </is>
      </c>
      <c r="R1320" s="72" t="inlineStr">
        <is>
          <t>DESPESAS COM PESSOAL</t>
        </is>
      </c>
      <c r="S1320" s="70" t="n">
        <v>4210303</v>
      </c>
      <c r="T1320" s="72" t="inlineStr">
        <is>
          <t>INSS (PREVIDENCIA SOCIAL)</t>
        </is>
      </c>
      <c r="U1320" s="73" t="n">
        <v>3462.39</v>
      </c>
      <c r="W1320" s="73" t="n">
        <v>0</v>
      </c>
      <c r="X1320" s="72" t="inlineStr">
        <is>
          <t>INSS MO1 ESO 06/26 - KEILA</t>
        </is>
      </c>
      <c r="Z1320" s="59">
        <f>IF($T1320="","",IFERROR(INDEX('Resumo Grupos'!$AC$3:$AC$200,MATCH($T1320,'Resumo Grupos'!$AB$3:$AB$200,0)),"n/d"))</f>
        <v/>
      </c>
      <c r="AA1320" s="59">
        <f>IF($T1320="","",IF(COUNTIF('Resumo Grupos'!$AE$3:$AE$40,$T1320)&gt;0,"NAO","SIM"))</f>
        <v/>
      </c>
    </row>
    <row r="1321" ht="36.75" customHeight="1" s="60">
      <c r="A1321" s="70" t="n">
        <v>1</v>
      </c>
      <c r="B1321" s="71" t="n">
        <v>46217</v>
      </c>
      <c r="C1321" s="71" t="n">
        <v>46223</v>
      </c>
      <c r="D1321" s="70" t="n">
        <v>1947</v>
      </c>
      <c r="E1321" s="72" t="inlineStr">
        <is>
          <t>E S O CONSULTORIA EIRELI</t>
        </is>
      </c>
      <c r="F1321" s="70" t="n">
        <v>34</v>
      </c>
      <c r="G1321" s="72" t="inlineStr">
        <is>
          <t>Transferencia Pix</t>
        </is>
      </c>
      <c r="H1321" s="70" t="n">
        <v>1110202</v>
      </c>
      <c r="I1321" s="72" t="inlineStr">
        <is>
          <t>BANCO ITAU Lj 01</t>
        </is>
      </c>
      <c r="J1321" s="70" t="n">
        <v>1397905</v>
      </c>
      <c r="L1321" s="70" t="n">
        <v>576442</v>
      </c>
      <c r="M1321" s="72" t="inlineStr">
        <is>
          <t>01</t>
        </is>
      </c>
      <c r="N1321" s="72" t="inlineStr">
        <is>
          <t>AVU</t>
        </is>
      </c>
      <c r="P1321" s="70" t="n">
        <v>101</v>
      </c>
      <c r="Q1321" s="72" t="inlineStr">
        <is>
          <t>KEILA LIMA</t>
        </is>
      </c>
      <c r="R1321" s="72" t="inlineStr">
        <is>
          <t>IMPOSTOS E CONTRIBUICOES A PAGAR</t>
        </is>
      </c>
      <c r="S1321" s="70" t="n">
        <v>2110707</v>
      </c>
      <c r="T1321" s="72" t="inlineStr">
        <is>
          <t>SIMPLES FEDERAL A PAGAR</t>
        </is>
      </c>
      <c r="U1321" s="73" t="n">
        <v>5411.15</v>
      </c>
      <c r="W1321" s="73" t="n">
        <v>0</v>
      </c>
      <c r="X1321" s="72" t="inlineStr">
        <is>
          <t>SIMPLES MO1 ESO 06/26 - KEILA</t>
        </is>
      </c>
      <c r="Z1321" s="59">
        <f>IF($T1321="","",IFERROR(INDEX('Resumo Grupos'!$AC$3:$AC$200,MATCH($T1321,'Resumo Grupos'!$AB$3:$AB$200,0)),"n/d"))</f>
        <v/>
      </c>
      <c r="AA1321" s="59">
        <f>IF($T1321="","",IF(COUNTIF('Resumo Grupos'!$AE$3:$AE$40,$T1321)&gt;0,"NAO","SIM"))</f>
        <v/>
      </c>
    </row>
    <row r="1322" ht="36.75" customHeight="1" s="60">
      <c r="A1322" s="70" t="n">
        <v>1</v>
      </c>
      <c r="B1322" s="71" t="n">
        <v>46219</v>
      </c>
      <c r="C1322" s="71" t="n">
        <v>46223</v>
      </c>
      <c r="D1322" s="70" t="n">
        <v>1614</v>
      </c>
      <c r="E1322" s="72" t="inlineStr">
        <is>
          <t>C. R. PARENTE ABREU</t>
        </is>
      </c>
      <c r="F1322" s="70" t="n">
        <v>24</v>
      </c>
      <c r="G1322" s="72" t="inlineStr">
        <is>
          <t>Compra a Prazo - Boletos</t>
        </is>
      </c>
      <c r="H1322" s="70" t="n">
        <v>1110202</v>
      </c>
      <c r="I1322" s="72" t="inlineStr">
        <is>
          <t>BANCO ITAU Lj 01</t>
        </is>
      </c>
      <c r="J1322" s="70" t="n">
        <v>1407883</v>
      </c>
      <c r="L1322" s="70" t="n">
        <v>11430</v>
      </c>
      <c r="M1322" s="72" t="inlineStr">
        <is>
          <t>01</t>
        </is>
      </c>
      <c r="N1322" s="72" t="inlineStr">
        <is>
          <t>AVU</t>
        </is>
      </c>
      <c r="P1322" s="70" t="n">
        <v>103</v>
      </c>
      <c r="Q1322" s="72" t="inlineStr">
        <is>
          <t>MILKA FRANCIS</t>
        </is>
      </c>
      <c r="R1322" s="72" t="inlineStr">
        <is>
          <t>ESTOQUE DE MERCADORIAS</t>
        </is>
      </c>
      <c r="S1322" s="70" t="n">
        <v>1130101</v>
      </c>
      <c r="T1322" s="72" t="inlineStr">
        <is>
          <t>MERCADORIAS P/REVENDA</t>
        </is>
      </c>
      <c r="U1322" s="73" t="n">
        <v>417.42</v>
      </c>
      <c r="W1322" s="73" t="n">
        <v>0</v>
      </c>
      <c r="X1322" s="72" t="inlineStr">
        <is>
          <t>NF 11430-1 KARU MILKA</t>
        </is>
      </c>
      <c r="Z1322" s="59">
        <f>IF($T1322="","",IFERROR(INDEX('Resumo Grupos'!$AC$3:$AC$200,MATCH($T1322,'Resumo Grupos'!$AB$3:$AB$200,0)),"n/d"))</f>
        <v/>
      </c>
      <c r="AA1322" s="59">
        <f>IF($T1322="","",IF(COUNTIF('Resumo Grupos'!$AE$3:$AE$40,$T1322)&gt;0,"NAO","SIM"))</f>
        <v/>
      </c>
    </row>
    <row r="1323" ht="36.75" customHeight="1" s="60">
      <c r="A1323" s="70" t="n">
        <v>1</v>
      </c>
      <c r="B1323" s="71" t="n">
        <v>46221</v>
      </c>
      <c r="C1323" s="71" t="n">
        <v>46223</v>
      </c>
      <c r="D1323" s="70" t="n">
        <v>947</v>
      </c>
      <c r="E1323" s="72" t="inlineStr">
        <is>
          <t xml:space="preserve">HINOVA PAYMENTS </t>
        </is>
      </c>
      <c r="F1323" s="70" t="n">
        <v>24</v>
      </c>
      <c r="G1323" s="72" t="inlineStr">
        <is>
          <t>Compra a Prazo - Boletos</t>
        </is>
      </c>
      <c r="H1323" s="70" t="n">
        <v>1110202</v>
      </c>
      <c r="I1323" s="72" t="inlineStr">
        <is>
          <t>BANCO ITAU Lj 01</t>
        </is>
      </c>
      <c r="J1323" s="70" t="n">
        <v>1415266</v>
      </c>
      <c r="L1323" s="70" t="n">
        <v>29092692</v>
      </c>
      <c r="M1323" s="72" t="inlineStr">
        <is>
          <t>01</t>
        </is>
      </c>
      <c r="N1323" s="72" t="inlineStr">
        <is>
          <t>AVU</t>
        </is>
      </c>
      <c r="P1323" s="70" t="n">
        <v>101</v>
      </c>
      <c r="Q1323" s="72" t="inlineStr">
        <is>
          <t>KEILA LIMA</t>
        </is>
      </c>
      <c r="R1323" s="72" t="inlineStr">
        <is>
          <t>DESPESAS OPERACIONAIS</t>
        </is>
      </c>
      <c r="S1323" s="70" t="n">
        <v>4210201</v>
      </c>
      <c r="T1323" s="72" t="inlineStr">
        <is>
          <t>SEGURANCA E MONITORAMENTO</t>
        </is>
      </c>
      <c r="U1323" s="73" t="n">
        <v>129</v>
      </c>
      <c r="W1323" s="73" t="n">
        <v>0</v>
      </c>
      <c r="X1323" s="72" t="inlineStr">
        <is>
          <t>MENSALIDADE RASTREADOR MOTO DELIVERY - KEILA</t>
        </is>
      </c>
      <c r="Z1323" s="59">
        <f>IF($T1323="","",IFERROR(INDEX('Resumo Grupos'!$AC$3:$AC$200,MATCH($T1323,'Resumo Grupos'!$AB$3:$AB$200,0)),"n/d"))</f>
        <v/>
      </c>
      <c r="AA1323" s="59">
        <f>IF($T1323="","",IF(COUNTIF('Resumo Grupos'!$AE$3:$AE$40,$T1323)&gt;0,"NAO","SIM"))</f>
        <v/>
      </c>
    </row>
    <row r="1324" ht="36.75" customHeight="1" s="60">
      <c r="A1324" s="70" t="n">
        <v>1</v>
      </c>
      <c r="B1324" s="71" t="n">
        <v>46223</v>
      </c>
      <c r="C1324" s="71" t="n">
        <v>46223</v>
      </c>
      <c r="D1324" s="70" t="n">
        <v>542</v>
      </c>
      <c r="E1324" s="72" t="inlineStr">
        <is>
          <t>LUANA SAUNDERS TORRES DE MELO MARQUES</t>
        </is>
      </c>
      <c r="F1324" s="70" t="n">
        <v>34</v>
      </c>
      <c r="G1324" s="72" t="inlineStr">
        <is>
          <t>Transferencia Pix</t>
        </is>
      </c>
      <c r="H1324" s="70" t="n">
        <v>2110405</v>
      </c>
      <c r="I1324" s="72" t="inlineStr">
        <is>
          <t>CONTAS A PAGAR</t>
        </is>
      </c>
      <c r="J1324" s="70" t="n">
        <v>1424234</v>
      </c>
      <c r="L1324" s="70" t="n">
        <v>587289</v>
      </c>
      <c r="M1324" s="72" t="inlineStr">
        <is>
          <t>01</t>
        </is>
      </c>
      <c r="N1324" s="72" t="inlineStr">
        <is>
          <t>AVU</t>
        </is>
      </c>
      <c r="P1324" s="70" t="n">
        <v>101</v>
      </c>
      <c r="Q1324" s="72" t="inlineStr">
        <is>
          <t>KEILA LIMA</t>
        </is>
      </c>
      <c r="R1324" s="72" t="inlineStr">
        <is>
          <t>DESPESAS COMERCIAIS</t>
        </is>
      </c>
      <c r="S1324" s="70" t="n">
        <v>4210107</v>
      </c>
      <c r="T1324" s="72" t="inlineStr">
        <is>
          <t>PROPAGANDA PUBLICIDADE</t>
        </is>
      </c>
      <c r="U1324" s="73" t="n">
        <v>464.59</v>
      </c>
      <c r="W1324" s="73" t="n">
        <v>0</v>
      </c>
      <c r="X1324" s="72" t="inlineStr">
        <is>
          <t xml:space="preserve"> MENS PARTE MO1 INSTAGRAM - KEILA</t>
        </is>
      </c>
      <c r="Z1324" s="59">
        <f>IF($T1324="","",IFERROR(INDEX('Resumo Grupos'!$AC$3:$AC$200,MATCH($T1324,'Resumo Grupos'!$AB$3:$AB$200,0)),"n/d"))</f>
        <v/>
      </c>
      <c r="AA1324" s="59">
        <f>IF($T1324="","",IF(COUNTIF('Resumo Grupos'!$AE$3:$AE$40,$T1324)&gt;0,"NAO","SIM"))</f>
        <v/>
      </c>
    </row>
    <row r="1325" ht="36.75" customHeight="1" s="60">
      <c r="A1325" s="70" t="n">
        <v>1</v>
      </c>
      <c r="B1325" s="71" t="n">
        <v>46223</v>
      </c>
      <c r="C1325" s="71" t="n">
        <v>46223</v>
      </c>
      <c r="D1325" s="70" t="n">
        <v>542</v>
      </c>
      <c r="E1325" s="72" t="inlineStr">
        <is>
          <t>LUANA SAUNDERS TORRES DE MELO MARQUES</t>
        </is>
      </c>
      <c r="F1325" s="70" t="n">
        <v>34</v>
      </c>
      <c r="G1325" s="72" t="inlineStr">
        <is>
          <t>Transferencia Pix</t>
        </is>
      </c>
      <c r="H1325" s="70" t="n">
        <v>2110405</v>
      </c>
      <c r="I1325" s="72" t="inlineStr">
        <is>
          <t>CONTAS A PAGAR</t>
        </is>
      </c>
      <c r="J1325" s="70" t="n">
        <v>1424241</v>
      </c>
      <c r="L1325" s="70" t="n">
        <v>587291</v>
      </c>
      <c r="M1325" s="72" t="inlineStr">
        <is>
          <t>01</t>
        </is>
      </c>
      <c r="N1325" s="72" t="inlineStr">
        <is>
          <t>AVU</t>
        </is>
      </c>
      <c r="P1325" s="70" t="n">
        <v>101</v>
      </c>
      <c r="Q1325" s="72" t="inlineStr">
        <is>
          <t>KEILA LIMA</t>
        </is>
      </c>
      <c r="R1325" s="72" t="inlineStr">
        <is>
          <t>DESPESAS NAO OPERACIONAIS</t>
        </is>
      </c>
      <c r="S1325" s="70" t="n">
        <v>4220199</v>
      </c>
      <c r="T1325" s="72" t="inlineStr">
        <is>
          <t>PAGAMENTOS OUTROS NAO OPERACIONAIS</t>
        </is>
      </c>
      <c r="U1325" s="73" t="n">
        <v>900</v>
      </c>
      <c r="W1325" s="73" t="n">
        <v>0</v>
      </c>
      <c r="X1325" s="72" t="inlineStr">
        <is>
          <t>MENSALIDADE RATEIO LOJAS NAO SOMAR INSTAGRAM - K</t>
        </is>
      </c>
      <c r="Z1325" s="59">
        <f>IF($T1325="","",IFERROR(INDEX('Resumo Grupos'!$AC$3:$AC$200,MATCH($T1325,'Resumo Grupos'!$AB$3:$AB$200,0)),"n/d"))</f>
        <v/>
      </c>
      <c r="AA1325" s="59">
        <f>IF($T1325="","",IF(COUNTIF('Resumo Grupos'!$AE$3:$AE$40,$T1325)&gt;0,"NAO","SIM"))</f>
        <v/>
      </c>
    </row>
    <row r="1326" ht="27.75" customHeight="1" s="60">
      <c r="A1326" s="70" t="n">
        <v>1</v>
      </c>
      <c r="B1326" s="71" t="n">
        <v>46223</v>
      </c>
      <c r="C1326" s="71" t="n">
        <v>46223</v>
      </c>
      <c r="D1326" s="70" t="n">
        <v>978</v>
      </c>
      <c r="E1326" s="72" t="inlineStr">
        <is>
          <t>GELO DANGELO FABRICACAO DE GELO LTDA</t>
        </is>
      </c>
      <c r="F1326" s="70" t="n">
        <v>13</v>
      </c>
      <c r="G1326" s="72" t="inlineStr">
        <is>
          <t>Compra a Vista</t>
        </is>
      </c>
      <c r="H1326" s="70" t="n">
        <v>2110101</v>
      </c>
      <c r="I1326" s="72" t="inlineStr">
        <is>
          <t>FORNECEDORES DE MERCADORIA</t>
        </is>
      </c>
      <c r="J1326" s="70" t="n">
        <v>1424926</v>
      </c>
      <c r="L1326" s="70" t="n">
        <v>381</v>
      </c>
      <c r="M1326" s="72" t="inlineStr">
        <is>
          <t>01</t>
        </is>
      </c>
      <c r="N1326" s="72" t="inlineStr">
        <is>
          <t>NFE</t>
        </is>
      </c>
      <c r="P1326" s="70" t="n">
        <v>104</v>
      </c>
      <c r="Q1326" s="72" t="inlineStr">
        <is>
          <t>DEBORA COSTA</t>
        </is>
      </c>
      <c r="R1326" s="72" t="inlineStr">
        <is>
          <t>ESTOQUE DE MERCADORIAS</t>
        </is>
      </c>
      <c r="S1326" s="70" t="n">
        <v>1130101</v>
      </c>
      <c r="T1326" s="72" t="inlineStr">
        <is>
          <t>MERCADORIAS P/REVENDA</t>
        </is>
      </c>
      <c r="U1326" s="73" t="n">
        <v>405.5</v>
      </c>
      <c r="W1326" s="73" t="n">
        <v>0</v>
      </c>
      <c r="X1326" s="72" t="inlineStr">
        <is>
          <t>NF 381 - DEBORA</t>
        </is>
      </c>
      <c r="Z1326" s="59">
        <f>IF($T1326="","",IFERROR(INDEX('Resumo Grupos'!$AC$3:$AC$200,MATCH($T1326,'Resumo Grupos'!$AB$3:$AB$200,0)),"n/d"))</f>
        <v/>
      </c>
      <c r="AA1326" s="59">
        <f>IF($T1326="","",IF(COUNTIF('Resumo Grupos'!$AE$3:$AE$40,$T1326)&gt;0,"NAO","SIM"))</f>
        <v/>
      </c>
    </row>
    <row r="1327" ht="36.75" customHeight="1" s="60">
      <c r="A1327" s="70" t="n">
        <v>1</v>
      </c>
      <c r="B1327" s="71" t="n">
        <v>46223</v>
      </c>
      <c r="C1327" s="71" t="n">
        <v>46223</v>
      </c>
      <c r="D1327" s="70" t="n">
        <v>1936</v>
      </c>
      <c r="E1327" s="72" t="inlineStr">
        <is>
          <t>RV TECNOLOGIA E SISTEMAS S.A</t>
        </is>
      </c>
      <c r="F1327" s="70" t="n">
        <v>24</v>
      </c>
      <c r="G1327" s="72" t="inlineStr">
        <is>
          <t>Compra a Prazo - Boletos</t>
        </is>
      </c>
      <c r="H1327" s="70" t="n">
        <v>1110202</v>
      </c>
      <c r="I1327" s="72" t="inlineStr">
        <is>
          <t>BANCO ITAU Lj 01</t>
        </is>
      </c>
      <c r="J1327" s="70" t="n">
        <v>1436285</v>
      </c>
      <c r="L1327" s="70" t="n">
        <v>591109</v>
      </c>
      <c r="M1327" s="72" t="inlineStr">
        <is>
          <t>01</t>
        </is>
      </c>
      <c r="N1327" s="72" t="inlineStr">
        <is>
          <t>AVU</t>
        </is>
      </c>
      <c r="P1327" s="70" t="n">
        <v>102</v>
      </c>
      <c r="Q1327" s="72" t="inlineStr">
        <is>
          <t>ANDREZA ANDRADE</t>
        </is>
      </c>
      <c r="R1327" s="72" t="inlineStr">
        <is>
          <t>ESTOQUE DE MERCADORIAS</t>
        </is>
      </c>
      <c r="S1327" s="70" t="n">
        <v>1130101</v>
      </c>
      <c r="T1327" s="72" t="inlineStr">
        <is>
          <t>MERCADORIAS P/REVENDA</t>
        </is>
      </c>
      <c r="U1327" s="73" t="n">
        <v>105.45</v>
      </c>
      <c r="W1327" s="73" t="n">
        <v>0</v>
      </c>
      <c r="X1327" s="72" t="inlineStr">
        <is>
          <t>RV RECARGA-ANDREZA</t>
        </is>
      </c>
      <c r="Z1327" s="59">
        <f>IF($T1327="","",IFERROR(INDEX('Resumo Grupos'!$AC$3:$AC$200,MATCH($T1327,'Resumo Grupos'!$AB$3:$AB$200,0)),"n/d"))</f>
        <v/>
      </c>
      <c r="AA1327" s="59">
        <f>IF($T1327="","",IF(COUNTIF('Resumo Grupos'!$AE$3:$AE$40,$T1327)&gt;0,"NAO","SIM"))</f>
        <v/>
      </c>
    </row>
    <row r="1328" ht="27.75" customHeight="1" s="60">
      <c r="A1328" s="70" t="n">
        <v>1</v>
      </c>
      <c r="B1328" s="71" t="n">
        <v>46223</v>
      </c>
      <c r="C1328" s="71" t="n">
        <v>46223</v>
      </c>
      <c r="D1328" s="70" t="n">
        <v>1000001</v>
      </c>
      <c r="E1328" s="72" t="inlineStr">
        <is>
          <t>CISS CONSULTORIA EM INFORMATICA, SERVICOS E SOFTWARE S/A</t>
        </is>
      </c>
      <c r="F1328" s="70" t="n">
        <v>24</v>
      </c>
      <c r="G1328" s="72" t="inlineStr">
        <is>
          <t>Compra a Prazo - Boletos</t>
        </is>
      </c>
      <c r="H1328" s="70" t="n">
        <v>1110202</v>
      </c>
      <c r="I1328" s="72" t="inlineStr">
        <is>
          <t>BANCO ITAU Lj 01</t>
        </is>
      </c>
      <c r="J1328" s="70" t="n">
        <v>1436328</v>
      </c>
      <c r="L1328" s="70" t="n">
        <v>591112</v>
      </c>
      <c r="M1328" s="72" t="inlineStr">
        <is>
          <t>01</t>
        </is>
      </c>
      <c r="N1328" s="72" t="inlineStr">
        <is>
          <t>AVU</t>
        </is>
      </c>
      <c r="P1328" s="70" t="n">
        <v>102</v>
      </c>
      <c r="Q1328" s="72" t="inlineStr">
        <is>
          <t>ANDREZA ANDRADE</t>
        </is>
      </c>
      <c r="R1328" s="72" t="inlineStr">
        <is>
          <t>DESPESAS NAO OPERACIONAIS</t>
        </is>
      </c>
      <c r="S1328" s="70" t="n">
        <v>4220199</v>
      </c>
      <c r="T1328" s="72" t="inlineStr">
        <is>
          <t>PAGAMENTOS OUTROS NAO OPERACIONAIS</t>
        </is>
      </c>
      <c r="U1328" s="73" t="n">
        <v>142.9</v>
      </c>
      <c r="W1328" s="73" t="n">
        <v>0</v>
      </c>
      <c r="X1328" s="72" t="inlineStr">
        <is>
          <t>MENSALIDADE CISS SISTEMA LOJAS -ANDREZA</t>
        </is>
      </c>
      <c r="Z1328" s="59">
        <f>IF($T1328="","",IFERROR(INDEX('Resumo Grupos'!$AC$3:$AC$200,MATCH($T1328,'Resumo Grupos'!$AB$3:$AB$200,0)),"n/d"))</f>
        <v/>
      </c>
      <c r="AA1328" s="59">
        <f>IF($T1328="","",IF(COUNTIF('Resumo Grupos'!$AE$3:$AE$40,$T1328)&gt;0,"NAO","SIM"))</f>
        <v/>
      </c>
    </row>
    <row r="1329" ht="36.75" customHeight="1" s="60">
      <c r="A1329" s="70" t="n">
        <v>1</v>
      </c>
      <c r="B1329" s="71" t="n">
        <v>46223</v>
      </c>
      <c r="C1329" s="71" t="n">
        <v>46223</v>
      </c>
      <c r="D1329" s="70" t="n">
        <v>1000001</v>
      </c>
      <c r="E1329" s="72" t="inlineStr">
        <is>
          <t>CISS CONSULTORIA EM INFORMATICA, SERVICOS E SOFTWARE S/A</t>
        </is>
      </c>
      <c r="F1329" s="70" t="n">
        <v>24</v>
      </c>
      <c r="G1329" s="72" t="inlineStr">
        <is>
          <t>Compra a Prazo - Boletos</t>
        </is>
      </c>
      <c r="H1329" s="70" t="n">
        <v>1110202</v>
      </c>
      <c r="I1329" s="72" t="inlineStr">
        <is>
          <t>BANCO ITAU Lj 01</t>
        </is>
      </c>
      <c r="J1329" s="70" t="n">
        <v>1436359</v>
      </c>
      <c r="L1329" s="70" t="n">
        <v>591135</v>
      </c>
      <c r="M1329" s="72" t="inlineStr">
        <is>
          <t>01</t>
        </is>
      </c>
      <c r="N1329" s="72" t="inlineStr">
        <is>
          <t>AVU</t>
        </is>
      </c>
      <c r="P1329" s="70" t="n">
        <v>102</v>
      </c>
      <c r="Q1329" s="72" t="inlineStr">
        <is>
          <t>ANDREZA ANDRADE</t>
        </is>
      </c>
      <c r="R1329" s="72" t="inlineStr">
        <is>
          <t>DESPESAS NAO OPERACIONAIS</t>
        </is>
      </c>
      <c r="S1329" s="70" t="n">
        <v>4220199</v>
      </c>
      <c r="T1329" s="72" t="inlineStr">
        <is>
          <t>PAGAMENTOS OUTROS NAO OPERACIONAIS</t>
        </is>
      </c>
      <c r="U1329" s="73" t="n">
        <v>589.29</v>
      </c>
      <c r="W1329" s="73" t="n">
        <v>0</v>
      </c>
      <c r="X1329" s="72" t="inlineStr">
        <is>
          <t>MENSALIDADE SISTEMA CISS LOJAS -ANDREZA</t>
        </is>
      </c>
      <c r="Z1329" s="59">
        <f>IF($T1329="","",IFERROR(INDEX('Resumo Grupos'!$AC$3:$AC$200,MATCH($T1329,'Resumo Grupos'!$AB$3:$AB$200,0)),"n/d"))</f>
        <v/>
      </c>
      <c r="AA1329" s="59">
        <f>IF($T1329="","",IF(COUNTIF('Resumo Grupos'!$AE$3:$AE$40,$T1329)&gt;0,"NAO","SIM"))</f>
        <v/>
      </c>
    </row>
    <row r="1330" ht="36.75" customHeight="1" s="60">
      <c r="A1330" s="70" t="n">
        <v>1</v>
      </c>
      <c r="B1330" s="71" t="n">
        <v>46223</v>
      </c>
      <c r="C1330" s="71" t="n">
        <v>46223</v>
      </c>
      <c r="D1330" s="70" t="n">
        <v>1000001</v>
      </c>
      <c r="E1330" s="72" t="inlineStr">
        <is>
          <t>CISS CONSULTORIA EM INFORMATICA, SERVICOS E SOFTWARE S/A</t>
        </is>
      </c>
      <c r="F1330" s="70" t="n">
        <v>24</v>
      </c>
      <c r="G1330" s="72" t="inlineStr">
        <is>
          <t>Compra a Prazo - Boletos</t>
        </is>
      </c>
      <c r="H1330" s="70" t="n">
        <v>1110202</v>
      </c>
      <c r="I1330" s="72" t="inlineStr">
        <is>
          <t>BANCO ITAU Lj 01</t>
        </is>
      </c>
      <c r="J1330" s="70" t="n">
        <v>1436378</v>
      </c>
      <c r="L1330" s="70" t="n">
        <v>591151</v>
      </c>
      <c r="M1330" s="72" t="inlineStr">
        <is>
          <t>01</t>
        </is>
      </c>
      <c r="N1330" s="72" t="inlineStr">
        <is>
          <t>AVU</t>
        </is>
      </c>
      <c r="P1330" s="70" t="n">
        <v>102</v>
      </c>
      <c r="Q1330" s="72" t="inlineStr">
        <is>
          <t>ANDREZA ANDRADE</t>
        </is>
      </c>
      <c r="R1330" s="72" t="inlineStr">
        <is>
          <t>DESPESAS NAO OPERACIONAIS</t>
        </is>
      </c>
      <c r="S1330" s="70" t="n">
        <v>4220199</v>
      </c>
      <c r="T1330" s="72" t="inlineStr">
        <is>
          <t>PAGAMENTOS OUTROS NAO OPERACIONAIS</t>
        </is>
      </c>
      <c r="U1330" s="73" t="n">
        <v>1342.68</v>
      </c>
      <c r="W1330" s="73" t="n">
        <v>0</v>
      </c>
      <c r="X1330" s="72" t="inlineStr">
        <is>
          <t>MENSALIDADE SISTEMA CISS LOJAS -ANDREZA</t>
        </is>
      </c>
      <c r="Z1330" s="59">
        <f>IF($T1330="","",IFERROR(INDEX('Resumo Grupos'!$AC$3:$AC$200,MATCH($T1330,'Resumo Grupos'!$AB$3:$AB$200,0)),"n/d"))</f>
        <v/>
      </c>
      <c r="AA1330" s="59">
        <f>IF($T1330="","",IF(COUNTIF('Resumo Grupos'!$AE$3:$AE$40,$T1330)&gt;0,"NAO","SIM"))</f>
        <v/>
      </c>
    </row>
    <row r="1331" ht="27.75" customHeight="1" s="60">
      <c r="A1331" s="70" t="n">
        <v>1</v>
      </c>
      <c r="B1331" s="71" t="n">
        <v>46223</v>
      </c>
      <c r="C1331" s="71" t="n">
        <v>46223</v>
      </c>
      <c r="D1331" s="70" t="n">
        <v>1807</v>
      </c>
      <c r="E1331" s="72" t="inlineStr">
        <is>
          <t>SEFAZ DAR</t>
        </is>
      </c>
      <c r="F1331" s="70" t="n">
        <v>24</v>
      </c>
      <c r="G1331" s="72" t="inlineStr">
        <is>
          <t>Compra a Prazo - Boletos</t>
        </is>
      </c>
      <c r="H1331" s="70" t="n">
        <v>1110202</v>
      </c>
      <c r="I1331" s="72" t="inlineStr">
        <is>
          <t>BANCO ITAU Lj 01</t>
        </is>
      </c>
      <c r="J1331" s="70" t="n">
        <v>1436427</v>
      </c>
      <c r="L1331" s="70" t="n">
        <v>591174</v>
      </c>
      <c r="M1331" s="72" t="inlineStr">
        <is>
          <t>01</t>
        </is>
      </c>
      <c r="N1331" s="72" t="inlineStr">
        <is>
          <t>AVU</t>
        </is>
      </c>
      <c r="P1331" s="70" t="n">
        <v>102</v>
      </c>
      <c r="Q1331" s="72" t="inlineStr">
        <is>
          <t>ANDREZA ANDRADE</t>
        </is>
      </c>
      <c r="R1331" s="72" t="inlineStr">
        <is>
          <t>IMPOSTOS E CONTRIBUICOES A PAGAR</t>
        </is>
      </c>
      <c r="S1331" s="70" t="n">
        <v>2110701</v>
      </c>
      <c r="T1331" s="72" t="inlineStr">
        <is>
          <t>ICMS A PAGAR</t>
        </is>
      </c>
      <c r="U1331" s="73" t="n">
        <v>5092.77</v>
      </c>
      <c r="W1331" s="73" t="n">
        <v>0</v>
      </c>
      <c r="X1331" s="72" t="inlineStr">
        <is>
          <t>ICMS MO1 06/26-ANDREZA</t>
        </is>
      </c>
      <c r="Z1331" s="59">
        <f>IF($T1331="","",IFERROR(INDEX('Resumo Grupos'!$AC$3:$AC$200,MATCH($T1331,'Resumo Grupos'!$AB$3:$AB$200,0)),"n/d"))</f>
        <v/>
      </c>
      <c r="AA1331" s="59">
        <f>IF($T1331="","",IF(COUNTIF('Resumo Grupos'!$AE$3:$AE$40,$T1331)&gt;0,"NAO","SIM"))</f>
        <v/>
      </c>
    </row>
    <row r="1332" ht="27.75" customHeight="1" s="60">
      <c r="A1332" s="70" t="n">
        <v>1</v>
      </c>
      <c r="B1332" s="71" t="n">
        <v>46223</v>
      </c>
      <c r="C1332" s="71" t="n">
        <v>46223</v>
      </c>
      <c r="D1332" s="70" t="n">
        <v>1000017</v>
      </c>
      <c r="E1332" s="72" t="inlineStr">
        <is>
          <t>RECEITA FEDERAL DO BRASIL</t>
        </is>
      </c>
      <c r="F1332" s="70" t="n">
        <v>24</v>
      </c>
      <c r="G1332" s="72" t="inlineStr">
        <is>
          <t>Compra a Prazo - Boletos</t>
        </is>
      </c>
      <c r="H1332" s="70" t="n">
        <v>1110202</v>
      </c>
      <c r="I1332" s="72" t="inlineStr">
        <is>
          <t>BANCO ITAU Lj 01</t>
        </is>
      </c>
      <c r="J1332" s="70" t="n">
        <v>1436467</v>
      </c>
      <c r="L1332" s="70" t="n">
        <v>591192</v>
      </c>
      <c r="M1332" s="72" t="inlineStr">
        <is>
          <t>01</t>
        </is>
      </c>
      <c r="N1332" s="72" t="inlineStr">
        <is>
          <t>AVU</t>
        </is>
      </c>
      <c r="P1332" s="70" t="n">
        <v>102</v>
      </c>
      <c r="Q1332" s="72" t="inlineStr">
        <is>
          <t>ANDREZA ANDRADE</t>
        </is>
      </c>
      <c r="R1332" s="72" t="inlineStr">
        <is>
          <t>IMPOSTOS E CONTRIBUICOES A PAGAR</t>
        </is>
      </c>
      <c r="S1332" s="70" t="n">
        <v>2110711</v>
      </c>
      <c r="T1332" s="72" t="inlineStr">
        <is>
          <t>IRRF A RECOLHER</t>
        </is>
      </c>
      <c r="U1332" s="73" t="n">
        <v>155.96</v>
      </c>
      <c r="W1332" s="73" t="n">
        <v>0</v>
      </c>
      <c r="X1332" s="72" t="inlineStr">
        <is>
          <t>IRRF-SERVICO PRSTADO  CISS-ANDREZA</t>
        </is>
      </c>
      <c r="Z1332" s="59">
        <f>IF($T1332="","",IFERROR(INDEX('Resumo Grupos'!$AC$3:$AC$200,MATCH($T1332,'Resumo Grupos'!$AB$3:$AB$200,0)),"n/d"))</f>
        <v/>
      </c>
      <c r="AA1332" s="59">
        <f>IF($T1332="","",IF(COUNTIF('Resumo Grupos'!$AE$3:$AE$40,$T1332)&gt;0,"NAO","SIM"))</f>
        <v/>
      </c>
    </row>
    <row r="1333" ht="36.75" customHeight="1" s="60">
      <c r="A1333" s="70" t="n">
        <v>1</v>
      </c>
      <c r="B1333" s="71" t="n">
        <v>46223</v>
      </c>
      <c r="C1333" s="71" t="n">
        <v>46223</v>
      </c>
      <c r="D1333" s="70" t="n">
        <v>10098</v>
      </c>
      <c r="E1333" s="72" t="inlineStr">
        <is>
          <t>A M A DE LIMA INDUSTRIA E COMERCIO DE PRODUTOS ALIMENTICIOS LTDA</t>
        </is>
      </c>
      <c r="F1333" s="70" t="n">
        <v>13</v>
      </c>
      <c r="G1333" s="72" t="inlineStr">
        <is>
          <t>Compra a Vista</t>
        </is>
      </c>
      <c r="H1333" s="70" t="n">
        <v>2110101</v>
      </c>
      <c r="I1333" s="72" t="inlineStr">
        <is>
          <t>FORNECEDORES DE MERCADORIA</t>
        </is>
      </c>
      <c r="J1333" s="70" t="n">
        <v>1463352</v>
      </c>
      <c r="L1333" s="70" t="n">
        <v>1140</v>
      </c>
      <c r="M1333" s="72" t="inlineStr">
        <is>
          <t>01</t>
        </is>
      </c>
      <c r="N1333" s="72" t="inlineStr">
        <is>
          <t>NFE</t>
        </is>
      </c>
      <c r="P1333" s="70" t="n">
        <v>104</v>
      </c>
      <c r="Q1333" s="72" t="inlineStr">
        <is>
          <t>DEBORA COSTA</t>
        </is>
      </c>
      <c r="R1333" s="72" t="inlineStr">
        <is>
          <t>ESTOQUE DE MERCADORIAS</t>
        </is>
      </c>
      <c r="S1333" s="70" t="n">
        <v>1130101</v>
      </c>
      <c r="T1333" s="72" t="inlineStr">
        <is>
          <t>MERCADORIAS P/REVENDA</t>
        </is>
      </c>
      <c r="U1333" s="73" t="n">
        <v>302.5</v>
      </c>
      <c r="W1333" s="73" t="n">
        <v>302.5</v>
      </c>
      <c r="X1333" s="72" t="inlineStr">
        <is>
          <t>NF 1140 - DEBORA</t>
        </is>
      </c>
      <c r="Z1333" s="59">
        <f>IF($T1333="","",IFERROR(INDEX('Resumo Grupos'!$AC$3:$AC$200,MATCH($T1333,'Resumo Grupos'!$AB$3:$AB$200,0)),"n/d"))</f>
        <v/>
      </c>
      <c r="AA1333" s="59">
        <f>IF($T1333="","",IF(COUNTIF('Resumo Grupos'!$AE$3:$AE$40,$T1333)&gt;0,"NAO","SIM"))</f>
        <v/>
      </c>
    </row>
    <row r="1334" ht="36.75" customHeight="1" s="60">
      <c r="A1334" s="70" t="n">
        <v>1</v>
      </c>
      <c r="B1334" s="71" t="n">
        <v>46184</v>
      </c>
      <c r="C1334" s="71" t="n">
        <v>46224</v>
      </c>
      <c r="D1334" s="70" t="n">
        <v>1390</v>
      </c>
      <c r="E1334" s="72" t="inlineStr">
        <is>
          <t>SMV COMERCIO DE PRODUTOS ALIMENTICIOS LT</t>
        </is>
      </c>
      <c r="F1334" s="70" t="n">
        <v>24</v>
      </c>
      <c r="G1334" s="72" t="inlineStr">
        <is>
          <t>Compra a Prazo - Boletos</t>
        </is>
      </c>
      <c r="H1334" s="70" t="n">
        <v>2110101</v>
      </c>
      <c r="I1334" s="72" t="inlineStr">
        <is>
          <t>FORNECEDORES DE MERCADORIA</t>
        </is>
      </c>
      <c r="J1334" s="70" t="n">
        <v>1235862</v>
      </c>
      <c r="L1334" s="70" t="n">
        <v>6597</v>
      </c>
      <c r="M1334" s="72" t="inlineStr">
        <is>
          <t>02</t>
        </is>
      </c>
      <c r="N1334" s="72" t="inlineStr">
        <is>
          <t>NFE</t>
        </is>
      </c>
      <c r="P1334" s="70" t="n">
        <v>103</v>
      </c>
      <c r="Q1334" s="72" t="inlineStr">
        <is>
          <t>MILKA FRANCIS</t>
        </is>
      </c>
      <c r="R1334" s="72" t="inlineStr">
        <is>
          <t>ESTOQUE DE MERCADORIAS</t>
        </is>
      </c>
      <c r="S1334" s="70" t="n">
        <v>1130101</v>
      </c>
      <c r="T1334" s="72" t="inlineStr">
        <is>
          <t>MERCADORIAS P/REVENDA</t>
        </is>
      </c>
      <c r="U1334" s="73" t="n">
        <v>525.0599999999999</v>
      </c>
      <c r="W1334" s="73" t="n">
        <v>0</v>
      </c>
      <c r="X1334" s="72" t="inlineStr">
        <is>
          <t>6860-2/2  NF6597 - MILKA</t>
        </is>
      </c>
      <c r="Z1334" s="59">
        <f>IF($T1334="","",IFERROR(INDEX('Resumo Grupos'!$AC$3:$AC$200,MATCH($T1334,'Resumo Grupos'!$AB$3:$AB$200,0)),"n/d"))</f>
        <v/>
      </c>
      <c r="AA1334" s="59">
        <f>IF($T1334="","",IF(COUNTIF('Resumo Grupos'!$AE$3:$AE$40,$T1334)&gt;0,"NAO","SIM"))</f>
        <v/>
      </c>
    </row>
    <row r="1335" ht="36.75" customHeight="1" s="60">
      <c r="A1335" s="70" t="n">
        <v>1</v>
      </c>
      <c r="B1335" s="71" t="n">
        <v>46197</v>
      </c>
      <c r="C1335" s="71" t="n">
        <v>46224</v>
      </c>
      <c r="D1335" s="70" t="n">
        <v>1611</v>
      </c>
      <c r="E1335" s="72" t="inlineStr">
        <is>
          <t>MARTINS COM SERV DISTR SA</t>
        </is>
      </c>
      <c r="F1335" s="70" t="n">
        <v>24</v>
      </c>
      <c r="G1335" s="72" t="inlineStr">
        <is>
          <t>Compra a Prazo - Boletos</t>
        </is>
      </c>
      <c r="H1335" s="70" t="n">
        <v>2110101</v>
      </c>
      <c r="I1335" s="72" t="inlineStr">
        <is>
          <t>FORNECEDORES DE MERCADORIA</t>
        </is>
      </c>
      <c r="J1335" s="70" t="n">
        <v>1300492</v>
      </c>
      <c r="L1335" s="70" t="n">
        <v>538390</v>
      </c>
      <c r="M1335" s="72" t="inlineStr">
        <is>
          <t>01</t>
        </is>
      </c>
      <c r="N1335" s="72" t="inlineStr">
        <is>
          <t>AVU</t>
        </is>
      </c>
      <c r="P1335" s="70" t="n">
        <v>103</v>
      </c>
      <c r="Q1335" s="72" t="inlineStr">
        <is>
          <t>MILKA FRANCIS</t>
        </is>
      </c>
      <c r="R1335" s="72" t="inlineStr">
        <is>
          <t>ESTOQUE DE MERCADORIAS</t>
        </is>
      </c>
      <c r="S1335" s="70" t="n">
        <v>1130101</v>
      </c>
      <c r="T1335" s="72" t="inlineStr">
        <is>
          <t>MERCADORIAS P/REVENDA</t>
        </is>
      </c>
      <c r="U1335" s="73" t="n">
        <v>891.38</v>
      </c>
      <c r="W1335" s="73" t="n">
        <v>0</v>
      </c>
      <c r="X1335" s="72" t="inlineStr">
        <is>
          <t>NF 1775151 / NF 1775152 - MILKA</t>
        </is>
      </c>
      <c r="Z1335" s="59">
        <f>IF($T1335="","",IFERROR(INDEX('Resumo Grupos'!$AC$3:$AC$200,MATCH($T1335,'Resumo Grupos'!$AB$3:$AB$200,0)),"n/d"))</f>
        <v/>
      </c>
      <c r="AA1335" s="59">
        <f>IF($T1335="","",IF(COUNTIF('Resumo Grupos'!$AE$3:$AE$40,$T1335)&gt;0,"NAO","SIM"))</f>
        <v/>
      </c>
    </row>
    <row r="1336" ht="54.75" customHeight="1" s="60">
      <c r="A1336" s="70" t="n">
        <v>1</v>
      </c>
      <c r="B1336" s="71" t="n">
        <v>46191</v>
      </c>
      <c r="C1336" s="71" t="n">
        <v>46224</v>
      </c>
      <c r="D1336" s="70" t="n">
        <v>514</v>
      </c>
      <c r="E1336" s="72" t="inlineStr">
        <is>
          <t>SANTANDER SA</t>
        </is>
      </c>
      <c r="F1336" s="70" t="n">
        <v>34</v>
      </c>
      <c r="G1336" s="72" t="inlineStr">
        <is>
          <t>Transferencia Pix</t>
        </is>
      </c>
      <c r="H1336" s="70" t="n">
        <v>2110405</v>
      </c>
      <c r="I1336" s="72" t="inlineStr">
        <is>
          <t>CONTAS A PAGAR</t>
        </is>
      </c>
      <c r="J1336" s="70" t="n">
        <v>1309516</v>
      </c>
      <c r="L1336" s="70" t="n">
        <v>541968</v>
      </c>
      <c r="M1336" s="72" t="inlineStr">
        <is>
          <t>02</t>
        </is>
      </c>
      <c r="N1336" s="72" t="inlineStr">
        <is>
          <t>AVU</t>
        </is>
      </c>
      <c r="P1336" s="70" t="n">
        <v>101</v>
      </c>
      <c r="Q1336" s="72" t="inlineStr">
        <is>
          <t>KEILA LIMA</t>
        </is>
      </c>
      <c r="R1336" s="72" t="inlineStr">
        <is>
          <t>EMPRESTIMOS BANCARIOS</t>
        </is>
      </c>
      <c r="S1336" s="70" t="n">
        <v>2110901</v>
      </c>
      <c r="T1336" s="72" t="inlineStr">
        <is>
          <t>EMPRESTIMOS BANCARIOS A PAGAR</t>
        </is>
      </c>
      <c r="U1336" s="73" t="n">
        <v>3370.37</v>
      </c>
      <c r="W1336" s="73" t="n">
        <v>0</v>
      </c>
      <c r="X1336" s="72" t="inlineStr">
        <is>
          <t>EMPRESTIMO AYMORE ENERGIA SOLAR SANT 1 VELHO - KE</t>
        </is>
      </c>
      <c r="Z1336" s="59">
        <f>IF($T1336="","",IFERROR(INDEX('Resumo Grupos'!$AC$3:$AC$200,MATCH($T1336,'Resumo Grupos'!$AB$3:$AB$200,0)),"n/d"))</f>
        <v/>
      </c>
      <c r="AA1336" s="59">
        <f>IF($T1336="","",IF(COUNTIF('Resumo Grupos'!$AE$3:$AE$40,$T1336)&gt;0,"NAO","SIM"))</f>
        <v/>
      </c>
    </row>
    <row r="1337" ht="54.75" customHeight="1" s="60">
      <c r="A1337" s="70" t="n">
        <v>1</v>
      </c>
      <c r="B1337" s="71" t="n">
        <v>46202</v>
      </c>
      <c r="C1337" s="71" t="n">
        <v>46224</v>
      </c>
      <c r="D1337" s="70" t="n">
        <v>1668</v>
      </c>
      <c r="E1337" s="72" t="inlineStr">
        <is>
          <t>NATUREZA COMERCIO DE DESCARTAVEIS LTDA</t>
        </is>
      </c>
      <c r="F1337" s="70" t="n">
        <v>24</v>
      </c>
      <c r="G1337" s="72" t="inlineStr">
        <is>
          <t>Compra a Prazo - Boletos</t>
        </is>
      </c>
      <c r="H1337" s="70" t="n">
        <v>2110102</v>
      </c>
      <c r="I1337" s="72" t="inlineStr">
        <is>
          <t>OUTROS FORNECEDORES</t>
        </is>
      </c>
      <c r="J1337" s="70" t="n">
        <v>1322877</v>
      </c>
      <c r="L1337" s="70" t="n">
        <v>731751</v>
      </c>
      <c r="M1337" s="72" t="inlineStr">
        <is>
          <t>01</t>
        </is>
      </c>
      <c r="N1337" s="72" t="inlineStr">
        <is>
          <t>NFE</t>
        </is>
      </c>
      <c r="P1337" s="70" t="n">
        <v>103</v>
      </c>
      <c r="Q1337" s="72" t="inlineStr">
        <is>
          <t>MILKA FRANCIS</t>
        </is>
      </c>
      <c r="R1337" s="72" t="inlineStr">
        <is>
          <t>DESPESAS OPERACIONAIS</t>
        </is>
      </c>
      <c r="S1337" s="70" t="n">
        <v>4210204</v>
      </c>
      <c r="T1337" s="72" t="inlineStr">
        <is>
          <t>MATERIAL DE CONSUMO</t>
        </is>
      </c>
      <c r="U1337" s="73" t="n">
        <v>1958.51</v>
      </c>
      <c r="W1337" s="73" t="n">
        <v>0</v>
      </c>
      <c r="X1337" s="72" t="inlineStr">
        <is>
          <t>NF 731751 DESPESA - MILKA</t>
        </is>
      </c>
      <c r="Z1337" s="59">
        <f>IF($T1337="","",IFERROR(INDEX('Resumo Grupos'!$AC$3:$AC$200,MATCH($T1337,'Resumo Grupos'!$AB$3:$AB$200,0)),"n/d"))</f>
        <v/>
      </c>
      <c r="AA1337" s="59">
        <f>IF($T1337="","",IF(COUNTIF('Resumo Grupos'!$AE$3:$AE$40,$T1337)&gt;0,"NAO","SIM"))</f>
        <v/>
      </c>
    </row>
    <row r="1338" ht="36.75" customHeight="1" s="60">
      <c r="A1338" s="70" t="n">
        <v>1</v>
      </c>
      <c r="B1338" s="71" t="n">
        <v>46202</v>
      </c>
      <c r="C1338" s="71" t="n">
        <v>46224</v>
      </c>
      <c r="D1338" s="70" t="n">
        <v>1078</v>
      </c>
      <c r="E1338" s="72" t="inlineStr">
        <is>
          <t>NATUREZA COMERCIO DE DESCARTAVEIS LTDA</t>
        </is>
      </c>
      <c r="F1338" s="70" t="n">
        <v>24</v>
      </c>
      <c r="G1338" s="72" t="inlineStr">
        <is>
          <t>Compra a Prazo - Boletos</t>
        </is>
      </c>
      <c r="H1338" s="70" t="n">
        <v>2110101</v>
      </c>
      <c r="I1338" s="72" t="inlineStr">
        <is>
          <t>FORNECEDORES DE MERCADORIA</t>
        </is>
      </c>
      <c r="J1338" s="70" t="n">
        <v>1322976</v>
      </c>
      <c r="L1338" s="70" t="n">
        <v>28355</v>
      </c>
      <c r="M1338" s="72" t="inlineStr">
        <is>
          <t>01</t>
        </is>
      </c>
      <c r="N1338" s="72" t="inlineStr">
        <is>
          <t>NFE</t>
        </is>
      </c>
      <c r="P1338" s="70" t="n">
        <v>103</v>
      </c>
      <c r="Q1338" s="72" t="inlineStr">
        <is>
          <t>MILKA FRANCIS</t>
        </is>
      </c>
      <c r="R1338" s="72" t="inlineStr">
        <is>
          <t>ESTOQUE DE MERCADORIAS</t>
        </is>
      </c>
      <c r="S1338" s="70" t="n">
        <v>1130101</v>
      </c>
      <c r="T1338" s="72" t="inlineStr">
        <is>
          <t>MERCADORIAS P/REVENDA</t>
        </is>
      </c>
      <c r="U1338" s="73" t="n">
        <v>346.8</v>
      </c>
      <c r="W1338" s="73" t="n">
        <v>0</v>
      </c>
      <c r="X1338" s="72" t="inlineStr">
        <is>
          <t>NF 28355 - MILKA</t>
        </is>
      </c>
      <c r="Z1338" s="59">
        <f>IF($T1338="","",IFERROR(INDEX('Resumo Grupos'!$AC$3:$AC$200,MATCH($T1338,'Resumo Grupos'!$AB$3:$AB$200,0)),"n/d"))</f>
        <v/>
      </c>
      <c r="AA1338" s="59">
        <f>IF($T1338="","",IF(COUNTIF('Resumo Grupos'!$AE$3:$AE$40,$T1338)&gt;0,"NAO","SIM"))</f>
        <v/>
      </c>
    </row>
    <row r="1339" ht="36.75" customHeight="1" s="60">
      <c r="A1339" s="70" t="n">
        <v>1</v>
      </c>
      <c r="B1339" s="71" t="n">
        <v>46204</v>
      </c>
      <c r="C1339" s="71" t="n">
        <v>46224</v>
      </c>
      <c r="D1339" s="70" t="n">
        <v>1402</v>
      </c>
      <c r="E1339" s="72" t="inlineStr">
        <is>
          <t>TRIPLASTIK COMERCIAL</t>
        </is>
      </c>
      <c r="F1339" s="70" t="n">
        <v>24</v>
      </c>
      <c r="G1339" s="72" t="inlineStr">
        <is>
          <t>Compra a Prazo - Boletos</t>
        </is>
      </c>
      <c r="H1339" s="70" t="n">
        <v>2110102</v>
      </c>
      <c r="I1339" s="72" t="inlineStr">
        <is>
          <t>OUTROS FORNECEDORES</t>
        </is>
      </c>
      <c r="J1339" s="70" t="n">
        <v>1334301</v>
      </c>
      <c r="L1339" s="70" t="n">
        <v>3479</v>
      </c>
      <c r="M1339" s="72" t="inlineStr">
        <is>
          <t>01</t>
        </is>
      </c>
      <c r="N1339" s="72" t="inlineStr">
        <is>
          <t>NFE</t>
        </is>
      </c>
      <c r="P1339" s="70" t="n">
        <v>103</v>
      </c>
      <c r="Q1339" s="72" t="inlineStr">
        <is>
          <t>MILKA FRANCIS</t>
        </is>
      </c>
      <c r="R1339" s="72" t="inlineStr">
        <is>
          <t>DESPESAS OPERACIONAIS</t>
        </is>
      </c>
      <c r="S1339" s="70" t="n">
        <v>4210204</v>
      </c>
      <c r="T1339" s="72" t="inlineStr">
        <is>
          <t>MATERIAL DE CONSUMO</t>
        </is>
      </c>
      <c r="U1339" s="73" t="n">
        <v>870.53</v>
      </c>
      <c r="W1339" s="73" t="n">
        <v>0</v>
      </c>
      <c r="X1339" s="72" t="inlineStr">
        <is>
          <t>NF 3479 DESPESA - MILKA</t>
        </is>
      </c>
      <c r="Z1339" s="59">
        <f>IF($T1339="","",IFERROR(INDEX('Resumo Grupos'!$AC$3:$AC$200,MATCH($T1339,'Resumo Grupos'!$AB$3:$AB$200,0)),"n/d"))</f>
        <v/>
      </c>
      <c r="AA1339" s="59">
        <f>IF($T1339="","",IF(COUNTIF('Resumo Grupos'!$AE$3:$AE$40,$T1339)&gt;0,"NAO","SIM"))</f>
        <v/>
      </c>
    </row>
    <row r="1340" ht="36.75" customHeight="1" s="60">
      <c r="A1340" s="70" t="n">
        <v>1</v>
      </c>
      <c r="B1340" s="71" t="n">
        <v>46204</v>
      </c>
      <c r="C1340" s="71" t="n">
        <v>46224</v>
      </c>
      <c r="D1340" s="70" t="n">
        <v>1107</v>
      </c>
      <c r="E1340" s="72" t="inlineStr">
        <is>
          <t>OESA COMERCIO E REPRESENTACOES S/A</t>
        </is>
      </c>
      <c r="F1340" s="70" t="n">
        <v>24</v>
      </c>
      <c r="G1340" s="72" t="inlineStr">
        <is>
          <t>Compra a Prazo - Boletos</t>
        </is>
      </c>
      <c r="H1340" s="70" t="n">
        <v>2110101</v>
      </c>
      <c r="I1340" s="72" t="inlineStr">
        <is>
          <t>FORNECEDORES DE MERCADORIA</t>
        </is>
      </c>
      <c r="J1340" s="70" t="n">
        <v>1335361</v>
      </c>
      <c r="L1340" s="70" t="n">
        <v>423615</v>
      </c>
      <c r="M1340" s="72" t="inlineStr">
        <is>
          <t>02</t>
        </is>
      </c>
      <c r="N1340" s="72" t="inlineStr">
        <is>
          <t>NFE</t>
        </is>
      </c>
      <c r="P1340" s="70" t="n">
        <v>103</v>
      </c>
      <c r="Q1340" s="72" t="inlineStr">
        <is>
          <t>MILKA FRANCIS</t>
        </is>
      </c>
      <c r="R1340" s="72" t="inlineStr">
        <is>
          <t>ESTOQUE DE MERCADORIAS</t>
        </is>
      </c>
      <c r="S1340" s="70" t="n">
        <v>1130101</v>
      </c>
      <c r="T1340" s="72" t="inlineStr">
        <is>
          <t>MERCADORIAS P/REVENDA</t>
        </is>
      </c>
      <c r="U1340" s="73" t="n">
        <v>1120.6</v>
      </c>
      <c r="W1340" s="73" t="n">
        <v>0</v>
      </c>
      <c r="X1340" s="72" t="inlineStr">
        <is>
          <t>NF 423615 -2 MILKA</t>
        </is>
      </c>
      <c r="Z1340" s="59">
        <f>IF($T1340="","",IFERROR(INDEX('Resumo Grupos'!$AC$3:$AC$200,MATCH($T1340,'Resumo Grupos'!$AB$3:$AB$200,0)),"n/d"))</f>
        <v/>
      </c>
      <c r="AA1340" s="59">
        <f>IF($T1340="","",IF(COUNTIF('Resumo Grupos'!$AE$3:$AE$40,$T1340)&gt;0,"NAO","SIM"))</f>
        <v/>
      </c>
    </row>
    <row r="1341" ht="36.75" customHeight="1" s="60">
      <c r="A1341" s="70" t="n">
        <v>1</v>
      </c>
      <c r="B1341" s="71" t="n">
        <v>46205</v>
      </c>
      <c r="C1341" s="71" t="n">
        <v>46224</v>
      </c>
      <c r="D1341" s="70" t="n">
        <v>10009</v>
      </c>
      <c r="E1341" s="72" t="inlineStr">
        <is>
          <t>NESTLÉ BRASIL LTDA.</t>
        </is>
      </c>
      <c r="F1341" s="70" t="n">
        <v>24</v>
      </c>
      <c r="G1341" s="72" t="inlineStr">
        <is>
          <t>Compra a Prazo - Boletos</t>
        </is>
      </c>
      <c r="H1341" s="70" t="n">
        <v>2110101</v>
      </c>
      <c r="I1341" s="72" t="inlineStr">
        <is>
          <t>FORNECEDORES DE MERCADORIA</t>
        </is>
      </c>
      <c r="J1341" s="70" t="n">
        <v>1340832</v>
      </c>
      <c r="L1341" s="70" t="n">
        <v>1423352</v>
      </c>
      <c r="M1341" s="72" t="inlineStr">
        <is>
          <t>01</t>
        </is>
      </c>
      <c r="N1341" s="72" t="inlineStr">
        <is>
          <t>NFE</t>
        </is>
      </c>
      <c r="P1341" s="70" t="n">
        <v>103</v>
      </c>
      <c r="Q1341" s="72" t="inlineStr">
        <is>
          <t>MILKA FRANCIS</t>
        </is>
      </c>
      <c r="R1341" s="72" t="inlineStr">
        <is>
          <t>ESTOQUE DE MERCADORIAS</t>
        </is>
      </c>
      <c r="S1341" s="70" t="n">
        <v>1130101</v>
      </c>
      <c r="T1341" s="72" t="inlineStr">
        <is>
          <t>MERCADORIAS P/REVENDA</t>
        </is>
      </c>
      <c r="U1341" s="73" t="n">
        <v>1733.25</v>
      </c>
      <c r="W1341" s="73" t="n">
        <v>0</v>
      </c>
      <c r="X1341" s="72" t="inlineStr">
        <is>
          <t>NF 1423352 - MILKA</t>
        </is>
      </c>
      <c r="Z1341" s="59">
        <f>IF($T1341="","",IFERROR(INDEX('Resumo Grupos'!$AC$3:$AC$200,MATCH($T1341,'Resumo Grupos'!$AB$3:$AB$200,0)),"n/d"))</f>
        <v/>
      </c>
      <c r="AA1341" s="59">
        <f>IF($T1341="","",IF(COUNTIF('Resumo Grupos'!$AE$3:$AE$40,$T1341)&gt;0,"NAO","SIM"))</f>
        <v/>
      </c>
    </row>
    <row r="1342" ht="54.75" customHeight="1" s="60">
      <c r="A1342" s="70" t="n">
        <v>1</v>
      </c>
      <c r="B1342" s="71" t="n">
        <v>46207</v>
      </c>
      <c r="C1342" s="71" t="n">
        <v>46224</v>
      </c>
      <c r="D1342" s="70" t="n">
        <v>1672</v>
      </c>
      <c r="E1342" s="72" t="inlineStr">
        <is>
          <t>MARE DISTRIBUIDORA DE BEBIDAS E DE PRODUTOS ALIMENTICIOS LTDA</t>
        </is>
      </c>
      <c r="F1342" s="70" t="n">
        <v>24</v>
      </c>
      <c r="G1342" s="72" t="inlineStr">
        <is>
          <t>Compra a Prazo - Boletos</t>
        </is>
      </c>
      <c r="H1342" s="70" t="n">
        <v>2110101</v>
      </c>
      <c r="I1342" s="72" t="inlineStr">
        <is>
          <t>FORNECEDORES DE MERCADORIA</t>
        </is>
      </c>
      <c r="J1342" s="70" t="n">
        <v>1348878</v>
      </c>
      <c r="L1342" s="70" t="n">
        <v>1385956</v>
      </c>
      <c r="M1342" s="72" t="inlineStr">
        <is>
          <t>01</t>
        </is>
      </c>
      <c r="N1342" s="72" t="inlineStr">
        <is>
          <t>NFE</t>
        </is>
      </c>
      <c r="P1342" s="70" t="n">
        <v>103</v>
      </c>
      <c r="Q1342" s="72" t="inlineStr">
        <is>
          <t>MILKA FRANCIS</t>
        </is>
      </c>
      <c r="R1342" s="72" t="inlineStr">
        <is>
          <t>ESTOQUE DE MERCADORIAS</t>
        </is>
      </c>
      <c r="S1342" s="70" t="n">
        <v>1130101</v>
      </c>
      <c r="T1342" s="72" t="inlineStr">
        <is>
          <t>MERCADORIAS P/REVENDA</t>
        </is>
      </c>
      <c r="U1342" s="73" t="n">
        <v>3494.6</v>
      </c>
      <c r="W1342" s="73" t="n">
        <v>0</v>
      </c>
      <c r="X1342" s="72" t="inlineStr">
        <is>
          <t>NF 1385956 MAGISTRAL - MILKA</t>
        </is>
      </c>
      <c r="Z1342" s="59">
        <f>IF($T1342="","",IFERROR(INDEX('Resumo Grupos'!$AC$3:$AC$200,MATCH($T1342,'Resumo Grupos'!$AB$3:$AB$200,0)),"n/d"))</f>
        <v/>
      </c>
      <c r="AA1342" s="59">
        <f>IF($T1342="","",IF(COUNTIF('Resumo Grupos'!$AE$3:$AE$40,$T1342)&gt;0,"NAO","SIM"))</f>
        <v/>
      </c>
    </row>
    <row r="1343" ht="36.75" customHeight="1" s="60">
      <c r="A1343" s="70" t="n">
        <v>1</v>
      </c>
      <c r="B1343" s="71" t="n">
        <v>46209</v>
      </c>
      <c r="C1343" s="71" t="n">
        <v>46224</v>
      </c>
      <c r="D1343" s="70" t="n">
        <v>1611</v>
      </c>
      <c r="E1343" s="72" t="inlineStr">
        <is>
          <t>MARTINS COM SERV DISTR SA</t>
        </is>
      </c>
      <c r="F1343" s="70" t="n">
        <v>24</v>
      </c>
      <c r="G1343" s="72" t="inlineStr">
        <is>
          <t>Compra a Prazo - Boletos</t>
        </is>
      </c>
      <c r="H1343" s="70" t="n">
        <v>2110101</v>
      </c>
      <c r="I1343" s="72" t="inlineStr">
        <is>
          <t>FORNECEDORES DE MERCADORIA</t>
        </is>
      </c>
      <c r="J1343" s="70" t="n">
        <v>1360267</v>
      </c>
      <c r="L1343" s="70" t="n">
        <v>561687</v>
      </c>
      <c r="M1343" s="72" t="inlineStr">
        <is>
          <t>01</t>
        </is>
      </c>
      <c r="N1343" s="72" t="inlineStr">
        <is>
          <t>AVU</t>
        </is>
      </c>
      <c r="P1343" s="70" t="n">
        <v>103</v>
      </c>
      <c r="Q1343" s="72" t="inlineStr">
        <is>
          <t>MILKA FRANCIS</t>
        </is>
      </c>
      <c r="R1343" s="72" t="inlineStr">
        <is>
          <t>ESTOQUE DE MERCADORIAS</t>
        </is>
      </c>
      <c r="S1343" s="70" t="n">
        <v>1130101</v>
      </c>
      <c r="T1343" s="72" t="inlineStr">
        <is>
          <t>MERCADORIAS P/REVENDA</t>
        </is>
      </c>
      <c r="U1343" s="73" t="n">
        <v>3184.13</v>
      </c>
      <c r="W1343" s="73" t="n">
        <v>0</v>
      </c>
      <c r="X1343" s="72" t="inlineStr">
        <is>
          <t>18259029 /NF1778370 NF1778371 - 01 MILKA</t>
        </is>
      </c>
      <c r="Z1343" s="59">
        <f>IF($T1343="","",IFERROR(INDEX('Resumo Grupos'!$AC$3:$AC$200,MATCH($T1343,'Resumo Grupos'!$AB$3:$AB$200,0)),"n/d"))</f>
        <v/>
      </c>
      <c r="AA1343" s="59">
        <f>IF($T1343="","",IF(COUNTIF('Resumo Grupos'!$AE$3:$AE$40,$T1343)&gt;0,"NAO","SIM"))</f>
        <v/>
      </c>
    </row>
    <row r="1344" ht="27.75" customHeight="1" s="60">
      <c r="A1344" s="70" t="n">
        <v>1</v>
      </c>
      <c r="B1344" s="71" t="n">
        <v>46210</v>
      </c>
      <c r="C1344" s="71" t="n">
        <v>46224</v>
      </c>
      <c r="D1344" s="70" t="n">
        <v>666</v>
      </c>
      <c r="E1344" s="72" t="inlineStr">
        <is>
          <t>NSB COMERCIO ATACADISTA E VAREJISTA DE P</t>
        </is>
      </c>
      <c r="F1344" s="70" t="n">
        <v>24</v>
      </c>
      <c r="G1344" s="72" t="inlineStr">
        <is>
          <t>Compra a Prazo - Boletos</t>
        </is>
      </c>
      <c r="H1344" s="70" t="n">
        <v>2110101</v>
      </c>
      <c r="I1344" s="72" t="inlineStr">
        <is>
          <t>FORNECEDORES DE MERCADORIA</t>
        </is>
      </c>
      <c r="J1344" s="70" t="n">
        <v>1366430</v>
      </c>
      <c r="L1344" s="70" t="n">
        <v>7876</v>
      </c>
      <c r="M1344" s="72" t="inlineStr">
        <is>
          <t>02</t>
        </is>
      </c>
      <c r="N1344" s="72" t="inlineStr">
        <is>
          <t>NFE</t>
        </is>
      </c>
      <c r="P1344" s="70" t="n">
        <v>103</v>
      </c>
      <c r="Q1344" s="72" t="inlineStr">
        <is>
          <t>MILKA FRANCIS</t>
        </is>
      </c>
      <c r="R1344" s="72" t="inlineStr">
        <is>
          <t>ESTOQUE DE MERCADORIAS</t>
        </is>
      </c>
      <c r="S1344" s="70" t="n">
        <v>1130101</v>
      </c>
      <c r="T1344" s="72" t="inlineStr">
        <is>
          <t>MERCADORIAS P/REVENDA</t>
        </is>
      </c>
      <c r="U1344" s="73" t="n">
        <v>287.8</v>
      </c>
      <c r="W1344" s="73" t="n">
        <v>0</v>
      </c>
      <c r="X1344" s="72" t="inlineStr">
        <is>
          <t>192333642  NF7876 - MILKA</t>
        </is>
      </c>
      <c r="Z1344" s="59">
        <f>IF($T1344="","",IFERROR(INDEX('Resumo Grupos'!$AC$3:$AC$200,MATCH($T1344,'Resumo Grupos'!$AB$3:$AB$200,0)),"n/d"))</f>
        <v/>
      </c>
      <c r="AA1344" s="59">
        <f>IF($T1344="","",IF(COUNTIF('Resumo Grupos'!$AE$3:$AE$40,$T1344)&gt;0,"NAO","SIM"))</f>
        <v/>
      </c>
    </row>
    <row r="1345" ht="45.75" customHeight="1" s="60">
      <c r="A1345" s="70" t="n">
        <v>1</v>
      </c>
      <c r="B1345" s="71" t="n">
        <v>46211</v>
      </c>
      <c r="C1345" s="71" t="n">
        <v>46224</v>
      </c>
      <c r="D1345" s="70" t="n">
        <v>10002</v>
      </c>
      <c r="E1345" s="72" t="inlineStr">
        <is>
          <t>DA FRUTA DISTRIBUIDORA LTDA</t>
        </is>
      </c>
      <c r="F1345" s="70" t="n">
        <v>24</v>
      </c>
      <c r="G1345" s="72" t="inlineStr">
        <is>
          <t>Compra a Prazo - Boletos</t>
        </is>
      </c>
      <c r="H1345" s="70" t="n">
        <v>2110101</v>
      </c>
      <c r="I1345" s="72" t="inlineStr">
        <is>
          <t>FORNECEDORES DE MERCADORIA</t>
        </is>
      </c>
      <c r="J1345" s="70" t="n">
        <v>1369047</v>
      </c>
      <c r="L1345" s="70" t="n">
        <v>196429</v>
      </c>
      <c r="M1345" s="72" t="inlineStr">
        <is>
          <t>01</t>
        </is>
      </c>
      <c r="N1345" s="72" t="inlineStr">
        <is>
          <t>NFE</t>
        </is>
      </c>
      <c r="P1345" s="70" t="n">
        <v>103</v>
      </c>
      <c r="Q1345" s="72" t="inlineStr">
        <is>
          <t>MILKA FRANCIS</t>
        </is>
      </c>
      <c r="R1345" s="72" t="inlineStr">
        <is>
          <t>ESTOQUE DE MERCADORIAS</t>
        </is>
      </c>
      <c r="S1345" s="70" t="n">
        <v>1130101</v>
      </c>
      <c r="T1345" s="72" t="inlineStr">
        <is>
          <t>MERCADORIAS P/REVENDA</t>
        </is>
      </c>
      <c r="U1345" s="73" t="n">
        <v>799.73</v>
      </c>
      <c r="W1345" s="73" t="n">
        <v>0</v>
      </c>
      <c r="X1345" s="72" t="inlineStr">
        <is>
          <t>NF 196429 - MILKA</t>
        </is>
      </c>
      <c r="Z1345" s="59">
        <f>IF($T1345="","",IFERROR(INDEX('Resumo Grupos'!$AC$3:$AC$200,MATCH($T1345,'Resumo Grupos'!$AB$3:$AB$200,0)),"n/d"))</f>
        <v/>
      </c>
      <c r="AA1345" s="59">
        <f>IF($T1345="","",IF(COUNTIF('Resumo Grupos'!$AE$3:$AE$40,$T1345)&gt;0,"NAO","SIM"))</f>
        <v/>
      </c>
    </row>
    <row r="1346" ht="36.75" customHeight="1" s="60">
      <c r="A1346" s="70" t="n">
        <v>1</v>
      </c>
      <c r="B1346" s="71" t="n">
        <v>46217</v>
      </c>
      <c r="C1346" s="71" t="n">
        <v>46224</v>
      </c>
      <c r="D1346" s="70" t="n">
        <v>1642</v>
      </c>
      <c r="E1346" s="72" t="inlineStr">
        <is>
          <t>BROTHERS  INDUSTRIA DE ALIMENTOS LTDA</t>
        </is>
      </c>
      <c r="F1346" s="70" t="n">
        <v>24</v>
      </c>
      <c r="G1346" s="72" t="inlineStr">
        <is>
          <t>Compra a Prazo - Boletos</t>
        </is>
      </c>
      <c r="H1346" s="70" t="n">
        <v>1110202</v>
      </c>
      <c r="I1346" s="72" t="inlineStr">
        <is>
          <t>BANCO ITAU Lj 01</t>
        </is>
      </c>
      <c r="J1346" s="70" t="n">
        <v>1397305</v>
      </c>
      <c r="L1346" s="70" t="n">
        <v>1031671</v>
      </c>
      <c r="M1346" s="72" t="inlineStr">
        <is>
          <t>01</t>
        </is>
      </c>
      <c r="N1346" s="72" t="inlineStr">
        <is>
          <t>AVU</t>
        </is>
      </c>
      <c r="P1346" s="70" t="n">
        <v>103</v>
      </c>
      <c r="Q1346" s="72" t="inlineStr">
        <is>
          <t>MILKA FRANCIS</t>
        </is>
      </c>
      <c r="R1346" s="72" t="inlineStr">
        <is>
          <t>ESTOQUE DE MERCADORIAS</t>
        </is>
      </c>
      <c r="S1346" s="70" t="n">
        <v>1130101</v>
      </c>
      <c r="T1346" s="72" t="inlineStr">
        <is>
          <t>MERCADORIAS P/REVENDA</t>
        </is>
      </c>
      <c r="U1346" s="73" t="n">
        <v>869.87</v>
      </c>
      <c r="W1346" s="73" t="n">
        <v>0</v>
      </c>
      <c r="X1346" s="72" t="inlineStr">
        <is>
          <t>NF1031671 - MILKA</t>
        </is>
      </c>
      <c r="Z1346" s="59">
        <f>IF($T1346="","",IFERROR(INDEX('Resumo Grupos'!$AC$3:$AC$200,MATCH($T1346,'Resumo Grupos'!$AB$3:$AB$200,0)),"n/d"))</f>
        <v/>
      </c>
      <c r="AA1346" s="59">
        <f>IF($T1346="","",IF(COUNTIF('Resumo Grupos'!$AE$3:$AE$40,$T1346)&gt;0,"NAO","SIM"))</f>
        <v/>
      </c>
    </row>
    <row r="1347" ht="36.75" customHeight="1" s="60">
      <c r="A1347" s="70" t="n">
        <v>1</v>
      </c>
      <c r="B1347" s="71" t="n">
        <v>46224</v>
      </c>
      <c r="C1347" s="71" t="n">
        <v>46224</v>
      </c>
      <c r="D1347" s="70" t="n">
        <v>33</v>
      </c>
      <c r="E1347" s="72" t="inlineStr">
        <is>
          <t>RENATO DE O AZEVEDO E CIA LTDA - EPP</t>
        </is>
      </c>
      <c r="F1347" s="70" t="n">
        <v>34</v>
      </c>
      <c r="G1347" s="72" t="inlineStr">
        <is>
          <t>Transferencia Pix</t>
        </is>
      </c>
      <c r="H1347" s="70" t="n">
        <v>2110101</v>
      </c>
      <c r="I1347" s="72" t="inlineStr">
        <is>
          <t>FORNECEDORES DE MERCADORIA</t>
        </is>
      </c>
      <c r="J1347" s="70" t="n">
        <v>1428696</v>
      </c>
      <c r="L1347" s="70" t="n">
        <v>5328</v>
      </c>
      <c r="M1347" s="72" t="inlineStr">
        <is>
          <t>01</t>
        </is>
      </c>
      <c r="N1347" s="72" t="inlineStr">
        <is>
          <t>NFE</t>
        </is>
      </c>
      <c r="P1347" s="70" t="n">
        <v>104</v>
      </c>
      <c r="Q1347" s="72" t="inlineStr">
        <is>
          <t>DEBORA COSTA</t>
        </is>
      </c>
      <c r="R1347" s="72" t="inlineStr">
        <is>
          <t>ESTOQUE DE MERCADORIAS</t>
        </is>
      </c>
      <c r="S1347" s="70" t="n">
        <v>1130101</v>
      </c>
      <c r="T1347" s="72" t="inlineStr">
        <is>
          <t>MERCADORIAS P/REVENDA</t>
        </is>
      </c>
      <c r="U1347" s="73" t="n">
        <v>2320</v>
      </c>
      <c r="W1347" s="73" t="n">
        <v>0</v>
      </c>
      <c r="X1347" s="72" t="inlineStr">
        <is>
          <t>FEIRA SR RENATO - DEBORA</t>
        </is>
      </c>
      <c r="Z1347" s="59">
        <f>IF($T1347="","",IFERROR(INDEX('Resumo Grupos'!$AC$3:$AC$200,MATCH($T1347,'Resumo Grupos'!$AB$3:$AB$200,0)),"n/d"))</f>
        <v/>
      </c>
      <c r="AA1347" s="59">
        <f>IF($T1347="","",IF(COUNTIF('Resumo Grupos'!$AE$3:$AE$40,$T1347)&gt;0,"NAO","SIM"))</f>
        <v/>
      </c>
    </row>
    <row r="1348" ht="27.75" customHeight="1" s="60">
      <c r="A1348" s="70" t="n">
        <v>1</v>
      </c>
      <c r="B1348" s="71" t="n">
        <v>46217</v>
      </c>
      <c r="C1348" s="71" t="n">
        <v>46224</v>
      </c>
      <c r="D1348" s="70" t="n">
        <v>1798</v>
      </c>
      <c r="E1348" s="72" t="inlineStr">
        <is>
          <t>ELIAS MARTINS DA SILVA</t>
        </is>
      </c>
      <c r="F1348" s="70" t="n">
        <v>24</v>
      </c>
      <c r="G1348" s="72" t="inlineStr">
        <is>
          <t>Compra a Prazo - Boletos</t>
        </is>
      </c>
      <c r="H1348" s="70" t="n">
        <v>1110202</v>
      </c>
      <c r="I1348" s="72" t="inlineStr">
        <is>
          <t>BANCO ITAU Lj 01</t>
        </is>
      </c>
      <c r="J1348" s="70" t="n">
        <v>1398194</v>
      </c>
      <c r="L1348" s="70" t="n">
        <v>831704</v>
      </c>
      <c r="M1348" s="72" t="inlineStr">
        <is>
          <t>01</t>
        </is>
      </c>
      <c r="N1348" s="72" t="inlineStr">
        <is>
          <t>AVU</t>
        </is>
      </c>
      <c r="P1348" s="70" t="n">
        <v>103</v>
      </c>
      <c r="Q1348" s="72" t="inlineStr">
        <is>
          <t>MILKA FRANCIS</t>
        </is>
      </c>
      <c r="R1348" s="72" t="inlineStr">
        <is>
          <t>ESTOQUE DE MERCADORIAS</t>
        </is>
      </c>
      <c r="S1348" s="70" t="n">
        <v>1130101</v>
      </c>
      <c r="T1348" s="72" t="inlineStr">
        <is>
          <t>MERCADORIAS P/REVENDA</t>
        </is>
      </c>
      <c r="U1348" s="73" t="n">
        <v>1592.9</v>
      </c>
      <c r="W1348" s="73" t="n">
        <v>0</v>
      </c>
      <c r="X1348" s="72" t="inlineStr">
        <is>
          <t>NF 831704 SUINORTE - MILKA</t>
        </is>
      </c>
      <c r="Z1348" s="59">
        <f>IF($T1348="","",IFERROR(INDEX('Resumo Grupos'!$AC$3:$AC$200,MATCH($T1348,'Resumo Grupos'!$AB$3:$AB$200,0)),"n/d"))</f>
        <v/>
      </c>
      <c r="AA1348" s="59">
        <f>IF($T1348="","",IF(COUNTIF('Resumo Grupos'!$AE$3:$AE$40,$T1348)&gt;0,"NAO","SIM"))</f>
        <v/>
      </c>
    </row>
    <row r="1349" ht="27.75" customHeight="1" s="60">
      <c r="A1349" s="70" t="n">
        <v>1</v>
      </c>
      <c r="B1349" s="71" t="n">
        <v>46219</v>
      </c>
      <c r="C1349" s="71" t="n">
        <v>46224</v>
      </c>
      <c r="D1349" s="70" t="n">
        <v>1286</v>
      </c>
      <c r="E1349" s="72" t="inlineStr">
        <is>
          <t>VITAPAN COMERCIO VAREJISTA DE PRODUTOS ALIMENTICIOS LTDA</t>
        </is>
      </c>
      <c r="F1349" s="70" t="n">
        <v>24</v>
      </c>
      <c r="G1349" s="72" t="inlineStr">
        <is>
          <t>Compra a Prazo - Boletos</t>
        </is>
      </c>
      <c r="H1349" s="70" t="n">
        <v>1110202</v>
      </c>
      <c r="I1349" s="72" t="inlineStr">
        <is>
          <t>BANCO ITAU Lj 01</t>
        </is>
      </c>
      <c r="J1349" s="70" t="n">
        <v>1405535</v>
      </c>
      <c r="L1349" s="70" t="n">
        <v>10312</v>
      </c>
      <c r="M1349" s="72" t="inlineStr">
        <is>
          <t>01</t>
        </is>
      </c>
      <c r="N1349" s="72" t="inlineStr">
        <is>
          <t>AVU</t>
        </is>
      </c>
      <c r="P1349" s="70" t="n">
        <v>103</v>
      </c>
      <c r="Q1349" s="72" t="inlineStr">
        <is>
          <t>MILKA FRANCIS</t>
        </is>
      </c>
      <c r="R1349" s="72" t="inlineStr">
        <is>
          <t>ESTOQUE DE MERCADORIAS</t>
        </is>
      </c>
      <c r="S1349" s="70" t="n">
        <v>1130101</v>
      </c>
      <c r="T1349" s="72" t="inlineStr">
        <is>
          <t>MERCADORIAS P/REVENDA</t>
        </is>
      </c>
      <c r="U1349" s="73" t="n">
        <v>756</v>
      </c>
      <c r="W1349" s="73" t="n">
        <v>0</v>
      </c>
      <c r="X1349" s="72" t="inlineStr">
        <is>
          <t>NF 10312 - MILKA</t>
        </is>
      </c>
      <c r="Z1349" s="59">
        <f>IF($T1349="","",IFERROR(INDEX('Resumo Grupos'!$AC$3:$AC$200,MATCH($T1349,'Resumo Grupos'!$AB$3:$AB$200,0)),"n/d"))</f>
        <v/>
      </c>
      <c r="AA1349" s="59">
        <f>IF($T1349="","",IF(COUNTIF('Resumo Grupos'!$AE$3:$AE$40,$T1349)&gt;0,"NAO","SIM"))</f>
        <v/>
      </c>
    </row>
    <row r="1350" ht="36.75" customHeight="1" s="60">
      <c r="A1350" s="70" t="n">
        <v>1</v>
      </c>
      <c r="B1350" s="71" t="n">
        <v>46220</v>
      </c>
      <c r="C1350" s="71" t="n">
        <v>46224</v>
      </c>
      <c r="D1350" s="70" t="n">
        <v>1899</v>
      </c>
      <c r="E1350" s="72" t="inlineStr">
        <is>
          <t>PANIFICADORA E CONFEITARIA REAL MADRI LTDA</t>
        </is>
      </c>
      <c r="F1350" s="70" t="n">
        <v>24</v>
      </c>
      <c r="G1350" s="72" t="inlineStr">
        <is>
          <t>Compra a Prazo - Boletos</t>
        </is>
      </c>
      <c r="H1350" s="70" t="n">
        <v>1110202</v>
      </c>
      <c r="I1350" s="72" t="inlineStr">
        <is>
          <t>BANCO ITAU Lj 01</t>
        </is>
      </c>
      <c r="J1350" s="70" t="n">
        <v>1410422</v>
      </c>
      <c r="L1350" s="70" t="n">
        <v>718</v>
      </c>
      <c r="M1350" s="72" t="inlineStr">
        <is>
          <t>01</t>
        </is>
      </c>
      <c r="N1350" s="72" t="inlineStr">
        <is>
          <t>AVU</t>
        </is>
      </c>
      <c r="P1350" s="70" t="n">
        <v>103</v>
      </c>
      <c r="Q1350" s="72" t="inlineStr">
        <is>
          <t>MILKA FRANCIS</t>
        </is>
      </c>
      <c r="R1350" s="72" t="inlineStr">
        <is>
          <t>ESTOQUE DE MERCADORIAS</t>
        </is>
      </c>
      <c r="S1350" s="70" t="n">
        <v>1130101</v>
      </c>
      <c r="T1350" s="72" t="inlineStr">
        <is>
          <t>MERCADORIAS P/REVENDA</t>
        </is>
      </c>
      <c r="U1350" s="73" t="n">
        <v>297.13</v>
      </c>
      <c r="W1350" s="73" t="n">
        <v>0</v>
      </c>
      <c r="X1350" s="72" t="inlineStr">
        <is>
          <t>NF 718 - MILKA</t>
        </is>
      </c>
      <c r="Z1350" s="59">
        <f>IF($T1350="","",IFERROR(INDEX('Resumo Grupos'!$AC$3:$AC$200,MATCH($T1350,'Resumo Grupos'!$AB$3:$AB$200,0)),"n/d"))</f>
        <v/>
      </c>
      <c r="AA1350" s="59">
        <f>IF($T1350="","",IF(COUNTIF('Resumo Grupos'!$AE$3:$AE$40,$T1350)&gt;0,"NAO","SIM"))</f>
        <v/>
      </c>
    </row>
    <row r="1351" ht="63.75" customHeight="1" s="60">
      <c r="A1351" s="70" t="n">
        <v>1</v>
      </c>
      <c r="B1351" s="71" t="n">
        <v>46220</v>
      </c>
      <c r="C1351" s="71" t="n">
        <v>46224</v>
      </c>
      <c r="D1351" s="70" t="n">
        <v>1899</v>
      </c>
      <c r="E1351" s="72" t="inlineStr">
        <is>
          <t>PANIFICADORA E CONFEITARIA REAL MADRI LTDA</t>
        </is>
      </c>
      <c r="F1351" s="70" t="n">
        <v>24</v>
      </c>
      <c r="G1351" s="72" t="inlineStr">
        <is>
          <t>Compra a Prazo - Boletos</t>
        </is>
      </c>
      <c r="H1351" s="70" t="n">
        <v>1110202</v>
      </c>
      <c r="I1351" s="72" t="inlineStr">
        <is>
          <t>BANCO ITAU Lj 01</t>
        </is>
      </c>
      <c r="J1351" s="70" t="n">
        <v>1410464</v>
      </c>
      <c r="L1351" s="70" t="n">
        <v>720</v>
      </c>
      <c r="M1351" s="72" t="inlineStr">
        <is>
          <t>01</t>
        </is>
      </c>
      <c r="N1351" s="72" t="inlineStr">
        <is>
          <t>AVU</t>
        </is>
      </c>
      <c r="P1351" s="70" t="n">
        <v>103</v>
      </c>
      <c r="Q1351" s="72" t="inlineStr">
        <is>
          <t>MILKA FRANCIS</t>
        </is>
      </c>
      <c r="R1351" s="72" t="inlineStr">
        <is>
          <t>ESTOQUE DE MERCADORIAS</t>
        </is>
      </c>
      <c r="S1351" s="70" t="n">
        <v>1130101</v>
      </c>
      <c r="T1351" s="72" t="inlineStr">
        <is>
          <t>MERCADORIAS P/REVENDA</t>
        </is>
      </c>
      <c r="U1351" s="73" t="n">
        <v>700</v>
      </c>
      <c r="W1351" s="73" t="n">
        <v>0</v>
      </c>
      <c r="X1351" s="72" t="inlineStr">
        <is>
          <t>NF 720 - MILKA</t>
        </is>
      </c>
      <c r="Z1351" s="59">
        <f>IF($T1351="","",IFERROR(INDEX('Resumo Grupos'!$AC$3:$AC$200,MATCH($T1351,'Resumo Grupos'!$AB$3:$AB$200,0)),"n/d"))</f>
        <v/>
      </c>
      <c r="AA1351" s="59">
        <f>IF($T1351="","",IF(COUNTIF('Resumo Grupos'!$AE$3:$AE$40,$T1351)&gt;0,"NAO","SIM"))</f>
        <v/>
      </c>
    </row>
    <row r="1352" ht="63.75" customHeight="1" s="60">
      <c r="A1352" s="70" t="n">
        <v>1</v>
      </c>
      <c r="B1352" s="71" t="n">
        <v>46220</v>
      </c>
      <c r="C1352" s="71" t="n">
        <v>46224</v>
      </c>
      <c r="D1352" s="70" t="n">
        <v>10018</v>
      </c>
      <c r="E1352" s="72" t="inlineStr">
        <is>
          <t>ADRIANO FEITOSA OLIVEIRA LTDA</t>
        </is>
      </c>
      <c r="F1352" s="70" t="n">
        <v>24</v>
      </c>
      <c r="G1352" s="72" t="inlineStr">
        <is>
          <t>Compra a Prazo - Boletos</t>
        </is>
      </c>
      <c r="H1352" s="70" t="n">
        <v>1110202</v>
      </c>
      <c r="I1352" s="72" t="inlineStr">
        <is>
          <t>BANCO ITAU Lj 01</t>
        </is>
      </c>
      <c r="J1352" s="70" t="n">
        <v>1410760</v>
      </c>
      <c r="L1352" s="70" t="n">
        <v>336</v>
      </c>
      <c r="M1352" s="72" t="inlineStr">
        <is>
          <t>01</t>
        </is>
      </c>
      <c r="N1352" s="72" t="inlineStr">
        <is>
          <t>AVU</t>
        </is>
      </c>
      <c r="P1352" s="70" t="n">
        <v>103</v>
      </c>
      <c r="Q1352" s="72" t="inlineStr">
        <is>
          <t>MILKA FRANCIS</t>
        </is>
      </c>
      <c r="R1352" s="72" t="inlineStr">
        <is>
          <t>ESTOQUE DE MERCADORIAS</t>
        </is>
      </c>
      <c r="S1352" s="70" t="n">
        <v>1130101</v>
      </c>
      <c r="T1352" s="72" t="inlineStr">
        <is>
          <t>MERCADORIAS P/REVENDA</t>
        </is>
      </c>
      <c r="U1352" s="73" t="n">
        <v>1850</v>
      </c>
      <c r="W1352" s="73" t="n">
        <v>0</v>
      </c>
      <c r="X1352" s="72" t="inlineStr">
        <is>
          <t>NF 336 - MILKA</t>
        </is>
      </c>
      <c r="Z1352" s="59">
        <f>IF($T1352="","",IFERROR(INDEX('Resumo Grupos'!$AC$3:$AC$200,MATCH($T1352,'Resumo Grupos'!$AB$3:$AB$200,0)),"n/d"))</f>
        <v/>
      </c>
      <c r="AA1352" s="59">
        <f>IF($T1352="","",IF(COUNTIF('Resumo Grupos'!$AE$3:$AE$40,$T1352)&gt;0,"NAO","SIM"))</f>
        <v/>
      </c>
    </row>
    <row r="1353" ht="63.75" customHeight="1" s="60">
      <c r="A1353" s="70" t="n">
        <v>1</v>
      </c>
      <c r="B1353" s="71" t="n">
        <v>46221</v>
      </c>
      <c r="C1353" s="71" t="n">
        <v>46224</v>
      </c>
      <c r="D1353" s="70" t="n">
        <v>642</v>
      </c>
      <c r="E1353" s="72" t="inlineStr">
        <is>
          <t>ADICSO FABIAN GONZALEZ MONTILLA 70302186</t>
        </is>
      </c>
      <c r="F1353" s="70" t="n">
        <v>24</v>
      </c>
      <c r="G1353" s="72" t="inlineStr">
        <is>
          <t>Compra a Prazo - Boletos</t>
        </is>
      </c>
      <c r="H1353" s="70" t="n">
        <v>1110202</v>
      </c>
      <c r="I1353" s="72" t="inlineStr">
        <is>
          <t>BANCO ITAU Lj 01</t>
        </is>
      </c>
      <c r="J1353" s="70" t="n">
        <v>1415556</v>
      </c>
      <c r="L1353" s="70" t="n">
        <v>534</v>
      </c>
      <c r="M1353" s="72" t="inlineStr">
        <is>
          <t>01</t>
        </is>
      </c>
      <c r="N1353" s="72" t="inlineStr">
        <is>
          <t>AVU</t>
        </is>
      </c>
      <c r="P1353" s="70" t="n">
        <v>103</v>
      </c>
      <c r="Q1353" s="72" t="inlineStr">
        <is>
          <t>MILKA FRANCIS</t>
        </is>
      </c>
      <c r="R1353" s="72" t="inlineStr">
        <is>
          <t>ESTOQUE DE MERCADORIAS</t>
        </is>
      </c>
      <c r="S1353" s="70" t="n">
        <v>1130101</v>
      </c>
      <c r="T1353" s="72" t="inlineStr">
        <is>
          <t>MERCADORIAS P/REVENDA</t>
        </is>
      </c>
      <c r="U1353" s="73" t="n">
        <v>960</v>
      </c>
      <c r="W1353" s="73" t="n">
        <v>0</v>
      </c>
      <c r="X1353" s="72" t="inlineStr">
        <is>
          <t>NF534 BLOOM - MILKA</t>
        </is>
      </c>
      <c r="Z1353" s="59">
        <f>IF($T1353="","",IFERROR(INDEX('Resumo Grupos'!$AC$3:$AC$200,MATCH($T1353,'Resumo Grupos'!$AB$3:$AB$200,0)),"n/d"))</f>
        <v/>
      </c>
      <c r="AA1353" s="59">
        <f>IF($T1353="","",IF(COUNTIF('Resumo Grupos'!$AE$3:$AE$40,$T1353)&gt;0,"NAO","SIM"))</f>
        <v/>
      </c>
    </row>
    <row r="1354" ht="27.75" customHeight="1" s="60">
      <c r="A1354" s="70" t="n">
        <v>1</v>
      </c>
      <c r="B1354" s="71" t="n">
        <v>46224</v>
      </c>
      <c r="C1354" s="71" t="n">
        <v>46224</v>
      </c>
      <c r="D1354" s="70" t="n">
        <v>578</v>
      </c>
      <c r="E1354" s="72" t="inlineStr">
        <is>
          <t>DANIELE TEIXEIRA HUNHAPE</t>
        </is>
      </c>
      <c r="F1354" s="70" t="n">
        <v>24</v>
      </c>
      <c r="G1354" s="72" t="inlineStr">
        <is>
          <t>Compra a Prazo - Boletos</t>
        </is>
      </c>
      <c r="H1354" s="70" t="n">
        <v>1110202</v>
      </c>
      <c r="I1354" s="72" t="inlineStr">
        <is>
          <t>BANCO ITAU Lj 01</t>
        </is>
      </c>
      <c r="J1354" s="70" t="n">
        <v>1289597</v>
      </c>
      <c r="L1354" s="70" t="n">
        <v>534500</v>
      </c>
      <c r="M1354" s="72" t="inlineStr">
        <is>
          <t>02</t>
        </is>
      </c>
      <c r="N1354" s="72" t="inlineStr">
        <is>
          <t>AVU</t>
        </is>
      </c>
      <c r="P1354" s="70" t="n">
        <v>102</v>
      </c>
      <c r="Q1354" s="72" t="inlineStr">
        <is>
          <t>ANDREZA ANDRADE</t>
        </is>
      </c>
      <c r="R1354" s="72" t="inlineStr">
        <is>
          <t>DESPESAS NAO OPERACIONAIS</t>
        </is>
      </c>
      <c r="S1354" s="70" t="n">
        <v>4220199</v>
      </c>
      <c r="T1354" s="72" t="inlineStr">
        <is>
          <t>PAGAMENTOS OUTROS NAO OPERACIONAIS</t>
        </is>
      </c>
      <c r="U1354" s="73" t="n">
        <v>500</v>
      </c>
      <c r="W1354" s="73" t="n">
        <v>0</v>
      </c>
      <c r="X1354" s="72" t="inlineStr">
        <is>
          <t>SEGURANÇA TRABALHO RATLOJAS</t>
        </is>
      </c>
      <c r="Z1354" s="59">
        <f>IF($T1354="","",IFERROR(INDEX('Resumo Grupos'!$AC$3:$AC$200,MATCH($T1354,'Resumo Grupos'!$AB$3:$AB$200,0)),"n/d"))</f>
        <v/>
      </c>
      <c r="AA1354" s="59">
        <f>IF($T1354="","",IF(COUNTIF('Resumo Grupos'!$AE$3:$AE$40,$T1354)&gt;0,"NAO","SIM"))</f>
        <v/>
      </c>
    </row>
    <row r="1355" ht="27.75" customHeight="1" s="60">
      <c r="A1355" s="70" t="n">
        <v>1</v>
      </c>
      <c r="B1355" s="71" t="n">
        <v>46224</v>
      </c>
      <c r="C1355" s="71" t="n">
        <v>46224</v>
      </c>
      <c r="D1355" s="70" t="n">
        <v>1037</v>
      </c>
      <c r="E1355" s="72" t="inlineStr">
        <is>
          <t>FEIRA</t>
        </is>
      </c>
      <c r="F1355" s="70" t="n">
        <v>34</v>
      </c>
      <c r="G1355" s="72" t="inlineStr">
        <is>
          <t>Transferencia Pix</t>
        </is>
      </c>
      <c r="H1355" s="70" t="n">
        <v>1110202</v>
      </c>
      <c r="I1355" s="72" t="inlineStr">
        <is>
          <t>BANCO ITAU Lj 01</t>
        </is>
      </c>
      <c r="J1355" s="70" t="n">
        <v>1429767</v>
      </c>
      <c r="L1355" s="70" t="n">
        <v>589270</v>
      </c>
      <c r="M1355" s="72" t="inlineStr">
        <is>
          <t>01</t>
        </is>
      </c>
      <c r="N1355" s="72" t="inlineStr">
        <is>
          <t>AVU</t>
        </is>
      </c>
      <c r="P1355" s="70" t="n">
        <v>101</v>
      </c>
      <c r="Q1355" s="72" t="inlineStr">
        <is>
          <t>KEILA LIMA</t>
        </is>
      </c>
      <c r="R1355" s="72" t="inlineStr">
        <is>
          <t>DESPESAS NAO OPERACIONAIS</t>
        </is>
      </c>
      <c r="S1355" s="70" t="n">
        <v>4220199</v>
      </c>
      <c r="T1355" s="72" t="inlineStr">
        <is>
          <t>PAGAMENTOS OUTROS NAO OPERACIONAIS</t>
        </is>
      </c>
      <c r="U1355" s="73" t="n">
        <v>2513.08</v>
      </c>
      <c r="W1355" s="73" t="n">
        <v>0</v>
      </c>
      <c r="X1355" s="72" t="inlineStr">
        <is>
          <t>FEIRA LOJAS NAO SOMAR - KEILA</t>
        </is>
      </c>
      <c r="Z1355" s="59">
        <f>IF($T1355="","",IFERROR(INDEX('Resumo Grupos'!$AC$3:$AC$200,MATCH($T1355,'Resumo Grupos'!$AB$3:$AB$200,0)),"n/d"))</f>
        <v/>
      </c>
      <c r="AA1355" s="59">
        <f>IF($T1355="","",IF(COUNTIF('Resumo Grupos'!$AE$3:$AE$40,$T1355)&gt;0,"NAO","SIM"))</f>
        <v/>
      </c>
    </row>
    <row r="1356" ht="36.75" customHeight="1" s="60">
      <c r="A1356" s="70" t="n">
        <v>1</v>
      </c>
      <c r="B1356" s="71" t="n">
        <v>46224</v>
      </c>
      <c r="C1356" s="71" t="n">
        <v>46224</v>
      </c>
      <c r="D1356" s="70" t="n">
        <v>33</v>
      </c>
      <c r="E1356" s="72" t="inlineStr">
        <is>
          <t>RENATO DE O AZEVEDO E CIA LTDA - EPP</t>
        </is>
      </c>
      <c r="F1356" s="70" t="n">
        <v>34</v>
      </c>
      <c r="G1356" s="72" t="inlineStr">
        <is>
          <t>Transferencia Pix</t>
        </is>
      </c>
      <c r="H1356" s="70" t="n">
        <v>2110101</v>
      </c>
      <c r="I1356" s="72" t="inlineStr">
        <is>
          <t>FORNECEDORES DE MERCADORIA</t>
        </is>
      </c>
      <c r="J1356" s="70" t="n">
        <v>1430498</v>
      </c>
      <c r="L1356" s="70" t="n">
        <v>5329</v>
      </c>
      <c r="M1356" s="72" t="inlineStr">
        <is>
          <t>01</t>
        </is>
      </c>
      <c r="N1356" s="72" t="inlineStr">
        <is>
          <t>NFE</t>
        </is>
      </c>
      <c r="P1356" s="70" t="n">
        <v>104</v>
      </c>
      <c r="Q1356" s="72" t="inlineStr">
        <is>
          <t>DEBORA COSTA</t>
        </is>
      </c>
      <c r="R1356" s="72" t="inlineStr">
        <is>
          <t>ESTOQUE DE MERCADORIAS</t>
        </is>
      </c>
      <c r="S1356" s="70" t="n">
        <v>1130101</v>
      </c>
      <c r="T1356" s="72" t="inlineStr">
        <is>
          <t>MERCADORIAS P/REVENDA</t>
        </is>
      </c>
      <c r="U1356" s="73" t="n">
        <v>55</v>
      </c>
      <c r="W1356" s="73" t="n">
        <v>0</v>
      </c>
      <c r="X1356" s="72" t="inlineStr">
        <is>
          <t>LIMAO - FEIRA SR RENATO - DEBORA</t>
        </is>
      </c>
      <c r="Z1356" s="59">
        <f>IF($T1356="","",IFERROR(INDEX('Resumo Grupos'!$AC$3:$AC$200,MATCH($T1356,'Resumo Grupos'!$AB$3:$AB$200,0)),"n/d"))</f>
        <v/>
      </c>
      <c r="AA1356" s="59">
        <f>IF($T1356="","",IF(COUNTIF('Resumo Grupos'!$AE$3:$AE$40,$T1356)&gt;0,"NAO","SIM"))</f>
        <v/>
      </c>
    </row>
    <row r="1357" ht="36.75" customHeight="1" s="60">
      <c r="A1357" s="70" t="n">
        <v>1</v>
      </c>
      <c r="B1357" s="71" t="n">
        <v>46224</v>
      </c>
      <c r="C1357" s="71" t="n">
        <v>46224</v>
      </c>
      <c r="D1357" s="70" t="n">
        <v>1758</v>
      </c>
      <c r="E1357" s="72" t="inlineStr">
        <is>
          <t>DESPESA OPER LOJA</t>
        </is>
      </c>
      <c r="F1357" s="70" t="n">
        <v>13</v>
      </c>
      <c r="G1357" s="72" t="inlineStr">
        <is>
          <t>Compra a Vista</t>
        </is>
      </c>
      <c r="H1357" s="70" t="n">
        <v>1110202</v>
      </c>
      <c r="I1357" s="72" t="inlineStr">
        <is>
          <t>BANCO ITAU Lj 01</t>
        </is>
      </c>
      <c r="J1357" s="70" t="n">
        <v>1433908</v>
      </c>
      <c r="L1357" s="70" t="n">
        <v>590543</v>
      </c>
      <c r="M1357" s="72" t="inlineStr">
        <is>
          <t>01</t>
        </is>
      </c>
      <c r="N1357" s="72" t="inlineStr">
        <is>
          <t>AVU</t>
        </is>
      </c>
      <c r="P1357" s="70" t="n">
        <v>101</v>
      </c>
      <c r="Q1357" s="72" t="inlineStr">
        <is>
          <t>KEILA LIMA</t>
        </is>
      </c>
      <c r="R1357" s="72" t="inlineStr">
        <is>
          <t>DESPESAS OPERACIONAIS</t>
        </is>
      </c>
      <c r="S1357" s="70" t="n">
        <v>4210223</v>
      </c>
      <c r="T1357" s="72" t="inlineStr">
        <is>
          <t>GAS LOJA</t>
        </is>
      </c>
      <c r="U1357" s="73" t="n">
        <v>615</v>
      </c>
      <c r="W1357" s="73" t="n">
        <v>0</v>
      </c>
      <c r="X1357" s="72" t="inlineStr">
        <is>
          <t>BOTIJA DE GAS COZINHA - KEILA</t>
        </is>
      </c>
      <c r="Z1357" s="59">
        <f>IF($T1357="","",IFERROR(INDEX('Resumo Grupos'!$AC$3:$AC$200,MATCH($T1357,'Resumo Grupos'!$AB$3:$AB$200,0)),"n/d"))</f>
        <v/>
      </c>
      <c r="AA1357" s="59">
        <f>IF($T1357="","",IF(COUNTIF('Resumo Grupos'!$AE$3:$AE$40,$T1357)&gt;0,"NAO","SIM"))</f>
        <v/>
      </c>
    </row>
    <row r="1358" ht="36.75" customHeight="1" s="60">
      <c r="A1358" s="70" t="n">
        <v>1</v>
      </c>
      <c r="B1358" s="71" t="n">
        <v>46224</v>
      </c>
      <c r="C1358" s="71" t="n">
        <v>46224</v>
      </c>
      <c r="D1358" s="70" t="n">
        <v>515</v>
      </c>
      <c r="E1358" s="72" t="inlineStr">
        <is>
          <t>ITAU SA</t>
        </is>
      </c>
      <c r="F1358" s="70" t="n">
        <v>34</v>
      </c>
      <c r="G1358" s="72" t="inlineStr">
        <is>
          <t>Transferencia Pix</t>
        </is>
      </c>
      <c r="H1358" s="70" t="n">
        <v>1110202</v>
      </c>
      <c r="I1358" s="72" t="inlineStr">
        <is>
          <t>BANCO ITAU Lj 01</t>
        </is>
      </c>
      <c r="J1358" s="70" t="n">
        <v>1434182</v>
      </c>
      <c r="L1358" s="70" t="n">
        <v>590590</v>
      </c>
      <c r="M1358" s="72" t="inlineStr">
        <is>
          <t>01</t>
        </is>
      </c>
      <c r="N1358" s="72" t="inlineStr">
        <is>
          <t>AVU</t>
        </is>
      </c>
      <c r="P1358" s="70" t="n">
        <v>102</v>
      </c>
      <c r="Q1358" s="72" t="inlineStr">
        <is>
          <t>ANDREZA ANDRADE</t>
        </is>
      </c>
      <c r="R1358" s="72" t="inlineStr">
        <is>
          <t>DESPESAS NAO OPERACIONAIS</t>
        </is>
      </c>
      <c r="S1358" s="70" t="n">
        <v>4220199</v>
      </c>
      <c r="T1358" s="72" t="inlineStr">
        <is>
          <t>PAGAMENTOS OUTROS NAO OPERACIONAIS</t>
        </is>
      </c>
      <c r="U1358" s="73" t="n">
        <v>37295.4</v>
      </c>
      <c r="W1358" s="73" t="n">
        <v>0</v>
      </c>
      <c r="X1358" s="72" t="inlineStr">
        <is>
          <t>cobertura de conta bb 1nv-andreza</t>
        </is>
      </c>
      <c r="Z1358" s="59">
        <f>IF($T1358="","",IFERROR(INDEX('Resumo Grupos'!$AC$3:$AC$200,MATCH($T1358,'Resumo Grupos'!$AB$3:$AB$200,0)),"n/d"))</f>
        <v/>
      </c>
      <c r="AA1358" s="59">
        <f>IF($T1358="","",IF(COUNTIF('Resumo Grupos'!$AE$3:$AE$40,$T1358)&gt;0,"NAO","SIM"))</f>
        <v/>
      </c>
    </row>
    <row r="1359" ht="36.75" customHeight="1" s="60">
      <c r="A1359" s="70" t="n">
        <v>1</v>
      </c>
      <c r="B1359" s="71" t="n">
        <v>46224</v>
      </c>
      <c r="C1359" s="71" t="n">
        <v>46224</v>
      </c>
      <c r="D1359" s="70" t="n">
        <v>10096</v>
      </c>
      <c r="E1359" s="72" t="inlineStr">
        <is>
          <t>H L M PADARIA E CONFEITARIA LTDA</t>
        </is>
      </c>
      <c r="F1359" s="70" t="n">
        <v>13</v>
      </c>
      <c r="G1359" s="72" t="inlineStr">
        <is>
          <t>Compra a Vista</t>
        </is>
      </c>
      <c r="H1359" s="70" t="n">
        <v>2110101</v>
      </c>
      <c r="I1359" s="72" t="inlineStr">
        <is>
          <t>FORNECEDORES DE MERCADORIA</t>
        </is>
      </c>
      <c r="J1359" s="70" t="n">
        <v>1435742</v>
      </c>
      <c r="L1359" s="70" t="n">
        <v>66</v>
      </c>
      <c r="M1359" s="72" t="inlineStr">
        <is>
          <t>01</t>
        </is>
      </c>
      <c r="N1359" s="72" t="inlineStr">
        <is>
          <t>NFE</t>
        </is>
      </c>
      <c r="P1359" s="70" t="n">
        <v>104</v>
      </c>
      <c r="Q1359" s="72" t="inlineStr">
        <is>
          <t>DEBORA COSTA</t>
        </is>
      </c>
      <c r="R1359" s="72" t="inlineStr">
        <is>
          <t>ESTOQUE DE MERCADORIAS</t>
        </is>
      </c>
      <c r="S1359" s="70" t="n">
        <v>1130101</v>
      </c>
      <c r="T1359" s="72" t="inlineStr">
        <is>
          <t>MERCADORIAS P/REVENDA</t>
        </is>
      </c>
      <c r="U1359" s="73" t="n">
        <v>420</v>
      </c>
      <c r="W1359" s="73" t="n">
        <v>0</v>
      </c>
      <c r="X1359" s="72" t="inlineStr">
        <is>
          <t>NF 66 - DEBORA</t>
        </is>
      </c>
      <c r="Z1359" s="59">
        <f>IF($T1359="","",IFERROR(INDEX('Resumo Grupos'!$AC$3:$AC$200,MATCH($T1359,'Resumo Grupos'!$AB$3:$AB$200,0)),"n/d"))</f>
        <v/>
      </c>
      <c r="AA1359" s="59">
        <f>IF($T1359="","",IF(COUNTIF('Resumo Grupos'!$AE$3:$AE$40,$T1359)&gt;0,"NAO","SIM"))</f>
        <v/>
      </c>
    </row>
    <row r="1360" ht="45.75" customHeight="1" s="60">
      <c r="A1360" s="70" t="n">
        <v>1</v>
      </c>
      <c r="B1360" s="71" t="n">
        <v>46195</v>
      </c>
      <c r="C1360" s="71" t="n">
        <v>46225</v>
      </c>
      <c r="D1360" s="70" t="n">
        <v>10011</v>
      </c>
      <c r="E1360" s="72" t="inlineStr">
        <is>
          <t>OPPORTUNITY ALIMENTOS PARA ANIMAIS LTDA</t>
        </is>
      </c>
      <c r="F1360" s="70" t="n">
        <v>24</v>
      </c>
      <c r="G1360" s="72" t="inlineStr">
        <is>
          <t>Compra a Prazo - Boletos</t>
        </is>
      </c>
      <c r="H1360" s="70" t="n">
        <v>2110101</v>
      </c>
      <c r="I1360" s="72" t="inlineStr">
        <is>
          <t>FORNECEDORES DE MERCADORIA</t>
        </is>
      </c>
      <c r="J1360" s="70" t="n">
        <v>1291292</v>
      </c>
      <c r="L1360" s="70" t="n">
        <v>34212</v>
      </c>
      <c r="M1360" s="72" t="inlineStr">
        <is>
          <t>02</t>
        </is>
      </c>
      <c r="N1360" s="72" t="inlineStr">
        <is>
          <t>NFE</t>
        </is>
      </c>
      <c r="P1360" s="70" t="n">
        <v>103</v>
      </c>
      <c r="Q1360" s="72" t="inlineStr">
        <is>
          <t>MILKA FRANCIS</t>
        </is>
      </c>
      <c r="R1360" s="72" t="inlineStr">
        <is>
          <t>ESTOQUE DE MERCADORIAS</t>
        </is>
      </c>
      <c r="S1360" s="70" t="n">
        <v>1130101</v>
      </c>
      <c r="T1360" s="72" t="inlineStr">
        <is>
          <t>MERCADORIAS P/REVENDA</t>
        </is>
      </c>
      <c r="U1360" s="73" t="n">
        <v>1975</v>
      </c>
      <c r="W1360" s="73" t="n">
        <v>0</v>
      </c>
      <c r="X1360" s="72" t="inlineStr">
        <is>
          <t>NF 34212-2 MILKA</t>
        </is>
      </c>
      <c r="Z1360" s="59">
        <f>IF($T1360="","",IFERROR(INDEX('Resumo Grupos'!$AC$3:$AC$200,MATCH($T1360,'Resumo Grupos'!$AB$3:$AB$200,0)),"n/d"))</f>
        <v/>
      </c>
      <c r="AA1360" s="59">
        <f>IF($T1360="","",IF(COUNTIF('Resumo Grupos'!$AE$3:$AE$40,$T1360)&gt;0,"NAO","SIM"))</f>
        <v/>
      </c>
    </row>
    <row r="1361" ht="36.75" customHeight="1" s="60">
      <c r="A1361" s="70" t="n">
        <v>1</v>
      </c>
      <c r="B1361" s="71" t="n">
        <v>46197</v>
      </c>
      <c r="C1361" s="71" t="n">
        <v>46225</v>
      </c>
      <c r="D1361" s="70" t="n">
        <v>1608</v>
      </c>
      <c r="E1361" s="72" t="inlineStr">
        <is>
          <t>DISTRIBUIDORA LOPES LTDA</t>
        </is>
      </c>
      <c r="F1361" s="70" t="n">
        <v>24</v>
      </c>
      <c r="G1361" s="72" t="inlineStr">
        <is>
          <t>Compra a Prazo - Boletos</t>
        </is>
      </c>
      <c r="H1361" s="70" t="n">
        <v>2110101</v>
      </c>
      <c r="I1361" s="72" t="inlineStr">
        <is>
          <t>FORNECEDORES DE MERCADORIA</t>
        </is>
      </c>
      <c r="J1361" s="70" t="n">
        <v>1299186</v>
      </c>
      <c r="L1361" s="70" t="n">
        <v>1679265</v>
      </c>
      <c r="M1361" s="72" t="inlineStr">
        <is>
          <t>02</t>
        </is>
      </c>
      <c r="N1361" s="72" t="inlineStr">
        <is>
          <t>NFE</t>
        </is>
      </c>
      <c r="P1361" s="70" t="n">
        <v>103</v>
      </c>
      <c r="Q1361" s="72" t="inlineStr">
        <is>
          <t>MILKA FRANCIS</t>
        </is>
      </c>
      <c r="R1361" s="72" t="inlineStr">
        <is>
          <t>ESTOQUE DE MERCADORIAS</t>
        </is>
      </c>
      <c r="S1361" s="70" t="n">
        <v>1130101</v>
      </c>
      <c r="T1361" s="72" t="inlineStr">
        <is>
          <t>MERCADORIAS P/REVENDA</t>
        </is>
      </c>
      <c r="U1361" s="73" t="n">
        <v>1065.06</v>
      </c>
      <c r="W1361" s="73" t="n">
        <v>0</v>
      </c>
      <c r="X1361" s="72" t="inlineStr">
        <is>
          <t>NF 1679265-2 MILKA</t>
        </is>
      </c>
      <c r="Z1361" s="59">
        <f>IF($T1361="","",IFERROR(INDEX('Resumo Grupos'!$AC$3:$AC$200,MATCH($T1361,'Resumo Grupos'!$AB$3:$AB$200,0)),"n/d"))</f>
        <v/>
      </c>
      <c r="AA1361" s="59">
        <f>IF($T1361="","",IF(COUNTIF('Resumo Grupos'!$AE$3:$AE$40,$T1361)&gt;0,"NAO","SIM"))</f>
        <v/>
      </c>
    </row>
    <row r="1362" ht="36.75" customHeight="1" s="60">
      <c r="A1362" s="70" t="n">
        <v>1</v>
      </c>
      <c r="B1362" s="71" t="n">
        <v>46197</v>
      </c>
      <c r="C1362" s="71" t="n">
        <v>46225</v>
      </c>
      <c r="D1362" s="70" t="n">
        <v>1659</v>
      </c>
      <c r="E1362" s="72" t="inlineStr">
        <is>
          <t>ADRIANA DISTRIBUIDORA DE PRODUTOS ALIMEN</t>
        </is>
      </c>
      <c r="F1362" s="70" t="n">
        <v>24</v>
      </c>
      <c r="G1362" s="72" t="inlineStr">
        <is>
          <t>Compra a Prazo - Boletos</t>
        </is>
      </c>
      <c r="H1362" s="70" t="n">
        <v>2110101</v>
      </c>
      <c r="I1362" s="72" t="inlineStr">
        <is>
          <t>FORNECEDORES DE MERCADORIA</t>
        </is>
      </c>
      <c r="J1362" s="70" t="n">
        <v>1299933</v>
      </c>
      <c r="L1362" s="70" t="n">
        <v>880066</v>
      </c>
      <c r="M1362" s="72" t="inlineStr">
        <is>
          <t>01</t>
        </is>
      </c>
      <c r="N1362" s="72" t="inlineStr">
        <is>
          <t>NFE</t>
        </is>
      </c>
      <c r="P1362" s="70" t="n">
        <v>103</v>
      </c>
      <c r="Q1362" s="72" t="inlineStr">
        <is>
          <t>MILKA FRANCIS</t>
        </is>
      </c>
      <c r="R1362" s="72" t="inlineStr">
        <is>
          <t>ESTOQUE DE MERCADORIAS</t>
        </is>
      </c>
      <c r="S1362" s="70" t="n">
        <v>1130101</v>
      </c>
      <c r="T1362" s="72" t="inlineStr">
        <is>
          <t>MERCADORIAS P/REVENDA</t>
        </is>
      </c>
      <c r="U1362" s="73" t="n">
        <v>1028.46</v>
      </c>
      <c r="W1362" s="73" t="n">
        <v>0</v>
      </c>
      <c r="X1362" s="72" t="inlineStr">
        <is>
          <t>NF 880066-1 MILKA</t>
        </is>
      </c>
      <c r="Z1362" s="59">
        <f>IF($T1362="","",IFERROR(INDEX('Resumo Grupos'!$AC$3:$AC$200,MATCH($T1362,'Resumo Grupos'!$AB$3:$AB$200,0)),"n/d"))</f>
        <v/>
      </c>
      <c r="AA1362" s="59">
        <f>IF($T1362="","",IF(COUNTIF('Resumo Grupos'!$AE$3:$AE$40,$T1362)&gt;0,"NAO","SIM"))</f>
        <v/>
      </c>
    </row>
    <row r="1363" ht="36.75" customHeight="1" s="60">
      <c r="A1363" s="70" t="n">
        <v>1</v>
      </c>
      <c r="B1363" s="71" t="n">
        <v>46197</v>
      </c>
      <c r="C1363" s="71" t="n">
        <v>46225</v>
      </c>
      <c r="D1363" s="70" t="n">
        <v>1608</v>
      </c>
      <c r="E1363" s="72" t="inlineStr">
        <is>
          <t>DISTRIBUIDORA LOPES LTDA</t>
        </is>
      </c>
      <c r="F1363" s="70" t="n">
        <v>24</v>
      </c>
      <c r="G1363" s="72" t="inlineStr">
        <is>
          <t>Compra a Prazo - Boletos</t>
        </is>
      </c>
      <c r="H1363" s="70" t="n">
        <v>2110101</v>
      </c>
      <c r="I1363" s="72" t="inlineStr">
        <is>
          <t>FORNECEDORES DE MERCADORIA</t>
        </is>
      </c>
      <c r="J1363" s="70" t="n">
        <v>1300337</v>
      </c>
      <c r="L1363" s="70" t="n">
        <v>1679646</v>
      </c>
      <c r="M1363" s="72" t="inlineStr">
        <is>
          <t>02</t>
        </is>
      </c>
      <c r="N1363" s="72" t="inlineStr">
        <is>
          <t>NFE</t>
        </is>
      </c>
      <c r="P1363" s="70" t="n">
        <v>103</v>
      </c>
      <c r="Q1363" s="72" t="inlineStr">
        <is>
          <t>MILKA FRANCIS</t>
        </is>
      </c>
      <c r="R1363" s="72" t="inlineStr">
        <is>
          <t>ESTOQUE DE MERCADORIAS</t>
        </is>
      </c>
      <c r="S1363" s="70" t="n">
        <v>1130101</v>
      </c>
      <c r="T1363" s="72" t="inlineStr">
        <is>
          <t>MERCADORIAS P/REVENDA</t>
        </is>
      </c>
      <c r="U1363" s="73" t="n">
        <v>1271.28</v>
      </c>
      <c r="W1363" s="73" t="n">
        <v>0</v>
      </c>
      <c r="X1363" s="72" t="inlineStr">
        <is>
          <t xml:space="preserve">NF 1679646-2 MILKA </t>
        </is>
      </c>
      <c r="Z1363" s="59">
        <f>IF($T1363="","",IFERROR(INDEX('Resumo Grupos'!$AC$3:$AC$200,MATCH($T1363,'Resumo Grupos'!$AB$3:$AB$200,0)),"n/d"))</f>
        <v/>
      </c>
      <c r="AA1363" s="59">
        <f>IF($T1363="","",IF(COUNTIF('Resumo Grupos'!$AE$3:$AE$40,$T1363)&gt;0,"NAO","SIM"))</f>
        <v/>
      </c>
    </row>
    <row r="1364" ht="36.75" customHeight="1" s="60">
      <c r="A1364" s="70" t="n">
        <v>1</v>
      </c>
      <c r="B1364" s="71" t="n">
        <v>46198</v>
      </c>
      <c r="C1364" s="71" t="n">
        <v>46225</v>
      </c>
      <c r="D1364" s="70" t="n">
        <v>1671</v>
      </c>
      <c r="E1364" s="72" t="inlineStr">
        <is>
          <t>TAPAJOS COM DE PERFUMARIA COSMETICOS E G</t>
        </is>
      </c>
      <c r="F1364" s="70" t="n">
        <v>24</v>
      </c>
      <c r="G1364" s="72" t="inlineStr">
        <is>
          <t>Compra a Prazo - Boletos</t>
        </is>
      </c>
      <c r="H1364" s="70" t="n">
        <v>2110101</v>
      </c>
      <c r="I1364" s="72" t="inlineStr">
        <is>
          <t>FORNECEDORES DE MERCADORIA</t>
        </is>
      </c>
      <c r="J1364" s="70" t="n">
        <v>1304959</v>
      </c>
      <c r="L1364" s="70" t="n">
        <v>576439</v>
      </c>
      <c r="M1364" s="72" t="inlineStr">
        <is>
          <t>02</t>
        </is>
      </c>
      <c r="N1364" s="72" t="inlineStr">
        <is>
          <t>NFE</t>
        </is>
      </c>
      <c r="P1364" s="70" t="n">
        <v>103</v>
      </c>
      <c r="Q1364" s="72" t="inlineStr">
        <is>
          <t>MILKA FRANCIS</t>
        </is>
      </c>
      <c r="R1364" s="72" t="inlineStr">
        <is>
          <t>ESTOQUE DE MERCADORIAS</t>
        </is>
      </c>
      <c r="S1364" s="70" t="n">
        <v>1130101</v>
      </c>
      <c r="T1364" s="72" t="inlineStr">
        <is>
          <t>MERCADORIAS P/REVENDA</t>
        </is>
      </c>
      <c r="U1364" s="73" t="n">
        <v>1499.41</v>
      </c>
      <c r="W1364" s="73" t="n">
        <v>0</v>
      </c>
      <c r="X1364" s="72" t="inlineStr">
        <is>
          <t>NF 576439-2 MILKA</t>
        </is>
      </c>
      <c r="Z1364" s="59">
        <f>IF($T1364="","",IFERROR(INDEX('Resumo Grupos'!$AC$3:$AC$200,MATCH($T1364,'Resumo Grupos'!$AB$3:$AB$200,0)),"n/d"))</f>
        <v/>
      </c>
      <c r="AA1364" s="59">
        <f>IF($T1364="","",IF(COUNTIF('Resumo Grupos'!$AE$3:$AE$40,$T1364)&gt;0,"NAO","SIM"))</f>
        <v/>
      </c>
    </row>
    <row r="1365" ht="45.75" customHeight="1" s="60">
      <c r="A1365" s="70" t="n">
        <v>1</v>
      </c>
      <c r="B1365" s="71" t="n">
        <v>46198</v>
      </c>
      <c r="C1365" s="71" t="n">
        <v>46225</v>
      </c>
      <c r="D1365" s="70" t="n">
        <v>1637</v>
      </c>
      <c r="E1365" s="72" t="inlineStr">
        <is>
          <t>ATACADAO S.A.</t>
        </is>
      </c>
      <c r="F1365" s="70" t="n">
        <v>24</v>
      </c>
      <c r="G1365" s="72" t="inlineStr">
        <is>
          <t>Compra a Prazo - Boletos</t>
        </is>
      </c>
      <c r="H1365" s="70" t="n">
        <v>2110101</v>
      </c>
      <c r="I1365" s="72" t="inlineStr">
        <is>
          <t>FORNECEDORES DE MERCADORIA</t>
        </is>
      </c>
      <c r="J1365" s="70" t="n">
        <v>1305340</v>
      </c>
      <c r="L1365" s="70" t="n">
        <v>1895763</v>
      </c>
      <c r="M1365" s="72" t="inlineStr">
        <is>
          <t>01</t>
        </is>
      </c>
      <c r="N1365" s="72" t="inlineStr">
        <is>
          <t>NFE</t>
        </is>
      </c>
      <c r="P1365" s="70" t="n">
        <v>103</v>
      </c>
      <c r="Q1365" s="72" t="inlineStr">
        <is>
          <t>MILKA FRANCIS</t>
        </is>
      </c>
      <c r="R1365" s="72" t="inlineStr">
        <is>
          <t>ESTOQUE DE MERCADORIAS</t>
        </is>
      </c>
      <c r="S1365" s="70" t="n">
        <v>1130101</v>
      </c>
      <c r="T1365" s="72" t="inlineStr">
        <is>
          <t>MERCADORIAS P/REVENDA</t>
        </is>
      </c>
      <c r="U1365" s="73" t="n">
        <v>1367.5</v>
      </c>
      <c r="W1365" s="73" t="n">
        <v>0</v>
      </c>
      <c r="X1365" s="72" t="inlineStr">
        <is>
          <t>NF 1895763 - MILKA</t>
        </is>
      </c>
      <c r="Z1365" s="59">
        <f>IF($T1365="","",IFERROR(INDEX('Resumo Grupos'!$AC$3:$AC$200,MATCH($T1365,'Resumo Grupos'!$AB$3:$AB$200,0)),"n/d"))</f>
        <v/>
      </c>
      <c r="AA1365" s="59">
        <f>IF($T1365="","",IF(COUNTIF('Resumo Grupos'!$AE$3:$AE$40,$T1365)&gt;0,"NAO","SIM"))</f>
        <v/>
      </c>
    </row>
    <row r="1366" ht="36.75" customHeight="1" s="60">
      <c r="A1366" s="70" t="n">
        <v>1</v>
      </c>
      <c r="B1366" s="71" t="n">
        <v>46198</v>
      </c>
      <c r="C1366" s="71" t="n">
        <v>46225</v>
      </c>
      <c r="D1366" s="70" t="n">
        <v>1637</v>
      </c>
      <c r="E1366" s="72" t="inlineStr">
        <is>
          <t>ATACADAO S.A.</t>
        </is>
      </c>
      <c r="F1366" s="70" t="n">
        <v>24</v>
      </c>
      <c r="G1366" s="72" t="inlineStr">
        <is>
          <t>Compra a Prazo - Boletos</t>
        </is>
      </c>
      <c r="H1366" s="70" t="n">
        <v>2110101</v>
      </c>
      <c r="I1366" s="72" t="inlineStr">
        <is>
          <t>FORNECEDORES DE MERCADORIA</t>
        </is>
      </c>
      <c r="J1366" s="70" t="n">
        <v>1305753</v>
      </c>
      <c r="L1366" s="70" t="n">
        <v>1895810</v>
      </c>
      <c r="M1366" s="72" t="inlineStr">
        <is>
          <t>01</t>
        </is>
      </c>
      <c r="N1366" s="72" t="inlineStr">
        <is>
          <t>NFE</t>
        </is>
      </c>
      <c r="P1366" s="70" t="n">
        <v>103</v>
      </c>
      <c r="Q1366" s="72" t="inlineStr">
        <is>
          <t>MILKA FRANCIS</t>
        </is>
      </c>
      <c r="R1366" s="72" t="inlineStr">
        <is>
          <t>ESTOQUE DE MERCADORIAS</t>
        </is>
      </c>
      <c r="S1366" s="70" t="n">
        <v>1130101</v>
      </c>
      <c r="T1366" s="72" t="inlineStr">
        <is>
          <t>MERCADORIAS P/REVENDA</t>
        </is>
      </c>
      <c r="U1366" s="73" t="n">
        <v>495.45</v>
      </c>
      <c r="W1366" s="73" t="n">
        <v>0</v>
      </c>
      <c r="X1366" s="72" t="inlineStr">
        <is>
          <t>NF 1895810 - MILKA</t>
        </is>
      </c>
      <c r="Z1366" s="59">
        <f>IF($T1366="","",IFERROR(INDEX('Resumo Grupos'!$AC$3:$AC$200,MATCH($T1366,'Resumo Grupos'!$AB$3:$AB$200,0)),"n/d"))</f>
        <v/>
      </c>
      <c r="AA1366" s="59">
        <f>IF($T1366="","",IF(COUNTIF('Resumo Grupos'!$AE$3:$AE$40,$T1366)&gt;0,"NAO","SIM"))</f>
        <v/>
      </c>
    </row>
    <row r="1367" ht="36.75" customHeight="1" s="60">
      <c r="A1367" s="70" t="n">
        <v>1</v>
      </c>
      <c r="B1367" s="71" t="n">
        <v>46199</v>
      </c>
      <c r="C1367" s="71" t="n">
        <v>46225</v>
      </c>
      <c r="D1367" s="70" t="n">
        <v>1705</v>
      </c>
      <c r="E1367" s="72" t="inlineStr">
        <is>
          <t>BRASIL NORTE BEBIDAS S/A</t>
        </is>
      </c>
      <c r="F1367" s="70" t="n">
        <v>24</v>
      </c>
      <c r="G1367" s="72" t="inlineStr">
        <is>
          <t>Compra a Prazo - Boletos</t>
        </is>
      </c>
      <c r="H1367" s="70" t="n">
        <v>2110101</v>
      </c>
      <c r="I1367" s="72" t="inlineStr">
        <is>
          <t>FORNECEDORES DE MERCADORIA</t>
        </is>
      </c>
      <c r="J1367" s="70" t="n">
        <v>1309451</v>
      </c>
      <c r="L1367" s="70" t="n">
        <v>1174709</v>
      </c>
      <c r="M1367" s="72" t="inlineStr">
        <is>
          <t>01</t>
        </is>
      </c>
      <c r="N1367" s="72" t="inlineStr">
        <is>
          <t>NFE</t>
        </is>
      </c>
      <c r="P1367" s="70" t="n">
        <v>103</v>
      </c>
      <c r="Q1367" s="72" t="inlineStr">
        <is>
          <t>MILKA FRANCIS</t>
        </is>
      </c>
      <c r="R1367" s="72" t="inlineStr">
        <is>
          <t>ESTOQUE DE MERCADORIAS</t>
        </is>
      </c>
      <c r="S1367" s="70" t="n">
        <v>1130101</v>
      </c>
      <c r="T1367" s="72" t="inlineStr">
        <is>
          <t>MERCADORIAS P/REVENDA</t>
        </is>
      </c>
      <c r="U1367" s="73" t="n">
        <v>257.85</v>
      </c>
      <c r="W1367" s="73" t="n">
        <v>0</v>
      </c>
      <c r="X1367" s="72" t="inlineStr">
        <is>
          <t>NF 1174709 - MILKA</t>
        </is>
      </c>
      <c r="Z1367" s="59">
        <f>IF($T1367="","",IFERROR(INDEX('Resumo Grupos'!$AC$3:$AC$200,MATCH($T1367,'Resumo Grupos'!$AB$3:$AB$200,0)),"n/d"))</f>
        <v/>
      </c>
      <c r="AA1367" s="59">
        <f>IF($T1367="","",IF(COUNTIF('Resumo Grupos'!$AE$3:$AE$40,$T1367)&gt;0,"NAO","SIM"))</f>
        <v/>
      </c>
    </row>
    <row r="1368" ht="36.75" customHeight="1" s="60">
      <c r="A1368" s="70" t="n">
        <v>1</v>
      </c>
      <c r="B1368" s="71" t="n">
        <v>46202</v>
      </c>
      <c r="C1368" s="71" t="n">
        <v>46225</v>
      </c>
      <c r="D1368" s="70" t="n">
        <v>1624</v>
      </c>
      <c r="E1368" s="72" t="inlineStr">
        <is>
          <t>RISADINHA LTDA</t>
        </is>
      </c>
      <c r="F1368" s="70" t="n">
        <v>24</v>
      </c>
      <c r="G1368" s="72" t="inlineStr">
        <is>
          <t>Compra a Prazo - Boletos</t>
        </is>
      </c>
      <c r="H1368" s="70" t="n">
        <v>2110101</v>
      </c>
      <c r="I1368" s="72" t="inlineStr">
        <is>
          <t>FORNECEDORES DE MERCADORIA</t>
        </is>
      </c>
      <c r="J1368" s="70" t="n">
        <v>1322405</v>
      </c>
      <c r="L1368" s="70" t="n">
        <v>660505</v>
      </c>
      <c r="M1368" s="72" t="inlineStr">
        <is>
          <t>01</t>
        </is>
      </c>
      <c r="N1368" s="72" t="inlineStr">
        <is>
          <t>NFE</t>
        </is>
      </c>
      <c r="P1368" s="70" t="n">
        <v>103</v>
      </c>
      <c r="Q1368" s="72" t="inlineStr">
        <is>
          <t>MILKA FRANCIS</t>
        </is>
      </c>
      <c r="R1368" s="72" t="inlineStr">
        <is>
          <t>ESTOQUE DE MERCADORIAS</t>
        </is>
      </c>
      <c r="S1368" s="70" t="n">
        <v>1130101</v>
      </c>
      <c r="T1368" s="72" t="inlineStr">
        <is>
          <t>MERCADORIAS P/REVENDA</t>
        </is>
      </c>
      <c r="U1368" s="73" t="n">
        <v>660</v>
      </c>
      <c r="W1368" s="73" t="n">
        <v>0</v>
      </c>
      <c r="X1368" s="72" t="inlineStr">
        <is>
          <t>NF 660505-01 MILKA</t>
        </is>
      </c>
      <c r="Z1368" s="59">
        <f>IF($T1368="","",IFERROR(INDEX('Resumo Grupos'!$AC$3:$AC$200,MATCH($T1368,'Resumo Grupos'!$AB$3:$AB$200,0)),"n/d"))</f>
        <v/>
      </c>
      <c r="AA1368" s="59">
        <f>IF($T1368="","",IF(COUNTIF('Resumo Grupos'!$AE$3:$AE$40,$T1368)&gt;0,"NAO","SIM"))</f>
        <v/>
      </c>
    </row>
    <row r="1369" ht="54.75" customHeight="1" s="60">
      <c r="A1369" s="70" t="n">
        <v>1</v>
      </c>
      <c r="B1369" s="71" t="n">
        <v>46204</v>
      </c>
      <c r="C1369" s="71" t="n">
        <v>46225</v>
      </c>
      <c r="D1369" s="70" t="n">
        <v>1608</v>
      </c>
      <c r="E1369" s="72" t="inlineStr">
        <is>
          <t>DISTRIBUIDORA LOPES LTDA</t>
        </is>
      </c>
      <c r="F1369" s="70" t="n">
        <v>24</v>
      </c>
      <c r="G1369" s="72" t="inlineStr">
        <is>
          <t>Compra a Prazo - Boletos</t>
        </is>
      </c>
      <c r="H1369" s="70" t="n">
        <v>2110101</v>
      </c>
      <c r="I1369" s="72" t="inlineStr">
        <is>
          <t>FORNECEDORES DE MERCADORIA</t>
        </is>
      </c>
      <c r="J1369" s="70" t="n">
        <v>1334069</v>
      </c>
      <c r="L1369" s="70" t="n">
        <v>1685233</v>
      </c>
      <c r="M1369" s="72" t="inlineStr">
        <is>
          <t>01</t>
        </is>
      </c>
      <c r="N1369" s="72" t="inlineStr">
        <is>
          <t>NFE</t>
        </is>
      </c>
      <c r="P1369" s="70" t="n">
        <v>103</v>
      </c>
      <c r="Q1369" s="72" t="inlineStr">
        <is>
          <t>MILKA FRANCIS</t>
        </is>
      </c>
      <c r="R1369" s="72" t="inlineStr">
        <is>
          <t>ESTOQUE DE MERCADORIAS</t>
        </is>
      </c>
      <c r="S1369" s="70" t="n">
        <v>1130101</v>
      </c>
      <c r="T1369" s="72" t="inlineStr">
        <is>
          <t>MERCADORIAS P/REVENDA</t>
        </is>
      </c>
      <c r="U1369" s="73" t="n">
        <v>1862.4</v>
      </c>
      <c r="W1369" s="73" t="n">
        <v>0</v>
      </c>
      <c r="X1369" s="72" t="inlineStr">
        <is>
          <t>NF 1685233-1 MILKA</t>
        </is>
      </c>
      <c r="Z1369" s="59">
        <f>IF($T1369="","",IFERROR(INDEX('Resumo Grupos'!$AC$3:$AC$200,MATCH($T1369,'Resumo Grupos'!$AB$3:$AB$200,0)),"n/d"))</f>
        <v/>
      </c>
      <c r="AA1369" s="59">
        <f>IF($T1369="","",IF(COUNTIF('Resumo Grupos'!$AE$3:$AE$40,$T1369)&gt;0,"NAO","SIM"))</f>
        <v/>
      </c>
    </row>
    <row r="1370" ht="45.75" customHeight="1" s="60">
      <c r="A1370" s="70" t="n">
        <v>1</v>
      </c>
      <c r="B1370" s="71" t="n">
        <v>46204</v>
      </c>
      <c r="C1370" s="71" t="n">
        <v>46225</v>
      </c>
      <c r="D1370" s="70" t="n">
        <v>1699</v>
      </c>
      <c r="E1370" s="72" t="inlineStr">
        <is>
          <t>L S M COMERCIO DE ALIMENTOS E NAVEGACAO</t>
        </is>
      </c>
      <c r="F1370" s="70" t="n">
        <v>24</v>
      </c>
      <c r="G1370" s="72" t="inlineStr">
        <is>
          <t>Compra a Prazo - Boletos</t>
        </is>
      </c>
      <c r="H1370" s="70" t="n">
        <v>2110101</v>
      </c>
      <c r="I1370" s="72" t="inlineStr">
        <is>
          <t>FORNECEDORES DE MERCADORIA</t>
        </is>
      </c>
      <c r="J1370" s="70" t="n">
        <v>1334706</v>
      </c>
      <c r="L1370" s="70" t="n">
        <v>306058</v>
      </c>
      <c r="M1370" s="72" t="inlineStr">
        <is>
          <t>02</t>
        </is>
      </c>
      <c r="N1370" s="72" t="inlineStr">
        <is>
          <t>NFE</t>
        </is>
      </c>
      <c r="P1370" s="70" t="n">
        <v>103</v>
      </c>
      <c r="Q1370" s="72" t="inlineStr">
        <is>
          <t>MILKA FRANCIS</t>
        </is>
      </c>
      <c r="R1370" s="72" t="inlineStr">
        <is>
          <t>ESTOQUE DE MERCADORIAS</t>
        </is>
      </c>
      <c r="S1370" s="70" t="n">
        <v>1130101</v>
      </c>
      <c r="T1370" s="72" t="inlineStr">
        <is>
          <t>MERCADORIAS P/REVENDA</t>
        </is>
      </c>
      <c r="U1370" s="73" t="n">
        <v>1613.93</v>
      </c>
      <c r="W1370" s="73" t="n">
        <v>0</v>
      </c>
      <c r="X1370" s="72" t="inlineStr">
        <is>
          <t>NF 306058-2 MILKA</t>
        </is>
      </c>
      <c r="Z1370" s="59">
        <f>IF($T1370="","",IFERROR(INDEX('Resumo Grupos'!$AC$3:$AC$200,MATCH($T1370,'Resumo Grupos'!$AB$3:$AB$200,0)),"n/d"))</f>
        <v/>
      </c>
      <c r="AA1370" s="59">
        <f>IF($T1370="","",IF(COUNTIF('Resumo Grupos'!$AE$3:$AE$40,$T1370)&gt;0,"NAO","SIM"))</f>
        <v/>
      </c>
    </row>
    <row r="1371" ht="54.75" customHeight="1" s="60">
      <c r="A1371" s="70" t="n">
        <v>1</v>
      </c>
      <c r="B1371" s="71" t="n">
        <v>46206</v>
      </c>
      <c r="C1371" s="71" t="n">
        <v>46225</v>
      </c>
      <c r="D1371" s="70" t="n">
        <v>1706</v>
      </c>
      <c r="E1371" s="72" t="inlineStr">
        <is>
          <t>AMAZON MILK IND. E COMERCIO LTDA</t>
        </is>
      </c>
      <c r="F1371" s="70" t="n">
        <v>24</v>
      </c>
      <c r="G1371" s="72" t="inlineStr">
        <is>
          <t>Compra a Prazo - Boletos</t>
        </is>
      </c>
      <c r="H1371" s="70" t="n">
        <v>2110101</v>
      </c>
      <c r="I1371" s="72" t="inlineStr">
        <is>
          <t>FORNECEDORES DE MERCADORIA</t>
        </is>
      </c>
      <c r="J1371" s="70" t="n">
        <v>1344279</v>
      </c>
      <c r="L1371" s="70" t="n">
        <v>203761</v>
      </c>
      <c r="M1371" s="72" t="inlineStr">
        <is>
          <t>01</t>
        </is>
      </c>
      <c r="N1371" s="72" t="inlineStr">
        <is>
          <t>NFE</t>
        </is>
      </c>
      <c r="P1371" s="70" t="n">
        <v>103</v>
      </c>
      <c r="Q1371" s="72" t="inlineStr">
        <is>
          <t>MILKA FRANCIS</t>
        </is>
      </c>
      <c r="R1371" s="72" t="inlineStr">
        <is>
          <t>ESTOQUE DE MERCADORIAS</t>
        </is>
      </c>
      <c r="S1371" s="70" t="n">
        <v>1130101</v>
      </c>
      <c r="T1371" s="72" t="inlineStr">
        <is>
          <t>MERCADORIAS P/REVENDA</t>
        </is>
      </c>
      <c r="U1371" s="73" t="n">
        <v>1438.2</v>
      </c>
      <c r="W1371" s="73" t="n">
        <v>0</v>
      </c>
      <c r="X1371" s="72" t="inlineStr">
        <is>
          <t>NF 203761 - MILKA</t>
        </is>
      </c>
      <c r="Z1371" s="59">
        <f>IF($T1371="","",IFERROR(INDEX('Resumo Grupos'!$AC$3:$AC$200,MATCH($T1371,'Resumo Grupos'!$AB$3:$AB$200,0)),"n/d"))</f>
        <v/>
      </c>
      <c r="AA1371" s="59">
        <f>IF($T1371="","",IF(COUNTIF('Resumo Grupos'!$AE$3:$AE$40,$T1371)&gt;0,"NAO","SIM"))</f>
        <v/>
      </c>
    </row>
    <row r="1372" ht="45.75" customHeight="1" s="60">
      <c r="A1372" s="70" t="n">
        <v>1</v>
      </c>
      <c r="B1372" s="71" t="n">
        <v>46207</v>
      </c>
      <c r="C1372" s="71" t="n">
        <v>46225</v>
      </c>
      <c r="D1372" s="70" t="n">
        <v>1613</v>
      </c>
      <c r="E1372" s="72" t="inlineStr">
        <is>
          <t>BRF S A</t>
        </is>
      </c>
      <c r="F1372" s="70" t="n">
        <v>24</v>
      </c>
      <c r="G1372" s="72" t="inlineStr">
        <is>
          <t>Compra a Prazo - Boletos</t>
        </is>
      </c>
      <c r="H1372" s="70" t="n">
        <v>2110101</v>
      </c>
      <c r="I1372" s="72" t="inlineStr">
        <is>
          <t>FORNECEDORES DE MERCADORIA</t>
        </is>
      </c>
      <c r="J1372" s="70" t="n">
        <v>1348480</v>
      </c>
      <c r="L1372" s="70" t="n">
        <v>1603506</v>
      </c>
      <c r="M1372" s="72" t="inlineStr">
        <is>
          <t>02</t>
        </is>
      </c>
      <c r="N1372" s="72" t="inlineStr">
        <is>
          <t>NFE</t>
        </is>
      </c>
      <c r="P1372" s="70" t="n">
        <v>103</v>
      </c>
      <c r="Q1372" s="72" t="inlineStr">
        <is>
          <t>MILKA FRANCIS</t>
        </is>
      </c>
      <c r="R1372" s="72" t="inlineStr">
        <is>
          <t>ESTOQUE DE MERCADORIAS</t>
        </is>
      </c>
      <c r="S1372" s="70" t="n">
        <v>1130101</v>
      </c>
      <c r="T1372" s="72" t="inlineStr">
        <is>
          <t>MERCADORIAS P/REVENDA</t>
        </is>
      </c>
      <c r="U1372" s="73" t="n">
        <v>2368.51</v>
      </c>
      <c r="W1372" s="73" t="n">
        <v>0</v>
      </c>
      <c r="X1372" s="72" t="inlineStr">
        <is>
          <t>NF 1603506-02/02 MILKA</t>
        </is>
      </c>
      <c r="Z1372" s="59">
        <f>IF($T1372="","",IFERROR(INDEX('Resumo Grupos'!$AC$3:$AC$200,MATCH($T1372,'Resumo Grupos'!$AB$3:$AB$200,0)),"n/d"))</f>
        <v/>
      </c>
      <c r="AA1372" s="59">
        <f>IF($T1372="","",IF(COUNTIF('Resumo Grupos'!$AE$3:$AE$40,$T1372)&gt;0,"NAO","SIM"))</f>
        <v/>
      </c>
    </row>
    <row r="1373" ht="45.75" customHeight="1" s="60">
      <c r="A1373" s="70" t="n">
        <v>1</v>
      </c>
      <c r="B1373" s="71" t="n">
        <v>46211</v>
      </c>
      <c r="C1373" s="71" t="n">
        <v>46225</v>
      </c>
      <c r="D1373" s="70" t="n">
        <v>1705</v>
      </c>
      <c r="E1373" s="72" t="inlineStr">
        <is>
          <t>BRASIL NORTE BEBIDAS S/A</t>
        </is>
      </c>
      <c r="F1373" s="70" t="n">
        <v>24</v>
      </c>
      <c r="G1373" s="72" t="inlineStr">
        <is>
          <t>Compra a Prazo - Boletos</t>
        </is>
      </c>
      <c r="H1373" s="70" t="n">
        <v>2110101</v>
      </c>
      <c r="I1373" s="72" t="inlineStr">
        <is>
          <t>FORNECEDORES DE MERCADORIA</t>
        </is>
      </c>
      <c r="J1373" s="70" t="n">
        <v>1369065</v>
      </c>
      <c r="L1373" s="70" t="n">
        <v>1191435</v>
      </c>
      <c r="M1373" s="72" t="inlineStr">
        <is>
          <t>01</t>
        </is>
      </c>
      <c r="N1373" s="72" t="inlineStr">
        <is>
          <t>NFE</t>
        </is>
      </c>
      <c r="P1373" s="70" t="n">
        <v>103</v>
      </c>
      <c r="Q1373" s="72" t="inlineStr">
        <is>
          <t>MILKA FRANCIS</t>
        </is>
      </c>
      <c r="R1373" s="72" t="inlineStr">
        <is>
          <t>ESTOQUE DE MERCADORIAS</t>
        </is>
      </c>
      <c r="S1373" s="70" t="n">
        <v>1130101</v>
      </c>
      <c r="T1373" s="72" t="inlineStr">
        <is>
          <t>MERCADORIAS P/REVENDA</t>
        </is>
      </c>
      <c r="U1373" s="73" t="n">
        <v>897.72</v>
      </c>
      <c r="W1373" s="73" t="n">
        <v>0</v>
      </c>
      <c r="X1373" s="72" t="inlineStr">
        <is>
          <t>NF 1191435 - MILKA</t>
        </is>
      </c>
      <c r="Z1373" s="59">
        <f>IF($T1373="","",IFERROR(INDEX('Resumo Grupos'!$AC$3:$AC$200,MATCH($T1373,'Resumo Grupos'!$AB$3:$AB$200,0)),"n/d"))</f>
        <v/>
      </c>
      <c r="AA1373" s="59">
        <f>IF($T1373="","",IF(COUNTIF('Resumo Grupos'!$AE$3:$AE$40,$T1373)&gt;0,"NAO","SIM"))</f>
        <v/>
      </c>
    </row>
    <row r="1374" ht="63.75" customHeight="1" s="60">
      <c r="A1374" s="70" t="n">
        <v>1</v>
      </c>
      <c r="B1374" s="71" t="n">
        <v>46211</v>
      </c>
      <c r="C1374" s="71" t="n">
        <v>46225</v>
      </c>
      <c r="D1374" s="70" t="n">
        <v>1705</v>
      </c>
      <c r="E1374" s="72" t="inlineStr">
        <is>
          <t>BRASIL NORTE BEBIDAS S/A</t>
        </is>
      </c>
      <c r="F1374" s="70" t="n">
        <v>24</v>
      </c>
      <c r="G1374" s="72" t="inlineStr">
        <is>
          <t>Compra a Prazo - Boletos</t>
        </is>
      </c>
      <c r="H1374" s="70" t="n">
        <v>2110101</v>
      </c>
      <c r="I1374" s="72" t="inlineStr">
        <is>
          <t>FORNECEDORES DE MERCADORIA</t>
        </is>
      </c>
      <c r="J1374" s="70" t="n">
        <v>1369074</v>
      </c>
      <c r="L1374" s="70" t="n">
        <v>1922435</v>
      </c>
      <c r="M1374" s="72" t="inlineStr">
        <is>
          <t>01</t>
        </is>
      </c>
      <c r="N1374" s="72" t="inlineStr">
        <is>
          <t>NFE</t>
        </is>
      </c>
      <c r="P1374" s="70" t="n">
        <v>103</v>
      </c>
      <c r="Q1374" s="72" t="inlineStr">
        <is>
          <t>MILKA FRANCIS</t>
        </is>
      </c>
      <c r="R1374" s="72" t="inlineStr">
        <is>
          <t>ESTOQUE DE MERCADORIAS</t>
        </is>
      </c>
      <c r="S1374" s="70" t="n">
        <v>1130101</v>
      </c>
      <c r="T1374" s="72" t="inlineStr">
        <is>
          <t>MERCADORIAS P/REVENDA</t>
        </is>
      </c>
      <c r="U1374" s="73" t="n">
        <v>1827.23</v>
      </c>
      <c r="W1374" s="73" t="n">
        <v>0</v>
      </c>
      <c r="X1374" s="72" t="inlineStr">
        <is>
          <t>NF 1922435 - MILKA</t>
        </is>
      </c>
      <c r="Z1374" s="59">
        <f>IF($T1374="","",IFERROR(INDEX('Resumo Grupos'!$AC$3:$AC$200,MATCH($T1374,'Resumo Grupos'!$AB$3:$AB$200,0)),"n/d"))</f>
        <v/>
      </c>
      <c r="AA1374" s="59">
        <f>IF($T1374="","",IF(COUNTIF('Resumo Grupos'!$AE$3:$AE$40,$T1374)&gt;0,"NAO","SIM"))</f>
        <v/>
      </c>
    </row>
    <row r="1375" ht="63.75" customHeight="1" s="60">
      <c r="A1375" s="70" t="n">
        <v>1</v>
      </c>
      <c r="B1375" s="71" t="n">
        <v>46211</v>
      </c>
      <c r="C1375" s="71" t="n">
        <v>46225</v>
      </c>
      <c r="D1375" s="70" t="n">
        <v>1705</v>
      </c>
      <c r="E1375" s="72" t="inlineStr">
        <is>
          <t>BRASIL NORTE BEBIDAS S/A</t>
        </is>
      </c>
      <c r="F1375" s="70" t="n">
        <v>24</v>
      </c>
      <c r="G1375" s="72" t="inlineStr">
        <is>
          <t>Compra a Prazo - Boletos</t>
        </is>
      </c>
      <c r="H1375" s="70" t="n">
        <v>2110101</v>
      </c>
      <c r="I1375" s="72" t="inlineStr">
        <is>
          <t>FORNECEDORES DE MERCADORIA</t>
        </is>
      </c>
      <c r="J1375" s="70" t="n">
        <v>1369102</v>
      </c>
      <c r="L1375" s="70" t="n">
        <v>1922459</v>
      </c>
      <c r="M1375" s="72" t="inlineStr">
        <is>
          <t>01</t>
        </is>
      </c>
      <c r="N1375" s="72" t="inlineStr">
        <is>
          <t>NFE</t>
        </is>
      </c>
      <c r="P1375" s="70" t="n">
        <v>103</v>
      </c>
      <c r="Q1375" s="72" t="inlineStr">
        <is>
          <t>MILKA FRANCIS</t>
        </is>
      </c>
      <c r="R1375" s="72" t="inlineStr">
        <is>
          <t>ESTOQUE DE MERCADORIAS</t>
        </is>
      </c>
      <c r="S1375" s="70" t="n">
        <v>1130101</v>
      </c>
      <c r="T1375" s="72" t="inlineStr">
        <is>
          <t>MERCADORIAS P/REVENDA</t>
        </is>
      </c>
      <c r="U1375" s="73" t="n">
        <v>365.08</v>
      </c>
      <c r="W1375" s="73" t="n">
        <v>0</v>
      </c>
      <c r="X1375" s="72" t="inlineStr">
        <is>
          <t>NF 1922459 - MILKA</t>
        </is>
      </c>
      <c r="Z1375" s="59">
        <f>IF($T1375="","",IFERROR(INDEX('Resumo Grupos'!$AC$3:$AC$200,MATCH($T1375,'Resumo Grupos'!$AB$3:$AB$200,0)),"n/d"))</f>
        <v/>
      </c>
      <c r="AA1375" s="59">
        <f>IF($T1375="","",IF(COUNTIF('Resumo Grupos'!$AE$3:$AE$40,$T1375)&gt;0,"NAO","SIM"))</f>
        <v/>
      </c>
    </row>
    <row r="1376" ht="36.75" customHeight="1" s="60">
      <c r="A1376" s="70" t="n">
        <v>1</v>
      </c>
      <c r="B1376" s="71" t="n">
        <v>46214</v>
      </c>
      <c r="C1376" s="71" t="n">
        <v>46225</v>
      </c>
      <c r="D1376" s="70" t="n">
        <v>10009</v>
      </c>
      <c r="E1376" s="72" t="inlineStr">
        <is>
          <t>NESTLÉ BRASIL LTDA.</t>
        </is>
      </c>
      <c r="F1376" s="70" t="n">
        <v>24</v>
      </c>
      <c r="G1376" s="72" t="inlineStr">
        <is>
          <t>Compra a Prazo - Boletos</t>
        </is>
      </c>
      <c r="H1376" s="70" t="n">
        <v>1110202</v>
      </c>
      <c r="I1376" s="72" t="inlineStr">
        <is>
          <t>BANCO ITAU Lj 01</t>
        </is>
      </c>
      <c r="J1376" s="70" t="n">
        <v>1381864</v>
      </c>
      <c r="L1376" s="70" t="n">
        <v>1425692</v>
      </c>
      <c r="M1376" s="72" t="inlineStr">
        <is>
          <t>02</t>
        </is>
      </c>
      <c r="N1376" s="72" t="inlineStr">
        <is>
          <t>AVU</t>
        </is>
      </c>
      <c r="P1376" s="70" t="n">
        <v>103</v>
      </c>
      <c r="Q1376" s="72" t="inlineStr">
        <is>
          <t>MILKA FRANCIS</t>
        </is>
      </c>
      <c r="R1376" s="72" t="inlineStr">
        <is>
          <t>ESTOQUE DE MERCADORIAS</t>
        </is>
      </c>
      <c r="S1376" s="70" t="n">
        <v>1130101</v>
      </c>
      <c r="T1376" s="72" t="inlineStr">
        <is>
          <t>MERCADORIAS P/REVENDA</t>
        </is>
      </c>
      <c r="U1376" s="73" t="n">
        <v>1051.26</v>
      </c>
      <c r="W1376" s="73" t="n">
        <v>0</v>
      </c>
      <c r="X1376" s="72" t="inlineStr">
        <is>
          <t>NF1425692-02/03 MILKA</t>
        </is>
      </c>
      <c r="Z1376" s="59">
        <f>IF($T1376="","",IFERROR(INDEX('Resumo Grupos'!$AC$3:$AC$200,MATCH($T1376,'Resumo Grupos'!$AB$3:$AB$200,0)),"n/d"))</f>
        <v/>
      </c>
      <c r="AA1376" s="59">
        <f>IF($T1376="","",IF(COUNTIF('Resumo Grupos'!$AE$3:$AE$40,$T1376)&gt;0,"NAO","SIM"))</f>
        <v/>
      </c>
    </row>
    <row r="1377" ht="36.75" customHeight="1" s="60">
      <c r="A1377" s="70" t="n">
        <v>1</v>
      </c>
      <c r="B1377" s="71" t="n">
        <v>46214</v>
      </c>
      <c r="C1377" s="71" t="n">
        <v>46225</v>
      </c>
      <c r="D1377" s="70" t="n">
        <v>1613</v>
      </c>
      <c r="E1377" s="72" t="inlineStr">
        <is>
          <t>BRF S A</t>
        </is>
      </c>
      <c r="F1377" s="70" t="n">
        <v>24</v>
      </c>
      <c r="G1377" s="72" t="inlineStr">
        <is>
          <t>Compra a Prazo - Boletos</t>
        </is>
      </c>
      <c r="H1377" s="70" t="n">
        <v>1110202</v>
      </c>
      <c r="I1377" s="72" t="inlineStr">
        <is>
          <t>BANCO ITAU Lj 01</t>
        </is>
      </c>
      <c r="J1377" s="70" t="n">
        <v>1382549</v>
      </c>
      <c r="L1377" s="70" t="n">
        <v>1605894</v>
      </c>
      <c r="M1377" s="72" t="inlineStr">
        <is>
          <t>01</t>
        </is>
      </c>
      <c r="N1377" s="72" t="inlineStr">
        <is>
          <t>AVU</t>
        </is>
      </c>
      <c r="P1377" s="70" t="n">
        <v>103</v>
      </c>
      <c r="Q1377" s="72" t="inlineStr">
        <is>
          <t>MILKA FRANCIS</t>
        </is>
      </c>
      <c r="R1377" s="72" t="inlineStr">
        <is>
          <t>ESTOQUE DE MERCADORIAS</t>
        </is>
      </c>
      <c r="S1377" s="70" t="n">
        <v>1130101</v>
      </c>
      <c r="T1377" s="72" t="inlineStr">
        <is>
          <t>MERCADORIAS P/REVENDA</t>
        </is>
      </c>
      <c r="U1377" s="73" t="n">
        <v>3073.81</v>
      </c>
      <c r="W1377" s="73" t="n">
        <v>0</v>
      </c>
      <c r="X1377" s="72" t="inlineStr">
        <is>
          <t>NF1605894-01/02 - MILKA</t>
        </is>
      </c>
      <c r="Z1377" s="59">
        <f>IF($T1377="","",IFERROR(INDEX('Resumo Grupos'!$AC$3:$AC$200,MATCH($T1377,'Resumo Grupos'!$AB$3:$AB$200,0)),"n/d"))</f>
        <v/>
      </c>
      <c r="AA1377" s="59">
        <f>IF($T1377="","",IF(COUNTIF('Resumo Grupos'!$AE$3:$AE$40,$T1377)&gt;0,"NAO","SIM"))</f>
        <v/>
      </c>
    </row>
    <row r="1378" ht="54.75" customHeight="1" s="60">
      <c r="A1378" s="70" t="n">
        <v>1</v>
      </c>
      <c r="B1378" s="71" t="n">
        <v>46218</v>
      </c>
      <c r="C1378" s="71" t="n">
        <v>46225</v>
      </c>
      <c r="D1378" s="70" t="n">
        <v>1699</v>
      </c>
      <c r="E1378" s="72" t="inlineStr">
        <is>
          <t>L S M COMERCIO DE ALIMENTOS E NAVEGACAO</t>
        </is>
      </c>
      <c r="F1378" s="70" t="n">
        <v>24</v>
      </c>
      <c r="G1378" s="72" t="inlineStr">
        <is>
          <t>Compra a Prazo - Boletos</t>
        </is>
      </c>
      <c r="H1378" s="70" t="n">
        <v>1110202</v>
      </c>
      <c r="I1378" s="72" t="inlineStr">
        <is>
          <t>BANCO ITAU Lj 01</t>
        </is>
      </c>
      <c r="J1378" s="70" t="n">
        <v>1401907</v>
      </c>
      <c r="L1378" s="70" t="n">
        <v>307805</v>
      </c>
      <c r="M1378" s="72" t="inlineStr">
        <is>
          <t>01</t>
        </is>
      </c>
      <c r="N1378" s="72" t="inlineStr">
        <is>
          <t>AVU</t>
        </is>
      </c>
      <c r="P1378" s="70" t="n">
        <v>103</v>
      </c>
      <c r="Q1378" s="72" t="inlineStr">
        <is>
          <t>MILKA FRANCIS</t>
        </is>
      </c>
      <c r="R1378" s="72" t="inlineStr">
        <is>
          <t>ESTOQUE DE MERCADORIAS</t>
        </is>
      </c>
      <c r="S1378" s="70" t="n">
        <v>1130101</v>
      </c>
      <c r="T1378" s="72" t="inlineStr">
        <is>
          <t>MERCADORIAS P/REVENDA</t>
        </is>
      </c>
      <c r="U1378" s="73" t="n">
        <v>732.47</v>
      </c>
      <c r="W1378" s="73" t="n">
        <v>0</v>
      </c>
      <c r="X1378" s="72" t="inlineStr">
        <is>
          <t>NF 307805-1 MILKA</t>
        </is>
      </c>
      <c r="Z1378" s="59">
        <f>IF($T1378="","",IFERROR(INDEX('Resumo Grupos'!$AC$3:$AC$200,MATCH($T1378,'Resumo Grupos'!$AB$3:$AB$200,0)),"n/d"))</f>
        <v/>
      </c>
      <c r="AA1378" s="59">
        <f>IF($T1378="","",IF(COUNTIF('Resumo Grupos'!$AE$3:$AE$40,$T1378)&gt;0,"NAO","SIM"))</f>
        <v/>
      </c>
    </row>
    <row r="1379" ht="54.75" customHeight="1" s="60">
      <c r="A1379" s="70" t="n">
        <v>1</v>
      </c>
      <c r="B1379" s="71" t="n">
        <v>46219</v>
      </c>
      <c r="C1379" s="71" t="n">
        <v>46225</v>
      </c>
      <c r="D1379" s="70" t="n">
        <v>1363</v>
      </c>
      <c r="E1379" s="72" t="inlineStr">
        <is>
          <t>JAB COMERCIO DE PRODUTOS ALIMENTICIOS LT</t>
        </is>
      </c>
      <c r="F1379" s="70" t="n">
        <v>24</v>
      </c>
      <c r="G1379" s="72" t="inlineStr">
        <is>
          <t>Compra a Prazo - Boletos</t>
        </is>
      </c>
      <c r="H1379" s="70" t="n">
        <v>1110202</v>
      </c>
      <c r="I1379" s="72" t="inlineStr">
        <is>
          <t>BANCO ITAU Lj 01</t>
        </is>
      </c>
      <c r="J1379" s="70" t="n">
        <v>1405648</v>
      </c>
      <c r="L1379" s="70" t="n">
        <v>3550</v>
      </c>
      <c r="M1379" s="72" t="inlineStr">
        <is>
          <t>01</t>
        </is>
      </c>
      <c r="N1379" s="72" t="inlineStr">
        <is>
          <t>AVU</t>
        </is>
      </c>
      <c r="P1379" s="70" t="n">
        <v>103</v>
      </c>
      <c r="Q1379" s="72" t="inlineStr">
        <is>
          <t>MILKA FRANCIS</t>
        </is>
      </c>
      <c r="R1379" s="72" t="inlineStr">
        <is>
          <t>ESTOQUE DE MERCADORIAS</t>
        </is>
      </c>
      <c r="S1379" s="70" t="n">
        <v>1130101</v>
      </c>
      <c r="T1379" s="72" t="inlineStr">
        <is>
          <t>MERCADORIAS P/REVENDA</t>
        </is>
      </c>
      <c r="U1379" s="73" t="n">
        <v>315</v>
      </c>
      <c r="W1379" s="73" t="n">
        <v>0</v>
      </c>
      <c r="X1379" s="72" t="inlineStr">
        <is>
          <t>NF 10312 SANTOPAO - MILKA</t>
        </is>
      </c>
      <c r="Z1379" s="59">
        <f>IF($T1379="","",IFERROR(INDEX('Resumo Grupos'!$AC$3:$AC$200,MATCH($T1379,'Resumo Grupos'!$AB$3:$AB$200,0)),"n/d"))</f>
        <v/>
      </c>
      <c r="AA1379" s="59">
        <f>IF($T1379="","",IF(COUNTIF('Resumo Grupos'!$AE$3:$AE$40,$T1379)&gt;0,"NAO","SIM"))</f>
        <v/>
      </c>
    </row>
    <row r="1380" ht="36.75" customHeight="1" s="60">
      <c r="A1380" s="70" t="n">
        <v>1</v>
      </c>
      <c r="B1380" s="71" t="n">
        <v>46219</v>
      </c>
      <c r="C1380" s="71" t="n">
        <v>46225</v>
      </c>
      <c r="D1380" s="70" t="n">
        <v>1819</v>
      </c>
      <c r="E1380" s="72" t="inlineStr">
        <is>
          <t>LELE FABRICACAO DE MASSAS LTDA</t>
        </is>
      </c>
      <c r="F1380" s="70" t="n">
        <v>24</v>
      </c>
      <c r="G1380" s="72" t="inlineStr">
        <is>
          <t>Compra a Prazo - Boletos</t>
        </is>
      </c>
      <c r="H1380" s="70" t="n">
        <v>1110202</v>
      </c>
      <c r="I1380" s="72" t="inlineStr">
        <is>
          <t>BANCO ITAU Lj 01</t>
        </is>
      </c>
      <c r="J1380" s="70" t="n">
        <v>1406046</v>
      </c>
      <c r="L1380" s="70" t="n">
        <v>16646</v>
      </c>
      <c r="M1380" s="72" t="inlineStr">
        <is>
          <t>01</t>
        </is>
      </c>
      <c r="N1380" s="72" t="inlineStr">
        <is>
          <t>AVU</t>
        </is>
      </c>
      <c r="P1380" s="70" t="n">
        <v>103</v>
      </c>
      <c r="Q1380" s="72" t="inlineStr">
        <is>
          <t>MILKA FRANCIS</t>
        </is>
      </c>
      <c r="R1380" s="72" t="inlineStr">
        <is>
          <t>ESTOQUE DE MERCADORIAS</t>
        </is>
      </c>
      <c r="S1380" s="70" t="n">
        <v>1130101</v>
      </c>
      <c r="T1380" s="72" t="inlineStr">
        <is>
          <t>MERCADORIAS P/REVENDA</t>
        </is>
      </c>
      <c r="U1380" s="73" t="n">
        <v>450</v>
      </c>
      <c r="W1380" s="73" t="n">
        <v>0</v>
      </c>
      <c r="X1380" s="72" t="inlineStr">
        <is>
          <t>NF 16646 - MILKA</t>
        </is>
      </c>
      <c r="Z1380" s="59">
        <f>IF($T1380="","",IFERROR(INDEX('Resumo Grupos'!$AC$3:$AC$200,MATCH($T1380,'Resumo Grupos'!$AB$3:$AB$200,0)),"n/d"))</f>
        <v/>
      </c>
      <c r="AA1380" s="59">
        <f>IF($T1380="","",IF(COUNTIF('Resumo Grupos'!$AE$3:$AE$40,$T1380)&gt;0,"NAO","SIM"))</f>
        <v/>
      </c>
    </row>
    <row r="1381" ht="27.75" customHeight="1" s="60">
      <c r="A1381" s="70" t="n">
        <v>1</v>
      </c>
      <c r="B1381" s="71" t="n">
        <v>46223</v>
      </c>
      <c r="C1381" s="71" t="n">
        <v>46225</v>
      </c>
      <c r="D1381" s="70" t="n">
        <v>1899</v>
      </c>
      <c r="E1381" s="72" t="inlineStr">
        <is>
          <t>PANIFICADORA E CONFEITARIA REAL MADRI LTDA</t>
        </is>
      </c>
      <c r="F1381" s="70" t="n">
        <v>24</v>
      </c>
      <c r="G1381" s="72" t="inlineStr">
        <is>
          <t>Compra a Prazo - Boletos</t>
        </is>
      </c>
      <c r="H1381" s="70" t="n">
        <v>1110202</v>
      </c>
      <c r="I1381" s="72" t="inlineStr">
        <is>
          <t>BANCO ITAU Lj 01</t>
        </is>
      </c>
      <c r="J1381" s="70" t="n">
        <v>1425420</v>
      </c>
      <c r="L1381" s="70" t="n">
        <v>721</v>
      </c>
      <c r="M1381" s="72" t="inlineStr">
        <is>
          <t>01</t>
        </is>
      </c>
      <c r="N1381" s="72" t="inlineStr">
        <is>
          <t>AVU</t>
        </is>
      </c>
      <c r="P1381" s="70" t="n">
        <v>103</v>
      </c>
      <c r="Q1381" s="72" t="inlineStr">
        <is>
          <t>MILKA FRANCIS</t>
        </is>
      </c>
      <c r="R1381" s="72" t="inlineStr">
        <is>
          <t>ESTOQUE DE MERCADORIAS</t>
        </is>
      </c>
      <c r="S1381" s="70" t="n">
        <v>1130101</v>
      </c>
      <c r="T1381" s="72" t="inlineStr">
        <is>
          <t>MERCADORIAS P/REVENDA</t>
        </is>
      </c>
      <c r="U1381" s="73" t="n">
        <v>602.15</v>
      </c>
      <c r="W1381" s="73" t="n">
        <v>0</v>
      </c>
      <c r="X1381" s="72" t="inlineStr">
        <is>
          <t>NF 721 - MILKA</t>
        </is>
      </c>
      <c r="Z1381" s="59">
        <f>IF($T1381="","",IFERROR(INDEX('Resumo Grupos'!$AC$3:$AC$200,MATCH($T1381,'Resumo Grupos'!$AB$3:$AB$200,0)),"n/d"))</f>
        <v/>
      </c>
      <c r="AA1381" s="59">
        <f>IF($T1381="","",IF(COUNTIF('Resumo Grupos'!$AE$3:$AE$40,$T1381)&gt;0,"NAO","SIM"))</f>
        <v/>
      </c>
    </row>
    <row r="1382" ht="27.75" customHeight="1" s="60">
      <c r="A1382" s="70" t="n">
        <v>1</v>
      </c>
      <c r="B1382" s="71" t="n">
        <v>46224</v>
      </c>
      <c r="C1382" s="71" t="n">
        <v>46225</v>
      </c>
      <c r="D1382" s="70" t="n">
        <v>33</v>
      </c>
      <c r="E1382" s="72" t="inlineStr">
        <is>
          <t>RENATO DE O AZEVEDO E CIA LTDA - EPP</t>
        </is>
      </c>
      <c r="F1382" s="70" t="n">
        <v>34</v>
      </c>
      <c r="G1382" s="72" t="inlineStr">
        <is>
          <t>Transferencia Pix</t>
        </is>
      </c>
      <c r="H1382" s="70" t="n">
        <v>2110101</v>
      </c>
      <c r="I1382" s="72" t="inlineStr">
        <is>
          <t>FORNECEDORES DE MERCADORIA</t>
        </is>
      </c>
      <c r="J1382" s="70" t="n">
        <v>1430734</v>
      </c>
      <c r="L1382" s="70" t="n">
        <v>5330</v>
      </c>
      <c r="M1382" s="72" t="inlineStr">
        <is>
          <t>01</t>
        </is>
      </c>
      <c r="N1382" s="72" t="inlineStr">
        <is>
          <t>NFE</t>
        </is>
      </c>
      <c r="P1382" s="70" t="n">
        <v>104</v>
      </c>
      <c r="Q1382" s="72" t="inlineStr">
        <is>
          <t>DEBORA COSTA</t>
        </is>
      </c>
      <c r="R1382" s="72" t="inlineStr">
        <is>
          <t>ESTOQUE DE MERCADORIAS</t>
        </is>
      </c>
      <c r="S1382" s="70" t="n">
        <v>1130101</v>
      </c>
      <c r="T1382" s="72" t="inlineStr">
        <is>
          <t>MERCADORIAS P/REVENDA</t>
        </is>
      </c>
      <c r="U1382" s="73" t="n">
        <v>1529</v>
      </c>
      <c r="W1382" s="73" t="n">
        <v>0</v>
      </c>
      <c r="X1382" s="72" t="inlineStr">
        <is>
          <t>FEIRA CARLOS - DEBORA</t>
        </is>
      </c>
      <c r="Z1382" s="59">
        <f>IF($T1382="","",IFERROR(INDEX('Resumo Grupos'!$AC$3:$AC$200,MATCH($T1382,'Resumo Grupos'!$AB$3:$AB$200,0)),"n/d"))</f>
        <v/>
      </c>
      <c r="AA1382" s="59">
        <f>IF($T1382="","",IF(COUNTIF('Resumo Grupos'!$AE$3:$AE$40,$T1382)&gt;0,"NAO","SIM"))</f>
        <v/>
      </c>
    </row>
    <row r="1383" ht="3" customHeight="1" s="60">
      <c r="A1383" s="74" t="n">
        <v>1</v>
      </c>
      <c r="B1383" s="75" t="n">
        <v>46224</v>
      </c>
      <c r="C1383" s="75" t="n">
        <v>46225</v>
      </c>
      <c r="D1383" s="76" t="n">
        <v>1615</v>
      </c>
      <c r="E1383" s="59" t="inlineStr">
        <is>
          <t>COMERCIO E TRANSPORTE BRANDAO LTDA</t>
        </is>
      </c>
      <c r="F1383" s="76" t="n">
        <v>34</v>
      </c>
      <c r="G1383" s="59" t="inlineStr">
        <is>
          <t>Transferencia Pix</t>
        </is>
      </c>
      <c r="H1383" s="76" t="n">
        <v>2110101</v>
      </c>
      <c r="I1383" s="59" t="inlineStr">
        <is>
          <t>FORNECEDORES DE MERCADORIA</t>
        </is>
      </c>
      <c r="J1383" s="76" t="n">
        <v>1430810</v>
      </c>
      <c r="L1383" s="76" t="n">
        <v>14911</v>
      </c>
      <c r="M1383" s="59" t="inlineStr">
        <is>
          <t>01</t>
        </is>
      </c>
      <c r="N1383" s="59" t="inlineStr">
        <is>
          <t>NFE</t>
        </is>
      </c>
      <c r="P1383" s="76" t="n">
        <v>104</v>
      </c>
      <c r="Q1383" s="59" t="inlineStr">
        <is>
          <t>DEBORA COSTA</t>
        </is>
      </c>
      <c r="R1383" s="59" t="inlineStr">
        <is>
          <t>ESTOQUE DE MERCADORIAS</t>
        </is>
      </c>
      <c r="S1383" s="76" t="n">
        <v>1130101</v>
      </c>
      <c r="T1383" s="59" t="inlineStr">
        <is>
          <t>MERCADORIAS P/REVENDA</t>
        </is>
      </c>
      <c r="U1383" s="77" t="n">
        <v>850</v>
      </c>
      <c r="W1383" s="77" t="n">
        <v>0</v>
      </c>
      <c r="X1383" s="59" t="inlineStr">
        <is>
          <t>NF 14911 - DEBORA</t>
        </is>
      </c>
      <c r="Z1383" s="59">
        <f>IF($T1383="","",IFERROR(INDEX('Resumo Grupos'!$AC$3:$AC$200,MATCH($T1383,'Resumo Grupos'!$AB$3:$AB$200,0)),"n/d"))</f>
        <v/>
      </c>
      <c r="AA1383" s="59">
        <f>IF($T1383="","",IF(COUNTIF('Resumo Grupos'!$AE$3:$AE$40,$T1383)&gt;0,"NAO","SIM"))</f>
        <v/>
      </c>
    </row>
    <row r="1384" ht="9.75" customHeight="1" s="60">
      <c r="A1384" s="78" t="n">
        <v>1</v>
      </c>
      <c r="B1384" s="75" t="n">
        <v>46224</v>
      </c>
      <c r="C1384" s="75" t="n">
        <v>46225</v>
      </c>
      <c r="D1384" s="76" t="n">
        <v>33</v>
      </c>
      <c r="E1384" s="59" t="inlineStr">
        <is>
          <t>RENATO DE O AZEVEDO E CIA LTDA - EPP</t>
        </is>
      </c>
      <c r="F1384" s="76" t="n">
        <v>34</v>
      </c>
      <c r="G1384" s="59" t="inlineStr">
        <is>
          <t>Transferencia Pix</t>
        </is>
      </c>
      <c r="H1384" s="76" t="n">
        <v>2110101</v>
      </c>
      <c r="I1384" s="59" t="inlineStr">
        <is>
          <t>FORNECEDORES DE MERCADORIA</t>
        </is>
      </c>
      <c r="J1384" s="76" t="n">
        <v>1430952</v>
      </c>
      <c r="K1384" s="79" t="n"/>
      <c r="L1384" s="76" t="n">
        <v>589447</v>
      </c>
      <c r="M1384" s="59" t="inlineStr">
        <is>
          <t>01</t>
        </is>
      </c>
      <c r="N1384" s="59" t="inlineStr">
        <is>
          <t>AVU</t>
        </is>
      </c>
      <c r="P1384" s="76" t="n">
        <v>104</v>
      </c>
      <c r="Q1384" s="59" t="inlineStr">
        <is>
          <t>DEBORA COSTA</t>
        </is>
      </c>
      <c r="R1384" s="59" t="inlineStr">
        <is>
          <t>ESTOQUE DE MERCADORIAS</t>
        </is>
      </c>
      <c r="S1384" s="76" t="n">
        <v>1130101</v>
      </c>
      <c r="T1384" s="59" t="inlineStr">
        <is>
          <t>MERCADORIAS P/REVENDA</t>
        </is>
      </c>
      <c r="U1384" s="77" t="n">
        <v>70</v>
      </c>
      <c r="V1384" s="80" t="n"/>
      <c r="W1384" s="77" t="n">
        <v>0</v>
      </c>
      <c r="X1384" s="59" t="inlineStr">
        <is>
          <t>FEIRA CARLOS - CAMARAO COM CASCA - DEBORA</t>
        </is>
      </c>
      <c r="Y1384" s="81" t="n"/>
      <c r="Z1384" s="59">
        <f>IF($T1384="","",IFERROR(INDEX('Resumo Grupos'!$AC$3:$AC$200,MATCH($T1384,'Resumo Grupos'!$AB$3:$AB$200,0)),"n/d"))</f>
        <v/>
      </c>
      <c r="AA1384" s="59">
        <f>IF($T1384="","",IF(COUNTIF('Resumo Grupos'!$AE$3:$AE$40,$T1384)&gt;0,"NAO","SIM"))</f>
        <v/>
      </c>
    </row>
    <row r="1385" ht="12.75" customHeight="1" s="60">
      <c r="A1385" s="76" t="n">
        <v>1</v>
      </c>
      <c r="B1385" s="75" t="n">
        <v>46225</v>
      </c>
      <c r="C1385" s="75" t="n">
        <v>46225</v>
      </c>
      <c r="D1385" s="76" t="n">
        <v>1961</v>
      </c>
      <c r="E1385" s="59" t="inlineStr">
        <is>
          <t xml:space="preserve">ALMOCO </t>
        </is>
      </c>
      <c r="F1385" s="76" t="n">
        <v>34</v>
      </c>
      <c r="G1385" s="59" t="inlineStr">
        <is>
          <t>Transferencia Pix</t>
        </is>
      </c>
      <c r="H1385" s="76" t="n">
        <v>1110202</v>
      </c>
      <c r="I1385" s="59" t="inlineStr">
        <is>
          <t>BANCO ITAU Lj 01</t>
        </is>
      </c>
      <c r="J1385" s="76" t="n">
        <v>1448545</v>
      </c>
      <c r="L1385" s="76" t="n">
        <v>595964</v>
      </c>
      <c r="M1385" s="59" t="inlineStr">
        <is>
          <t>01</t>
        </is>
      </c>
      <c r="N1385" s="59" t="inlineStr">
        <is>
          <t>AVU</t>
        </is>
      </c>
      <c r="P1385" s="76" t="n">
        <v>102</v>
      </c>
      <c r="Q1385" s="59" t="inlineStr">
        <is>
          <t>ANDREZA ANDRADE</t>
        </is>
      </c>
      <c r="R1385" s="59" t="inlineStr">
        <is>
          <t>DESPESAS COM PESSOAL</t>
        </is>
      </c>
      <c r="S1385" s="76" t="n">
        <v>4210310</v>
      </c>
      <c r="T1385" s="59" t="inlineStr">
        <is>
          <t>ALIMENTACAO</t>
        </is>
      </c>
      <c r="U1385" s="77" t="n">
        <v>360</v>
      </c>
      <c r="W1385" s="77" t="n">
        <v>0</v>
      </c>
      <c r="X1385" s="59" t="inlineStr">
        <is>
          <t>DESPESA FUNC ALIMENTACAO MO1-ANDREZA</t>
        </is>
      </c>
      <c r="Z1385" s="59">
        <f>IF($T1385="","",IFERROR(INDEX('Resumo Grupos'!$AC$3:$AC$200,MATCH($T1385,'Resumo Grupos'!$AB$3:$AB$200,0)),"n/d"))</f>
        <v/>
      </c>
      <c r="AA1385" s="59">
        <f>IF($T1385="","",IF(COUNTIF('Resumo Grupos'!$AE$3:$AE$40,$T1385)&gt;0,"NAO","SIM"))</f>
        <v/>
      </c>
    </row>
    <row r="1386" ht="12.75" customHeight="1" s="60">
      <c r="A1386" s="76" t="n">
        <v>1</v>
      </c>
      <c r="B1386" s="75" t="n">
        <v>46126</v>
      </c>
      <c r="C1386" s="75" t="n">
        <v>46226</v>
      </c>
      <c r="D1386" s="76" t="n">
        <v>17</v>
      </c>
      <c r="E1386" s="59" t="inlineStr">
        <is>
          <t>NEYLIANE SILVA DE OLIVEIRA</t>
        </is>
      </c>
      <c r="F1386" s="76" t="n">
        <v>24</v>
      </c>
      <c r="G1386" s="59" t="inlineStr">
        <is>
          <t>Compra a Prazo - Boletos</t>
        </is>
      </c>
      <c r="H1386" s="76" t="n">
        <v>2110405</v>
      </c>
      <c r="I1386" s="59" t="inlineStr">
        <is>
          <t>CONTAS A PAGAR</t>
        </is>
      </c>
      <c r="J1386" s="76" t="n">
        <v>950724</v>
      </c>
      <c r="L1386" s="76" t="n">
        <v>403362</v>
      </c>
      <c r="M1386" s="59" t="inlineStr">
        <is>
          <t>04</t>
        </is>
      </c>
      <c r="N1386" s="59" t="inlineStr">
        <is>
          <t>AVU</t>
        </is>
      </c>
      <c r="P1386" s="76" t="n">
        <v>101</v>
      </c>
      <c r="Q1386" s="59" t="inlineStr">
        <is>
          <t>KEILA LIMA</t>
        </is>
      </c>
      <c r="R1386" s="59" t="inlineStr">
        <is>
          <t>DESPESAS NAO OPERACIONAIS</t>
        </is>
      </c>
      <c r="S1386" s="76" t="n">
        <v>4220199</v>
      </c>
      <c r="T1386" s="59" t="inlineStr">
        <is>
          <t>PAGAMENTOS OUTROS NAO OPERACIONAIS</t>
        </is>
      </c>
      <c r="U1386" s="77" t="n">
        <v>2720.81</v>
      </c>
      <c r="W1386" s="77" t="n">
        <v>0</v>
      </c>
      <c r="X1386" s="59" t="inlineStr">
        <is>
          <t xml:space="preserve">PL NEILA CARRO 04/36 </t>
        </is>
      </c>
      <c r="Z1386" s="59">
        <f>IF($T1386="","",IFERROR(INDEX('Resumo Grupos'!$AC$3:$AC$200,MATCH($T1386,'Resumo Grupos'!$AB$3:$AB$200,0)),"n/d"))</f>
        <v/>
      </c>
      <c r="AA1386" s="59">
        <f>IF($T1386="","",IF(COUNTIF('Resumo Grupos'!$AE$3:$AE$40,$T1386)&gt;0,"NAO","SIM"))</f>
        <v/>
      </c>
    </row>
    <row r="1387" ht="12.75" customHeight="1" s="60">
      <c r="A1387" s="76" t="n">
        <v>1</v>
      </c>
      <c r="B1387" s="75" t="n">
        <v>46189</v>
      </c>
      <c r="C1387" s="75" t="n">
        <v>46226</v>
      </c>
      <c r="D1387" s="76" t="n">
        <v>10012</v>
      </c>
      <c r="E1387" s="59" t="inlineStr">
        <is>
          <t>SB COMERCIO LTDA</t>
        </is>
      </c>
      <c r="F1387" s="76" t="n">
        <v>24</v>
      </c>
      <c r="G1387" s="59" t="inlineStr">
        <is>
          <t>Compra a Prazo - Boletos</t>
        </is>
      </c>
      <c r="H1387" s="76" t="n">
        <v>2110101</v>
      </c>
      <c r="I1387" s="59" t="inlineStr">
        <is>
          <t>FORNECEDORES DE MERCADORIA</t>
        </is>
      </c>
      <c r="J1387" s="76" t="n">
        <v>1261364</v>
      </c>
      <c r="L1387" s="76" t="n">
        <v>1957890</v>
      </c>
      <c r="M1387" s="59" t="inlineStr">
        <is>
          <t>04</t>
        </is>
      </c>
      <c r="N1387" s="59" t="inlineStr">
        <is>
          <t>NFE</t>
        </is>
      </c>
      <c r="P1387" s="76" t="n">
        <v>103</v>
      </c>
      <c r="Q1387" s="59" t="inlineStr">
        <is>
          <t>MILKA FRANCIS</t>
        </is>
      </c>
      <c r="R1387" s="59" t="inlineStr">
        <is>
          <t>ESTOQUE DE MERCADORIAS</t>
        </is>
      </c>
      <c r="S1387" s="76" t="n">
        <v>1130101</v>
      </c>
      <c r="T1387" s="59" t="inlineStr">
        <is>
          <t>MERCADORIAS P/REVENDA</t>
        </is>
      </c>
      <c r="U1387" s="77" t="n">
        <v>3937.78</v>
      </c>
      <c r="W1387" s="77" t="n">
        <v>0</v>
      </c>
      <c r="X1387" s="59" t="inlineStr">
        <is>
          <t>NF 1957890-4 MILKA</t>
        </is>
      </c>
      <c r="Z1387" s="59">
        <f>IF($T1387="","",IFERROR(INDEX('Resumo Grupos'!$AC$3:$AC$200,MATCH($T1387,'Resumo Grupos'!$AB$3:$AB$200,0)),"n/d"))</f>
        <v/>
      </c>
      <c r="AA1387" s="59">
        <f>IF($T1387="","",IF(COUNTIF('Resumo Grupos'!$AE$3:$AE$40,$T1387)&gt;0,"NAO","SIM"))</f>
        <v/>
      </c>
    </row>
    <row r="1388" ht="12.75" customHeight="1" s="60">
      <c r="A1388" s="76" t="n">
        <v>1</v>
      </c>
      <c r="B1388" s="75" t="n">
        <v>46197</v>
      </c>
      <c r="C1388" s="75" t="n">
        <v>46226</v>
      </c>
      <c r="D1388" s="76" t="n">
        <v>1608</v>
      </c>
      <c r="E1388" s="59" t="inlineStr">
        <is>
          <t>DISTRIBUIDORA LOPES LTDA</t>
        </is>
      </c>
      <c r="F1388" s="76" t="n">
        <v>24</v>
      </c>
      <c r="G1388" s="59" t="inlineStr">
        <is>
          <t>Compra a Prazo - Boletos</t>
        </is>
      </c>
      <c r="H1388" s="76" t="n">
        <v>2110101</v>
      </c>
      <c r="I1388" s="59" t="inlineStr">
        <is>
          <t>FORNECEDORES DE MERCADORIA</t>
        </is>
      </c>
      <c r="J1388" s="76" t="n">
        <v>1299280</v>
      </c>
      <c r="L1388" s="76" t="n">
        <v>1680082</v>
      </c>
      <c r="M1388" s="59" t="inlineStr">
        <is>
          <t>02</t>
        </is>
      </c>
      <c r="N1388" s="59" t="inlineStr">
        <is>
          <t>NFE</t>
        </is>
      </c>
      <c r="P1388" s="76" t="n">
        <v>103</v>
      </c>
      <c r="Q1388" s="59" t="inlineStr">
        <is>
          <t>MILKA FRANCIS</t>
        </is>
      </c>
      <c r="R1388" s="59" t="inlineStr">
        <is>
          <t>ESTOQUE DE MERCADORIAS</t>
        </is>
      </c>
      <c r="S1388" s="76" t="n">
        <v>1130101</v>
      </c>
      <c r="T1388" s="59" t="inlineStr">
        <is>
          <t>MERCADORIAS P/REVENDA</t>
        </is>
      </c>
      <c r="U1388" s="77" t="n">
        <v>1310.04</v>
      </c>
      <c r="W1388" s="77" t="n">
        <v>0</v>
      </c>
      <c r="X1388" s="59" t="inlineStr">
        <is>
          <t xml:space="preserve">NF 1680082-2 MILKA </t>
        </is>
      </c>
      <c r="Z1388" s="59">
        <f>IF($T1388="","",IFERROR(INDEX('Resumo Grupos'!$AC$3:$AC$200,MATCH($T1388,'Resumo Grupos'!$AB$3:$AB$200,0)),"n/d"))</f>
        <v/>
      </c>
      <c r="AA1388" s="59">
        <f>IF($T1388="","",IF(COUNTIF('Resumo Grupos'!$AE$3:$AE$40,$T1388)&gt;0,"NAO","SIM"))</f>
        <v/>
      </c>
    </row>
    <row r="1389" ht="12.75" customHeight="1" s="60">
      <c r="A1389" s="76" t="n">
        <v>1</v>
      </c>
      <c r="B1389" s="75" t="n">
        <v>46198</v>
      </c>
      <c r="C1389" s="75" t="n">
        <v>46226</v>
      </c>
      <c r="D1389" s="76" t="n">
        <v>1626</v>
      </c>
      <c r="E1389" s="59" t="inlineStr">
        <is>
          <t>FENNIX BRASIL DISTRIBUIDORA DE PRODUTOS</t>
        </is>
      </c>
      <c r="F1389" s="76" t="n">
        <v>24</v>
      </c>
      <c r="G1389" s="59" t="inlineStr">
        <is>
          <t>Compra a Prazo - Boletos</t>
        </is>
      </c>
      <c r="H1389" s="76" t="n">
        <v>2110101</v>
      </c>
      <c r="I1389" s="59" t="inlineStr">
        <is>
          <t>FORNECEDORES DE MERCADORIA</t>
        </is>
      </c>
      <c r="J1389" s="76" t="n">
        <v>1305846</v>
      </c>
      <c r="L1389" s="76" t="n">
        <v>311084</v>
      </c>
      <c r="M1389" s="59" t="inlineStr">
        <is>
          <t>03</t>
        </is>
      </c>
      <c r="N1389" s="59" t="inlineStr">
        <is>
          <t>NFE</t>
        </is>
      </c>
      <c r="P1389" s="76" t="n">
        <v>103</v>
      </c>
      <c r="Q1389" s="59" t="inlineStr">
        <is>
          <t>MILKA FRANCIS</t>
        </is>
      </c>
      <c r="R1389" s="59" t="inlineStr">
        <is>
          <t>ESTOQUE DE MERCADORIAS</t>
        </is>
      </c>
      <c r="S1389" s="76" t="n">
        <v>1130101</v>
      </c>
      <c r="T1389" s="59" t="inlineStr">
        <is>
          <t>MERCADORIAS P/REVENDA</t>
        </is>
      </c>
      <c r="U1389" s="77" t="n">
        <v>2048.68</v>
      </c>
      <c r="W1389" s="77" t="n">
        <v>0</v>
      </c>
      <c r="X1389" s="59" t="inlineStr">
        <is>
          <t>NF 311084 -3 MILKA</t>
        </is>
      </c>
      <c r="Z1389" s="59">
        <f>IF($T1389="","",IFERROR(INDEX('Resumo Grupos'!$AC$3:$AC$200,MATCH($T1389,'Resumo Grupos'!$AB$3:$AB$200,0)),"n/d"))</f>
        <v/>
      </c>
      <c r="AA1389" s="59">
        <f>IF($T1389="","",IF(COUNTIF('Resumo Grupos'!$AE$3:$AE$40,$T1389)&gt;0,"NAO","SIM"))</f>
        <v/>
      </c>
    </row>
    <row r="1390" ht="12.75" customHeight="1" s="60">
      <c r="A1390" s="76" t="n">
        <v>1</v>
      </c>
      <c r="B1390" s="75" t="n">
        <v>46199</v>
      </c>
      <c r="C1390" s="75" t="n">
        <v>46226</v>
      </c>
      <c r="D1390" s="76" t="n">
        <v>10017</v>
      </c>
      <c r="E1390" s="59" t="inlineStr">
        <is>
          <t>PIARARA COMERCIO, IMPORTACAO E EXPORTACAO LTDA</t>
        </is>
      </c>
      <c r="F1390" s="76" t="n">
        <v>24</v>
      </c>
      <c r="G1390" s="59" t="inlineStr">
        <is>
          <t>Compra a Prazo - Boletos</t>
        </is>
      </c>
      <c r="H1390" s="76" t="n">
        <v>2110101</v>
      </c>
      <c r="I1390" s="59" t="inlineStr">
        <is>
          <t>FORNECEDORES DE MERCADORIA</t>
        </is>
      </c>
      <c r="J1390" s="76" t="n">
        <v>1310224</v>
      </c>
      <c r="L1390" s="76" t="n">
        <v>193797</v>
      </c>
      <c r="M1390" s="59" t="inlineStr">
        <is>
          <t>03</t>
        </is>
      </c>
      <c r="N1390" s="59" t="inlineStr">
        <is>
          <t>NFE</t>
        </is>
      </c>
      <c r="P1390" s="76" t="n">
        <v>103</v>
      </c>
      <c r="Q1390" s="59" t="inlineStr">
        <is>
          <t>MILKA FRANCIS</t>
        </is>
      </c>
      <c r="R1390" s="59" t="inlineStr">
        <is>
          <t>ESTOQUE DE MERCADORIAS</t>
        </is>
      </c>
      <c r="S1390" s="76" t="n">
        <v>1130101</v>
      </c>
      <c r="T1390" s="59" t="inlineStr">
        <is>
          <t>MERCADORIAS P/REVENDA</t>
        </is>
      </c>
      <c r="U1390" s="77" t="n">
        <v>1024.54</v>
      </c>
      <c r="W1390" s="77" t="n">
        <v>0</v>
      </c>
      <c r="X1390" s="59" t="inlineStr">
        <is>
          <t>NF 193797 -3 MILKA</t>
        </is>
      </c>
      <c r="Z1390" s="59">
        <f>IF($T1390="","",IFERROR(INDEX('Resumo Grupos'!$AC$3:$AC$200,MATCH($T1390,'Resumo Grupos'!$AB$3:$AB$200,0)),"n/d"))</f>
        <v/>
      </c>
      <c r="AA1390" s="59">
        <f>IF($T1390="","",IF(COUNTIF('Resumo Grupos'!$AE$3:$AE$40,$T1390)&gt;0,"NAO","SIM"))</f>
        <v/>
      </c>
    </row>
    <row r="1391" ht="12.75" customHeight="1" s="60">
      <c r="A1391" s="76" t="n">
        <v>1</v>
      </c>
      <c r="B1391" s="75" t="n">
        <v>46202</v>
      </c>
      <c r="C1391" s="75" t="n">
        <v>46226</v>
      </c>
      <c r="D1391" s="76" t="n">
        <v>1740</v>
      </c>
      <c r="E1391" s="59" t="inlineStr">
        <is>
          <t>OCIDENTAL COMERCIO DE FRIOS LTDA</t>
        </is>
      </c>
      <c r="F1391" s="76" t="n">
        <v>24</v>
      </c>
      <c r="G1391" s="59" t="inlineStr">
        <is>
          <t>Compra a Prazo - Boletos</t>
        </is>
      </c>
      <c r="H1391" s="76" t="n">
        <v>2110101</v>
      </c>
      <c r="I1391" s="59" t="inlineStr">
        <is>
          <t>FORNECEDORES DE MERCADORIA</t>
        </is>
      </c>
      <c r="J1391" s="76" t="n">
        <v>1325622</v>
      </c>
      <c r="L1391" s="76" t="n">
        <v>1240896</v>
      </c>
      <c r="M1391" s="59" t="inlineStr">
        <is>
          <t>02</t>
        </is>
      </c>
      <c r="N1391" s="59" t="inlineStr">
        <is>
          <t>NFE</t>
        </is>
      </c>
      <c r="P1391" s="76" t="n">
        <v>103</v>
      </c>
      <c r="Q1391" s="59" t="inlineStr">
        <is>
          <t>MILKA FRANCIS</t>
        </is>
      </c>
      <c r="R1391" s="59" t="inlineStr">
        <is>
          <t>ESTOQUE DE MERCADORIAS</t>
        </is>
      </c>
      <c r="S1391" s="76" t="n">
        <v>1130101</v>
      </c>
      <c r="T1391" s="59" t="inlineStr">
        <is>
          <t>MERCADORIAS P/REVENDA</t>
        </is>
      </c>
      <c r="U1391" s="77" t="n">
        <v>983.78</v>
      </c>
      <c r="W1391" s="77" t="n">
        <v>0</v>
      </c>
      <c r="X1391" s="59" t="inlineStr">
        <is>
          <t>NF 1240896-2/2 MILKA</t>
        </is>
      </c>
      <c r="Z1391" s="59">
        <f>IF($T1391="","",IFERROR(INDEX('Resumo Grupos'!$AC$3:$AC$200,MATCH($T1391,'Resumo Grupos'!$AB$3:$AB$200,0)),"n/d"))</f>
        <v/>
      </c>
      <c r="AA1391" s="59">
        <f>IF($T1391="","",IF(COUNTIF('Resumo Grupos'!$AE$3:$AE$40,$T1391)&gt;0,"NAO","SIM"))</f>
        <v/>
      </c>
    </row>
    <row r="1392" ht="12.75" customHeight="1" s="60">
      <c r="A1392" s="76" t="n">
        <v>1</v>
      </c>
      <c r="B1392" s="75" t="n">
        <v>46205</v>
      </c>
      <c r="C1392" s="75" t="n">
        <v>46226</v>
      </c>
      <c r="D1392" s="76" t="n">
        <v>1740</v>
      </c>
      <c r="E1392" s="59" t="inlineStr">
        <is>
          <t>OCIDENTAL COMERCIO DE FRIOS LTDA</t>
        </is>
      </c>
      <c r="F1392" s="76" t="n">
        <v>24</v>
      </c>
      <c r="G1392" s="59" t="inlineStr">
        <is>
          <t>Compra a Prazo - Boletos</t>
        </is>
      </c>
      <c r="H1392" s="76" t="n">
        <v>2110101</v>
      </c>
      <c r="I1392" s="59" t="inlineStr">
        <is>
          <t>FORNECEDORES DE MERCADORIA</t>
        </is>
      </c>
      <c r="J1392" s="76" t="n">
        <v>1340464</v>
      </c>
      <c r="L1392" s="76" t="n">
        <v>1243403</v>
      </c>
      <c r="M1392" s="59" t="inlineStr">
        <is>
          <t>01</t>
        </is>
      </c>
      <c r="N1392" s="59" t="inlineStr">
        <is>
          <t>NFE</t>
        </is>
      </c>
      <c r="P1392" s="76" t="n">
        <v>103</v>
      </c>
      <c r="Q1392" s="59" t="inlineStr">
        <is>
          <t>MILKA FRANCIS</t>
        </is>
      </c>
      <c r="R1392" s="59" t="inlineStr">
        <is>
          <t>ESTOQUE DE MERCADORIAS</t>
        </is>
      </c>
      <c r="S1392" s="76" t="n">
        <v>1130101</v>
      </c>
      <c r="T1392" s="59" t="inlineStr">
        <is>
          <t>MERCADORIAS P/REVENDA</t>
        </is>
      </c>
      <c r="U1392" s="77" t="n">
        <v>972.3</v>
      </c>
      <c r="W1392" s="77" t="n">
        <v>0</v>
      </c>
      <c r="X1392" s="59" t="inlineStr">
        <is>
          <t>NF 1243403-1 MILKA</t>
        </is>
      </c>
      <c r="Z1392" s="59">
        <f>IF($T1392="","",IFERROR(INDEX('Resumo Grupos'!$AC$3:$AC$200,MATCH($T1392,'Resumo Grupos'!$AB$3:$AB$200,0)),"n/d"))</f>
        <v/>
      </c>
      <c r="AA1392" s="59">
        <f>IF($T1392="","",IF(COUNTIF('Resumo Grupos'!$AE$3:$AE$40,$T1392)&gt;0,"NAO","SIM"))</f>
        <v/>
      </c>
    </row>
    <row r="1393" ht="12.75" customHeight="1" s="60">
      <c r="A1393" s="76" t="n">
        <v>1</v>
      </c>
      <c r="B1393" s="75" t="n">
        <v>46205</v>
      </c>
      <c r="C1393" s="75" t="n">
        <v>46226</v>
      </c>
      <c r="D1393" s="76" t="n">
        <v>1667</v>
      </c>
      <c r="E1393" s="59" t="inlineStr">
        <is>
          <t>FENNIX BRASIL DISTRIBUIDORA DE PRODUTOS</t>
        </is>
      </c>
      <c r="F1393" s="76" t="n">
        <v>24</v>
      </c>
      <c r="G1393" s="59" t="inlineStr">
        <is>
          <t>Compra a Prazo - Boletos</t>
        </is>
      </c>
      <c r="H1393" s="76" t="n">
        <v>2110101</v>
      </c>
      <c r="I1393" s="59" t="inlineStr">
        <is>
          <t>FORNECEDORES DE MERCADORIA</t>
        </is>
      </c>
      <c r="J1393" s="76" t="n">
        <v>1341509</v>
      </c>
      <c r="L1393" s="76" t="n">
        <v>396010</v>
      </c>
      <c r="M1393" s="59" t="inlineStr">
        <is>
          <t>01</t>
        </is>
      </c>
      <c r="N1393" s="59" t="inlineStr">
        <is>
          <t>NFE</t>
        </is>
      </c>
      <c r="P1393" s="76" t="n">
        <v>103</v>
      </c>
      <c r="Q1393" s="59" t="inlineStr">
        <is>
          <t>MILKA FRANCIS</t>
        </is>
      </c>
      <c r="R1393" s="59" t="inlineStr">
        <is>
          <t>ESTOQUE DE MERCADORIAS</t>
        </is>
      </c>
      <c r="S1393" s="76" t="n">
        <v>1130101</v>
      </c>
      <c r="T1393" s="59" t="inlineStr">
        <is>
          <t>MERCADORIAS P/REVENDA</t>
        </is>
      </c>
      <c r="U1393" s="77" t="n">
        <v>917.86</v>
      </c>
      <c r="W1393" s="77" t="n">
        <v>0</v>
      </c>
      <c r="X1393" s="59" t="inlineStr">
        <is>
          <t>NF396010 - MILKA</t>
        </is>
      </c>
      <c r="Z1393" s="59">
        <f>IF($T1393="","",IFERROR(INDEX('Resumo Grupos'!$AC$3:$AC$200,MATCH($T1393,'Resumo Grupos'!$AB$3:$AB$200,0)),"n/d"))</f>
        <v/>
      </c>
      <c r="AA1393" s="59">
        <f>IF($T1393="","",IF(COUNTIF('Resumo Grupos'!$AE$3:$AE$40,$T1393)&gt;0,"NAO","SIM"))</f>
        <v/>
      </c>
    </row>
    <row r="1394" ht="12.75" customHeight="1" s="60">
      <c r="A1394" s="76" t="n">
        <v>1</v>
      </c>
      <c r="B1394" s="75" t="n">
        <v>46212</v>
      </c>
      <c r="C1394" s="75" t="n">
        <v>46226</v>
      </c>
      <c r="D1394" s="76" t="n">
        <v>1670</v>
      </c>
      <c r="E1394" s="59" t="inlineStr">
        <is>
          <t>AMAZONIA INDUSTRIA E COMERCIO DE POLPAS</t>
        </is>
      </c>
      <c r="F1394" s="76" t="n">
        <v>24</v>
      </c>
      <c r="G1394" s="59" t="inlineStr">
        <is>
          <t>Compra a Prazo - Boletos</t>
        </is>
      </c>
      <c r="H1394" s="76" t="n">
        <v>1110202</v>
      </c>
      <c r="I1394" s="59" t="inlineStr">
        <is>
          <t>BANCO ITAU Lj 01</t>
        </is>
      </c>
      <c r="J1394" s="76" t="n">
        <v>1374363</v>
      </c>
      <c r="L1394" s="76" t="n">
        <v>271007</v>
      </c>
      <c r="M1394" s="59" t="inlineStr">
        <is>
          <t>01</t>
        </is>
      </c>
      <c r="N1394" s="59" t="inlineStr">
        <is>
          <t>AVU</t>
        </is>
      </c>
      <c r="P1394" s="76" t="n">
        <v>103</v>
      </c>
      <c r="Q1394" s="59" t="inlineStr">
        <is>
          <t>MILKA FRANCIS</t>
        </is>
      </c>
      <c r="R1394" s="59" t="inlineStr">
        <is>
          <t>ESTOQUE DE MERCADORIAS</t>
        </is>
      </c>
      <c r="S1394" s="76" t="n">
        <v>1130101</v>
      </c>
      <c r="T1394" s="59" t="inlineStr">
        <is>
          <t>MERCADORIAS P/REVENDA</t>
        </is>
      </c>
      <c r="U1394" s="77" t="n">
        <v>478</v>
      </c>
      <c r="W1394" s="77" t="n">
        <v>0</v>
      </c>
      <c r="X1394" s="59" t="inlineStr">
        <is>
          <t>NF 271007 AMAZONIA POLPAS - MILKA</t>
        </is>
      </c>
      <c r="Z1394" s="59">
        <f>IF($T1394="","",IFERROR(INDEX('Resumo Grupos'!$AC$3:$AC$200,MATCH($T1394,'Resumo Grupos'!$AB$3:$AB$200,0)),"n/d"))</f>
        <v/>
      </c>
      <c r="AA1394" s="59">
        <f>IF($T1394="","",IF(COUNTIF('Resumo Grupos'!$AE$3:$AE$40,$T1394)&gt;0,"NAO","SIM"))</f>
        <v/>
      </c>
    </row>
    <row r="1395" ht="12.75" customHeight="1" s="60">
      <c r="A1395" s="76" t="n">
        <v>1</v>
      </c>
      <c r="B1395" s="75" t="n">
        <v>46213</v>
      </c>
      <c r="C1395" s="75" t="n">
        <v>46226</v>
      </c>
      <c r="D1395" s="76" t="n">
        <v>1626</v>
      </c>
      <c r="E1395" s="59" t="inlineStr">
        <is>
          <t>FENNIX BRASIL DISTRIBUIDORA DE PRODUTOS</t>
        </is>
      </c>
      <c r="F1395" s="76" t="n">
        <v>24</v>
      </c>
      <c r="G1395" s="59" t="inlineStr">
        <is>
          <t>Compra a Prazo - Boletos</t>
        </is>
      </c>
      <c r="H1395" s="76" t="n">
        <v>2110405</v>
      </c>
      <c r="I1395" s="59" t="inlineStr">
        <is>
          <t>CONTAS A PAGAR</t>
        </is>
      </c>
      <c r="J1395" s="76" t="n">
        <v>1376626</v>
      </c>
      <c r="L1395" s="76" t="n">
        <v>312590</v>
      </c>
      <c r="M1395" s="59" t="inlineStr">
        <is>
          <t>01</t>
        </is>
      </c>
      <c r="N1395" s="59" t="inlineStr">
        <is>
          <t>AVU</t>
        </is>
      </c>
      <c r="P1395" s="76" t="n">
        <v>103</v>
      </c>
      <c r="Q1395" s="59" t="inlineStr">
        <is>
          <t>MILKA FRANCIS</t>
        </is>
      </c>
      <c r="R1395" s="59" t="inlineStr">
        <is>
          <t>ESTOQUE DE MERCADORIAS</t>
        </is>
      </c>
      <c r="S1395" s="76" t="n">
        <v>1130101</v>
      </c>
      <c r="T1395" s="59" t="inlineStr">
        <is>
          <t>MERCADORIAS P/REVENDA</t>
        </is>
      </c>
      <c r="U1395" s="77" t="n">
        <v>1643.76</v>
      </c>
      <c r="W1395" s="77" t="n">
        <v>0</v>
      </c>
      <c r="X1395" s="59" t="inlineStr">
        <is>
          <t>NF 312590-1 MILKA</t>
        </is>
      </c>
      <c r="Z1395" s="59">
        <f>IF($T1395="","",IFERROR(INDEX('Resumo Grupos'!$AC$3:$AC$200,MATCH($T1395,'Resumo Grupos'!$AB$3:$AB$200,0)),"n/d"))</f>
        <v/>
      </c>
      <c r="AA1395" s="59">
        <f>IF($T1395="","",IF(COUNTIF('Resumo Grupos'!$AE$3:$AE$40,$T1395)&gt;0,"NAO","SIM"))</f>
        <v/>
      </c>
    </row>
    <row r="1396" ht="12.75" customHeight="1" s="60">
      <c r="A1396" s="76" t="n">
        <v>1</v>
      </c>
      <c r="B1396" s="75" t="n">
        <v>46213</v>
      </c>
      <c r="C1396" s="75" t="n">
        <v>46226</v>
      </c>
      <c r="D1396" s="76" t="n">
        <v>1666</v>
      </c>
      <c r="E1396" s="59" t="inlineStr">
        <is>
          <t>SOUZA CRUZ LTDA.</t>
        </is>
      </c>
      <c r="F1396" s="76" t="n">
        <v>24</v>
      </c>
      <c r="G1396" s="59" t="inlineStr">
        <is>
          <t>Compra a Prazo - Boletos</t>
        </is>
      </c>
      <c r="H1396" s="76" t="n">
        <v>1110202</v>
      </c>
      <c r="I1396" s="59" t="inlineStr">
        <is>
          <t>BANCO ITAU Lj 01</t>
        </is>
      </c>
      <c r="J1396" s="76" t="n">
        <v>1376753</v>
      </c>
      <c r="L1396" s="76" t="n">
        <v>566298</v>
      </c>
      <c r="M1396" s="59" t="inlineStr">
        <is>
          <t>02</t>
        </is>
      </c>
      <c r="N1396" s="59" t="inlineStr">
        <is>
          <t>AVU</t>
        </is>
      </c>
      <c r="P1396" s="76" t="n">
        <v>103</v>
      </c>
      <c r="Q1396" s="59" t="inlineStr">
        <is>
          <t>MILKA FRANCIS</t>
        </is>
      </c>
      <c r="R1396" s="59" t="inlineStr">
        <is>
          <t>ESTOQUE DE MERCADORIAS</t>
        </is>
      </c>
      <c r="S1396" s="76" t="n">
        <v>1130101</v>
      </c>
      <c r="T1396" s="59" t="inlineStr">
        <is>
          <t>MERCADORIAS P/REVENDA</t>
        </is>
      </c>
      <c r="U1396" s="77" t="n">
        <v>5877.9</v>
      </c>
      <c r="W1396" s="77" t="n">
        <v>0</v>
      </c>
      <c r="X1396" s="59" t="inlineStr">
        <is>
          <t>NF 566298 -02 MILKA</t>
        </is>
      </c>
      <c r="Z1396" s="59">
        <f>IF($T1396="","",IFERROR(INDEX('Resumo Grupos'!$AC$3:$AC$200,MATCH($T1396,'Resumo Grupos'!$AB$3:$AB$200,0)),"n/d"))</f>
        <v/>
      </c>
      <c r="AA1396" s="59">
        <f>IF($T1396="","",IF(COUNTIF('Resumo Grupos'!$AE$3:$AE$40,$T1396)&gt;0,"NAO","SIM"))</f>
        <v/>
      </c>
    </row>
    <row r="1397" ht="12.75" customHeight="1" s="60">
      <c r="A1397" s="76" t="n">
        <v>1</v>
      </c>
      <c r="B1397" s="75" t="n">
        <v>46214</v>
      </c>
      <c r="C1397" s="75" t="n">
        <v>46226</v>
      </c>
      <c r="D1397" s="76" t="n">
        <v>1114</v>
      </c>
      <c r="E1397" s="59" t="inlineStr">
        <is>
          <t>NT INDUSTRIA E COMERCIO DE PANIFICACAO L</t>
        </is>
      </c>
      <c r="F1397" s="76" t="n">
        <v>24</v>
      </c>
      <c r="G1397" s="59" t="inlineStr">
        <is>
          <t>Compra a Prazo - Boletos</t>
        </is>
      </c>
      <c r="H1397" s="76" t="n">
        <v>1110202</v>
      </c>
      <c r="I1397" s="59" t="inlineStr">
        <is>
          <t>BANCO ITAU Lj 01</t>
        </is>
      </c>
      <c r="J1397" s="76" t="n">
        <v>1382512</v>
      </c>
      <c r="L1397" s="76" t="n">
        <v>40749</v>
      </c>
      <c r="M1397" s="59" t="inlineStr">
        <is>
          <t>01</t>
        </is>
      </c>
      <c r="N1397" s="59" t="inlineStr">
        <is>
          <t>AVU</t>
        </is>
      </c>
      <c r="P1397" s="76" t="n">
        <v>103</v>
      </c>
      <c r="Q1397" s="59" t="inlineStr">
        <is>
          <t>MILKA FRANCIS</t>
        </is>
      </c>
      <c r="R1397" s="59" t="inlineStr">
        <is>
          <t>ESTOQUE DE MERCADORIAS</t>
        </is>
      </c>
      <c r="S1397" s="76" t="n">
        <v>1130101</v>
      </c>
      <c r="T1397" s="59" t="inlineStr">
        <is>
          <t>MERCADORIAS P/REVENDA</t>
        </is>
      </c>
      <c r="U1397" s="77" t="n">
        <v>4978.85</v>
      </c>
      <c r="W1397" s="77" t="n">
        <v>0</v>
      </c>
      <c r="X1397" s="59" t="inlineStr">
        <is>
          <t>NF40749 - MILKA</t>
        </is>
      </c>
      <c r="Z1397" s="59">
        <f>IF($T1397="","",IFERROR(INDEX('Resumo Grupos'!$AC$3:$AC$200,MATCH($T1397,'Resumo Grupos'!$AB$3:$AB$200,0)),"n/d"))</f>
        <v/>
      </c>
      <c r="AA1397" s="59">
        <f>IF($T1397="","",IF(COUNTIF('Resumo Grupos'!$AE$3:$AE$40,$T1397)&gt;0,"NAO","SIM"))</f>
        <v/>
      </c>
    </row>
    <row r="1398" ht="12.75" customHeight="1" s="60">
      <c r="A1398" s="76" t="n">
        <v>1</v>
      </c>
      <c r="B1398" s="75" t="n">
        <v>46219</v>
      </c>
      <c r="C1398" s="75" t="n">
        <v>46226</v>
      </c>
      <c r="D1398" s="76" t="n">
        <v>1614</v>
      </c>
      <c r="E1398" s="59" t="inlineStr">
        <is>
          <t>C. R. PARENTE ABREU</t>
        </is>
      </c>
      <c r="F1398" s="76" t="n">
        <v>24</v>
      </c>
      <c r="G1398" s="59" t="inlineStr">
        <is>
          <t>Compra a Prazo - Boletos</t>
        </is>
      </c>
      <c r="H1398" s="76" t="n">
        <v>1110202</v>
      </c>
      <c r="I1398" s="59" t="inlineStr">
        <is>
          <t>BANCO ITAU Lj 01</t>
        </is>
      </c>
      <c r="J1398" s="76" t="n">
        <v>1407883</v>
      </c>
      <c r="L1398" s="76" t="n">
        <v>11430</v>
      </c>
      <c r="M1398" s="59" t="inlineStr">
        <is>
          <t>02</t>
        </is>
      </c>
      <c r="N1398" s="59" t="inlineStr">
        <is>
          <t>AVU</t>
        </is>
      </c>
      <c r="P1398" s="76" t="n">
        <v>103</v>
      </c>
      <c r="Q1398" s="59" t="inlineStr">
        <is>
          <t>MILKA FRANCIS</t>
        </is>
      </c>
      <c r="R1398" s="59" t="inlineStr">
        <is>
          <t>ESTOQUE DE MERCADORIAS</t>
        </is>
      </c>
      <c r="S1398" s="76" t="n">
        <v>1130101</v>
      </c>
      <c r="T1398" s="59" t="inlineStr">
        <is>
          <t>MERCADORIAS P/REVENDA</t>
        </is>
      </c>
      <c r="U1398" s="77" t="n">
        <v>417.42</v>
      </c>
      <c r="W1398" s="77" t="n">
        <v>0</v>
      </c>
      <c r="X1398" s="59" t="inlineStr">
        <is>
          <t>NF 11430-2 KARU MILKA</t>
        </is>
      </c>
      <c r="Z1398" s="59">
        <f>IF($T1398="","",IFERROR(INDEX('Resumo Grupos'!$AC$3:$AC$200,MATCH($T1398,'Resumo Grupos'!$AB$3:$AB$200,0)),"n/d"))</f>
        <v/>
      </c>
      <c r="AA1398" s="59">
        <f>IF($T1398="","",IF(COUNTIF('Resumo Grupos'!$AE$3:$AE$40,$T1398)&gt;0,"NAO","SIM"))</f>
        <v/>
      </c>
    </row>
    <row r="1399" ht="12.75" customHeight="1" s="60">
      <c r="A1399" s="76" t="n">
        <v>1</v>
      </c>
      <c r="B1399" s="75" t="n">
        <v>46220</v>
      </c>
      <c r="C1399" s="75" t="n">
        <v>46226</v>
      </c>
      <c r="D1399" s="76" t="n">
        <v>1024</v>
      </c>
      <c r="E1399" s="59" t="inlineStr">
        <is>
          <t>REAL BEBIDAS DA AMAZONIA LTDA</t>
        </is>
      </c>
      <c r="F1399" s="76" t="n">
        <v>24</v>
      </c>
      <c r="G1399" s="59" t="inlineStr">
        <is>
          <t>Compra a Prazo - Boletos</t>
        </is>
      </c>
      <c r="H1399" s="76" t="n">
        <v>1110202</v>
      </c>
      <c r="I1399" s="59" t="inlineStr">
        <is>
          <t>BANCO ITAU Lj 01</t>
        </is>
      </c>
      <c r="J1399" s="76" t="n">
        <v>1410444</v>
      </c>
      <c r="L1399" s="76" t="n">
        <v>604178</v>
      </c>
      <c r="M1399" s="59" t="inlineStr">
        <is>
          <t>01</t>
        </is>
      </c>
      <c r="N1399" s="59" t="inlineStr">
        <is>
          <t>AVU</t>
        </is>
      </c>
      <c r="P1399" s="76" t="n">
        <v>103</v>
      </c>
      <c r="Q1399" s="59" t="inlineStr">
        <is>
          <t>MILKA FRANCIS</t>
        </is>
      </c>
      <c r="R1399" s="59" t="inlineStr">
        <is>
          <t>ESTOQUE DE MERCADORIAS</t>
        </is>
      </c>
      <c r="S1399" s="76" t="n">
        <v>1130101</v>
      </c>
      <c r="T1399" s="59" t="inlineStr">
        <is>
          <t>MERCADORIAS P/REVENDA</t>
        </is>
      </c>
      <c r="U1399" s="77" t="n">
        <v>704</v>
      </c>
      <c r="W1399" s="77" t="n">
        <v>0</v>
      </c>
      <c r="X1399" s="59" t="inlineStr">
        <is>
          <t>NF 604178 - MILKA</t>
        </is>
      </c>
      <c r="Z1399" s="59">
        <f>IF($T1399="","",IFERROR(INDEX('Resumo Grupos'!$AC$3:$AC$200,MATCH($T1399,'Resumo Grupos'!$AB$3:$AB$200,0)),"n/d"))</f>
        <v/>
      </c>
      <c r="AA1399" s="59">
        <f>IF($T1399="","",IF(COUNTIF('Resumo Grupos'!$AE$3:$AE$40,$T1399)&gt;0,"NAO","SIM"))</f>
        <v/>
      </c>
    </row>
    <row r="1400" ht="12.75" customHeight="1" s="60">
      <c r="A1400" s="76" t="n">
        <v>1</v>
      </c>
      <c r="B1400" s="75" t="n">
        <v>46221</v>
      </c>
      <c r="C1400" s="75" t="n">
        <v>46226</v>
      </c>
      <c r="D1400" s="76" t="n">
        <v>1625</v>
      </c>
      <c r="E1400" s="59" t="inlineStr">
        <is>
          <t>MAXFRI DISTRIUIDORA LTDA</t>
        </is>
      </c>
      <c r="F1400" s="76" t="n">
        <v>24</v>
      </c>
      <c r="G1400" s="59" t="inlineStr">
        <is>
          <t>Compra a Prazo - Boletos</t>
        </is>
      </c>
      <c r="H1400" s="76" t="n">
        <v>1110202</v>
      </c>
      <c r="I1400" s="59" t="inlineStr">
        <is>
          <t>BANCO ITAU Lj 01</t>
        </is>
      </c>
      <c r="J1400" s="76" t="n">
        <v>1415314</v>
      </c>
      <c r="L1400" s="76" t="n">
        <v>14727</v>
      </c>
      <c r="M1400" s="59" t="inlineStr">
        <is>
          <t>01</t>
        </is>
      </c>
      <c r="N1400" s="59" t="inlineStr">
        <is>
          <t>AVU</t>
        </is>
      </c>
      <c r="P1400" s="76" t="n">
        <v>103</v>
      </c>
      <c r="Q1400" s="59" t="inlineStr">
        <is>
          <t>MILKA FRANCIS</t>
        </is>
      </c>
      <c r="R1400" s="59" t="inlineStr">
        <is>
          <t>ESTOQUE DE MERCADORIAS</t>
        </is>
      </c>
      <c r="S1400" s="76" t="n">
        <v>1130101</v>
      </c>
      <c r="T1400" s="59" t="inlineStr">
        <is>
          <t>MERCADORIAS P/REVENDA</t>
        </is>
      </c>
      <c r="U1400" s="77" t="n">
        <v>6254.1</v>
      </c>
      <c r="W1400" s="77" t="n">
        <v>0</v>
      </c>
      <c r="X1400" s="59" t="inlineStr">
        <is>
          <t>NF14727 - MILKA</t>
        </is>
      </c>
      <c r="Z1400" s="59">
        <f>IF($T1400="","",IFERROR(INDEX('Resumo Grupos'!$AC$3:$AC$200,MATCH($T1400,'Resumo Grupos'!$AB$3:$AB$200,0)),"n/d"))</f>
        <v/>
      </c>
      <c r="AA1400" s="59">
        <f>IF($T1400="","",IF(COUNTIF('Resumo Grupos'!$AE$3:$AE$40,$T1400)&gt;0,"NAO","SIM"))</f>
        <v/>
      </c>
    </row>
    <row r="1401" ht="12.75" customHeight="1" s="60">
      <c r="A1401" s="76" t="n">
        <v>1</v>
      </c>
      <c r="B1401" s="75" t="n">
        <v>46223</v>
      </c>
      <c r="C1401" s="75" t="n">
        <v>46226</v>
      </c>
      <c r="D1401" s="76" t="n">
        <v>1614</v>
      </c>
      <c r="E1401" s="59" t="inlineStr">
        <is>
          <t>C. R. PARENTE ABREU</t>
        </is>
      </c>
      <c r="F1401" s="76" t="n">
        <v>24</v>
      </c>
      <c r="G1401" s="59" t="inlineStr">
        <is>
          <t>Compra a Prazo - Boletos</t>
        </is>
      </c>
      <c r="H1401" s="76" t="n">
        <v>1110202</v>
      </c>
      <c r="I1401" s="59" t="inlineStr">
        <is>
          <t>BANCO ITAU Lj 01</t>
        </is>
      </c>
      <c r="J1401" s="76" t="n">
        <v>1424878</v>
      </c>
      <c r="L1401" s="76" t="n">
        <v>11447</v>
      </c>
      <c r="M1401" s="59" t="inlineStr">
        <is>
          <t>01</t>
        </is>
      </c>
      <c r="N1401" s="59" t="inlineStr">
        <is>
          <t>AVU</t>
        </is>
      </c>
      <c r="P1401" s="76" t="n">
        <v>103</v>
      </c>
      <c r="Q1401" s="59" t="inlineStr">
        <is>
          <t>MILKA FRANCIS</t>
        </is>
      </c>
      <c r="R1401" s="59" t="inlineStr">
        <is>
          <t>ESTOQUE DE MERCADORIAS</t>
        </is>
      </c>
      <c r="S1401" s="76" t="n">
        <v>1130101</v>
      </c>
      <c r="T1401" s="59" t="inlineStr">
        <is>
          <t>MERCADORIAS P/REVENDA</t>
        </is>
      </c>
      <c r="U1401" s="77" t="n">
        <v>624.28</v>
      </c>
      <c r="W1401" s="77" t="n">
        <v>0</v>
      </c>
      <c r="X1401" s="59" t="inlineStr">
        <is>
          <t>NF 11447 -1 MILKA</t>
        </is>
      </c>
      <c r="Z1401" s="59">
        <f>IF($T1401="","",IFERROR(INDEX('Resumo Grupos'!$AC$3:$AC$200,MATCH($T1401,'Resumo Grupos'!$AB$3:$AB$200,0)),"n/d"))</f>
        <v/>
      </c>
      <c r="AA1401" s="59">
        <f>IF($T1401="","",IF(COUNTIF('Resumo Grupos'!$AE$3:$AE$40,$T1401)&gt;0,"NAO","SIM"))</f>
        <v/>
      </c>
    </row>
    <row r="1402" ht="12.75" customHeight="1" s="60">
      <c r="A1402" s="76" t="n">
        <v>1</v>
      </c>
      <c r="B1402" s="75" t="n">
        <v>46224</v>
      </c>
      <c r="C1402" s="75" t="n">
        <v>46226</v>
      </c>
      <c r="D1402" s="76" t="n">
        <v>1899</v>
      </c>
      <c r="E1402" s="59" t="inlineStr">
        <is>
          <t>PANIFICADORA E CONFEITARIA REAL MADRI LTDA</t>
        </is>
      </c>
      <c r="F1402" s="76" t="n">
        <v>24</v>
      </c>
      <c r="G1402" s="59" t="inlineStr">
        <is>
          <t>Compra a Prazo - Boletos</t>
        </is>
      </c>
      <c r="H1402" s="76" t="n">
        <v>1110202</v>
      </c>
      <c r="I1402" s="59" t="inlineStr">
        <is>
          <t>BANCO ITAU Lj 01</t>
        </is>
      </c>
      <c r="J1402" s="76" t="n">
        <v>1427755</v>
      </c>
      <c r="L1402" s="76" t="n">
        <v>723</v>
      </c>
      <c r="M1402" s="59" t="inlineStr">
        <is>
          <t>01</t>
        </is>
      </c>
      <c r="N1402" s="59" t="inlineStr">
        <is>
          <t>AVU</t>
        </is>
      </c>
      <c r="P1402" s="76" t="n">
        <v>103</v>
      </c>
      <c r="Q1402" s="59" t="inlineStr">
        <is>
          <t>MILKA FRANCIS</t>
        </is>
      </c>
      <c r="R1402" s="59" t="inlineStr">
        <is>
          <t>ESTOQUE DE MERCADORIAS</t>
        </is>
      </c>
      <c r="S1402" s="76" t="n">
        <v>1130101</v>
      </c>
      <c r="T1402" s="59" t="inlineStr">
        <is>
          <t>MERCADORIAS P/REVENDA</t>
        </is>
      </c>
      <c r="U1402" s="77" t="n">
        <v>149.85</v>
      </c>
      <c r="W1402" s="77" t="n">
        <v>0</v>
      </c>
      <c r="X1402" s="59" t="inlineStr">
        <is>
          <t>NF 723 - MILKA</t>
        </is>
      </c>
      <c r="Z1402" s="59">
        <f>IF($T1402="","",IFERROR(INDEX('Resumo Grupos'!$AC$3:$AC$200,MATCH($T1402,'Resumo Grupos'!$AB$3:$AB$200,0)),"n/d"))</f>
        <v/>
      </c>
      <c r="AA1402" s="59">
        <f>IF($T1402="","",IF(COUNTIF('Resumo Grupos'!$AE$3:$AE$40,$T1402)&gt;0,"NAO","SIM"))</f>
        <v/>
      </c>
    </row>
    <row r="1403" ht="12.75" customHeight="1" s="60">
      <c r="A1403" s="76" t="n">
        <v>1</v>
      </c>
      <c r="B1403" s="75" t="n">
        <v>46224</v>
      </c>
      <c r="C1403" s="75" t="n">
        <v>46226</v>
      </c>
      <c r="D1403" s="76" t="n">
        <v>1286</v>
      </c>
      <c r="E1403" s="59" t="inlineStr">
        <is>
          <t>VITAPAN COMERCIO VAREJISTA DE PRODUTOS ALIMENTICIOS LTDA</t>
        </is>
      </c>
      <c r="F1403" s="76" t="n">
        <v>24</v>
      </c>
      <c r="G1403" s="59" t="inlineStr">
        <is>
          <t>Compra a Prazo - Boletos</t>
        </is>
      </c>
      <c r="H1403" s="76" t="n">
        <v>1110202</v>
      </c>
      <c r="I1403" s="59" t="inlineStr">
        <is>
          <t>BANCO ITAU Lj 01</t>
        </is>
      </c>
      <c r="J1403" s="76" t="n">
        <v>1427791</v>
      </c>
      <c r="L1403" s="76" t="n">
        <v>10334</v>
      </c>
      <c r="M1403" s="59" t="inlineStr">
        <is>
          <t>01</t>
        </is>
      </c>
      <c r="N1403" s="59" t="inlineStr">
        <is>
          <t>AVU</t>
        </is>
      </c>
      <c r="P1403" s="76" t="n">
        <v>103</v>
      </c>
      <c r="Q1403" s="59" t="inlineStr">
        <is>
          <t>MILKA FRANCIS</t>
        </is>
      </c>
      <c r="R1403" s="59" t="inlineStr">
        <is>
          <t>ESTOQUE DE MERCADORIAS</t>
        </is>
      </c>
      <c r="S1403" s="76" t="n">
        <v>1130101</v>
      </c>
      <c r="T1403" s="59" t="inlineStr">
        <is>
          <t>MERCADORIAS P/REVENDA</t>
        </is>
      </c>
      <c r="U1403" s="77" t="n">
        <v>972</v>
      </c>
      <c r="W1403" s="77" t="n">
        <v>0</v>
      </c>
      <c r="X1403" s="59" t="inlineStr">
        <is>
          <t>NF 10334 - MILKA</t>
        </is>
      </c>
      <c r="Z1403" s="59">
        <f>IF($T1403="","",IFERROR(INDEX('Resumo Grupos'!$AC$3:$AC$200,MATCH($T1403,'Resumo Grupos'!$AB$3:$AB$200,0)),"n/d"))</f>
        <v/>
      </c>
      <c r="AA1403" s="59">
        <f>IF($T1403="","",IF(COUNTIF('Resumo Grupos'!$AE$3:$AE$40,$T1403)&gt;0,"NAO","SIM"))</f>
        <v/>
      </c>
    </row>
    <row r="1404" ht="12.75" customHeight="1" s="60">
      <c r="A1404" s="76" t="n">
        <v>1</v>
      </c>
      <c r="B1404" s="75" t="n">
        <v>46224</v>
      </c>
      <c r="C1404" s="75" t="n">
        <v>46226</v>
      </c>
      <c r="D1404" s="76" t="n">
        <v>581</v>
      </c>
      <c r="E1404" s="59" t="inlineStr">
        <is>
          <t>LIMA E BARANDA COMERCIO DE PRODUTOS REGI</t>
        </is>
      </c>
      <c r="F1404" s="76" t="n">
        <v>24</v>
      </c>
      <c r="G1404" s="59" t="inlineStr">
        <is>
          <t>Compra a Prazo - Boletos</t>
        </is>
      </c>
      <c r="H1404" s="76" t="n">
        <v>1110202</v>
      </c>
      <c r="I1404" s="59" t="inlineStr">
        <is>
          <t>BANCO ITAU Lj 01</t>
        </is>
      </c>
      <c r="J1404" s="76" t="n">
        <v>1427827</v>
      </c>
      <c r="L1404" s="76" t="n">
        <v>31493</v>
      </c>
      <c r="M1404" s="59" t="inlineStr">
        <is>
          <t>01</t>
        </is>
      </c>
      <c r="N1404" s="59" t="inlineStr">
        <is>
          <t>AVU</t>
        </is>
      </c>
      <c r="P1404" s="76" t="n">
        <v>103</v>
      </c>
      <c r="Q1404" s="59" t="inlineStr">
        <is>
          <t>MILKA FRANCIS</t>
        </is>
      </c>
      <c r="R1404" s="59" t="inlineStr">
        <is>
          <t>ESTOQUE DE MERCADORIAS</t>
        </is>
      </c>
      <c r="S1404" s="76" t="n">
        <v>1130101</v>
      </c>
      <c r="T1404" s="59" t="inlineStr">
        <is>
          <t>MERCADORIAS P/REVENDA</t>
        </is>
      </c>
      <c r="U1404" s="77" t="n">
        <v>233.5</v>
      </c>
      <c r="W1404" s="77" t="n">
        <v>0</v>
      </c>
      <c r="X1404" s="59" t="inlineStr">
        <is>
          <t>NF 31493 - MILKA</t>
        </is>
      </c>
      <c r="Z1404" s="59">
        <f>IF($T1404="","",IFERROR(INDEX('Resumo Grupos'!$AC$3:$AC$200,MATCH($T1404,'Resumo Grupos'!$AB$3:$AB$200,0)),"n/d"))</f>
        <v/>
      </c>
      <c r="AA1404" s="59">
        <f>IF($T1404="","",IF(COUNTIF('Resumo Grupos'!$AE$3:$AE$40,$T1404)&gt;0,"NAO","SIM"))</f>
        <v/>
      </c>
    </row>
    <row r="1405" ht="12.75" customHeight="1" s="60">
      <c r="A1405" s="76" t="n">
        <v>1</v>
      </c>
      <c r="B1405" s="75" t="n">
        <v>46224</v>
      </c>
      <c r="C1405" s="75" t="n">
        <v>46226</v>
      </c>
      <c r="D1405" s="76" t="n">
        <v>642</v>
      </c>
      <c r="E1405" s="59" t="inlineStr">
        <is>
          <t>ADICSO FABIAN GONZALEZ MONTILLA 70302186</t>
        </is>
      </c>
      <c r="F1405" s="76" t="n">
        <v>24</v>
      </c>
      <c r="G1405" s="59" t="inlineStr">
        <is>
          <t>Compra a Prazo - Boletos</t>
        </is>
      </c>
      <c r="H1405" s="76" t="n">
        <v>1110202</v>
      </c>
      <c r="I1405" s="59" t="inlineStr">
        <is>
          <t>BANCO ITAU Lj 01</t>
        </is>
      </c>
      <c r="J1405" s="76" t="n">
        <v>1430906</v>
      </c>
      <c r="L1405" s="76" t="n">
        <v>539</v>
      </c>
      <c r="M1405" s="59" t="inlineStr">
        <is>
          <t>01</t>
        </is>
      </c>
      <c r="N1405" s="59" t="inlineStr">
        <is>
          <t>AVU</t>
        </is>
      </c>
      <c r="P1405" s="76" t="n">
        <v>103</v>
      </c>
      <c r="Q1405" s="59" t="inlineStr">
        <is>
          <t>MILKA FRANCIS</t>
        </is>
      </c>
      <c r="R1405" s="59" t="inlineStr">
        <is>
          <t>ESTOQUE DE MERCADORIAS</t>
        </is>
      </c>
      <c r="S1405" s="76" t="n">
        <v>1130101</v>
      </c>
      <c r="T1405" s="59" t="inlineStr">
        <is>
          <t>MERCADORIAS P/REVENDA</t>
        </is>
      </c>
      <c r="U1405" s="77" t="n">
        <v>480</v>
      </c>
      <c r="W1405" s="77" t="n">
        <v>0</v>
      </c>
      <c r="X1405" s="59" t="inlineStr">
        <is>
          <t>NF 539 BLOOM - MILKA</t>
        </is>
      </c>
      <c r="Z1405" s="59">
        <f>IF($T1405="","",IFERROR(INDEX('Resumo Grupos'!$AC$3:$AC$200,MATCH($T1405,'Resumo Grupos'!$AB$3:$AB$200,0)),"n/d"))</f>
        <v/>
      </c>
      <c r="AA1405" s="59">
        <f>IF($T1405="","",IF(COUNTIF('Resumo Grupos'!$AE$3:$AE$40,$T1405)&gt;0,"NAO","SIM"))</f>
        <v/>
      </c>
    </row>
    <row r="1406" ht="12.75" customHeight="1" s="60">
      <c r="A1406" s="76" t="n">
        <v>1</v>
      </c>
      <c r="B1406" s="75" t="n">
        <v>46225</v>
      </c>
      <c r="C1406" s="75" t="n">
        <v>46226</v>
      </c>
      <c r="D1406" s="76" t="n">
        <v>10009</v>
      </c>
      <c r="E1406" s="59" t="inlineStr">
        <is>
          <t>NESTLÉ BRASIL LTDA.</t>
        </is>
      </c>
      <c r="F1406" s="76" t="n">
        <v>24</v>
      </c>
      <c r="G1406" s="59" t="inlineStr">
        <is>
          <t>Compra a Prazo - Boletos</t>
        </is>
      </c>
      <c r="H1406" s="76" t="n">
        <v>2110405</v>
      </c>
      <c r="I1406" s="59" t="inlineStr">
        <is>
          <t>CONTAS A PAGAR</t>
        </is>
      </c>
      <c r="J1406" s="76" t="n">
        <v>1434102</v>
      </c>
      <c r="L1406" s="76" t="n">
        <v>1428642</v>
      </c>
      <c r="M1406" s="59" t="inlineStr">
        <is>
          <t>01</t>
        </is>
      </c>
      <c r="N1406" s="59" t="inlineStr">
        <is>
          <t>AVU</t>
        </is>
      </c>
      <c r="P1406" s="76" t="n">
        <v>103</v>
      </c>
      <c r="Q1406" s="59" t="inlineStr">
        <is>
          <t>MILKA FRANCIS</t>
        </is>
      </c>
      <c r="R1406" s="59" t="inlineStr">
        <is>
          <t>ESTOQUE DE MERCADORIAS</t>
        </is>
      </c>
      <c r="S1406" s="76" t="n">
        <v>1130101</v>
      </c>
      <c r="T1406" s="59" t="inlineStr">
        <is>
          <t>MERCADORIAS P/REVENDA</t>
        </is>
      </c>
      <c r="U1406" s="77" t="n">
        <v>986.86</v>
      </c>
      <c r="W1406" s="77" t="n">
        <v>0</v>
      </c>
      <c r="X1406" s="59" t="inlineStr">
        <is>
          <t>NF 1428642-01 MILKA</t>
        </is>
      </c>
      <c r="Z1406" s="59">
        <f>IF($T1406="","",IFERROR(INDEX('Resumo Grupos'!$AC$3:$AC$200,MATCH($T1406,'Resumo Grupos'!$AB$3:$AB$200,0)),"n/d"))</f>
        <v/>
      </c>
      <c r="AA1406" s="59">
        <f>IF($T1406="","",IF(COUNTIF('Resumo Grupos'!$AE$3:$AE$40,$T1406)&gt;0,"NAO","SIM"))</f>
        <v/>
      </c>
    </row>
    <row r="1407" ht="12.75" customHeight="1" s="60">
      <c r="A1407" s="76" t="n">
        <v>1</v>
      </c>
      <c r="B1407" s="75" t="n">
        <v>46225</v>
      </c>
      <c r="C1407" s="75" t="n">
        <v>46226</v>
      </c>
      <c r="D1407" s="76" t="n">
        <v>1899</v>
      </c>
      <c r="E1407" s="59" t="inlineStr">
        <is>
          <t>PANIFICADORA E CONFEITARIA REAL MADRI LTDA</t>
        </is>
      </c>
      <c r="F1407" s="76" t="n">
        <v>24</v>
      </c>
      <c r="G1407" s="59" t="inlineStr">
        <is>
          <t>Compra a Prazo - Boletos</t>
        </is>
      </c>
      <c r="H1407" s="76" t="n">
        <v>1110202</v>
      </c>
      <c r="I1407" s="59" t="inlineStr">
        <is>
          <t>BANCO ITAU Lj 01</t>
        </is>
      </c>
      <c r="J1407" s="76" t="n">
        <v>1435818</v>
      </c>
      <c r="L1407" s="76" t="n">
        <v>722</v>
      </c>
      <c r="M1407" s="59" t="inlineStr">
        <is>
          <t>01</t>
        </is>
      </c>
      <c r="N1407" s="59" t="inlineStr">
        <is>
          <t>AVU</t>
        </is>
      </c>
      <c r="P1407" s="76" t="n">
        <v>103</v>
      </c>
      <c r="Q1407" s="59" t="inlineStr">
        <is>
          <t>MILKA FRANCIS</t>
        </is>
      </c>
      <c r="R1407" s="59" t="inlineStr">
        <is>
          <t>ESTOQUE DE MERCADORIAS</t>
        </is>
      </c>
      <c r="S1407" s="76" t="n">
        <v>1130101</v>
      </c>
      <c r="T1407" s="59" t="inlineStr">
        <is>
          <t>MERCADORIAS P/REVENDA</t>
        </is>
      </c>
      <c r="U1407" s="77" t="n">
        <v>501.9</v>
      </c>
      <c r="W1407" s="77" t="n">
        <v>0</v>
      </c>
      <c r="X1407" s="59" t="inlineStr">
        <is>
          <t>NF 722 - MILKA</t>
        </is>
      </c>
      <c r="Z1407" s="59">
        <f>IF($T1407="","",IFERROR(INDEX('Resumo Grupos'!$AC$3:$AC$200,MATCH($T1407,'Resumo Grupos'!$AB$3:$AB$200,0)),"n/d"))</f>
        <v/>
      </c>
      <c r="AA1407" s="59">
        <f>IF($T1407="","",IF(COUNTIF('Resumo Grupos'!$AE$3:$AE$40,$T1407)&gt;0,"NAO","SIM"))</f>
        <v/>
      </c>
    </row>
    <row r="1408" ht="12.75" customHeight="1" s="60">
      <c r="A1408" s="76" t="n">
        <v>1</v>
      </c>
      <c r="B1408" s="75" t="n">
        <v>46226</v>
      </c>
      <c r="C1408" s="75" t="n">
        <v>46226</v>
      </c>
      <c r="D1408" s="76" t="n">
        <v>1936</v>
      </c>
      <c r="E1408" s="59" t="inlineStr">
        <is>
          <t>RV TECNOLOGIA E SISTEMAS S.A</t>
        </is>
      </c>
      <c r="F1408" s="76" t="n">
        <v>24</v>
      </c>
      <c r="G1408" s="59" t="inlineStr">
        <is>
          <t>Compra a Prazo - Boletos</t>
        </is>
      </c>
      <c r="H1408" s="76" t="n">
        <v>1110202</v>
      </c>
      <c r="I1408" s="59" t="inlineStr">
        <is>
          <t>BANCO ITAU Lj 01</t>
        </is>
      </c>
      <c r="J1408" s="76" t="n">
        <v>1439362</v>
      </c>
      <c r="L1408" s="76" t="n">
        <v>592404</v>
      </c>
      <c r="M1408" s="59" t="inlineStr">
        <is>
          <t>01</t>
        </is>
      </c>
      <c r="N1408" s="59" t="inlineStr">
        <is>
          <t>AVU</t>
        </is>
      </c>
      <c r="P1408" s="76" t="n">
        <v>101</v>
      </c>
      <c r="Q1408" s="59" t="inlineStr">
        <is>
          <t>KEILA LIMA</t>
        </is>
      </c>
      <c r="R1408" s="59" t="inlineStr">
        <is>
          <t>ESTOQUE DE MERCADORIAS</t>
        </is>
      </c>
      <c r="S1408" s="76" t="n">
        <v>1130101</v>
      </c>
      <c r="T1408" s="59" t="inlineStr">
        <is>
          <t>MERCADORIAS P/REVENDA</t>
        </is>
      </c>
      <c r="U1408" s="77" t="n">
        <v>55.95</v>
      </c>
      <c r="W1408" s="77" t="n">
        <v>0</v>
      </c>
      <c r="X1408" s="59" t="inlineStr">
        <is>
          <t>RECARGA CELULAR MO1 - KEILA</t>
        </is>
      </c>
      <c r="Z1408" s="59">
        <f>IF($T1408="","",IFERROR(INDEX('Resumo Grupos'!$AC$3:$AC$200,MATCH($T1408,'Resumo Grupos'!$AB$3:$AB$200,0)),"n/d"))</f>
        <v/>
      </c>
      <c r="AA1408" s="59">
        <f>IF($T1408="","",IF(COUNTIF('Resumo Grupos'!$AE$3:$AE$40,$T1408)&gt;0,"NAO","SIM"))</f>
        <v/>
      </c>
    </row>
    <row r="1409" ht="12.75" customHeight="1" s="60">
      <c r="A1409" s="76" t="n">
        <v>1</v>
      </c>
      <c r="B1409" s="75" t="n">
        <v>46226</v>
      </c>
      <c r="C1409" s="75" t="n">
        <v>46226</v>
      </c>
      <c r="D1409" s="76" t="n">
        <v>1936</v>
      </c>
      <c r="E1409" s="59" t="inlineStr">
        <is>
          <t>RV TECNOLOGIA E SISTEMAS S.A</t>
        </is>
      </c>
      <c r="F1409" s="76" t="n">
        <v>24</v>
      </c>
      <c r="G1409" s="59" t="inlineStr">
        <is>
          <t>Compra a Prazo - Boletos</t>
        </is>
      </c>
      <c r="H1409" s="76" t="n">
        <v>1110202</v>
      </c>
      <c r="I1409" s="59" t="inlineStr">
        <is>
          <t>BANCO ITAU Lj 01</t>
        </is>
      </c>
      <c r="J1409" s="76" t="n">
        <v>1439371</v>
      </c>
      <c r="L1409" s="76" t="n">
        <v>592407</v>
      </c>
      <c r="M1409" s="59" t="inlineStr">
        <is>
          <t>01</t>
        </is>
      </c>
      <c r="N1409" s="59" t="inlineStr">
        <is>
          <t>AVU</t>
        </is>
      </c>
      <c r="P1409" s="76" t="n">
        <v>101</v>
      </c>
      <c r="Q1409" s="59" t="inlineStr">
        <is>
          <t>KEILA LIMA</t>
        </is>
      </c>
      <c r="R1409" s="59" t="inlineStr">
        <is>
          <t>ESTOQUE DE MERCADORIAS</t>
        </is>
      </c>
      <c r="S1409" s="76" t="n">
        <v>1130101</v>
      </c>
      <c r="T1409" s="59" t="inlineStr">
        <is>
          <t>MERCADORIAS P/REVENDA</t>
        </is>
      </c>
      <c r="U1409" s="77" t="n">
        <v>421.5</v>
      </c>
      <c r="W1409" s="77" t="n">
        <v>0</v>
      </c>
      <c r="X1409" s="59" t="inlineStr">
        <is>
          <t>RECARGA CELULAR MO1 - KEILA</t>
        </is>
      </c>
      <c r="Z1409" s="59">
        <f>IF($T1409="","",IFERROR(INDEX('Resumo Grupos'!$AC$3:$AC$200,MATCH($T1409,'Resumo Grupos'!$AB$3:$AB$200,0)),"n/d"))</f>
        <v/>
      </c>
      <c r="AA1409" s="59">
        <f>IF($T1409="","",IF(COUNTIF('Resumo Grupos'!$AE$3:$AE$40,$T1409)&gt;0,"NAO","SIM"))</f>
        <v/>
      </c>
    </row>
    <row r="1410" ht="12.75" customHeight="1" s="60">
      <c r="A1410" s="76" t="n">
        <v>1</v>
      </c>
      <c r="B1410" s="75" t="n">
        <v>46226</v>
      </c>
      <c r="C1410" s="75" t="n">
        <v>46226</v>
      </c>
      <c r="D1410" s="76" t="n">
        <v>10096</v>
      </c>
      <c r="E1410" s="59" t="inlineStr">
        <is>
          <t>H L M PADARIA E CONFEITARIA LTDA</t>
        </is>
      </c>
      <c r="F1410" s="76" t="n">
        <v>13</v>
      </c>
      <c r="G1410" s="59" t="inlineStr">
        <is>
          <t>Compra a Vista</t>
        </is>
      </c>
      <c r="H1410" s="76" t="n">
        <v>2110101</v>
      </c>
      <c r="I1410" s="59" t="inlineStr">
        <is>
          <t>FORNECEDORES DE MERCADORIA</t>
        </is>
      </c>
      <c r="J1410" s="76" t="n">
        <v>1440378</v>
      </c>
      <c r="L1410" s="76" t="n">
        <v>71</v>
      </c>
      <c r="M1410" s="59" t="inlineStr">
        <is>
          <t>01</t>
        </is>
      </c>
      <c r="N1410" s="59" t="inlineStr">
        <is>
          <t>NFE</t>
        </is>
      </c>
      <c r="P1410" s="76" t="n">
        <v>104</v>
      </c>
      <c r="Q1410" s="59" t="inlineStr">
        <is>
          <t>DEBORA COSTA</t>
        </is>
      </c>
      <c r="R1410" s="59" t="inlineStr">
        <is>
          <t>ESTOQUE DE MERCADORIAS</t>
        </is>
      </c>
      <c r="S1410" s="76" t="n">
        <v>1130101</v>
      </c>
      <c r="T1410" s="59" t="inlineStr">
        <is>
          <t>MERCADORIAS P/REVENDA</t>
        </is>
      </c>
      <c r="U1410" s="77" t="n">
        <v>420</v>
      </c>
      <c r="W1410" s="77" t="n">
        <v>0</v>
      </c>
      <c r="X1410" s="59" t="inlineStr">
        <is>
          <t>NF 71 - DEBORA</t>
        </is>
      </c>
      <c r="Z1410" s="59">
        <f>IF($T1410="","",IFERROR(INDEX('Resumo Grupos'!$AC$3:$AC$200,MATCH($T1410,'Resumo Grupos'!$AB$3:$AB$200,0)),"n/d"))</f>
        <v/>
      </c>
      <c r="AA1410" s="59">
        <f>IF($T1410="","",IF(COUNTIF('Resumo Grupos'!$AE$3:$AE$40,$T1410)&gt;0,"NAO","SIM"))</f>
        <v/>
      </c>
    </row>
    <row r="1411" ht="12.75" customHeight="1" s="60">
      <c r="A1411" s="76" t="n">
        <v>1</v>
      </c>
      <c r="B1411" s="75" t="n">
        <v>46172</v>
      </c>
      <c r="C1411" s="75" t="n">
        <v>46227</v>
      </c>
      <c r="D1411" s="76" t="n">
        <v>607</v>
      </c>
      <c r="E1411" s="59" t="inlineStr">
        <is>
          <t>PRIME PET DISTRIBUIDORA LTDA</t>
        </is>
      </c>
      <c r="F1411" s="76" t="n">
        <v>24</v>
      </c>
      <c r="G1411" s="59" t="inlineStr">
        <is>
          <t>Compra a Prazo - Boletos</t>
        </is>
      </c>
      <c r="H1411" s="76" t="n">
        <v>2110101</v>
      </c>
      <c r="I1411" s="59" t="inlineStr">
        <is>
          <t>FORNECEDORES DE MERCADORIA</t>
        </is>
      </c>
      <c r="J1411" s="76" t="n">
        <v>1177249</v>
      </c>
      <c r="L1411" s="76" t="n">
        <v>10589</v>
      </c>
      <c r="M1411" s="59" t="inlineStr">
        <is>
          <t>05</t>
        </is>
      </c>
      <c r="N1411" s="59" t="inlineStr">
        <is>
          <t>NFE</t>
        </is>
      </c>
      <c r="P1411" s="76" t="n">
        <v>103</v>
      </c>
      <c r="Q1411" s="59" t="inlineStr">
        <is>
          <t>MILKA FRANCIS</t>
        </is>
      </c>
      <c r="R1411" s="59" t="inlineStr">
        <is>
          <t>ESTOQUE DE MERCADORIAS</t>
        </is>
      </c>
      <c r="S1411" s="76" t="n">
        <v>1130101</v>
      </c>
      <c r="T1411" s="59" t="inlineStr">
        <is>
          <t>MERCADORIAS P/REVENDA</t>
        </is>
      </c>
      <c r="U1411" s="77" t="n">
        <v>1060.88</v>
      </c>
      <c r="W1411" s="77" t="n">
        <v>0</v>
      </c>
      <c r="X1411" s="59" t="inlineStr">
        <is>
          <t>NF 10589-05/05 MILKA</t>
        </is>
      </c>
      <c r="Z1411" s="59">
        <f>IF($T1411="","",IFERROR(INDEX('Resumo Grupos'!$AC$3:$AC$200,MATCH($T1411,'Resumo Grupos'!$AB$3:$AB$200,0)),"n/d"))</f>
        <v/>
      </c>
      <c r="AA1411" s="59">
        <f>IF($T1411="","",IF(COUNTIF('Resumo Grupos'!$AE$3:$AE$40,$T1411)&gt;0,"NAO","SIM"))</f>
        <v/>
      </c>
    </row>
    <row r="1412" ht="12.75" customHeight="1" s="60">
      <c r="A1412" s="76" t="n">
        <v>1</v>
      </c>
      <c r="B1412" s="75" t="n">
        <v>46203</v>
      </c>
      <c r="C1412" s="75" t="n">
        <v>46227</v>
      </c>
      <c r="D1412" s="76" t="n">
        <v>794</v>
      </c>
      <c r="E1412" s="59" t="inlineStr">
        <is>
          <t>EDMARA COMERCIO DE HIGIENE PESSOAL LTDA</t>
        </is>
      </c>
      <c r="F1412" s="76" t="n">
        <v>24</v>
      </c>
      <c r="G1412" s="59" t="inlineStr">
        <is>
          <t>Compra a Prazo - Boletos</t>
        </is>
      </c>
      <c r="H1412" s="76" t="n">
        <v>2110101</v>
      </c>
      <c r="I1412" s="59" t="inlineStr">
        <is>
          <t>FORNECEDORES DE MERCADORIA</t>
        </is>
      </c>
      <c r="J1412" s="76" t="n">
        <v>1330337</v>
      </c>
      <c r="L1412" s="76" t="n">
        <v>8208</v>
      </c>
      <c r="M1412" s="59" t="inlineStr">
        <is>
          <t>03</t>
        </is>
      </c>
      <c r="N1412" s="59" t="inlineStr">
        <is>
          <t>NFE</t>
        </is>
      </c>
      <c r="P1412" s="76" t="n">
        <v>103</v>
      </c>
      <c r="Q1412" s="59" t="inlineStr">
        <is>
          <t>MILKA FRANCIS</t>
        </is>
      </c>
      <c r="R1412" s="59" t="inlineStr">
        <is>
          <t>ESTOQUE DE MERCADORIAS</t>
        </is>
      </c>
      <c r="S1412" s="76" t="n">
        <v>1130101</v>
      </c>
      <c r="T1412" s="59" t="inlineStr">
        <is>
          <t>MERCADORIAS P/REVENDA</t>
        </is>
      </c>
      <c r="U1412" s="77" t="n">
        <v>526.88</v>
      </c>
      <c r="W1412" s="77" t="n">
        <v>0</v>
      </c>
      <c r="X1412" s="59" t="inlineStr">
        <is>
          <t>5120-C/C  NF8208 - MILKA</t>
        </is>
      </c>
      <c r="Z1412" s="59">
        <f>IF($T1412="","",IFERROR(INDEX('Resumo Grupos'!$AC$3:$AC$200,MATCH($T1412,'Resumo Grupos'!$AB$3:$AB$200,0)),"n/d"))</f>
        <v/>
      </c>
      <c r="AA1412" s="59">
        <f>IF($T1412="","",IF(COUNTIF('Resumo Grupos'!$AE$3:$AE$40,$T1412)&gt;0,"NAO","SIM"))</f>
        <v/>
      </c>
    </row>
    <row r="1413" ht="12.75" customHeight="1" s="60">
      <c r="A1413" s="76" t="n">
        <v>1</v>
      </c>
      <c r="B1413" s="75" t="n">
        <v>46198</v>
      </c>
      <c r="C1413" s="75" t="n">
        <v>46227</v>
      </c>
      <c r="D1413" s="76" t="n">
        <v>536</v>
      </c>
      <c r="E1413" s="59" t="inlineStr">
        <is>
          <t xml:space="preserve">X TEC TECNOLOGIA </t>
        </is>
      </c>
      <c r="F1413" s="76" t="n">
        <v>24</v>
      </c>
      <c r="G1413" s="59" t="inlineStr">
        <is>
          <t>Compra a Prazo - Boletos</t>
        </is>
      </c>
      <c r="H1413" s="76" t="n">
        <v>2110405</v>
      </c>
      <c r="I1413" s="59" t="inlineStr">
        <is>
          <t>CONTAS A PAGAR</t>
        </is>
      </c>
      <c r="J1413" s="76" t="n">
        <v>847424</v>
      </c>
      <c r="L1413" s="76" t="n">
        <v>363545</v>
      </c>
      <c r="M1413" s="59" t="inlineStr">
        <is>
          <t>05</t>
        </is>
      </c>
      <c r="N1413" s="59" t="inlineStr">
        <is>
          <t>AVU</t>
        </is>
      </c>
      <c r="P1413" s="76" t="n">
        <v>102</v>
      </c>
      <c r="Q1413" s="59" t="inlineStr">
        <is>
          <t>ANDREZA ANDRADE</t>
        </is>
      </c>
      <c r="R1413" s="59" t="inlineStr">
        <is>
          <t>DESPESAS OPERACIONAIS</t>
        </is>
      </c>
      <c r="S1413" s="76" t="n">
        <v>4210227</v>
      </c>
      <c r="T1413" s="59" t="inlineStr">
        <is>
          <t>DESPESAS LOJA</t>
        </is>
      </c>
      <c r="U1413" s="77" t="n">
        <v>1001.34</v>
      </c>
      <c r="W1413" s="77" t="n">
        <v>0</v>
      </c>
      <c r="X1413" s="59" t="inlineStr">
        <is>
          <t>BOLETO ENERGIA  SOLAR PRESTIMO MO1-ANDREZA</t>
        </is>
      </c>
      <c r="Z1413" s="59">
        <f>IF($T1413="","",IFERROR(INDEX('Resumo Grupos'!$AC$3:$AC$200,MATCH($T1413,'Resumo Grupos'!$AB$3:$AB$200,0)),"n/d"))</f>
        <v/>
      </c>
      <c r="AA1413" s="59">
        <f>IF($T1413="","",IF(COUNTIF('Resumo Grupos'!$AE$3:$AE$40,$T1413)&gt;0,"NAO","SIM"))</f>
        <v/>
      </c>
    </row>
    <row r="1414" ht="12.75" customHeight="1" s="60">
      <c r="A1414" s="76" t="n">
        <v>1</v>
      </c>
      <c r="B1414" s="75" t="n">
        <v>46202</v>
      </c>
      <c r="C1414" s="75" t="n">
        <v>46227</v>
      </c>
      <c r="D1414" s="76" t="n">
        <v>1740</v>
      </c>
      <c r="E1414" s="59" t="inlineStr">
        <is>
          <t>OCIDENTAL COMERCIO DE FRIOS LTDA</t>
        </is>
      </c>
      <c r="F1414" s="76" t="n">
        <v>24</v>
      </c>
      <c r="G1414" s="59" t="inlineStr">
        <is>
          <t>Compra a Prazo - Boletos</t>
        </is>
      </c>
      <c r="H1414" s="76" t="n">
        <v>2110101</v>
      </c>
      <c r="I1414" s="59" t="inlineStr">
        <is>
          <t>FORNECEDORES DE MERCADORIA</t>
        </is>
      </c>
      <c r="J1414" s="76" t="n">
        <v>1322290</v>
      </c>
      <c r="L1414" s="76" t="n">
        <v>1241434</v>
      </c>
      <c r="M1414" s="59" t="inlineStr">
        <is>
          <t>03</t>
        </is>
      </c>
      <c r="N1414" s="59" t="inlineStr">
        <is>
          <t>NFE</t>
        </is>
      </c>
      <c r="P1414" s="76" t="n">
        <v>103</v>
      </c>
      <c r="Q1414" s="59" t="inlineStr">
        <is>
          <t>MILKA FRANCIS</t>
        </is>
      </c>
      <c r="R1414" s="59" t="inlineStr">
        <is>
          <t>ESTOQUE DE MERCADORIAS</t>
        </is>
      </c>
      <c r="S1414" s="76" t="n">
        <v>1130101</v>
      </c>
      <c r="T1414" s="59" t="inlineStr">
        <is>
          <t>MERCADORIAS P/REVENDA</t>
        </is>
      </c>
      <c r="U1414" s="77" t="n">
        <v>537.72</v>
      </c>
      <c r="W1414" s="77" t="n">
        <v>0</v>
      </c>
      <c r="X1414" s="59" t="inlineStr">
        <is>
          <t>NF 1241434-3/3 - MILKA</t>
        </is>
      </c>
      <c r="Z1414" s="59">
        <f>IF($T1414="","",IFERROR(INDEX('Resumo Grupos'!$AC$3:$AC$200,MATCH($T1414,'Resumo Grupos'!$AB$3:$AB$200,0)),"n/d"))</f>
        <v/>
      </c>
      <c r="AA1414" s="59">
        <f>IF($T1414="","",IF(COUNTIF('Resumo Grupos'!$AE$3:$AE$40,$T1414)&gt;0,"NAO","SIM"))</f>
        <v/>
      </c>
    </row>
    <row r="1415" ht="12.75" customHeight="1" s="60">
      <c r="A1415" s="76" t="n">
        <v>1</v>
      </c>
      <c r="B1415" s="75" t="n">
        <v>46227</v>
      </c>
      <c r="C1415" s="75" t="n">
        <v>46227</v>
      </c>
      <c r="D1415" s="76" t="n">
        <v>10035</v>
      </c>
      <c r="E1415" s="59" t="inlineStr">
        <is>
          <t>J W N DOS SANTOS</t>
        </is>
      </c>
      <c r="F1415" s="76" t="n">
        <v>13</v>
      </c>
      <c r="G1415" s="59" t="inlineStr">
        <is>
          <t>Compra a Vista</t>
        </is>
      </c>
      <c r="H1415" s="76" t="n">
        <v>2110101</v>
      </c>
      <c r="I1415" s="59" t="inlineStr">
        <is>
          <t>FORNECEDORES DE MERCADORIA</t>
        </is>
      </c>
      <c r="J1415" s="76" t="n">
        <v>1459549</v>
      </c>
      <c r="L1415" s="76" t="n">
        <v>377</v>
      </c>
      <c r="M1415" s="59" t="inlineStr">
        <is>
          <t>01</t>
        </is>
      </c>
      <c r="N1415" s="59" t="inlineStr">
        <is>
          <t>NFE</t>
        </is>
      </c>
      <c r="P1415" s="76" t="n">
        <v>104</v>
      </c>
      <c r="Q1415" s="59" t="inlineStr">
        <is>
          <t>DEBORA COSTA</t>
        </is>
      </c>
      <c r="R1415" s="59" t="inlineStr">
        <is>
          <t>ESTOQUE DE MERCADORIAS</t>
        </is>
      </c>
      <c r="S1415" s="76" t="n">
        <v>1130101</v>
      </c>
      <c r="T1415" s="59" t="inlineStr">
        <is>
          <t>MERCADORIAS P/REVENDA</t>
        </is>
      </c>
      <c r="U1415" s="77" t="n">
        <v>560</v>
      </c>
      <c r="W1415" s="77" t="n">
        <v>0</v>
      </c>
      <c r="X1415" s="59" t="inlineStr">
        <is>
          <t>NF 377 - DEBORA</t>
        </is>
      </c>
      <c r="Z1415" s="59">
        <f>IF($T1415="","",IFERROR(INDEX('Resumo Grupos'!$AC$3:$AC$200,MATCH($T1415,'Resumo Grupos'!$AB$3:$AB$200,0)),"n/d"))</f>
        <v/>
      </c>
      <c r="AA1415" s="59">
        <f>IF($T1415="","",IF(COUNTIF('Resumo Grupos'!$AE$3:$AE$40,$T1415)&gt;0,"NAO","SIM"))</f>
        <v/>
      </c>
    </row>
    <row r="1416" ht="12.75" customHeight="1" s="60">
      <c r="A1416" s="76" t="n">
        <v>1</v>
      </c>
      <c r="B1416" s="75" t="n">
        <v>46207</v>
      </c>
      <c r="C1416" s="75" t="n">
        <v>46227</v>
      </c>
      <c r="D1416" s="76" t="n">
        <v>1815</v>
      </c>
      <c r="E1416" s="59" t="inlineStr">
        <is>
          <t>J G COMERCIO DE PRODUTOS ALIMENTICIOS LTDA</t>
        </is>
      </c>
      <c r="F1416" s="76" t="n">
        <v>24</v>
      </c>
      <c r="G1416" s="59" t="inlineStr">
        <is>
          <t>Compra a Prazo - Boletos</t>
        </is>
      </c>
      <c r="H1416" s="76" t="n">
        <v>2110101</v>
      </c>
      <c r="I1416" s="59" t="inlineStr">
        <is>
          <t>FORNECEDORES DE MERCADORIA</t>
        </is>
      </c>
      <c r="J1416" s="76" t="n">
        <v>1348411</v>
      </c>
      <c r="L1416" s="76" t="n">
        <v>390550</v>
      </c>
      <c r="M1416" s="59" t="inlineStr">
        <is>
          <t>03</t>
        </is>
      </c>
      <c r="N1416" s="59" t="inlineStr">
        <is>
          <t>NFE</t>
        </is>
      </c>
      <c r="P1416" s="76" t="n">
        <v>103</v>
      </c>
      <c r="Q1416" s="59" t="inlineStr">
        <is>
          <t>MILKA FRANCIS</t>
        </is>
      </c>
      <c r="R1416" s="59" t="inlineStr">
        <is>
          <t>ESTOQUE DE MERCADORIAS</t>
        </is>
      </c>
      <c r="S1416" s="76" t="n">
        <v>1130101</v>
      </c>
      <c r="T1416" s="59" t="inlineStr">
        <is>
          <t>MERCADORIAS P/REVENDA</t>
        </is>
      </c>
      <c r="U1416" s="77" t="n">
        <v>2340.64</v>
      </c>
      <c r="W1416" s="77" t="n">
        <v>0</v>
      </c>
      <c r="X1416" s="59" t="inlineStr">
        <is>
          <t>454446-C/C  NF390550 - MILKA</t>
        </is>
      </c>
      <c r="Z1416" s="59">
        <f>IF($T1416="","",IFERROR(INDEX('Resumo Grupos'!$AC$3:$AC$200,MATCH($T1416,'Resumo Grupos'!$AB$3:$AB$200,0)),"n/d"))</f>
        <v/>
      </c>
      <c r="AA1416" s="59">
        <f>IF($T1416="","",IF(COUNTIF('Resumo Grupos'!$AE$3:$AE$40,$T1416)&gt;0,"NAO","SIM"))</f>
        <v/>
      </c>
    </row>
    <row r="1417" ht="12.75" customHeight="1" s="60">
      <c r="A1417" s="76" t="n">
        <v>1</v>
      </c>
      <c r="B1417" s="75" t="n">
        <v>46207</v>
      </c>
      <c r="C1417" s="75" t="n">
        <v>46227</v>
      </c>
      <c r="D1417" s="76" t="n">
        <v>1695</v>
      </c>
      <c r="E1417" s="59" t="inlineStr">
        <is>
          <t>BRAGA TABACARIA EIRELI ME</t>
        </is>
      </c>
      <c r="F1417" s="76" t="n">
        <v>24</v>
      </c>
      <c r="G1417" s="59" t="inlineStr">
        <is>
          <t>Compra a Prazo - Boletos</t>
        </is>
      </c>
      <c r="H1417" s="76" t="n">
        <v>2110101</v>
      </c>
      <c r="I1417" s="59" t="inlineStr">
        <is>
          <t>FORNECEDORES DE MERCADORIA</t>
        </is>
      </c>
      <c r="J1417" s="76" t="n">
        <v>1348708</v>
      </c>
      <c r="L1417" s="76" t="n">
        <v>19022</v>
      </c>
      <c r="M1417" s="59" t="inlineStr">
        <is>
          <t>03</t>
        </is>
      </c>
      <c r="N1417" s="59" t="inlineStr">
        <is>
          <t>NFE</t>
        </is>
      </c>
      <c r="P1417" s="76" t="n">
        <v>103</v>
      </c>
      <c r="Q1417" s="59" t="inlineStr">
        <is>
          <t>MILKA FRANCIS</t>
        </is>
      </c>
      <c r="R1417" s="59" t="inlineStr">
        <is>
          <t>ESTOQUE DE MERCADORIAS</t>
        </is>
      </c>
      <c r="S1417" s="76" t="n">
        <v>1130101</v>
      </c>
      <c r="T1417" s="59" t="inlineStr">
        <is>
          <t>MERCADORIAS P/REVENDA</t>
        </is>
      </c>
      <c r="U1417" s="77" t="n">
        <v>595</v>
      </c>
      <c r="W1417" s="77" t="n">
        <v>0</v>
      </c>
      <c r="X1417" s="59" t="inlineStr">
        <is>
          <t>NF 19022-03 MILKA</t>
        </is>
      </c>
      <c r="Z1417" s="59">
        <f>IF($T1417="","",IFERROR(INDEX('Resumo Grupos'!$AC$3:$AC$200,MATCH($T1417,'Resumo Grupos'!$AB$3:$AB$200,0)),"n/d"))</f>
        <v/>
      </c>
      <c r="AA1417" s="59">
        <f>IF($T1417="","",IF(COUNTIF('Resumo Grupos'!$AE$3:$AE$40,$T1417)&gt;0,"NAO","SIM"))</f>
        <v/>
      </c>
    </row>
    <row r="1418" ht="12.75" customHeight="1" s="60">
      <c r="A1418" s="76" t="n">
        <v>1</v>
      </c>
      <c r="B1418" s="75" t="n">
        <v>46209</v>
      </c>
      <c r="C1418" s="75" t="n">
        <v>46227</v>
      </c>
      <c r="D1418" s="76" t="n">
        <v>10009</v>
      </c>
      <c r="E1418" s="59" t="inlineStr">
        <is>
          <t>NESTLÉ BRASIL LTDA.</t>
        </is>
      </c>
      <c r="F1418" s="76" t="n">
        <v>24</v>
      </c>
      <c r="G1418" s="59" t="inlineStr">
        <is>
          <t>Compra a Prazo - Boletos</t>
        </is>
      </c>
      <c r="H1418" s="76" t="n">
        <v>2110101</v>
      </c>
      <c r="I1418" s="59" t="inlineStr">
        <is>
          <t>FORNECEDORES DE MERCADORIA</t>
        </is>
      </c>
      <c r="J1418" s="76" t="n">
        <v>1360393</v>
      </c>
      <c r="L1418" s="76" t="n">
        <v>1424401</v>
      </c>
      <c r="M1418" s="59" t="inlineStr">
        <is>
          <t>03</t>
        </is>
      </c>
      <c r="N1418" s="59" t="inlineStr">
        <is>
          <t>NFE</t>
        </is>
      </c>
      <c r="P1418" s="76" t="n">
        <v>103</v>
      </c>
      <c r="Q1418" s="59" t="inlineStr">
        <is>
          <t>MILKA FRANCIS</t>
        </is>
      </c>
      <c r="R1418" s="59" t="inlineStr">
        <is>
          <t>ESTOQUE DE MERCADORIAS</t>
        </is>
      </c>
      <c r="S1418" s="76" t="n">
        <v>1130101</v>
      </c>
      <c r="T1418" s="59" t="inlineStr">
        <is>
          <t>MERCADORIAS P/REVENDA</t>
        </is>
      </c>
      <c r="U1418" s="77" t="n">
        <v>868.87</v>
      </c>
      <c r="W1418" s="77" t="n">
        <v>0</v>
      </c>
      <c r="X1418" s="59" t="inlineStr">
        <is>
          <t>NF 1424401-03 MILKA</t>
        </is>
      </c>
      <c r="Z1418" s="59">
        <f>IF($T1418="","",IFERROR(INDEX('Resumo Grupos'!$AC$3:$AC$200,MATCH($T1418,'Resumo Grupos'!$AB$3:$AB$200,0)),"n/d"))</f>
        <v/>
      </c>
      <c r="AA1418" s="59">
        <f>IF($T1418="","",IF(COUNTIF('Resumo Grupos'!$AE$3:$AE$40,$T1418)&gt;0,"NAO","SIM"))</f>
        <v/>
      </c>
    </row>
    <row r="1419" ht="12.75" customHeight="1" s="60">
      <c r="A1419" s="76" t="n">
        <v>1</v>
      </c>
      <c r="B1419" s="75" t="n">
        <v>46212</v>
      </c>
      <c r="C1419" s="75" t="n">
        <v>46227</v>
      </c>
      <c r="D1419" s="76" t="n">
        <v>10074</v>
      </c>
      <c r="E1419" s="59" t="inlineStr">
        <is>
          <t>AMAZONIA COMERCIO DE MASSAS LTDA</t>
        </is>
      </c>
      <c r="F1419" s="76" t="n">
        <v>24</v>
      </c>
      <c r="G1419" s="59" t="inlineStr">
        <is>
          <t>Compra a Prazo - Boletos</t>
        </is>
      </c>
      <c r="H1419" s="76" t="n">
        <v>1110202</v>
      </c>
      <c r="I1419" s="59" t="inlineStr">
        <is>
          <t>BANCO ITAU Lj 01</t>
        </is>
      </c>
      <c r="J1419" s="76" t="n">
        <v>1374335</v>
      </c>
      <c r="L1419" s="76" t="n">
        <v>3299</v>
      </c>
      <c r="M1419" s="59" t="inlineStr">
        <is>
          <t>01</t>
        </is>
      </c>
      <c r="N1419" s="59" t="inlineStr">
        <is>
          <t>AVU</t>
        </is>
      </c>
      <c r="P1419" s="76" t="n">
        <v>103</v>
      </c>
      <c r="Q1419" s="59" t="inlineStr">
        <is>
          <t>MILKA FRANCIS</t>
        </is>
      </c>
      <c r="R1419" s="59" t="inlineStr">
        <is>
          <t>ESTOQUE DE MERCADORIAS</t>
        </is>
      </c>
      <c r="S1419" s="76" t="n">
        <v>1130101</v>
      </c>
      <c r="T1419" s="59" t="inlineStr">
        <is>
          <t>MERCADORIAS P/REVENDA</t>
        </is>
      </c>
      <c r="U1419" s="77" t="n">
        <v>550</v>
      </c>
      <c r="W1419" s="77" t="n">
        <v>0</v>
      </c>
      <c r="X1419" s="59" t="inlineStr">
        <is>
          <t>NF 3299 IMPERIO DO CANUDINHO - MILKA</t>
        </is>
      </c>
      <c r="Z1419" s="59">
        <f>IF($T1419="","",IFERROR(INDEX('Resumo Grupos'!$AC$3:$AC$200,MATCH($T1419,'Resumo Grupos'!$AB$3:$AB$200,0)),"n/d"))</f>
        <v/>
      </c>
      <c r="AA1419" s="59">
        <f>IF($T1419="","",IF(COUNTIF('Resumo Grupos'!$AE$3:$AE$40,$T1419)&gt;0,"NAO","SIM"))</f>
        <v/>
      </c>
    </row>
    <row r="1420" ht="12.75" customHeight="1" s="60">
      <c r="A1420" s="76" t="n">
        <v>1</v>
      </c>
      <c r="B1420" s="75" t="n">
        <v>46212</v>
      </c>
      <c r="C1420" s="75" t="n">
        <v>46227</v>
      </c>
      <c r="D1420" s="76" t="n">
        <v>10037</v>
      </c>
      <c r="E1420" s="59" t="inlineStr">
        <is>
          <t>FORTVET DISTRIBUIDORA LTDA</t>
        </is>
      </c>
      <c r="F1420" s="76" t="n">
        <v>24</v>
      </c>
      <c r="G1420" s="59" t="inlineStr">
        <is>
          <t>Compra a Prazo - Boletos</t>
        </is>
      </c>
      <c r="H1420" s="76" t="n">
        <v>2110405</v>
      </c>
      <c r="I1420" s="59" t="inlineStr">
        <is>
          <t>CONTAS A PAGAR</t>
        </is>
      </c>
      <c r="J1420" s="76" t="n">
        <v>1374662</v>
      </c>
      <c r="L1420" s="76" t="n">
        <v>2737</v>
      </c>
      <c r="M1420" s="59" t="inlineStr">
        <is>
          <t>01</t>
        </is>
      </c>
      <c r="N1420" s="59" t="inlineStr">
        <is>
          <t>AVU</t>
        </is>
      </c>
      <c r="P1420" s="76" t="n">
        <v>103</v>
      </c>
      <c r="Q1420" s="59" t="inlineStr">
        <is>
          <t>MILKA FRANCIS</t>
        </is>
      </c>
      <c r="R1420" s="59" t="inlineStr">
        <is>
          <t>ESTOQUE DE MERCADORIAS</t>
        </is>
      </c>
      <c r="S1420" s="76" t="n">
        <v>1130101</v>
      </c>
      <c r="T1420" s="59" t="inlineStr">
        <is>
          <t>MERCADORIAS P/REVENDA</t>
        </is>
      </c>
      <c r="U1420" s="77" t="n">
        <v>527.3</v>
      </c>
      <c r="W1420" s="77" t="n">
        <v>0</v>
      </c>
      <c r="X1420" s="59" t="inlineStr">
        <is>
          <t>NF 2737-1 MILKA</t>
        </is>
      </c>
      <c r="Z1420" s="59">
        <f>IF($T1420="","",IFERROR(INDEX('Resumo Grupos'!$AC$3:$AC$200,MATCH($T1420,'Resumo Grupos'!$AB$3:$AB$200,0)),"n/d"))</f>
        <v/>
      </c>
      <c r="AA1420" s="59">
        <f>IF($T1420="","",IF(COUNTIF('Resumo Grupos'!$AE$3:$AE$40,$T1420)&gt;0,"NAO","SIM"))</f>
        <v/>
      </c>
    </row>
    <row r="1421" ht="12.75" customHeight="1" s="60">
      <c r="A1421" s="76" t="n">
        <v>1</v>
      </c>
      <c r="B1421" s="75" t="n">
        <v>46212</v>
      </c>
      <c r="C1421" s="75" t="n">
        <v>46227</v>
      </c>
      <c r="D1421" s="76" t="n">
        <v>1718</v>
      </c>
      <c r="E1421" s="59" t="inlineStr">
        <is>
          <t>DISTRIBUIDORA FARIAS LTDA.</t>
        </is>
      </c>
      <c r="F1421" s="76" t="n">
        <v>24</v>
      </c>
      <c r="G1421" s="59" t="inlineStr">
        <is>
          <t>Compra a Prazo - Boletos</t>
        </is>
      </c>
      <c r="H1421" s="76" t="n">
        <v>2110405</v>
      </c>
      <c r="I1421" s="59" t="inlineStr">
        <is>
          <t>CONTAS A PAGAR</t>
        </is>
      </c>
      <c r="J1421" s="76" t="n">
        <v>1375395</v>
      </c>
      <c r="L1421" s="76" t="n">
        <v>681131</v>
      </c>
      <c r="M1421" s="59" t="inlineStr">
        <is>
          <t>01</t>
        </is>
      </c>
      <c r="N1421" s="59" t="inlineStr">
        <is>
          <t>AVU</t>
        </is>
      </c>
      <c r="P1421" s="76" t="n">
        <v>103</v>
      </c>
      <c r="Q1421" s="59" t="inlineStr">
        <is>
          <t>MILKA FRANCIS</t>
        </is>
      </c>
      <c r="R1421" s="59" t="inlineStr">
        <is>
          <t>ESTOQUE DE MERCADORIAS</t>
        </is>
      </c>
      <c r="S1421" s="76" t="n">
        <v>1130101</v>
      </c>
      <c r="T1421" s="59" t="inlineStr">
        <is>
          <t>MERCADORIAS P/REVENDA</t>
        </is>
      </c>
      <c r="U1421" s="77" t="n">
        <v>871.13</v>
      </c>
      <c r="W1421" s="77" t="n">
        <v>0</v>
      </c>
      <c r="X1421" s="59" t="inlineStr">
        <is>
          <t>804856-A/C  NF681131 - MILKA</t>
        </is>
      </c>
      <c r="Z1421" s="59">
        <f>IF($T1421="","",IFERROR(INDEX('Resumo Grupos'!$AC$3:$AC$200,MATCH($T1421,'Resumo Grupos'!$AB$3:$AB$200,0)),"n/d"))</f>
        <v/>
      </c>
      <c r="AA1421" s="59">
        <f>IF($T1421="","",IF(COUNTIF('Resumo Grupos'!$AE$3:$AE$40,$T1421)&gt;0,"NAO","SIM"))</f>
        <v/>
      </c>
    </row>
    <row r="1422" ht="12.75" customHeight="1" s="60">
      <c r="A1422" s="76" t="n">
        <v>1</v>
      </c>
      <c r="B1422" s="75" t="n">
        <v>46213</v>
      </c>
      <c r="C1422" s="75" t="n">
        <v>46227</v>
      </c>
      <c r="D1422" s="76" t="n">
        <v>1666</v>
      </c>
      <c r="E1422" s="59" t="inlineStr">
        <is>
          <t>SOUZA CRUZ LTDA.</t>
        </is>
      </c>
      <c r="F1422" s="76" t="n">
        <v>24</v>
      </c>
      <c r="G1422" s="59" t="inlineStr">
        <is>
          <t>Compra a Prazo - Boletos</t>
        </is>
      </c>
      <c r="H1422" s="76" t="n">
        <v>1110202</v>
      </c>
      <c r="I1422" s="59" t="inlineStr">
        <is>
          <t>BANCO ITAU Lj 01</t>
        </is>
      </c>
      <c r="J1422" s="76" t="n">
        <v>1376853</v>
      </c>
      <c r="L1422" s="76" t="n">
        <v>566688</v>
      </c>
      <c r="M1422" s="59" t="inlineStr">
        <is>
          <t>02</t>
        </is>
      </c>
      <c r="N1422" s="59" t="inlineStr">
        <is>
          <t>AVU</t>
        </is>
      </c>
      <c r="P1422" s="76" t="n">
        <v>103</v>
      </c>
      <c r="Q1422" s="59" t="inlineStr">
        <is>
          <t>MILKA FRANCIS</t>
        </is>
      </c>
      <c r="R1422" s="59" t="inlineStr">
        <is>
          <t>ESTOQUE DE MERCADORIAS</t>
        </is>
      </c>
      <c r="S1422" s="76" t="n">
        <v>1130101</v>
      </c>
      <c r="T1422" s="59" t="inlineStr">
        <is>
          <t>MERCADORIAS P/REVENDA</t>
        </is>
      </c>
      <c r="U1422" s="77" t="n">
        <v>6643.67</v>
      </c>
      <c r="W1422" s="77" t="n">
        <v>0</v>
      </c>
      <c r="X1422" s="59" t="inlineStr">
        <is>
          <t>NF 566688 -02 MILKA</t>
        </is>
      </c>
      <c r="Z1422" s="59">
        <f>IF($T1422="","",IFERROR(INDEX('Resumo Grupos'!$AC$3:$AC$200,MATCH($T1422,'Resumo Grupos'!$AB$3:$AB$200,0)),"n/d"))</f>
        <v/>
      </c>
      <c r="AA1422" s="59">
        <f>IF($T1422="","",IF(COUNTIF('Resumo Grupos'!$AE$3:$AE$40,$T1422)&gt;0,"NAO","SIM"))</f>
        <v/>
      </c>
    </row>
    <row r="1423" ht="12.75" customHeight="1" s="60">
      <c r="A1423" s="76" t="n">
        <v>1</v>
      </c>
      <c r="B1423" s="75" t="n">
        <v>46227</v>
      </c>
      <c r="C1423" s="75" t="n">
        <v>46227</v>
      </c>
      <c r="D1423" s="76" t="n">
        <v>10096</v>
      </c>
      <c r="E1423" s="59" t="inlineStr">
        <is>
          <t>H L M PADARIA E CONFEITARIA LTDA</t>
        </is>
      </c>
      <c r="F1423" s="76" t="n">
        <v>13</v>
      </c>
      <c r="G1423" s="59" t="inlineStr">
        <is>
          <t>Compra a Vista</t>
        </is>
      </c>
      <c r="H1423" s="76" t="n">
        <v>2110101</v>
      </c>
      <c r="I1423" s="59" t="inlineStr">
        <is>
          <t>FORNECEDORES DE MERCADORIA</t>
        </is>
      </c>
      <c r="J1423" s="76" t="n">
        <v>1459634</v>
      </c>
      <c r="L1423" s="76" t="n">
        <v>75</v>
      </c>
      <c r="M1423" s="59" t="inlineStr">
        <is>
          <t>01</t>
        </is>
      </c>
      <c r="N1423" s="59" t="inlineStr">
        <is>
          <t>NFE</t>
        </is>
      </c>
      <c r="P1423" s="76" t="n">
        <v>104</v>
      </c>
      <c r="Q1423" s="59" t="inlineStr">
        <is>
          <t>DEBORA COSTA</t>
        </is>
      </c>
      <c r="R1423" s="59" t="inlineStr">
        <is>
          <t>ESTOQUE DE MERCADORIAS</t>
        </is>
      </c>
      <c r="S1423" s="76" t="n">
        <v>1130101</v>
      </c>
      <c r="T1423" s="59" t="inlineStr">
        <is>
          <t>MERCADORIAS P/REVENDA</t>
        </is>
      </c>
      <c r="U1423" s="77" t="n">
        <v>300</v>
      </c>
      <c r="W1423" s="77" t="n">
        <v>0</v>
      </c>
      <c r="X1423" s="59" t="inlineStr">
        <is>
          <t>NF 75 - DEBORA</t>
        </is>
      </c>
      <c r="Z1423" s="59">
        <f>IF($T1423="","",IFERROR(INDEX('Resumo Grupos'!$AC$3:$AC$200,MATCH($T1423,'Resumo Grupos'!$AB$3:$AB$200,0)),"n/d"))</f>
        <v/>
      </c>
      <c r="AA1423" s="59">
        <f>IF($T1423="","",IF(COUNTIF('Resumo Grupos'!$AE$3:$AE$40,$T1423)&gt;0,"NAO","SIM"))</f>
        <v/>
      </c>
    </row>
    <row r="1424" ht="12.75" customHeight="1" s="60">
      <c r="A1424" s="76" t="n">
        <v>1</v>
      </c>
      <c r="B1424" s="75" t="n">
        <v>46214</v>
      </c>
      <c r="C1424" s="75" t="n">
        <v>46227</v>
      </c>
      <c r="D1424" s="76" t="n">
        <v>1270</v>
      </c>
      <c r="E1424" s="59" t="inlineStr">
        <is>
          <t>J. S. MOREIRA ALVES LTDA</t>
        </is>
      </c>
      <c r="F1424" s="76" t="n">
        <v>24</v>
      </c>
      <c r="G1424" s="59" t="inlineStr">
        <is>
          <t>Compra a Prazo - Boletos</t>
        </is>
      </c>
      <c r="H1424" s="76" t="n">
        <v>1110202</v>
      </c>
      <c r="I1424" s="59" t="inlineStr">
        <is>
          <t>BANCO ITAU Lj 01</t>
        </is>
      </c>
      <c r="J1424" s="76" t="n">
        <v>1382075</v>
      </c>
      <c r="L1424" s="76" t="n">
        <v>2634</v>
      </c>
      <c r="M1424" s="59" t="inlineStr">
        <is>
          <t>01</t>
        </is>
      </c>
      <c r="N1424" s="59" t="inlineStr">
        <is>
          <t>AVU</t>
        </is>
      </c>
      <c r="P1424" s="76" t="n">
        <v>103</v>
      </c>
      <c r="Q1424" s="59" t="inlineStr">
        <is>
          <t>MILKA FRANCIS</t>
        </is>
      </c>
      <c r="R1424" s="59" t="inlineStr">
        <is>
          <t>ESTOQUE DE MERCADORIAS</t>
        </is>
      </c>
      <c r="S1424" s="76" t="n">
        <v>1130101</v>
      </c>
      <c r="T1424" s="59" t="inlineStr">
        <is>
          <t>MERCADORIAS P/REVENDA</t>
        </is>
      </c>
      <c r="U1424" s="77" t="n">
        <v>493</v>
      </c>
      <c r="W1424" s="77" t="n">
        <v>0</v>
      </c>
      <c r="X1424" s="59" t="inlineStr">
        <is>
          <t>NF2634 MESA FARTA - MILKA</t>
        </is>
      </c>
      <c r="Z1424" s="59">
        <f>IF($T1424="","",IFERROR(INDEX('Resumo Grupos'!$AC$3:$AC$200,MATCH($T1424,'Resumo Grupos'!$AB$3:$AB$200,0)),"n/d"))</f>
        <v/>
      </c>
      <c r="AA1424" s="59">
        <f>IF($T1424="","",IF(COUNTIF('Resumo Grupos'!$AE$3:$AE$40,$T1424)&gt;0,"NAO","SIM"))</f>
        <v/>
      </c>
    </row>
    <row r="1425" ht="12.75" customHeight="1" s="60">
      <c r="A1425" s="76" t="n">
        <v>1</v>
      </c>
      <c r="B1425" s="75" t="n">
        <v>46214</v>
      </c>
      <c r="C1425" s="75" t="n">
        <v>46227</v>
      </c>
      <c r="D1425" s="76" t="n">
        <v>1815</v>
      </c>
      <c r="E1425" s="59" t="inlineStr">
        <is>
          <t>J G COMERCIO DE PRODUTOS ALIMENTICIOS LTDA</t>
        </is>
      </c>
      <c r="F1425" s="76" t="n">
        <v>24</v>
      </c>
      <c r="G1425" s="59" t="inlineStr">
        <is>
          <t>Compra a Prazo - Boletos</t>
        </is>
      </c>
      <c r="H1425" s="76" t="n">
        <v>1110202</v>
      </c>
      <c r="I1425" s="59" t="inlineStr">
        <is>
          <t>BANCO ITAU Lj 01</t>
        </is>
      </c>
      <c r="J1425" s="76" t="n">
        <v>1382433</v>
      </c>
      <c r="L1425" s="76" t="n">
        <v>391785</v>
      </c>
      <c r="M1425" s="59" t="inlineStr">
        <is>
          <t>02</t>
        </is>
      </c>
      <c r="N1425" s="59" t="inlineStr">
        <is>
          <t>AVU</t>
        </is>
      </c>
      <c r="P1425" s="76" t="n">
        <v>103</v>
      </c>
      <c r="Q1425" s="59" t="inlineStr">
        <is>
          <t>MILKA FRANCIS</t>
        </is>
      </c>
      <c r="R1425" s="59" t="inlineStr">
        <is>
          <t>ESTOQUE DE MERCADORIAS</t>
        </is>
      </c>
      <c r="S1425" s="76" t="n">
        <v>1130101</v>
      </c>
      <c r="T1425" s="59" t="inlineStr">
        <is>
          <t>MERCADORIAS P/REVENDA</t>
        </is>
      </c>
      <c r="U1425" s="77" t="n">
        <v>785.66</v>
      </c>
      <c r="W1425" s="77" t="n">
        <v>0</v>
      </c>
      <c r="X1425" s="59" t="inlineStr">
        <is>
          <t>455810-B/C  NF391785 MASTERFRIGO - MILKA</t>
        </is>
      </c>
      <c r="Z1425" s="59">
        <f>IF($T1425="","",IFERROR(INDEX('Resumo Grupos'!$AC$3:$AC$200,MATCH($T1425,'Resumo Grupos'!$AB$3:$AB$200,0)),"n/d"))</f>
        <v/>
      </c>
      <c r="AA1425" s="59">
        <f>IF($T1425="","",IF(COUNTIF('Resumo Grupos'!$AE$3:$AE$40,$T1425)&gt;0,"NAO","SIM"))</f>
        <v/>
      </c>
    </row>
    <row r="1426" ht="12.75" customHeight="1" s="60">
      <c r="A1426" s="76" t="n">
        <v>1</v>
      </c>
      <c r="B1426" s="75" t="n">
        <v>46216</v>
      </c>
      <c r="C1426" s="75" t="n">
        <v>46227</v>
      </c>
      <c r="D1426" s="76" t="n">
        <v>794</v>
      </c>
      <c r="E1426" s="59" t="inlineStr">
        <is>
          <t>EDMARA COMERCIO DE HIGIENE PESSOAL LTDA</t>
        </is>
      </c>
      <c r="F1426" s="76" t="n">
        <v>24</v>
      </c>
      <c r="G1426" s="59" t="inlineStr">
        <is>
          <t>Compra a Prazo - Boletos</t>
        </is>
      </c>
      <c r="H1426" s="76" t="n">
        <v>1110202</v>
      </c>
      <c r="I1426" s="59" t="inlineStr">
        <is>
          <t>BANCO ITAU Lj 01</t>
        </is>
      </c>
      <c r="J1426" s="76" t="n">
        <v>1393075</v>
      </c>
      <c r="L1426" s="76" t="n">
        <v>8365</v>
      </c>
      <c r="M1426" s="59" t="inlineStr">
        <is>
          <t>01</t>
        </is>
      </c>
      <c r="N1426" s="59" t="inlineStr">
        <is>
          <t>AVU</t>
        </is>
      </c>
      <c r="P1426" s="76" t="n">
        <v>103</v>
      </c>
      <c r="Q1426" s="59" t="inlineStr">
        <is>
          <t>MILKA FRANCIS</t>
        </is>
      </c>
      <c r="R1426" s="59" t="inlineStr">
        <is>
          <t>ESTOQUE DE MERCADORIAS</t>
        </is>
      </c>
      <c r="S1426" s="76" t="n">
        <v>1130101</v>
      </c>
      <c r="T1426" s="59" t="inlineStr">
        <is>
          <t>MERCADORIAS P/REVENDA</t>
        </is>
      </c>
      <c r="U1426" s="77" t="n">
        <v>550</v>
      </c>
      <c r="W1426" s="77" t="n">
        <v>0</v>
      </c>
      <c r="X1426" s="59" t="inlineStr">
        <is>
          <t>NF8365 USO E CONSUMO/DESPESA LOJA - MILKA</t>
        </is>
      </c>
      <c r="Z1426" s="59">
        <f>IF($T1426="","",IFERROR(INDEX('Resumo Grupos'!$AC$3:$AC$200,MATCH($T1426,'Resumo Grupos'!$AB$3:$AB$200,0)),"n/d"))</f>
        <v/>
      </c>
      <c r="AA1426" s="59">
        <f>IF($T1426="","",IF(COUNTIF('Resumo Grupos'!$AE$3:$AE$40,$T1426)&gt;0,"NAO","SIM"))</f>
        <v/>
      </c>
    </row>
    <row r="1427" ht="12.75" customHeight="1" s="60">
      <c r="A1427" s="76" t="n">
        <v>1</v>
      </c>
      <c r="B1427" s="75" t="n">
        <v>46217</v>
      </c>
      <c r="C1427" s="75" t="n">
        <v>46227</v>
      </c>
      <c r="D1427" s="76" t="n">
        <v>1723</v>
      </c>
      <c r="E1427" s="59" t="inlineStr">
        <is>
          <t>COMERCIO DE FRIOS MANAUS LTDA</t>
        </is>
      </c>
      <c r="F1427" s="76" t="n">
        <v>24</v>
      </c>
      <c r="G1427" s="59" t="inlineStr">
        <is>
          <t>Compra a Prazo - Boletos</t>
        </is>
      </c>
      <c r="H1427" s="76" t="n">
        <v>1110202</v>
      </c>
      <c r="I1427" s="59" t="inlineStr">
        <is>
          <t>BANCO ITAU Lj 01</t>
        </is>
      </c>
      <c r="J1427" s="76" t="n">
        <v>1398025</v>
      </c>
      <c r="L1427" s="76" t="n">
        <v>173143</v>
      </c>
      <c r="M1427" s="59" t="inlineStr">
        <is>
          <t>01</t>
        </is>
      </c>
      <c r="N1427" s="59" t="inlineStr">
        <is>
          <t>AVU</t>
        </is>
      </c>
      <c r="P1427" s="76" t="n">
        <v>103</v>
      </c>
      <c r="Q1427" s="59" t="inlineStr">
        <is>
          <t>MILKA FRANCIS</t>
        </is>
      </c>
      <c r="R1427" s="59" t="inlineStr">
        <is>
          <t>ESTOQUE DE MERCADORIAS</t>
        </is>
      </c>
      <c r="S1427" s="76" t="n">
        <v>1130101</v>
      </c>
      <c r="T1427" s="59" t="inlineStr">
        <is>
          <t>MERCADORIAS P/REVENDA</t>
        </is>
      </c>
      <c r="U1427" s="77" t="n">
        <v>5478.8</v>
      </c>
      <c r="W1427" s="77" t="n">
        <v>0</v>
      </c>
      <c r="X1427" s="59" t="inlineStr">
        <is>
          <t>NF173143 - MILKA</t>
        </is>
      </c>
      <c r="Z1427" s="59">
        <f>IF($T1427="","",IFERROR(INDEX('Resumo Grupos'!$AC$3:$AC$200,MATCH($T1427,'Resumo Grupos'!$AB$3:$AB$200,0)),"n/d"))</f>
        <v/>
      </c>
      <c r="AA1427" s="59">
        <f>IF($T1427="","",IF(COUNTIF('Resumo Grupos'!$AE$3:$AE$40,$T1427)&gt;0,"NAO","SIM"))</f>
        <v/>
      </c>
    </row>
    <row r="1428" ht="12.75" customHeight="1" s="60">
      <c r="A1428" s="76" t="n">
        <v>1</v>
      </c>
      <c r="B1428" s="75" t="n">
        <v>46219</v>
      </c>
      <c r="C1428" s="75" t="n">
        <v>46227</v>
      </c>
      <c r="D1428" s="76" t="n">
        <v>10010</v>
      </c>
      <c r="E1428" s="59" t="inlineStr">
        <is>
          <t>VIA CERTA INDUSTRIA E COMERCIO DE SANEANTES LTDA</t>
        </is>
      </c>
      <c r="F1428" s="76" t="n">
        <v>24</v>
      </c>
      <c r="G1428" s="59" t="inlineStr">
        <is>
          <t>Compra a Prazo - Boletos</t>
        </is>
      </c>
      <c r="H1428" s="76" t="n">
        <v>1110202</v>
      </c>
      <c r="I1428" s="59" t="inlineStr">
        <is>
          <t>BANCO ITAU Lj 01</t>
        </is>
      </c>
      <c r="J1428" s="76" t="n">
        <v>1407193</v>
      </c>
      <c r="L1428" s="76" t="n">
        <v>42934</v>
      </c>
      <c r="M1428" s="59" t="inlineStr">
        <is>
          <t>01</t>
        </is>
      </c>
      <c r="N1428" s="59" t="inlineStr">
        <is>
          <t>AVU</t>
        </is>
      </c>
      <c r="P1428" s="76" t="n">
        <v>103</v>
      </c>
      <c r="Q1428" s="59" t="inlineStr">
        <is>
          <t>MILKA FRANCIS</t>
        </is>
      </c>
      <c r="R1428" s="59" t="inlineStr">
        <is>
          <t>ESTOQUE DE MERCADORIAS</t>
        </is>
      </c>
      <c r="S1428" s="76" t="n">
        <v>1130101</v>
      </c>
      <c r="T1428" s="59" t="inlineStr">
        <is>
          <t>MERCADORIAS P/REVENDA</t>
        </is>
      </c>
      <c r="U1428" s="77" t="n">
        <v>304.8</v>
      </c>
      <c r="W1428" s="77" t="n">
        <v>0</v>
      </c>
      <c r="X1428" s="59" t="inlineStr">
        <is>
          <t>NF 42934 - MILKA</t>
        </is>
      </c>
      <c r="Z1428" s="59">
        <f>IF($T1428="","",IFERROR(INDEX('Resumo Grupos'!$AC$3:$AC$200,MATCH($T1428,'Resumo Grupos'!$AB$3:$AB$200,0)),"n/d"))</f>
        <v/>
      </c>
      <c r="AA1428" s="59">
        <f>IF($T1428="","",IF(COUNTIF('Resumo Grupos'!$AE$3:$AE$40,$T1428)&gt;0,"NAO","SIM"))</f>
        <v/>
      </c>
    </row>
    <row r="1429" ht="12.75" customHeight="1" s="60">
      <c r="A1429" s="76" t="n">
        <v>1</v>
      </c>
      <c r="B1429" s="75" t="n">
        <v>46223</v>
      </c>
      <c r="C1429" s="75" t="n">
        <v>46227</v>
      </c>
      <c r="D1429" s="76" t="n">
        <v>1292</v>
      </c>
      <c r="E1429" s="59" t="inlineStr">
        <is>
          <t>SAO JOSE COMERCIO DE LATICINIOS E FRIOS</t>
        </is>
      </c>
      <c r="F1429" s="76" t="n">
        <v>24</v>
      </c>
      <c r="G1429" s="59" t="inlineStr">
        <is>
          <t>Compra a Prazo - Boletos</t>
        </is>
      </c>
      <c r="H1429" s="76" t="n">
        <v>1110202</v>
      </c>
      <c r="I1429" s="59" t="inlineStr">
        <is>
          <t>BANCO ITAU Lj 01</t>
        </is>
      </c>
      <c r="J1429" s="76" t="n">
        <v>1425396</v>
      </c>
      <c r="L1429" s="76" t="n">
        <v>3634</v>
      </c>
      <c r="M1429" s="59" t="inlineStr">
        <is>
          <t>01</t>
        </is>
      </c>
      <c r="N1429" s="59" t="inlineStr">
        <is>
          <t>AVU</t>
        </is>
      </c>
      <c r="P1429" s="76" t="n">
        <v>103</v>
      </c>
      <c r="Q1429" s="59" t="inlineStr">
        <is>
          <t>MILKA FRANCIS</t>
        </is>
      </c>
      <c r="R1429" s="59" t="inlineStr">
        <is>
          <t>ESTOQUE DE MERCADORIAS</t>
        </is>
      </c>
      <c r="S1429" s="76" t="n">
        <v>1130101</v>
      </c>
      <c r="T1429" s="59" t="inlineStr">
        <is>
          <t>MERCADORIAS P/REVENDA</t>
        </is>
      </c>
      <c r="U1429" s="77" t="n">
        <v>2108.5</v>
      </c>
      <c r="W1429" s="77" t="n">
        <v>0</v>
      </c>
      <c r="X1429" s="59" t="inlineStr">
        <is>
          <t>NF3634 SABORE FATIADO - MILKA</t>
        </is>
      </c>
      <c r="Z1429" s="59">
        <f>IF($T1429="","",IFERROR(INDEX('Resumo Grupos'!$AC$3:$AC$200,MATCH($T1429,'Resumo Grupos'!$AB$3:$AB$200,0)),"n/d"))</f>
        <v/>
      </c>
      <c r="AA1429" s="59">
        <f>IF($T1429="","",IF(COUNTIF('Resumo Grupos'!$AE$3:$AE$40,$T1429)&gt;0,"NAO","SIM"))</f>
        <v/>
      </c>
    </row>
    <row r="1430" ht="12.75" customHeight="1" s="60">
      <c r="A1430" s="76" t="n">
        <v>1</v>
      </c>
      <c r="B1430" s="75" t="n">
        <v>46224</v>
      </c>
      <c r="C1430" s="75" t="n">
        <v>46227</v>
      </c>
      <c r="D1430" s="76" t="n">
        <v>1328</v>
      </c>
      <c r="E1430" s="59" t="inlineStr">
        <is>
          <t>NOVA FRIOS COMERCIO ATACADISTA DE LATICINIOS LTDA</t>
        </is>
      </c>
      <c r="F1430" s="76" t="n">
        <v>24</v>
      </c>
      <c r="G1430" s="59" t="inlineStr">
        <is>
          <t>Compra a Prazo - Boletos</t>
        </is>
      </c>
      <c r="H1430" s="76" t="n">
        <v>1110202</v>
      </c>
      <c r="I1430" s="59" t="inlineStr">
        <is>
          <t>BANCO ITAU Lj 01</t>
        </is>
      </c>
      <c r="J1430" s="76" t="n">
        <v>1427862</v>
      </c>
      <c r="L1430" s="76" t="n">
        <v>4110</v>
      </c>
      <c r="M1430" s="59" t="inlineStr">
        <is>
          <t>01</t>
        </is>
      </c>
      <c r="N1430" s="59" t="inlineStr">
        <is>
          <t>AVU</t>
        </is>
      </c>
      <c r="P1430" s="76" t="n">
        <v>103</v>
      </c>
      <c r="Q1430" s="59" t="inlineStr">
        <is>
          <t>MILKA FRANCIS</t>
        </is>
      </c>
      <c r="R1430" s="59" t="inlineStr">
        <is>
          <t>ESTOQUE DE MERCADORIAS</t>
        </is>
      </c>
      <c r="S1430" s="76" t="n">
        <v>1130101</v>
      </c>
      <c r="T1430" s="59" t="inlineStr">
        <is>
          <t>MERCADORIAS P/REVENDA</t>
        </is>
      </c>
      <c r="U1430" s="77" t="n">
        <v>422</v>
      </c>
      <c r="W1430" s="77" t="n">
        <v>0</v>
      </c>
      <c r="X1430" s="59" t="inlineStr">
        <is>
          <t>NF 4110 BODEGA DO PAO - MILKA</t>
        </is>
      </c>
      <c r="Z1430" s="59">
        <f>IF($T1430="","",IFERROR(INDEX('Resumo Grupos'!$AC$3:$AC$200,MATCH($T1430,'Resumo Grupos'!$AB$3:$AB$200,0)),"n/d"))</f>
        <v/>
      </c>
      <c r="AA1430" s="59">
        <f>IF($T1430="","",IF(COUNTIF('Resumo Grupos'!$AE$3:$AE$40,$T1430)&gt;0,"NAO","SIM"))</f>
        <v/>
      </c>
    </row>
    <row r="1431" ht="12.75" customHeight="1" s="60">
      <c r="A1431" s="76" t="n">
        <v>1</v>
      </c>
      <c r="B1431" s="75" t="n">
        <v>46224</v>
      </c>
      <c r="C1431" s="75" t="n">
        <v>46227</v>
      </c>
      <c r="D1431" s="76" t="n">
        <v>1642</v>
      </c>
      <c r="E1431" s="59" t="inlineStr">
        <is>
          <t>BROTHERS  INDUSTRIA DE ALIMENTOS LTDA</t>
        </is>
      </c>
      <c r="F1431" s="76" t="n">
        <v>24</v>
      </c>
      <c r="G1431" s="59" t="inlineStr">
        <is>
          <t>Compra a Prazo - Boletos</t>
        </is>
      </c>
      <c r="H1431" s="76" t="n">
        <v>1110202</v>
      </c>
      <c r="I1431" s="59" t="inlineStr">
        <is>
          <t>BANCO ITAU Lj 01</t>
        </is>
      </c>
      <c r="J1431" s="76" t="n">
        <v>1429486</v>
      </c>
      <c r="L1431" s="76" t="n">
        <v>1032212</v>
      </c>
      <c r="M1431" s="59" t="inlineStr">
        <is>
          <t>01</t>
        </is>
      </c>
      <c r="N1431" s="59" t="inlineStr">
        <is>
          <t>AVU</t>
        </is>
      </c>
      <c r="P1431" s="76" t="n">
        <v>103</v>
      </c>
      <c r="Q1431" s="59" t="inlineStr">
        <is>
          <t>MILKA FRANCIS</t>
        </is>
      </c>
      <c r="R1431" s="59" t="inlineStr">
        <is>
          <t>ESTOQUE DE MERCADORIAS</t>
        </is>
      </c>
      <c r="S1431" s="76" t="n">
        <v>1130101</v>
      </c>
      <c r="T1431" s="59" t="inlineStr">
        <is>
          <t>MERCADORIAS P/REVENDA</t>
        </is>
      </c>
      <c r="U1431" s="77" t="n">
        <v>653.6</v>
      </c>
      <c r="W1431" s="77" t="n">
        <v>0</v>
      </c>
      <c r="X1431" s="59" t="inlineStr">
        <is>
          <t>NF 1032212 - MILKA</t>
        </is>
      </c>
      <c r="Z1431" s="59">
        <f>IF($T1431="","",IFERROR(INDEX('Resumo Grupos'!$AC$3:$AC$200,MATCH($T1431,'Resumo Grupos'!$AB$3:$AB$200,0)),"n/d"))</f>
        <v/>
      </c>
      <c r="AA1431" s="59">
        <f>IF($T1431="","",IF(COUNTIF('Resumo Grupos'!$AE$3:$AE$40,$T1431)&gt;0,"NAO","SIM"))</f>
        <v/>
      </c>
    </row>
    <row r="1432" ht="12.75" customHeight="1" s="60">
      <c r="A1432" s="76" t="n">
        <v>1</v>
      </c>
      <c r="B1432" s="75" t="n">
        <v>46224</v>
      </c>
      <c r="C1432" s="75" t="n">
        <v>46227</v>
      </c>
      <c r="D1432" s="76" t="n">
        <v>1123</v>
      </c>
      <c r="E1432" s="59" t="inlineStr">
        <is>
          <t>NORTELAC DISTRIBUIDORA DE FRIOS LTDA</t>
        </is>
      </c>
      <c r="F1432" s="76" t="n">
        <v>24</v>
      </c>
      <c r="G1432" s="59" t="inlineStr">
        <is>
          <t>Compra a Prazo - Boletos</t>
        </is>
      </c>
      <c r="H1432" s="76" t="n">
        <v>1110202</v>
      </c>
      <c r="I1432" s="59" t="inlineStr">
        <is>
          <t>BANCO ITAU Lj 01</t>
        </is>
      </c>
      <c r="J1432" s="76" t="n">
        <v>1429538</v>
      </c>
      <c r="L1432" s="76" t="n">
        <v>43986</v>
      </c>
      <c r="M1432" s="59" t="inlineStr">
        <is>
          <t>01</t>
        </is>
      </c>
      <c r="N1432" s="59" t="inlineStr">
        <is>
          <t>AVU</t>
        </is>
      </c>
      <c r="P1432" s="76" t="n">
        <v>103</v>
      </c>
      <c r="Q1432" s="59" t="inlineStr">
        <is>
          <t>MILKA FRANCIS</t>
        </is>
      </c>
      <c r="R1432" s="59" t="inlineStr">
        <is>
          <t>ESTOQUE DE MERCADORIAS</t>
        </is>
      </c>
      <c r="S1432" s="76" t="n">
        <v>1130101</v>
      </c>
      <c r="T1432" s="59" t="inlineStr">
        <is>
          <t>MERCADORIAS P/REVENDA</t>
        </is>
      </c>
      <c r="U1432" s="77" t="n">
        <v>1840</v>
      </c>
      <c r="W1432" s="77" t="n">
        <v>0</v>
      </c>
      <c r="X1432" s="59" t="inlineStr">
        <is>
          <t>NF 43986 - MILKA</t>
        </is>
      </c>
      <c r="Z1432" s="59">
        <f>IF($T1432="","",IFERROR(INDEX('Resumo Grupos'!$AC$3:$AC$200,MATCH($T1432,'Resumo Grupos'!$AB$3:$AB$200,0)),"n/d"))</f>
        <v/>
      </c>
      <c r="AA1432" s="59">
        <f>IF($T1432="","",IF(COUNTIF('Resumo Grupos'!$AE$3:$AE$40,$T1432)&gt;0,"NAO","SIM"))</f>
        <v/>
      </c>
    </row>
    <row r="1433" ht="12.75" customHeight="1" s="60">
      <c r="A1433" s="76" t="n">
        <v>1</v>
      </c>
      <c r="B1433" s="75" t="n">
        <v>46224</v>
      </c>
      <c r="C1433" s="75" t="n">
        <v>46227</v>
      </c>
      <c r="D1433" s="76" t="n">
        <v>1024</v>
      </c>
      <c r="E1433" s="59" t="inlineStr">
        <is>
          <t>REAL BEBIDAS DA AMAZONIA LTDA</t>
        </is>
      </c>
      <c r="F1433" s="76" t="n">
        <v>24</v>
      </c>
      <c r="G1433" s="59" t="inlineStr">
        <is>
          <t>Compra a Prazo - Boletos</t>
        </is>
      </c>
      <c r="H1433" s="76" t="n">
        <v>1110202</v>
      </c>
      <c r="I1433" s="59" t="inlineStr">
        <is>
          <t>BANCO ITAU Lj 01</t>
        </is>
      </c>
      <c r="J1433" s="76" t="n">
        <v>1429597</v>
      </c>
      <c r="L1433" s="76" t="n">
        <v>605021</v>
      </c>
      <c r="M1433" s="59" t="inlineStr">
        <is>
          <t>01</t>
        </is>
      </c>
      <c r="N1433" s="59" t="inlineStr">
        <is>
          <t>AVU</t>
        </is>
      </c>
      <c r="P1433" s="76" t="n">
        <v>103</v>
      </c>
      <c r="Q1433" s="59" t="inlineStr">
        <is>
          <t>MILKA FRANCIS</t>
        </is>
      </c>
      <c r="R1433" s="59" t="inlineStr">
        <is>
          <t>ESTOQUE DE MERCADORIAS</t>
        </is>
      </c>
      <c r="S1433" s="76" t="n">
        <v>1130101</v>
      </c>
      <c r="T1433" s="59" t="inlineStr">
        <is>
          <t>MERCADORIAS P/REVENDA</t>
        </is>
      </c>
      <c r="U1433" s="77" t="n">
        <v>210</v>
      </c>
      <c r="W1433" s="77" t="n">
        <v>0</v>
      </c>
      <c r="X1433" s="59" t="inlineStr">
        <is>
          <t>NF 605021 - MILKA</t>
        </is>
      </c>
      <c r="Z1433" s="59">
        <f>IF($T1433="","",IFERROR(INDEX('Resumo Grupos'!$AC$3:$AC$200,MATCH($T1433,'Resumo Grupos'!$AB$3:$AB$200,0)),"n/d"))</f>
        <v/>
      </c>
      <c r="AA1433" s="59">
        <f>IF($T1433="","",IF(COUNTIF('Resumo Grupos'!$AE$3:$AE$40,$T1433)&gt;0,"NAO","SIM"))</f>
        <v/>
      </c>
    </row>
    <row r="1434" ht="12.75" customHeight="1" s="60">
      <c r="A1434" s="76" t="n">
        <v>1</v>
      </c>
      <c r="B1434" s="75" t="n">
        <v>46225</v>
      </c>
      <c r="C1434" s="75" t="n">
        <v>46227</v>
      </c>
      <c r="D1434" s="76" t="n">
        <v>1276</v>
      </c>
      <c r="E1434" s="59" t="inlineStr">
        <is>
          <t>PRIMICIA DISTRIBUIDORA DE FRIOS LTDA</t>
        </is>
      </c>
      <c r="F1434" s="76" t="n">
        <v>24</v>
      </c>
      <c r="G1434" s="59" t="inlineStr">
        <is>
          <t>Compra a Prazo - Boletos</t>
        </is>
      </c>
      <c r="H1434" s="76" t="n">
        <v>1110202</v>
      </c>
      <c r="I1434" s="59" t="inlineStr">
        <is>
          <t>BANCO ITAU Lj 01</t>
        </is>
      </c>
      <c r="J1434" s="76" t="n">
        <v>1435831</v>
      </c>
      <c r="L1434" s="76" t="n">
        <v>3067</v>
      </c>
      <c r="M1434" s="59" t="inlineStr">
        <is>
          <t>01</t>
        </is>
      </c>
      <c r="N1434" s="59" t="inlineStr">
        <is>
          <t>AVU</t>
        </is>
      </c>
      <c r="P1434" s="76" t="n">
        <v>103</v>
      </c>
      <c r="Q1434" s="59" t="inlineStr">
        <is>
          <t>MILKA FRANCIS</t>
        </is>
      </c>
      <c r="R1434" s="59" t="inlineStr">
        <is>
          <t>ESTOQUE DE MERCADORIAS</t>
        </is>
      </c>
      <c r="S1434" s="76" t="n">
        <v>1130101</v>
      </c>
      <c r="T1434" s="59" t="inlineStr">
        <is>
          <t>MERCADORIAS P/REVENDA</t>
        </is>
      </c>
      <c r="U1434" s="77" t="n">
        <v>1393.5</v>
      </c>
      <c r="W1434" s="77" t="n">
        <v>0</v>
      </c>
      <c r="X1434" s="59" t="inlineStr">
        <is>
          <t>NF 3067 - MILKA</t>
        </is>
      </c>
      <c r="Z1434" s="59">
        <f>IF($T1434="","",IFERROR(INDEX('Resumo Grupos'!$AC$3:$AC$200,MATCH($T1434,'Resumo Grupos'!$AB$3:$AB$200,0)),"n/d"))</f>
        <v/>
      </c>
      <c r="AA1434" s="59">
        <f>IF($T1434="","",IF(COUNTIF('Resumo Grupos'!$AE$3:$AE$40,$T1434)&gt;0,"NAO","SIM"))</f>
        <v/>
      </c>
    </row>
    <row r="1435" ht="12.75" customHeight="1" s="60">
      <c r="A1435" s="76" t="n">
        <v>1</v>
      </c>
      <c r="B1435" s="75" t="n">
        <v>46226</v>
      </c>
      <c r="C1435" s="75" t="n">
        <v>46227</v>
      </c>
      <c r="D1435" s="76" t="n">
        <v>1899</v>
      </c>
      <c r="E1435" s="59" t="inlineStr">
        <is>
          <t>PANIFICADORA E CONFEITARIA REAL MADRI LTDA</t>
        </is>
      </c>
      <c r="F1435" s="76" t="n">
        <v>24</v>
      </c>
      <c r="G1435" s="59" t="inlineStr">
        <is>
          <t>Compra a Prazo - Boletos</t>
        </is>
      </c>
      <c r="H1435" s="76" t="n">
        <v>1110202</v>
      </c>
      <c r="I1435" s="59" t="inlineStr">
        <is>
          <t>BANCO ITAU Lj 01</t>
        </is>
      </c>
      <c r="J1435" s="76" t="n">
        <v>1439157</v>
      </c>
      <c r="L1435" s="76" t="n">
        <v>725</v>
      </c>
      <c r="M1435" s="59" t="inlineStr">
        <is>
          <t>01</t>
        </is>
      </c>
      <c r="N1435" s="59" t="inlineStr">
        <is>
          <t>AVU</t>
        </is>
      </c>
      <c r="P1435" s="76" t="n">
        <v>103</v>
      </c>
      <c r="Q1435" s="59" t="inlineStr">
        <is>
          <t>MILKA FRANCIS</t>
        </is>
      </c>
      <c r="R1435" s="59" t="inlineStr">
        <is>
          <t>ESTOQUE DE MERCADORIAS</t>
        </is>
      </c>
      <c r="S1435" s="76" t="n">
        <v>1130101</v>
      </c>
      <c r="T1435" s="59" t="inlineStr">
        <is>
          <t>MERCADORIAS P/REVENDA</t>
        </is>
      </c>
      <c r="U1435" s="77" t="n">
        <v>1120</v>
      </c>
      <c r="W1435" s="77" t="n">
        <v>0</v>
      </c>
      <c r="X1435" s="59" t="inlineStr">
        <is>
          <t>NF 725 - MILKA</t>
        </is>
      </c>
      <c r="Z1435" s="59">
        <f>IF($T1435="","",IFERROR(INDEX('Resumo Grupos'!$AC$3:$AC$200,MATCH($T1435,'Resumo Grupos'!$AB$3:$AB$200,0)),"n/d"))</f>
        <v/>
      </c>
      <c r="AA1435" s="59">
        <f>IF($T1435="","",IF(COUNTIF('Resumo Grupos'!$AE$3:$AE$40,$T1435)&gt;0,"NAO","SIM"))</f>
        <v/>
      </c>
    </row>
    <row r="1436" ht="12.75" customHeight="1" s="60">
      <c r="A1436" s="76" t="n">
        <v>1</v>
      </c>
      <c r="B1436" s="75" t="n">
        <v>46210</v>
      </c>
      <c r="C1436" s="75" t="n">
        <v>46227</v>
      </c>
      <c r="D1436" s="76" t="n">
        <v>967</v>
      </c>
      <c r="E1436" s="59" t="inlineStr">
        <is>
          <t>L. J. DA SILVA LTDA</t>
        </is>
      </c>
      <c r="F1436" s="76" t="n">
        <v>24</v>
      </c>
      <c r="G1436" s="59" t="inlineStr">
        <is>
          <t>Compra a Prazo - Boletos</t>
        </is>
      </c>
      <c r="H1436" s="76" t="n">
        <v>1110202</v>
      </c>
      <c r="I1436" s="59" t="inlineStr">
        <is>
          <t>BANCO ITAU Lj 01</t>
        </is>
      </c>
      <c r="J1436" s="76" t="n">
        <v>1440510</v>
      </c>
      <c r="L1436" s="76" t="n">
        <v>34608</v>
      </c>
      <c r="M1436" s="59" t="inlineStr">
        <is>
          <t>01</t>
        </is>
      </c>
      <c r="N1436" s="59" t="inlineStr">
        <is>
          <t>AVU</t>
        </is>
      </c>
      <c r="P1436" s="76" t="n">
        <v>103</v>
      </c>
      <c r="Q1436" s="59" t="inlineStr">
        <is>
          <t>MILKA FRANCIS</t>
        </is>
      </c>
      <c r="R1436" s="59" t="inlineStr">
        <is>
          <t>ESTOQUE DE MERCADORIAS</t>
        </is>
      </c>
      <c r="S1436" s="76" t="n">
        <v>1130101</v>
      </c>
      <c r="T1436" s="59" t="inlineStr">
        <is>
          <t>MERCADORIAS P/REVENDA</t>
        </is>
      </c>
      <c r="U1436" s="77" t="n">
        <v>2838.97</v>
      </c>
      <c r="W1436" s="77" t="n">
        <v>0</v>
      </c>
      <c r="X1436" s="59" t="inlineStr">
        <is>
          <t>NF 34608-01 C/ ACRESCIMO - MILKA</t>
        </is>
      </c>
      <c r="Z1436" s="59">
        <f>IF($T1436="","",IFERROR(INDEX('Resumo Grupos'!$AC$3:$AC$200,MATCH($T1436,'Resumo Grupos'!$AB$3:$AB$200,0)),"n/d"))</f>
        <v/>
      </c>
      <c r="AA1436" s="59">
        <f>IF($T1436="","",IF(COUNTIF('Resumo Grupos'!$AE$3:$AE$40,$T1436)&gt;0,"NAO","SIM"))</f>
        <v/>
      </c>
    </row>
    <row r="1437" ht="12.75" customHeight="1" s="60">
      <c r="A1437" s="76" t="n">
        <v>1</v>
      </c>
      <c r="B1437" s="75" t="n">
        <v>46227</v>
      </c>
      <c r="C1437" s="75" t="n">
        <v>46227</v>
      </c>
      <c r="D1437" s="76" t="n">
        <v>33</v>
      </c>
      <c r="E1437" s="59" t="inlineStr">
        <is>
          <t>RENATO DE O AZEVEDO E CIA LTDA - EPP</t>
        </is>
      </c>
      <c r="F1437" s="76" t="n">
        <v>34</v>
      </c>
      <c r="G1437" s="59" t="inlineStr">
        <is>
          <t>Transferencia Pix</t>
        </is>
      </c>
      <c r="H1437" s="76" t="n">
        <v>2110101</v>
      </c>
      <c r="I1437" s="59" t="inlineStr">
        <is>
          <t>FORNECEDORES DE MERCADORIA</t>
        </is>
      </c>
      <c r="J1437" s="76" t="n">
        <v>1444502</v>
      </c>
      <c r="L1437" s="76" t="n">
        <v>5343</v>
      </c>
      <c r="M1437" s="59" t="inlineStr">
        <is>
          <t>01</t>
        </is>
      </c>
      <c r="N1437" s="59" t="inlineStr">
        <is>
          <t>NFE</t>
        </is>
      </c>
      <c r="P1437" s="76" t="n">
        <v>104</v>
      </c>
      <c r="Q1437" s="59" t="inlineStr">
        <is>
          <t>DEBORA COSTA</t>
        </is>
      </c>
      <c r="R1437" s="59" t="inlineStr">
        <is>
          <t>ESTOQUE DE MERCADORIAS</t>
        </is>
      </c>
      <c r="S1437" s="76" t="n">
        <v>1130101</v>
      </c>
      <c r="T1437" s="59" t="inlineStr">
        <is>
          <t>MERCADORIAS P/REVENDA</t>
        </is>
      </c>
      <c r="U1437" s="77" t="n">
        <v>2970</v>
      </c>
      <c r="W1437" s="77" t="n">
        <v>0</v>
      </c>
      <c r="X1437" s="59" t="inlineStr">
        <is>
          <t>FEIRA SR RENATO - DEBORA</t>
        </is>
      </c>
      <c r="Z1437" s="59">
        <f>IF($T1437="","",IFERROR(INDEX('Resumo Grupos'!$AC$3:$AC$200,MATCH($T1437,'Resumo Grupos'!$AB$3:$AB$200,0)),"n/d"))</f>
        <v/>
      </c>
      <c r="AA1437" s="59">
        <f>IF($T1437="","",IF(COUNTIF('Resumo Grupos'!$AE$3:$AE$40,$T1437)&gt;0,"NAO","SIM"))</f>
        <v/>
      </c>
    </row>
    <row r="1438" ht="12.75" customHeight="1" s="60">
      <c r="A1438" s="76" t="n">
        <v>1</v>
      </c>
      <c r="B1438" s="75" t="n">
        <v>46227</v>
      </c>
      <c r="C1438" s="75" t="n">
        <v>46227</v>
      </c>
      <c r="D1438" s="76" t="n">
        <v>1037</v>
      </c>
      <c r="E1438" s="59" t="inlineStr">
        <is>
          <t>FEIRA</t>
        </is>
      </c>
      <c r="F1438" s="76" t="n">
        <v>34</v>
      </c>
      <c r="G1438" s="59" t="inlineStr">
        <is>
          <t>Transferencia Pix</t>
        </is>
      </c>
      <c r="H1438" s="76" t="n">
        <v>1110202</v>
      </c>
      <c r="I1438" s="59" t="inlineStr">
        <is>
          <t>BANCO ITAU Lj 01</t>
        </is>
      </c>
      <c r="J1438" s="76" t="n">
        <v>1445274</v>
      </c>
      <c r="L1438" s="76" t="n">
        <v>594501</v>
      </c>
      <c r="M1438" s="59" t="inlineStr">
        <is>
          <t>01</t>
        </is>
      </c>
      <c r="N1438" s="59" t="inlineStr">
        <is>
          <t>AVU</t>
        </is>
      </c>
      <c r="P1438" s="76" t="n">
        <v>102</v>
      </c>
      <c r="Q1438" s="59" t="inlineStr">
        <is>
          <t>ANDREZA ANDRADE</t>
        </is>
      </c>
      <c r="R1438" s="59" t="inlineStr">
        <is>
          <t>DESPESAS NAO OPERACIONAIS</t>
        </is>
      </c>
      <c r="S1438" s="76" t="n">
        <v>4220199</v>
      </c>
      <c r="T1438" s="59" t="inlineStr">
        <is>
          <t>PAGAMENTOS OUTROS NAO OPERACIONAIS</t>
        </is>
      </c>
      <c r="U1438" s="77" t="n">
        <v>6346</v>
      </c>
      <c r="W1438" s="77" t="n">
        <v>0</v>
      </c>
      <c r="X1438" s="59" t="inlineStr">
        <is>
          <t>FEIRA SR. RENATO LOJAS -ANDREZA</t>
        </is>
      </c>
      <c r="Z1438" s="59">
        <f>IF($T1438="","",IFERROR(INDEX('Resumo Grupos'!$AC$3:$AC$200,MATCH($T1438,'Resumo Grupos'!$AB$3:$AB$200,0)),"n/d"))</f>
        <v/>
      </c>
      <c r="AA1438" s="59">
        <f>IF($T1438="","",IF(COUNTIF('Resumo Grupos'!$AE$3:$AE$40,$T1438)&gt;0,"NAO","SIM"))</f>
        <v/>
      </c>
    </row>
    <row r="1439" ht="12.75" customHeight="1" s="60">
      <c r="A1439" s="76" t="n">
        <v>1</v>
      </c>
      <c r="B1439" s="75" t="n">
        <v>46227</v>
      </c>
      <c r="C1439" s="75" t="n">
        <v>46227</v>
      </c>
      <c r="D1439" s="76" t="n">
        <v>350</v>
      </c>
      <c r="E1439" s="59" t="inlineStr">
        <is>
          <t>FRANCISCO CASTRO DO SANTOS</t>
        </is>
      </c>
      <c r="F1439" s="76" t="n">
        <v>34</v>
      </c>
      <c r="G1439" s="59" t="inlineStr">
        <is>
          <t>Transferencia Pix</t>
        </is>
      </c>
      <c r="H1439" s="76" t="n">
        <v>1110202</v>
      </c>
      <c r="I1439" s="59" t="inlineStr">
        <is>
          <t>BANCO ITAU Lj 01</t>
        </is>
      </c>
      <c r="J1439" s="76" t="n">
        <v>1445279</v>
      </c>
      <c r="L1439" s="76" t="n">
        <v>594502</v>
      </c>
      <c r="M1439" s="59" t="inlineStr">
        <is>
          <t>01</t>
        </is>
      </c>
      <c r="N1439" s="59" t="inlineStr">
        <is>
          <t>AVU</t>
        </is>
      </c>
      <c r="P1439" s="76" t="n">
        <v>101</v>
      </c>
      <c r="Q1439" s="59" t="inlineStr">
        <is>
          <t>KEILA LIMA</t>
        </is>
      </c>
      <c r="R1439" s="59" t="inlineStr">
        <is>
          <t>DESPESAS COM PESSOAL</t>
        </is>
      </c>
      <c r="S1439" s="76" t="n">
        <v>4210305</v>
      </c>
      <c r="T1439" s="59" t="inlineStr">
        <is>
          <t>RESCISOES</t>
        </is>
      </c>
      <c r="U1439" s="77" t="n">
        <v>1749.99</v>
      </c>
      <c r="W1439" s="77" t="n">
        <v>0</v>
      </c>
      <c r="X1439" s="59" t="inlineStr">
        <is>
          <t>PAG SALDO RESCISAO FRANCISCO - KEILA</t>
        </is>
      </c>
      <c r="Z1439" s="59">
        <f>IF($T1439="","",IFERROR(INDEX('Resumo Grupos'!$AC$3:$AC$200,MATCH($T1439,'Resumo Grupos'!$AB$3:$AB$200,0)),"n/d"))</f>
        <v/>
      </c>
      <c r="AA1439" s="59">
        <f>IF($T1439="","",IF(COUNTIF('Resumo Grupos'!$AE$3:$AE$40,$T1439)&gt;0,"NAO","SIM"))</f>
        <v/>
      </c>
    </row>
    <row r="1440" ht="12.75" customHeight="1" s="60">
      <c r="A1440" s="76" t="n">
        <v>1</v>
      </c>
      <c r="B1440" s="75" t="n">
        <v>46228</v>
      </c>
      <c r="C1440" s="75" t="n">
        <v>46228</v>
      </c>
      <c r="D1440" s="76" t="n">
        <v>1173</v>
      </c>
      <c r="E1440" s="59" t="inlineStr">
        <is>
          <t>MELISSA COMERCIO E DISTRIBUIDORA DE GAS</t>
        </is>
      </c>
      <c r="F1440" s="76" t="n">
        <v>13</v>
      </c>
      <c r="G1440" s="59" t="inlineStr">
        <is>
          <t>Compra a Vista</t>
        </is>
      </c>
      <c r="H1440" s="76" t="n">
        <v>2110101</v>
      </c>
      <c r="I1440" s="59" t="inlineStr">
        <is>
          <t>FORNECEDORES DE MERCADORIA</t>
        </is>
      </c>
      <c r="J1440" s="76" t="n">
        <v>1459790</v>
      </c>
      <c r="L1440" s="76" t="n">
        <v>1036</v>
      </c>
      <c r="M1440" s="59" t="inlineStr">
        <is>
          <t>01</t>
        </is>
      </c>
      <c r="N1440" s="59" t="inlineStr">
        <is>
          <t>NFE</t>
        </is>
      </c>
      <c r="P1440" s="76" t="n">
        <v>104</v>
      </c>
      <c r="Q1440" s="59" t="inlineStr">
        <is>
          <t>DEBORA COSTA</t>
        </is>
      </c>
      <c r="R1440" s="59" t="inlineStr">
        <is>
          <t>ESTOQUE DE MERCADORIAS</t>
        </is>
      </c>
      <c r="S1440" s="76" t="n">
        <v>1130101</v>
      </c>
      <c r="T1440" s="59" t="inlineStr">
        <is>
          <t>MERCADORIAS P/REVENDA</t>
        </is>
      </c>
      <c r="U1440" s="77" t="n">
        <v>180</v>
      </c>
      <c r="W1440" s="77" t="n">
        <v>0</v>
      </c>
      <c r="X1440" s="59" t="inlineStr">
        <is>
          <t>NF 1036 - DEBORA</t>
        </is>
      </c>
      <c r="Z1440" s="59">
        <f>IF($T1440="","",IFERROR(INDEX('Resumo Grupos'!$AC$3:$AC$200,MATCH($T1440,'Resumo Grupos'!$AB$3:$AB$200,0)),"n/d"))</f>
        <v/>
      </c>
      <c r="AA1440" s="59">
        <f>IF($T1440="","",IF(COUNTIF('Resumo Grupos'!$AE$3:$AE$40,$T1440)&gt;0,"NAO","SIM"))</f>
        <v/>
      </c>
    </row>
    <row r="1441" ht="12.75" customHeight="1" s="60">
      <c r="A1441" s="76" t="n">
        <v>1</v>
      </c>
      <c r="B1441" s="75" t="n">
        <v>46038</v>
      </c>
      <c r="C1441" s="75" t="n">
        <v>46228</v>
      </c>
      <c r="D1441" s="76" t="n">
        <v>10039</v>
      </c>
      <c r="E1441" s="59" t="inlineStr">
        <is>
          <t>L S C DA SILVA PRADO LTDA</t>
        </is>
      </c>
      <c r="F1441" s="76" t="n">
        <v>36</v>
      </c>
      <c r="G1441" s="59" t="inlineStr">
        <is>
          <t>Cartao BB 1 Novo Visa 0499 Venc 25</t>
        </is>
      </c>
      <c r="H1441" s="76" t="n">
        <v>2110102</v>
      </c>
      <c r="I1441" s="59" t="inlineStr">
        <is>
          <t>OUTROS FORNECEDORES</t>
        </is>
      </c>
      <c r="J1441" s="76" t="n">
        <v>532309</v>
      </c>
      <c r="L1441" s="76" t="n">
        <v>2543</v>
      </c>
      <c r="M1441" s="59" t="inlineStr">
        <is>
          <t>07</t>
        </is>
      </c>
      <c r="N1441" s="59" t="inlineStr">
        <is>
          <t>NFE</t>
        </is>
      </c>
      <c r="P1441" s="76" t="n">
        <v>101</v>
      </c>
      <c r="Q1441" s="59" t="inlineStr">
        <is>
          <t>KEILA LIMA</t>
        </is>
      </c>
      <c r="R1441" s="59" t="inlineStr">
        <is>
          <t>DESPESAS OPERACIONAIS</t>
        </is>
      </c>
      <c r="S1441" s="76" t="n">
        <v>4210204</v>
      </c>
      <c r="T1441" s="59" t="inlineStr">
        <is>
          <t>MATERIAL DE CONSUMO</t>
        </is>
      </c>
      <c r="U1441" s="77" t="n">
        <v>285.77</v>
      </c>
      <c r="W1441" s="77" t="n">
        <v>0</v>
      </c>
      <c r="X1441" s="59" t="inlineStr">
        <is>
          <t>NF 2543 PARC 07/12 - KEILA CAIXA DE SOM</t>
        </is>
      </c>
      <c r="Z1441" s="59">
        <f>IF($T1441="","",IFERROR(INDEX('Resumo Grupos'!$AC$3:$AC$200,MATCH($T1441,'Resumo Grupos'!$AB$3:$AB$200,0)),"n/d"))</f>
        <v/>
      </c>
      <c r="AA1441" s="59">
        <f>IF($T1441="","",IF(COUNTIF('Resumo Grupos'!$AE$3:$AE$40,$T1441)&gt;0,"NAO","SIM"))</f>
        <v/>
      </c>
    </row>
    <row r="1442" ht="12.75" customHeight="1" s="60">
      <c r="A1442" s="76" t="n">
        <v>1</v>
      </c>
      <c r="B1442" s="75" t="n">
        <v>46039</v>
      </c>
      <c r="C1442" s="75" t="n">
        <v>46228</v>
      </c>
      <c r="D1442" s="76" t="n">
        <v>438</v>
      </c>
      <c r="E1442" s="59" t="inlineStr">
        <is>
          <t>A C DUARTE DE CASTRO EPP.</t>
        </is>
      </c>
      <c r="F1442" s="76" t="n">
        <v>36</v>
      </c>
      <c r="G1442" s="59" t="inlineStr">
        <is>
          <t>Cartao BB 1 Novo Visa 0499 Venc 25</t>
        </is>
      </c>
      <c r="H1442" s="76" t="n">
        <v>2110101</v>
      </c>
      <c r="I1442" s="59" t="inlineStr">
        <is>
          <t>FORNECEDORES DE MERCADORIA</t>
        </is>
      </c>
      <c r="J1442" s="76" t="n">
        <v>535198</v>
      </c>
      <c r="L1442" s="76" t="n">
        <v>6277</v>
      </c>
      <c r="M1442" s="59" t="inlineStr">
        <is>
          <t>06</t>
        </is>
      </c>
      <c r="N1442" s="59" t="inlineStr">
        <is>
          <t>NFE</t>
        </is>
      </c>
      <c r="P1442" s="76" t="n">
        <v>103</v>
      </c>
      <c r="Q1442" s="59" t="inlineStr">
        <is>
          <t>MILKA FRANCIS</t>
        </is>
      </c>
      <c r="R1442" s="59" t="inlineStr">
        <is>
          <t>ESTOQUE DE MERCADORIAS</t>
        </is>
      </c>
      <c r="S1442" s="76" t="n">
        <v>1130101</v>
      </c>
      <c r="T1442" s="59" t="inlineStr">
        <is>
          <t>MERCADORIAS P/REVENDA</t>
        </is>
      </c>
      <c r="U1442" s="77" t="n">
        <v>666.65</v>
      </c>
      <c r="W1442" s="77" t="n">
        <v>0</v>
      </c>
      <c r="X1442" s="59" t="inlineStr">
        <is>
          <t>NF 6277 / PARC 06/06 - MILKA</t>
        </is>
      </c>
      <c r="Z1442" s="59">
        <f>IF($T1442="","",IFERROR(INDEX('Resumo Grupos'!$AC$3:$AC$200,MATCH($T1442,'Resumo Grupos'!$AB$3:$AB$200,0)),"n/d"))</f>
        <v/>
      </c>
      <c r="AA1442" s="59">
        <f>IF($T1442="","",IF(COUNTIF('Resumo Grupos'!$AE$3:$AE$40,$T1442)&gt;0,"NAO","SIM"))</f>
        <v/>
      </c>
    </row>
    <row r="1443" ht="12.75" customHeight="1" s="60">
      <c r="A1443" s="76" t="n">
        <v>1</v>
      </c>
      <c r="B1443" s="75" t="n">
        <v>46078</v>
      </c>
      <c r="C1443" s="75" t="n">
        <v>46228</v>
      </c>
      <c r="D1443" s="76" t="n">
        <v>10039</v>
      </c>
      <c r="E1443" s="59" t="inlineStr">
        <is>
          <t>L S C DA SILVA PRADO LTDA</t>
        </is>
      </c>
      <c r="F1443" s="76" t="n">
        <v>36</v>
      </c>
      <c r="G1443" s="59" t="inlineStr">
        <is>
          <t>Cartao BB 1 Novo Visa 0499 Venc 25</t>
        </is>
      </c>
      <c r="H1443" s="76" t="n">
        <v>2110405</v>
      </c>
      <c r="I1443" s="59" t="inlineStr">
        <is>
          <t>CONTAS A PAGAR</t>
        </is>
      </c>
      <c r="J1443" s="76" t="n">
        <v>717562</v>
      </c>
      <c r="L1443" s="76" t="n">
        <v>313465</v>
      </c>
      <c r="M1443" s="59" t="inlineStr">
        <is>
          <t>06</t>
        </is>
      </c>
      <c r="N1443" s="59" t="inlineStr">
        <is>
          <t>AVU</t>
        </is>
      </c>
      <c r="P1443" s="76" t="n">
        <v>103</v>
      </c>
      <c r="Q1443" s="59" t="inlineStr">
        <is>
          <t>MILKA FRANCIS</t>
        </is>
      </c>
      <c r="R1443" s="59" t="inlineStr">
        <is>
          <t>BENS TANGIVEIS</t>
        </is>
      </c>
      <c r="S1443" s="76" t="n">
        <v>1240103</v>
      </c>
      <c r="T1443" s="59" t="inlineStr">
        <is>
          <t>MAQUINAS E EQUIPAMENTOS</t>
        </is>
      </c>
      <c r="U1443" s="77" t="n">
        <v>212.45</v>
      </c>
      <c r="W1443" s="77" t="n">
        <v>0</v>
      </c>
      <c r="X1443" s="59" t="inlineStr">
        <is>
          <t>NF 2676 / PARC 6/6 - MILKA</t>
        </is>
      </c>
      <c r="Z1443" s="59">
        <f>IF($T1443="","",IFERROR(INDEX('Resumo Grupos'!$AC$3:$AC$200,MATCH($T1443,'Resumo Grupos'!$AB$3:$AB$200,0)),"n/d"))</f>
        <v/>
      </c>
      <c r="AA1443" s="59">
        <f>IF($T1443="","",IF(COUNTIF('Resumo Grupos'!$AE$3:$AE$40,$T1443)&gt;0,"NAO","SIM"))</f>
        <v/>
      </c>
    </row>
    <row r="1444" ht="12.75" customHeight="1" s="60">
      <c r="A1444" s="76" t="n">
        <v>1</v>
      </c>
      <c r="B1444" s="75" t="n">
        <v>46085</v>
      </c>
      <c r="C1444" s="75" t="n">
        <v>46228</v>
      </c>
      <c r="D1444" s="76" t="n">
        <v>500</v>
      </c>
      <c r="E1444" s="59" t="inlineStr">
        <is>
          <t>REFRIAL DISTRIBUIDORA COMERCIAL DE MAQUI</t>
        </is>
      </c>
      <c r="F1444" s="76" t="n">
        <v>36</v>
      </c>
      <c r="G1444" s="59" t="inlineStr">
        <is>
          <t>Cartao BB 1 Novo Visa 0499 Venc 25</t>
        </is>
      </c>
      <c r="H1444" s="76" t="n">
        <v>2110101</v>
      </c>
      <c r="I1444" s="59" t="inlineStr">
        <is>
          <t>FORNECEDORES DE MERCADORIA</t>
        </is>
      </c>
      <c r="J1444" s="76" t="n">
        <v>808801</v>
      </c>
      <c r="L1444" s="76" t="n">
        <v>349045</v>
      </c>
      <c r="M1444" s="59" t="inlineStr">
        <is>
          <t>05</t>
        </is>
      </c>
      <c r="N1444" s="59" t="inlineStr">
        <is>
          <t>AVU</t>
        </is>
      </c>
      <c r="P1444" s="76" t="n">
        <v>103</v>
      </c>
      <c r="Q1444" s="59" t="inlineStr">
        <is>
          <t>MILKA FRANCIS</t>
        </is>
      </c>
      <c r="R1444" s="59" t="inlineStr">
        <is>
          <t>CONTAS A PAGAR</t>
        </is>
      </c>
      <c r="S1444" s="76" t="n">
        <v>2110405</v>
      </c>
      <c r="T1444" s="59" t="inlineStr">
        <is>
          <t>CONTAS A PAGAR</t>
        </is>
      </c>
      <c r="U1444" s="77" t="n">
        <v>399.1</v>
      </c>
      <c r="W1444" s="77" t="n">
        <v>0</v>
      </c>
      <c r="X1444" s="59" t="inlineStr">
        <is>
          <t>DESPESA LOJA /NF 154967 / 5PARC - MILKA</t>
        </is>
      </c>
      <c r="Z1444" s="59">
        <f>IF($T1444="","",IFERROR(INDEX('Resumo Grupos'!$AC$3:$AC$200,MATCH($T1444,'Resumo Grupos'!$AB$3:$AB$200,0)),"n/d"))</f>
        <v/>
      </c>
      <c r="AA1444" s="59">
        <f>IF($T1444="","",IF(COUNTIF('Resumo Grupos'!$AE$3:$AE$40,$T1444)&gt;0,"NAO","SIM"))</f>
        <v/>
      </c>
    </row>
    <row r="1445" ht="12.75" customHeight="1" s="60">
      <c r="A1445" s="76" t="n">
        <v>1</v>
      </c>
      <c r="B1445" s="75" t="n">
        <v>46098</v>
      </c>
      <c r="C1445" s="75" t="n">
        <v>46228</v>
      </c>
      <c r="D1445" s="76" t="n">
        <v>468</v>
      </c>
      <c r="E1445" s="59" t="inlineStr">
        <is>
          <t>M.R.G COMERCIO DE MAQUINAS EIRELI.</t>
        </is>
      </c>
      <c r="F1445" s="76" t="n">
        <v>36</v>
      </c>
      <c r="G1445" s="59" t="inlineStr">
        <is>
          <t>Cartao BB 1 Novo Visa 0499 Venc 25</t>
        </is>
      </c>
      <c r="H1445" s="76" t="n">
        <v>2110101</v>
      </c>
      <c r="I1445" s="59" t="inlineStr">
        <is>
          <t>FORNECEDORES DE MERCADORIA</t>
        </is>
      </c>
      <c r="J1445" s="76" t="n">
        <v>826843</v>
      </c>
      <c r="L1445" s="76" t="n">
        <v>355659</v>
      </c>
      <c r="M1445" s="59" t="inlineStr">
        <is>
          <t>04</t>
        </is>
      </c>
      <c r="N1445" s="59" t="inlineStr">
        <is>
          <t>AVU</t>
        </is>
      </c>
      <c r="P1445" s="76" t="n">
        <v>103</v>
      </c>
      <c r="Q1445" s="59" t="inlineStr">
        <is>
          <t>MILKA FRANCIS</t>
        </is>
      </c>
      <c r="R1445" s="59" t="inlineStr">
        <is>
          <t>ESTOQUE DE MERCADORIAS</t>
        </is>
      </c>
      <c r="S1445" s="76" t="n">
        <v>1130101</v>
      </c>
      <c r="T1445" s="59" t="inlineStr">
        <is>
          <t>MERCADORIAS P/REVENDA</t>
        </is>
      </c>
      <c r="U1445" s="77" t="n">
        <v>233.33</v>
      </c>
      <c r="W1445" s="77" t="n">
        <v>0</v>
      </c>
      <c r="X1445" s="59" t="inlineStr">
        <is>
          <t>NF 14298 / 4PARC / REFORMA PADARIA - MILKA</t>
        </is>
      </c>
      <c r="Z1445" s="59">
        <f>IF($T1445="","",IFERROR(INDEX('Resumo Grupos'!$AC$3:$AC$200,MATCH($T1445,'Resumo Grupos'!$AB$3:$AB$200,0)),"n/d"))</f>
        <v/>
      </c>
      <c r="AA1445" s="59">
        <f>IF($T1445="","",IF(COUNTIF('Resumo Grupos'!$AE$3:$AE$40,$T1445)&gt;0,"NAO","SIM"))</f>
        <v/>
      </c>
    </row>
    <row r="1446" ht="12.75" customHeight="1" s="60">
      <c r="A1446" s="76" t="n">
        <v>1</v>
      </c>
      <c r="B1446" s="75" t="n">
        <v>46120</v>
      </c>
      <c r="C1446" s="75" t="n">
        <v>46228</v>
      </c>
      <c r="D1446" s="76" t="n">
        <v>500</v>
      </c>
      <c r="E1446" s="59" t="inlineStr">
        <is>
          <t>REFRIAL DISTRIBUIDORA COMERCIAL DE MAQUI</t>
        </is>
      </c>
      <c r="F1446" s="76" t="n">
        <v>36</v>
      </c>
      <c r="G1446" s="59" t="inlineStr">
        <is>
          <t>Cartao BB 1 Novo Visa 0499 Venc 25</t>
        </is>
      </c>
      <c r="H1446" s="76" t="n">
        <v>2110405</v>
      </c>
      <c r="I1446" s="59" t="inlineStr">
        <is>
          <t>CONTAS A PAGAR</t>
        </is>
      </c>
      <c r="J1446" s="76" t="n">
        <v>920498</v>
      </c>
      <c r="L1446" s="76" t="n">
        <v>391987</v>
      </c>
      <c r="M1446" s="59" t="inlineStr">
        <is>
          <t>04</t>
        </is>
      </c>
      <c r="N1446" s="59" t="inlineStr">
        <is>
          <t>AVU</t>
        </is>
      </c>
      <c r="P1446" s="76" t="n">
        <v>103</v>
      </c>
      <c r="Q1446" s="59" t="inlineStr">
        <is>
          <t>MILKA FRANCIS</t>
        </is>
      </c>
      <c r="R1446" s="59" t="inlineStr">
        <is>
          <t>BENS TANGIVEIS</t>
        </is>
      </c>
      <c r="S1446" s="76" t="n">
        <v>1240103</v>
      </c>
      <c r="T1446" s="59" t="inlineStr">
        <is>
          <t>MAQUINAS E EQUIPAMENTOS</t>
        </is>
      </c>
      <c r="U1446" s="77" t="n">
        <v>4934.34</v>
      </c>
      <c r="W1446" s="77" t="n">
        <v>0</v>
      </c>
      <c r="X1446" s="59" t="inlineStr">
        <is>
          <t>NF 156023 PARC 04/10 - MILKA</t>
        </is>
      </c>
      <c r="Z1446" s="59">
        <f>IF($T1446="","",IFERROR(INDEX('Resumo Grupos'!$AC$3:$AC$200,MATCH($T1446,'Resumo Grupos'!$AB$3:$AB$200,0)),"n/d"))</f>
        <v/>
      </c>
      <c r="AA1446" s="59">
        <f>IF($T1446="","",IF(COUNTIF('Resumo Grupos'!$AE$3:$AE$40,$T1446)&gt;0,"NAO","SIM"))</f>
        <v/>
      </c>
    </row>
    <row r="1447" ht="12.75" customHeight="1" s="60">
      <c r="A1447" s="76" t="n">
        <v>1</v>
      </c>
      <c r="B1447" s="75" t="n">
        <v>46094</v>
      </c>
      <c r="C1447" s="75" t="n">
        <v>46228</v>
      </c>
      <c r="D1447" s="76" t="n">
        <v>468</v>
      </c>
      <c r="E1447" s="59" t="inlineStr">
        <is>
          <t>M.R.G COMERCIO DE MAQUINAS EIRELI.</t>
        </is>
      </c>
      <c r="F1447" s="76" t="n">
        <v>36</v>
      </c>
      <c r="G1447" s="59" t="inlineStr">
        <is>
          <t>Cartao BB 1 Novo Visa 0499 Venc 25</t>
        </is>
      </c>
      <c r="H1447" s="76" t="n">
        <v>2110405</v>
      </c>
      <c r="I1447" s="59" t="inlineStr">
        <is>
          <t>CONTAS A PAGAR</t>
        </is>
      </c>
      <c r="J1447" s="76" t="n">
        <v>1024118</v>
      </c>
      <c r="L1447" s="76" t="n">
        <v>14289</v>
      </c>
      <c r="M1447" s="59" t="inlineStr">
        <is>
          <t>04</t>
        </is>
      </c>
      <c r="N1447" s="59" t="inlineStr">
        <is>
          <t>AVU</t>
        </is>
      </c>
      <c r="P1447" s="76" t="n">
        <v>101</v>
      </c>
      <c r="Q1447" s="59" t="inlineStr">
        <is>
          <t>KEILA LIMA</t>
        </is>
      </c>
      <c r="R1447" s="59" t="inlineStr">
        <is>
          <t>BENS TANGIVEIS</t>
        </is>
      </c>
      <c r="S1447" s="76" t="n">
        <v>1240103</v>
      </c>
      <c r="T1447" s="59" t="inlineStr">
        <is>
          <t>MAQUINAS E EQUIPAMENTOS</t>
        </is>
      </c>
      <c r="U1447" s="77" t="n">
        <v>1197</v>
      </c>
      <c r="W1447" s="77" t="n">
        <v>0</v>
      </c>
      <c r="X1447" s="59" t="inlineStr">
        <is>
          <t>NF 14289</t>
        </is>
      </c>
      <c r="Z1447" s="59">
        <f>IF($T1447="","",IFERROR(INDEX('Resumo Grupos'!$AC$3:$AC$200,MATCH($T1447,'Resumo Grupos'!$AB$3:$AB$200,0)),"n/d"))</f>
        <v/>
      </c>
      <c r="AA1447" s="59">
        <f>IF($T1447="","",IF(COUNTIF('Resumo Grupos'!$AE$3:$AE$40,$T1447)&gt;0,"NAO","SIM"))</f>
        <v/>
      </c>
    </row>
    <row r="1448" ht="12.75" customHeight="1" s="60">
      <c r="A1448" s="76" t="n">
        <v>1</v>
      </c>
      <c r="B1448" s="75" t="n">
        <v>46198</v>
      </c>
      <c r="C1448" s="75" t="n">
        <v>46228</v>
      </c>
      <c r="D1448" s="76" t="n">
        <v>875</v>
      </c>
      <c r="E1448" s="59" t="inlineStr">
        <is>
          <t>A. CORREA JUNIOR</t>
        </is>
      </c>
      <c r="F1448" s="76" t="n">
        <v>36</v>
      </c>
      <c r="G1448" s="59" t="inlineStr">
        <is>
          <t>Cartao BB 1 Novo Visa 0499 Venc 25</t>
        </is>
      </c>
      <c r="H1448" s="76" t="n">
        <v>2110101</v>
      </c>
      <c r="I1448" s="59" t="inlineStr">
        <is>
          <t>FORNECEDORES DE MERCADORIA</t>
        </is>
      </c>
      <c r="J1448" s="76" t="n">
        <v>1305944</v>
      </c>
      <c r="L1448" s="76" t="n">
        <v>540382</v>
      </c>
      <c r="M1448" s="59" t="inlineStr">
        <is>
          <t>02</t>
        </is>
      </c>
      <c r="N1448" s="59" t="inlineStr">
        <is>
          <t>AVU</t>
        </is>
      </c>
      <c r="P1448" s="76" t="n">
        <v>102</v>
      </c>
      <c r="Q1448" s="59" t="inlineStr">
        <is>
          <t>ANDREZA ANDRADE</t>
        </is>
      </c>
      <c r="R1448" s="59" t="inlineStr">
        <is>
          <t>ESTOQUE DE MERCADORIAS</t>
        </is>
      </c>
      <c r="S1448" s="76" t="n">
        <v>1130101</v>
      </c>
      <c r="T1448" s="59" t="inlineStr">
        <is>
          <t>MERCADORIAS P/REVENDA</t>
        </is>
      </c>
      <c r="U1448" s="77" t="n">
        <v>2564.18</v>
      </c>
      <c r="W1448" s="77" t="n">
        <v>0</v>
      </c>
      <c r="X1448" s="59" t="inlineStr">
        <is>
          <t>MP JRACESSORIOS 01/3-ANDREZA</t>
        </is>
      </c>
      <c r="Z1448" s="59">
        <f>IF($T1448="","",IFERROR(INDEX('Resumo Grupos'!$AC$3:$AC$200,MATCH($T1448,'Resumo Grupos'!$AB$3:$AB$200,0)),"n/d"))</f>
        <v/>
      </c>
      <c r="AA1448" s="59">
        <f>IF($T1448="","",IF(COUNTIF('Resumo Grupos'!$AE$3:$AE$40,$T1448)&gt;0,"NAO","SIM"))</f>
        <v/>
      </c>
    </row>
    <row r="1449" ht="12.75" customHeight="1" s="60">
      <c r="A1449" s="76" t="n">
        <v>1</v>
      </c>
      <c r="B1449" s="75" t="n">
        <v>46202</v>
      </c>
      <c r="C1449" s="75" t="n">
        <v>46228</v>
      </c>
      <c r="D1449" s="76" t="n">
        <v>1749</v>
      </c>
      <c r="E1449" s="59" t="inlineStr">
        <is>
          <t>ORIENTE COM. ATACADISTA E REPRES. LTDA</t>
        </is>
      </c>
      <c r="F1449" s="76" t="n">
        <v>24</v>
      </c>
      <c r="G1449" s="59" t="inlineStr">
        <is>
          <t>Compra a Prazo - Boletos</t>
        </is>
      </c>
      <c r="H1449" s="76" t="n">
        <v>2110101</v>
      </c>
      <c r="I1449" s="59" t="inlineStr">
        <is>
          <t>FORNECEDORES DE MERCADORIA</t>
        </is>
      </c>
      <c r="J1449" s="76" t="n">
        <v>1323701</v>
      </c>
      <c r="L1449" s="76" t="n">
        <v>2053</v>
      </c>
      <c r="M1449" s="59" t="inlineStr">
        <is>
          <t>02</t>
        </is>
      </c>
      <c r="N1449" s="59" t="inlineStr">
        <is>
          <t>NFE</t>
        </is>
      </c>
      <c r="P1449" s="76" t="n">
        <v>103</v>
      </c>
      <c r="Q1449" s="59" t="inlineStr">
        <is>
          <t>MILKA FRANCIS</t>
        </is>
      </c>
      <c r="R1449" s="59" t="inlineStr">
        <is>
          <t>ESTOQUE DE MERCADORIAS</t>
        </is>
      </c>
      <c r="S1449" s="76" t="n">
        <v>1130101</v>
      </c>
      <c r="T1449" s="59" t="inlineStr">
        <is>
          <t>MERCADORIAS P/REVENDA</t>
        </is>
      </c>
      <c r="U1449" s="77" t="n">
        <v>689.5</v>
      </c>
      <c r="W1449" s="77" t="n">
        <v>0</v>
      </c>
      <c r="X1449" s="59" t="inlineStr">
        <is>
          <t>2477/2  NF2053 - MILKA</t>
        </is>
      </c>
      <c r="Z1449" s="59">
        <f>IF($T1449="","",IFERROR(INDEX('Resumo Grupos'!$AC$3:$AC$200,MATCH($T1449,'Resumo Grupos'!$AB$3:$AB$200,0)),"n/d"))</f>
        <v/>
      </c>
      <c r="AA1449" s="59">
        <f>IF($T1449="","",IF(COUNTIF('Resumo Grupos'!$AE$3:$AE$40,$T1449)&gt;0,"NAO","SIM"))</f>
        <v/>
      </c>
    </row>
    <row r="1450" ht="12.75" customHeight="1" s="60">
      <c r="A1450" s="76" t="n">
        <v>1</v>
      </c>
      <c r="B1450" s="75" t="n">
        <v>46204</v>
      </c>
      <c r="C1450" s="75" t="n">
        <v>46228</v>
      </c>
      <c r="D1450" s="76" t="n">
        <v>607</v>
      </c>
      <c r="E1450" s="59" t="inlineStr">
        <is>
          <t>PRIME PET DISTRIBUIDORA LTDA</t>
        </is>
      </c>
      <c r="F1450" s="76" t="n">
        <v>24</v>
      </c>
      <c r="G1450" s="59" t="inlineStr">
        <is>
          <t>Compra a Prazo - Boletos</t>
        </is>
      </c>
      <c r="H1450" s="76" t="n">
        <v>2110101</v>
      </c>
      <c r="I1450" s="59" t="inlineStr">
        <is>
          <t>FORNECEDORES DE MERCADORIA</t>
        </is>
      </c>
      <c r="J1450" s="76" t="n">
        <v>1335231</v>
      </c>
      <c r="L1450" s="76" t="n">
        <v>11002</v>
      </c>
      <c r="M1450" s="59" t="inlineStr">
        <is>
          <t>01</t>
        </is>
      </c>
      <c r="N1450" s="59" t="inlineStr">
        <is>
          <t>NFE</t>
        </is>
      </c>
      <c r="P1450" s="76" t="n">
        <v>103</v>
      </c>
      <c r="Q1450" s="59" t="inlineStr">
        <is>
          <t>MILKA FRANCIS</t>
        </is>
      </c>
      <c r="R1450" s="59" t="inlineStr">
        <is>
          <t>ESTOQUE DE MERCADORIAS</t>
        </is>
      </c>
      <c r="S1450" s="76" t="n">
        <v>1130101</v>
      </c>
      <c r="T1450" s="59" t="inlineStr">
        <is>
          <t>MERCADORIAS P/REVENDA</t>
        </is>
      </c>
      <c r="U1450" s="77" t="n">
        <v>1849.57</v>
      </c>
      <c r="W1450" s="77" t="n">
        <v>0</v>
      </c>
      <c r="X1450" s="59" t="inlineStr">
        <is>
          <t xml:space="preserve">NF 11002-01/07 MILKA </t>
        </is>
      </c>
      <c r="Z1450" s="59">
        <f>IF($T1450="","",IFERROR(INDEX('Resumo Grupos'!$AC$3:$AC$200,MATCH($T1450,'Resumo Grupos'!$AB$3:$AB$200,0)),"n/d"))</f>
        <v/>
      </c>
      <c r="AA1450" s="59">
        <f>IF($T1450="","",IF(COUNTIF('Resumo Grupos'!$AE$3:$AE$40,$T1450)&gt;0,"NAO","SIM"))</f>
        <v/>
      </c>
    </row>
    <row r="1451" ht="12.75" customHeight="1" s="60">
      <c r="A1451" s="76" t="n">
        <v>1</v>
      </c>
      <c r="B1451" s="75" t="n">
        <v>46206</v>
      </c>
      <c r="C1451" s="75" t="n">
        <v>46228</v>
      </c>
      <c r="D1451" s="76" t="n">
        <v>1608</v>
      </c>
      <c r="E1451" s="59" t="inlineStr">
        <is>
          <t>DISTRIBUIDORA LOPES LTDA</t>
        </is>
      </c>
      <c r="F1451" s="76" t="n">
        <v>24</v>
      </c>
      <c r="G1451" s="59" t="inlineStr">
        <is>
          <t>Compra a Prazo - Boletos</t>
        </is>
      </c>
      <c r="H1451" s="76" t="n">
        <v>2110101</v>
      </c>
      <c r="I1451" s="59" t="inlineStr">
        <is>
          <t>FORNECEDORES DE MERCADORIA</t>
        </is>
      </c>
      <c r="J1451" s="76" t="n">
        <v>1344441</v>
      </c>
      <c r="L1451" s="76" t="n">
        <v>1686012</v>
      </c>
      <c r="M1451" s="59" t="inlineStr">
        <is>
          <t>01</t>
        </is>
      </c>
      <c r="N1451" s="59" t="inlineStr">
        <is>
          <t>NFE</t>
        </is>
      </c>
      <c r="P1451" s="76" t="n">
        <v>103</v>
      </c>
      <c r="Q1451" s="59" t="inlineStr">
        <is>
          <t>MILKA FRANCIS</t>
        </is>
      </c>
      <c r="R1451" s="59" t="inlineStr">
        <is>
          <t>ESTOQUE DE MERCADORIAS</t>
        </is>
      </c>
      <c r="S1451" s="76" t="n">
        <v>1130101</v>
      </c>
      <c r="T1451" s="59" t="inlineStr">
        <is>
          <t>MERCADORIAS P/REVENDA</t>
        </is>
      </c>
      <c r="U1451" s="77" t="n">
        <v>1731.24</v>
      </c>
      <c r="W1451" s="77" t="n">
        <v>0</v>
      </c>
      <c r="X1451" s="59" t="inlineStr">
        <is>
          <t>NF 1686012 -1 MILKA</t>
        </is>
      </c>
      <c r="Z1451" s="59">
        <f>IF($T1451="","",IFERROR(INDEX('Resumo Grupos'!$AC$3:$AC$200,MATCH($T1451,'Resumo Grupos'!$AB$3:$AB$200,0)),"n/d"))</f>
        <v/>
      </c>
      <c r="AA1451" s="59">
        <f>IF($T1451="","",IF(COUNTIF('Resumo Grupos'!$AE$3:$AE$40,$T1451)&gt;0,"NAO","SIM"))</f>
        <v/>
      </c>
    </row>
    <row r="1452" ht="12.75" customHeight="1" s="60">
      <c r="A1452" s="76" t="n">
        <v>1</v>
      </c>
      <c r="B1452" s="75" t="n">
        <v>46213</v>
      </c>
      <c r="C1452" s="75" t="n">
        <v>46228</v>
      </c>
      <c r="D1452" s="76" t="n">
        <v>10090</v>
      </c>
      <c r="E1452" s="59" t="inlineStr">
        <is>
          <t>ALEXSANDRO BEZERRA DA SILVA</t>
        </is>
      </c>
      <c r="F1452" s="76" t="n">
        <v>24</v>
      </c>
      <c r="G1452" s="59" t="inlineStr">
        <is>
          <t>Compra a Prazo - Boletos</t>
        </is>
      </c>
      <c r="H1452" s="76" t="n">
        <v>1110202</v>
      </c>
      <c r="I1452" s="59" t="inlineStr">
        <is>
          <t>BANCO ITAU Lj 01</t>
        </is>
      </c>
      <c r="J1452" s="76" t="n">
        <v>1377385</v>
      </c>
      <c r="L1452" s="76" t="n">
        <v>271</v>
      </c>
      <c r="M1452" s="59" t="inlineStr">
        <is>
          <t>02</t>
        </is>
      </c>
      <c r="N1452" s="59" t="inlineStr">
        <is>
          <t>AVU</t>
        </is>
      </c>
      <c r="P1452" s="76" t="n">
        <v>103</v>
      </c>
      <c r="Q1452" s="59" t="inlineStr">
        <is>
          <t>MILKA FRANCIS</t>
        </is>
      </c>
      <c r="R1452" s="59" t="inlineStr">
        <is>
          <t>ESTOQUE DE MERCADORIAS</t>
        </is>
      </c>
      <c r="S1452" s="76" t="n">
        <v>1130101</v>
      </c>
      <c r="T1452" s="59" t="inlineStr">
        <is>
          <t>MERCADORIAS P/REVENDA</t>
        </is>
      </c>
      <c r="U1452" s="77" t="n">
        <v>1646.64</v>
      </c>
      <c r="W1452" s="77" t="n">
        <v>0</v>
      </c>
      <c r="X1452" s="59" t="inlineStr">
        <is>
          <t>192925188  NF271 COMERCIAL POTIGUAR - MILKA</t>
        </is>
      </c>
      <c r="Z1452" s="59">
        <f>IF($T1452="","",IFERROR(INDEX('Resumo Grupos'!$AC$3:$AC$200,MATCH($T1452,'Resumo Grupos'!$AB$3:$AB$200,0)),"n/d"))</f>
        <v/>
      </c>
      <c r="AA1452" s="59">
        <f>IF($T1452="","",IF(COUNTIF('Resumo Grupos'!$AE$3:$AE$40,$T1452)&gt;0,"NAO","SIM"))</f>
        <v/>
      </c>
    </row>
    <row r="1453" ht="12.75" customHeight="1" s="60">
      <c r="A1453" s="76" t="n">
        <v>1</v>
      </c>
      <c r="B1453" s="75" t="n">
        <v>46216</v>
      </c>
      <c r="C1453" s="75" t="n">
        <v>46228</v>
      </c>
      <c r="D1453" s="76" t="n">
        <v>1705</v>
      </c>
      <c r="E1453" s="59" t="inlineStr">
        <is>
          <t>BRASIL NORTE BEBIDAS S/A</t>
        </is>
      </c>
      <c r="F1453" s="76" t="n">
        <v>24</v>
      </c>
      <c r="G1453" s="59" t="inlineStr">
        <is>
          <t>Compra a Prazo - Boletos</t>
        </is>
      </c>
      <c r="H1453" s="76" t="n">
        <v>1110202</v>
      </c>
      <c r="I1453" s="59" t="inlineStr">
        <is>
          <t>BANCO ITAU Lj 01</t>
        </is>
      </c>
      <c r="J1453" s="76" t="n">
        <v>1392596</v>
      </c>
      <c r="L1453" s="76" t="n">
        <v>1929170</v>
      </c>
      <c r="M1453" s="59" t="inlineStr">
        <is>
          <t>01</t>
        </is>
      </c>
      <c r="N1453" s="59" t="inlineStr">
        <is>
          <t>AVU</t>
        </is>
      </c>
      <c r="P1453" s="76" t="n">
        <v>103</v>
      </c>
      <c r="Q1453" s="59" t="inlineStr">
        <is>
          <t>MILKA FRANCIS</t>
        </is>
      </c>
      <c r="R1453" s="59" t="inlineStr">
        <is>
          <t>ESTOQUE DE MERCADORIAS</t>
        </is>
      </c>
      <c r="S1453" s="76" t="n">
        <v>1130101</v>
      </c>
      <c r="T1453" s="59" t="inlineStr">
        <is>
          <t>MERCADORIAS P/REVENDA</t>
        </is>
      </c>
      <c r="U1453" s="77" t="n">
        <v>5949.9</v>
      </c>
      <c r="W1453" s="77" t="n">
        <v>0</v>
      </c>
      <c r="X1453" s="59" t="inlineStr">
        <is>
          <t>NF1929170 COCA - MILKA</t>
        </is>
      </c>
      <c r="Z1453" s="59">
        <f>IF($T1453="","",IFERROR(INDEX('Resumo Grupos'!$AC$3:$AC$200,MATCH($T1453,'Resumo Grupos'!$AB$3:$AB$200,0)),"n/d"))</f>
        <v/>
      </c>
      <c r="AA1453" s="59">
        <f>IF($T1453="","",IF(COUNTIF('Resumo Grupos'!$AE$3:$AE$40,$T1453)&gt;0,"NAO","SIM"))</f>
        <v/>
      </c>
    </row>
    <row r="1454" ht="12.75" customHeight="1" s="60">
      <c r="A1454" s="76" t="n">
        <v>1</v>
      </c>
      <c r="B1454" s="75" t="n">
        <v>46216</v>
      </c>
      <c r="C1454" s="75" t="n">
        <v>46228</v>
      </c>
      <c r="D1454" s="76" t="n">
        <v>1705</v>
      </c>
      <c r="E1454" s="59" t="inlineStr">
        <is>
          <t>BRASIL NORTE BEBIDAS S/A</t>
        </is>
      </c>
      <c r="F1454" s="76" t="n">
        <v>24</v>
      </c>
      <c r="G1454" s="59" t="inlineStr">
        <is>
          <t>Compra a Prazo - Boletos</t>
        </is>
      </c>
      <c r="H1454" s="76" t="n">
        <v>1110202</v>
      </c>
      <c r="I1454" s="59" t="inlineStr">
        <is>
          <t>BANCO ITAU Lj 01</t>
        </is>
      </c>
      <c r="J1454" s="76" t="n">
        <v>1392644</v>
      </c>
      <c r="L1454" s="76" t="n">
        <v>1198018</v>
      </c>
      <c r="M1454" s="59" t="inlineStr">
        <is>
          <t>01</t>
        </is>
      </c>
      <c r="N1454" s="59" t="inlineStr">
        <is>
          <t>AVU</t>
        </is>
      </c>
      <c r="P1454" s="76" t="n">
        <v>103</v>
      </c>
      <c r="Q1454" s="59" t="inlineStr">
        <is>
          <t>MILKA FRANCIS</t>
        </is>
      </c>
      <c r="R1454" s="59" t="inlineStr">
        <is>
          <t>ESTOQUE DE MERCADORIAS</t>
        </is>
      </c>
      <c r="S1454" s="76" t="n">
        <v>1130101</v>
      </c>
      <c r="T1454" s="59" t="inlineStr">
        <is>
          <t>MERCADORIAS P/REVENDA</t>
        </is>
      </c>
      <c r="U1454" s="77" t="n">
        <v>1291.62</v>
      </c>
      <c r="W1454" s="77" t="n">
        <v>0</v>
      </c>
      <c r="X1454" s="59" t="inlineStr">
        <is>
          <t>NF1198018 COCA - MILKA</t>
        </is>
      </c>
      <c r="Z1454" s="59">
        <f>IF($T1454="","",IFERROR(INDEX('Resumo Grupos'!$AC$3:$AC$200,MATCH($T1454,'Resumo Grupos'!$AB$3:$AB$200,0)),"n/d"))</f>
        <v/>
      </c>
      <c r="AA1454" s="59">
        <f>IF($T1454="","",IF(COUNTIF('Resumo Grupos'!$AE$3:$AE$40,$T1454)&gt;0,"NAO","SIM"))</f>
        <v/>
      </c>
    </row>
    <row r="1455" ht="12.75" customHeight="1" s="60">
      <c r="A1455" s="76" t="n">
        <v>1</v>
      </c>
      <c r="B1455" s="75" t="n">
        <v>46216</v>
      </c>
      <c r="C1455" s="75" t="n">
        <v>46228</v>
      </c>
      <c r="D1455" s="76" t="n">
        <v>1705</v>
      </c>
      <c r="E1455" s="59" t="inlineStr">
        <is>
          <t>BRASIL NORTE BEBIDAS S/A</t>
        </is>
      </c>
      <c r="F1455" s="76" t="n">
        <v>24</v>
      </c>
      <c r="G1455" s="59" t="inlineStr">
        <is>
          <t>Compra a Prazo - Boletos</t>
        </is>
      </c>
      <c r="H1455" s="76" t="n">
        <v>1110202</v>
      </c>
      <c r="I1455" s="59" t="inlineStr">
        <is>
          <t>BANCO ITAU Lj 01</t>
        </is>
      </c>
      <c r="J1455" s="76" t="n">
        <v>1392681</v>
      </c>
      <c r="L1455" s="76" t="n">
        <v>1928560</v>
      </c>
      <c r="M1455" s="59" t="inlineStr">
        <is>
          <t>01</t>
        </is>
      </c>
      <c r="N1455" s="59" t="inlineStr">
        <is>
          <t>AVU</t>
        </is>
      </c>
      <c r="P1455" s="76" t="n">
        <v>103</v>
      </c>
      <c r="Q1455" s="59" t="inlineStr">
        <is>
          <t>MILKA FRANCIS</t>
        </is>
      </c>
      <c r="R1455" s="59" t="inlineStr">
        <is>
          <t>ESTOQUE DE MERCADORIAS</t>
        </is>
      </c>
      <c r="S1455" s="76" t="n">
        <v>1130101</v>
      </c>
      <c r="T1455" s="59" t="inlineStr">
        <is>
          <t>MERCADORIAS P/REVENDA</t>
        </is>
      </c>
      <c r="U1455" s="77" t="n">
        <v>224.97</v>
      </c>
      <c r="W1455" s="77" t="n">
        <v>0</v>
      </c>
      <c r="X1455" s="59" t="inlineStr">
        <is>
          <t>NF1928560 COCA - MILKA</t>
        </is>
      </c>
      <c r="Z1455" s="59">
        <f>IF($T1455="","",IFERROR(INDEX('Resumo Grupos'!$AC$3:$AC$200,MATCH($T1455,'Resumo Grupos'!$AB$3:$AB$200,0)),"n/d"))</f>
        <v/>
      </c>
      <c r="AA1455" s="59">
        <f>IF($T1455="","",IF(COUNTIF('Resumo Grupos'!$AE$3:$AE$40,$T1455)&gt;0,"NAO","SIM"))</f>
        <v/>
      </c>
    </row>
    <row r="1456" ht="12.75" customHeight="1" s="60">
      <c r="A1456" s="76" t="n">
        <v>1</v>
      </c>
      <c r="B1456" s="75" t="n">
        <v>46217</v>
      </c>
      <c r="C1456" s="75" t="n">
        <v>46228</v>
      </c>
      <c r="D1456" s="76" t="n">
        <v>1269</v>
      </c>
      <c r="E1456" s="59" t="inlineStr">
        <is>
          <t>DINÂMICA SOLUÇÕES EM SUPRIMENTOS E GESTÃ</t>
        </is>
      </c>
      <c r="F1456" s="76" t="n">
        <v>24</v>
      </c>
      <c r="G1456" s="59" t="inlineStr">
        <is>
          <t>Compra a Prazo - Boletos</t>
        </is>
      </c>
      <c r="H1456" s="76" t="n">
        <v>1110202</v>
      </c>
      <c r="I1456" s="59" t="inlineStr">
        <is>
          <t>BANCO ITAU Lj 01</t>
        </is>
      </c>
      <c r="J1456" s="76" t="n">
        <v>1397166</v>
      </c>
      <c r="L1456" s="76" t="n">
        <v>742</v>
      </c>
      <c r="M1456" s="59" t="inlineStr">
        <is>
          <t>02</t>
        </is>
      </c>
      <c r="N1456" s="59" t="inlineStr">
        <is>
          <t>AVU</t>
        </is>
      </c>
      <c r="P1456" s="76" t="n">
        <v>103</v>
      </c>
      <c r="Q1456" s="59" t="inlineStr">
        <is>
          <t>MILKA FRANCIS</t>
        </is>
      </c>
      <c r="R1456" s="59" t="inlineStr">
        <is>
          <t>ESTOQUE DE MERCADORIAS</t>
        </is>
      </c>
      <c r="S1456" s="76" t="n">
        <v>1130101</v>
      </c>
      <c r="T1456" s="59" t="inlineStr">
        <is>
          <t>MERCADORIAS P/REVENDA</t>
        </is>
      </c>
      <c r="U1456" s="77" t="n">
        <v>607.5</v>
      </c>
      <c r="W1456" s="77" t="n">
        <v>0</v>
      </c>
      <c r="X1456" s="59" t="inlineStr">
        <is>
          <t>NF 742-02 MILKA</t>
        </is>
      </c>
      <c r="Z1456" s="59">
        <f>IF($T1456="","",IFERROR(INDEX('Resumo Grupos'!$AC$3:$AC$200,MATCH($T1456,'Resumo Grupos'!$AB$3:$AB$200,0)),"n/d"))</f>
        <v/>
      </c>
      <c r="AA1456" s="59">
        <f>IF($T1456="","",IF(COUNTIF('Resumo Grupos'!$AE$3:$AE$40,$T1456)&gt;0,"NAO","SIM"))</f>
        <v/>
      </c>
    </row>
    <row r="1457" ht="12.75" customHeight="1" s="60">
      <c r="A1457" s="76" t="n">
        <v>1</v>
      </c>
      <c r="B1457" s="75" t="n">
        <v>46228</v>
      </c>
      <c r="C1457" s="75" t="n">
        <v>46228</v>
      </c>
      <c r="D1457" s="76" t="n">
        <v>978</v>
      </c>
      <c r="E1457" s="59" t="inlineStr">
        <is>
          <t>GELO DANGELO FABRICACAO DE GELO LTDA</t>
        </is>
      </c>
      <c r="F1457" s="76" t="n">
        <v>13</v>
      </c>
      <c r="G1457" s="59" t="inlineStr">
        <is>
          <t>Compra a Vista</t>
        </is>
      </c>
      <c r="H1457" s="76" t="n">
        <v>2110101</v>
      </c>
      <c r="I1457" s="59" t="inlineStr">
        <is>
          <t>FORNECEDORES DE MERCADORIA</t>
        </is>
      </c>
      <c r="J1457" s="76" t="n">
        <v>1459639</v>
      </c>
      <c r="L1457" s="76" t="n">
        <v>394</v>
      </c>
      <c r="M1457" s="59" t="inlineStr">
        <is>
          <t>01</t>
        </is>
      </c>
      <c r="N1457" s="59" t="inlineStr">
        <is>
          <t>NFE</t>
        </is>
      </c>
      <c r="P1457" s="76" t="n">
        <v>104</v>
      </c>
      <c r="Q1457" s="59" t="inlineStr">
        <is>
          <t>DEBORA COSTA</t>
        </is>
      </c>
      <c r="R1457" s="59" t="inlineStr">
        <is>
          <t>ESTOQUE DE MERCADORIAS</t>
        </is>
      </c>
      <c r="S1457" s="76" t="n">
        <v>1130101</v>
      </c>
      <c r="T1457" s="59" t="inlineStr">
        <is>
          <t>MERCADORIAS P/REVENDA</t>
        </is>
      </c>
      <c r="U1457" s="77" t="n">
        <v>518</v>
      </c>
      <c r="W1457" s="77" t="n">
        <v>0</v>
      </c>
      <c r="X1457" s="59" t="inlineStr">
        <is>
          <t>NF 394 - DEBORA</t>
        </is>
      </c>
      <c r="Z1457" s="59">
        <f>IF($T1457="","",IFERROR(INDEX('Resumo Grupos'!$AC$3:$AC$200,MATCH($T1457,'Resumo Grupos'!$AB$3:$AB$200,0)),"n/d"))</f>
        <v/>
      </c>
      <c r="AA1457" s="59">
        <f>IF($T1457="","",IF(COUNTIF('Resumo Grupos'!$AE$3:$AE$40,$T1457)&gt;0,"NAO","SIM"))</f>
        <v/>
      </c>
    </row>
    <row r="1458" ht="12.75" customHeight="1" s="60">
      <c r="A1458" s="76" t="n">
        <v>1</v>
      </c>
      <c r="B1458" s="75" t="n">
        <v>46219</v>
      </c>
      <c r="C1458" s="75" t="n">
        <v>46228</v>
      </c>
      <c r="D1458" s="76" t="n">
        <v>1723</v>
      </c>
      <c r="E1458" s="59" t="inlineStr">
        <is>
          <t>COMERCIO DE FRIOS MANAUS LTDA</t>
        </is>
      </c>
      <c r="F1458" s="76" t="n">
        <v>24</v>
      </c>
      <c r="G1458" s="59" t="inlineStr">
        <is>
          <t>Compra a Prazo - Boletos</t>
        </is>
      </c>
      <c r="H1458" s="76" t="n">
        <v>1110202</v>
      </c>
      <c r="I1458" s="59" t="inlineStr">
        <is>
          <t>BANCO ITAU Lj 01</t>
        </is>
      </c>
      <c r="J1458" s="76" t="n">
        <v>1406990</v>
      </c>
      <c r="L1458" s="76" t="n">
        <v>173212</v>
      </c>
      <c r="M1458" s="59" t="inlineStr">
        <is>
          <t>01</t>
        </is>
      </c>
      <c r="N1458" s="59" t="inlineStr">
        <is>
          <t>AVU</t>
        </is>
      </c>
      <c r="P1458" s="76" t="n">
        <v>103</v>
      </c>
      <c r="Q1458" s="59" t="inlineStr">
        <is>
          <t>MILKA FRANCIS</t>
        </is>
      </c>
      <c r="R1458" s="59" t="inlineStr">
        <is>
          <t>ESTOQUE DE MERCADORIAS</t>
        </is>
      </c>
      <c r="S1458" s="76" t="n">
        <v>1130101</v>
      </c>
      <c r="T1458" s="59" t="inlineStr">
        <is>
          <t>MERCADORIAS P/REVENDA</t>
        </is>
      </c>
      <c r="U1458" s="77" t="n">
        <v>3528.5</v>
      </c>
      <c r="W1458" s="77" t="n">
        <v>0</v>
      </c>
      <c r="X1458" s="59" t="inlineStr">
        <is>
          <t>NF173212 - MILKA</t>
        </is>
      </c>
      <c r="Z1458" s="59">
        <f>IF($T1458="","",IFERROR(INDEX('Resumo Grupos'!$AC$3:$AC$200,MATCH($T1458,'Resumo Grupos'!$AB$3:$AB$200,0)),"n/d"))</f>
        <v/>
      </c>
      <c r="AA1458" s="59">
        <f>IF($T1458="","",IF(COUNTIF('Resumo Grupos'!$AE$3:$AE$40,$T1458)&gt;0,"NAO","SIM"))</f>
        <v/>
      </c>
    </row>
    <row r="1459" ht="12.75" customHeight="1" s="60">
      <c r="A1459" s="76" t="n">
        <v>1</v>
      </c>
      <c r="B1459" s="75" t="n">
        <v>46223</v>
      </c>
      <c r="C1459" s="75" t="n">
        <v>46228</v>
      </c>
      <c r="D1459" s="76" t="n">
        <v>1625</v>
      </c>
      <c r="E1459" s="59" t="inlineStr">
        <is>
          <t>MAXFRI DISTRIUIDORA LTDA</t>
        </is>
      </c>
      <c r="F1459" s="76" t="n">
        <v>24</v>
      </c>
      <c r="G1459" s="59" t="inlineStr">
        <is>
          <t>Compra a Prazo - Boletos</t>
        </is>
      </c>
      <c r="H1459" s="76" t="n">
        <v>1110202</v>
      </c>
      <c r="I1459" s="59" t="inlineStr">
        <is>
          <t>BANCO ITAU Lj 01</t>
        </is>
      </c>
      <c r="J1459" s="76" t="n">
        <v>1425041</v>
      </c>
      <c r="L1459" s="76" t="n">
        <v>14750</v>
      </c>
      <c r="M1459" s="59" t="inlineStr">
        <is>
          <t>01</t>
        </is>
      </c>
      <c r="N1459" s="59" t="inlineStr">
        <is>
          <t>AVU</t>
        </is>
      </c>
      <c r="P1459" s="76" t="n">
        <v>103</v>
      </c>
      <c r="Q1459" s="59" t="inlineStr">
        <is>
          <t>MILKA FRANCIS</t>
        </is>
      </c>
      <c r="R1459" s="59" t="inlineStr">
        <is>
          <t>ESTOQUE DE MERCADORIAS</t>
        </is>
      </c>
      <c r="S1459" s="76" t="n">
        <v>1130101</v>
      </c>
      <c r="T1459" s="59" t="inlineStr">
        <is>
          <t>MERCADORIAS P/REVENDA</t>
        </is>
      </c>
      <c r="U1459" s="77" t="n">
        <v>8621</v>
      </c>
      <c r="W1459" s="77" t="n">
        <v>0</v>
      </c>
      <c r="X1459" s="59" t="inlineStr">
        <is>
          <t>NF14750 - MILKA</t>
        </is>
      </c>
      <c r="Z1459" s="59">
        <f>IF($T1459="","",IFERROR(INDEX('Resumo Grupos'!$AC$3:$AC$200,MATCH($T1459,'Resumo Grupos'!$AB$3:$AB$200,0)),"n/d"))</f>
        <v/>
      </c>
      <c r="AA1459" s="59">
        <f>IF($T1459="","",IF(COUNTIF('Resumo Grupos'!$AE$3:$AE$40,$T1459)&gt;0,"NAO","SIM"))</f>
        <v/>
      </c>
    </row>
    <row r="1460" ht="12.75" customHeight="1" s="60">
      <c r="A1460" s="76" t="n">
        <v>1</v>
      </c>
      <c r="B1460" s="75" t="n">
        <v>46224</v>
      </c>
      <c r="C1460" s="75" t="n">
        <v>46228</v>
      </c>
      <c r="D1460" s="76" t="n">
        <v>1363</v>
      </c>
      <c r="E1460" s="59" t="inlineStr">
        <is>
          <t>JAB COMERCIO DE PRODUTOS ALIMENTICIOS LT</t>
        </is>
      </c>
      <c r="F1460" s="76" t="n">
        <v>24</v>
      </c>
      <c r="G1460" s="59" t="inlineStr">
        <is>
          <t>Compra a Prazo - Boletos</t>
        </is>
      </c>
      <c r="H1460" s="76" t="n">
        <v>1110202</v>
      </c>
      <c r="I1460" s="59" t="inlineStr">
        <is>
          <t>BANCO ITAU Lj 01</t>
        </is>
      </c>
      <c r="J1460" s="76" t="n">
        <v>1429373</v>
      </c>
      <c r="L1460" s="76" t="n">
        <v>3576</v>
      </c>
      <c r="M1460" s="59" t="inlineStr">
        <is>
          <t>01</t>
        </is>
      </c>
      <c r="N1460" s="59" t="inlineStr">
        <is>
          <t>AVU</t>
        </is>
      </c>
      <c r="P1460" s="76" t="n">
        <v>103</v>
      </c>
      <c r="Q1460" s="59" t="inlineStr">
        <is>
          <t>MILKA FRANCIS</t>
        </is>
      </c>
      <c r="R1460" s="59" t="inlineStr">
        <is>
          <t>ESTOQUE DE MERCADORIAS</t>
        </is>
      </c>
      <c r="S1460" s="76" t="n">
        <v>1130101</v>
      </c>
      <c r="T1460" s="59" t="inlineStr">
        <is>
          <t>MERCADORIAS P/REVENDA</t>
        </is>
      </c>
      <c r="U1460" s="77" t="n">
        <v>274</v>
      </c>
      <c r="W1460" s="77" t="n">
        <v>0</v>
      </c>
      <c r="X1460" s="59" t="inlineStr">
        <is>
          <t>NF 3576 SANTO PAO - MILKA</t>
        </is>
      </c>
      <c r="Z1460" s="59">
        <f>IF($T1460="","",IFERROR(INDEX('Resumo Grupos'!$AC$3:$AC$200,MATCH($T1460,'Resumo Grupos'!$AB$3:$AB$200,0)),"n/d"))</f>
        <v/>
      </c>
      <c r="AA1460" s="59">
        <f>IF($T1460="","",IF(COUNTIF('Resumo Grupos'!$AE$3:$AE$40,$T1460)&gt;0,"NAO","SIM"))</f>
        <v/>
      </c>
    </row>
    <row r="1461" ht="12.75" customHeight="1" s="60">
      <c r="A1461" s="76" t="n">
        <v>1</v>
      </c>
      <c r="B1461" s="75" t="n">
        <v>46228</v>
      </c>
      <c r="C1461" s="75" t="n">
        <v>46228</v>
      </c>
      <c r="D1461" s="76" t="n">
        <v>10096</v>
      </c>
      <c r="E1461" s="59" t="inlineStr">
        <is>
          <t>H L M PADARIA E CONFEITARIA LTDA</t>
        </is>
      </c>
      <c r="F1461" s="76" t="n">
        <v>13</v>
      </c>
      <c r="G1461" s="59" t="inlineStr">
        <is>
          <t>Compra a Vista</t>
        </is>
      </c>
      <c r="H1461" s="76" t="n">
        <v>2110101</v>
      </c>
      <c r="I1461" s="59" t="inlineStr">
        <is>
          <t>FORNECEDORES DE MERCADORIA</t>
        </is>
      </c>
      <c r="J1461" s="76" t="n">
        <v>1459678</v>
      </c>
      <c r="L1461" s="76" t="n">
        <v>80</v>
      </c>
      <c r="M1461" s="59" t="inlineStr">
        <is>
          <t>01</t>
        </is>
      </c>
      <c r="N1461" s="59" t="inlineStr">
        <is>
          <t>NFE</t>
        </is>
      </c>
      <c r="P1461" s="76" t="n">
        <v>104</v>
      </c>
      <c r="Q1461" s="59" t="inlineStr">
        <is>
          <t>DEBORA COSTA</t>
        </is>
      </c>
      <c r="R1461" s="59" t="inlineStr">
        <is>
          <t>ESTOQUE DE MERCADORIAS</t>
        </is>
      </c>
      <c r="S1461" s="76" t="n">
        <v>1130101</v>
      </c>
      <c r="T1461" s="59" t="inlineStr">
        <is>
          <t>MERCADORIAS P/REVENDA</t>
        </is>
      </c>
      <c r="U1461" s="77" t="n">
        <v>420</v>
      </c>
      <c r="W1461" s="77" t="n">
        <v>0</v>
      </c>
      <c r="X1461" s="59" t="inlineStr">
        <is>
          <t>NF 80 - DEBORA</t>
        </is>
      </c>
      <c r="Z1461" s="59">
        <f>IF($T1461="","",IFERROR(INDEX('Resumo Grupos'!$AC$3:$AC$200,MATCH($T1461,'Resumo Grupos'!$AB$3:$AB$200,0)),"n/d"))</f>
        <v/>
      </c>
      <c r="AA1461" s="59">
        <f>IF($T1461="","",IF(COUNTIF('Resumo Grupos'!$AE$3:$AE$40,$T1461)&gt;0,"NAO","SIM"))</f>
        <v/>
      </c>
    </row>
    <row r="1462" ht="12.75" customHeight="1" s="60">
      <c r="A1462" s="76" t="n">
        <v>1</v>
      </c>
      <c r="B1462" s="75" t="n">
        <v>46227</v>
      </c>
      <c r="C1462" s="75" t="n">
        <v>46228</v>
      </c>
      <c r="D1462" s="76" t="n">
        <v>33</v>
      </c>
      <c r="E1462" s="59" t="inlineStr">
        <is>
          <t>RENATO DE O AZEVEDO E CIA LTDA - EPP</t>
        </is>
      </c>
      <c r="F1462" s="76" t="n">
        <v>34</v>
      </c>
      <c r="G1462" s="59" t="inlineStr">
        <is>
          <t>Transferencia Pix</t>
        </is>
      </c>
      <c r="H1462" s="76" t="n">
        <v>2110101</v>
      </c>
      <c r="I1462" s="59" t="inlineStr">
        <is>
          <t>FORNECEDORES DE MERCADORIA</t>
        </is>
      </c>
      <c r="J1462" s="76" t="n">
        <v>1444846</v>
      </c>
      <c r="L1462" s="76" t="n">
        <v>5344</v>
      </c>
      <c r="M1462" s="59" t="inlineStr">
        <is>
          <t>01</t>
        </is>
      </c>
      <c r="N1462" s="59" t="inlineStr">
        <is>
          <t>NFE</t>
        </is>
      </c>
      <c r="P1462" s="76" t="n">
        <v>104</v>
      </c>
      <c r="Q1462" s="59" t="inlineStr">
        <is>
          <t>DEBORA COSTA</t>
        </is>
      </c>
      <c r="R1462" s="59" t="inlineStr">
        <is>
          <t>ESTOQUE DE MERCADORIAS</t>
        </is>
      </c>
      <c r="S1462" s="76" t="n">
        <v>1130101</v>
      </c>
      <c r="T1462" s="59" t="inlineStr">
        <is>
          <t>MERCADORIAS P/REVENDA</t>
        </is>
      </c>
      <c r="U1462" s="77" t="n">
        <v>2759</v>
      </c>
      <c r="W1462" s="77" t="n">
        <v>0</v>
      </c>
      <c r="X1462" s="59" t="inlineStr">
        <is>
          <t>FEIRA CARLOS - DEBORA</t>
        </is>
      </c>
      <c r="Z1462" s="59">
        <f>IF($T1462="","",IFERROR(INDEX('Resumo Grupos'!$AC$3:$AC$200,MATCH($T1462,'Resumo Grupos'!$AB$3:$AB$200,0)),"n/d"))</f>
        <v/>
      </c>
      <c r="AA1462" s="59">
        <f>IF($T1462="","",IF(COUNTIF('Resumo Grupos'!$AE$3:$AE$40,$T1462)&gt;0,"NAO","SIM"))</f>
        <v/>
      </c>
    </row>
    <row r="1463" ht="12.75" customHeight="1" s="60">
      <c r="A1463" s="76" t="n">
        <v>1</v>
      </c>
      <c r="B1463" s="75" t="n">
        <v>46227</v>
      </c>
      <c r="C1463" s="75" t="n">
        <v>46228</v>
      </c>
      <c r="D1463" s="76" t="n">
        <v>1615</v>
      </c>
      <c r="E1463" s="59" t="inlineStr">
        <is>
          <t>COMERCIO E TRANSPORTE BRANDAO LTDA</t>
        </is>
      </c>
      <c r="F1463" s="76" t="n">
        <v>34</v>
      </c>
      <c r="G1463" s="59" t="inlineStr">
        <is>
          <t>Transferencia Pix</t>
        </is>
      </c>
      <c r="H1463" s="76" t="n">
        <v>2110101</v>
      </c>
      <c r="I1463" s="59" t="inlineStr">
        <is>
          <t>FORNECEDORES DE MERCADORIA</t>
        </is>
      </c>
      <c r="J1463" s="76" t="n">
        <v>1444868</v>
      </c>
      <c r="L1463" s="76" t="n">
        <v>14945</v>
      </c>
      <c r="M1463" s="59" t="inlineStr">
        <is>
          <t>01</t>
        </is>
      </c>
      <c r="N1463" s="59" t="inlineStr">
        <is>
          <t>NFE</t>
        </is>
      </c>
      <c r="P1463" s="76" t="n">
        <v>104</v>
      </c>
      <c r="Q1463" s="59" t="inlineStr">
        <is>
          <t>DEBORA COSTA</t>
        </is>
      </c>
      <c r="R1463" s="59" t="inlineStr">
        <is>
          <t>ESTOQUE DE MERCADORIAS</t>
        </is>
      </c>
      <c r="S1463" s="76" t="n">
        <v>1130101</v>
      </c>
      <c r="T1463" s="59" t="inlineStr">
        <is>
          <t>MERCADORIAS P/REVENDA</t>
        </is>
      </c>
      <c r="U1463" s="77" t="n">
        <v>490</v>
      </c>
      <c r="W1463" s="77" t="n">
        <v>0</v>
      </c>
      <c r="X1463" s="59" t="inlineStr">
        <is>
          <t>NF 14945 - DEBORA</t>
        </is>
      </c>
      <c r="Z1463" s="59">
        <f>IF($T1463="","",IFERROR(INDEX('Resumo Grupos'!$AC$3:$AC$200,MATCH($T1463,'Resumo Grupos'!$AB$3:$AB$200,0)),"n/d"))</f>
        <v/>
      </c>
      <c r="AA1463" s="59">
        <f>IF($T1463="","",IF(COUNTIF('Resumo Grupos'!$AE$3:$AE$40,$T1463)&gt;0,"NAO","SIM"))</f>
        <v/>
      </c>
    </row>
    <row r="1464" ht="12.75" customHeight="1" s="60">
      <c r="A1464" s="76" t="n">
        <v>1</v>
      </c>
      <c r="B1464" s="75" t="n">
        <v>46227</v>
      </c>
      <c r="C1464" s="75" t="n">
        <v>46228</v>
      </c>
      <c r="D1464" s="76" t="n">
        <v>33</v>
      </c>
      <c r="E1464" s="59" t="inlineStr">
        <is>
          <t>RENATO DE O AZEVEDO E CIA LTDA - EPP</t>
        </is>
      </c>
      <c r="F1464" s="76" t="n">
        <v>34</v>
      </c>
      <c r="G1464" s="59" t="inlineStr">
        <is>
          <t>Transferencia Pix</t>
        </is>
      </c>
      <c r="H1464" s="76" t="n">
        <v>2110101</v>
      </c>
      <c r="I1464" s="59" t="inlineStr">
        <is>
          <t>FORNECEDORES DE MERCADORIA</t>
        </is>
      </c>
      <c r="J1464" s="76" t="n">
        <v>1444905</v>
      </c>
      <c r="L1464" s="76" t="n">
        <v>594401</v>
      </c>
      <c r="M1464" s="59" t="inlineStr">
        <is>
          <t>01</t>
        </is>
      </c>
      <c r="N1464" s="59" t="inlineStr">
        <is>
          <t>AVU</t>
        </is>
      </c>
      <c r="P1464" s="76" t="n">
        <v>104</v>
      </c>
      <c r="Q1464" s="59" t="inlineStr">
        <is>
          <t>DEBORA COSTA</t>
        </is>
      </c>
      <c r="R1464" s="59" t="inlineStr">
        <is>
          <t>ESTOQUE DE MERCADORIAS</t>
        </is>
      </c>
      <c r="S1464" s="76" t="n">
        <v>1130101</v>
      </c>
      <c r="T1464" s="59" t="inlineStr">
        <is>
          <t>MERCADORIAS P/REVENDA</t>
        </is>
      </c>
      <c r="U1464" s="77" t="n">
        <v>165</v>
      </c>
      <c r="W1464" s="77" t="n">
        <v>0</v>
      </c>
      <c r="X1464" s="59" t="inlineStr">
        <is>
          <t>FEIRA CARLOS - CAMARAO COM E SEM CASCA - DEBORA</t>
        </is>
      </c>
      <c r="Z1464" s="59">
        <f>IF($T1464="","",IFERROR(INDEX('Resumo Grupos'!$AC$3:$AC$200,MATCH($T1464,'Resumo Grupos'!$AB$3:$AB$200,0)),"n/d"))</f>
        <v/>
      </c>
      <c r="AA1464" s="59">
        <f>IF($T1464="","",IF(COUNTIF('Resumo Grupos'!$AE$3:$AE$40,$T1464)&gt;0,"NAO","SIM"))</f>
        <v/>
      </c>
    </row>
    <row r="1465" ht="12.75" customHeight="1" s="60">
      <c r="A1465" s="76" t="n">
        <v>1</v>
      </c>
      <c r="B1465" s="75" t="n">
        <v>46211</v>
      </c>
      <c r="C1465" s="75" t="n">
        <v>46228</v>
      </c>
      <c r="D1465" s="76" t="n">
        <v>10093</v>
      </c>
      <c r="E1465" s="59" t="inlineStr">
        <is>
          <t>52.017.917 IRANCELIO LIRA DE CASTRO</t>
        </is>
      </c>
      <c r="F1465" s="76" t="n">
        <v>24</v>
      </c>
      <c r="G1465" s="59" t="inlineStr">
        <is>
          <t>Compra a Prazo - Boletos</t>
        </is>
      </c>
      <c r="H1465" s="76" t="n">
        <v>1110202</v>
      </c>
      <c r="I1465" s="59" t="inlineStr">
        <is>
          <t>BANCO ITAU Lj 01</t>
        </is>
      </c>
      <c r="J1465" s="76" t="n">
        <v>1448866</v>
      </c>
      <c r="L1465" s="76" t="n">
        <v>109</v>
      </c>
      <c r="M1465" s="59" t="inlineStr">
        <is>
          <t>01</t>
        </is>
      </c>
      <c r="N1465" s="59" t="inlineStr">
        <is>
          <t>AVU</t>
        </is>
      </c>
      <c r="P1465" s="76" t="n">
        <v>103</v>
      </c>
      <c r="Q1465" s="59" t="inlineStr">
        <is>
          <t>MILKA FRANCIS</t>
        </is>
      </c>
      <c r="R1465" s="59" t="inlineStr">
        <is>
          <t>ESTOQUE DE MERCADORIAS</t>
        </is>
      </c>
      <c r="S1465" s="76" t="n">
        <v>1130101</v>
      </c>
      <c r="T1465" s="59" t="inlineStr">
        <is>
          <t>MERCADORIAS P/REVENDA</t>
        </is>
      </c>
      <c r="U1465" s="77" t="n">
        <v>309.99</v>
      </c>
      <c r="W1465" s="77" t="n">
        <v>0</v>
      </c>
      <c r="X1465" s="59" t="inlineStr">
        <is>
          <t>NFS-e 109 COMPRA / DOC.16048691 PIPOCA POP GIO - MILKA</t>
        </is>
      </c>
      <c r="Z1465" s="59">
        <f>IF($T1465="","",IFERROR(INDEX('Resumo Grupos'!$AC$3:$AC$200,MATCH($T1465,'Resumo Grupos'!$AB$3:$AB$200,0)),"n/d"))</f>
        <v/>
      </c>
      <c r="AA1465" s="59">
        <f>IF($T1465="","",IF(COUNTIF('Resumo Grupos'!$AE$3:$AE$40,$T1465)&gt;0,"NAO","SIM"))</f>
        <v/>
      </c>
    </row>
    <row r="1466" ht="12.75" customHeight="1" s="60">
      <c r="A1466" s="76" t="n">
        <v>1</v>
      </c>
      <c r="B1466" s="75" t="n">
        <v>46232</v>
      </c>
      <c r="C1466" s="75" t="n">
        <v>46228</v>
      </c>
      <c r="D1466" s="76" t="n">
        <v>1064</v>
      </c>
      <c r="E1466" s="59" t="inlineStr">
        <is>
          <t>MIR IMPORTACAO E EXPORTACAO LTDA</t>
        </is>
      </c>
      <c r="F1466" s="76" t="n">
        <v>36</v>
      </c>
      <c r="G1466" s="59" t="inlineStr">
        <is>
          <t>Cartao BB 1 Novo Visa 0499 Venc 25</t>
        </is>
      </c>
      <c r="H1466" s="76" t="n">
        <v>1110202</v>
      </c>
      <c r="I1466" s="59" t="inlineStr">
        <is>
          <t>BANCO ITAU Lj 01</t>
        </is>
      </c>
      <c r="J1466" s="76" t="n">
        <v>1469530</v>
      </c>
      <c r="L1466" s="76" t="n">
        <v>603893</v>
      </c>
      <c r="M1466" s="59" t="inlineStr">
        <is>
          <t>03</t>
        </is>
      </c>
      <c r="N1466" s="59" t="inlineStr">
        <is>
          <t>AVU</t>
        </is>
      </c>
      <c r="P1466" s="76" t="n">
        <v>102</v>
      </c>
      <c r="Q1466" s="59" t="inlineStr">
        <is>
          <t>ANDREZA ANDRADE</t>
        </is>
      </c>
      <c r="R1466" s="59" t="inlineStr">
        <is>
          <t>DESPESAS OPERACIONAIS</t>
        </is>
      </c>
      <c r="S1466" s="76" t="n">
        <v>4210227</v>
      </c>
      <c r="T1466" s="59" t="inlineStr">
        <is>
          <t>DESPESAS LOJA</t>
        </is>
      </c>
      <c r="U1466" s="77" t="n">
        <v>256.58</v>
      </c>
      <c r="W1466" s="77" t="n">
        <v>0</v>
      </c>
      <c r="X1466" s="59" t="inlineStr">
        <is>
          <t>COMPRA/RAMSONS/GELADEIRA P/ COZINHA -ANDREZA NF 39685</t>
        </is>
      </c>
      <c r="Z1466" s="59">
        <f>IF($T1466="","",IFERROR(INDEX('Resumo Grupos'!$AC$3:$AC$200,MATCH($T1466,'Resumo Grupos'!$AB$3:$AB$200,0)),"n/d"))</f>
        <v/>
      </c>
      <c r="AA1466" s="59">
        <f>IF($T1466="","",IF(COUNTIF('Resumo Grupos'!$AE$3:$AE$40,$T1466)&gt;0,"NAO","SIM"))</f>
        <v/>
      </c>
    </row>
    <row r="1467" ht="12.75" customHeight="1" s="60">
      <c r="A1467" s="76" t="n">
        <v>1</v>
      </c>
      <c r="B1467" s="75" t="n">
        <v>46195</v>
      </c>
      <c r="C1467" s="75" t="n">
        <v>46228</v>
      </c>
      <c r="D1467" s="76" t="n">
        <v>954</v>
      </c>
      <c r="E1467" s="59" t="inlineStr">
        <is>
          <t>PETROVAN DERIVADOS DE PETROLEO LTDA</t>
        </is>
      </c>
      <c r="F1467" s="76" t="n">
        <v>36</v>
      </c>
      <c r="G1467" s="59" t="inlineStr">
        <is>
          <t>Cartao BB 1 Novo Visa 0499 Venc 25</t>
        </is>
      </c>
      <c r="H1467" s="76" t="n">
        <v>1110202</v>
      </c>
      <c r="I1467" s="59" t="inlineStr">
        <is>
          <t>BANCO ITAU Lj 01</t>
        </is>
      </c>
      <c r="J1467" s="76" t="n">
        <v>1473939</v>
      </c>
      <c r="L1467" s="76" t="n">
        <v>605537</v>
      </c>
      <c r="M1467" s="59" t="inlineStr">
        <is>
          <t>01</t>
        </is>
      </c>
      <c r="N1467" s="59" t="inlineStr">
        <is>
          <t>AVU</t>
        </is>
      </c>
      <c r="P1467" s="76" t="n">
        <v>101</v>
      </c>
      <c r="Q1467" s="59" t="inlineStr">
        <is>
          <t>KEILA LIMA</t>
        </is>
      </c>
      <c r="R1467" s="59" t="inlineStr">
        <is>
          <t>DESPESAS OPERACIONAIS</t>
        </is>
      </c>
      <c r="S1467" s="76" t="n">
        <v>4210209</v>
      </c>
      <c r="T1467" s="59" t="inlineStr">
        <is>
          <t>COMBUSTIVEIS</t>
        </is>
      </c>
      <c r="U1467" s="77" t="n">
        <v>533.1900000000001</v>
      </c>
      <c r="W1467" s="77" t="n">
        <v>0</v>
      </c>
      <c r="X1467" s="59" t="inlineStr">
        <is>
          <t>COMBUSTIVEL MO1 S10 RENATO - KEILA</t>
        </is>
      </c>
      <c r="Z1467" s="59">
        <f>IF($T1467="","",IFERROR(INDEX('Resumo Grupos'!$AC$3:$AC$200,MATCH($T1467,'Resumo Grupos'!$AB$3:$AB$200,0)),"n/d"))</f>
        <v/>
      </c>
      <c r="AA1467" s="59">
        <f>IF($T1467="","",IF(COUNTIF('Resumo Grupos'!$AE$3:$AE$40,$T1467)&gt;0,"NAO","SIM"))</f>
        <v/>
      </c>
    </row>
    <row r="1468" ht="12.75" customHeight="1" s="60">
      <c r="A1468" s="76" t="n">
        <v>1</v>
      </c>
      <c r="B1468" s="75" t="n">
        <v>46203</v>
      </c>
      <c r="C1468" s="75" t="n">
        <v>46228</v>
      </c>
      <c r="D1468" s="76" t="n">
        <v>495</v>
      </c>
      <c r="E1468" s="59" t="inlineStr">
        <is>
          <t xml:space="preserve">ECOPAPER IND. DE FABRICACAO DE PAPEL DA </t>
        </is>
      </c>
      <c r="F1468" s="76" t="n">
        <v>36</v>
      </c>
      <c r="G1468" s="59" t="inlineStr">
        <is>
          <t>Cartao BB 1 Novo Visa 0499 Venc 25</t>
        </is>
      </c>
      <c r="H1468" s="76" t="n">
        <v>1110202</v>
      </c>
      <c r="I1468" s="59" t="inlineStr">
        <is>
          <t>BANCO ITAU Lj 01</t>
        </is>
      </c>
      <c r="J1468" s="76" t="n">
        <v>1473941</v>
      </c>
      <c r="L1468" s="76" t="n">
        <v>605539</v>
      </c>
      <c r="M1468" s="59" t="inlineStr">
        <is>
          <t>01</t>
        </is>
      </c>
      <c r="N1468" s="59" t="inlineStr">
        <is>
          <t>AVU</t>
        </is>
      </c>
      <c r="P1468" s="76" t="n">
        <v>101</v>
      </c>
      <c r="Q1468" s="59" t="inlineStr">
        <is>
          <t>KEILA LIMA</t>
        </is>
      </c>
      <c r="R1468" s="59" t="inlineStr">
        <is>
          <t>DESPESAS OPERACIONAIS</t>
        </is>
      </c>
      <c r="S1468" s="76" t="n">
        <v>4210209</v>
      </c>
      <c r="T1468" s="59" t="inlineStr">
        <is>
          <t>COMBUSTIVEIS</t>
        </is>
      </c>
      <c r="U1468" s="77" t="n">
        <v>74</v>
      </c>
      <c r="W1468" s="77" t="n">
        <v>0</v>
      </c>
      <c r="X1468" s="59" t="inlineStr">
        <is>
          <t>OLEO CARRO  S10 MO1 - KEILA</t>
        </is>
      </c>
      <c r="Z1468" s="59">
        <f>IF($T1468="","",IFERROR(INDEX('Resumo Grupos'!$AC$3:$AC$200,MATCH($T1468,'Resumo Grupos'!$AB$3:$AB$200,0)),"n/d"))</f>
        <v/>
      </c>
      <c r="AA1468" s="59">
        <f>IF($T1468="","",IF(COUNTIF('Resumo Grupos'!$AE$3:$AE$40,$T1468)&gt;0,"NAO","SIM"))</f>
        <v/>
      </c>
    </row>
    <row r="1469" ht="12.75" customHeight="1" s="60">
      <c r="A1469" s="76" t="n">
        <v>1</v>
      </c>
      <c r="B1469" s="75" t="n">
        <v>46142</v>
      </c>
      <c r="C1469" s="75" t="n">
        <v>46229</v>
      </c>
      <c r="D1469" s="76" t="n">
        <v>607</v>
      </c>
      <c r="E1469" s="59" t="inlineStr">
        <is>
          <t>PRIME PET DISTRIBUIDORA LTDA</t>
        </is>
      </c>
      <c r="F1469" s="76" t="n">
        <v>24</v>
      </c>
      <c r="G1469" s="59" t="inlineStr">
        <is>
          <t>Compra a Prazo - Boletos</t>
        </is>
      </c>
      <c r="H1469" s="76" t="n">
        <v>2110101</v>
      </c>
      <c r="I1469" s="59" t="inlineStr">
        <is>
          <t>FORNECEDORES DE MERCADORIA</t>
        </is>
      </c>
      <c r="J1469" s="76" t="n">
        <v>1028242</v>
      </c>
      <c r="L1469" s="76" t="n">
        <v>10262</v>
      </c>
      <c r="M1469" s="59" t="inlineStr">
        <is>
          <t>07</t>
        </is>
      </c>
      <c r="N1469" s="59" t="inlineStr">
        <is>
          <t>NFE</t>
        </is>
      </c>
      <c r="P1469" s="76" t="n">
        <v>103</v>
      </c>
      <c r="Q1469" s="59" t="inlineStr">
        <is>
          <t>MILKA FRANCIS</t>
        </is>
      </c>
      <c r="R1469" s="59" t="inlineStr">
        <is>
          <t>ESTOQUE DE MERCADORIAS</t>
        </is>
      </c>
      <c r="S1469" s="76" t="n">
        <v>1130101</v>
      </c>
      <c r="T1469" s="59" t="inlineStr">
        <is>
          <t>MERCADORIAS P/REVENDA</t>
        </is>
      </c>
      <c r="U1469" s="77" t="n">
        <v>1488.3</v>
      </c>
      <c r="W1469" s="77" t="n">
        <v>0</v>
      </c>
      <c r="X1469" s="59" t="inlineStr">
        <is>
          <t>NF 10262 -07/09 MILKA</t>
        </is>
      </c>
      <c r="Z1469" s="59">
        <f>IF($T1469="","",IFERROR(INDEX('Resumo Grupos'!$AC$3:$AC$200,MATCH($T1469,'Resumo Grupos'!$AB$3:$AB$200,0)),"n/d"))</f>
        <v/>
      </c>
      <c r="AA1469" s="59">
        <f>IF($T1469="","",IF(COUNTIF('Resumo Grupos'!$AE$3:$AE$40,$T1469)&gt;0,"NAO","SIM"))</f>
        <v/>
      </c>
    </row>
    <row r="1470" ht="12.75" customHeight="1" s="60">
      <c r="A1470" s="76" t="n">
        <v>1</v>
      </c>
      <c r="B1470" s="75" t="n">
        <v>46192</v>
      </c>
      <c r="C1470" s="75" t="n">
        <v>46229</v>
      </c>
      <c r="D1470" s="76" t="n">
        <v>957</v>
      </c>
      <c r="E1470" s="59" t="inlineStr">
        <is>
          <t>FUNNY PET DISTRIBUIDORA DE ALIMENTOS PAR</t>
        </is>
      </c>
      <c r="F1470" s="76" t="n">
        <v>24</v>
      </c>
      <c r="G1470" s="59" t="inlineStr">
        <is>
          <t>Compra a Prazo - Boletos</t>
        </is>
      </c>
      <c r="H1470" s="76" t="n">
        <v>2110101</v>
      </c>
      <c r="I1470" s="59" t="inlineStr">
        <is>
          <t>FORNECEDORES DE MERCADORIA</t>
        </is>
      </c>
      <c r="J1470" s="76" t="n">
        <v>1272947</v>
      </c>
      <c r="L1470" s="76" t="n">
        <v>20352</v>
      </c>
      <c r="M1470" s="59" t="inlineStr">
        <is>
          <t>03</t>
        </is>
      </c>
      <c r="N1470" s="59" t="inlineStr">
        <is>
          <t>NFE</t>
        </is>
      </c>
      <c r="P1470" s="76" t="n">
        <v>103</v>
      </c>
      <c r="Q1470" s="59" t="inlineStr">
        <is>
          <t>MILKA FRANCIS</t>
        </is>
      </c>
      <c r="R1470" s="59" t="inlineStr">
        <is>
          <t>ESTOQUE DE MERCADORIAS</t>
        </is>
      </c>
      <c r="S1470" s="76" t="n">
        <v>1130101</v>
      </c>
      <c r="T1470" s="59" t="inlineStr">
        <is>
          <t>MERCADORIAS P/REVENDA</t>
        </is>
      </c>
      <c r="U1470" s="77" t="n">
        <v>1263.3</v>
      </c>
      <c r="W1470" s="77" t="n">
        <v>0</v>
      </c>
      <c r="X1470" s="59" t="inlineStr">
        <is>
          <t>NF 20352-3 MILKA</t>
        </is>
      </c>
      <c r="Z1470" s="59">
        <f>IF($T1470="","",IFERROR(INDEX('Resumo Grupos'!$AC$3:$AC$200,MATCH($T1470,'Resumo Grupos'!$AB$3:$AB$200,0)),"n/d"))</f>
        <v/>
      </c>
      <c r="AA1470" s="59">
        <f>IF($T1470="","",IF(COUNTIF('Resumo Grupos'!$AE$3:$AE$40,$T1470)&gt;0,"NAO","SIM"))</f>
        <v/>
      </c>
    </row>
    <row r="1471" ht="12.75" customHeight="1" s="60">
      <c r="A1471" s="76" t="n">
        <v>1</v>
      </c>
      <c r="B1471" s="75" t="n">
        <v>46200</v>
      </c>
      <c r="C1471" s="75" t="n">
        <v>46229</v>
      </c>
      <c r="D1471" s="76" t="n">
        <v>639</v>
      </c>
      <c r="E1471" s="59" t="inlineStr">
        <is>
          <t>EMOPS CONTROLE AMBIENTAL EIRELI</t>
        </is>
      </c>
      <c r="F1471" s="76" t="n">
        <v>24</v>
      </c>
      <c r="G1471" s="59" t="inlineStr">
        <is>
          <t>Compra a Prazo - Boletos</t>
        </is>
      </c>
      <c r="H1471" s="76" t="n">
        <v>2110405</v>
      </c>
      <c r="I1471" s="59" t="inlineStr">
        <is>
          <t>CONTAS A PAGAR</t>
        </is>
      </c>
      <c r="J1471" s="76" t="n">
        <v>1313110</v>
      </c>
      <c r="L1471" s="76" t="n">
        <v>543672</v>
      </c>
      <c r="M1471" s="59" t="inlineStr">
        <is>
          <t>01</t>
        </is>
      </c>
      <c r="N1471" s="59" t="inlineStr">
        <is>
          <t>AVU</t>
        </is>
      </c>
      <c r="P1471" s="76" t="n">
        <v>101</v>
      </c>
      <c r="Q1471" s="59" t="inlineStr">
        <is>
          <t>KEILA LIMA</t>
        </is>
      </c>
      <c r="R1471" s="59" t="inlineStr">
        <is>
          <t>DESPESAS OPERACIONAIS</t>
        </is>
      </c>
      <c r="S1471" s="76" t="n">
        <v>4210216</v>
      </c>
      <c r="T1471" s="59" t="inlineStr">
        <is>
          <t>DEDETIZACAO - LIMPEZA</t>
        </is>
      </c>
      <c r="U1471" s="77" t="n">
        <v>420</v>
      </c>
      <c r="W1471" s="77" t="n">
        <v>0</v>
      </c>
      <c r="X1471" s="59" t="inlineStr">
        <is>
          <t>DEDETIZACAO MO1 - KEILA</t>
        </is>
      </c>
      <c r="Z1471" s="59">
        <f>IF($T1471="","",IFERROR(INDEX('Resumo Grupos'!$AC$3:$AC$200,MATCH($T1471,'Resumo Grupos'!$AB$3:$AB$200,0)),"n/d"))</f>
        <v/>
      </c>
      <c r="AA1471" s="59">
        <f>IF($T1471="","",IF(COUNTIF('Resumo Grupos'!$AE$3:$AE$40,$T1471)&gt;0,"NAO","SIM"))</f>
        <v/>
      </c>
    </row>
    <row r="1472" ht="12.75" customHeight="1" s="60">
      <c r="A1472" s="76" t="n">
        <v>1</v>
      </c>
      <c r="B1472" s="75" t="n">
        <v>46209</v>
      </c>
      <c r="C1472" s="75" t="n">
        <v>46229</v>
      </c>
      <c r="D1472" s="76" t="n">
        <v>10020</v>
      </c>
      <c r="E1472" s="59" t="inlineStr">
        <is>
          <t>E. SALES DO NASCIMENTO</t>
        </is>
      </c>
      <c r="F1472" s="76" t="n">
        <v>24</v>
      </c>
      <c r="G1472" s="59" t="inlineStr">
        <is>
          <t>Compra a Prazo - Boletos</t>
        </is>
      </c>
      <c r="H1472" s="76" t="n">
        <v>2110101</v>
      </c>
      <c r="I1472" s="59" t="inlineStr">
        <is>
          <t>FORNECEDORES DE MERCADORIA</t>
        </is>
      </c>
      <c r="J1472" s="76" t="n">
        <v>1360452</v>
      </c>
      <c r="L1472" s="76" t="n">
        <v>707</v>
      </c>
      <c r="M1472" s="59" t="inlineStr">
        <is>
          <t>02</t>
        </is>
      </c>
      <c r="N1472" s="59" t="inlineStr">
        <is>
          <t>NFE</t>
        </is>
      </c>
      <c r="P1472" s="76" t="n">
        <v>103</v>
      </c>
      <c r="Q1472" s="59" t="inlineStr">
        <is>
          <t>MILKA FRANCIS</t>
        </is>
      </c>
      <c r="R1472" s="59" t="inlineStr">
        <is>
          <t>ESTOQUE DE MERCADORIAS</t>
        </is>
      </c>
      <c r="S1472" s="76" t="n">
        <v>1130101</v>
      </c>
      <c r="T1472" s="59" t="inlineStr">
        <is>
          <t>MERCADORIAS P/REVENDA</t>
        </is>
      </c>
      <c r="U1472" s="77" t="n">
        <v>410.7</v>
      </c>
      <c r="W1472" s="77" t="n">
        <v>0</v>
      </c>
      <c r="X1472" s="59" t="inlineStr">
        <is>
          <t>NF 707 -02 MILKA</t>
        </is>
      </c>
      <c r="Z1472" s="59">
        <f>IF($T1472="","",IFERROR(INDEX('Resumo Grupos'!$AC$3:$AC$200,MATCH($T1472,'Resumo Grupos'!$AB$3:$AB$200,0)),"n/d"))</f>
        <v/>
      </c>
      <c r="AA1472" s="59">
        <f>IF($T1472="","",IF(COUNTIF('Resumo Grupos'!$AE$3:$AE$40,$T1472)&gt;0,"NAO","SIM"))</f>
        <v/>
      </c>
    </row>
    <row r="1473" ht="12.75" customHeight="1" s="60">
      <c r="A1473" s="76" t="n">
        <v>1</v>
      </c>
      <c r="B1473" s="75" t="n">
        <v>46211</v>
      </c>
      <c r="C1473" s="75" t="n">
        <v>46229</v>
      </c>
      <c r="D1473" s="76" t="n">
        <v>1613</v>
      </c>
      <c r="E1473" s="59" t="inlineStr">
        <is>
          <t>BRF S A</t>
        </is>
      </c>
      <c r="F1473" s="76" t="n">
        <v>24</v>
      </c>
      <c r="G1473" s="59" t="inlineStr">
        <is>
          <t>Compra a Prazo - Boletos</t>
        </is>
      </c>
      <c r="H1473" s="76" t="n">
        <v>2110101</v>
      </c>
      <c r="I1473" s="59" t="inlineStr">
        <is>
          <t>FORNECEDORES DE MERCADORIA</t>
        </is>
      </c>
      <c r="J1473" s="76" t="n">
        <v>1368798</v>
      </c>
      <c r="L1473" s="76" t="n">
        <v>1604302</v>
      </c>
      <c r="M1473" s="59" t="inlineStr">
        <is>
          <t>02</t>
        </is>
      </c>
      <c r="N1473" s="59" t="inlineStr">
        <is>
          <t>NFE</t>
        </is>
      </c>
      <c r="P1473" s="76" t="n">
        <v>103</v>
      </c>
      <c r="Q1473" s="59" t="inlineStr">
        <is>
          <t>MILKA FRANCIS</t>
        </is>
      </c>
      <c r="R1473" s="59" t="inlineStr">
        <is>
          <t>ESTOQUE DE MERCADORIAS</t>
        </is>
      </c>
      <c r="S1473" s="76" t="n">
        <v>1130101</v>
      </c>
      <c r="T1473" s="59" t="inlineStr">
        <is>
          <t>MERCADORIAS P/REVENDA</t>
        </is>
      </c>
      <c r="U1473" s="77" t="n">
        <v>650.23</v>
      </c>
      <c r="W1473" s="77" t="n">
        <v>0</v>
      </c>
      <c r="X1473" s="59" t="inlineStr">
        <is>
          <t>NF 1604302-02/02 MILKA</t>
        </is>
      </c>
      <c r="Z1473" s="59">
        <f>IF($T1473="","",IFERROR(INDEX('Resumo Grupos'!$AC$3:$AC$200,MATCH($T1473,'Resumo Grupos'!$AB$3:$AB$200,0)),"n/d"))</f>
        <v/>
      </c>
      <c r="AA1473" s="59">
        <f>IF($T1473="","",IF(COUNTIF('Resumo Grupos'!$AE$3:$AE$40,$T1473)&gt;0,"NAO","SIM"))</f>
        <v/>
      </c>
    </row>
    <row r="1474" ht="12.75" customHeight="1" s="60">
      <c r="A1474" s="76" t="n">
        <v>1</v>
      </c>
      <c r="B1474" s="75" t="n">
        <v>46226</v>
      </c>
      <c r="C1474" s="75" t="n">
        <v>46229</v>
      </c>
      <c r="D1474" s="76" t="n">
        <v>928</v>
      </c>
      <c r="E1474" s="59" t="inlineStr">
        <is>
          <t>FAROL FINANCEIRO</t>
        </is>
      </c>
      <c r="F1474" s="76" t="n">
        <v>24</v>
      </c>
      <c r="G1474" s="59" t="inlineStr">
        <is>
          <t>Compra a Prazo - Boletos</t>
        </is>
      </c>
      <c r="H1474" s="76" t="n">
        <v>1110202</v>
      </c>
      <c r="I1474" s="59" t="inlineStr">
        <is>
          <t>BANCO ITAU Lj 01</t>
        </is>
      </c>
      <c r="J1474" s="76" t="n">
        <v>1440468</v>
      </c>
      <c r="L1474" s="76" t="n">
        <v>592708</v>
      </c>
      <c r="M1474" s="59" t="inlineStr">
        <is>
          <t>01</t>
        </is>
      </c>
      <c r="N1474" s="59" t="inlineStr">
        <is>
          <t>AVU</t>
        </is>
      </c>
      <c r="P1474" s="76" t="n">
        <v>101</v>
      </c>
      <c r="Q1474" s="59" t="inlineStr">
        <is>
          <t>KEILA LIMA</t>
        </is>
      </c>
      <c r="R1474" s="59" t="inlineStr">
        <is>
          <t>DESPESAS COM PESSOAL</t>
        </is>
      </c>
      <c r="S1474" s="76" t="n">
        <v>421033</v>
      </c>
      <c r="T1474" s="59" t="inlineStr">
        <is>
          <t>MENSALIDADE CONCILIACAO BANCARIA</t>
        </is>
      </c>
      <c r="U1474" s="77" t="n">
        <v>299.9</v>
      </c>
      <c r="W1474" s="77" t="n">
        <v>0</v>
      </c>
      <c r="X1474" s="59" t="inlineStr">
        <is>
          <t>MENSALIDADE CONCILIACAO MO1 - KEILA</t>
        </is>
      </c>
      <c r="Z1474" s="59">
        <f>IF($T1474="","",IFERROR(INDEX('Resumo Grupos'!$AC$3:$AC$200,MATCH($T1474,'Resumo Grupos'!$AB$3:$AB$200,0)),"n/d"))</f>
        <v/>
      </c>
      <c r="AA1474" s="59">
        <f>IF($T1474="","",IF(COUNTIF('Resumo Grupos'!$AE$3:$AE$40,$T1474)&gt;0,"NAO","SIM"))</f>
        <v/>
      </c>
    </row>
    <row r="1475" ht="12.75" customHeight="1" s="60">
      <c r="A1475" s="76" t="n">
        <v>1</v>
      </c>
      <c r="B1475" s="75" t="n">
        <v>46230</v>
      </c>
      <c r="C1475" s="75" t="n">
        <v>46230</v>
      </c>
      <c r="D1475" s="76" t="n">
        <v>1000001</v>
      </c>
      <c r="E1475" s="59" t="inlineStr">
        <is>
          <t>CISS CONSULTORIA EM INFORMATICA, SERVICOS E SOFTWARE S/A</t>
        </is>
      </c>
      <c r="F1475" s="76" t="n">
        <v>24</v>
      </c>
      <c r="G1475" s="59" t="inlineStr">
        <is>
          <t>Compra a Prazo - Boletos</t>
        </is>
      </c>
      <c r="H1475" s="76" t="n">
        <v>1110202</v>
      </c>
      <c r="I1475" s="59" t="inlineStr">
        <is>
          <t>BANCO ITAU Lj 01</t>
        </is>
      </c>
      <c r="J1475" s="76" t="n">
        <v>1458713</v>
      </c>
      <c r="L1475" s="76" t="n">
        <v>600207</v>
      </c>
      <c r="M1475" s="59" t="inlineStr">
        <is>
          <t>01</t>
        </is>
      </c>
      <c r="N1475" s="59" t="inlineStr">
        <is>
          <t>AVU</t>
        </is>
      </c>
      <c r="P1475" s="76" t="n">
        <v>102</v>
      </c>
      <c r="Q1475" s="59" t="inlineStr">
        <is>
          <t>ANDREZA ANDRADE</t>
        </is>
      </c>
      <c r="R1475" s="59" t="inlineStr">
        <is>
          <t>DESPESAS NAO OPERACIONAIS</t>
        </is>
      </c>
      <c r="S1475" s="76" t="n">
        <v>4220199</v>
      </c>
      <c r="T1475" s="59" t="inlineStr">
        <is>
          <t>PAGAMENTOS OUTROS NAO OPERACIONAIS</t>
        </is>
      </c>
      <c r="U1475" s="77" t="n">
        <v>342.86</v>
      </c>
      <c r="W1475" s="77" t="n">
        <v>0</v>
      </c>
      <c r="X1475" s="59" t="inlineStr">
        <is>
          <t>MENSALIDADE SISTEMA CISS LOJAS -NAO SOMAR -ANDREZA</t>
        </is>
      </c>
      <c r="Z1475" s="59">
        <f>IF($T1475="","",IFERROR(INDEX('Resumo Grupos'!$AC$3:$AC$200,MATCH($T1475,'Resumo Grupos'!$AB$3:$AB$200,0)),"n/d"))</f>
        <v/>
      </c>
      <c r="AA1475" s="59">
        <f>IF($T1475="","",IF(COUNTIF('Resumo Grupos'!$AE$3:$AE$40,$T1475)&gt;0,"NAO","SIM"))</f>
        <v/>
      </c>
    </row>
    <row r="1476" ht="12.75" customHeight="1" s="60">
      <c r="A1476" s="76" t="n">
        <v>1</v>
      </c>
      <c r="B1476" s="75" t="n">
        <v>46230</v>
      </c>
      <c r="C1476" s="75" t="n">
        <v>46230</v>
      </c>
      <c r="D1476" s="76" t="n">
        <v>17</v>
      </c>
      <c r="E1476" s="59" t="inlineStr">
        <is>
          <t>NEYLIANE SILVA DE OLIVEIRA</t>
        </is>
      </c>
      <c r="F1476" s="76" t="n">
        <v>24</v>
      </c>
      <c r="G1476" s="59" t="inlineStr">
        <is>
          <t>Compra a Prazo - Boletos</t>
        </is>
      </c>
      <c r="H1476" s="76" t="n">
        <v>1110202</v>
      </c>
      <c r="I1476" s="59" t="inlineStr">
        <is>
          <t>BANCO ITAU Lj 01</t>
        </is>
      </c>
      <c r="J1476" s="76" t="n">
        <v>1458818</v>
      </c>
      <c r="L1476" s="76" t="n">
        <v>600228</v>
      </c>
      <c r="M1476" s="59" t="inlineStr">
        <is>
          <t>01</t>
        </is>
      </c>
      <c r="N1476" s="59" t="inlineStr">
        <is>
          <t>AVU</t>
        </is>
      </c>
      <c r="P1476" s="76" t="n">
        <v>101</v>
      </c>
      <c r="Q1476" s="59" t="inlineStr">
        <is>
          <t>KEILA LIMA</t>
        </is>
      </c>
      <c r="R1476" s="59" t="inlineStr">
        <is>
          <t>DESPESAS NAO OPERACIONAIS</t>
        </is>
      </c>
      <c r="S1476" s="76" t="n">
        <v>4220199</v>
      </c>
      <c r="T1476" s="59" t="inlineStr">
        <is>
          <t>PAGAMENTOS OUTROS NAO OPERACIONAIS</t>
        </is>
      </c>
      <c r="U1476" s="77" t="n">
        <v>53.22</v>
      </c>
      <c r="W1476" s="77" t="n">
        <v>0</v>
      </c>
      <c r="X1476" s="59" t="inlineStr">
        <is>
          <t xml:space="preserve">PL NEILA SEGURO CARRO - </t>
        </is>
      </c>
      <c r="Z1476" s="59">
        <f>IF($T1476="","",IFERROR(INDEX('Resumo Grupos'!$AC$3:$AC$200,MATCH($T1476,'Resumo Grupos'!$AB$3:$AB$200,0)),"n/d"))</f>
        <v/>
      </c>
      <c r="AA1476" s="59">
        <f>IF($T1476="","",IF(COUNTIF('Resumo Grupos'!$AE$3:$AE$40,$T1476)&gt;0,"NAO","SIM"))</f>
        <v/>
      </c>
    </row>
    <row r="1477" ht="12.75" customHeight="1" s="60">
      <c r="A1477" s="76" t="n">
        <v>1</v>
      </c>
      <c r="B1477" s="75" t="n">
        <v>46196</v>
      </c>
      <c r="C1477" s="75" t="n">
        <v>46230</v>
      </c>
      <c r="D1477" s="76" t="n">
        <v>1107</v>
      </c>
      <c r="E1477" s="59" t="inlineStr">
        <is>
          <t>OESA COMERCIO E REPRESENTACOES S/A</t>
        </is>
      </c>
      <c r="F1477" s="76" t="n">
        <v>24</v>
      </c>
      <c r="G1477" s="59" t="inlineStr">
        <is>
          <t>Compra a Prazo - Boletos</t>
        </is>
      </c>
      <c r="H1477" s="76" t="n">
        <v>2110101</v>
      </c>
      <c r="I1477" s="59" t="inlineStr">
        <is>
          <t>FORNECEDORES DE MERCADORIA</t>
        </is>
      </c>
      <c r="J1477" s="76" t="n">
        <v>1294118</v>
      </c>
      <c r="L1477" s="76" t="n">
        <v>419583</v>
      </c>
      <c r="M1477" s="59" t="inlineStr">
        <is>
          <t>03</t>
        </is>
      </c>
      <c r="N1477" s="59" t="inlineStr">
        <is>
          <t>NFE</t>
        </is>
      </c>
      <c r="P1477" s="76" t="n">
        <v>103</v>
      </c>
      <c r="Q1477" s="59" t="inlineStr">
        <is>
          <t>MILKA FRANCIS</t>
        </is>
      </c>
      <c r="R1477" s="59" t="inlineStr">
        <is>
          <t>ESTOQUE DE MERCADORIAS</t>
        </is>
      </c>
      <c r="S1477" s="76" t="n">
        <v>1130101</v>
      </c>
      <c r="T1477" s="59" t="inlineStr">
        <is>
          <t>MERCADORIAS P/REVENDA</t>
        </is>
      </c>
      <c r="U1477" s="77" t="n">
        <v>1351</v>
      </c>
      <c r="W1477" s="77" t="n">
        <v>0</v>
      </c>
      <c r="X1477" s="59" t="inlineStr">
        <is>
          <t>NF 419583-3 MILKA</t>
        </is>
      </c>
      <c r="Z1477" s="59">
        <f>IF($T1477="","",IFERROR(INDEX('Resumo Grupos'!$AC$3:$AC$200,MATCH($T1477,'Resumo Grupos'!$AB$3:$AB$200,0)),"n/d"))</f>
        <v/>
      </c>
      <c r="AA1477" s="59">
        <f>IF($T1477="","",IF(COUNTIF('Resumo Grupos'!$AE$3:$AE$40,$T1477)&gt;0,"NAO","SIM"))</f>
        <v/>
      </c>
    </row>
    <row r="1478" ht="12.75" customHeight="1" s="60">
      <c r="A1478" s="76" t="n">
        <v>1</v>
      </c>
      <c r="B1478" s="75" t="n">
        <v>46196</v>
      </c>
      <c r="C1478" s="75" t="n">
        <v>46230</v>
      </c>
      <c r="D1478" s="76" t="n">
        <v>1611</v>
      </c>
      <c r="E1478" s="59" t="inlineStr">
        <is>
          <t>MARTINS COM SERV DISTR SA</t>
        </is>
      </c>
      <c r="F1478" s="76" t="n">
        <v>24</v>
      </c>
      <c r="G1478" s="59" t="inlineStr">
        <is>
          <t>Compra a Prazo - Boletos</t>
        </is>
      </c>
      <c r="H1478" s="76" t="n">
        <v>2110101</v>
      </c>
      <c r="I1478" s="59" t="inlineStr">
        <is>
          <t>FORNECEDORES DE MERCADORIA</t>
        </is>
      </c>
      <c r="J1478" s="76" t="n">
        <v>1294640</v>
      </c>
      <c r="L1478" s="76" t="n">
        <v>536311</v>
      </c>
      <c r="M1478" s="59" t="inlineStr">
        <is>
          <t>02</t>
        </is>
      </c>
      <c r="N1478" s="59" t="inlineStr">
        <is>
          <t>AVU</t>
        </is>
      </c>
      <c r="P1478" s="76" t="n">
        <v>103</v>
      </c>
      <c r="Q1478" s="59" t="inlineStr">
        <is>
          <t>MILKA FRANCIS</t>
        </is>
      </c>
      <c r="R1478" s="59" t="inlineStr">
        <is>
          <t>ESTOQUE DE MERCADORIAS</t>
        </is>
      </c>
      <c r="S1478" s="76" t="n">
        <v>1130101</v>
      </c>
      <c r="T1478" s="59" t="inlineStr">
        <is>
          <t>MERCADORIAS P/REVENDA</t>
        </is>
      </c>
      <c r="U1478" s="77" t="n">
        <v>3224.65</v>
      </c>
      <c r="W1478" s="77" t="n">
        <v>0</v>
      </c>
      <c r="X1478" s="59" t="inlineStr">
        <is>
          <t>NF 1773396/ NF 1773397 -02 MILKA</t>
        </is>
      </c>
      <c r="Z1478" s="59">
        <f>IF($T1478="","",IFERROR(INDEX('Resumo Grupos'!$AC$3:$AC$200,MATCH($T1478,'Resumo Grupos'!$AB$3:$AB$200,0)),"n/d"))</f>
        <v/>
      </c>
      <c r="AA1478" s="59">
        <f>IF($T1478="","",IF(COUNTIF('Resumo Grupos'!$AE$3:$AE$40,$T1478)&gt;0,"NAO","SIM"))</f>
        <v/>
      </c>
    </row>
    <row r="1479" ht="12.75" customHeight="1" s="60">
      <c r="A1479" s="76" t="n">
        <v>1</v>
      </c>
      <c r="B1479" s="75" t="n">
        <v>46202</v>
      </c>
      <c r="C1479" s="75" t="n">
        <v>46230</v>
      </c>
      <c r="D1479" s="76" t="n">
        <v>1659</v>
      </c>
      <c r="E1479" s="59" t="inlineStr">
        <is>
          <t>ADRIANA DISTRIBUIDORA DE PRODUTOS ALIMEN</t>
        </is>
      </c>
      <c r="F1479" s="76" t="n">
        <v>24</v>
      </c>
      <c r="G1479" s="59" t="inlineStr">
        <is>
          <t>Compra a Prazo - Boletos</t>
        </is>
      </c>
      <c r="H1479" s="76" t="n">
        <v>2110101</v>
      </c>
      <c r="I1479" s="59" t="inlineStr">
        <is>
          <t>FORNECEDORES DE MERCADORIA</t>
        </is>
      </c>
      <c r="J1479" s="76" t="n">
        <v>1323112</v>
      </c>
      <c r="L1479" s="76" t="n">
        <v>882141</v>
      </c>
      <c r="M1479" s="59" t="inlineStr">
        <is>
          <t>03</t>
        </is>
      </c>
      <c r="N1479" s="59" t="inlineStr">
        <is>
          <t>NFE</t>
        </is>
      </c>
      <c r="P1479" s="76" t="n">
        <v>103</v>
      </c>
      <c r="Q1479" s="59" t="inlineStr">
        <is>
          <t>MILKA FRANCIS</t>
        </is>
      </c>
      <c r="R1479" s="59" t="inlineStr">
        <is>
          <t>ESTOQUE DE MERCADORIAS</t>
        </is>
      </c>
      <c r="S1479" s="76" t="n">
        <v>1130101</v>
      </c>
      <c r="T1479" s="59" t="inlineStr">
        <is>
          <t>MERCADORIAS P/REVENDA</t>
        </is>
      </c>
      <c r="U1479" s="77" t="n">
        <v>1326.93</v>
      </c>
      <c r="W1479" s="77" t="n">
        <v>0</v>
      </c>
      <c r="X1479" s="59" t="inlineStr">
        <is>
          <t>NF 882141 -3 MILKA</t>
        </is>
      </c>
      <c r="Z1479" s="59">
        <f>IF($T1479="","",IFERROR(INDEX('Resumo Grupos'!$AC$3:$AC$200,MATCH($T1479,'Resumo Grupos'!$AB$3:$AB$200,0)),"n/d"))</f>
        <v/>
      </c>
      <c r="AA1479" s="59">
        <f>IF($T1479="","",IF(COUNTIF('Resumo Grupos'!$AE$3:$AE$40,$T1479)&gt;0,"NAO","SIM"))</f>
        <v/>
      </c>
    </row>
    <row r="1480" ht="12.75" customHeight="1" s="60">
      <c r="A1480" s="76" t="n">
        <v>1</v>
      </c>
      <c r="B1480" s="75" t="n">
        <v>46203</v>
      </c>
      <c r="C1480" s="75" t="n">
        <v>46230</v>
      </c>
      <c r="D1480" s="76" t="n">
        <v>10037</v>
      </c>
      <c r="E1480" s="59" t="inlineStr">
        <is>
          <t>FORTVET DISTRIBUIDORA LTDA</t>
        </is>
      </c>
      <c r="F1480" s="76" t="n">
        <v>24</v>
      </c>
      <c r="G1480" s="59" t="inlineStr">
        <is>
          <t>Compra a Prazo - Boletos</t>
        </is>
      </c>
      <c r="H1480" s="76" t="n">
        <v>2110101</v>
      </c>
      <c r="I1480" s="59" t="inlineStr">
        <is>
          <t>FORNECEDORES DE MERCADORIA</t>
        </is>
      </c>
      <c r="J1480" s="76" t="n">
        <v>1329937</v>
      </c>
      <c r="L1480" s="76" t="n">
        <v>2524</v>
      </c>
      <c r="M1480" s="59" t="inlineStr">
        <is>
          <t>03</t>
        </is>
      </c>
      <c r="N1480" s="59" t="inlineStr">
        <is>
          <t>NFE</t>
        </is>
      </c>
      <c r="P1480" s="76" t="n">
        <v>103</v>
      </c>
      <c r="Q1480" s="59" t="inlineStr">
        <is>
          <t>MILKA FRANCIS</t>
        </is>
      </c>
      <c r="R1480" s="59" t="inlineStr">
        <is>
          <t>ESTOQUE DE MERCADORIAS</t>
        </is>
      </c>
      <c r="S1480" s="76" t="n">
        <v>1130101</v>
      </c>
      <c r="T1480" s="59" t="inlineStr">
        <is>
          <t>MERCADORIAS P/REVENDA</t>
        </is>
      </c>
      <c r="U1480" s="77" t="n">
        <v>663.8200000000001</v>
      </c>
      <c r="W1480" s="77" t="n">
        <v>0</v>
      </c>
      <c r="X1480" s="59" t="inlineStr">
        <is>
          <t>NF 2524-3 MILKA</t>
        </is>
      </c>
      <c r="Z1480" s="59">
        <f>IF($T1480="","",IFERROR(INDEX('Resumo Grupos'!$AC$3:$AC$200,MATCH($T1480,'Resumo Grupos'!$AB$3:$AB$200,0)),"n/d"))</f>
        <v/>
      </c>
      <c r="AA1480" s="59">
        <f>IF($T1480="","",IF(COUNTIF('Resumo Grupos'!$AE$3:$AE$40,$T1480)&gt;0,"NAO","SIM"))</f>
        <v/>
      </c>
    </row>
    <row r="1481" ht="12.75" customHeight="1" s="60">
      <c r="A1481" s="76" t="n">
        <v>1</v>
      </c>
      <c r="B1481" s="75" t="n">
        <v>46210</v>
      </c>
      <c r="C1481" s="75" t="n">
        <v>46230</v>
      </c>
      <c r="D1481" s="76" t="n">
        <v>1608</v>
      </c>
      <c r="E1481" s="59" t="inlineStr">
        <is>
          <t>DISTRIBUIDORA LOPES LTDA</t>
        </is>
      </c>
      <c r="F1481" s="76" t="n">
        <v>24</v>
      </c>
      <c r="G1481" s="59" t="inlineStr">
        <is>
          <t>Compra a Prazo - Boletos</t>
        </is>
      </c>
      <c r="H1481" s="76" t="n">
        <v>2110101</v>
      </c>
      <c r="I1481" s="59" t="inlineStr">
        <is>
          <t>FORNECEDORES DE MERCADORIA</t>
        </is>
      </c>
      <c r="J1481" s="76" t="n">
        <v>1366288</v>
      </c>
      <c r="L1481" s="76" t="n">
        <v>1686926</v>
      </c>
      <c r="M1481" s="59" t="inlineStr">
        <is>
          <t>01</t>
        </is>
      </c>
      <c r="N1481" s="59" t="inlineStr">
        <is>
          <t>NFE</t>
        </is>
      </c>
      <c r="P1481" s="76" t="n">
        <v>103</v>
      </c>
      <c r="Q1481" s="59" t="inlineStr">
        <is>
          <t>MILKA FRANCIS</t>
        </is>
      </c>
      <c r="R1481" s="59" t="inlineStr">
        <is>
          <t>ESTOQUE DE MERCADORIAS</t>
        </is>
      </c>
      <c r="S1481" s="76" t="n">
        <v>1130101</v>
      </c>
      <c r="T1481" s="59" t="inlineStr">
        <is>
          <t>MERCADORIAS P/REVENDA</t>
        </is>
      </c>
      <c r="U1481" s="77" t="n">
        <v>2652.75</v>
      </c>
      <c r="W1481" s="77" t="n">
        <v>0</v>
      </c>
      <c r="X1481" s="59" t="inlineStr">
        <is>
          <t>NF 1686926 - MILKA</t>
        </is>
      </c>
      <c r="Z1481" s="59">
        <f>IF($T1481="","",IFERROR(INDEX('Resumo Grupos'!$AC$3:$AC$200,MATCH($T1481,'Resumo Grupos'!$AB$3:$AB$200,0)),"n/d"))</f>
        <v/>
      </c>
      <c r="AA1481" s="59">
        <f>IF($T1481="","",IF(COUNTIF('Resumo Grupos'!$AE$3:$AE$40,$T1481)&gt;0,"NAO","SIM"))</f>
        <v/>
      </c>
    </row>
    <row r="1482" ht="12.75" customHeight="1" s="60">
      <c r="A1482" s="76" t="n">
        <v>1</v>
      </c>
      <c r="B1482" s="75" t="n">
        <v>46216</v>
      </c>
      <c r="C1482" s="75" t="n">
        <v>46230</v>
      </c>
      <c r="D1482" s="76" t="n">
        <v>1608</v>
      </c>
      <c r="E1482" s="59" t="inlineStr">
        <is>
          <t>DISTRIBUIDORA LOPES LTDA</t>
        </is>
      </c>
      <c r="F1482" s="76" t="n">
        <v>24</v>
      </c>
      <c r="G1482" s="59" t="inlineStr">
        <is>
          <t>Compra a Prazo - Boletos</t>
        </is>
      </c>
      <c r="H1482" s="76" t="n">
        <v>2110405</v>
      </c>
      <c r="I1482" s="59" t="inlineStr">
        <is>
          <t>CONTAS A PAGAR</t>
        </is>
      </c>
      <c r="J1482" s="76" t="n">
        <v>1393857</v>
      </c>
      <c r="L1482" s="76" t="n">
        <v>1690878</v>
      </c>
      <c r="M1482" s="59" t="inlineStr">
        <is>
          <t>01</t>
        </is>
      </c>
      <c r="N1482" s="59" t="inlineStr">
        <is>
          <t>AVU</t>
        </is>
      </c>
      <c r="P1482" s="76" t="n">
        <v>103</v>
      </c>
      <c r="Q1482" s="59" t="inlineStr">
        <is>
          <t>MILKA FRANCIS</t>
        </is>
      </c>
      <c r="R1482" s="59" t="inlineStr">
        <is>
          <t>ESTOQUE DE MERCADORIAS</t>
        </is>
      </c>
      <c r="S1482" s="76" t="n">
        <v>1130101</v>
      </c>
      <c r="T1482" s="59" t="inlineStr">
        <is>
          <t>MERCADORIAS P/REVENDA</t>
        </is>
      </c>
      <c r="U1482" s="77" t="n">
        <v>1039.08</v>
      </c>
      <c r="W1482" s="77" t="n">
        <v>0</v>
      </c>
      <c r="X1482" s="59" t="inlineStr">
        <is>
          <t>NF 1690878-1 MILKA / DESCONTO NO BOLETO</t>
        </is>
      </c>
      <c r="Z1482" s="59">
        <f>IF($T1482="","",IFERROR(INDEX('Resumo Grupos'!$AC$3:$AC$200,MATCH($T1482,'Resumo Grupos'!$AB$3:$AB$200,0)),"n/d"))</f>
        <v/>
      </c>
      <c r="AA1482" s="59">
        <f>IF($T1482="","",IF(COUNTIF('Resumo Grupos'!$AE$3:$AE$40,$T1482)&gt;0,"NAO","SIM"))</f>
        <v/>
      </c>
    </row>
    <row r="1483" ht="12.75" customHeight="1" s="60">
      <c r="A1483" s="76" t="n">
        <v>1</v>
      </c>
      <c r="B1483" s="75" t="n">
        <v>46217</v>
      </c>
      <c r="C1483" s="75" t="n">
        <v>46230</v>
      </c>
      <c r="D1483" s="76" t="n">
        <v>1324</v>
      </c>
      <c r="E1483" s="59" t="inlineStr">
        <is>
          <t>FC COMERCIO VAREJISTA DE OUTROS PRODUTOS</t>
        </is>
      </c>
      <c r="F1483" s="76" t="n">
        <v>24</v>
      </c>
      <c r="G1483" s="59" t="inlineStr">
        <is>
          <t>Compra a Prazo - Boletos</t>
        </is>
      </c>
      <c r="H1483" s="76" t="n">
        <v>1110202</v>
      </c>
      <c r="I1483" s="59" t="inlineStr">
        <is>
          <t>BANCO ITAU Lj 01</t>
        </is>
      </c>
      <c r="J1483" s="76" t="n">
        <v>1397096</v>
      </c>
      <c r="L1483" s="76" t="n">
        <v>385</v>
      </c>
      <c r="M1483" s="59" t="inlineStr">
        <is>
          <t>01</t>
        </is>
      </c>
      <c r="N1483" s="59" t="inlineStr">
        <is>
          <t>AVU</t>
        </is>
      </c>
      <c r="P1483" s="76" t="n">
        <v>103</v>
      </c>
      <c r="Q1483" s="59" t="inlineStr">
        <is>
          <t>MILKA FRANCIS</t>
        </is>
      </c>
      <c r="R1483" s="59" t="inlineStr">
        <is>
          <t>ESTOQUE DE MERCADORIAS</t>
        </is>
      </c>
      <c r="S1483" s="76" t="n">
        <v>1130101</v>
      </c>
      <c r="T1483" s="59" t="inlineStr">
        <is>
          <t>MERCADORIAS P/REVENDA</t>
        </is>
      </c>
      <c r="U1483" s="77" t="n">
        <v>260</v>
      </c>
      <c r="W1483" s="77" t="n">
        <v>0</v>
      </c>
      <c r="X1483" s="59" t="inlineStr">
        <is>
          <t>NF 385 FRUTA CAFE - MILKA</t>
        </is>
      </c>
      <c r="Z1483" s="59">
        <f>IF($T1483="","",IFERROR(INDEX('Resumo Grupos'!$AC$3:$AC$200,MATCH($T1483,'Resumo Grupos'!$AB$3:$AB$200,0)),"n/d"))</f>
        <v/>
      </c>
      <c r="AA1483" s="59">
        <f>IF($T1483="","",IF(COUNTIF('Resumo Grupos'!$AE$3:$AE$40,$T1483)&gt;0,"NAO","SIM"))</f>
        <v/>
      </c>
    </row>
    <row r="1484" ht="12.75" customHeight="1" s="60">
      <c r="A1484" s="76" t="n">
        <v>1</v>
      </c>
      <c r="B1484" s="75" t="n">
        <v>46217</v>
      </c>
      <c r="C1484" s="75" t="n">
        <v>46230</v>
      </c>
      <c r="D1484" s="76" t="n">
        <v>1114</v>
      </c>
      <c r="E1484" s="59" t="inlineStr">
        <is>
          <t>NT INDUSTRIA E COMERCIO DE PANIFICACAO L</t>
        </is>
      </c>
      <c r="F1484" s="76" t="n">
        <v>24</v>
      </c>
      <c r="G1484" s="59" t="inlineStr">
        <is>
          <t>Compra a Prazo - Boletos</t>
        </is>
      </c>
      <c r="H1484" s="76" t="n">
        <v>1110202</v>
      </c>
      <c r="I1484" s="59" t="inlineStr">
        <is>
          <t>BANCO ITAU Lj 01</t>
        </is>
      </c>
      <c r="J1484" s="76" t="n">
        <v>1397265</v>
      </c>
      <c r="L1484" s="76" t="n">
        <v>40994</v>
      </c>
      <c r="M1484" s="59" t="inlineStr">
        <is>
          <t>01</t>
        </is>
      </c>
      <c r="N1484" s="59" t="inlineStr">
        <is>
          <t>AVU</t>
        </is>
      </c>
      <c r="P1484" s="76" t="n">
        <v>103</v>
      </c>
      <c r="Q1484" s="59" t="inlineStr">
        <is>
          <t>MILKA FRANCIS</t>
        </is>
      </c>
      <c r="R1484" s="59" t="inlineStr">
        <is>
          <t>ESTOQUE DE MERCADORIAS</t>
        </is>
      </c>
      <c r="S1484" s="76" t="n">
        <v>1130101</v>
      </c>
      <c r="T1484" s="59" t="inlineStr">
        <is>
          <t>MERCADORIAS P/REVENDA</t>
        </is>
      </c>
      <c r="U1484" s="77" t="n">
        <v>3889.11</v>
      </c>
      <c r="W1484" s="77" t="n">
        <v>0</v>
      </c>
      <c r="X1484" s="59" t="inlineStr">
        <is>
          <t>NF 40994 - MILKA</t>
        </is>
      </c>
      <c r="Z1484" s="59">
        <f>IF($T1484="","",IFERROR(INDEX('Resumo Grupos'!$AC$3:$AC$200,MATCH($T1484,'Resumo Grupos'!$AB$3:$AB$200,0)),"n/d"))</f>
        <v/>
      </c>
      <c r="AA1484" s="59">
        <f>IF($T1484="","",IF(COUNTIF('Resumo Grupos'!$AE$3:$AE$40,$T1484)&gt;0,"NAO","SIM"))</f>
        <v/>
      </c>
    </row>
    <row r="1485" ht="12.75" customHeight="1" s="60">
      <c r="A1485" s="76" t="n">
        <v>1</v>
      </c>
      <c r="B1485" s="75" t="n">
        <v>46223</v>
      </c>
      <c r="C1485" s="75" t="n">
        <v>46230</v>
      </c>
      <c r="D1485" s="76" t="n">
        <v>33</v>
      </c>
      <c r="E1485" s="59" t="inlineStr">
        <is>
          <t>RENATO DE O AZEVEDO E CIA LTDA - EPP</t>
        </is>
      </c>
      <c r="F1485" s="76" t="n">
        <v>34</v>
      </c>
      <c r="G1485" s="59" t="inlineStr">
        <is>
          <t>Transferencia Pix</t>
        </is>
      </c>
      <c r="H1485" s="76" t="n">
        <v>2110101</v>
      </c>
      <c r="I1485" s="59" t="inlineStr">
        <is>
          <t>FORNECEDORES DE MERCADORIA</t>
        </is>
      </c>
      <c r="J1485" s="76" t="n">
        <v>1423765</v>
      </c>
      <c r="L1485" s="76" t="n">
        <v>5319</v>
      </c>
      <c r="M1485" s="59" t="inlineStr">
        <is>
          <t>01</t>
        </is>
      </c>
      <c r="N1485" s="59" t="inlineStr">
        <is>
          <t>NFE</t>
        </is>
      </c>
      <c r="P1485" s="76" t="n">
        <v>103</v>
      </c>
      <c r="Q1485" s="59" t="inlineStr">
        <is>
          <t>MILKA FRANCIS</t>
        </is>
      </c>
      <c r="R1485" s="59" t="inlineStr">
        <is>
          <t>ESTOQUE DE MERCADORIAS</t>
        </is>
      </c>
      <c r="S1485" s="76" t="n">
        <v>1130101</v>
      </c>
      <c r="T1485" s="59" t="inlineStr">
        <is>
          <t>MERCADORIAS P/REVENDA</t>
        </is>
      </c>
      <c r="U1485" s="77" t="n">
        <v>1420</v>
      </c>
      <c r="W1485" s="77" t="n">
        <v>0</v>
      </c>
      <c r="X1485" s="59" t="inlineStr">
        <is>
          <t>FAR.CRUZEIRO/PGTO JOSE CLAUDIO - MILKA</t>
        </is>
      </c>
      <c r="Z1485" s="59">
        <f>IF($T1485="","",IFERROR(INDEX('Resumo Grupos'!$AC$3:$AC$200,MATCH($T1485,'Resumo Grupos'!$AB$3:$AB$200,0)),"n/d"))</f>
        <v/>
      </c>
      <c r="AA1485" s="59">
        <f>IF($T1485="","",IF(COUNTIF('Resumo Grupos'!$AE$3:$AE$40,$T1485)&gt;0,"NAO","SIM"))</f>
        <v/>
      </c>
    </row>
    <row r="1486" ht="12.75" customHeight="1" s="60">
      <c r="A1486" s="76" t="n">
        <v>1</v>
      </c>
      <c r="B1486" s="75" t="n">
        <v>46223</v>
      </c>
      <c r="C1486" s="75" t="n">
        <v>46230</v>
      </c>
      <c r="D1486" s="76" t="n">
        <v>33</v>
      </c>
      <c r="E1486" s="59" t="inlineStr">
        <is>
          <t>RENATO DE O AZEVEDO E CIA LTDA - EPP</t>
        </is>
      </c>
      <c r="F1486" s="76" t="n">
        <v>34</v>
      </c>
      <c r="G1486" s="59" t="inlineStr">
        <is>
          <t>Transferencia Pix</t>
        </is>
      </c>
      <c r="H1486" s="76" t="n">
        <v>2110101</v>
      </c>
      <c r="I1486" s="59" t="inlineStr">
        <is>
          <t>FORNECEDORES DE MERCADORIA</t>
        </is>
      </c>
      <c r="J1486" s="76" t="n">
        <v>1423792</v>
      </c>
      <c r="L1486" s="76" t="n">
        <v>5320</v>
      </c>
      <c r="M1486" s="59" t="inlineStr">
        <is>
          <t>01</t>
        </is>
      </c>
      <c r="N1486" s="59" t="inlineStr">
        <is>
          <t>NFE</t>
        </is>
      </c>
      <c r="P1486" s="76" t="n">
        <v>103</v>
      </c>
      <c r="Q1486" s="59" t="inlineStr">
        <is>
          <t>MILKA FRANCIS</t>
        </is>
      </c>
      <c r="R1486" s="59" t="inlineStr">
        <is>
          <t>ESTOQUE DE MERCADORIAS</t>
        </is>
      </c>
      <c r="S1486" s="76" t="n">
        <v>1130101</v>
      </c>
      <c r="T1486" s="59" t="inlineStr">
        <is>
          <t>MERCADORIAS P/REVENDA</t>
        </is>
      </c>
      <c r="U1486" s="77" t="n">
        <v>1470</v>
      </c>
      <c r="W1486" s="77" t="n">
        <v>0</v>
      </c>
      <c r="X1486" s="59" t="inlineStr">
        <is>
          <t>FARINHA 3 IRMAOS/ PGTO JULIETE - MILKA</t>
        </is>
      </c>
      <c r="Z1486" s="59">
        <f>IF($T1486="","",IFERROR(INDEX('Resumo Grupos'!$AC$3:$AC$200,MATCH($T1486,'Resumo Grupos'!$AB$3:$AB$200,0)),"n/d"))</f>
        <v/>
      </c>
      <c r="AA1486" s="59">
        <f>IF($T1486="","",IF(COUNTIF('Resumo Grupos'!$AE$3:$AE$40,$T1486)&gt;0,"NAO","SIM"))</f>
        <v/>
      </c>
    </row>
    <row r="1487" ht="12.75" customHeight="1" s="60">
      <c r="A1487" s="76" t="n">
        <v>1</v>
      </c>
      <c r="B1487" s="75" t="n">
        <v>46223</v>
      </c>
      <c r="C1487" s="75" t="n">
        <v>46230</v>
      </c>
      <c r="D1487" s="76" t="n">
        <v>33</v>
      </c>
      <c r="E1487" s="59" t="inlineStr">
        <is>
          <t>RENATO DE O AZEVEDO E CIA LTDA - EPP</t>
        </is>
      </c>
      <c r="F1487" s="76" t="n">
        <v>34</v>
      </c>
      <c r="G1487" s="59" t="inlineStr">
        <is>
          <t>Transferencia Pix</t>
        </is>
      </c>
      <c r="H1487" s="76" t="n">
        <v>2110101</v>
      </c>
      <c r="I1487" s="59" t="inlineStr">
        <is>
          <t>FORNECEDORES DE MERCADORIA</t>
        </is>
      </c>
      <c r="J1487" s="76" t="n">
        <v>1423824</v>
      </c>
      <c r="L1487" s="76" t="n">
        <v>5321</v>
      </c>
      <c r="M1487" s="59" t="inlineStr">
        <is>
          <t>01</t>
        </is>
      </c>
      <c r="N1487" s="59" t="inlineStr">
        <is>
          <t>NFE</t>
        </is>
      </c>
      <c r="P1487" s="76" t="n">
        <v>103</v>
      </c>
      <c r="Q1487" s="59" t="inlineStr">
        <is>
          <t>MILKA FRANCIS</t>
        </is>
      </c>
      <c r="R1487" s="59" t="inlineStr">
        <is>
          <t>ESTOQUE DE MERCADORIAS</t>
        </is>
      </c>
      <c r="S1487" s="76" t="n">
        <v>1130101</v>
      </c>
      <c r="T1487" s="59" t="inlineStr">
        <is>
          <t>MERCADORIAS P/REVENDA</t>
        </is>
      </c>
      <c r="U1487" s="77" t="n">
        <v>600</v>
      </c>
      <c r="W1487" s="77" t="n">
        <v>0</v>
      </c>
      <c r="X1487" s="59" t="inlineStr">
        <is>
          <t>FARINHA 3 IRAMOS / PGTO JULIETE - MILKA</t>
        </is>
      </c>
      <c r="Z1487" s="59">
        <f>IF($T1487="","",IFERROR(INDEX('Resumo Grupos'!$AC$3:$AC$200,MATCH($T1487,'Resumo Grupos'!$AB$3:$AB$200,0)),"n/d"))</f>
        <v/>
      </c>
      <c r="AA1487" s="59">
        <f>IF($T1487="","",IF(COUNTIF('Resumo Grupos'!$AE$3:$AE$40,$T1487)&gt;0,"NAO","SIM"))</f>
        <v/>
      </c>
    </row>
    <row r="1488" ht="12.75" customHeight="1" s="60">
      <c r="A1488" s="76" t="n">
        <v>1</v>
      </c>
      <c r="B1488" s="75" t="n">
        <v>46223</v>
      </c>
      <c r="C1488" s="75" t="n">
        <v>46230</v>
      </c>
      <c r="D1488" s="76" t="n">
        <v>1614</v>
      </c>
      <c r="E1488" s="59" t="inlineStr">
        <is>
          <t>C. R. PARENTE ABREU</t>
        </is>
      </c>
      <c r="F1488" s="76" t="n">
        <v>24</v>
      </c>
      <c r="G1488" s="59" t="inlineStr">
        <is>
          <t>Compra a Prazo - Boletos</t>
        </is>
      </c>
      <c r="H1488" s="76" t="n">
        <v>1110202</v>
      </c>
      <c r="I1488" s="59" t="inlineStr">
        <is>
          <t>BANCO ITAU Lj 01</t>
        </is>
      </c>
      <c r="J1488" s="76" t="n">
        <v>1424878</v>
      </c>
      <c r="L1488" s="76" t="n">
        <v>11447</v>
      </c>
      <c r="M1488" s="59" t="inlineStr">
        <is>
          <t>02</t>
        </is>
      </c>
      <c r="N1488" s="59" t="inlineStr">
        <is>
          <t>AVU</t>
        </is>
      </c>
      <c r="P1488" s="76" t="n">
        <v>103</v>
      </c>
      <c r="Q1488" s="59" t="inlineStr">
        <is>
          <t>MILKA FRANCIS</t>
        </is>
      </c>
      <c r="R1488" s="59" t="inlineStr">
        <is>
          <t>ESTOQUE DE MERCADORIAS</t>
        </is>
      </c>
      <c r="S1488" s="76" t="n">
        <v>1130101</v>
      </c>
      <c r="T1488" s="59" t="inlineStr">
        <is>
          <t>MERCADORIAS P/REVENDA</t>
        </is>
      </c>
      <c r="U1488" s="77" t="n">
        <v>624.28</v>
      </c>
      <c r="W1488" s="77" t="n">
        <v>0</v>
      </c>
      <c r="X1488" s="59" t="inlineStr">
        <is>
          <t>NF 11447 -2 MILKA</t>
        </is>
      </c>
      <c r="Z1488" s="59">
        <f>IF($T1488="","",IFERROR(INDEX('Resumo Grupos'!$AC$3:$AC$200,MATCH($T1488,'Resumo Grupos'!$AB$3:$AB$200,0)),"n/d"))</f>
        <v/>
      </c>
      <c r="AA1488" s="59">
        <f>IF($T1488="","",IF(COUNTIF('Resumo Grupos'!$AE$3:$AE$40,$T1488)&gt;0,"NAO","SIM"))</f>
        <v/>
      </c>
    </row>
    <row r="1489" ht="12.75" customHeight="1" s="60">
      <c r="A1489" s="76" t="n">
        <v>1</v>
      </c>
      <c r="B1489" s="75" t="n">
        <v>46223</v>
      </c>
      <c r="C1489" s="75" t="n">
        <v>46230</v>
      </c>
      <c r="D1489" s="76" t="n">
        <v>1625</v>
      </c>
      <c r="E1489" s="59" t="inlineStr">
        <is>
          <t>MAXFRI DISTRIUIDORA LTDA</t>
        </is>
      </c>
      <c r="F1489" s="76" t="n">
        <v>24</v>
      </c>
      <c r="G1489" s="59" t="inlineStr">
        <is>
          <t>Compra a Prazo - Boletos</t>
        </is>
      </c>
      <c r="H1489" s="76" t="n">
        <v>1110202</v>
      </c>
      <c r="I1489" s="59" t="inlineStr">
        <is>
          <t>BANCO ITAU Lj 01</t>
        </is>
      </c>
      <c r="J1489" s="76" t="n">
        <v>1425293</v>
      </c>
      <c r="L1489" s="76" t="n">
        <v>14759</v>
      </c>
      <c r="M1489" s="59" t="inlineStr">
        <is>
          <t>01</t>
        </is>
      </c>
      <c r="N1489" s="59" t="inlineStr">
        <is>
          <t>AVU</t>
        </is>
      </c>
      <c r="P1489" s="76" t="n">
        <v>103</v>
      </c>
      <c r="Q1489" s="59" t="inlineStr">
        <is>
          <t>MILKA FRANCIS</t>
        </is>
      </c>
      <c r="R1489" s="59" t="inlineStr">
        <is>
          <t>ESTOQUE DE MERCADORIAS</t>
        </is>
      </c>
      <c r="S1489" s="76" t="n">
        <v>1130101</v>
      </c>
      <c r="T1489" s="59" t="inlineStr">
        <is>
          <t>MERCADORIAS P/REVENDA</t>
        </is>
      </c>
      <c r="U1489" s="77" t="n">
        <v>1314</v>
      </c>
      <c r="W1489" s="77" t="n">
        <v>0</v>
      </c>
      <c r="X1489" s="59" t="inlineStr">
        <is>
          <t>NF 14759 - MILKA</t>
        </is>
      </c>
      <c r="Z1489" s="59">
        <f>IF($T1489="","",IFERROR(INDEX('Resumo Grupos'!$AC$3:$AC$200,MATCH($T1489,'Resumo Grupos'!$AB$3:$AB$200,0)),"n/d"))</f>
        <v/>
      </c>
      <c r="AA1489" s="59">
        <f>IF($T1489="","",IF(COUNTIF('Resumo Grupos'!$AE$3:$AE$40,$T1489)&gt;0,"NAO","SIM"))</f>
        <v/>
      </c>
    </row>
    <row r="1490" ht="12.75" customHeight="1" s="60">
      <c r="A1490" s="76" t="n">
        <v>1</v>
      </c>
      <c r="B1490" s="75" t="n">
        <v>46223</v>
      </c>
      <c r="C1490" s="75" t="n">
        <v>46230</v>
      </c>
      <c r="D1490" s="76" t="n">
        <v>1631</v>
      </c>
      <c r="E1490" s="59" t="inlineStr">
        <is>
          <t>T. M. L. DA SILVA LTDA</t>
        </is>
      </c>
      <c r="F1490" s="76" t="n">
        <v>24</v>
      </c>
      <c r="G1490" s="59" t="inlineStr">
        <is>
          <t>Compra a Prazo - Boletos</t>
        </is>
      </c>
      <c r="H1490" s="76" t="n">
        <v>1110202</v>
      </c>
      <c r="I1490" s="59" t="inlineStr">
        <is>
          <t>BANCO ITAU Lj 01</t>
        </is>
      </c>
      <c r="J1490" s="76" t="n">
        <v>1425376</v>
      </c>
      <c r="L1490" s="76" t="n">
        <v>15153</v>
      </c>
      <c r="M1490" s="59" t="inlineStr">
        <is>
          <t>01</t>
        </is>
      </c>
      <c r="N1490" s="59" t="inlineStr">
        <is>
          <t>AVU</t>
        </is>
      </c>
      <c r="P1490" s="76" t="n">
        <v>103</v>
      </c>
      <c r="Q1490" s="59" t="inlineStr">
        <is>
          <t>MILKA FRANCIS</t>
        </is>
      </c>
      <c r="R1490" s="59" t="inlineStr">
        <is>
          <t>ESTOQUE DE MERCADORIAS</t>
        </is>
      </c>
      <c r="S1490" s="76" t="n">
        <v>1130101</v>
      </c>
      <c r="T1490" s="59" t="inlineStr">
        <is>
          <t>MERCADORIAS P/REVENDA</t>
        </is>
      </c>
      <c r="U1490" s="77" t="n">
        <v>742.4</v>
      </c>
      <c r="W1490" s="77" t="n">
        <v>0</v>
      </c>
      <c r="X1490" s="59" t="inlineStr">
        <is>
          <t>NF 15153 AMAZONGURT - MILKA</t>
        </is>
      </c>
      <c r="Z1490" s="59">
        <f>IF($T1490="","",IFERROR(INDEX('Resumo Grupos'!$AC$3:$AC$200,MATCH($T1490,'Resumo Grupos'!$AB$3:$AB$200,0)),"n/d"))</f>
        <v/>
      </c>
      <c r="AA1490" s="59">
        <f>IF($T1490="","",IF(COUNTIF('Resumo Grupos'!$AE$3:$AE$40,$T1490)&gt;0,"NAO","SIM"))</f>
        <v/>
      </c>
    </row>
    <row r="1491" ht="12.75" customHeight="1" s="60">
      <c r="A1491" s="76" t="n">
        <v>1</v>
      </c>
      <c r="B1491" s="75" t="n">
        <v>46224</v>
      </c>
      <c r="C1491" s="75" t="n">
        <v>46230</v>
      </c>
      <c r="D1491" s="76" t="n">
        <v>1123</v>
      </c>
      <c r="E1491" s="59" t="inlineStr">
        <is>
          <t>NORTELAC DISTRIBUIDORA DE FRIOS LTDA</t>
        </is>
      </c>
      <c r="F1491" s="76" t="n">
        <v>24</v>
      </c>
      <c r="G1491" s="59" t="inlineStr">
        <is>
          <t>Compra a Prazo - Boletos</t>
        </is>
      </c>
      <c r="H1491" s="76" t="n">
        <v>1110202</v>
      </c>
      <c r="I1491" s="59" t="inlineStr">
        <is>
          <t>BANCO ITAU Lj 01</t>
        </is>
      </c>
      <c r="J1491" s="76" t="n">
        <v>1431235</v>
      </c>
      <c r="L1491" s="76" t="n">
        <v>44115</v>
      </c>
      <c r="M1491" s="59" t="inlineStr">
        <is>
          <t>01</t>
        </is>
      </c>
      <c r="N1491" s="59" t="inlineStr">
        <is>
          <t>AVU</t>
        </is>
      </c>
      <c r="P1491" s="76" t="n">
        <v>103</v>
      </c>
      <c r="Q1491" s="59" t="inlineStr">
        <is>
          <t>MILKA FRANCIS</t>
        </is>
      </c>
      <c r="R1491" s="59" t="inlineStr">
        <is>
          <t>ESTOQUE DE MERCADORIAS</t>
        </is>
      </c>
      <c r="S1491" s="76" t="n">
        <v>1130101</v>
      </c>
      <c r="T1491" s="59" t="inlineStr">
        <is>
          <t>MERCADORIAS P/REVENDA</t>
        </is>
      </c>
      <c r="U1491" s="77" t="n">
        <v>1380</v>
      </c>
      <c r="W1491" s="77" t="n">
        <v>0</v>
      </c>
      <c r="X1491" s="59" t="inlineStr">
        <is>
          <t>NF 44115 - MILKA</t>
        </is>
      </c>
      <c r="Z1491" s="59">
        <f>IF($T1491="","",IFERROR(INDEX('Resumo Grupos'!$AC$3:$AC$200,MATCH($T1491,'Resumo Grupos'!$AB$3:$AB$200,0)),"n/d"))</f>
        <v/>
      </c>
      <c r="AA1491" s="59">
        <f>IF($T1491="","",IF(COUNTIF('Resumo Grupos'!$AE$3:$AE$40,$T1491)&gt;0,"NAO","SIM"))</f>
        <v/>
      </c>
    </row>
    <row r="1492" ht="12.75" customHeight="1" s="60">
      <c r="A1492" s="76" t="n">
        <v>1</v>
      </c>
      <c r="B1492" s="75" t="n">
        <v>46224</v>
      </c>
      <c r="C1492" s="75" t="n">
        <v>46230</v>
      </c>
      <c r="D1492" s="76" t="n">
        <v>1650</v>
      </c>
      <c r="E1492" s="59" t="inlineStr">
        <is>
          <t>FRUTAL INDUSTRIA E COMERCIO LTDA</t>
        </is>
      </c>
      <c r="F1492" s="76" t="n">
        <v>24</v>
      </c>
      <c r="G1492" s="59" t="inlineStr">
        <is>
          <t>Compra a Prazo - Boletos</t>
        </is>
      </c>
      <c r="H1492" s="76" t="n">
        <v>1110202</v>
      </c>
      <c r="I1492" s="59" t="inlineStr">
        <is>
          <t>BANCO ITAU Lj 01</t>
        </is>
      </c>
      <c r="J1492" s="76" t="n">
        <v>1431274</v>
      </c>
      <c r="L1492" s="76" t="n">
        <v>226411</v>
      </c>
      <c r="M1492" s="59" t="inlineStr">
        <is>
          <t>01</t>
        </is>
      </c>
      <c r="N1492" s="59" t="inlineStr">
        <is>
          <t>AVU</t>
        </is>
      </c>
      <c r="P1492" s="76" t="n">
        <v>103</v>
      </c>
      <c r="Q1492" s="59" t="inlineStr">
        <is>
          <t>MILKA FRANCIS</t>
        </is>
      </c>
      <c r="R1492" s="59" t="inlineStr">
        <is>
          <t>ESTOQUE DE MERCADORIAS</t>
        </is>
      </c>
      <c r="S1492" s="76" t="n">
        <v>1130101</v>
      </c>
      <c r="T1492" s="59" t="inlineStr">
        <is>
          <t>MERCADORIAS P/REVENDA</t>
        </is>
      </c>
      <c r="U1492" s="77" t="n">
        <v>505.19</v>
      </c>
      <c r="W1492" s="77" t="n">
        <v>0</v>
      </c>
      <c r="X1492" s="59" t="inlineStr">
        <is>
          <t>NF 226411 - MILKA</t>
        </is>
      </c>
      <c r="Z1492" s="59">
        <f>IF($T1492="","",IFERROR(INDEX('Resumo Grupos'!$AC$3:$AC$200,MATCH($T1492,'Resumo Grupos'!$AB$3:$AB$200,0)),"n/d"))</f>
        <v/>
      </c>
      <c r="AA1492" s="59">
        <f>IF($T1492="","",IF(COUNTIF('Resumo Grupos'!$AE$3:$AE$40,$T1492)&gt;0,"NAO","SIM"))</f>
        <v/>
      </c>
    </row>
    <row r="1493" ht="12.75" customHeight="1" s="60">
      <c r="A1493" s="76" t="n">
        <v>1</v>
      </c>
      <c r="B1493" s="75" t="n">
        <v>46225</v>
      </c>
      <c r="C1493" s="75" t="n">
        <v>46230</v>
      </c>
      <c r="D1493" s="76" t="n">
        <v>1666</v>
      </c>
      <c r="E1493" s="59" t="inlineStr">
        <is>
          <t>SOUZA CRUZ LTDA.</t>
        </is>
      </c>
      <c r="F1493" s="76" t="n">
        <v>24</v>
      </c>
      <c r="G1493" s="59" t="inlineStr">
        <is>
          <t>Compra a Prazo - Boletos</t>
        </is>
      </c>
      <c r="H1493" s="76" t="n">
        <v>1110202</v>
      </c>
      <c r="I1493" s="59" t="inlineStr">
        <is>
          <t>BANCO ITAU Lj 01</t>
        </is>
      </c>
      <c r="J1493" s="76" t="n">
        <v>1435035</v>
      </c>
      <c r="L1493" s="76" t="n">
        <v>567587</v>
      </c>
      <c r="M1493" s="59" t="inlineStr">
        <is>
          <t>01</t>
        </is>
      </c>
      <c r="N1493" s="59" t="inlineStr">
        <is>
          <t>AVU</t>
        </is>
      </c>
      <c r="P1493" s="76" t="n">
        <v>103</v>
      </c>
      <c r="Q1493" s="59" t="inlineStr">
        <is>
          <t>MILKA FRANCIS</t>
        </is>
      </c>
      <c r="R1493" s="59" t="inlineStr">
        <is>
          <t>ESTOQUE DE MERCADORIAS</t>
        </is>
      </c>
      <c r="S1493" s="76" t="n">
        <v>1130101</v>
      </c>
      <c r="T1493" s="59" t="inlineStr">
        <is>
          <t>MERCADORIAS P/REVENDA</t>
        </is>
      </c>
      <c r="U1493" s="77" t="n">
        <v>5880.89</v>
      </c>
      <c r="W1493" s="77" t="n">
        <v>0</v>
      </c>
      <c r="X1493" s="59" t="inlineStr">
        <is>
          <t>NF 567587 -01 C/TAIFA MILKA</t>
        </is>
      </c>
      <c r="Z1493" s="59">
        <f>IF($T1493="","",IFERROR(INDEX('Resumo Grupos'!$AC$3:$AC$200,MATCH($T1493,'Resumo Grupos'!$AB$3:$AB$200,0)),"n/d"))</f>
        <v/>
      </c>
      <c r="AA1493" s="59">
        <f>IF($T1493="","",IF(COUNTIF('Resumo Grupos'!$AE$3:$AE$40,$T1493)&gt;0,"NAO","SIM"))</f>
        <v/>
      </c>
    </row>
    <row r="1494" ht="12.75" customHeight="1" s="60">
      <c r="A1494" s="76" t="n">
        <v>1</v>
      </c>
      <c r="B1494" s="75" t="n">
        <v>46226</v>
      </c>
      <c r="C1494" s="75" t="n">
        <v>46230</v>
      </c>
      <c r="D1494" s="76" t="n">
        <v>1287</v>
      </c>
      <c r="E1494" s="59" t="inlineStr">
        <is>
          <t>DISPPAN DISTRIBUIDORA DE PRODUTOS PARA PANIFICACAO LTDA</t>
        </is>
      </c>
      <c r="F1494" s="76" t="n">
        <v>24</v>
      </c>
      <c r="G1494" s="59" t="inlineStr">
        <is>
          <t>Compra a Prazo - Boletos</t>
        </is>
      </c>
      <c r="H1494" s="76" t="n">
        <v>1110202</v>
      </c>
      <c r="I1494" s="59" t="inlineStr">
        <is>
          <t>BANCO ITAU Lj 01</t>
        </is>
      </c>
      <c r="J1494" s="76" t="n">
        <v>1439598</v>
      </c>
      <c r="L1494" s="76" t="n">
        <v>281541</v>
      </c>
      <c r="M1494" s="59" t="inlineStr">
        <is>
          <t>01</t>
        </is>
      </c>
      <c r="N1494" s="59" t="inlineStr">
        <is>
          <t>AVU</t>
        </is>
      </c>
      <c r="P1494" s="76" t="n">
        <v>103</v>
      </c>
      <c r="Q1494" s="59" t="inlineStr">
        <is>
          <t>MILKA FRANCIS</t>
        </is>
      </c>
      <c r="R1494" s="59" t="inlineStr">
        <is>
          <t>DESPESAS OPERACIONAIS</t>
        </is>
      </c>
      <c r="S1494" s="76" t="n">
        <v>4210228</v>
      </c>
      <c r="T1494" s="59" t="inlineStr">
        <is>
          <t>DESPESAS PADARIA</t>
        </is>
      </c>
      <c r="U1494" s="77" t="n">
        <v>175</v>
      </c>
      <c r="W1494" s="77" t="n">
        <v>0</v>
      </c>
      <c r="X1494" s="59" t="inlineStr">
        <is>
          <t>NF281541-1 USO E CONSUMO PADARIA/ MARGARINA 15KG - MILKA</t>
        </is>
      </c>
      <c r="Z1494" s="59">
        <f>IF($T1494="","",IFERROR(INDEX('Resumo Grupos'!$AC$3:$AC$200,MATCH($T1494,'Resumo Grupos'!$AB$3:$AB$200,0)),"n/d"))</f>
        <v/>
      </c>
      <c r="AA1494" s="59">
        <f>IF($T1494="","",IF(COUNTIF('Resumo Grupos'!$AE$3:$AE$40,$T1494)&gt;0,"NAO","SIM"))</f>
        <v/>
      </c>
    </row>
    <row r="1495" ht="12.75" customHeight="1" s="60">
      <c r="A1495" s="76" t="n">
        <v>1</v>
      </c>
      <c r="B1495" s="75" t="n">
        <v>46226</v>
      </c>
      <c r="C1495" s="75" t="n">
        <v>46230</v>
      </c>
      <c r="D1495" s="76" t="n">
        <v>1899</v>
      </c>
      <c r="E1495" s="59" t="inlineStr">
        <is>
          <t>PANIFICADORA E CONFEITARIA REAL MADRI LTDA</t>
        </is>
      </c>
      <c r="F1495" s="76" t="n">
        <v>24</v>
      </c>
      <c r="G1495" s="59" t="inlineStr">
        <is>
          <t>Compra a Prazo - Boletos</t>
        </is>
      </c>
      <c r="H1495" s="76" t="n">
        <v>1110202</v>
      </c>
      <c r="I1495" s="59" t="inlineStr">
        <is>
          <t>BANCO ITAU Lj 01</t>
        </is>
      </c>
      <c r="J1495" s="76" t="n">
        <v>1439709</v>
      </c>
      <c r="L1495" s="76" t="n">
        <v>727</v>
      </c>
      <c r="M1495" s="59" t="inlineStr">
        <is>
          <t>01</t>
        </is>
      </c>
      <c r="N1495" s="59" t="inlineStr">
        <is>
          <t>AVU</t>
        </is>
      </c>
      <c r="P1495" s="76" t="n">
        <v>103</v>
      </c>
      <c r="Q1495" s="59" t="inlineStr">
        <is>
          <t>MILKA FRANCIS</t>
        </is>
      </c>
      <c r="R1495" s="59" t="inlineStr">
        <is>
          <t>ESTOQUE DE MERCADORIAS</t>
        </is>
      </c>
      <c r="S1495" s="76" t="n">
        <v>1130101</v>
      </c>
      <c r="T1495" s="59" t="inlineStr">
        <is>
          <t>MERCADORIAS P/REVENDA</t>
        </is>
      </c>
      <c r="U1495" s="77" t="n">
        <v>424.6</v>
      </c>
      <c r="W1495" s="77" t="n">
        <v>0</v>
      </c>
      <c r="X1495" s="59" t="inlineStr">
        <is>
          <t>NF 727 - MILKA</t>
        </is>
      </c>
      <c r="Z1495" s="59">
        <f>IF($T1495="","",IFERROR(INDEX('Resumo Grupos'!$AC$3:$AC$200,MATCH($T1495,'Resumo Grupos'!$AB$3:$AB$200,0)),"n/d"))</f>
        <v/>
      </c>
      <c r="AA1495" s="59">
        <f>IF($T1495="","",IF(COUNTIF('Resumo Grupos'!$AE$3:$AE$40,$T1495)&gt;0,"NAO","SIM"))</f>
        <v/>
      </c>
    </row>
    <row r="1496" ht="12.75" customHeight="1" s="60">
      <c r="A1496" s="76" t="n">
        <v>1</v>
      </c>
      <c r="B1496" s="75" t="n">
        <v>46226</v>
      </c>
      <c r="C1496" s="75" t="n">
        <v>46230</v>
      </c>
      <c r="D1496" s="76" t="n">
        <v>1899</v>
      </c>
      <c r="E1496" s="59" t="inlineStr">
        <is>
          <t>PANIFICADORA E CONFEITARIA REAL MADRI LTDA</t>
        </is>
      </c>
      <c r="F1496" s="76" t="n">
        <v>24</v>
      </c>
      <c r="G1496" s="59" t="inlineStr">
        <is>
          <t>Compra a Prazo - Boletos</t>
        </is>
      </c>
      <c r="H1496" s="76" t="n">
        <v>1110202</v>
      </c>
      <c r="I1496" s="59" t="inlineStr">
        <is>
          <t>BANCO ITAU Lj 01</t>
        </is>
      </c>
      <c r="J1496" s="76" t="n">
        <v>1440241</v>
      </c>
      <c r="L1496" s="76" t="n">
        <v>592633</v>
      </c>
      <c r="M1496" s="59" t="inlineStr">
        <is>
          <t>01</t>
        </is>
      </c>
      <c r="N1496" s="59" t="inlineStr">
        <is>
          <t>AVU</t>
        </is>
      </c>
      <c r="P1496" s="76" t="n">
        <v>104</v>
      </c>
      <c r="Q1496" s="59" t="inlineStr">
        <is>
          <t>DEBORA COSTA</t>
        </is>
      </c>
      <c r="R1496" s="59" t="inlineStr">
        <is>
          <t>ESTOQUE DE MERCADORIAS</t>
        </is>
      </c>
      <c r="S1496" s="76" t="n">
        <v>1130101</v>
      </c>
      <c r="T1496" s="59" t="inlineStr">
        <is>
          <t>MERCADORIAS P/REVENDA</t>
        </is>
      </c>
      <c r="U1496" s="77" t="n">
        <v>840</v>
      </c>
      <c r="W1496" s="77" t="n">
        <v>0</v>
      </c>
      <c r="X1496" s="59" t="inlineStr">
        <is>
          <t>NF 729 - DEBORA</t>
        </is>
      </c>
      <c r="Z1496" s="59">
        <f>IF($T1496="","",IFERROR(INDEX('Resumo Grupos'!$AC$3:$AC$200,MATCH($T1496,'Resumo Grupos'!$AB$3:$AB$200,0)),"n/d"))</f>
        <v/>
      </c>
      <c r="AA1496" s="59">
        <f>IF($T1496="","",IF(COUNTIF('Resumo Grupos'!$AE$3:$AE$40,$T1496)&gt;0,"NAO","SIM"))</f>
        <v/>
      </c>
    </row>
    <row r="1497" ht="12.75" customHeight="1" s="60">
      <c r="A1497" s="76" t="n">
        <v>1</v>
      </c>
      <c r="B1497" s="75" t="n">
        <v>46230</v>
      </c>
      <c r="C1497" s="75" t="n">
        <v>46230</v>
      </c>
      <c r="D1497" s="76" t="n">
        <v>1936</v>
      </c>
      <c r="E1497" s="59" t="inlineStr">
        <is>
          <t>RV TECNOLOGIA E SISTEMAS S.A</t>
        </is>
      </c>
      <c r="F1497" s="76" t="n">
        <v>24</v>
      </c>
      <c r="G1497" s="59" t="inlineStr">
        <is>
          <t>Compra a Prazo - Boletos</t>
        </is>
      </c>
      <c r="H1497" s="76" t="n">
        <v>1110202</v>
      </c>
      <c r="I1497" s="59" t="inlineStr">
        <is>
          <t>BANCO ITAU Lj 01</t>
        </is>
      </c>
      <c r="J1497" s="76" t="n">
        <v>1458603</v>
      </c>
      <c r="L1497" s="76" t="n">
        <v>600176</v>
      </c>
      <c r="M1497" s="59" t="inlineStr">
        <is>
          <t>01</t>
        </is>
      </c>
      <c r="N1497" s="59" t="inlineStr">
        <is>
          <t>AVU</t>
        </is>
      </c>
      <c r="P1497" s="76" t="n">
        <v>102</v>
      </c>
      <c r="Q1497" s="59" t="inlineStr">
        <is>
          <t>ANDREZA ANDRADE</t>
        </is>
      </c>
      <c r="R1497" s="59" t="inlineStr">
        <is>
          <t>ESTOQUE DE MERCADORIAS</t>
        </is>
      </c>
      <c r="S1497" s="76" t="n">
        <v>1130101</v>
      </c>
      <c r="T1497" s="59" t="inlineStr">
        <is>
          <t>MERCADORIAS P/REVENDA</t>
        </is>
      </c>
      <c r="U1497" s="77" t="n">
        <v>135.15</v>
      </c>
      <c r="W1497" s="77" t="n">
        <v>0</v>
      </c>
      <c r="X1497" s="59" t="inlineStr">
        <is>
          <t>RV RECARGA -ANDREZA</t>
        </is>
      </c>
      <c r="Z1497" s="59">
        <f>IF($T1497="","",IFERROR(INDEX('Resumo Grupos'!$AC$3:$AC$200,MATCH($T1497,'Resumo Grupos'!$AB$3:$AB$200,0)),"n/d"))</f>
        <v/>
      </c>
      <c r="AA1497" s="59">
        <f>IF($T1497="","",IF(COUNTIF('Resumo Grupos'!$AE$3:$AE$40,$T1497)&gt;0,"NAO","SIM"))</f>
        <v/>
      </c>
    </row>
    <row r="1498" ht="12.75" customHeight="1" s="60">
      <c r="A1498" s="76" t="n">
        <v>1</v>
      </c>
      <c r="B1498" s="75" t="n">
        <v>46230</v>
      </c>
      <c r="C1498" s="75" t="n">
        <v>46230</v>
      </c>
      <c r="D1498" s="76" t="n">
        <v>1408</v>
      </c>
      <c r="E1498" s="59" t="inlineStr">
        <is>
          <t xml:space="preserve">ASSOCIACAO AMAZONENSE DE SUPERMERCADOS </t>
        </is>
      </c>
      <c r="F1498" s="76" t="n">
        <v>24</v>
      </c>
      <c r="G1498" s="59" t="inlineStr">
        <is>
          <t>Compra a Prazo - Boletos</t>
        </is>
      </c>
      <c r="H1498" s="76" t="n">
        <v>1110202</v>
      </c>
      <c r="I1498" s="59" t="inlineStr">
        <is>
          <t>BANCO ITAU Lj 01</t>
        </is>
      </c>
      <c r="J1498" s="76" t="n">
        <v>1458628</v>
      </c>
      <c r="L1498" s="76" t="n">
        <v>600178</v>
      </c>
      <c r="M1498" s="59" t="inlineStr">
        <is>
          <t>01</t>
        </is>
      </c>
      <c r="N1498" s="59" t="inlineStr">
        <is>
          <t>AVU</t>
        </is>
      </c>
      <c r="P1498" s="76" t="n">
        <v>101</v>
      </c>
      <c r="Q1498" s="59" t="inlineStr">
        <is>
          <t>KEILA LIMA</t>
        </is>
      </c>
      <c r="R1498" s="59" t="inlineStr">
        <is>
          <t>DESPESAS NAO OPERACIONAIS</t>
        </is>
      </c>
      <c r="S1498" s="76" t="n">
        <v>4220199</v>
      </c>
      <c r="T1498" s="59" t="inlineStr">
        <is>
          <t>PAGAMENTOS OUTROS NAO OPERACIONAIS</t>
        </is>
      </c>
      <c r="U1498" s="77" t="n">
        <v>250</v>
      </c>
      <c r="W1498" s="77" t="n">
        <v>0</v>
      </c>
      <c r="X1498" s="59" t="inlineStr">
        <is>
          <t>MENS ASSOCIACAO AMASE LOJAS - NAO SOMAR</t>
        </is>
      </c>
      <c r="Z1498" s="59">
        <f>IF($T1498="","",IFERROR(INDEX('Resumo Grupos'!$AC$3:$AC$200,MATCH($T1498,'Resumo Grupos'!$AB$3:$AB$200,0)),"n/d"))</f>
        <v/>
      </c>
      <c r="AA1498" s="59">
        <f>IF($T1498="","",IF(COUNTIF('Resumo Grupos'!$AE$3:$AE$40,$T1498)&gt;0,"NAO","SIM"))</f>
        <v/>
      </c>
    </row>
    <row r="1499" ht="12.75" customHeight="1" s="60">
      <c r="A1499" s="76" t="n">
        <v>1</v>
      </c>
      <c r="B1499" s="75" t="n">
        <v>46230</v>
      </c>
      <c r="C1499" s="75" t="n">
        <v>46230</v>
      </c>
      <c r="D1499" s="76" t="n">
        <v>1408</v>
      </c>
      <c r="E1499" s="59" t="inlineStr">
        <is>
          <t xml:space="preserve">ASSOCIACAO AMAZONENSE DE SUPERMERCADOS </t>
        </is>
      </c>
      <c r="F1499" s="76" t="n">
        <v>24</v>
      </c>
      <c r="G1499" s="59" t="inlineStr">
        <is>
          <t>Compra a Prazo - Boletos</t>
        </is>
      </c>
      <c r="H1499" s="76" t="n">
        <v>1110202</v>
      </c>
      <c r="I1499" s="59" t="inlineStr">
        <is>
          <t>BANCO ITAU Lj 01</t>
        </is>
      </c>
      <c r="J1499" s="76" t="n">
        <v>1458635</v>
      </c>
      <c r="L1499" s="76" t="n">
        <v>600181</v>
      </c>
      <c r="M1499" s="59" t="inlineStr">
        <is>
          <t>01</t>
        </is>
      </c>
      <c r="N1499" s="59" t="inlineStr">
        <is>
          <t>AVU</t>
        </is>
      </c>
      <c r="P1499" s="76" t="n">
        <v>101</v>
      </c>
      <c r="Q1499" s="59" t="inlineStr">
        <is>
          <t>KEILA LIMA</t>
        </is>
      </c>
      <c r="R1499" s="59" t="inlineStr">
        <is>
          <t>DESPESAS OPERACIONAIS</t>
        </is>
      </c>
      <c r="S1499" s="76" t="n">
        <v>4210218</v>
      </c>
      <c r="T1499" s="59" t="inlineStr">
        <is>
          <t>MENSALIDADES DE ASSOCIACOES</t>
        </is>
      </c>
      <c r="U1499" s="77" t="n">
        <v>125</v>
      </c>
      <c r="W1499" s="77" t="n">
        <v>0</v>
      </c>
      <c r="X1499" s="59" t="inlineStr">
        <is>
          <t>MENS ASSOCIACAO AMASE MO1 PARTE - KEILA</t>
        </is>
      </c>
      <c r="Z1499" s="59">
        <f>IF($T1499="","",IFERROR(INDEX('Resumo Grupos'!$AC$3:$AC$200,MATCH($T1499,'Resumo Grupos'!$AB$3:$AB$200,0)),"n/d"))</f>
        <v/>
      </c>
      <c r="AA1499" s="59">
        <f>IF($T1499="","",IF(COUNTIF('Resumo Grupos'!$AE$3:$AE$40,$T1499)&gt;0,"NAO","SIM"))</f>
        <v/>
      </c>
    </row>
    <row r="1500" ht="12.75" customHeight="1" s="60">
      <c r="A1500" s="76" t="n">
        <v>1</v>
      </c>
      <c r="B1500" s="75" t="n">
        <v>46221</v>
      </c>
      <c r="C1500" s="75" t="n">
        <v>46230</v>
      </c>
      <c r="D1500" s="76" t="n">
        <v>1723</v>
      </c>
      <c r="E1500" s="59" t="inlineStr">
        <is>
          <t>COMERCIO DE FRIOS MANAUS LTDA</t>
        </is>
      </c>
      <c r="F1500" s="76" t="n">
        <v>24</v>
      </c>
      <c r="G1500" s="59" t="inlineStr">
        <is>
          <t>Compra a Prazo - Boletos</t>
        </is>
      </c>
      <c r="H1500" s="76" t="n">
        <v>1110202</v>
      </c>
      <c r="I1500" s="59" t="inlineStr">
        <is>
          <t>BANCO ITAU Lj 01</t>
        </is>
      </c>
      <c r="J1500" s="76" t="n">
        <v>1458703</v>
      </c>
      <c r="L1500" s="76" t="n">
        <v>173326</v>
      </c>
      <c r="M1500" s="59" t="inlineStr">
        <is>
          <t>01</t>
        </is>
      </c>
      <c r="N1500" s="59" t="inlineStr">
        <is>
          <t>AVU</t>
        </is>
      </c>
      <c r="P1500" s="76" t="n">
        <v>103</v>
      </c>
      <c r="Q1500" s="59" t="inlineStr">
        <is>
          <t>MILKA FRANCIS</t>
        </is>
      </c>
      <c r="R1500" s="59" t="inlineStr">
        <is>
          <t>ESTOQUE DE MERCADORIAS</t>
        </is>
      </c>
      <c r="S1500" s="76" t="n">
        <v>1130101</v>
      </c>
      <c r="T1500" s="59" t="inlineStr">
        <is>
          <t>MERCADORIAS P/REVENDA</t>
        </is>
      </c>
      <c r="U1500" s="77" t="n">
        <v>3632.9</v>
      </c>
      <c r="W1500" s="77" t="n">
        <v>0</v>
      </c>
      <c r="X1500" s="59" t="inlineStr">
        <is>
          <t>NF 173326 - MILKA</t>
        </is>
      </c>
      <c r="Z1500" s="59">
        <f>IF($T1500="","",IFERROR(INDEX('Resumo Grupos'!$AC$3:$AC$200,MATCH($T1500,'Resumo Grupos'!$AB$3:$AB$200,0)),"n/d"))</f>
        <v/>
      </c>
      <c r="AA1500" s="59">
        <f>IF($T1500="","",IF(COUNTIF('Resumo Grupos'!$AE$3:$AE$40,$T1500)&gt;0,"NAO","SIM"))</f>
        <v/>
      </c>
    </row>
    <row r="1501" ht="12.75" customHeight="1" s="60">
      <c r="A1501" s="76" t="n">
        <v>1</v>
      </c>
      <c r="B1501" s="75" t="n">
        <v>46230</v>
      </c>
      <c r="C1501" s="75" t="n">
        <v>46230</v>
      </c>
      <c r="D1501" s="76" t="n">
        <v>10096</v>
      </c>
      <c r="E1501" s="59" t="inlineStr">
        <is>
          <t>H L M PADARIA E CONFEITARIA LTDA</t>
        </is>
      </c>
      <c r="F1501" s="76" t="n">
        <v>13</v>
      </c>
      <c r="G1501" s="59" t="inlineStr">
        <is>
          <t>Compra a Vista</t>
        </is>
      </c>
      <c r="H1501" s="76" t="n">
        <v>2110101</v>
      </c>
      <c r="I1501" s="59" t="inlineStr">
        <is>
          <t>FORNECEDORES DE MERCADORIA</t>
        </is>
      </c>
      <c r="J1501" s="76" t="n">
        <v>1463301</v>
      </c>
      <c r="L1501" s="76" t="n">
        <v>85</v>
      </c>
      <c r="M1501" s="59" t="inlineStr">
        <is>
          <t>01</t>
        </is>
      </c>
      <c r="N1501" s="59" t="inlineStr">
        <is>
          <t>NFE</t>
        </is>
      </c>
      <c r="P1501" s="76" t="n">
        <v>104</v>
      </c>
      <c r="Q1501" s="59" t="inlineStr">
        <is>
          <t>DEBORA COSTA</t>
        </is>
      </c>
      <c r="R1501" s="59" t="inlineStr">
        <is>
          <t>ESTOQUE DE MERCADORIAS</t>
        </is>
      </c>
      <c r="S1501" s="76" t="n">
        <v>1130101</v>
      </c>
      <c r="T1501" s="59" t="inlineStr">
        <is>
          <t>MERCADORIAS P/REVENDA</t>
        </is>
      </c>
      <c r="U1501" s="77" t="n">
        <v>420</v>
      </c>
      <c r="W1501" s="77" t="n">
        <v>0</v>
      </c>
      <c r="X1501" s="59" t="inlineStr">
        <is>
          <t>NF 85 - DEBORA</t>
        </is>
      </c>
      <c r="Z1501" s="59">
        <f>IF($T1501="","",IFERROR(INDEX('Resumo Grupos'!$AC$3:$AC$200,MATCH($T1501,'Resumo Grupos'!$AB$3:$AB$200,0)),"n/d"))</f>
        <v/>
      </c>
      <c r="AA1501" s="59">
        <f>IF($T1501="","",IF(COUNTIF('Resumo Grupos'!$AE$3:$AE$40,$T1501)&gt;0,"NAO","SIM"))</f>
        <v/>
      </c>
    </row>
    <row r="1502" ht="12.75" customHeight="1" s="60">
      <c r="A1502" s="76" t="n">
        <v>1</v>
      </c>
      <c r="B1502" s="75" t="n">
        <v>46230</v>
      </c>
      <c r="C1502" s="75" t="n">
        <v>46230</v>
      </c>
      <c r="D1502" s="76" t="n">
        <v>978</v>
      </c>
      <c r="E1502" s="59" t="inlineStr">
        <is>
          <t>GELO DANGELO FABRICACAO DE GELO LTDA</t>
        </is>
      </c>
      <c r="F1502" s="76" t="n">
        <v>13</v>
      </c>
      <c r="G1502" s="59" t="inlineStr">
        <is>
          <t>Compra a Vista</t>
        </is>
      </c>
      <c r="H1502" s="76" t="n">
        <v>2110101</v>
      </c>
      <c r="I1502" s="59" t="inlineStr">
        <is>
          <t>FORNECEDORES DE MERCADORIA</t>
        </is>
      </c>
      <c r="J1502" s="76" t="n">
        <v>1463329</v>
      </c>
      <c r="L1502" s="76" t="n">
        <v>395</v>
      </c>
      <c r="M1502" s="59" t="inlineStr">
        <is>
          <t>01</t>
        </is>
      </c>
      <c r="N1502" s="59" t="inlineStr">
        <is>
          <t>NFE</t>
        </is>
      </c>
      <c r="P1502" s="76" t="n">
        <v>104</v>
      </c>
      <c r="Q1502" s="59" t="inlineStr">
        <is>
          <t>DEBORA COSTA</t>
        </is>
      </c>
      <c r="R1502" s="59" t="inlineStr">
        <is>
          <t>ESTOQUE DE MERCADORIAS</t>
        </is>
      </c>
      <c r="S1502" s="76" t="n">
        <v>1130101</v>
      </c>
      <c r="T1502" s="59" t="inlineStr">
        <is>
          <t>MERCADORIAS P/REVENDA</t>
        </is>
      </c>
      <c r="U1502" s="77" t="n">
        <v>424</v>
      </c>
      <c r="W1502" s="77" t="n">
        <v>0</v>
      </c>
      <c r="X1502" s="59" t="inlineStr">
        <is>
          <t>NF 396 - DEBORA</t>
        </is>
      </c>
      <c r="Z1502" s="59">
        <f>IF($T1502="","",IFERROR(INDEX('Resumo Grupos'!$AC$3:$AC$200,MATCH($T1502,'Resumo Grupos'!$AB$3:$AB$200,0)),"n/d"))</f>
        <v/>
      </c>
      <c r="AA1502" s="59">
        <f>IF($T1502="","",IF(COUNTIF('Resumo Grupos'!$AE$3:$AE$40,$T1502)&gt;0,"NAO","SIM"))</f>
        <v/>
      </c>
    </row>
    <row r="1503" ht="12.75" customHeight="1" s="60">
      <c r="A1503" s="76" t="n">
        <v>1</v>
      </c>
      <c r="B1503" s="75" t="n">
        <v>46230</v>
      </c>
      <c r="C1503" s="75" t="n">
        <v>46230</v>
      </c>
      <c r="D1503" s="76" t="n">
        <v>515</v>
      </c>
      <c r="E1503" s="59" t="inlineStr">
        <is>
          <t>ITAU SA</t>
        </is>
      </c>
      <c r="F1503" s="76" t="n">
        <v>34</v>
      </c>
      <c r="G1503" s="59" t="inlineStr">
        <is>
          <t>Transferencia Pix</t>
        </is>
      </c>
      <c r="H1503" s="76" t="n">
        <v>1110202</v>
      </c>
      <c r="I1503" s="59" t="inlineStr">
        <is>
          <t>BANCO ITAU Lj 01</t>
        </is>
      </c>
      <c r="J1503" s="76" t="n">
        <v>1464704</v>
      </c>
      <c r="L1503" s="76" t="n">
        <v>602111</v>
      </c>
      <c r="M1503" s="59" t="inlineStr">
        <is>
          <t>01</t>
        </is>
      </c>
      <c r="N1503" s="59" t="inlineStr">
        <is>
          <t>AVU</t>
        </is>
      </c>
      <c r="P1503" s="76" t="n">
        <v>102</v>
      </c>
      <c r="Q1503" s="59" t="inlineStr">
        <is>
          <t>ANDREZA ANDRADE</t>
        </is>
      </c>
      <c r="R1503" s="59" t="inlineStr">
        <is>
          <t>DESPESAS FINANCEIRAS</t>
        </is>
      </c>
      <c r="S1503" s="76" t="n">
        <v>4210504</v>
      </c>
      <c r="T1503" s="59" t="inlineStr">
        <is>
          <t>DESPESAS BANCARIAS</t>
        </is>
      </c>
      <c r="U1503" s="77" t="n">
        <v>165</v>
      </c>
      <c r="W1503" s="77" t="n">
        <v>0</v>
      </c>
      <c r="X1503" s="59" t="inlineStr">
        <is>
          <t>TAR CONTR/RENOV CTA GAR ITAU1NV-ANDREZA</t>
        </is>
      </c>
      <c r="Z1503" s="59">
        <f>IF($T1503="","",IFERROR(INDEX('Resumo Grupos'!$AC$3:$AC$200,MATCH($T1503,'Resumo Grupos'!$AB$3:$AB$200,0)),"n/d"))</f>
        <v/>
      </c>
      <c r="AA1503" s="59">
        <f>IF($T1503="","",IF(COUNTIF('Resumo Grupos'!$AE$3:$AE$40,$T1503)&gt;0,"NAO","SIM"))</f>
        <v/>
      </c>
    </row>
    <row r="1504" ht="12.75" customHeight="1" s="60">
      <c r="A1504" s="76" t="n">
        <v>1</v>
      </c>
      <c r="B1504" s="75" t="n">
        <v>46230</v>
      </c>
      <c r="C1504" s="75" t="n">
        <v>46230</v>
      </c>
      <c r="D1504" s="76" t="n">
        <v>515</v>
      </c>
      <c r="E1504" s="59" t="inlineStr">
        <is>
          <t>ITAU SA</t>
        </is>
      </c>
      <c r="F1504" s="76" t="n">
        <v>34</v>
      </c>
      <c r="G1504" s="59" t="inlineStr">
        <is>
          <t>Transferencia Pix</t>
        </is>
      </c>
      <c r="H1504" s="76" t="n">
        <v>1110202</v>
      </c>
      <c r="I1504" s="59" t="inlineStr">
        <is>
          <t>BANCO ITAU Lj 01</t>
        </is>
      </c>
      <c r="J1504" s="76" t="n">
        <v>1464714</v>
      </c>
      <c r="L1504" s="76" t="n">
        <v>602119</v>
      </c>
      <c r="M1504" s="59" t="inlineStr">
        <is>
          <t>01</t>
        </is>
      </c>
      <c r="N1504" s="59" t="inlineStr">
        <is>
          <t>AVU</t>
        </is>
      </c>
      <c r="P1504" s="76" t="n">
        <v>102</v>
      </c>
      <c r="Q1504" s="59" t="inlineStr">
        <is>
          <t>ANDREZA ANDRADE</t>
        </is>
      </c>
      <c r="R1504" s="59" t="inlineStr">
        <is>
          <t>DESPESAS FINANCEIRAS</t>
        </is>
      </c>
      <c r="S1504" s="76" t="n">
        <v>4210502</v>
      </c>
      <c r="T1504" s="59" t="inlineStr">
        <is>
          <t>JUROS S/ EMPRESTIMOS</t>
        </is>
      </c>
      <c r="U1504" s="77" t="n">
        <v>8901</v>
      </c>
      <c r="W1504" s="77" t="n">
        <v>0</v>
      </c>
      <c r="X1504" s="59" t="inlineStr">
        <is>
          <t>JUROS CONTA 608.63511-7 ITAU 1NV-ANDREZA</t>
        </is>
      </c>
      <c r="Z1504" s="59">
        <f>IF($T1504="","",IFERROR(INDEX('Resumo Grupos'!$AC$3:$AC$200,MATCH($T1504,'Resumo Grupos'!$AB$3:$AB$200,0)),"n/d"))</f>
        <v/>
      </c>
      <c r="AA1504" s="59">
        <f>IF($T1504="","",IF(COUNTIF('Resumo Grupos'!$AE$3:$AE$40,$T1504)&gt;0,"NAO","SIM"))</f>
        <v/>
      </c>
    </row>
    <row r="1505" ht="12.75" customHeight="1" s="60">
      <c r="A1505" s="76" t="n">
        <v>1</v>
      </c>
      <c r="B1505" s="75" t="n">
        <v>46148</v>
      </c>
      <c r="C1505" s="75" t="n">
        <v>46231</v>
      </c>
      <c r="D1505" s="76" t="n">
        <v>607</v>
      </c>
      <c r="E1505" s="59" t="inlineStr">
        <is>
          <t>PRIME PET DISTRIBUIDORA LTDA</t>
        </is>
      </c>
      <c r="F1505" s="76" t="n">
        <v>24</v>
      </c>
      <c r="G1505" s="59" t="inlineStr">
        <is>
          <t>Compra a Prazo - Boletos</t>
        </is>
      </c>
      <c r="H1505" s="76" t="n">
        <v>2110101</v>
      </c>
      <c r="I1505" s="59" t="inlineStr">
        <is>
          <t>FORNECEDORES DE MERCADORIA</t>
        </is>
      </c>
      <c r="J1505" s="76" t="n">
        <v>1057743</v>
      </c>
      <c r="L1505" s="76" t="n">
        <v>10336</v>
      </c>
      <c r="M1505" s="59" t="inlineStr">
        <is>
          <t>07</t>
        </is>
      </c>
      <c r="N1505" s="59" t="inlineStr">
        <is>
          <t>NFE</t>
        </is>
      </c>
      <c r="P1505" s="76" t="n">
        <v>103</v>
      </c>
      <c r="Q1505" s="59" t="inlineStr">
        <is>
          <t>MILKA FRANCIS</t>
        </is>
      </c>
      <c r="R1505" s="59" t="inlineStr">
        <is>
          <t>ESTOQUE DE MERCADORIAS</t>
        </is>
      </c>
      <c r="S1505" s="76" t="n">
        <v>1130101</v>
      </c>
      <c r="T1505" s="59" t="inlineStr">
        <is>
          <t>MERCADORIAS P/REVENDA</t>
        </is>
      </c>
      <c r="U1505" s="77" t="n">
        <v>250.35</v>
      </c>
      <c r="W1505" s="77" t="n">
        <v>0</v>
      </c>
      <c r="X1505" s="59" t="inlineStr">
        <is>
          <t>NF 10336 -07 MILKA</t>
        </is>
      </c>
      <c r="Z1505" s="59">
        <f>IF($T1505="","",IFERROR(INDEX('Resumo Grupos'!$AC$3:$AC$200,MATCH($T1505,'Resumo Grupos'!$AB$3:$AB$200,0)),"n/d"))</f>
        <v/>
      </c>
      <c r="AA1505" s="59">
        <f>IF($T1505="","",IF(COUNTIF('Resumo Grupos'!$AE$3:$AE$40,$T1505)&gt;0,"NAO","SIM"))</f>
        <v/>
      </c>
    </row>
    <row r="1506" ht="12.75" customHeight="1" s="60">
      <c r="A1506" s="76" t="n">
        <v>1</v>
      </c>
      <c r="B1506" s="75" t="n">
        <v>46204</v>
      </c>
      <c r="C1506" s="75" t="n">
        <v>46231</v>
      </c>
      <c r="D1506" s="76" t="n">
        <v>1107</v>
      </c>
      <c r="E1506" s="59" t="inlineStr">
        <is>
          <t>OESA COMERCIO E REPRESENTACOES S/A</t>
        </is>
      </c>
      <c r="F1506" s="76" t="n">
        <v>24</v>
      </c>
      <c r="G1506" s="59" t="inlineStr">
        <is>
          <t>Compra a Prazo - Boletos</t>
        </is>
      </c>
      <c r="H1506" s="76" t="n">
        <v>2110101</v>
      </c>
      <c r="I1506" s="59" t="inlineStr">
        <is>
          <t>FORNECEDORES DE MERCADORIA</t>
        </is>
      </c>
      <c r="J1506" s="76" t="n">
        <v>1335361</v>
      </c>
      <c r="L1506" s="76" t="n">
        <v>423615</v>
      </c>
      <c r="M1506" s="59" t="inlineStr">
        <is>
          <t>03</t>
        </is>
      </c>
      <c r="N1506" s="59" t="inlineStr">
        <is>
          <t>NFE</t>
        </is>
      </c>
      <c r="P1506" s="76" t="n">
        <v>103</v>
      </c>
      <c r="Q1506" s="59" t="inlineStr">
        <is>
          <t>MILKA FRANCIS</t>
        </is>
      </c>
      <c r="R1506" s="59" t="inlineStr">
        <is>
          <t>ESTOQUE DE MERCADORIAS</t>
        </is>
      </c>
      <c r="S1506" s="76" t="n">
        <v>1130101</v>
      </c>
      <c r="T1506" s="59" t="inlineStr">
        <is>
          <t>MERCADORIAS P/REVENDA</t>
        </is>
      </c>
      <c r="U1506" s="77" t="n">
        <v>1120.6</v>
      </c>
      <c r="W1506" s="77" t="n">
        <v>0</v>
      </c>
      <c r="X1506" s="59" t="inlineStr">
        <is>
          <t>NF 423615 -3 MILKA</t>
        </is>
      </c>
      <c r="Z1506" s="59">
        <f>IF($T1506="","",IFERROR(INDEX('Resumo Grupos'!$AC$3:$AC$200,MATCH($T1506,'Resumo Grupos'!$AB$3:$AB$200,0)),"n/d"))</f>
        <v/>
      </c>
      <c r="AA1506" s="59">
        <f>IF($T1506="","",IF(COUNTIF('Resumo Grupos'!$AE$3:$AE$40,$T1506)&gt;0,"NAO","SIM"))</f>
        <v/>
      </c>
    </row>
    <row r="1507" ht="12.75" customHeight="1" s="60">
      <c r="A1507" s="76" t="n">
        <v>1</v>
      </c>
      <c r="B1507" s="75" t="n">
        <v>46209</v>
      </c>
      <c r="C1507" s="75" t="n">
        <v>46231</v>
      </c>
      <c r="D1507" s="76" t="n">
        <v>1611</v>
      </c>
      <c r="E1507" s="59" t="inlineStr">
        <is>
          <t>MARTINS COM SERV DISTR SA</t>
        </is>
      </c>
      <c r="F1507" s="76" t="n">
        <v>24</v>
      </c>
      <c r="G1507" s="59" t="inlineStr">
        <is>
          <t>Compra a Prazo - Boletos</t>
        </is>
      </c>
      <c r="H1507" s="76" t="n">
        <v>2110101</v>
      </c>
      <c r="I1507" s="59" t="inlineStr">
        <is>
          <t>FORNECEDORES DE MERCADORIA</t>
        </is>
      </c>
      <c r="J1507" s="76" t="n">
        <v>1360267</v>
      </c>
      <c r="L1507" s="76" t="n">
        <v>561687</v>
      </c>
      <c r="M1507" s="59" t="inlineStr">
        <is>
          <t>02</t>
        </is>
      </c>
      <c r="N1507" s="59" t="inlineStr">
        <is>
          <t>AVU</t>
        </is>
      </c>
      <c r="P1507" s="76" t="n">
        <v>103</v>
      </c>
      <c r="Q1507" s="59" t="inlineStr">
        <is>
          <t>MILKA FRANCIS</t>
        </is>
      </c>
      <c r="R1507" s="59" t="inlineStr">
        <is>
          <t>ESTOQUE DE MERCADORIAS</t>
        </is>
      </c>
      <c r="S1507" s="76" t="n">
        <v>1130101</v>
      </c>
      <c r="T1507" s="59" t="inlineStr">
        <is>
          <t>MERCADORIAS P/REVENDA</t>
        </is>
      </c>
      <c r="U1507" s="77" t="n">
        <v>3184.12</v>
      </c>
      <c r="W1507" s="77" t="n">
        <v>0</v>
      </c>
      <c r="X1507" s="59" t="inlineStr">
        <is>
          <t>18259030 /NF1778370 NF1778371 - 02 MILKA</t>
        </is>
      </c>
      <c r="Z1507" s="59">
        <f>IF($T1507="","",IFERROR(INDEX('Resumo Grupos'!$AC$3:$AC$200,MATCH($T1507,'Resumo Grupos'!$AB$3:$AB$200,0)),"n/d"))</f>
        <v/>
      </c>
      <c r="AA1507" s="59">
        <f>IF($T1507="","",IF(COUNTIF('Resumo Grupos'!$AE$3:$AE$40,$T1507)&gt;0,"NAO","SIM"))</f>
        <v/>
      </c>
    </row>
    <row r="1508" ht="12.75" customHeight="1" s="60">
      <c r="A1508" s="76" t="n">
        <v>1</v>
      </c>
      <c r="B1508" s="75" t="n">
        <v>46210</v>
      </c>
      <c r="C1508" s="75" t="n">
        <v>46231</v>
      </c>
      <c r="D1508" s="76" t="n">
        <v>1402</v>
      </c>
      <c r="E1508" s="59" t="inlineStr">
        <is>
          <t>TRIPLASTIK COMERCIAL</t>
        </is>
      </c>
      <c r="F1508" s="76" t="n">
        <v>24</v>
      </c>
      <c r="G1508" s="59" t="inlineStr">
        <is>
          <t>Compra a Prazo - Boletos</t>
        </is>
      </c>
      <c r="H1508" s="76" t="n">
        <v>2110102</v>
      </c>
      <c r="I1508" s="59" t="inlineStr">
        <is>
          <t>OUTROS FORNECEDORES</t>
        </is>
      </c>
      <c r="J1508" s="76" t="n">
        <v>1366273</v>
      </c>
      <c r="L1508" s="76" t="n">
        <v>3614</v>
      </c>
      <c r="M1508" s="59" t="inlineStr">
        <is>
          <t>01</t>
        </is>
      </c>
      <c r="N1508" s="59" t="inlineStr">
        <is>
          <t>NFE</t>
        </is>
      </c>
      <c r="P1508" s="76" t="n">
        <v>103</v>
      </c>
      <c r="Q1508" s="59" t="inlineStr">
        <is>
          <t>MILKA FRANCIS</t>
        </is>
      </c>
      <c r="R1508" s="59" t="inlineStr">
        <is>
          <t>DESPESAS OPERACIONAIS</t>
        </is>
      </c>
      <c r="S1508" s="76" t="n">
        <v>4210204</v>
      </c>
      <c r="T1508" s="59" t="inlineStr">
        <is>
          <t>MATERIAL DE CONSUMO</t>
        </is>
      </c>
      <c r="U1508" s="77" t="n">
        <v>1208.4</v>
      </c>
      <c r="W1508" s="77" t="n">
        <v>0</v>
      </c>
      <c r="X1508" s="59" t="inlineStr">
        <is>
          <t>NF 3614 DESPESA LOJA MO1 - MILKA</t>
        </is>
      </c>
      <c r="Z1508" s="59">
        <f>IF($T1508="","",IFERROR(INDEX('Resumo Grupos'!$AC$3:$AC$200,MATCH($T1508,'Resumo Grupos'!$AB$3:$AB$200,0)),"n/d"))</f>
        <v/>
      </c>
      <c r="AA1508" s="59">
        <f>IF($T1508="","",IF(COUNTIF('Resumo Grupos'!$AE$3:$AE$40,$T1508)&gt;0,"NAO","SIM"))</f>
        <v/>
      </c>
    </row>
    <row r="1509" ht="12.75" customHeight="1" s="60">
      <c r="A1509" s="76" t="n">
        <v>1</v>
      </c>
      <c r="B1509" s="75" t="n">
        <v>46230</v>
      </c>
      <c r="C1509" s="75" t="n">
        <v>46231</v>
      </c>
      <c r="D1509" s="76" t="n">
        <v>218</v>
      </c>
      <c r="E1509" s="59" t="inlineStr">
        <is>
          <t>RENATO DE O AZEVEDO E CIA LTDA</t>
        </is>
      </c>
      <c r="F1509" s="76" t="n">
        <v>34</v>
      </c>
      <c r="G1509" s="59" t="inlineStr">
        <is>
          <t>Transferencia Pix</t>
        </is>
      </c>
      <c r="H1509" s="76" t="n">
        <v>1110202</v>
      </c>
      <c r="I1509" s="59" t="inlineStr">
        <is>
          <t>BANCO ITAU Lj 01</t>
        </is>
      </c>
      <c r="J1509" s="76" t="n">
        <v>1459593</v>
      </c>
      <c r="L1509" s="76" t="n">
        <v>600407</v>
      </c>
      <c r="M1509" s="59" t="inlineStr">
        <is>
          <t>01</t>
        </is>
      </c>
      <c r="N1509" s="59" t="inlineStr">
        <is>
          <t>AVU</t>
        </is>
      </c>
      <c r="P1509" s="76" t="n">
        <v>101</v>
      </c>
      <c r="Q1509" s="59" t="inlineStr">
        <is>
          <t>KEILA LIMA</t>
        </is>
      </c>
      <c r="R1509" s="59" t="inlineStr">
        <is>
          <t>DESPESAS COM PESSOAL</t>
        </is>
      </c>
      <c r="S1509" s="76" t="n">
        <v>4210301</v>
      </c>
      <c r="T1509" s="59" t="inlineStr">
        <is>
          <t>SALARIOS</t>
        </is>
      </c>
      <c r="U1509" s="77" t="n">
        <v>3910.01</v>
      </c>
      <c r="W1509" s="77" t="n">
        <v>0</v>
      </c>
      <c r="X1509" s="59" t="inlineStr">
        <is>
          <t>CONVENIO MO1 DROG 03/26 - KEILA</t>
        </is>
      </c>
      <c r="Z1509" s="59">
        <f>IF($T1509="","",IFERROR(INDEX('Resumo Grupos'!$AC$3:$AC$200,MATCH($T1509,'Resumo Grupos'!$AB$3:$AB$200,0)),"n/d"))</f>
        <v/>
      </c>
      <c r="AA1509" s="59">
        <f>IF($T1509="","",IF(COUNTIF('Resumo Grupos'!$AE$3:$AE$40,$T1509)&gt;0,"NAO","SIM"))</f>
        <v/>
      </c>
    </row>
    <row r="1510" ht="12.75" customHeight="1" s="60">
      <c r="A1510" s="76" t="n">
        <v>1</v>
      </c>
      <c r="B1510" s="75" t="n">
        <v>46210</v>
      </c>
      <c r="C1510" s="75" t="n">
        <v>46231</v>
      </c>
      <c r="D1510" s="76" t="n">
        <v>666</v>
      </c>
      <c r="E1510" s="59" t="inlineStr">
        <is>
          <t>NSB COMERCIO ATACADISTA E VAREJISTA DE P</t>
        </is>
      </c>
      <c r="F1510" s="76" t="n">
        <v>24</v>
      </c>
      <c r="G1510" s="59" t="inlineStr">
        <is>
          <t>Compra a Prazo - Boletos</t>
        </is>
      </c>
      <c r="H1510" s="76" t="n">
        <v>2110101</v>
      </c>
      <c r="I1510" s="59" t="inlineStr">
        <is>
          <t>FORNECEDORES DE MERCADORIA</t>
        </is>
      </c>
      <c r="J1510" s="76" t="n">
        <v>1366430</v>
      </c>
      <c r="L1510" s="76" t="n">
        <v>7876</v>
      </c>
      <c r="M1510" s="59" t="inlineStr">
        <is>
          <t>03</t>
        </is>
      </c>
      <c r="N1510" s="59" t="inlineStr">
        <is>
          <t>NFE</t>
        </is>
      </c>
      <c r="P1510" s="76" t="n">
        <v>103</v>
      </c>
      <c r="Q1510" s="59" t="inlineStr">
        <is>
          <t>MILKA FRANCIS</t>
        </is>
      </c>
      <c r="R1510" s="59" t="inlineStr">
        <is>
          <t>ESTOQUE DE MERCADORIAS</t>
        </is>
      </c>
      <c r="S1510" s="76" t="n">
        <v>1130101</v>
      </c>
      <c r="T1510" s="59" t="inlineStr">
        <is>
          <t>MERCADORIAS P/REVENDA</t>
        </is>
      </c>
      <c r="U1510" s="77" t="n">
        <v>287.8</v>
      </c>
      <c r="W1510" s="77" t="n">
        <v>0</v>
      </c>
      <c r="X1510" s="59" t="inlineStr">
        <is>
          <t>192333643  NF7876 - MILKA</t>
        </is>
      </c>
      <c r="Z1510" s="59">
        <f>IF($T1510="","",IFERROR(INDEX('Resumo Grupos'!$AC$3:$AC$200,MATCH($T1510,'Resumo Grupos'!$AB$3:$AB$200,0)),"n/d"))</f>
        <v/>
      </c>
      <c r="AA1510" s="59">
        <f>IF($T1510="","",IF(COUNTIF('Resumo Grupos'!$AE$3:$AE$40,$T1510)&gt;0,"NAO","SIM"))</f>
        <v/>
      </c>
    </row>
    <row r="1511" ht="12.75" customHeight="1" s="60">
      <c r="A1511" s="76" t="n">
        <v>1</v>
      </c>
      <c r="B1511" s="75" t="n">
        <v>46224</v>
      </c>
      <c r="C1511" s="75" t="n">
        <v>46231</v>
      </c>
      <c r="D1511" s="76" t="n">
        <v>1642</v>
      </c>
      <c r="E1511" s="59" t="inlineStr">
        <is>
          <t>BROTHERS  INDUSTRIA DE ALIMENTOS LTDA</t>
        </is>
      </c>
      <c r="F1511" s="76" t="n">
        <v>24</v>
      </c>
      <c r="G1511" s="59" t="inlineStr">
        <is>
          <t>Compra a Prazo - Boletos</t>
        </is>
      </c>
      <c r="H1511" s="76" t="n">
        <v>1110202</v>
      </c>
      <c r="I1511" s="59" t="inlineStr">
        <is>
          <t>BANCO ITAU Lj 01</t>
        </is>
      </c>
      <c r="J1511" s="76" t="n">
        <v>1431092</v>
      </c>
      <c r="L1511" s="76" t="n">
        <v>1032774</v>
      </c>
      <c r="M1511" s="59" t="inlineStr">
        <is>
          <t>01</t>
        </is>
      </c>
      <c r="N1511" s="59" t="inlineStr">
        <is>
          <t>AVU</t>
        </is>
      </c>
      <c r="P1511" s="76" t="n">
        <v>103</v>
      </c>
      <c r="Q1511" s="59" t="inlineStr">
        <is>
          <t>MILKA FRANCIS</t>
        </is>
      </c>
      <c r="R1511" s="59" t="inlineStr">
        <is>
          <t>ESTOQUE DE MERCADORIAS</t>
        </is>
      </c>
      <c r="S1511" s="76" t="n">
        <v>1130101</v>
      </c>
      <c r="T1511" s="59" t="inlineStr">
        <is>
          <t>MERCADORIAS P/REVENDA</t>
        </is>
      </c>
      <c r="U1511" s="77" t="n">
        <v>538.17</v>
      </c>
      <c r="W1511" s="77" t="n">
        <v>0</v>
      </c>
      <c r="X1511" s="59" t="inlineStr">
        <is>
          <t>NF 1032774 - MILKA</t>
        </is>
      </c>
      <c r="Z1511" s="59">
        <f>IF($T1511="","",IFERROR(INDEX('Resumo Grupos'!$AC$3:$AC$200,MATCH($T1511,'Resumo Grupos'!$AB$3:$AB$200,0)),"n/d"))</f>
        <v/>
      </c>
      <c r="AA1511" s="59">
        <f>IF($T1511="","",IF(COUNTIF('Resumo Grupos'!$AE$3:$AE$40,$T1511)&gt;0,"NAO","SIM"))</f>
        <v/>
      </c>
    </row>
    <row r="1512" ht="12.75" customHeight="1" s="60">
      <c r="A1512" s="76" t="n">
        <v>1</v>
      </c>
      <c r="B1512" s="75" t="n">
        <v>46226</v>
      </c>
      <c r="C1512" s="75" t="n">
        <v>46231</v>
      </c>
      <c r="D1512" s="76" t="n">
        <v>1286</v>
      </c>
      <c r="E1512" s="59" t="inlineStr">
        <is>
          <t>VITAPAN COMERCIO VAREJISTA DE PRODUTOS ALIMENTICIOS LTDA</t>
        </is>
      </c>
      <c r="F1512" s="76" t="n">
        <v>24</v>
      </c>
      <c r="G1512" s="59" t="inlineStr">
        <is>
          <t>Compra a Prazo - Boletos</t>
        </is>
      </c>
      <c r="H1512" s="76" t="n">
        <v>1110202</v>
      </c>
      <c r="I1512" s="59" t="inlineStr">
        <is>
          <t>BANCO ITAU Lj 01</t>
        </is>
      </c>
      <c r="J1512" s="76" t="n">
        <v>1439224</v>
      </c>
      <c r="L1512" s="76" t="n">
        <v>10372</v>
      </c>
      <c r="M1512" s="59" t="inlineStr">
        <is>
          <t>01</t>
        </is>
      </c>
      <c r="N1512" s="59" t="inlineStr">
        <is>
          <t>AVU</t>
        </is>
      </c>
      <c r="P1512" s="76" t="n">
        <v>103</v>
      </c>
      <c r="Q1512" s="59" t="inlineStr">
        <is>
          <t>MILKA FRANCIS</t>
        </is>
      </c>
      <c r="R1512" s="59" t="inlineStr">
        <is>
          <t>ESTOQUE DE MERCADORIAS</t>
        </is>
      </c>
      <c r="S1512" s="76" t="n">
        <v>1130101</v>
      </c>
      <c r="T1512" s="59" t="inlineStr">
        <is>
          <t>MERCADORIAS P/REVENDA</t>
        </is>
      </c>
      <c r="U1512" s="77" t="n">
        <v>702</v>
      </c>
      <c r="W1512" s="77" t="n">
        <v>0</v>
      </c>
      <c r="X1512" s="59" t="inlineStr">
        <is>
          <t>NF 10372 - MILKA</t>
        </is>
      </c>
      <c r="Z1512" s="59">
        <f>IF($T1512="","",IFERROR(INDEX('Resumo Grupos'!$AC$3:$AC$200,MATCH($T1512,'Resumo Grupos'!$AB$3:$AB$200,0)),"n/d"))</f>
        <v/>
      </c>
      <c r="AA1512" s="59">
        <f>IF($T1512="","",IF(COUNTIF('Resumo Grupos'!$AE$3:$AE$40,$T1512)&gt;0,"NAO","SIM"))</f>
        <v/>
      </c>
    </row>
    <row r="1513" ht="12.75" customHeight="1" s="60">
      <c r="A1513" s="76" t="n">
        <v>1</v>
      </c>
      <c r="B1513" s="75" t="n">
        <v>46231</v>
      </c>
      <c r="C1513" s="75" t="n">
        <v>46231</v>
      </c>
      <c r="D1513" s="76" t="n">
        <v>33</v>
      </c>
      <c r="E1513" s="59" t="inlineStr">
        <is>
          <t>RENATO DE O AZEVEDO E CIA LTDA - EPP</t>
        </is>
      </c>
      <c r="F1513" s="76" t="n">
        <v>13</v>
      </c>
      <c r="G1513" s="59" t="inlineStr">
        <is>
          <t>Compra a Vista</t>
        </is>
      </c>
      <c r="H1513" s="76" t="n">
        <v>2110101</v>
      </c>
      <c r="I1513" s="59" t="inlineStr">
        <is>
          <t>FORNECEDORES DE MERCADORIA</t>
        </is>
      </c>
      <c r="J1513" s="76" t="n">
        <v>1463541</v>
      </c>
      <c r="L1513" s="76" t="n">
        <v>5359</v>
      </c>
      <c r="M1513" s="59" t="inlineStr">
        <is>
          <t>01</t>
        </is>
      </c>
      <c r="N1513" s="59" t="inlineStr">
        <is>
          <t>NFE</t>
        </is>
      </c>
      <c r="P1513" s="76" t="n">
        <v>104</v>
      </c>
      <c r="Q1513" s="59" t="inlineStr">
        <is>
          <t>DEBORA COSTA</t>
        </is>
      </c>
      <c r="R1513" s="59" t="inlineStr">
        <is>
          <t>ESTOQUE DE MERCADORIAS</t>
        </is>
      </c>
      <c r="S1513" s="76" t="n">
        <v>1130101</v>
      </c>
      <c r="T1513" s="59" t="inlineStr">
        <is>
          <t>MERCADORIAS P/REVENDA</t>
        </is>
      </c>
      <c r="U1513" s="77" t="n">
        <v>280</v>
      </c>
      <c r="W1513" s="77" t="n">
        <v>280</v>
      </c>
      <c r="X1513" s="59" t="inlineStr">
        <is>
          <t>ACAI DE ANORI - 15/07 - DEBORA</t>
        </is>
      </c>
      <c r="Z1513" s="59">
        <f>IF($T1513="","",IFERROR(INDEX('Resumo Grupos'!$AC$3:$AC$200,MATCH($T1513,'Resumo Grupos'!$AB$3:$AB$200,0)),"n/d"))</f>
        <v/>
      </c>
      <c r="AA1513" s="59">
        <f>IF($T1513="","",IF(COUNTIF('Resumo Grupos'!$AE$3:$AE$40,$T1513)&gt;0,"NAO","SIM"))</f>
        <v/>
      </c>
    </row>
    <row r="1514" ht="12.75" customHeight="1" s="60">
      <c r="A1514" s="76" t="n">
        <v>1</v>
      </c>
      <c r="B1514" s="75" t="n">
        <v>46227</v>
      </c>
      <c r="C1514" s="75" t="n">
        <v>46231</v>
      </c>
      <c r="D1514" s="76" t="n">
        <v>10018</v>
      </c>
      <c r="E1514" s="59" t="inlineStr">
        <is>
          <t>ADRIANO FEITOSA OLIVEIRA LTDA</t>
        </is>
      </c>
      <c r="F1514" s="76" t="n">
        <v>34</v>
      </c>
      <c r="G1514" s="59" t="inlineStr">
        <is>
          <t>Transferencia Pix</t>
        </is>
      </c>
      <c r="H1514" s="76" t="n">
        <v>1110202</v>
      </c>
      <c r="I1514" s="59" t="inlineStr">
        <is>
          <t>BANCO ITAU Lj 01</t>
        </is>
      </c>
      <c r="J1514" s="76" t="n">
        <v>1445269</v>
      </c>
      <c r="L1514" s="76" t="n">
        <v>343</v>
      </c>
      <c r="M1514" s="59" t="inlineStr">
        <is>
          <t>01</t>
        </is>
      </c>
      <c r="N1514" s="59" t="inlineStr">
        <is>
          <t>AVU</t>
        </is>
      </c>
      <c r="P1514" s="76" t="n">
        <v>103</v>
      </c>
      <c r="Q1514" s="59" t="inlineStr">
        <is>
          <t>MILKA FRANCIS</t>
        </is>
      </c>
      <c r="R1514" s="59" t="inlineStr">
        <is>
          <t>ESTOQUE DE MERCADORIAS</t>
        </is>
      </c>
      <c r="S1514" s="76" t="n">
        <v>1130101</v>
      </c>
      <c r="T1514" s="59" t="inlineStr">
        <is>
          <t>MERCADORIAS P/REVENDA</t>
        </is>
      </c>
      <c r="U1514" s="77" t="n">
        <v>2119</v>
      </c>
      <c r="W1514" s="77" t="n">
        <v>0</v>
      </c>
      <c r="X1514" s="59" t="inlineStr">
        <is>
          <t>NF 343 - PGTO NO PIX P/ DISTRIB. OLIVEIRA - MILKA</t>
        </is>
      </c>
      <c r="Z1514" s="59">
        <f>IF($T1514="","",IFERROR(INDEX('Resumo Grupos'!$AC$3:$AC$200,MATCH($T1514,'Resumo Grupos'!$AB$3:$AB$200,0)),"n/d"))</f>
        <v/>
      </c>
      <c r="AA1514" s="59">
        <f>IF($T1514="","",IF(COUNTIF('Resumo Grupos'!$AE$3:$AE$40,$T1514)&gt;0,"NAO","SIM"))</f>
        <v/>
      </c>
    </row>
    <row r="1515" ht="12.75" customHeight="1" s="60">
      <c r="A1515" s="76" t="n">
        <v>1</v>
      </c>
      <c r="B1515" s="75" t="n">
        <v>46228</v>
      </c>
      <c r="C1515" s="75" t="n">
        <v>46231</v>
      </c>
      <c r="D1515" s="76" t="n">
        <v>642</v>
      </c>
      <c r="E1515" s="59" t="inlineStr">
        <is>
          <t>ADICSO FABIAN GONZALEZ MONTILLA 70302186</t>
        </is>
      </c>
      <c r="F1515" s="76" t="n">
        <v>24</v>
      </c>
      <c r="G1515" s="59" t="inlineStr">
        <is>
          <t>Compra a Prazo - Boletos</t>
        </is>
      </c>
      <c r="H1515" s="76" t="n">
        <v>1110202</v>
      </c>
      <c r="I1515" s="59" t="inlineStr">
        <is>
          <t>BANCO ITAU Lj 01</t>
        </is>
      </c>
      <c r="J1515" s="76" t="n">
        <v>1448602</v>
      </c>
      <c r="L1515" s="76" t="n">
        <v>543</v>
      </c>
      <c r="M1515" s="59" t="inlineStr">
        <is>
          <t>01</t>
        </is>
      </c>
      <c r="N1515" s="59" t="inlineStr">
        <is>
          <t>AVU</t>
        </is>
      </c>
      <c r="P1515" s="76" t="n">
        <v>103</v>
      </c>
      <c r="Q1515" s="59" t="inlineStr">
        <is>
          <t>MILKA FRANCIS</t>
        </is>
      </c>
      <c r="R1515" s="59" t="inlineStr">
        <is>
          <t>ESTOQUE DE MERCADORIAS</t>
        </is>
      </c>
      <c r="S1515" s="76" t="n">
        <v>1130101</v>
      </c>
      <c r="T1515" s="59" t="inlineStr">
        <is>
          <t>MERCADORIAS P/REVENDA</t>
        </is>
      </c>
      <c r="U1515" s="77" t="n">
        <v>792</v>
      </c>
      <c r="W1515" s="77" t="n">
        <v>0</v>
      </c>
      <c r="X1515" s="59" t="inlineStr">
        <is>
          <t>NF 543 BLOOM - MILKA</t>
        </is>
      </c>
      <c r="Z1515" s="59">
        <f>IF($T1515="","",IFERROR(INDEX('Resumo Grupos'!$AC$3:$AC$200,MATCH($T1515,'Resumo Grupos'!$AB$3:$AB$200,0)),"n/d"))</f>
        <v/>
      </c>
      <c r="AA1515" s="59">
        <f>IF($T1515="","",IF(COUNTIF('Resumo Grupos'!$AE$3:$AE$40,$T1515)&gt;0,"NAO","SIM"))</f>
        <v/>
      </c>
    </row>
    <row r="1516" ht="12.75" customHeight="1" s="60">
      <c r="A1516" s="76" t="n">
        <v>1</v>
      </c>
      <c r="B1516" s="75" t="n">
        <v>46228</v>
      </c>
      <c r="C1516" s="75" t="n">
        <v>46231</v>
      </c>
      <c r="D1516" s="76" t="n">
        <v>515</v>
      </c>
      <c r="E1516" s="59" t="inlineStr">
        <is>
          <t>ITAU SA</t>
        </is>
      </c>
      <c r="F1516" s="76" t="n">
        <v>34</v>
      </c>
      <c r="G1516" s="59" t="inlineStr">
        <is>
          <t>Transferencia Pix</t>
        </is>
      </c>
      <c r="H1516" s="76" t="n">
        <v>1110202</v>
      </c>
      <c r="I1516" s="59" t="inlineStr">
        <is>
          <t>BANCO ITAU Lj 01</t>
        </is>
      </c>
      <c r="J1516" s="76" t="n">
        <v>1449535</v>
      </c>
      <c r="L1516" s="76" t="n">
        <v>596258</v>
      </c>
      <c r="M1516" s="59" t="inlineStr">
        <is>
          <t>01</t>
        </is>
      </c>
      <c r="N1516" s="59" t="inlineStr">
        <is>
          <t>AVU</t>
        </is>
      </c>
      <c r="P1516" s="76" t="n">
        <v>101</v>
      </c>
      <c r="Q1516" s="59" t="inlineStr">
        <is>
          <t>KEILA LIMA</t>
        </is>
      </c>
      <c r="R1516" s="59" t="inlineStr">
        <is>
          <t>DESPESAS NAO OPERACIONAIS</t>
        </is>
      </c>
      <c r="S1516" s="76" t="n">
        <v>4220199</v>
      </c>
      <c r="T1516" s="59" t="inlineStr">
        <is>
          <t>PAGAMENTOS OUTROS NAO OPERACIONAIS</t>
        </is>
      </c>
      <c r="U1516" s="77" t="n">
        <v>3853.23</v>
      </c>
      <c r="W1516" s="77" t="n">
        <v>0</v>
      </c>
      <c r="X1516" s="59" t="inlineStr">
        <is>
          <t xml:space="preserve">NAO SOMAR PARC 17/36 PL ROGER E RENATO </t>
        </is>
      </c>
      <c r="Z1516" s="59">
        <f>IF($T1516="","",IFERROR(INDEX('Resumo Grupos'!$AC$3:$AC$200,MATCH($T1516,'Resumo Grupos'!$AB$3:$AB$200,0)),"n/d"))</f>
        <v/>
      </c>
      <c r="AA1516" s="59">
        <f>IF($T1516="","",IF(COUNTIF('Resumo Grupos'!$AE$3:$AE$40,$T1516)&gt;0,"NAO","SIM"))</f>
        <v/>
      </c>
    </row>
    <row r="1517" ht="12.75" customHeight="1" s="60">
      <c r="A1517" s="76" t="n">
        <v>1</v>
      </c>
      <c r="B1517" s="75" t="n">
        <v>46228</v>
      </c>
      <c r="C1517" s="75" t="n">
        <v>46231</v>
      </c>
      <c r="D1517" s="76" t="n">
        <v>1899</v>
      </c>
      <c r="E1517" s="59" t="inlineStr">
        <is>
          <t>PANIFICADORA E CONFEITARIA REAL MADRI LTDA</t>
        </is>
      </c>
      <c r="F1517" s="76" t="n">
        <v>24</v>
      </c>
      <c r="G1517" s="59" t="inlineStr">
        <is>
          <t>Compra a Prazo - Boletos</t>
        </is>
      </c>
      <c r="H1517" s="76" t="n">
        <v>1110202</v>
      </c>
      <c r="I1517" s="59" t="inlineStr">
        <is>
          <t>BANCO ITAU Lj 01</t>
        </is>
      </c>
      <c r="J1517" s="76" t="n">
        <v>1450095</v>
      </c>
      <c r="L1517" s="76" t="n">
        <v>732</v>
      </c>
      <c r="M1517" s="59" t="inlineStr">
        <is>
          <t>01</t>
        </is>
      </c>
      <c r="N1517" s="59" t="inlineStr">
        <is>
          <t>AVU</t>
        </is>
      </c>
      <c r="P1517" s="76" t="n">
        <v>103</v>
      </c>
      <c r="Q1517" s="59" t="inlineStr">
        <is>
          <t>MILKA FRANCIS</t>
        </is>
      </c>
      <c r="R1517" s="59" t="inlineStr">
        <is>
          <t>ESTOQUE DE MERCADORIAS</t>
        </is>
      </c>
      <c r="S1517" s="76" t="n">
        <v>1130101</v>
      </c>
      <c r="T1517" s="59" t="inlineStr">
        <is>
          <t>MERCADORIAS P/REVENDA</t>
        </is>
      </c>
      <c r="U1517" s="77" t="n">
        <v>498.96</v>
      </c>
      <c r="W1517" s="77" t="n">
        <v>0</v>
      </c>
      <c r="X1517" s="59" t="inlineStr">
        <is>
          <t>NF 732 - MILKA</t>
        </is>
      </c>
      <c r="Z1517" s="59">
        <f>IF($T1517="","",IFERROR(INDEX('Resumo Grupos'!$AC$3:$AC$200,MATCH($T1517,'Resumo Grupos'!$AB$3:$AB$200,0)),"n/d"))</f>
        <v/>
      </c>
      <c r="AA1517" s="59">
        <f>IF($T1517="","",IF(COUNTIF('Resumo Grupos'!$AE$3:$AE$40,$T1517)&gt;0,"NAO","SIM"))</f>
        <v/>
      </c>
    </row>
    <row r="1518" ht="12.75" customHeight="1" s="60">
      <c r="A1518" s="76" t="n">
        <v>1</v>
      </c>
      <c r="B1518" s="75" t="n">
        <v>46231</v>
      </c>
      <c r="C1518" s="75" t="n">
        <v>46231</v>
      </c>
      <c r="D1518" s="76" t="n">
        <v>1000001</v>
      </c>
      <c r="E1518" s="59" t="inlineStr">
        <is>
          <t>CISS CONSULTORIA EM INFORMATICA, SERVICOS E SOFTWARE S/A</t>
        </is>
      </c>
      <c r="F1518" s="76" t="n">
        <v>24</v>
      </c>
      <c r="G1518" s="59" t="inlineStr">
        <is>
          <t>Compra a Prazo - Boletos</t>
        </is>
      </c>
      <c r="H1518" s="76" t="n">
        <v>2110405</v>
      </c>
      <c r="I1518" s="59" t="inlineStr">
        <is>
          <t>CONTAS A PAGAR</t>
        </is>
      </c>
      <c r="J1518" s="76" t="n">
        <v>1463045</v>
      </c>
      <c r="L1518" s="76" t="n">
        <v>601783</v>
      </c>
      <c r="M1518" s="59" t="inlineStr">
        <is>
          <t>01</t>
        </is>
      </c>
      <c r="N1518" s="59" t="inlineStr">
        <is>
          <t>AVU</t>
        </is>
      </c>
      <c r="P1518" s="76" t="n">
        <v>102</v>
      </c>
      <c r="Q1518" s="59" t="inlineStr">
        <is>
          <t>ANDREZA ANDRADE</t>
        </is>
      </c>
      <c r="R1518" s="59" t="inlineStr">
        <is>
          <t>DESPESAS NAO OPERACIONAIS</t>
        </is>
      </c>
      <c r="S1518" s="76" t="n">
        <v>4220199</v>
      </c>
      <c r="T1518" s="59" t="inlineStr">
        <is>
          <t>PAGAMENTOS OUTROS NAO OPERACIONAIS</t>
        </is>
      </c>
      <c r="U1518" s="77" t="n">
        <v>1300</v>
      </c>
      <c r="W1518" s="77" t="n">
        <v>0</v>
      </c>
      <c r="X1518" s="59" t="inlineStr">
        <is>
          <t>mensalidade sistema ciss lojas -andreza</t>
        </is>
      </c>
      <c r="Z1518" s="59">
        <f>IF($T1518="","",IFERROR(INDEX('Resumo Grupos'!$AC$3:$AC$200,MATCH($T1518,'Resumo Grupos'!$AB$3:$AB$200,0)),"n/d"))</f>
        <v/>
      </c>
      <c r="AA1518" s="59">
        <f>IF($T1518="","",IF(COUNTIF('Resumo Grupos'!$AE$3:$AE$40,$T1518)&gt;0,"NAO","SIM"))</f>
        <v/>
      </c>
    </row>
    <row r="1519" ht="12.75" customHeight="1" s="60">
      <c r="A1519" s="76" t="n">
        <v>1</v>
      </c>
      <c r="B1519" s="75" t="n">
        <v>46231</v>
      </c>
      <c r="C1519" s="75" t="n">
        <v>46231</v>
      </c>
      <c r="D1519" s="76" t="n">
        <v>33</v>
      </c>
      <c r="E1519" s="59" t="inlineStr">
        <is>
          <t>RENATO DE O AZEVEDO E CIA LTDA - EPP</t>
        </is>
      </c>
      <c r="F1519" s="76" t="n">
        <v>13</v>
      </c>
      <c r="G1519" s="59" t="inlineStr">
        <is>
          <t>Compra a Vista</t>
        </is>
      </c>
      <c r="H1519" s="76" t="n">
        <v>2110101</v>
      </c>
      <c r="I1519" s="59" t="inlineStr">
        <is>
          <t>FORNECEDORES DE MERCADORIA</t>
        </is>
      </c>
      <c r="J1519" s="76" t="n">
        <v>1463447</v>
      </c>
      <c r="L1519" s="76" t="n">
        <v>5356</v>
      </c>
      <c r="M1519" s="59" t="inlineStr">
        <is>
          <t>01</t>
        </is>
      </c>
      <c r="N1519" s="59" t="inlineStr">
        <is>
          <t>NFE</t>
        </is>
      </c>
      <c r="P1519" s="76" t="n">
        <v>104</v>
      </c>
      <c r="Q1519" s="59" t="inlineStr">
        <is>
          <t>DEBORA COSTA</t>
        </is>
      </c>
      <c r="R1519" s="59" t="inlineStr">
        <is>
          <t>ESTOQUE DE MERCADORIAS</t>
        </is>
      </c>
      <c r="S1519" s="76" t="n">
        <v>1130101</v>
      </c>
      <c r="T1519" s="59" t="inlineStr">
        <is>
          <t>MERCADORIAS P/REVENDA</t>
        </is>
      </c>
      <c r="U1519" s="77" t="n">
        <v>350</v>
      </c>
      <c r="W1519" s="77" t="n">
        <v>350</v>
      </c>
      <c r="X1519" s="59" t="inlineStr">
        <is>
          <t>ACAI DE ANORI - 10/07 - DEBORA</t>
        </is>
      </c>
      <c r="Z1519" s="59">
        <f>IF($T1519="","",IFERROR(INDEX('Resumo Grupos'!$AC$3:$AC$200,MATCH($T1519,'Resumo Grupos'!$AB$3:$AB$200,0)),"n/d"))</f>
        <v/>
      </c>
      <c r="AA1519" s="59">
        <f>IF($T1519="","",IF(COUNTIF('Resumo Grupos'!$AE$3:$AE$40,$T1519)&gt;0,"NAO","SIM"))</f>
        <v/>
      </c>
    </row>
    <row r="1520" ht="12.75" customHeight="1" s="60">
      <c r="A1520" s="76" t="n">
        <v>1</v>
      </c>
      <c r="B1520" s="75" t="n">
        <v>46231</v>
      </c>
      <c r="C1520" s="75" t="n">
        <v>46231</v>
      </c>
      <c r="D1520" s="76" t="n">
        <v>33</v>
      </c>
      <c r="E1520" s="59" t="inlineStr">
        <is>
          <t>RENATO DE O AZEVEDO E CIA LTDA - EPP</t>
        </is>
      </c>
      <c r="F1520" s="76" t="n">
        <v>13</v>
      </c>
      <c r="G1520" s="59" t="inlineStr">
        <is>
          <t>Compra a Vista</t>
        </is>
      </c>
      <c r="H1520" s="76" t="n">
        <v>2110101</v>
      </c>
      <c r="I1520" s="59" t="inlineStr">
        <is>
          <t>FORNECEDORES DE MERCADORIA</t>
        </is>
      </c>
      <c r="J1520" s="76" t="n">
        <v>1463473</v>
      </c>
      <c r="L1520" s="76" t="n">
        <v>5357</v>
      </c>
      <c r="M1520" s="59" t="inlineStr">
        <is>
          <t>01</t>
        </is>
      </c>
      <c r="N1520" s="59" t="inlineStr">
        <is>
          <t>NFE</t>
        </is>
      </c>
      <c r="P1520" s="76" t="n">
        <v>104</v>
      </c>
      <c r="Q1520" s="59" t="inlineStr">
        <is>
          <t>DEBORA COSTA</t>
        </is>
      </c>
      <c r="R1520" s="59" t="inlineStr">
        <is>
          <t>ESTOQUE DE MERCADORIAS</t>
        </is>
      </c>
      <c r="S1520" s="76" t="n">
        <v>1130101</v>
      </c>
      <c r="T1520" s="59" t="inlineStr">
        <is>
          <t>MERCADORIAS P/REVENDA</t>
        </is>
      </c>
      <c r="U1520" s="77" t="n">
        <v>560</v>
      </c>
      <c r="W1520" s="77" t="n">
        <v>560</v>
      </c>
      <c r="X1520" s="59" t="inlineStr">
        <is>
          <t>ACAI DE ANORI - 11/07 - DEBORA</t>
        </is>
      </c>
      <c r="Z1520" s="59">
        <f>IF($T1520="","",IFERROR(INDEX('Resumo Grupos'!$AC$3:$AC$200,MATCH($T1520,'Resumo Grupos'!$AB$3:$AB$200,0)),"n/d"))</f>
        <v/>
      </c>
      <c r="AA1520" s="59">
        <f>IF($T1520="","",IF(COUNTIF('Resumo Grupos'!$AE$3:$AE$40,$T1520)&gt;0,"NAO","SIM"))</f>
        <v/>
      </c>
    </row>
    <row r="1521" ht="12.75" customHeight="1" s="60">
      <c r="A1521" s="76" t="n">
        <v>1</v>
      </c>
      <c r="B1521" s="75" t="n">
        <v>46231</v>
      </c>
      <c r="C1521" s="75" t="n">
        <v>46231</v>
      </c>
      <c r="D1521" s="76" t="n">
        <v>33</v>
      </c>
      <c r="E1521" s="59" t="inlineStr">
        <is>
          <t>RENATO DE O AZEVEDO E CIA LTDA - EPP</t>
        </is>
      </c>
      <c r="F1521" s="76" t="n">
        <v>13</v>
      </c>
      <c r="G1521" s="59" t="inlineStr">
        <is>
          <t>Compra a Vista</t>
        </is>
      </c>
      <c r="H1521" s="76" t="n">
        <v>2110101</v>
      </c>
      <c r="I1521" s="59" t="inlineStr">
        <is>
          <t>FORNECEDORES DE MERCADORIA</t>
        </is>
      </c>
      <c r="J1521" s="76" t="n">
        <v>1463504</v>
      </c>
      <c r="L1521" s="76" t="n">
        <v>5358</v>
      </c>
      <c r="M1521" s="59" t="inlineStr">
        <is>
          <t>01</t>
        </is>
      </c>
      <c r="N1521" s="59" t="inlineStr">
        <is>
          <t>NFE</t>
        </is>
      </c>
      <c r="P1521" s="76" t="n">
        <v>104</v>
      </c>
      <c r="Q1521" s="59" t="inlineStr">
        <is>
          <t>DEBORA COSTA</t>
        </is>
      </c>
      <c r="R1521" s="59" t="inlineStr">
        <is>
          <t>ESTOQUE DE MERCADORIAS</t>
        </is>
      </c>
      <c r="S1521" s="76" t="n">
        <v>1130101</v>
      </c>
      <c r="T1521" s="59" t="inlineStr">
        <is>
          <t>MERCADORIAS P/REVENDA</t>
        </is>
      </c>
      <c r="U1521" s="77" t="n">
        <v>280</v>
      </c>
      <c r="W1521" s="77" t="n">
        <v>280</v>
      </c>
      <c r="X1521" s="59" t="inlineStr">
        <is>
          <t>ACAI DE ANORI - 14/07 - DEBORA</t>
        </is>
      </c>
      <c r="Z1521" s="59">
        <f>IF($T1521="","",IFERROR(INDEX('Resumo Grupos'!$AC$3:$AC$200,MATCH($T1521,'Resumo Grupos'!$AB$3:$AB$200,0)),"n/d"))</f>
        <v/>
      </c>
      <c r="AA1521" s="59">
        <f>IF($T1521="","",IF(COUNTIF('Resumo Grupos'!$AE$3:$AE$40,$T1521)&gt;0,"NAO","SIM"))</f>
        <v/>
      </c>
    </row>
    <row r="1522" ht="12.75" customHeight="1" s="60">
      <c r="A1522" s="76" t="n">
        <v>1</v>
      </c>
      <c r="B1522" s="75" t="n">
        <v>46231</v>
      </c>
      <c r="C1522" s="75" t="n">
        <v>46231</v>
      </c>
      <c r="D1522" s="76" t="n">
        <v>33</v>
      </c>
      <c r="E1522" s="59" t="inlineStr">
        <is>
          <t>RENATO DE O AZEVEDO E CIA LTDA - EPP</t>
        </is>
      </c>
      <c r="F1522" s="76" t="n">
        <v>13</v>
      </c>
      <c r="G1522" s="59" t="inlineStr">
        <is>
          <t>Compra a Vista</t>
        </is>
      </c>
      <c r="H1522" s="76" t="n">
        <v>2110101</v>
      </c>
      <c r="I1522" s="59" t="inlineStr">
        <is>
          <t>FORNECEDORES DE MERCADORIA</t>
        </is>
      </c>
      <c r="J1522" s="76" t="n">
        <v>1463614</v>
      </c>
      <c r="L1522" s="76" t="n">
        <v>5360</v>
      </c>
      <c r="M1522" s="59" t="inlineStr">
        <is>
          <t>01</t>
        </is>
      </c>
      <c r="N1522" s="59" t="inlineStr">
        <is>
          <t>NFE</t>
        </is>
      </c>
      <c r="P1522" s="76" t="n">
        <v>104</v>
      </c>
      <c r="Q1522" s="59" t="inlineStr">
        <is>
          <t>DEBORA COSTA</t>
        </is>
      </c>
      <c r="R1522" s="59" t="inlineStr">
        <is>
          <t>ESTOQUE DE MERCADORIAS</t>
        </is>
      </c>
      <c r="S1522" s="76" t="n">
        <v>1130101</v>
      </c>
      <c r="T1522" s="59" t="inlineStr">
        <is>
          <t>MERCADORIAS P/REVENDA</t>
        </is>
      </c>
      <c r="U1522" s="77" t="n">
        <v>280</v>
      </c>
      <c r="W1522" s="77" t="n">
        <v>280</v>
      </c>
      <c r="X1522" s="59" t="inlineStr">
        <is>
          <t>ACAI DE ANORI - 16/07 - DEBORA</t>
        </is>
      </c>
      <c r="Z1522" s="59">
        <f>IF($T1522="","",IFERROR(INDEX('Resumo Grupos'!$AC$3:$AC$200,MATCH($T1522,'Resumo Grupos'!$AB$3:$AB$200,0)),"n/d"))</f>
        <v/>
      </c>
      <c r="AA1522" s="59">
        <f>IF($T1522="","",IF(COUNTIF('Resumo Grupos'!$AE$3:$AE$40,$T1522)&gt;0,"NAO","SIM"))</f>
        <v/>
      </c>
    </row>
    <row r="1523" ht="12.75" customHeight="1" s="60">
      <c r="A1523" s="76" t="n">
        <v>1</v>
      </c>
      <c r="B1523" s="75" t="n">
        <v>46231</v>
      </c>
      <c r="C1523" s="75" t="n">
        <v>46231</v>
      </c>
      <c r="D1523" s="76" t="n">
        <v>33</v>
      </c>
      <c r="E1523" s="59" t="inlineStr">
        <is>
          <t>RENATO DE O AZEVEDO E CIA LTDA - EPP</t>
        </is>
      </c>
      <c r="F1523" s="76" t="n">
        <v>13</v>
      </c>
      <c r="G1523" s="59" t="inlineStr">
        <is>
          <t>Compra a Vista</t>
        </is>
      </c>
      <c r="H1523" s="76" t="n">
        <v>2110101</v>
      </c>
      <c r="I1523" s="59" t="inlineStr">
        <is>
          <t>FORNECEDORES DE MERCADORIA</t>
        </is>
      </c>
      <c r="J1523" s="76" t="n">
        <v>1463647</v>
      </c>
      <c r="L1523" s="76" t="n">
        <v>5361</v>
      </c>
      <c r="M1523" s="59" t="inlineStr">
        <is>
          <t>01</t>
        </is>
      </c>
      <c r="N1523" s="59" t="inlineStr">
        <is>
          <t>NFE</t>
        </is>
      </c>
      <c r="P1523" s="76" t="n">
        <v>104</v>
      </c>
      <c r="Q1523" s="59" t="inlineStr">
        <is>
          <t>DEBORA COSTA</t>
        </is>
      </c>
      <c r="R1523" s="59" t="inlineStr">
        <is>
          <t>ESTOQUE DE MERCADORIAS</t>
        </is>
      </c>
      <c r="S1523" s="76" t="n">
        <v>1130101</v>
      </c>
      <c r="T1523" s="59" t="inlineStr">
        <is>
          <t>MERCADORIAS P/REVENDA</t>
        </is>
      </c>
      <c r="U1523" s="77" t="n">
        <v>280</v>
      </c>
      <c r="W1523" s="77" t="n">
        <v>280</v>
      </c>
      <c r="X1523" s="59" t="inlineStr">
        <is>
          <t>ACAI DE ANORI - 17/07 - DEBORA</t>
        </is>
      </c>
      <c r="Z1523" s="59">
        <f>IF($T1523="","",IFERROR(INDEX('Resumo Grupos'!$AC$3:$AC$200,MATCH($T1523,'Resumo Grupos'!$AB$3:$AB$200,0)),"n/d"))</f>
        <v/>
      </c>
      <c r="AA1523" s="59">
        <f>IF($T1523="","",IF(COUNTIF('Resumo Grupos'!$AE$3:$AE$40,$T1523)&gt;0,"NAO","SIM"))</f>
        <v/>
      </c>
    </row>
    <row r="1524" ht="12.75" customHeight="1" s="60">
      <c r="A1524" s="76" t="n">
        <v>1</v>
      </c>
      <c r="B1524" s="75" t="n">
        <v>46231</v>
      </c>
      <c r="C1524" s="75" t="n">
        <v>46231</v>
      </c>
      <c r="D1524" s="76" t="n">
        <v>33</v>
      </c>
      <c r="E1524" s="59" t="inlineStr">
        <is>
          <t>RENATO DE O AZEVEDO E CIA LTDA - EPP</t>
        </is>
      </c>
      <c r="F1524" s="76" t="n">
        <v>34</v>
      </c>
      <c r="G1524" s="59" t="inlineStr">
        <is>
          <t>Transferencia Pix</t>
        </is>
      </c>
      <c r="H1524" s="76" t="n">
        <v>2110101</v>
      </c>
      <c r="I1524" s="59" t="inlineStr">
        <is>
          <t>FORNECEDORES DE MERCADORIA</t>
        </is>
      </c>
      <c r="J1524" s="76" t="n">
        <v>1465010</v>
      </c>
      <c r="L1524" s="76" t="n">
        <v>5363</v>
      </c>
      <c r="M1524" s="59" t="inlineStr">
        <is>
          <t>01</t>
        </is>
      </c>
      <c r="N1524" s="59" t="inlineStr">
        <is>
          <t>NFE</t>
        </is>
      </c>
      <c r="P1524" s="76" t="n">
        <v>104</v>
      </c>
      <c r="Q1524" s="59" t="inlineStr">
        <is>
          <t>DEBORA COSTA</t>
        </is>
      </c>
      <c r="R1524" s="59" t="inlineStr">
        <is>
          <t>ESTOQUE DE MERCADORIAS</t>
        </is>
      </c>
      <c r="S1524" s="76" t="n">
        <v>1130101</v>
      </c>
      <c r="T1524" s="59" t="inlineStr">
        <is>
          <t>MERCADORIAS P/REVENDA</t>
        </is>
      </c>
      <c r="U1524" s="77" t="n">
        <v>2812.5</v>
      </c>
      <c r="W1524" s="77" t="n">
        <v>0</v>
      </c>
      <c r="X1524" s="59" t="inlineStr">
        <is>
          <t>FEIRA SR RENATO - DEBORA</t>
        </is>
      </c>
      <c r="Z1524" s="59">
        <f>IF($T1524="","",IFERROR(INDEX('Resumo Grupos'!$AC$3:$AC$200,MATCH($T1524,'Resumo Grupos'!$AB$3:$AB$200,0)),"n/d"))</f>
        <v/>
      </c>
      <c r="AA1524" s="59">
        <f>IF($T1524="","",IF(COUNTIF('Resumo Grupos'!$AE$3:$AE$40,$T1524)&gt;0,"NAO","SIM"))</f>
        <v/>
      </c>
    </row>
    <row r="1525" ht="12.75" customHeight="1" s="60">
      <c r="A1525" s="76" t="n">
        <v>1</v>
      </c>
      <c r="B1525" s="75" t="n">
        <v>46231</v>
      </c>
      <c r="C1525" s="75" t="n">
        <v>46231</v>
      </c>
      <c r="D1525" s="76" t="n">
        <v>1037</v>
      </c>
      <c r="E1525" s="59" t="inlineStr">
        <is>
          <t>FEIRA</t>
        </is>
      </c>
      <c r="F1525" s="76" t="n">
        <v>34</v>
      </c>
      <c r="G1525" s="59" t="inlineStr">
        <is>
          <t>Transferencia Pix</t>
        </is>
      </c>
      <c r="H1525" s="76" t="n">
        <v>1110202</v>
      </c>
      <c r="I1525" s="59" t="inlineStr">
        <is>
          <t>BANCO ITAU Lj 01</t>
        </is>
      </c>
      <c r="J1525" s="76" t="n">
        <v>1465306</v>
      </c>
      <c r="L1525" s="76" t="n">
        <v>602260</v>
      </c>
      <c r="M1525" s="59" t="inlineStr">
        <is>
          <t>01</t>
        </is>
      </c>
      <c r="N1525" s="59" t="inlineStr">
        <is>
          <t>AVU</t>
        </is>
      </c>
      <c r="P1525" s="76" t="n">
        <v>102</v>
      </c>
      <c r="Q1525" s="59" t="inlineStr">
        <is>
          <t>ANDREZA ANDRADE</t>
        </is>
      </c>
      <c r="R1525" s="59" t="inlineStr">
        <is>
          <t>DESPESAS NAO OPERACIONAIS</t>
        </is>
      </c>
      <c r="S1525" s="76" t="n">
        <v>4220199</v>
      </c>
      <c r="T1525" s="59" t="inlineStr">
        <is>
          <t>PAGAMENTOS OUTROS NAO OPERACIONAIS</t>
        </is>
      </c>
      <c r="U1525" s="77" t="n">
        <v>5599</v>
      </c>
      <c r="W1525" s="77" t="n">
        <v>0</v>
      </c>
      <c r="X1525" s="59" t="inlineStr">
        <is>
          <t>FEIRA SR RENATO LOJAS-ANDREZA</t>
        </is>
      </c>
      <c r="Z1525" s="59">
        <f>IF($T1525="","",IFERROR(INDEX('Resumo Grupos'!$AC$3:$AC$200,MATCH($T1525,'Resumo Grupos'!$AB$3:$AB$200,0)),"n/d"))</f>
        <v/>
      </c>
      <c r="AA1525" s="59">
        <f>IF($T1525="","",IF(COUNTIF('Resumo Grupos'!$AE$3:$AE$40,$T1525)&gt;0,"NAO","SIM"))</f>
        <v/>
      </c>
    </row>
    <row r="1526" ht="12.75" customHeight="1" s="60">
      <c r="A1526" s="76" t="n">
        <v>1</v>
      </c>
      <c r="B1526" s="75" t="n">
        <v>46172</v>
      </c>
      <c r="C1526" s="75" t="n">
        <v>46232</v>
      </c>
      <c r="D1526" s="76" t="n">
        <v>607</v>
      </c>
      <c r="E1526" s="59" t="inlineStr">
        <is>
          <t>PRIME PET DISTRIBUIDORA LTDA</t>
        </is>
      </c>
      <c r="F1526" s="76" t="n">
        <v>24</v>
      </c>
      <c r="G1526" s="59" t="inlineStr">
        <is>
          <t>Compra a Prazo - Boletos</t>
        </is>
      </c>
      <c r="H1526" s="76" t="n">
        <v>2110101</v>
      </c>
      <c r="I1526" s="59" t="inlineStr">
        <is>
          <t>FORNECEDORES DE MERCADORIA</t>
        </is>
      </c>
      <c r="J1526" s="76" t="n">
        <v>1177308</v>
      </c>
      <c r="L1526" s="76" t="n">
        <v>10643</v>
      </c>
      <c r="M1526" s="59" t="inlineStr">
        <is>
          <t>05</t>
        </is>
      </c>
      <c r="N1526" s="59" t="inlineStr">
        <is>
          <t>NFE</t>
        </is>
      </c>
      <c r="P1526" s="76" t="n">
        <v>103</v>
      </c>
      <c r="Q1526" s="59" t="inlineStr">
        <is>
          <t>MILKA FRANCIS</t>
        </is>
      </c>
      <c r="R1526" s="59" t="inlineStr">
        <is>
          <t>ESTOQUE DE MERCADORIAS</t>
        </is>
      </c>
      <c r="S1526" s="76" t="n">
        <v>1130101</v>
      </c>
      <c r="T1526" s="59" t="inlineStr">
        <is>
          <t>MERCADORIAS P/REVENDA</t>
        </is>
      </c>
      <c r="U1526" s="77" t="n">
        <v>319.7</v>
      </c>
      <c r="W1526" s="77" t="n">
        <v>0</v>
      </c>
      <c r="X1526" s="59" t="inlineStr">
        <is>
          <t>NF 10643-05/05 MILKA</t>
        </is>
      </c>
      <c r="Z1526" s="59">
        <f>IF($T1526="","",IFERROR(INDEX('Resumo Grupos'!$AC$3:$AC$200,MATCH($T1526,'Resumo Grupos'!$AB$3:$AB$200,0)),"n/d"))</f>
        <v/>
      </c>
      <c r="AA1526" s="59">
        <f>IF($T1526="","",IF(COUNTIF('Resumo Grupos'!$AE$3:$AE$40,$T1526)&gt;0,"NAO","SIM"))</f>
        <v/>
      </c>
    </row>
    <row r="1527" ht="12.75" customHeight="1" s="60">
      <c r="A1527" s="76" t="n">
        <v>1</v>
      </c>
      <c r="B1527" s="75" t="n">
        <v>46231</v>
      </c>
      <c r="C1527" s="75" t="n">
        <v>46232</v>
      </c>
      <c r="D1527" s="76" t="n">
        <v>33</v>
      </c>
      <c r="E1527" s="59" t="inlineStr">
        <is>
          <t>RENATO DE O AZEVEDO E CIA LTDA - EPP</t>
        </is>
      </c>
      <c r="F1527" s="76" t="n">
        <v>34</v>
      </c>
      <c r="G1527" s="59" t="inlineStr">
        <is>
          <t>Transferencia Pix</t>
        </is>
      </c>
      <c r="H1527" s="76" t="n">
        <v>2110101</v>
      </c>
      <c r="I1527" s="59" t="inlineStr">
        <is>
          <t>FORNECEDORES DE MERCADORIA</t>
        </is>
      </c>
      <c r="J1527" s="76" t="n">
        <v>1464493</v>
      </c>
      <c r="L1527" s="76" t="n">
        <v>5362</v>
      </c>
      <c r="M1527" s="59" t="inlineStr">
        <is>
          <t>01</t>
        </is>
      </c>
      <c r="N1527" s="59" t="inlineStr">
        <is>
          <t>NFE</t>
        </is>
      </c>
      <c r="P1527" s="76" t="n">
        <v>104</v>
      </c>
      <c r="Q1527" s="59" t="inlineStr">
        <is>
          <t>DEBORA COSTA</t>
        </is>
      </c>
      <c r="R1527" s="59" t="inlineStr">
        <is>
          <t>ESTOQUE DE MERCADORIAS</t>
        </is>
      </c>
      <c r="S1527" s="76" t="n">
        <v>1130101</v>
      </c>
      <c r="T1527" s="59" t="inlineStr">
        <is>
          <t>MERCADORIAS P/REVENDA</t>
        </is>
      </c>
      <c r="U1527" s="77" t="n">
        <v>1183</v>
      </c>
      <c r="W1527" s="77" t="n">
        <v>0</v>
      </c>
      <c r="X1527" s="59" t="inlineStr">
        <is>
          <t>FEIRA CARLOS - DEBORA</t>
        </is>
      </c>
      <c r="Z1527" s="59">
        <f>IF($T1527="","",IFERROR(INDEX('Resumo Grupos'!$AC$3:$AC$200,MATCH($T1527,'Resumo Grupos'!$AB$3:$AB$200,0)),"n/d"))</f>
        <v/>
      </c>
      <c r="AA1527" s="59">
        <f>IF($T1527="","",IF(COUNTIF('Resumo Grupos'!$AE$3:$AE$40,$T1527)&gt;0,"NAO","SIM"))</f>
        <v/>
      </c>
    </row>
    <row r="1528" ht="12.75" customHeight="1" s="60">
      <c r="A1528" s="76" t="n">
        <v>1</v>
      </c>
      <c r="B1528" s="75" t="n">
        <v>46204</v>
      </c>
      <c r="C1528" s="75" t="n">
        <v>46232</v>
      </c>
      <c r="D1528" s="76" t="n">
        <v>1608</v>
      </c>
      <c r="E1528" s="59" t="inlineStr">
        <is>
          <t>DISTRIBUIDORA LOPES LTDA</t>
        </is>
      </c>
      <c r="F1528" s="76" t="n">
        <v>24</v>
      </c>
      <c r="G1528" s="59" t="inlineStr">
        <is>
          <t>Compra a Prazo - Boletos</t>
        </is>
      </c>
      <c r="H1528" s="76" t="n">
        <v>2110101</v>
      </c>
      <c r="I1528" s="59" t="inlineStr">
        <is>
          <t>FORNECEDORES DE MERCADORIA</t>
        </is>
      </c>
      <c r="J1528" s="76" t="n">
        <v>1334069</v>
      </c>
      <c r="L1528" s="76" t="n">
        <v>1685233</v>
      </c>
      <c r="M1528" s="59" t="inlineStr">
        <is>
          <t>02</t>
        </is>
      </c>
      <c r="N1528" s="59" t="inlineStr">
        <is>
          <t>NFE</t>
        </is>
      </c>
      <c r="P1528" s="76" t="n">
        <v>103</v>
      </c>
      <c r="Q1528" s="59" t="inlineStr">
        <is>
          <t>MILKA FRANCIS</t>
        </is>
      </c>
      <c r="R1528" s="59" t="inlineStr">
        <is>
          <t>ESTOQUE DE MERCADORIAS</t>
        </is>
      </c>
      <c r="S1528" s="76" t="n">
        <v>1130101</v>
      </c>
      <c r="T1528" s="59" t="inlineStr">
        <is>
          <t>MERCADORIAS P/REVENDA</t>
        </is>
      </c>
      <c r="U1528" s="77" t="n">
        <v>1862.4</v>
      </c>
      <c r="W1528" s="77" t="n">
        <v>0</v>
      </c>
      <c r="X1528" s="59" t="inlineStr">
        <is>
          <t>NF 1685233-2 MILKA</t>
        </is>
      </c>
      <c r="Z1528" s="59">
        <f>IF($T1528="","",IFERROR(INDEX('Resumo Grupos'!$AC$3:$AC$200,MATCH($T1528,'Resumo Grupos'!$AB$3:$AB$200,0)),"n/d"))</f>
        <v/>
      </c>
      <c r="AA1528" s="59">
        <f>IF($T1528="","",IF(COUNTIF('Resumo Grupos'!$AE$3:$AE$40,$T1528)&gt;0,"NAO","SIM"))</f>
        <v/>
      </c>
    </row>
    <row r="1529" ht="12.75" customHeight="1" s="60">
      <c r="A1529" s="76" t="n">
        <v>1</v>
      </c>
      <c r="B1529" s="75" t="n">
        <v>46204</v>
      </c>
      <c r="C1529" s="75" t="n">
        <v>46232</v>
      </c>
      <c r="D1529" s="76" t="n">
        <v>1608</v>
      </c>
      <c r="E1529" s="59" t="inlineStr">
        <is>
          <t>DISTRIBUIDORA LOPES LTDA</t>
        </is>
      </c>
      <c r="F1529" s="76" t="n">
        <v>24</v>
      </c>
      <c r="G1529" s="59" t="inlineStr">
        <is>
          <t>Compra a Prazo - Boletos</t>
        </is>
      </c>
      <c r="H1529" s="76" t="n">
        <v>2110101</v>
      </c>
      <c r="I1529" s="59" t="inlineStr">
        <is>
          <t>FORNECEDORES DE MERCADORIA</t>
        </is>
      </c>
      <c r="J1529" s="76" t="n">
        <v>1334447</v>
      </c>
      <c r="L1529" s="76" t="n">
        <v>1685064</v>
      </c>
      <c r="M1529" s="59" t="inlineStr">
        <is>
          <t>01</t>
        </is>
      </c>
      <c r="N1529" s="59" t="inlineStr">
        <is>
          <t>NFE</t>
        </is>
      </c>
      <c r="P1529" s="76" t="n">
        <v>103</v>
      </c>
      <c r="Q1529" s="59" t="inlineStr">
        <is>
          <t>MILKA FRANCIS</t>
        </is>
      </c>
      <c r="R1529" s="59" t="inlineStr">
        <is>
          <t>ESTOQUE DE MERCADORIAS</t>
        </is>
      </c>
      <c r="S1529" s="76" t="n">
        <v>1130101</v>
      </c>
      <c r="T1529" s="59" t="inlineStr">
        <is>
          <t>MERCADORIAS P/REVENDA</t>
        </is>
      </c>
      <c r="U1529" s="77" t="n">
        <v>2148.41</v>
      </c>
      <c r="W1529" s="77" t="n">
        <v>0</v>
      </c>
      <c r="X1529" s="59" t="inlineStr">
        <is>
          <t>NF 1685064 - MILKA</t>
        </is>
      </c>
      <c r="Z1529" s="59">
        <f>IF($T1529="","",IFERROR(INDEX('Resumo Grupos'!$AC$3:$AC$200,MATCH($T1529,'Resumo Grupos'!$AB$3:$AB$200,0)),"n/d"))</f>
        <v/>
      </c>
      <c r="AA1529" s="59">
        <f>IF($T1529="","",IF(COUNTIF('Resumo Grupos'!$AE$3:$AE$40,$T1529)&gt;0,"NAO","SIM"))</f>
        <v/>
      </c>
    </row>
    <row r="1530" ht="12.75" customHeight="1" s="60">
      <c r="A1530" s="76" t="n">
        <v>1</v>
      </c>
      <c r="B1530" s="75" t="n">
        <v>46204</v>
      </c>
      <c r="C1530" s="75" t="n">
        <v>46232</v>
      </c>
      <c r="D1530" s="76" t="n">
        <v>1699</v>
      </c>
      <c r="E1530" s="59" t="inlineStr">
        <is>
          <t>L S M COMERCIO DE ALIMENTOS E NAVEGACAO</t>
        </is>
      </c>
      <c r="F1530" s="76" t="n">
        <v>24</v>
      </c>
      <c r="G1530" s="59" t="inlineStr">
        <is>
          <t>Compra a Prazo - Boletos</t>
        </is>
      </c>
      <c r="H1530" s="76" t="n">
        <v>2110101</v>
      </c>
      <c r="I1530" s="59" t="inlineStr">
        <is>
          <t>FORNECEDORES DE MERCADORIA</t>
        </is>
      </c>
      <c r="J1530" s="76" t="n">
        <v>1334706</v>
      </c>
      <c r="L1530" s="76" t="n">
        <v>306058</v>
      </c>
      <c r="M1530" s="59" t="inlineStr">
        <is>
          <t>03</t>
        </is>
      </c>
      <c r="N1530" s="59" t="inlineStr">
        <is>
          <t>NFE</t>
        </is>
      </c>
      <c r="P1530" s="76" t="n">
        <v>103</v>
      </c>
      <c r="Q1530" s="59" t="inlineStr">
        <is>
          <t>MILKA FRANCIS</t>
        </is>
      </c>
      <c r="R1530" s="59" t="inlineStr">
        <is>
          <t>ESTOQUE DE MERCADORIAS</t>
        </is>
      </c>
      <c r="S1530" s="76" t="n">
        <v>1130101</v>
      </c>
      <c r="T1530" s="59" t="inlineStr">
        <is>
          <t>MERCADORIAS P/REVENDA</t>
        </is>
      </c>
      <c r="U1530" s="77" t="n">
        <v>1613.94</v>
      </c>
      <c r="W1530" s="77" t="n">
        <v>0</v>
      </c>
      <c r="X1530" s="59" t="inlineStr">
        <is>
          <t>NF 306058-3 MILKA</t>
        </is>
      </c>
      <c r="Z1530" s="59">
        <f>IF($T1530="","",IFERROR(INDEX('Resumo Grupos'!$AC$3:$AC$200,MATCH($T1530,'Resumo Grupos'!$AB$3:$AB$200,0)),"n/d"))</f>
        <v/>
      </c>
      <c r="AA1530" s="59">
        <f>IF($T1530="","",IF(COUNTIF('Resumo Grupos'!$AE$3:$AE$40,$T1530)&gt;0,"NAO","SIM"))</f>
        <v/>
      </c>
    </row>
    <row r="1531" ht="12.75" customHeight="1" s="60">
      <c r="A1531" s="76" t="n">
        <v>1</v>
      </c>
      <c r="B1531" s="75" t="n">
        <v>46206</v>
      </c>
      <c r="C1531" s="75" t="n">
        <v>46232</v>
      </c>
      <c r="D1531" s="76" t="n">
        <v>1706</v>
      </c>
      <c r="E1531" s="59" t="inlineStr">
        <is>
          <t>AMAZON MILK IND. E COMERCIO LTDA</t>
        </is>
      </c>
      <c r="F1531" s="76" t="n">
        <v>24</v>
      </c>
      <c r="G1531" s="59" t="inlineStr">
        <is>
          <t>Compra a Prazo - Boletos</t>
        </is>
      </c>
      <c r="H1531" s="76" t="n">
        <v>2110101</v>
      </c>
      <c r="I1531" s="59" t="inlineStr">
        <is>
          <t>FORNECEDORES DE MERCADORIA</t>
        </is>
      </c>
      <c r="J1531" s="76" t="n">
        <v>1344526</v>
      </c>
      <c r="L1531" s="76" t="n">
        <v>203762</v>
      </c>
      <c r="M1531" s="59" t="inlineStr">
        <is>
          <t>01</t>
        </is>
      </c>
      <c r="N1531" s="59" t="inlineStr">
        <is>
          <t>NFE</t>
        </is>
      </c>
      <c r="P1531" s="76" t="n">
        <v>103</v>
      </c>
      <c r="Q1531" s="59" t="inlineStr">
        <is>
          <t>MILKA FRANCIS</t>
        </is>
      </c>
      <c r="R1531" s="59" t="inlineStr">
        <is>
          <t>ESTOQUE DE MERCADORIAS</t>
        </is>
      </c>
      <c r="S1531" s="76" t="n">
        <v>1130101</v>
      </c>
      <c r="T1531" s="59" t="inlineStr">
        <is>
          <t>MERCADORIAS P/REVENDA</t>
        </is>
      </c>
      <c r="U1531" s="77" t="n">
        <v>1896.53</v>
      </c>
      <c r="W1531" s="77" t="n">
        <v>0</v>
      </c>
      <c r="X1531" s="59" t="inlineStr">
        <is>
          <t>NF 203762- MILKA</t>
        </is>
      </c>
      <c r="Z1531" s="59">
        <f>IF($T1531="","",IFERROR(INDEX('Resumo Grupos'!$AC$3:$AC$200,MATCH($T1531,'Resumo Grupos'!$AB$3:$AB$200,0)),"n/d"))</f>
        <v/>
      </c>
      <c r="AA1531" s="59">
        <f>IF($T1531="","",IF(COUNTIF('Resumo Grupos'!$AE$3:$AE$40,$T1531)&gt;0,"NAO","SIM"))</f>
        <v/>
      </c>
    </row>
    <row r="1532" ht="12.75" customHeight="1" s="60">
      <c r="A1532" s="76" t="n">
        <v>1</v>
      </c>
      <c r="B1532" s="75" t="n">
        <v>46206</v>
      </c>
      <c r="C1532" s="75" t="n">
        <v>46232</v>
      </c>
      <c r="D1532" s="76" t="n">
        <v>1675</v>
      </c>
      <c r="E1532" s="59" t="inlineStr">
        <is>
          <t>MARQUES &amp; MELO LTDA - FILIAL</t>
        </is>
      </c>
      <c r="F1532" s="76" t="n">
        <v>24</v>
      </c>
      <c r="G1532" s="59" t="inlineStr">
        <is>
          <t>Compra a Prazo - Boletos</t>
        </is>
      </c>
      <c r="H1532" s="76" t="n">
        <v>2110101</v>
      </c>
      <c r="I1532" s="59" t="inlineStr">
        <is>
          <t>FORNECEDORES DE MERCADORIA</t>
        </is>
      </c>
      <c r="J1532" s="76" t="n">
        <v>1344964</v>
      </c>
      <c r="L1532" s="76" t="n">
        <v>499471</v>
      </c>
      <c r="M1532" s="59" t="inlineStr">
        <is>
          <t>01</t>
        </is>
      </c>
      <c r="N1532" s="59" t="inlineStr">
        <is>
          <t>NFE</t>
        </is>
      </c>
      <c r="P1532" s="76" t="n">
        <v>103</v>
      </c>
      <c r="Q1532" s="59" t="inlineStr">
        <is>
          <t>MILKA FRANCIS</t>
        </is>
      </c>
      <c r="R1532" s="59" t="inlineStr">
        <is>
          <t>ESTOQUE DE MERCADORIAS</t>
        </is>
      </c>
      <c r="S1532" s="76" t="n">
        <v>1130101</v>
      </c>
      <c r="T1532" s="59" t="inlineStr">
        <is>
          <t>MERCADORIAS P/REVENDA</t>
        </is>
      </c>
      <c r="U1532" s="77" t="n">
        <v>395.5</v>
      </c>
      <c r="W1532" s="77" t="n">
        <v>0</v>
      </c>
      <c r="X1532" s="59" t="inlineStr">
        <is>
          <t>NF 499471 - MILKA</t>
        </is>
      </c>
      <c r="Z1532" s="59">
        <f>IF($T1532="","",IFERROR(INDEX('Resumo Grupos'!$AC$3:$AC$200,MATCH($T1532,'Resumo Grupos'!$AB$3:$AB$200,0)),"n/d"))</f>
        <v/>
      </c>
      <c r="AA1532" s="59">
        <f>IF($T1532="","",IF(COUNTIF('Resumo Grupos'!$AE$3:$AE$40,$T1532)&gt;0,"NAO","SIM"))</f>
        <v/>
      </c>
    </row>
    <row r="1533" ht="12.75" customHeight="1" s="60">
      <c r="A1533" s="76" t="n">
        <v>1</v>
      </c>
      <c r="B1533" s="75" t="n">
        <v>46211</v>
      </c>
      <c r="C1533" s="75" t="n">
        <v>46232</v>
      </c>
      <c r="D1533" s="76" t="n">
        <v>10033</v>
      </c>
      <c r="E1533" s="59" t="inlineStr">
        <is>
          <t>INNOVAR DISTRIBUIDORA DE COSMETICOS E MEDICAMENTOS LTDA</t>
        </is>
      </c>
      <c r="F1533" s="76" t="n">
        <v>24</v>
      </c>
      <c r="G1533" s="59" t="inlineStr">
        <is>
          <t>Compra a Prazo - Boletos</t>
        </is>
      </c>
      <c r="H1533" s="76" t="n">
        <v>2110101</v>
      </c>
      <c r="I1533" s="59" t="inlineStr">
        <is>
          <t>FORNECEDORES DE MERCADORIA</t>
        </is>
      </c>
      <c r="J1533" s="76" t="n">
        <v>1368773</v>
      </c>
      <c r="L1533" s="76" t="n">
        <v>104122</v>
      </c>
      <c r="M1533" s="59" t="inlineStr">
        <is>
          <t>01</t>
        </is>
      </c>
      <c r="N1533" s="59" t="inlineStr">
        <is>
          <t>NFE</t>
        </is>
      </c>
      <c r="P1533" s="76" t="n">
        <v>103</v>
      </c>
      <c r="Q1533" s="59" t="inlineStr">
        <is>
          <t>MILKA FRANCIS</t>
        </is>
      </c>
      <c r="R1533" s="59" t="inlineStr">
        <is>
          <t>ESTOQUE DE MERCADORIAS</t>
        </is>
      </c>
      <c r="S1533" s="76" t="n">
        <v>1130101</v>
      </c>
      <c r="T1533" s="59" t="inlineStr">
        <is>
          <t>MERCADORIAS P/REVENDA</t>
        </is>
      </c>
      <c r="U1533" s="77" t="n">
        <v>698.4</v>
      </c>
      <c r="W1533" s="77" t="n">
        <v>0</v>
      </c>
      <c r="X1533" s="59" t="inlineStr">
        <is>
          <t>NF 104122 - MILKA</t>
        </is>
      </c>
      <c r="Z1533" s="59">
        <f>IF($T1533="","",IFERROR(INDEX('Resumo Grupos'!$AC$3:$AC$200,MATCH($T1533,'Resumo Grupos'!$AB$3:$AB$200,0)),"n/d"))</f>
        <v/>
      </c>
      <c r="AA1533" s="59">
        <f>IF($T1533="","",IF(COUNTIF('Resumo Grupos'!$AE$3:$AE$40,$T1533)&gt;0,"NAO","SIM"))</f>
        <v/>
      </c>
    </row>
    <row r="1534" ht="12.75" customHeight="1" s="60">
      <c r="A1534" s="76" t="n">
        <v>1</v>
      </c>
      <c r="B1534" s="75" t="n">
        <v>46214</v>
      </c>
      <c r="C1534" s="75" t="n">
        <v>46232</v>
      </c>
      <c r="D1534" s="76" t="n">
        <v>10009</v>
      </c>
      <c r="E1534" s="59" t="inlineStr">
        <is>
          <t>NESTLÉ BRASIL LTDA.</t>
        </is>
      </c>
      <c r="F1534" s="76" t="n">
        <v>24</v>
      </c>
      <c r="G1534" s="59" t="inlineStr">
        <is>
          <t>Compra a Prazo - Boletos</t>
        </is>
      </c>
      <c r="H1534" s="76" t="n">
        <v>1110202</v>
      </c>
      <c r="I1534" s="59" t="inlineStr">
        <is>
          <t>BANCO ITAU Lj 01</t>
        </is>
      </c>
      <c r="J1534" s="76" t="n">
        <v>1381864</v>
      </c>
      <c r="L1534" s="76" t="n">
        <v>1425692</v>
      </c>
      <c r="M1534" s="59" t="inlineStr">
        <is>
          <t>03</t>
        </is>
      </c>
      <c r="N1534" s="59" t="inlineStr">
        <is>
          <t>AVU</t>
        </is>
      </c>
      <c r="P1534" s="76" t="n">
        <v>103</v>
      </c>
      <c r="Q1534" s="59" t="inlineStr">
        <is>
          <t>MILKA FRANCIS</t>
        </is>
      </c>
      <c r="R1534" s="59" t="inlineStr">
        <is>
          <t>ESTOQUE DE MERCADORIAS</t>
        </is>
      </c>
      <c r="S1534" s="76" t="n">
        <v>1130101</v>
      </c>
      <c r="T1534" s="59" t="inlineStr">
        <is>
          <t>MERCADORIAS P/REVENDA</t>
        </is>
      </c>
      <c r="U1534" s="77" t="n">
        <v>1051.26</v>
      </c>
      <c r="W1534" s="77" t="n">
        <v>0</v>
      </c>
      <c r="X1534" s="59" t="inlineStr">
        <is>
          <t>NF1425692-03/03 MILKA</t>
        </is>
      </c>
      <c r="Z1534" s="59">
        <f>IF($T1534="","",IFERROR(INDEX('Resumo Grupos'!$AC$3:$AC$200,MATCH($T1534,'Resumo Grupos'!$AB$3:$AB$200,0)),"n/d"))</f>
        <v/>
      </c>
      <c r="AA1534" s="59">
        <f>IF($T1534="","",IF(COUNTIF('Resumo Grupos'!$AE$3:$AE$40,$T1534)&gt;0,"NAO","SIM"))</f>
        <v/>
      </c>
    </row>
    <row r="1535" ht="12.75" customHeight="1" s="60">
      <c r="A1535" s="76" t="n">
        <v>1</v>
      </c>
      <c r="B1535" s="75" t="n">
        <v>46214</v>
      </c>
      <c r="C1535" s="75" t="n">
        <v>46232</v>
      </c>
      <c r="D1535" s="76" t="n">
        <v>1613</v>
      </c>
      <c r="E1535" s="59" t="inlineStr">
        <is>
          <t>BRF S A</t>
        </is>
      </c>
      <c r="F1535" s="76" t="n">
        <v>24</v>
      </c>
      <c r="G1535" s="59" t="inlineStr">
        <is>
          <t>Compra a Prazo - Boletos</t>
        </is>
      </c>
      <c r="H1535" s="76" t="n">
        <v>1110202</v>
      </c>
      <c r="I1535" s="59" t="inlineStr">
        <is>
          <t>BANCO ITAU Lj 01</t>
        </is>
      </c>
      <c r="J1535" s="76" t="n">
        <v>1382549</v>
      </c>
      <c r="L1535" s="76" t="n">
        <v>1605894</v>
      </c>
      <c r="M1535" s="59" t="inlineStr">
        <is>
          <t>02</t>
        </is>
      </c>
      <c r="N1535" s="59" t="inlineStr">
        <is>
          <t>AVU</t>
        </is>
      </c>
      <c r="P1535" s="76" t="n">
        <v>103</v>
      </c>
      <c r="Q1535" s="59" t="inlineStr">
        <is>
          <t>MILKA FRANCIS</t>
        </is>
      </c>
      <c r="R1535" s="59" t="inlineStr">
        <is>
          <t>ESTOQUE DE MERCADORIAS</t>
        </is>
      </c>
      <c r="S1535" s="76" t="n">
        <v>1130101</v>
      </c>
      <c r="T1535" s="59" t="inlineStr">
        <is>
          <t>MERCADORIAS P/REVENDA</t>
        </is>
      </c>
      <c r="U1535" s="77" t="n">
        <v>3073.8</v>
      </c>
      <c r="W1535" s="77" t="n">
        <v>0</v>
      </c>
      <c r="X1535" s="59" t="inlineStr">
        <is>
          <t>NF1605894-02/02 - MILKA</t>
        </is>
      </c>
      <c r="Z1535" s="59">
        <f>IF($T1535="","",IFERROR(INDEX('Resumo Grupos'!$AC$3:$AC$200,MATCH($T1535,'Resumo Grupos'!$AB$3:$AB$200,0)),"n/d"))</f>
        <v/>
      </c>
      <c r="AA1535" s="59">
        <f>IF($T1535="","",IF(COUNTIF('Resumo Grupos'!$AE$3:$AE$40,$T1535)&gt;0,"NAO","SIM"))</f>
        <v/>
      </c>
    </row>
    <row r="1536" ht="12.75" customHeight="1" s="60">
      <c r="A1536" s="76" t="n">
        <v>1</v>
      </c>
      <c r="B1536" s="75" t="n">
        <v>46218</v>
      </c>
      <c r="C1536" s="75" t="n">
        <v>46232</v>
      </c>
      <c r="D1536" s="76" t="n">
        <v>1699</v>
      </c>
      <c r="E1536" s="59" t="inlineStr">
        <is>
          <t>L S M COMERCIO DE ALIMENTOS E NAVEGACAO</t>
        </is>
      </c>
      <c r="F1536" s="76" t="n">
        <v>24</v>
      </c>
      <c r="G1536" s="59" t="inlineStr">
        <is>
          <t>Compra a Prazo - Boletos</t>
        </is>
      </c>
      <c r="H1536" s="76" t="n">
        <v>1110202</v>
      </c>
      <c r="I1536" s="59" t="inlineStr">
        <is>
          <t>BANCO ITAU Lj 01</t>
        </is>
      </c>
      <c r="J1536" s="76" t="n">
        <v>1401907</v>
      </c>
      <c r="L1536" s="76" t="n">
        <v>307805</v>
      </c>
      <c r="M1536" s="59" t="inlineStr">
        <is>
          <t>02</t>
        </is>
      </c>
      <c r="N1536" s="59" t="inlineStr">
        <is>
          <t>AVU</t>
        </is>
      </c>
      <c r="P1536" s="76" t="n">
        <v>103</v>
      </c>
      <c r="Q1536" s="59" t="inlineStr">
        <is>
          <t>MILKA FRANCIS</t>
        </is>
      </c>
      <c r="R1536" s="59" t="inlineStr">
        <is>
          <t>ESTOQUE DE MERCADORIAS</t>
        </is>
      </c>
      <c r="S1536" s="76" t="n">
        <v>1130101</v>
      </c>
      <c r="T1536" s="59" t="inlineStr">
        <is>
          <t>MERCADORIAS P/REVENDA</t>
        </is>
      </c>
      <c r="U1536" s="77" t="n">
        <v>732.47</v>
      </c>
      <c r="W1536" s="77" t="n">
        <v>0</v>
      </c>
      <c r="X1536" s="59" t="inlineStr">
        <is>
          <t>NF 307805-2 MILKA</t>
        </is>
      </c>
      <c r="Z1536" s="59">
        <f>IF($T1536="","",IFERROR(INDEX('Resumo Grupos'!$AC$3:$AC$200,MATCH($T1536,'Resumo Grupos'!$AB$3:$AB$200,0)),"n/d"))</f>
        <v/>
      </c>
      <c r="AA1536" s="59">
        <f>IF($T1536="","",IF(COUNTIF('Resumo Grupos'!$AE$3:$AE$40,$T1536)&gt;0,"NAO","SIM"))</f>
        <v/>
      </c>
    </row>
    <row r="1537" ht="12.75" customHeight="1" s="60">
      <c r="A1537" s="76" t="n">
        <v>1</v>
      </c>
      <c r="B1537" s="75" t="n">
        <v>46219</v>
      </c>
      <c r="C1537" s="75" t="n">
        <v>46232</v>
      </c>
      <c r="D1537" s="76" t="n">
        <v>1705</v>
      </c>
      <c r="E1537" s="59" t="inlineStr">
        <is>
          <t>BRASIL NORTE BEBIDAS S/A</t>
        </is>
      </c>
      <c r="F1537" s="76" t="n">
        <v>24</v>
      </c>
      <c r="G1537" s="59" t="inlineStr">
        <is>
          <t>Compra a Prazo - Boletos</t>
        </is>
      </c>
      <c r="H1537" s="76" t="n">
        <v>1110202</v>
      </c>
      <c r="I1537" s="59" t="inlineStr">
        <is>
          <t>BANCO ITAU Lj 01</t>
        </is>
      </c>
      <c r="J1537" s="76" t="n">
        <v>1405490</v>
      </c>
      <c r="L1537" s="76" t="n">
        <v>1933730</v>
      </c>
      <c r="M1537" s="59" t="inlineStr">
        <is>
          <t>01</t>
        </is>
      </c>
      <c r="N1537" s="59" t="inlineStr">
        <is>
          <t>AVU</t>
        </is>
      </c>
      <c r="P1537" s="76" t="n">
        <v>103</v>
      </c>
      <c r="Q1537" s="59" t="inlineStr">
        <is>
          <t>MILKA FRANCIS</t>
        </is>
      </c>
      <c r="R1537" s="59" t="inlineStr">
        <is>
          <t>ESTOQUE DE MERCADORIAS</t>
        </is>
      </c>
      <c r="S1537" s="76" t="n">
        <v>1130101</v>
      </c>
      <c r="T1537" s="59" t="inlineStr">
        <is>
          <t>MERCADORIAS P/REVENDA</t>
        </is>
      </c>
      <c r="U1537" s="77" t="n">
        <v>417.71</v>
      </c>
      <c r="W1537" s="77" t="n">
        <v>0</v>
      </c>
      <c r="X1537" s="59" t="inlineStr">
        <is>
          <t>NF 1933730 C/ TARIFA - MILKA</t>
        </is>
      </c>
      <c r="Z1537" s="59">
        <f>IF($T1537="","",IFERROR(INDEX('Resumo Grupos'!$AC$3:$AC$200,MATCH($T1537,'Resumo Grupos'!$AB$3:$AB$200,0)),"n/d"))</f>
        <v/>
      </c>
      <c r="AA1537" s="59">
        <f>IF($T1537="","",IF(COUNTIF('Resumo Grupos'!$AE$3:$AE$40,$T1537)&gt;0,"NAO","SIM"))</f>
        <v/>
      </c>
    </row>
    <row r="1538" ht="12.75" customHeight="1" s="60">
      <c r="A1538" s="76" t="n">
        <v>1</v>
      </c>
      <c r="B1538" s="75" t="n">
        <v>46220</v>
      </c>
      <c r="C1538" s="75" t="n">
        <v>46232</v>
      </c>
      <c r="D1538" s="76" t="n">
        <v>1613</v>
      </c>
      <c r="E1538" s="59" t="inlineStr">
        <is>
          <t>BRF S A</t>
        </is>
      </c>
      <c r="F1538" s="76" t="n">
        <v>24</v>
      </c>
      <c r="G1538" s="59" t="inlineStr">
        <is>
          <t>Compra a Prazo - Boletos</t>
        </is>
      </c>
      <c r="H1538" s="76" t="n">
        <v>1110202</v>
      </c>
      <c r="I1538" s="59" t="inlineStr">
        <is>
          <t>BANCO ITAU Lj 01</t>
        </is>
      </c>
      <c r="J1538" s="76" t="n">
        <v>1411781</v>
      </c>
      <c r="L1538" s="76" t="n">
        <v>1608648</v>
      </c>
      <c r="M1538" s="59" t="inlineStr">
        <is>
          <t>01</t>
        </is>
      </c>
      <c r="N1538" s="59" t="inlineStr">
        <is>
          <t>AVU</t>
        </is>
      </c>
      <c r="P1538" s="76" t="n">
        <v>103</v>
      </c>
      <c r="Q1538" s="59" t="inlineStr">
        <is>
          <t>MILKA FRANCIS</t>
        </is>
      </c>
      <c r="R1538" s="59" t="inlineStr">
        <is>
          <t>ESTOQUE DE MERCADORIAS</t>
        </is>
      </c>
      <c r="S1538" s="76" t="n">
        <v>1130101</v>
      </c>
      <c r="T1538" s="59" t="inlineStr">
        <is>
          <t>MERCADORIAS P/REVENDA</t>
        </is>
      </c>
      <c r="U1538" s="77" t="n">
        <v>4171.51</v>
      </c>
      <c r="W1538" s="77" t="n">
        <v>0</v>
      </c>
      <c r="X1538" s="59" t="inlineStr">
        <is>
          <t>NF 1608648 -01/02  MILKA</t>
        </is>
      </c>
      <c r="Z1538" s="59">
        <f>IF($T1538="","",IFERROR(INDEX('Resumo Grupos'!$AC$3:$AC$200,MATCH($T1538,'Resumo Grupos'!$AB$3:$AB$200,0)),"n/d"))</f>
        <v/>
      </c>
      <c r="AA1538" s="59">
        <f>IF($T1538="","",IF(COUNTIF('Resumo Grupos'!$AE$3:$AE$40,$T1538)&gt;0,"NAO","SIM"))</f>
        <v/>
      </c>
    </row>
    <row r="1539" ht="12.75" customHeight="1" s="60">
      <c r="A1539" s="76" t="n">
        <v>1</v>
      </c>
      <c r="B1539" s="75" t="n">
        <v>46226</v>
      </c>
      <c r="C1539" s="75" t="n">
        <v>46232</v>
      </c>
      <c r="D1539" s="76" t="n">
        <v>1363</v>
      </c>
      <c r="E1539" s="59" t="inlineStr">
        <is>
          <t>JAB COMERCIO DE PRODUTOS ALIMENTICIOS LT</t>
        </is>
      </c>
      <c r="F1539" s="76" t="n">
        <v>24</v>
      </c>
      <c r="G1539" s="59" t="inlineStr">
        <is>
          <t>Compra a Prazo - Boletos</t>
        </is>
      </c>
      <c r="H1539" s="76" t="n">
        <v>1110202</v>
      </c>
      <c r="I1539" s="59" t="inlineStr">
        <is>
          <t>BANCO ITAU Lj 01</t>
        </is>
      </c>
      <c r="J1539" s="76" t="n">
        <v>1439311</v>
      </c>
      <c r="L1539" s="76" t="n">
        <v>3590</v>
      </c>
      <c r="M1539" s="59" t="inlineStr">
        <is>
          <t>01</t>
        </is>
      </c>
      <c r="N1539" s="59" t="inlineStr">
        <is>
          <t>AVU</t>
        </is>
      </c>
      <c r="P1539" s="76" t="n">
        <v>103</v>
      </c>
      <c r="Q1539" s="59" t="inlineStr">
        <is>
          <t>MILKA FRANCIS</t>
        </is>
      </c>
      <c r="R1539" s="59" t="inlineStr">
        <is>
          <t>ESTOQUE DE MERCADORIAS</t>
        </is>
      </c>
      <c r="S1539" s="76" t="n">
        <v>1130101</v>
      </c>
      <c r="T1539" s="59" t="inlineStr">
        <is>
          <t>MERCADORIAS P/REVENDA</t>
        </is>
      </c>
      <c r="U1539" s="77" t="n">
        <v>274</v>
      </c>
      <c r="W1539" s="77" t="n">
        <v>0</v>
      </c>
      <c r="X1539" s="59" t="inlineStr">
        <is>
          <t>NF 3590 SANTO PAO - MILKA</t>
        </is>
      </c>
      <c r="Z1539" s="59">
        <f>IF($T1539="","",IFERROR(INDEX('Resumo Grupos'!$AC$3:$AC$200,MATCH($T1539,'Resumo Grupos'!$AB$3:$AB$200,0)),"n/d"))</f>
        <v/>
      </c>
      <c r="AA1539" s="59">
        <f>IF($T1539="","",IF(COUNTIF('Resumo Grupos'!$AE$3:$AE$40,$T1539)&gt;0,"NAO","SIM"))</f>
        <v/>
      </c>
    </row>
    <row r="1540" ht="12.75" customHeight="1" s="60">
      <c r="A1540" s="76" t="n">
        <v>1</v>
      </c>
      <c r="B1540" s="75" t="n">
        <v>46226</v>
      </c>
      <c r="C1540" s="75" t="n">
        <v>46232</v>
      </c>
      <c r="D1540" s="76" t="n">
        <v>1609</v>
      </c>
      <c r="E1540" s="59" t="inlineStr">
        <is>
          <t>H. L. DO NASCIMENTO</t>
        </is>
      </c>
      <c r="F1540" s="76" t="n">
        <v>24</v>
      </c>
      <c r="G1540" s="59" t="inlineStr">
        <is>
          <t>Compra a Prazo - Boletos</t>
        </is>
      </c>
      <c r="H1540" s="76" t="n">
        <v>1110202</v>
      </c>
      <c r="I1540" s="59" t="inlineStr">
        <is>
          <t>BANCO ITAU Lj 01</t>
        </is>
      </c>
      <c r="J1540" s="76" t="n">
        <v>1439329</v>
      </c>
      <c r="L1540" s="76" t="n">
        <v>5843</v>
      </c>
      <c r="M1540" s="59" t="inlineStr">
        <is>
          <t>01</t>
        </is>
      </c>
      <c r="N1540" s="59" t="inlineStr">
        <is>
          <t>AVU</t>
        </is>
      </c>
      <c r="P1540" s="76" t="n">
        <v>103</v>
      </c>
      <c r="Q1540" s="59" t="inlineStr">
        <is>
          <t>MILKA FRANCIS</t>
        </is>
      </c>
      <c r="R1540" s="59" t="inlineStr">
        <is>
          <t>ESTOQUE DE MERCADORIAS</t>
        </is>
      </c>
      <c r="S1540" s="76" t="n">
        <v>1130101</v>
      </c>
      <c r="T1540" s="59" t="inlineStr">
        <is>
          <t>MERCADORIAS P/REVENDA</t>
        </is>
      </c>
      <c r="U1540" s="77" t="n">
        <v>933.95</v>
      </c>
      <c r="W1540" s="77" t="n">
        <v>0</v>
      </c>
      <c r="X1540" s="59" t="inlineStr">
        <is>
          <t>NF 5843 FAZENDINHA - MILKA</t>
        </is>
      </c>
      <c r="Z1540" s="59">
        <f>IF($T1540="","",IFERROR(INDEX('Resumo Grupos'!$AC$3:$AC$200,MATCH($T1540,'Resumo Grupos'!$AB$3:$AB$200,0)),"n/d"))</f>
        <v/>
      </c>
      <c r="AA1540" s="59">
        <f>IF($T1540="","",IF(COUNTIF('Resumo Grupos'!$AE$3:$AE$40,$T1540)&gt;0,"NAO","SIM"))</f>
        <v/>
      </c>
    </row>
    <row r="1541" ht="12.75" customHeight="1" s="60">
      <c r="A1541" s="76" t="n">
        <v>1</v>
      </c>
      <c r="B1541" s="75" t="n">
        <v>46231</v>
      </c>
      <c r="C1541" s="75" t="n">
        <v>46232</v>
      </c>
      <c r="D1541" s="76" t="n">
        <v>1615</v>
      </c>
      <c r="E1541" s="59" t="inlineStr">
        <is>
          <t>COMERCIO E TRANSPORTE BRANDAO LTDA</t>
        </is>
      </c>
      <c r="F1541" s="76" t="n">
        <v>34</v>
      </c>
      <c r="G1541" s="59" t="inlineStr">
        <is>
          <t>Transferencia Pix</t>
        </is>
      </c>
      <c r="H1541" s="76" t="n">
        <v>2110101</v>
      </c>
      <c r="I1541" s="59" t="inlineStr">
        <is>
          <t>FORNECEDORES DE MERCADORIA</t>
        </is>
      </c>
      <c r="J1541" s="76" t="n">
        <v>1464669</v>
      </c>
      <c r="L1541" s="76" t="n">
        <v>14967</v>
      </c>
      <c r="M1541" s="59" t="inlineStr">
        <is>
          <t>01</t>
        </is>
      </c>
      <c r="N1541" s="59" t="inlineStr">
        <is>
          <t>NFE</t>
        </is>
      </c>
      <c r="P1541" s="76" t="n">
        <v>104</v>
      </c>
      <c r="Q1541" s="59" t="inlineStr">
        <is>
          <t>DEBORA COSTA</t>
        </is>
      </c>
      <c r="R1541" s="59" t="inlineStr">
        <is>
          <t>ESTOQUE DE MERCADORIAS</t>
        </is>
      </c>
      <c r="S1541" s="76" t="n">
        <v>1130101</v>
      </c>
      <c r="T1541" s="59" t="inlineStr">
        <is>
          <t>MERCADORIAS P/REVENDA</t>
        </is>
      </c>
      <c r="U1541" s="77" t="n">
        <v>720</v>
      </c>
      <c r="W1541" s="77" t="n">
        <v>0</v>
      </c>
      <c r="X1541" s="59" t="inlineStr">
        <is>
          <t>14967 - DEBORA</t>
        </is>
      </c>
      <c r="Z1541" s="59">
        <f>IF($T1541="","",IFERROR(INDEX('Resumo Grupos'!$AC$3:$AC$200,MATCH($T1541,'Resumo Grupos'!$AB$3:$AB$200,0)),"n/d"))</f>
        <v/>
      </c>
      <c r="AA1541" s="59">
        <f>IF($T1541="","",IF(COUNTIF('Resumo Grupos'!$AE$3:$AE$40,$T1541)&gt;0,"NAO","SIM"))</f>
        <v/>
      </c>
    </row>
    <row r="1542" ht="12.75" customHeight="1" s="60">
      <c r="A1542" s="76" t="n">
        <v>1</v>
      </c>
      <c r="B1542" s="75" t="n">
        <v>46232</v>
      </c>
      <c r="C1542" s="75" t="n">
        <v>46232</v>
      </c>
      <c r="D1542" s="76" t="n">
        <v>515</v>
      </c>
      <c r="E1542" s="59" t="inlineStr">
        <is>
          <t>ITAU SA</t>
        </is>
      </c>
      <c r="F1542" s="76" t="n">
        <v>34</v>
      </c>
      <c r="G1542" s="59" t="inlineStr">
        <is>
          <t>Transferencia Pix</t>
        </is>
      </c>
      <c r="H1542" s="76" t="n">
        <v>1110202</v>
      </c>
      <c r="I1542" s="59" t="inlineStr">
        <is>
          <t>BANCO ITAU Lj 01</t>
        </is>
      </c>
      <c r="J1542" s="76" t="n">
        <v>1468233</v>
      </c>
      <c r="L1542" s="76" t="n">
        <v>603538</v>
      </c>
      <c r="M1542" s="59" t="inlineStr">
        <is>
          <t>01</t>
        </is>
      </c>
      <c r="N1542" s="59" t="inlineStr">
        <is>
          <t>AVU</t>
        </is>
      </c>
      <c r="P1542" s="76" t="n">
        <v>102</v>
      </c>
      <c r="Q1542" s="59" t="inlineStr">
        <is>
          <t>ANDREZA ANDRADE</t>
        </is>
      </c>
      <c r="R1542" s="59" t="inlineStr">
        <is>
          <t>DESPESAS NAO OPERACIONAIS</t>
        </is>
      </c>
      <c r="S1542" s="76" t="n">
        <v>4220199</v>
      </c>
      <c r="T1542" s="59" t="inlineStr">
        <is>
          <t>PAGAMENTOS OUTROS NAO OPERACIONAIS</t>
        </is>
      </c>
      <c r="U1542" s="77" t="n">
        <v>279.64</v>
      </c>
      <c r="W1542" s="77" t="n">
        <v>0</v>
      </c>
      <c r="X1542" s="59" t="inlineStr">
        <is>
          <t>cobertura de conta eso -andreza</t>
        </is>
      </c>
      <c r="Z1542" s="59">
        <f>IF($T1542="","",IFERROR(INDEX('Resumo Grupos'!$AC$3:$AC$200,MATCH($T1542,'Resumo Grupos'!$AB$3:$AB$200,0)),"n/d"))</f>
        <v/>
      </c>
      <c r="AA1542" s="59">
        <f>IF($T1542="","",IF(COUNTIF('Resumo Grupos'!$AE$3:$AE$40,$T1542)&gt;0,"NAO","SIM"))</f>
        <v/>
      </c>
    </row>
    <row r="1543" ht="12.75" customHeight="1" s="60">
      <c r="A1543" s="76" t="n">
        <v>1</v>
      </c>
      <c r="B1543" s="75" t="n">
        <v>46232</v>
      </c>
      <c r="C1543" s="75" t="n">
        <v>46232</v>
      </c>
      <c r="D1543" s="76" t="n">
        <v>33</v>
      </c>
      <c r="E1543" s="59" t="inlineStr">
        <is>
          <t>RENATO DE O AZEVEDO E CIA LTDA - EPP</t>
        </is>
      </c>
      <c r="F1543" s="76" t="n">
        <v>13</v>
      </c>
      <c r="G1543" s="59" t="inlineStr">
        <is>
          <t>Compra a Vista</t>
        </is>
      </c>
      <c r="H1543" s="76" t="n">
        <v>2110101</v>
      </c>
      <c r="I1543" s="59" t="inlineStr">
        <is>
          <t>FORNECEDORES DE MERCADORIA</t>
        </is>
      </c>
      <c r="J1543" s="76" t="n">
        <v>1468261</v>
      </c>
      <c r="L1543" s="76" t="n">
        <v>5366</v>
      </c>
      <c r="M1543" s="59" t="inlineStr">
        <is>
          <t>01</t>
        </is>
      </c>
      <c r="N1543" s="59" t="inlineStr">
        <is>
          <t>NFE</t>
        </is>
      </c>
      <c r="P1543" s="76" t="n">
        <v>104</v>
      </c>
      <c r="Q1543" s="59" t="inlineStr">
        <is>
          <t>DEBORA COSTA</t>
        </is>
      </c>
      <c r="R1543" s="59" t="inlineStr">
        <is>
          <t>ESTOQUE DE MERCADORIAS</t>
        </is>
      </c>
      <c r="S1543" s="76" t="n">
        <v>1130101</v>
      </c>
      <c r="T1543" s="59" t="inlineStr">
        <is>
          <t>MERCADORIAS P/REVENDA</t>
        </is>
      </c>
      <c r="U1543" s="77" t="n">
        <v>420</v>
      </c>
      <c r="W1543" s="77" t="n">
        <v>420</v>
      </c>
      <c r="X1543" s="59" t="inlineStr">
        <is>
          <t>ACAI DE ANORI - 18/07 - DEBORA</t>
        </is>
      </c>
      <c r="Z1543" s="59">
        <f>IF($T1543="","",IFERROR(INDEX('Resumo Grupos'!$AC$3:$AC$200,MATCH($T1543,'Resumo Grupos'!$AB$3:$AB$200,0)),"n/d"))</f>
        <v/>
      </c>
      <c r="AA1543" s="59">
        <f>IF($T1543="","",IF(COUNTIF('Resumo Grupos'!$AE$3:$AE$40,$T1543)&gt;0,"NAO","SIM"))</f>
        <v/>
      </c>
    </row>
    <row r="1544" ht="12.75" customHeight="1" s="60">
      <c r="A1544" s="76" t="n">
        <v>1</v>
      </c>
      <c r="B1544" s="75" t="n">
        <v>46232</v>
      </c>
      <c r="C1544" s="75" t="n">
        <v>46232</v>
      </c>
      <c r="D1544" s="76" t="n">
        <v>33</v>
      </c>
      <c r="E1544" s="59" t="inlineStr">
        <is>
          <t>RENATO DE O AZEVEDO E CIA LTDA - EPP</t>
        </is>
      </c>
      <c r="F1544" s="76" t="n">
        <v>13</v>
      </c>
      <c r="G1544" s="59" t="inlineStr">
        <is>
          <t>Compra a Vista</t>
        </is>
      </c>
      <c r="H1544" s="76" t="n">
        <v>2110101</v>
      </c>
      <c r="I1544" s="59" t="inlineStr">
        <is>
          <t>FORNECEDORES DE MERCADORIA</t>
        </is>
      </c>
      <c r="J1544" s="76" t="n">
        <v>1468306</v>
      </c>
      <c r="L1544" s="76" t="n">
        <v>5367</v>
      </c>
      <c r="M1544" s="59" t="inlineStr">
        <is>
          <t>01</t>
        </is>
      </c>
      <c r="N1544" s="59" t="inlineStr">
        <is>
          <t>NFE</t>
        </is>
      </c>
      <c r="P1544" s="76" t="n">
        <v>104</v>
      </c>
      <c r="Q1544" s="59" t="inlineStr">
        <is>
          <t>DEBORA COSTA</t>
        </is>
      </c>
      <c r="R1544" s="59" t="inlineStr">
        <is>
          <t>ESTOQUE DE MERCADORIAS</t>
        </is>
      </c>
      <c r="S1544" s="76" t="n">
        <v>1130101</v>
      </c>
      <c r="T1544" s="59" t="inlineStr">
        <is>
          <t>MERCADORIAS P/REVENDA</t>
        </is>
      </c>
      <c r="U1544" s="77" t="n">
        <v>350</v>
      </c>
      <c r="W1544" s="77" t="n">
        <v>350</v>
      </c>
      <c r="X1544" s="59" t="inlineStr">
        <is>
          <t>ACAI DE ANORI - 20/07 - DEBORA</t>
        </is>
      </c>
      <c r="Z1544" s="59">
        <f>IF($T1544="","",IFERROR(INDEX('Resumo Grupos'!$AC$3:$AC$200,MATCH($T1544,'Resumo Grupos'!$AB$3:$AB$200,0)),"n/d"))</f>
        <v/>
      </c>
      <c r="AA1544" s="59">
        <f>IF($T1544="","",IF(COUNTIF('Resumo Grupos'!$AE$3:$AE$40,$T1544)&gt;0,"NAO","SIM"))</f>
        <v/>
      </c>
    </row>
    <row r="1545" ht="12.75" customHeight="1" s="60">
      <c r="A1545" s="76" t="n">
        <v>1</v>
      </c>
      <c r="B1545" s="75" t="n">
        <v>46232</v>
      </c>
      <c r="C1545" s="75" t="n">
        <v>46232</v>
      </c>
      <c r="D1545" s="76" t="n">
        <v>33</v>
      </c>
      <c r="E1545" s="59" t="inlineStr">
        <is>
          <t>RENATO DE O AZEVEDO E CIA LTDA - EPP</t>
        </is>
      </c>
      <c r="F1545" s="76" t="n">
        <v>13</v>
      </c>
      <c r="G1545" s="59" t="inlineStr">
        <is>
          <t>Compra a Vista</t>
        </is>
      </c>
      <c r="H1545" s="76" t="n">
        <v>2110101</v>
      </c>
      <c r="I1545" s="59" t="inlineStr">
        <is>
          <t>FORNECEDORES DE MERCADORIA</t>
        </is>
      </c>
      <c r="J1545" s="76" t="n">
        <v>1468415</v>
      </c>
      <c r="L1545" s="76" t="n">
        <v>5368</v>
      </c>
      <c r="M1545" s="59" t="inlineStr">
        <is>
          <t>01</t>
        </is>
      </c>
      <c r="N1545" s="59" t="inlineStr">
        <is>
          <t>NFE</t>
        </is>
      </c>
      <c r="P1545" s="76" t="n">
        <v>104</v>
      </c>
      <c r="Q1545" s="59" t="inlineStr">
        <is>
          <t>DEBORA COSTA</t>
        </is>
      </c>
      <c r="R1545" s="59" t="inlineStr">
        <is>
          <t>ESTOQUE DE MERCADORIAS</t>
        </is>
      </c>
      <c r="S1545" s="76" t="n">
        <v>1130101</v>
      </c>
      <c r="T1545" s="59" t="inlineStr">
        <is>
          <t>MERCADORIAS P/REVENDA</t>
        </is>
      </c>
      <c r="U1545" s="77" t="n">
        <v>280</v>
      </c>
      <c r="W1545" s="77" t="n">
        <v>280</v>
      </c>
      <c r="X1545" s="59" t="inlineStr">
        <is>
          <t>ACAI DE ANORI - 21/07 - DEBORA</t>
        </is>
      </c>
      <c r="Z1545" s="59">
        <f>IF($T1545="","",IFERROR(INDEX('Resumo Grupos'!$AC$3:$AC$200,MATCH($T1545,'Resumo Grupos'!$AB$3:$AB$200,0)),"n/d"))</f>
        <v/>
      </c>
      <c r="AA1545" s="59">
        <f>IF($T1545="","",IF(COUNTIF('Resumo Grupos'!$AE$3:$AE$40,$T1545)&gt;0,"NAO","SIM"))</f>
        <v/>
      </c>
    </row>
    <row r="1546" ht="12.75" customHeight="1" s="60">
      <c r="A1546" s="76" t="n">
        <v>1</v>
      </c>
      <c r="B1546" s="75" t="n">
        <v>46232</v>
      </c>
      <c r="C1546" s="75" t="n">
        <v>46232</v>
      </c>
      <c r="D1546" s="76" t="n">
        <v>33</v>
      </c>
      <c r="E1546" s="59" t="inlineStr">
        <is>
          <t>RENATO DE O AZEVEDO E CIA LTDA - EPP</t>
        </is>
      </c>
      <c r="F1546" s="76" t="n">
        <v>13</v>
      </c>
      <c r="G1546" s="59" t="inlineStr">
        <is>
          <t>Compra a Vista</t>
        </is>
      </c>
      <c r="H1546" s="76" t="n">
        <v>2110101</v>
      </c>
      <c r="I1546" s="59" t="inlineStr">
        <is>
          <t>FORNECEDORES DE MERCADORIA</t>
        </is>
      </c>
      <c r="J1546" s="76" t="n">
        <v>1468465</v>
      </c>
      <c r="L1546" s="76" t="n">
        <v>5369</v>
      </c>
      <c r="M1546" s="59" t="inlineStr">
        <is>
          <t>01</t>
        </is>
      </c>
      <c r="N1546" s="59" t="inlineStr">
        <is>
          <t>NFE</t>
        </is>
      </c>
      <c r="P1546" s="76" t="n">
        <v>104</v>
      </c>
      <c r="Q1546" s="59" t="inlineStr">
        <is>
          <t>DEBORA COSTA</t>
        </is>
      </c>
      <c r="R1546" s="59" t="inlineStr">
        <is>
          <t>ESTOQUE DE MERCADORIAS</t>
        </is>
      </c>
      <c r="S1546" s="76" t="n">
        <v>1130101</v>
      </c>
      <c r="T1546" s="59" t="inlineStr">
        <is>
          <t>MERCADORIAS P/REVENDA</t>
        </is>
      </c>
      <c r="U1546" s="77" t="n">
        <v>280</v>
      </c>
      <c r="W1546" s="77" t="n">
        <v>280</v>
      </c>
      <c r="X1546" s="59" t="inlineStr">
        <is>
          <t>ACAI DE ANORI - 22/07 - DEBORA</t>
        </is>
      </c>
      <c r="Z1546" s="59">
        <f>IF($T1546="","",IFERROR(INDEX('Resumo Grupos'!$AC$3:$AC$200,MATCH($T1546,'Resumo Grupos'!$AB$3:$AB$200,0)),"n/d"))</f>
        <v/>
      </c>
      <c r="AA1546" s="59">
        <f>IF($T1546="","",IF(COUNTIF('Resumo Grupos'!$AE$3:$AE$40,$T1546)&gt;0,"NAO","SIM"))</f>
        <v/>
      </c>
    </row>
    <row r="1547" ht="12.75" customHeight="1" s="60">
      <c r="A1547" s="76" t="n">
        <v>1</v>
      </c>
      <c r="B1547" s="75" t="n">
        <v>46232</v>
      </c>
      <c r="C1547" s="75" t="n">
        <v>46232</v>
      </c>
      <c r="D1547" s="76" t="n">
        <v>33</v>
      </c>
      <c r="E1547" s="59" t="inlineStr">
        <is>
          <t>RENATO DE O AZEVEDO E CIA LTDA - EPP</t>
        </is>
      </c>
      <c r="F1547" s="76" t="n">
        <v>13</v>
      </c>
      <c r="G1547" s="59" t="inlineStr">
        <is>
          <t>Compra a Vista</t>
        </is>
      </c>
      <c r="H1547" s="76" t="n">
        <v>2110101</v>
      </c>
      <c r="I1547" s="59" t="inlineStr">
        <is>
          <t>FORNECEDORES DE MERCADORIA</t>
        </is>
      </c>
      <c r="J1547" s="76" t="n">
        <v>1468486</v>
      </c>
      <c r="L1547" s="76" t="n">
        <v>5370</v>
      </c>
      <c r="M1547" s="59" t="inlineStr">
        <is>
          <t>01</t>
        </is>
      </c>
      <c r="N1547" s="59" t="inlineStr">
        <is>
          <t>NFE</t>
        </is>
      </c>
      <c r="P1547" s="76" t="n">
        <v>104</v>
      </c>
      <c r="Q1547" s="59" t="inlineStr">
        <is>
          <t>DEBORA COSTA</t>
        </is>
      </c>
      <c r="R1547" s="59" t="inlineStr">
        <is>
          <t>ESTOQUE DE MERCADORIAS</t>
        </is>
      </c>
      <c r="S1547" s="76" t="n">
        <v>1130101</v>
      </c>
      <c r="T1547" s="59" t="inlineStr">
        <is>
          <t>MERCADORIAS P/REVENDA</t>
        </is>
      </c>
      <c r="U1547" s="77" t="n">
        <v>280</v>
      </c>
      <c r="W1547" s="77" t="n">
        <v>280</v>
      </c>
      <c r="X1547" s="59" t="inlineStr">
        <is>
          <t>ACAI DE ANORI - 23/07 - DEBORA</t>
        </is>
      </c>
      <c r="Z1547" s="59">
        <f>IF($T1547="","",IFERROR(INDEX('Resumo Grupos'!$AC$3:$AC$200,MATCH($T1547,'Resumo Grupos'!$AB$3:$AB$200,0)),"n/d"))</f>
        <v/>
      </c>
      <c r="AA1547" s="59">
        <f>IF($T1547="","",IF(COUNTIF('Resumo Grupos'!$AE$3:$AE$40,$T1547)&gt;0,"NAO","SIM"))</f>
        <v/>
      </c>
    </row>
    <row r="1548" ht="12.75" customHeight="1" s="60">
      <c r="A1548" s="76" t="n">
        <v>1</v>
      </c>
      <c r="B1548" s="75" t="n">
        <v>46232</v>
      </c>
      <c r="C1548" s="75" t="n">
        <v>46232</v>
      </c>
      <c r="D1548" s="76" t="n">
        <v>33</v>
      </c>
      <c r="E1548" s="59" t="inlineStr">
        <is>
          <t>RENATO DE O AZEVEDO E CIA LTDA - EPP</t>
        </is>
      </c>
      <c r="F1548" s="76" t="n">
        <v>13</v>
      </c>
      <c r="G1548" s="59" t="inlineStr">
        <is>
          <t>Compra a Vista</t>
        </is>
      </c>
      <c r="H1548" s="76" t="n">
        <v>2110101</v>
      </c>
      <c r="I1548" s="59" t="inlineStr">
        <is>
          <t>FORNECEDORES DE MERCADORIA</t>
        </is>
      </c>
      <c r="J1548" s="76" t="n">
        <v>1468550</v>
      </c>
      <c r="L1548" s="76" t="n">
        <v>5371</v>
      </c>
      <c r="M1548" s="59" t="inlineStr">
        <is>
          <t>01</t>
        </is>
      </c>
      <c r="N1548" s="59" t="inlineStr">
        <is>
          <t>NFE</t>
        </is>
      </c>
      <c r="P1548" s="76" t="n">
        <v>104</v>
      </c>
      <c r="Q1548" s="59" t="inlineStr">
        <is>
          <t>DEBORA COSTA</t>
        </is>
      </c>
      <c r="R1548" s="59" t="inlineStr">
        <is>
          <t>ESTOQUE DE MERCADORIAS</t>
        </is>
      </c>
      <c r="S1548" s="76" t="n">
        <v>1130101</v>
      </c>
      <c r="T1548" s="59" t="inlineStr">
        <is>
          <t>MERCADORIAS P/REVENDA</t>
        </is>
      </c>
      <c r="U1548" s="77" t="n">
        <v>280</v>
      </c>
      <c r="W1548" s="77" t="n">
        <v>280</v>
      </c>
      <c r="X1548" s="59" t="inlineStr">
        <is>
          <t>ACAI DE ANORI - 24/07 - DEBORA</t>
        </is>
      </c>
      <c r="Z1548" s="59">
        <f>IF($T1548="","",IFERROR(INDEX('Resumo Grupos'!$AC$3:$AC$200,MATCH($T1548,'Resumo Grupos'!$AB$3:$AB$200,0)),"n/d"))</f>
        <v/>
      </c>
      <c r="AA1548" s="59">
        <f>IF($T1548="","",IF(COUNTIF('Resumo Grupos'!$AE$3:$AE$40,$T1548)&gt;0,"NAO","SIM"))</f>
        <v/>
      </c>
    </row>
    <row r="1549" ht="12.75" customHeight="1" s="60">
      <c r="A1549" s="76" t="n">
        <v>1</v>
      </c>
      <c r="B1549" s="75" t="n">
        <v>46232</v>
      </c>
      <c r="C1549" s="75" t="n">
        <v>46232</v>
      </c>
      <c r="D1549" s="76" t="n">
        <v>33</v>
      </c>
      <c r="E1549" s="59" t="inlineStr">
        <is>
          <t>RENATO DE O AZEVEDO E CIA LTDA - EPP</t>
        </is>
      </c>
      <c r="F1549" s="76" t="n">
        <v>13</v>
      </c>
      <c r="G1549" s="59" t="inlineStr">
        <is>
          <t>Compra a Vista</t>
        </is>
      </c>
      <c r="H1549" s="76" t="n">
        <v>2110101</v>
      </c>
      <c r="I1549" s="59" t="inlineStr">
        <is>
          <t>FORNECEDORES DE MERCADORIA</t>
        </is>
      </c>
      <c r="J1549" s="76" t="n">
        <v>1468602</v>
      </c>
      <c r="L1549" s="76" t="n">
        <v>5372</v>
      </c>
      <c r="M1549" s="59" t="inlineStr">
        <is>
          <t>01</t>
        </is>
      </c>
      <c r="N1549" s="59" t="inlineStr">
        <is>
          <t>NFE</t>
        </is>
      </c>
      <c r="P1549" s="76" t="n">
        <v>104</v>
      </c>
      <c r="Q1549" s="59" t="inlineStr">
        <is>
          <t>DEBORA COSTA</t>
        </is>
      </c>
      <c r="R1549" s="59" t="inlineStr">
        <is>
          <t>ESTOQUE DE MERCADORIAS</t>
        </is>
      </c>
      <c r="S1549" s="76" t="n">
        <v>1130101</v>
      </c>
      <c r="T1549" s="59" t="inlineStr">
        <is>
          <t>MERCADORIAS P/REVENDA</t>
        </is>
      </c>
      <c r="U1549" s="77" t="n">
        <v>420</v>
      </c>
      <c r="W1549" s="77" t="n">
        <v>420</v>
      </c>
      <c r="X1549" s="59" t="inlineStr">
        <is>
          <t>ACAI DE ANORI - 25/07 - DEBORA</t>
        </is>
      </c>
      <c r="Z1549" s="59">
        <f>IF($T1549="","",IFERROR(INDEX('Resumo Grupos'!$AC$3:$AC$200,MATCH($T1549,'Resumo Grupos'!$AB$3:$AB$200,0)),"n/d"))</f>
        <v/>
      </c>
      <c r="AA1549" s="59">
        <f>IF($T1549="","",IF(COUNTIF('Resumo Grupos'!$AE$3:$AE$40,$T1549)&gt;0,"NAO","SIM"))</f>
        <v/>
      </c>
    </row>
    <row r="1550" ht="12.75" customHeight="1" s="60">
      <c r="A1550" s="76" t="n">
        <v>1</v>
      </c>
      <c r="B1550" s="75" t="n">
        <v>46232</v>
      </c>
      <c r="C1550" s="75" t="n">
        <v>46232</v>
      </c>
      <c r="D1550" s="76" t="n">
        <v>33</v>
      </c>
      <c r="E1550" s="59" t="inlineStr">
        <is>
          <t>RENATO DE O AZEVEDO E CIA LTDA - EPP</t>
        </is>
      </c>
      <c r="F1550" s="76" t="n">
        <v>13</v>
      </c>
      <c r="G1550" s="59" t="inlineStr">
        <is>
          <t>Compra a Vista</t>
        </is>
      </c>
      <c r="H1550" s="76" t="n">
        <v>2110101</v>
      </c>
      <c r="I1550" s="59" t="inlineStr">
        <is>
          <t>FORNECEDORES DE MERCADORIA</t>
        </is>
      </c>
      <c r="J1550" s="76" t="n">
        <v>1468698</v>
      </c>
      <c r="L1550" s="76" t="n">
        <v>5373</v>
      </c>
      <c r="M1550" s="59" t="inlineStr">
        <is>
          <t>01</t>
        </is>
      </c>
      <c r="N1550" s="59" t="inlineStr">
        <is>
          <t>NFE</t>
        </is>
      </c>
      <c r="P1550" s="76" t="n">
        <v>104</v>
      </c>
      <c r="Q1550" s="59" t="inlineStr">
        <is>
          <t>DEBORA COSTA</t>
        </is>
      </c>
      <c r="R1550" s="59" t="inlineStr">
        <is>
          <t>ESTOQUE DE MERCADORIAS</t>
        </is>
      </c>
      <c r="S1550" s="76" t="n">
        <v>1130101</v>
      </c>
      <c r="T1550" s="59" t="inlineStr">
        <is>
          <t>MERCADORIAS P/REVENDA</t>
        </is>
      </c>
      <c r="U1550" s="77" t="n">
        <v>350</v>
      </c>
      <c r="W1550" s="77" t="n">
        <v>350</v>
      </c>
      <c r="X1550" s="59" t="inlineStr">
        <is>
          <t>ACAI DE ANORI - 27/07 - DEBORA</t>
        </is>
      </c>
      <c r="Z1550" s="59">
        <f>IF($T1550="","",IFERROR(INDEX('Resumo Grupos'!$AC$3:$AC$200,MATCH($T1550,'Resumo Grupos'!$AB$3:$AB$200,0)),"n/d"))</f>
        <v/>
      </c>
      <c r="AA1550" s="59">
        <f>IF($T1550="","",IF(COUNTIF('Resumo Grupos'!$AE$3:$AE$40,$T1550)&gt;0,"NAO","SIM"))</f>
        <v/>
      </c>
    </row>
    <row r="1551" ht="12.75" customHeight="1" s="60">
      <c r="A1551" s="76" t="n">
        <v>1</v>
      </c>
      <c r="B1551" s="75" t="n">
        <v>46232</v>
      </c>
      <c r="C1551" s="75" t="n">
        <v>46232</v>
      </c>
      <c r="D1551" s="76" t="n">
        <v>33</v>
      </c>
      <c r="E1551" s="59" t="inlineStr">
        <is>
          <t>RENATO DE O AZEVEDO E CIA LTDA - EPP</t>
        </is>
      </c>
      <c r="F1551" s="76" t="n">
        <v>13</v>
      </c>
      <c r="G1551" s="59" t="inlineStr">
        <is>
          <t>Compra a Vista</t>
        </is>
      </c>
      <c r="H1551" s="76" t="n">
        <v>2110101</v>
      </c>
      <c r="I1551" s="59" t="inlineStr">
        <is>
          <t>FORNECEDORES DE MERCADORIA</t>
        </is>
      </c>
      <c r="J1551" s="76" t="n">
        <v>1468707</v>
      </c>
      <c r="L1551" s="76" t="n">
        <v>5374</v>
      </c>
      <c r="M1551" s="59" t="inlineStr">
        <is>
          <t>01</t>
        </is>
      </c>
      <c r="N1551" s="59" t="inlineStr">
        <is>
          <t>NFE</t>
        </is>
      </c>
      <c r="P1551" s="76" t="n">
        <v>104</v>
      </c>
      <c r="Q1551" s="59" t="inlineStr">
        <is>
          <t>DEBORA COSTA</t>
        </is>
      </c>
      <c r="R1551" s="59" t="inlineStr">
        <is>
          <t>ESTOQUE DE MERCADORIAS</t>
        </is>
      </c>
      <c r="S1551" s="76" t="n">
        <v>1130101</v>
      </c>
      <c r="T1551" s="59" t="inlineStr">
        <is>
          <t>MERCADORIAS P/REVENDA</t>
        </is>
      </c>
      <c r="U1551" s="77" t="n">
        <v>350</v>
      </c>
      <c r="W1551" s="77" t="n">
        <v>350</v>
      </c>
      <c r="X1551" s="59" t="inlineStr">
        <is>
          <t>ACAI DE ANORI - 28/07 - DEBORA</t>
        </is>
      </c>
      <c r="Z1551" s="59">
        <f>IF($T1551="","",IFERROR(INDEX('Resumo Grupos'!$AC$3:$AC$200,MATCH($T1551,'Resumo Grupos'!$AB$3:$AB$200,0)),"n/d"))</f>
        <v/>
      </c>
      <c r="AA1551" s="59">
        <f>IF($T1551="","",IF(COUNTIF('Resumo Grupos'!$AE$3:$AE$40,$T1551)&gt;0,"NAO","SIM"))</f>
        <v/>
      </c>
    </row>
    <row r="1552" ht="12.75" customHeight="1" s="60">
      <c r="A1552" s="76" t="n">
        <v>1</v>
      </c>
      <c r="B1552" s="75" t="n">
        <v>46232</v>
      </c>
      <c r="C1552" s="75" t="n">
        <v>46232</v>
      </c>
      <c r="D1552" s="76" t="n">
        <v>905</v>
      </c>
      <c r="E1552" s="59" t="inlineStr">
        <is>
          <t>ELISMAR(OBRA)</t>
        </is>
      </c>
      <c r="F1552" s="76" t="n">
        <v>34</v>
      </c>
      <c r="G1552" s="59" t="inlineStr">
        <is>
          <t>Transferencia Pix</t>
        </is>
      </c>
      <c r="H1552" s="76" t="n">
        <v>1110202</v>
      </c>
      <c r="I1552" s="59" t="inlineStr">
        <is>
          <t>BANCO ITAU Lj 01</t>
        </is>
      </c>
      <c r="J1552" s="76" t="n">
        <v>1473251</v>
      </c>
      <c r="L1552" s="76" t="n">
        <v>605375</v>
      </c>
      <c r="M1552" s="59" t="inlineStr">
        <is>
          <t>01</t>
        </is>
      </c>
      <c r="N1552" s="59" t="inlineStr">
        <is>
          <t>AVU</t>
        </is>
      </c>
      <c r="P1552" s="76" t="n">
        <v>102</v>
      </c>
      <c r="Q1552" s="59" t="inlineStr">
        <is>
          <t>ANDREZA ANDRADE</t>
        </is>
      </c>
      <c r="R1552" s="59" t="inlineStr">
        <is>
          <t>CUSTOS DE PRODUCAO</t>
        </is>
      </c>
      <c r="S1552" s="76" t="n">
        <v>4110103</v>
      </c>
      <c r="T1552" s="59" t="inlineStr">
        <is>
          <t>MAO DE OBRA</t>
        </is>
      </c>
      <c r="U1552" s="77" t="n">
        <v>400</v>
      </c>
      <c r="W1552" s="77" t="n">
        <v>0</v>
      </c>
      <c r="X1552" s="59" t="inlineStr">
        <is>
          <t xml:space="preserve"> DESPESAPG.SERV DUCHA BANHEIRO ESCR.DESISTR, AREA PET </t>
        </is>
      </c>
      <c r="Z1552" s="59">
        <f>IF($T1552="","",IFERROR(INDEX('Resumo Grupos'!$AC$3:$AC$200,MATCH($T1552,'Resumo Grupos'!$AB$3:$AB$200,0)),"n/d"))</f>
        <v/>
      </c>
      <c r="AA1552" s="59">
        <f>IF($T1552="","",IF(COUNTIF('Resumo Grupos'!$AE$3:$AE$40,$T1552)&gt;0,"NAO","SIM"))</f>
        <v/>
      </c>
    </row>
    <row r="1553" ht="12.75" customHeight="1" s="60">
      <c r="A1553" s="76" t="n">
        <v>1</v>
      </c>
      <c r="B1553" s="75" t="n">
        <v>46234</v>
      </c>
      <c r="C1553" s="75" t="n">
        <v>46232</v>
      </c>
      <c r="D1553" s="76" t="n">
        <v>1391</v>
      </c>
      <c r="E1553" s="59" t="inlineStr">
        <is>
          <t>D N COMERCIO ATACADISTA DE EMBALAGENS E</t>
        </is>
      </c>
      <c r="F1553" s="76" t="n">
        <v>13</v>
      </c>
      <c r="G1553" s="59" t="inlineStr">
        <is>
          <t>Compra a Vista</t>
        </is>
      </c>
      <c r="H1553" s="76" t="n">
        <v>2110101</v>
      </c>
      <c r="I1553" s="59" t="inlineStr">
        <is>
          <t>FORNECEDORES DE MERCADORIA</t>
        </is>
      </c>
      <c r="J1553" s="76" t="n">
        <v>1477703</v>
      </c>
      <c r="L1553" s="76" t="n">
        <v>413</v>
      </c>
      <c r="M1553" s="59" t="inlineStr">
        <is>
          <t>01</t>
        </is>
      </c>
      <c r="N1553" s="59" t="inlineStr">
        <is>
          <t>NFE</t>
        </is>
      </c>
      <c r="P1553" s="76" t="n">
        <v>104</v>
      </c>
      <c r="Q1553" s="59" t="inlineStr">
        <is>
          <t>DEBORA COSTA</t>
        </is>
      </c>
      <c r="R1553" s="59" t="inlineStr">
        <is>
          <t>ESTOQUE DE MERCADORIAS</t>
        </is>
      </c>
      <c r="S1553" s="76" t="n">
        <v>1130101</v>
      </c>
      <c r="T1553" s="59" t="inlineStr">
        <is>
          <t>MERCADORIAS P/REVENDA</t>
        </is>
      </c>
      <c r="U1553" s="77" t="n">
        <v>612</v>
      </c>
      <c r="W1553" s="77" t="n">
        <v>612</v>
      </c>
      <c r="X1553" s="59" t="inlineStr">
        <is>
          <t>NF 413 - DEBORA</t>
        </is>
      </c>
      <c r="Z1553" s="59">
        <f>IF($T1553="","",IFERROR(INDEX('Resumo Grupos'!$AC$3:$AC$200,MATCH($T1553,'Resumo Grupos'!$AB$3:$AB$200,0)),"n/d"))</f>
        <v/>
      </c>
      <c r="AA1553" s="59">
        <f>IF($T1553="","",IF(COUNTIF('Resumo Grupos'!$AE$3:$AE$40,$T1553)&gt;0,"NAO","SIM"))</f>
        <v/>
      </c>
    </row>
    <row r="1554" ht="12.75" customHeight="1" s="60">
      <c r="A1554" s="76" t="n">
        <v>1</v>
      </c>
      <c r="B1554" s="75" t="n">
        <v>46230</v>
      </c>
      <c r="C1554" s="75" t="n">
        <v>46233</v>
      </c>
      <c r="D1554" s="76" t="n">
        <v>1614</v>
      </c>
      <c r="E1554" s="59" t="inlineStr">
        <is>
          <t>C. R. PARENTE ABREU</t>
        </is>
      </c>
      <c r="F1554" s="76" t="n">
        <v>24</v>
      </c>
      <c r="G1554" s="59" t="inlineStr">
        <is>
          <t>Compra a Prazo - Boletos</t>
        </is>
      </c>
      <c r="H1554" s="76" t="n">
        <v>1110202</v>
      </c>
      <c r="I1554" s="59" t="inlineStr">
        <is>
          <t>BANCO ITAU Lj 01</t>
        </is>
      </c>
      <c r="J1554" s="76" t="n">
        <v>1460045</v>
      </c>
      <c r="L1554" s="76" t="n">
        <v>11479</v>
      </c>
      <c r="M1554" s="59" t="inlineStr">
        <is>
          <t>01</t>
        </is>
      </c>
      <c r="N1554" s="59" t="inlineStr">
        <is>
          <t>AVU</t>
        </is>
      </c>
      <c r="P1554" s="76" t="n">
        <v>103</v>
      </c>
      <c r="Q1554" s="59" t="inlineStr">
        <is>
          <t>MILKA FRANCIS</t>
        </is>
      </c>
      <c r="R1554" s="59" t="inlineStr">
        <is>
          <t>ESTOQUE DE MERCADORIAS</t>
        </is>
      </c>
      <c r="S1554" s="76" t="n">
        <v>1130101</v>
      </c>
      <c r="T1554" s="59" t="inlineStr">
        <is>
          <t>MERCADORIAS P/REVENDA</t>
        </is>
      </c>
      <c r="U1554" s="77" t="n">
        <v>713.3099999999999</v>
      </c>
      <c r="W1554" s="77" t="n">
        <v>0</v>
      </c>
      <c r="X1554" s="59" t="inlineStr">
        <is>
          <t xml:space="preserve">NF 11479-1 KARU - MILKA </t>
        </is>
      </c>
      <c r="Z1554" s="59">
        <f>IF($T1554="","",IFERROR(INDEX('Resumo Grupos'!$AC$3:$AC$200,MATCH($T1554,'Resumo Grupos'!$AB$3:$AB$200,0)),"n/d"))</f>
        <v/>
      </c>
      <c r="AA1554" s="59">
        <f>IF($T1554="","",IF(COUNTIF('Resumo Grupos'!$AE$3:$AE$40,$T1554)&gt;0,"NAO","SIM"))</f>
        <v/>
      </c>
    </row>
    <row r="1555" ht="12.75" customHeight="1" s="60">
      <c r="A1555" s="76" t="n">
        <v>1</v>
      </c>
      <c r="B1555" s="75" t="n">
        <v>46230</v>
      </c>
      <c r="C1555" s="75" t="n">
        <v>46233</v>
      </c>
      <c r="D1555" s="76" t="n">
        <v>10018</v>
      </c>
      <c r="E1555" s="59" t="inlineStr">
        <is>
          <t>ADRIANO FEITOSA OLIVEIRA LTDA</t>
        </is>
      </c>
      <c r="F1555" s="76" t="n">
        <v>34</v>
      </c>
      <c r="G1555" s="59" t="inlineStr">
        <is>
          <t>Transferencia Pix</t>
        </is>
      </c>
      <c r="H1555" s="76" t="n">
        <v>1110202</v>
      </c>
      <c r="I1555" s="59" t="inlineStr">
        <is>
          <t>BANCO ITAU Lj 01</t>
        </is>
      </c>
      <c r="J1555" s="76" t="n">
        <v>1458751</v>
      </c>
      <c r="L1555" s="76" t="n">
        <v>346</v>
      </c>
      <c r="M1555" s="59" t="inlineStr">
        <is>
          <t>01</t>
        </is>
      </c>
      <c r="N1555" s="59" t="inlineStr">
        <is>
          <t>AVU</t>
        </is>
      </c>
      <c r="P1555" s="76" t="n">
        <v>103</v>
      </c>
      <c r="Q1555" s="59" t="inlineStr">
        <is>
          <t>MILKA FRANCIS</t>
        </is>
      </c>
      <c r="R1555" s="59" t="inlineStr">
        <is>
          <t>ESTOQUE DE MERCADORIAS</t>
        </is>
      </c>
      <c r="S1555" s="76" t="n">
        <v>1130101</v>
      </c>
      <c r="T1555" s="59" t="inlineStr">
        <is>
          <t>MERCADORIAS P/REVENDA</t>
        </is>
      </c>
      <c r="U1555" s="77" t="n">
        <v>570</v>
      </c>
      <c r="W1555" s="77" t="n">
        <v>0</v>
      </c>
      <c r="X1555" s="59" t="inlineStr">
        <is>
          <t>NF 346 PGTO. P/ ADRIANO DISTRIB. - MILKA</t>
        </is>
      </c>
      <c r="Z1555" s="59">
        <f>IF($T1555="","",IFERROR(INDEX('Resumo Grupos'!$AC$3:$AC$200,MATCH($T1555,'Resumo Grupos'!$AB$3:$AB$200,0)),"n/d"))</f>
        <v/>
      </c>
      <c r="AA1555" s="59">
        <f>IF($T1555="","",IF(COUNTIF('Resumo Grupos'!$AE$3:$AE$40,$T1555)&gt;0,"NAO","SIM"))</f>
        <v/>
      </c>
    </row>
    <row r="1556" ht="12.75" customHeight="1" s="60">
      <c r="A1556" s="76" t="n">
        <v>1</v>
      </c>
      <c r="B1556" s="75" t="n">
        <v>46230</v>
      </c>
      <c r="C1556" s="75" t="n">
        <v>46233</v>
      </c>
      <c r="D1556" s="76" t="n">
        <v>1807</v>
      </c>
      <c r="E1556" s="59" t="inlineStr">
        <is>
          <t>SEFAZ DAR</t>
        </is>
      </c>
      <c r="F1556" s="76" t="n">
        <v>24</v>
      </c>
      <c r="G1556" s="59" t="inlineStr">
        <is>
          <t>Compra a Prazo - Boletos</t>
        </is>
      </c>
      <c r="H1556" s="76" t="n">
        <v>1110202</v>
      </c>
      <c r="I1556" s="59" t="inlineStr">
        <is>
          <t>BANCO ITAU Lj 01</t>
        </is>
      </c>
      <c r="J1556" s="76" t="n">
        <v>1459255</v>
      </c>
      <c r="L1556" s="76" t="n">
        <v>600334</v>
      </c>
      <c r="M1556" s="59" t="inlineStr">
        <is>
          <t>01</t>
        </is>
      </c>
      <c r="N1556" s="59" t="inlineStr">
        <is>
          <t>AVU</t>
        </is>
      </c>
      <c r="P1556" s="76" t="n">
        <v>101</v>
      </c>
      <c r="Q1556" s="59" t="inlineStr">
        <is>
          <t>KEILA LIMA</t>
        </is>
      </c>
      <c r="R1556" s="59" t="inlineStr">
        <is>
          <t>IMPOSTOS E CONTRIBUICOES A PAGAR</t>
        </is>
      </c>
      <c r="S1556" s="76" t="n">
        <v>2110712</v>
      </c>
      <c r="T1556" s="59" t="inlineStr">
        <is>
          <t>PIS / COFINS / CSLL RETIDO A RECOLHER</t>
        </is>
      </c>
      <c r="U1556" s="77" t="n">
        <v>568.76</v>
      </c>
      <c r="W1556" s="77" t="n">
        <v>0</v>
      </c>
      <c r="X1556" s="59" t="inlineStr">
        <is>
          <t>IMPOSTO CSLL 06/26 - KEILA</t>
        </is>
      </c>
      <c r="Z1556" s="59">
        <f>IF($T1556="","",IFERROR(INDEX('Resumo Grupos'!$AC$3:$AC$200,MATCH($T1556,'Resumo Grupos'!$AB$3:$AB$200,0)),"n/d"))</f>
        <v/>
      </c>
      <c r="AA1556" s="59">
        <f>IF($T1556="","",IF(COUNTIF('Resumo Grupos'!$AE$3:$AE$40,$T1556)&gt;0,"NAO","SIM"))</f>
        <v/>
      </c>
    </row>
    <row r="1557" ht="12.75" customHeight="1" s="60">
      <c r="A1557" s="76" t="n">
        <v>1</v>
      </c>
      <c r="B1557" s="75" t="n">
        <v>46230</v>
      </c>
      <c r="C1557" s="75" t="n">
        <v>46233</v>
      </c>
      <c r="D1557" s="76" t="n">
        <v>1807</v>
      </c>
      <c r="E1557" s="59" t="inlineStr">
        <is>
          <t>SEFAZ DAR</t>
        </is>
      </c>
      <c r="F1557" s="76" t="n">
        <v>24</v>
      </c>
      <c r="G1557" s="59" t="inlineStr">
        <is>
          <t>Compra a Prazo - Boletos</t>
        </is>
      </c>
      <c r="H1557" s="76" t="n">
        <v>1110202</v>
      </c>
      <c r="I1557" s="59" t="inlineStr">
        <is>
          <t>BANCO ITAU Lj 01</t>
        </is>
      </c>
      <c r="J1557" s="76" t="n">
        <v>1459259</v>
      </c>
      <c r="L1557" s="76" t="n">
        <v>600336</v>
      </c>
      <c r="M1557" s="59" t="inlineStr">
        <is>
          <t>01</t>
        </is>
      </c>
      <c r="N1557" s="59" t="inlineStr">
        <is>
          <t>AVU</t>
        </is>
      </c>
      <c r="P1557" s="76" t="n">
        <v>101</v>
      </c>
      <c r="Q1557" s="59" t="inlineStr">
        <is>
          <t>KEILA LIMA</t>
        </is>
      </c>
      <c r="R1557" s="59" t="inlineStr">
        <is>
          <t>IMPOSTOS E CONTRIBUICOES A PAGAR</t>
        </is>
      </c>
      <c r="S1557" s="76" t="n">
        <v>2110704</v>
      </c>
      <c r="T1557" s="59" t="inlineStr">
        <is>
          <t>IRPJ A PAGAR</t>
        </is>
      </c>
      <c r="U1557" s="77" t="n">
        <v>947.9400000000001</v>
      </c>
      <c r="W1557" s="77" t="n">
        <v>0</v>
      </c>
      <c r="X1557" s="59" t="inlineStr">
        <is>
          <t>IMPOSTO IRPJ 06/26 - KEILA</t>
        </is>
      </c>
      <c r="Z1557" s="59">
        <f>IF($T1557="","",IFERROR(INDEX('Resumo Grupos'!$AC$3:$AC$200,MATCH($T1557,'Resumo Grupos'!$AB$3:$AB$200,0)),"n/d"))</f>
        <v/>
      </c>
      <c r="AA1557" s="59">
        <f>IF($T1557="","",IF(COUNTIF('Resumo Grupos'!$AE$3:$AE$40,$T1557)&gt;0,"NAO","SIM"))</f>
        <v/>
      </c>
    </row>
    <row r="1558" ht="12.75" customHeight="1" s="60">
      <c r="A1558" s="76" t="n">
        <v>1</v>
      </c>
      <c r="B1558" s="75" t="n">
        <v>46189</v>
      </c>
      <c r="C1558" s="75" t="n">
        <v>46233</v>
      </c>
      <c r="D1558" s="76" t="n">
        <v>10012</v>
      </c>
      <c r="E1558" s="59" t="inlineStr">
        <is>
          <t>SB COMERCIO LTDA</t>
        </is>
      </c>
      <c r="F1558" s="76" t="n">
        <v>24</v>
      </c>
      <c r="G1558" s="59" t="inlineStr">
        <is>
          <t>Compra a Prazo - Boletos</t>
        </is>
      </c>
      <c r="H1558" s="76" t="n">
        <v>2110101</v>
      </c>
      <c r="I1558" s="59" t="inlineStr">
        <is>
          <t>FORNECEDORES DE MERCADORIA</t>
        </is>
      </c>
      <c r="J1558" s="76" t="n">
        <v>1261364</v>
      </c>
      <c r="L1558" s="76" t="n">
        <v>1957890</v>
      </c>
      <c r="M1558" s="59" t="inlineStr">
        <is>
          <t>05</t>
        </is>
      </c>
      <c r="N1558" s="59" t="inlineStr">
        <is>
          <t>NFE</t>
        </is>
      </c>
      <c r="P1558" s="76" t="n">
        <v>103</v>
      </c>
      <c r="Q1558" s="59" t="inlineStr">
        <is>
          <t>MILKA FRANCIS</t>
        </is>
      </c>
      <c r="R1558" s="59" t="inlineStr">
        <is>
          <t>ESTOQUE DE MERCADORIAS</t>
        </is>
      </c>
      <c r="S1558" s="76" t="n">
        <v>1130101</v>
      </c>
      <c r="T1558" s="59" t="inlineStr">
        <is>
          <t>MERCADORIAS P/REVENDA</t>
        </is>
      </c>
      <c r="U1558" s="77" t="n">
        <v>3937.79</v>
      </c>
      <c r="W1558" s="77" t="n">
        <v>0</v>
      </c>
      <c r="X1558" s="59" t="inlineStr">
        <is>
          <t>NF 1957890-5 MILKA</t>
        </is>
      </c>
      <c r="Z1558" s="59">
        <f>IF($T1558="","",IFERROR(INDEX('Resumo Grupos'!$AC$3:$AC$200,MATCH($T1558,'Resumo Grupos'!$AB$3:$AB$200,0)),"n/d"))</f>
        <v/>
      </c>
      <c r="AA1558" s="59">
        <f>IF($T1558="","",IF(COUNTIF('Resumo Grupos'!$AE$3:$AE$40,$T1558)&gt;0,"NAO","SIM"))</f>
        <v/>
      </c>
    </row>
    <row r="1559" ht="12.75" customHeight="1" s="60">
      <c r="A1559" s="76" t="n">
        <v>1</v>
      </c>
      <c r="B1559" s="75" t="n">
        <v>46203</v>
      </c>
      <c r="C1559" s="75" t="n">
        <v>46233</v>
      </c>
      <c r="D1559" s="76" t="n">
        <v>10011</v>
      </c>
      <c r="E1559" s="59" t="inlineStr">
        <is>
          <t>OPPORTUNITY ALIMENTOS PARA ANIMAIS LTDA</t>
        </is>
      </c>
      <c r="F1559" s="76" t="n">
        <v>24</v>
      </c>
      <c r="G1559" s="59" t="inlineStr">
        <is>
          <t>Compra a Prazo - Boletos</t>
        </is>
      </c>
      <c r="H1559" s="76" t="n">
        <v>2110101</v>
      </c>
      <c r="I1559" s="59" t="inlineStr">
        <is>
          <t>FORNECEDORES DE MERCADORIA</t>
        </is>
      </c>
      <c r="J1559" s="76" t="n">
        <v>1330475</v>
      </c>
      <c r="L1559" s="76" t="n">
        <v>34300</v>
      </c>
      <c r="M1559" s="59" t="inlineStr">
        <is>
          <t>02</t>
        </is>
      </c>
      <c r="N1559" s="59" t="inlineStr">
        <is>
          <t>NFE</t>
        </is>
      </c>
      <c r="P1559" s="76" t="n">
        <v>103</v>
      </c>
      <c r="Q1559" s="59" t="inlineStr">
        <is>
          <t>MILKA FRANCIS</t>
        </is>
      </c>
      <c r="R1559" s="59" t="inlineStr">
        <is>
          <t>ESTOQUE DE MERCADORIAS</t>
        </is>
      </c>
      <c r="S1559" s="76" t="n">
        <v>1130101</v>
      </c>
      <c r="T1559" s="59" t="inlineStr">
        <is>
          <t>MERCADORIAS P/REVENDA</t>
        </is>
      </c>
      <c r="U1559" s="77" t="n">
        <v>3377.6</v>
      </c>
      <c r="W1559" s="77" t="n">
        <v>0</v>
      </c>
      <c r="X1559" s="59" t="inlineStr">
        <is>
          <t>NF 34300-2 MILKA</t>
        </is>
      </c>
      <c r="Z1559" s="59">
        <f>IF($T1559="","",IFERROR(INDEX('Resumo Grupos'!$AC$3:$AC$200,MATCH($T1559,'Resumo Grupos'!$AB$3:$AB$200,0)),"n/d"))</f>
        <v/>
      </c>
      <c r="AA1559" s="59">
        <f>IF($T1559="","",IF(COUNTIF('Resumo Grupos'!$AE$3:$AE$40,$T1559)&gt;0,"NAO","SIM"))</f>
        <v/>
      </c>
    </row>
    <row r="1560" ht="12.75" customHeight="1" s="60">
      <c r="A1560" s="76" t="n">
        <v>1</v>
      </c>
      <c r="B1560" s="75" t="n">
        <v>46205</v>
      </c>
      <c r="C1560" s="75" t="n">
        <v>46233</v>
      </c>
      <c r="D1560" s="76" t="n">
        <v>1740</v>
      </c>
      <c r="E1560" s="59" t="inlineStr">
        <is>
          <t>OCIDENTAL COMERCIO DE FRIOS LTDA</t>
        </is>
      </c>
      <c r="F1560" s="76" t="n">
        <v>24</v>
      </c>
      <c r="G1560" s="59" t="inlineStr">
        <is>
          <t>Compra a Prazo - Boletos</t>
        </is>
      </c>
      <c r="H1560" s="76" t="n">
        <v>2110101</v>
      </c>
      <c r="I1560" s="59" t="inlineStr">
        <is>
          <t>FORNECEDORES DE MERCADORIA</t>
        </is>
      </c>
      <c r="J1560" s="76" t="n">
        <v>1340464</v>
      </c>
      <c r="L1560" s="76" t="n">
        <v>1243403</v>
      </c>
      <c r="M1560" s="59" t="inlineStr">
        <is>
          <t>02</t>
        </is>
      </c>
      <c r="N1560" s="59" t="inlineStr">
        <is>
          <t>NFE</t>
        </is>
      </c>
      <c r="P1560" s="76" t="n">
        <v>103</v>
      </c>
      <c r="Q1560" s="59" t="inlineStr">
        <is>
          <t>MILKA FRANCIS</t>
        </is>
      </c>
      <c r="R1560" s="59" t="inlineStr">
        <is>
          <t>ESTOQUE DE MERCADORIAS</t>
        </is>
      </c>
      <c r="S1560" s="76" t="n">
        <v>1130101</v>
      </c>
      <c r="T1560" s="59" t="inlineStr">
        <is>
          <t>MERCADORIAS P/REVENDA</t>
        </is>
      </c>
      <c r="U1560" s="77" t="n">
        <v>972.3099999999999</v>
      </c>
      <c r="W1560" s="77" t="n">
        <v>0</v>
      </c>
      <c r="X1560" s="59" t="inlineStr">
        <is>
          <t>NF 1243403-2 MILKA</t>
        </is>
      </c>
      <c r="Z1560" s="59">
        <f>IF($T1560="","",IFERROR(INDEX('Resumo Grupos'!$AC$3:$AC$200,MATCH($T1560,'Resumo Grupos'!$AB$3:$AB$200,0)),"n/d"))</f>
        <v/>
      </c>
      <c r="AA1560" s="59">
        <f>IF($T1560="","",IF(COUNTIF('Resumo Grupos'!$AE$3:$AE$40,$T1560)&gt;0,"NAO","SIM"))</f>
        <v/>
      </c>
    </row>
    <row r="1561" ht="12.75" customHeight="1" s="60">
      <c r="A1561" s="76" t="n">
        <v>1</v>
      </c>
      <c r="B1561" s="75" t="n">
        <v>46205</v>
      </c>
      <c r="C1561" s="75" t="n">
        <v>46233</v>
      </c>
      <c r="D1561" s="76" t="n">
        <v>1921</v>
      </c>
      <c r="E1561" s="59" t="inlineStr">
        <is>
          <t>BF COMERCIO DE ALIMENTOS REPRESENTACAO L</t>
        </is>
      </c>
      <c r="F1561" s="76" t="n">
        <v>24</v>
      </c>
      <c r="G1561" s="59" t="inlineStr">
        <is>
          <t>Compra a Prazo - Boletos</t>
        </is>
      </c>
      <c r="H1561" s="76" t="n">
        <v>2110101</v>
      </c>
      <c r="I1561" s="59" t="inlineStr">
        <is>
          <t>FORNECEDORES DE MERCADORIA</t>
        </is>
      </c>
      <c r="J1561" s="76" t="n">
        <v>1341594</v>
      </c>
      <c r="L1561" s="76" t="n">
        <v>20994</v>
      </c>
      <c r="M1561" s="59" t="inlineStr">
        <is>
          <t>01</t>
        </is>
      </c>
      <c r="N1561" s="59" t="inlineStr">
        <is>
          <t>NFE</t>
        </is>
      </c>
      <c r="P1561" s="76" t="n">
        <v>103</v>
      </c>
      <c r="Q1561" s="59" t="inlineStr">
        <is>
          <t>MILKA FRANCIS</t>
        </is>
      </c>
      <c r="R1561" s="59" t="inlineStr">
        <is>
          <t>ESTOQUE DE MERCADORIAS</t>
        </is>
      </c>
      <c r="S1561" s="76" t="n">
        <v>1130101</v>
      </c>
      <c r="T1561" s="59" t="inlineStr">
        <is>
          <t>MERCADORIAS P/REVENDA</t>
        </is>
      </c>
      <c r="U1561" s="77" t="n">
        <v>1317.6</v>
      </c>
      <c r="W1561" s="77" t="n">
        <v>0</v>
      </c>
      <c r="X1561" s="59" t="inlineStr">
        <is>
          <t>NF 20994 - MILKA</t>
        </is>
      </c>
      <c r="Z1561" s="59">
        <f>IF($T1561="","",IFERROR(INDEX('Resumo Grupos'!$AC$3:$AC$200,MATCH($T1561,'Resumo Grupos'!$AB$3:$AB$200,0)),"n/d"))</f>
        <v/>
      </c>
      <c r="AA1561" s="59">
        <f>IF($T1561="","",IF(COUNTIF('Resumo Grupos'!$AE$3:$AE$40,$T1561)&gt;0,"NAO","SIM"))</f>
        <v/>
      </c>
    </row>
    <row r="1562" ht="12.75" customHeight="1" s="60">
      <c r="A1562" s="76" t="n">
        <v>1</v>
      </c>
      <c r="B1562" s="75" t="n">
        <v>46207</v>
      </c>
      <c r="C1562" s="75" t="n">
        <v>46233</v>
      </c>
      <c r="D1562" s="76" t="n">
        <v>1668</v>
      </c>
      <c r="E1562" s="59" t="inlineStr">
        <is>
          <t>NATUREZA COMERCIO DE DESCARTAVEIS LTDA</t>
        </is>
      </c>
      <c r="F1562" s="76" t="n">
        <v>24</v>
      </c>
      <c r="G1562" s="59" t="inlineStr">
        <is>
          <t>Compra a Prazo - Boletos</t>
        </is>
      </c>
      <c r="H1562" s="76" t="n">
        <v>2110102</v>
      </c>
      <c r="I1562" s="59" t="inlineStr">
        <is>
          <t>OUTROS FORNECEDORES</t>
        </is>
      </c>
      <c r="J1562" s="76" t="n">
        <v>1348465</v>
      </c>
      <c r="L1562" s="76" t="n">
        <v>734837</v>
      </c>
      <c r="M1562" s="59" t="inlineStr">
        <is>
          <t>01</t>
        </is>
      </c>
      <c r="N1562" s="59" t="inlineStr">
        <is>
          <t>NFE</t>
        </is>
      </c>
      <c r="P1562" s="76" t="n">
        <v>103</v>
      </c>
      <c r="Q1562" s="59" t="inlineStr">
        <is>
          <t>MILKA FRANCIS</t>
        </is>
      </c>
      <c r="R1562" s="59" t="inlineStr">
        <is>
          <t>DESPESAS OPERACIONAIS</t>
        </is>
      </c>
      <c r="S1562" s="76" t="n">
        <v>4210204</v>
      </c>
      <c r="T1562" s="59" t="inlineStr">
        <is>
          <t>MATERIAL DE CONSUMO</t>
        </is>
      </c>
      <c r="U1562" s="77" t="n">
        <v>345.1</v>
      </c>
      <c r="W1562" s="77" t="n">
        <v>0</v>
      </c>
      <c r="X1562" s="59" t="inlineStr">
        <is>
          <t>NF734837 DESP.LOJA TOUCA/POTE C/TPA - MILKA</t>
        </is>
      </c>
      <c r="Z1562" s="59">
        <f>IF($T1562="","",IFERROR(INDEX('Resumo Grupos'!$AC$3:$AC$200,MATCH($T1562,'Resumo Grupos'!$AB$3:$AB$200,0)),"n/d"))</f>
        <v/>
      </c>
      <c r="AA1562" s="59">
        <f>IF($T1562="","",IF(COUNTIF('Resumo Grupos'!$AE$3:$AE$40,$T1562)&gt;0,"NAO","SIM"))</f>
        <v/>
      </c>
    </row>
    <row r="1563" ht="12.75" customHeight="1" s="60">
      <c r="A1563" s="76" t="n">
        <v>1</v>
      </c>
      <c r="B1563" s="75" t="n">
        <v>46213</v>
      </c>
      <c r="C1563" s="75" t="n">
        <v>46233</v>
      </c>
      <c r="D1563" s="76" t="n">
        <v>1626</v>
      </c>
      <c r="E1563" s="59" t="inlineStr">
        <is>
          <t>FENNIX BRASIL DISTRIBUIDORA DE PRODUTOS</t>
        </is>
      </c>
      <c r="F1563" s="76" t="n">
        <v>24</v>
      </c>
      <c r="G1563" s="59" t="inlineStr">
        <is>
          <t>Compra a Prazo - Boletos</t>
        </is>
      </c>
      <c r="H1563" s="76" t="n">
        <v>2110405</v>
      </c>
      <c r="I1563" s="59" t="inlineStr">
        <is>
          <t>CONTAS A PAGAR</t>
        </is>
      </c>
      <c r="J1563" s="76" t="n">
        <v>1376626</v>
      </c>
      <c r="L1563" s="76" t="n">
        <v>312590</v>
      </c>
      <c r="M1563" s="59" t="inlineStr">
        <is>
          <t>02</t>
        </is>
      </c>
      <c r="N1563" s="59" t="inlineStr">
        <is>
          <t>AVU</t>
        </is>
      </c>
      <c r="P1563" s="76" t="n">
        <v>103</v>
      </c>
      <c r="Q1563" s="59" t="inlineStr">
        <is>
          <t>MILKA FRANCIS</t>
        </is>
      </c>
      <c r="R1563" s="59" t="inlineStr">
        <is>
          <t>ESTOQUE DE MERCADORIAS</t>
        </is>
      </c>
      <c r="S1563" s="76" t="n">
        <v>1130101</v>
      </c>
      <c r="T1563" s="59" t="inlineStr">
        <is>
          <t>MERCADORIAS P/REVENDA</t>
        </is>
      </c>
      <c r="U1563" s="77" t="n">
        <v>1643.75</v>
      </c>
      <c r="W1563" s="77" t="n">
        <v>0</v>
      </c>
      <c r="X1563" s="59" t="inlineStr">
        <is>
          <t>NF 312590-2 MILKA</t>
        </is>
      </c>
      <c r="Z1563" s="59">
        <f>IF($T1563="","",IFERROR(INDEX('Resumo Grupos'!$AC$3:$AC$200,MATCH($T1563,'Resumo Grupos'!$AB$3:$AB$200,0)),"n/d"))</f>
        <v/>
      </c>
      <c r="AA1563" s="59">
        <f>IF($T1563="","",IF(COUNTIF('Resumo Grupos'!$AE$3:$AE$40,$T1563)&gt;0,"NAO","SIM"))</f>
        <v/>
      </c>
    </row>
    <row r="1564" ht="12.75" customHeight="1" s="60">
      <c r="A1564" s="76" t="n">
        <v>1</v>
      </c>
      <c r="B1564" s="75" t="n">
        <v>46213</v>
      </c>
      <c r="C1564" s="75" t="n">
        <v>46233</v>
      </c>
      <c r="D1564" s="76" t="n">
        <v>1740</v>
      </c>
      <c r="E1564" s="59" t="inlineStr">
        <is>
          <t>OCIDENTAL COMERCIO DE FRIOS LTDA</t>
        </is>
      </c>
      <c r="F1564" s="76" t="n">
        <v>24</v>
      </c>
      <c r="G1564" s="59" t="inlineStr">
        <is>
          <t>Compra a Prazo - Boletos</t>
        </is>
      </c>
      <c r="H1564" s="76" t="n">
        <v>2110405</v>
      </c>
      <c r="I1564" s="59" t="inlineStr">
        <is>
          <t>CONTAS A PAGAR</t>
        </is>
      </c>
      <c r="J1564" s="76" t="n">
        <v>1376989</v>
      </c>
      <c r="L1564" s="76" t="n">
        <v>1245715</v>
      </c>
      <c r="M1564" s="59" t="inlineStr">
        <is>
          <t>01</t>
        </is>
      </c>
      <c r="N1564" s="59" t="inlineStr">
        <is>
          <t>AVU</t>
        </is>
      </c>
      <c r="P1564" s="76" t="n">
        <v>103</v>
      </c>
      <c r="Q1564" s="59" t="inlineStr">
        <is>
          <t>MILKA FRANCIS</t>
        </is>
      </c>
      <c r="R1564" s="59" t="inlineStr">
        <is>
          <t>ESTOQUE DE MERCADORIAS</t>
        </is>
      </c>
      <c r="S1564" s="76" t="n">
        <v>1130101</v>
      </c>
      <c r="T1564" s="59" t="inlineStr">
        <is>
          <t>MERCADORIAS P/REVENDA</t>
        </is>
      </c>
      <c r="U1564" s="77" t="n">
        <v>828.4400000000001</v>
      </c>
      <c r="W1564" s="77" t="n">
        <v>0</v>
      </c>
      <c r="X1564" s="59" t="inlineStr">
        <is>
          <t>NF 1245715-1/2 MILKA</t>
        </is>
      </c>
      <c r="Z1564" s="59">
        <f>IF($T1564="","",IFERROR(INDEX('Resumo Grupos'!$AC$3:$AC$200,MATCH($T1564,'Resumo Grupos'!$AB$3:$AB$200,0)),"n/d"))</f>
        <v/>
      </c>
      <c r="AA1564" s="59">
        <f>IF($T1564="","",IF(COUNTIF('Resumo Grupos'!$AE$3:$AE$40,$T1564)&gt;0,"NAO","SIM"))</f>
        <v/>
      </c>
    </row>
    <row r="1565" ht="12.75" customHeight="1" s="60">
      <c r="A1565" s="76" t="n">
        <v>1</v>
      </c>
      <c r="B1565" s="75" t="n">
        <v>46219</v>
      </c>
      <c r="C1565" s="75" t="n">
        <v>46233</v>
      </c>
      <c r="D1565" s="76" t="n">
        <v>1601</v>
      </c>
      <c r="E1565" s="59" t="inlineStr">
        <is>
          <t>CB COMERCIO E DISTRIBUIDORA DE ALIMENTOS</t>
        </is>
      </c>
      <c r="F1565" s="76" t="n">
        <v>24</v>
      </c>
      <c r="G1565" s="59" t="inlineStr">
        <is>
          <t>Compra a Prazo - Boletos</t>
        </is>
      </c>
      <c r="H1565" s="76" t="n">
        <v>2110405</v>
      </c>
      <c r="I1565" s="59" t="inlineStr">
        <is>
          <t>CONTAS A PAGAR</t>
        </is>
      </c>
      <c r="J1565" s="76" t="n">
        <v>1407452</v>
      </c>
      <c r="L1565" s="76" t="n">
        <v>854275</v>
      </c>
      <c r="M1565" s="59" t="inlineStr">
        <is>
          <t>01</t>
        </is>
      </c>
      <c r="N1565" s="59" t="inlineStr">
        <is>
          <t>AVU</t>
        </is>
      </c>
      <c r="P1565" s="76" t="n">
        <v>103</v>
      </c>
      <c r="Q1565" s="59" t="inlineStr">
        <is>
          <t>MILKA FRANCIS</t>
        </is>
      </c>
      <c r="R1565" s="59" t="inlineStr">
        <is>
          <t>ESTOQUE DE MERCADORIAS</t>
        </is>
      </c>
      <c r="S1565" s="76" t="n">
        <v>1130101</v>
      </c>
      <c r="T1565" s="59" t="inlineStr">
        <is>
          <t>MERCADORIAS P/REVENDA</t>
        </is>
      </c>
      <c r="U1565" s="77" t="n">
        <v>748.7</v>
      </c>
      <c r="W1565" s="77" t="n">
        <v>0</v>
      </c>
      <c r="X1565" s="59" t="inlineStr">
        <is>
          <t>952611-A/C  NF854275 - MILKA</t>
        </is>
      </c>
      <c r="Z1565" s="59">
        <f>IF($T1565="","",IFERROR(INDEX('Resumo Grupos'!$AC$3:$AC$200,MATCH($T1565,'Resumo Grupos'!$AB$3:$AB$200,0)),"n/d"))</f>
        <v/>
      </c>
      <c r="AA1565" s="59">
        <f>IF($T1565="","",IF(COUNTIF('Resumo Grupos'!$AE$3:$AE$40,$T1565)&gt;0,"NAO","SIM"))</f>
        <v/>
      </c>
    </row>
    <row r="1566" ht="12.75" customHeight="1" s="60">
      <c r="A1566" s="76" t="n">
        <v>1</v>
      </c>
      <c r="B1566" s="75" t="n">
        <v>46219</v>
      </c>
      <c r="C1566" s="75" t="n">
        <v>46233</v>
      </c>
      <c r="D1566" s="76" t="n">
        <v>1705</v>
      </c>
      <c r="E1566" s="59" t="inlineStr">
        <is>
          <t>BRASIL NORTE BEBIDAS S/A</t>
        </is>
      </c>
      <c r="F1566" s="76" t="n">
        <v>24</v>
      </c>
      <c r="G1566" s="59" t="inlineStr">
        <is>
          <t>Compra a Prazo - Boletos</t>
        </is>
      </c>
      <c r="H1566" s="76" t="n">
        <v>1110202</v>
      </c>
      <c r="I1566" s="59" t="inlineStr">
        <is>
          <t>BANCO ITAU Lj 01</t>
        </is>
      </c>
      <c r="J1566" s="76" t="n">
        <v>1407736</v>
      </c>
      <c r="L1566" s="76" t="n">
        <v>1203714</v>
      </c>
      <c r="M1566" s="59" t="inlineStr">
        <is>
          <t>01</t>
        </is>
      </c>
      <c r="N1566" s="59" t="inlineStr">
        <is>
          <t>AVU</t>
        </is>
      </c>
      <c r="P1566" s="76" t="n">
        <v>103</v>
      </c>
      <c r="Q1566" s="59" t="inlineStr">
        <is>
          <t>MILKA FRANCIS</t>
        </is>
      </c>
      <c r="R1566" s="59" t="inlineStr">
        <is>
          <t>ESTOQUE DE MERCADORIAS</t>
        </is>
      </c>
      <c r="S1566" s="76" t="n">
        <v>1130101</v>
      </c>
      <c r="T1566" s="59" t="inlineStr">
        <is>
          <t>MERCADORIAS P/REVENDA</t>
        </is>
      </c>
      <c r="U1566" s="77" t="n">
        <v>1638.55</v>
      </c>
      <c r="W1566" s="77" t="n">
        <v>0</v>
      </c>
      <c r="X1566" s="59" t="inlineStr">
        <is>
          <t>NF 1203714 C/ TARIFA INCLUSA - MILKA</t>
        </is>
      </c>
      <c r="Z1566" s="59">
        <f>IF($T1566="","",IFERROR(INDEX('Resumo Grupos'!$AC$3:$AC$200,MATCH($T1566,'Resumo Grupos'!$AB$3:$AB$200,0)),"n/d"))</f>
        <v/>
      </c>
      <c r="AA1566" s="59">
        <f>IF($T1566="","",IF(COUNTIF('Resumo Grupos'!$AE$3:$AE$40,$T1566)&gt;0,"NAO","SIM"))</f>
        <v/>
      </c>
    </row>
    <row r="1567" ht="12.75" customHeight="1" s="60">
      <c r="A1567" s="76" t="n">
        <v>1</v>
      </c>
      <c r="B1567" s="75" t="n">
        <v>46219</v>
      </c>
      <c r="C1567" s="75" t="n">
        <v>46233</v>
      </c>
      <c r="D1567" s="76" t="n">
        <v>1705</v>
      </c>
      <c r="E1567" s="59" t="inlineStr">
        <is>
          <t>BRASIL NORTE BEBIDAS S/A</t>
        </is>
      </c>
      <c r="F1567" s="76" t="n">
        <v>24</v>
      </c>
      <c r="G1567" s="59" t="inlineStr">
        <is>
          <t>Compra a Prazo - Boletos</t>
        </is>
      </c>
      <c r="H1567" s="76" t="n">
        <v>1110202</v>
      </c>
      <c r="I1567" s="59" t="inlineStr">
        <is>
          <t>BANCO ITAU Lj 01</t>
        </is>
      </c>
      <c r="J1567" s="76" t="n">
        <v>1407809</v>
      </c>
      <c r="L1567" s="76" t="n">
        <v>1936376</v>
      </c>
      <c r="M1567" s="59" t="inlineStr">
        <is>
          <t>01</t>
        </is>
      </c>
      <c r="N1567" s="59" t="inlineStr">
        <is>
          <t>AVU</t>
        </is>
      </c>
      <c r="P1567" s="76" t="n">
        <v>103</v>
      </c>
      <c r="Q1567" s="59" t="inlineStr">
        <is>
          <t>MILKA FRANCIS</t>
        </is>
      </c>
      <c r="R1567" s="59" t="inlineStr">
        <is>
          <t>ESTOQUE DE MERCADORIAS</t>
        </is>
      </c>
      <c r="S1567" s="76" t="n">
        <v>1130101</v>
      </c>
      <c r="T1567" s="59" t="inlineStr">
        <is>
          <t>MERCADORIAS P/REVENDA</t>
        </is>
      </c>
      <c r="U1567" s="77" t="n">
        <v>2622.9</v>
      </c>
      <c r="W1567" s="77" t="n">
        <v>0</v>
      </c>
      <c r="X1567" s="59" t="inlineStr">
        <is>
          <t>NF 1936376 COCA - MILKA</t>
        </is>
      </c>
      <c r="Z1567" s="59">
        <f>IF($T1567="","",IFERROR(INDEX('Resumo Grupos'!$AC$3:$AC$200,MATCH($T1567,'Resumo Grupos'!$AB$3:$AB$200,0)),"n/d"))</f>
        <v/>
      </c>
      <c r="AA1567" s="59">
        <f>IF($T1567="","",IF(COUNTIF('Resumo Grupos'!$AE$3:$AE$40,$T1567)&gt;0,"NAO","SIM"))</f>
        <v/>
      </c>
    </row>
    <row r="1568" ht="12.75" customHeight="1" s="60">
      <c r="A1568" s="76" t="n">
        <v>1</v>
      </c>
      <c r="B1568" s="75" t="n">
        <v>46219</v>
      </c>
      <c r="C1568" s="75" t="n">
        <v>46233</v>
      </c>
      <c r="D1568" s="76" t="n">
        <v>1705</v>
      </c>
      <c r="E1568" s="59" t="inlineStr">
        <is>
          <t>BRASIL NORTE BEBIDAS S/A</t>
        </is>
      </c>
      <c r="F1568" s="76" t="n">
        <v>24</v>
      </c>
      <c r="G1568" s="59" t="inlineStr">
        <is>
          <t>Compra a Prazo - Boletos</t>
        </is>
      </c>
      <c r="H1568" s="76" t="n">
        <v>1110202</v>
      </c>
      <c r="I1568" s="59" t="inlineStr">
        <is>
          <t>BANCO ITAU Lj 01</t>
        </is>
      </c>
      <c r="J1568" s="76" t="n">
        <v>1407834</v>
      </c>
      <c r="L1568" s="76" t="n">
        <v>1936062</v>
      </c>
      <c r="M1568" s="59" t="inlineStr">
        <is>
          <t>01</t>
        </is>
      </c>
      <c r="N1568" s="59" t="inlineStr">
        <is>
          <t>AVU</t>
        </is>
      </c>
      <c r="P1568" s="76" t="n">
        <v>103</v>
      </c>
      <c r="Q1568" s="59" t="inlineStr">
        <is>
          <t>MILKA FRANCIS</t>
        </is>
      </c>
      <c r="R1568" s="59" t="inlineStr">
        <is>
          <t>ESTOQUE DE MERCADORIAS</t>
        </is>
      </c>
      <c r="S1568" s="76" t="n">
        <v>1130101</v>
      </c>
      <c r="T1568" s="59" t="inlineStr">
        <is>
          <t>MERCADORIAS P/REVENDA</t>
        </is>
      </c>
      <c r="U1568" s="77" t="n">
        <v>160.78</v>
      </c>
      <c r="W1568" s="77" t="n">
        <v>0</v>
      </c>
      <c r="X1568" s="59" t="inlineStr">
        <is>
          <t>NF 1936062 COCA - MILKA</t>
        </is>
      </c>
      <c r="Z1568" s="59">
        <f>IF($T1568="","",IFERROR(INDEX('Resumo Grupos'!$AC$3:$AC$200,MATCH($T1568,'Resumo Grupos'!$AB$3:$AB$200,0)),"n/d"))</f>
        <v/>
      </c>
      <c r="AA1568" s="59">
        <f>IF($T1568="","",IF(COUNTIF('Resumo Grupos'!$AE$3:$AE$40,$T1568)&gt;0,"NAO","SIM"))</f>
        <v/>
      </c>
    </row>
    <row r="1569" ht="12.75" customHeight="1" s="60">
      <c r="A1569" s="76" t="n">
        <v>1</v>
      </c>
      <c r="B1569" s="75" t="n">
        <v>46224</v>
      </c>
      <c r="C1569" s="75" t="n">
        <v>46233</v>
      </c>
      <c r="D1569" s="76" t="n">
        <v>1812</v>
      </c>
      <c r="E1569" s="59" t="inlineStr">
        <is>
          <t>A K LIMA DE ANDRADE</t>
        </is>
      </c>
      <c r="F1569" s="76" t="n">
        <v>24</v>
      </c>
      <c r="G1569" s="59" t="inlineStr">
        <is>
          <t>Compra a Prazo - Boletos</t>
        </is>
      </c>
      <c r="H1569" s="76" t="n">
        <v>1110202</v>
      </c>
      <c r="I1569" s="59" t="inlineStr">
        <is>
          <t>BANCO ITAU Lj 01</t>
        </is>
      </c>
      <c r="J1569" s="76" t="n">
        <v>1427944</v>
      </c>
      <c r="L1569" s="76" t="n">
        <v>2741</v>
      </c>
      <c r="M1569" s="59" t="inlineStr">
        <is>
          <t>01</t>
        </is>
      </c>
      <c r="N1569" s="59" t="inlineStr">
        <is>
          <t>AVU</t>
        </is>
      </c>
      <c r="P1569" s="76" t="n">
        <v>103</v>
      </c>
      <c r="Q1569" s="59" t="inlineStr">
        <is>
          <t>MILKA FRANCIS</t>
        </is>
      </c>
      <c r="R1569" s="59" t="inlineStr">
        <is>
          <t>ESTOQUE DE MERCADORIAS</t>
        </is>
      </c>
      <c r="S1569" s="76" t="n">
        <v>1130101</v>
      </c>
      <c r="T1569" s="59" t="inlineStr">
        <is>
          <t>MERCADORIAS P/REVENDA</t>
        </is>
      </c>
      <c r="U1569" s="77" t="n">
        <v>879</v>
      </c>
      <c r="W1569" s="77" t="n">
        <v>0</v>
      </c>
      <c r="X1569" s="59" t="inlineStr">
        <is>
          <t>NF 2741 SP CEREAL - MILKA</t>
        </is>
      </c>
      <c r="Z1569" s="59">
        <f>IF($T1569="","",IFERROR(INDEX('Resumo Grupos'!$AC$3:$AC$200,MATCH($T1569,'Resumo Grupos'!$AB$3:$AB$200,0)),"n/d"))</f>
        <v/>
      </c>
      <c r="AA1569" s="59">
        <f>IF($T1569="","",IF(COUNTIF('Resumo Grupos'!$AE$3:$AE$40,$T1569)&gt;0,"NAO","SIM"))</f>
        <v/>
      </c>
    </row>
    <row r="1570" ht="12.75" customHeight="1" s="60">
      <c r="A1570" s="76" t="n">
        <v>1</v>
      </c>
      <c r="B1570" s="75" t="n">
        <v>46224</v>
      </c>
      <c r="C1570" s="75" t="n">
        <v>46233</v>
      </c>
      <c r="D1570" s="76" t="n">
        <v>10002</v>
      </c>
      <c r="E1570" s="59" t="inlineStr">
        <is>
          <t>DA FRUTA DISTRIBUIDORA LTDA</t>
        </is>
      </c>
      <c r="F1570" s="76" t="n">
        <v>24</v>
      </c>
      <c r="G1570" s="59" t="inlineStr">
        <is>
          <t>Compra a Prazo - Boletos</t>
        </is>
      </c>
      <c r="H1570" s="76" t="n">
        <v>1110202</v>
      </c>
      <c r="I1570" s="59" t="inlineStr">
        <is>
          <t>BANCO ITAU Lj 01</t>
        </is>
      </c>
      <c r="J1570" s="76" t="n">
        <v>1431390</v>
      </c>
      <c r="L1570" s="76" t="n">
        <v>196700</v>
      </c>
      <c r="M1570" s="59" t="inlineStr">
        <is>
          <t>01</t>
        </is>
      </c>
      <c r="N1570" s="59" t="inlineStr">
        <is>
          <t>AVU</t>
        </is>
      </c>
      <c r="P1570" s="76" t="n">
        <v>103</v>
      </c>
      <c r="Q1570" s="59" t="inlineStr">
        <is>
          <t>MILKA FRANCIS</t>
        </is>
      </c>
      <c r="R1570" s="59" t="inlineStr">
        <is>
          <t>ESTOQUE DE MERCADORIAS</t>
        </is>
      </c>
      <c r="S1570" s="76" t="n">
        <v>1130101</v>
      </c>
      <c r="T1570" s="59" t="inlineStr">
        <is>
          <t>MERCADORIAS P/REVENDA</t>
        </is>
      </c>
      <c r="U1570" s="77" t="n">
        <v>950.4</v>
      </c>
      <c r="W1570" s="77" t="n">
        <v>0</v>
      </c>
      <c r="X1570" s="59" t="inlineStr">
        <is>
          <t>NF 196700 - MILKA</t>
        </is>
      </c>
      <c r="Z1570" s="59">
        <f>IF($T1570="","",IFERROR(INDEX('Resumo Grupos'!$AC$3:$AC$200,MATCH($T1570,'Resumo Grupos'!$AB$3:$AB$200,0)),"n/d"))</f>
        <v/>
      </c>
      <c r="AA1570" s="59">
        <f>IF($T1570="","",IF(COUNTIF('Resumo Grupos'!$AE$3:$AE$40,$T1570)&gt;0,"NAO","SIM"))</f>
        <v/>
      </c>
    </row>
    <row r="1571" ht="12.75" customHeight="1" s="60">
      <c r="A1571" s="76" t="n">
        <v>1</v>
      </c>
      <c r="B1571" s="75" t="n">
        <v>46225</v>
      </c>
      <c r="C1571" s="75" t="n">
        <v>46233</v>
      </c>
      <c r="D1571" s="76" t="n">
        <v>10009</v>
      </c>
      <c r="E1571" s="59" t="inlineStr">
        <is>
          <t>NESTLÉ BRASIL LTDA.</t>
        </is>
      </c>
      <c r="F1571" s="76" t="n">
        <v>24</v>
      </c>
      <c r="G1571" s="59" t="inlineStr">
        <is>
          <t>Compra a Prazo - Boletos</t>
        </is>
      </c>
      <c r="H1571" s="76" t="n">
        <v>2110405</v>
      </c>
      <c r="I1571" s="59" t="inlineStr">
        <is>
          <t>CONTAS A PAGAR</t>
        </is>
      </c>
      <c r="J1571" s="76" t="n">
        <v>1434102</v>
      </c>
      <c r="L1571" s="76" t="n">
        <v>1428642</v>
      </c>
      <c r="M1571" s="59" t="inlineStr">
        <is>
          <t>02</t>
        </is>
      </c>
      <c r="N1571" s="59" t="inlineStr">
        <is>
          <t>AVU</t>
        </is>
      </c>
      <c r="P1571" s="76" t="n">
        <v>103</v>
      </c>
      <c r="Q1571" s="59" t="inlineStr">
        <is>
          <t>MILKA FRANCIS</t>
        </is>
      </c>
      <c r="R1571" s="59" t="inlineStr">
        <is>
          <t>ESTOQUE DE MERCADORIAS</t>
        </is>
      </c>
      <c r="S1571" s="76" t="n">
        <v>1130101</v>
      </c>
      <c r="T1571" s="59" t="inlineStr">
        <is>
          <t>MERCADORIAS P/REVENDA</t>
        </is>
      </c>
      <c r="U1571" s="77" t="n">
        <v>957.84</v>
      </c>
      <c r="W1571" s="77" t="n">
        <v>0</v>
      </c>
      <c r="X1571" s="59" t="inlineStr">
        <is>
          <t>NF 1428642-02 MILKA</t>
        </is>
      </c>
      <c r="Z1571" s="59">
        <f>IF($T1571="","",IFERROR(INDEX('Resumo Grupos'!$AC$3:$AC$200,MATCH($T1571,'Resumo Grupos'!$AB$3:$AB$200,0)),"n/d"))</f>
        <v/>
      </c>
      <c r="AA1571" s="59">
        <f>IF($T1571="","",IF(COUNTIF('Resumo Grupos'!$AE$3:$AE$40,$T1571)&gt;0,"NAO","SIM"))</f>
        <v/>
      </c>
    </row>
    <row r="1572" ht="12.75" customHeight="1" s="60">
      <c r="A1572" s="76" t="n">
        <v>1</v>
      </c>
      <c r="B1572" s="75" t="n">
        <v>46225</v>
      </c>
      <c r="C1572" s="75" t="n">
        <v>46233</v>
      </c>
      <c r="D1572" s="76" t="n">
        <v>1635</v>
      </c>
      <c r="E1572" s="59" t="inlineStr">
        <is>
          <t>BONNA VITTA INDUSTRIA E COMERCIO LTDA.</t>
        </is>
      </c>
      <c r="F1572" s="76" t="n">
        <v>24</v>
      </c>
      <c r="G1572" s="59" t="inlineStr">
        <is>
          <t>Compra a Prazo - Boletos</t>
        </is>
      </c>
      <c r="H1572" s="76" t="n">
        <v>1110202</v>
      </c>
      <c r="I1572" s="59" t="inlineStr">
        <is>
          <t>BANCO ITAU Lj 01</t>
        </is>
      </c>
      <c r="J1572" s="76" t="n">
        <v>1435847</v>
      </c>
      <c r="L1572" s="76" t="n">
        <v>1350</v>
      </c>
      <c r="M1572" s="59" t="inlineStr">
        <is>
          <t>01</t>
        </is>
      </c>
      <c r="N1572" s="59" t="inlineStr">
        <is>
          <t>AVU</t>
        </is>
      </c>
      <c r="P1572" s="76" t="n">
        <v>103</v>
      </c>
      <c r="Q1572" s="59" t="inlineStr">
        <is>
          <t>MILKA FRANCIS</t>
        </is>
      </c>
      <c r="R1572" s="59" t="inlineStr">
        <is>
          <t>ESTOQUE DE MERCADORIAS</t>
        </is>
      </c>
      <c r="S1572" s="76" t="n">
        <v>1130101</v>
      </c>
      <c r="T1572" s="59" t="inlineStr">
        <is>
          <t>MERCADORIAS P/REVENDA</t>
        </is>
      </c>
      <c r="U1572" s="77" t="n">
        <v>1399.86</v>
      </c>
      <c r="W1572" s="77" t="n">
        <v>0</v>
      </c>
      <c r="X1572" s="59" t="inlineStr">
        <is>
          <t>NF 1350 - MILKA</t>
        </is>
      </c>
      <c r="Z1572" s="59">
        <f>IF($T1572="","",IFERROR(INDEX('Resumo Grupos'!$AC$3:$AC$200,MATCH($T1572,'Resumo Grupos'!$AB$3:$AB$200,0)),"n/d"))</f>
        <v/>
      </c>
      <c r="AA1572" s="59">
        <f>IF($T1572="","",IF(COUNTIF('Resumo Grupos'!$AE$3:$AE$40,$T1572)&gt;0,"NAO","SIM"))</f>
        <v/>
      </c>
    </row>
    <row r="1573" ht="12.75" customHeight="1" s="60">
      <c r="A1573" s="76" t="n">
        <v>1</v>
      </c>
      <c r="B1573" s="75" t="n">
        <v>46226</v>
      </c>
      <c r="C1573" s="75" t="n">
        <v>46233</v>
      </c>
      <c r="D1573" s="76" t="n">
        <v>10037</v>
      </c>
      <c r="E1573" s="59" t="inlineStr">
        <is>
          <t>FORTVET DISTRIBUIDORA LTDA</t>
        </is>
      </c>
      <c r="F1573" s="76" t="n">
        <v>24</v>
      </c>
      <c r="G1573" s="59" t="inlineStr">
        <is>
          <t>Compra a Prazo - Boletos</t>
        </is>
      </c>
      <c r="H1573" s="76" t="n">
        <v>2110405</v>
      </c>
      <c r="I1573" s="59" t="inlineStr">
        <is>
          <t>CONTAS A PAGAR</t>
        </is>
      </c>
      <c r="J1573" s="76" t="n">
        <v>1440179</v>
      </c>
      <c r="L1573" s="76" t="n">
        <v>2808</v>
      </c>
      <c r="M1573" s="59" t="inlineStr">
        <is>
          <t>01</t>
        </is>
      </c>
      <c r="N1573" s="59" t="inlineStr">
        <is>
          <t>AVU</t>
        </is>
      </c>
      <c r="P1573" s="76" t="n">
        <v>103</v>
      </c>
      <c r="Q1573" s="59" t="inlineStr">
        <is>
          <t>MILKA FRANCIS</t>
        </is>
      </c>
      <c r="R1573" s="59" t="inlineStr">
        <is>
          <t>ESTOQUE DE MERCADORIAS</t>
        </is>
      </c>
      <c r="S1573" s="76" t="n">
        <v>1130101</v>
      </c>
      <c r="T1573" s="59" t="inlineStr">
        <is>
          <t>MERCADORIAS P/REVENDA</t>
        </is>
      </c>
      <c r="U1573" s="77" t="n">
        <v>445.38</v>
      </c>
      <c r="W1573" s="77" t="n">
        <v>0</v>
      </c>
      <c r="X1573" s="59" t="inlineStr">
        <is>
          <t>NF 2808-1 MILKA</t>
        </is>
      </c>
      <c r="Z1573" s="59">
        <f>IF($T1573="","",IFERROR(INDEX('Resumo Grupos'!$AC$3:$AC$200,MATCH($T1573,'Resumo Grupos'!$AB$3:$AB$200,0)),"n/d"))</f>
        <v/>
      </c>
      <c r="AA1573" s="59">
        <f>IF($T1573="","",IF(COUNTIF('Resumo Grupos'!$AE$3:$AE$40,$T1573)&gt;0,"NAO","SIM"))</f>
        <v/>
      </c>
    </row>
    <row r="1574" ht="12.75" customHeight="1" s="60">
      <c r="A1574" s="76" t="n">
        <v>1</v>
      </c>
      <c r="B1574" s="75" t="n">
        <v>46226</v>
      </c>
      <c r="C1574" s="75" t="n">
        <v>46233</v>
      </c>
      <c r="D1574" s="76" t="n">
        <v>1024</v>
      </c>
      <c r="E1574" s="59" t="inlineStr">
        <is>
          <t>REAL BEBIDAS DA AMAZONIA LTDA</t>
        </is>
      </c>
      <c r="F1574" s="76" t="n">
        <v>24</v>
      </c>
      <c r="G1574" s="59" t="inlineStr">
        <is>
          <t>Compra a Prazo - Boletos</t>
        </is>
      </c>
      <c r="H1574" s="76" t="n">
        <v>1110202</v>
      </c>
      <c r="I1574" s="59" t="inlineStr">
        <is>
          <t>BANCO ITAU Lj 01</t>
        </is>
      </c>
      <c r="J1574" s="76" t="n">
        <v>1440251</v>
      </c>
      <c r="L1574" s="76" t="n">
        <v>592637</v>
      </c>
      <c r="M1574" s="59" t="inlineStr">
        <is>
          <t>01</t>
        </is>
      </c>
      <c r="N1574" s="59" t="inlineStr">
        <is>
          <t>AVU</t>
        </is>
      </c>
      <c r="P1574" s="76" t="n">
        <v>104</v>
      </c>
      <c r="Q1574" s="59" t="inlineStr">
        <is>
          <t>DEBORA COSTA</t>
        </is>
      </c>
      <c r="R1574" s="59" t="inlineStr">
        <is>
          <t>ESTOQUE DE MERCADORIAS</t>
        </is>
      </c>
      <c r="S1574" s="76" t="n">
        <v>1130101</v>
      </c>
      <c r="T1574" s="59" t="inlineStr">
        <is>
          <t>MERCADORIAS P/REVENDA</t>
        </is>
      </c>
      <c r="U1574" s="77" t="n">
        <v>420</v>
      </c>
      <c r="W1574" s="77" t="n">
        <v>0</v>
      </c>
      <c r="X1574" s="59" t="inlineStr">
        <is>
          <t>NF 608658 - DEBORA</t>
        </is>
      </c>
      <c r="Z1574" s="59">
        <f>IF($T1574="","",IFERROR(INDEX('Resumo Grupos'!$AC$3:$AC$200,MATCH($T1574,'Resumo Grupos'!$AB$3:$AB$200,0)),"n/d"))</f>
        <v/>
      </c>
      <c r="AA1574" s="59">
        <f>IF($T1574="","",IF(COUNTIF('Resumo Grupos'!$AE$3:$AE$40,$T1574)&gt;0,"NAO","SIM"))</f>
        <v/>
      </c>
    </row>
    <row r="1575" ht="12.75" customHeight="1" s="60">
      <c r="A1575" s="76" t="n">
        <v>1</v>
      </c>
      <c r="B1575" s="75" t="n">
        <v>46228</v>
      </c>
      <c r="C1575" s="75" t="n">
        <v>46233</v>
      </c>
      <c r="D1575" s="76" t="n">
        <v>10009</v>
      </c>
      <c r="E1575" s="59" t="inlineStr">
        <is>
          <t>NESTLÉ BRASIL LTDA.</t>
        </is>
      </c>
      <c r="F1575" s="76" t="n">
        <v>24</v>
      </c>
      <c r="G1575" s="59" t="inlineStr">
        <is>
          <t>Compra a Prazo - Boletos</t>
        </is>
      </c>
      <c r="H1575" s="76" t="n">
        <v>2110405</v>
      </c>
      <c r="I1575" s="59" t="inlineStr">
        <is>
          <t>CONTAS A PAGAR</t>
        </is>
      </c>
      <c r="J1575" s="76" t="n">
        <v>1449995</v>
      </c>
      <c r="L1575" s="76" t="n">
        <v>1431708</v>
      </c>
      <c r="M1575" s="59" t="inlineStr">
        <is>
          <t>01</t>
        </is>
      </c>
      <c r="N1575" s="59" t="inlineStr">
        <is>
          <t>AVU</t>
        </is>
      </c>
      <c r="P1575" s="76" t="n">
        <v>103</v>
      </c>
      <c r="Q1575" s="59" t="inlineStr">
        <is>
          <t>MILKA FRANCIS</t>
        </is>
      </c>
      <c r="R1575" s="59" t="inlineStr">
        <is>
          <t>ESTOQUE DE MERCADORIAS</t>
        </is>
      </c>
      <c r="S1575" s="76" t="n">
        <v>1130101</v>
      </c>
      <c r="T1575" s="59" t="inlineStr">
        <is>
          <t>MERCADORIAS P/REVENDA</t>
        </is>
      </c>
      <c r="U1575" s="77" t="n">
        <v>1773.63</v>
      </c>
      <c r="W1575" s="77" t="n">
        <v>0</v>
      </c>
      <c r="X1575" s="59" t="inlineStr">
        <is>
          <t>NF 1431708-01/03 MILKA</t>
        </is>
      </c>
      <c r="Z1575" s="59">
        <f>IF($T1575="","",IFERROR(INDEX('Resumo Grupos'!$AC$3:$AC$200,MATCH($T1575,'Resumo Grupos'!$AB$3:$AB$200,0)),"n/d"))</f>
        <v/>
      </c>
      <c r="AA1575" s="59">
        <f>IF($T1575="","",IF(COUNTIF('Resumo Grupos'!$AE$3:$AE$40,$T1575)&gt;0,"NAO","SIM"))</f>
        <v/>
      </c>
    </row>
    <row r="1576" ht="12.75" customHeight="1" s="60">
      <c r="A1576" s="76" t="n">
        <v>1</v>
      </c>
      <c r="B1576" s="75" t="n">
        <v>46231</v>
      </c>
      <c r="C1576" s="75" t="n">
        <v>46233</v>
      </c>
      <c r="D1576" s="76" t="n">
        <v>581</v>
      </c>
      <c r="E1576" s="59" t="inlineStr">
        <is>
          <t>LIMA E BARANDA COMERCIO DE PRODUTOS REGI</t>
        </is>
      </c>
      <c r="F1576" s="76" t="n">
        <v>24</v>
      </c>
      <c r="G1576" s="59" t="inlineStr">
        <is>
          <t>Compra a Prazo - Boletos</t>
        </is>
      </c>
      <c r="H1576" s="76" t="n">
        <v>1110202</v>
      </c>
      <c r="I1576" s="59" t="inlineStr">
        <is>
          <t>BANCO ITAU Lj 01</t>
        </is>
      </c>
      <c r="J1576" s="76" t="n">
        <v>1463085</v>
      </c>
      <c r="L1576" s="76" t="n">
        <v>31601</v>
      </c>
      <c r="M1576" s="59" t="inlineStr">
        <is>
          <t>01</t>
        </is>
      </c>
      <c r="N1576" s="59" t="inlineStr">
        <is>
          <t>AVU</t>
        </is>
      </c>
      <c r="P1576" s="76" t="n">
        <v>103</v>
      </c>
      <c r="Q1576" s="59" t="inlineStr">
        <is>
          <t>MILKA FRANCIS</t>
        </is>
      </c>
      <c r="R1576" s="59" t="inlineStr">
        <is>
          <t>ESTOQUE DE MERCADORIAS</t>
        </is>
      </c>
      <c r="S1576" s="76" t="n">
        <v>1130101</v>
      </c>
      <c r="T1576" s="59" t="inlineStr">
        <is>
          <t>MERCADORIAS P/REVENDA</t>
        </is>
      </c>
      <c r="U1576" s="77" t="n">
        <v>266</v>
      </c>
      <c r="W1576" s="77" t="n">
        <v>0</v>
      </c>
      <c r="X1576" s="59" t="inlineStr">
        <is>
          <t>NF 31601 - MILKA</t>
        </is>
      </c>
      <c r="Z1576" s="59">
        <f>IF($T1576="","",IFERROR(INDEX('Resumo Grupos'!$AC$3:$AC$200,MATCH($T1576,'Resumo Grupos'!$AB$3:$AB$200,0)),"n/d"))</f>
        <v/>
      </c>
      <c r="AA1576" s="59">
        <f>IF($T1576="","",IF(COUNTIF('Resumo Grupos'!$AE$3:$AE$40,$T1576)&gt;0,"NAO","SIM"))</f>
        <v/>
      </c>
    </row>
    <row r="1577" ht="12.75" customHeight="1" s="60">
      <c r="A1577" s="76" t="n">
        <v>1</v>
      </c>
      <c r="B1577" s="75" t="n">
        <v>46232</v>
      </c>
      <c r="C1577" s="75" t="n">
        <v>46233</v>
      </c>
      <c r="D1577" s="76" t="n">
        <v>642</v>
      </c>
      <c r="E1577" s="59" t="inlineStr">
        <is>
          <t>ADICSO FABIAN GONZALEZ MONTILLA 70302186</t>
        </is>
      </c>
      <c r="F1577" s="76" t="n">
        <v>24</v>
      </c>
      <c r="G1577" s="59" t="inlineStr">
        <is>
          <t>Compra a Prazo - Boletos</t>
        </is>
      </c>
      <c r="H1577" s="76" t="n">
        <v>1110202</v>
      </c>
      <c r="I1577" s="59" t="inlineStr">
        <is>
          <t>BANCO ITAU Lj 01</t>
        </is>
      </c>
      <c r="J1577" s="76" t="n">
        <v>1468354</v>
      </c>
      <c r="L1577" s="76" t="n">
        <v>550</v>
      </c>
      <c r="M1577" s="59" t="inlineStr">
        <is>
          <t>01</t>
        </is>
      </c>
      <c r="N1577" s="59" t="inlineStr">
        <is>
          <t>AVU</t>
        </is>
      </c>
      <c r="P1577" s="76" t="n">
        <v>103</v>
      </c>
      <c r="Q1577" s="59" t="inlineStr">
        <is>
          <t>MILKA FRANCIS</t>
        </is>
      </c>
      <c r="R1577" s="59" t="inlineStr">
        <is>
          <t>ESTOQUE DE MERCADORIAS</t>
        </is>
      </c>
      <c r="S1577" s="76" t="n">
        <v>1130101</v>
      </c>
      <c r="T1577" s="59" t="inlineStr">
        <is>
          <t>MERCADORIAS P/REVENDA</t>
        </is>
      </c>
      <c r="U1577" s="77" t="n">
        <v>816</v>
      </c>
      <c r="W1577" s="77" t="n">
        <v>0</v>
      </c>
      <c r="X1577" s="59" t="inlineStr">
        <is>
          <t>NF 550 BLOOM  - MILKA</t>
        </is>
      </c>
      <c r="Z1577" s="59">
        <f>IF($T1577="","",IFERROR(INDEX('Resumo Grupos'!$AC$3:$AC$200,MATCH($T1577,'Resumo Grupos'!$AB$3:$AB$200,0)),"n/d"))</f>
        <v/>
      </c>
      <c r="AA1577" s="59">
        <f>IF($T1577="","",IF(COUNTIF('Resumo Grupos'!$AE$3:$AE$40,$T1577)&gt;0,"NAO","SIM"))</f>
        <v/>
      </c>
    </row>
    <row r="1578" ht="12.75" customHeight="1" s="60">
      <c r="A1578" s="76" t="n">
        <v>1</v>
      </c>
      <c r="B1578" s="75" t="n">
        <v>46233</v>
      </c>
      <c r="C1578" s="75" t="n">
        <v>46233</v>
      </c>
      <c r="D1578" s="76" t="n">
        <v>1936</v>
      </c>
      <c r="E1578" s="59" t="inlineStr">
        <is>
          <t>RV TECNOLOGIA E SISTEMAS S.A</t>
        </is>
      </c>
      <c r="F1578" s="76" t="n">
        <v>24</v>
      </c>
      <c r="G1578" s="59" t="inlineStr">
        <is>
          <t>Compra a Prazo - Boletos</t>
        </is>
      </c>
      <c r="H1578" s="76" t="n">
        <v>1110202</v>
      </c>
      <c r="I1578" s="59" t="inlineStr">
        <is>
          <t>BANCO ITAU Lj 01</t>
        </is>
      </c>
      <c r="J1578" s="76" t="n">
        <v>1473048</v>
      </c>
      <c r="L1578" s="76" t="n">
        <v>605320</v>
      </c>
      <c r="M1578" s="59" t="inlineStr">
        <is>
          <t>01</t>
        </is>
      </c>
      <c r="N1578" s="59" t="inlineStr">
        <is>
          <t>AVU</t>
        </is>
      </c>
      <c r="P1578" s="76" t="n">
        <v>102</v>
      </c>
      <c r="Q1578" s="59" t="inlineStr">
        <is>
          <t>ANDREZA ANDRADE</t>
        </is>
      </c>
      <c r="R1578" s="59" t="inlineStr">
        <is>
          <t>ESTOQUE DE MERCADORIAS</t>
        </is>
      </c>
      <c r="S1578" s="76" t="n">
        <v>1130101</v>
      </c>
      <c r="T1578" s="59" t="inlineStr">
        <is>
          <t>MERCADORIAS P/REVENDA</t>
        </is>
      </c>
      <c r="U1578" s="77" t="n">
        <v>131.3</v>
      </c>
      <c r="W1578" s="77" t="n">
        <v>0</v>
      </c>
      <c r="X1578" s="59" t="inlineStr">
        <is>
          <t>RV RECARGA CELULAR-ANDREZA</t>
        </is>
      </c>
      <c r="Z1578" s="59">
        <f>IF($T1578="","",IFERROR(INDEX('Resumo Grupos'!$AC$3:$AC$200,MATCH($T1578,'Resumo Grupos'!$AB$3:$AB$200,0)),"n/d"))</f>
        <v/>
      </c>
      <c r="AA1578" s="59">
        <f>IF($T1578="","",IF(COUNTIF('Resumo Grupos'!$AE$3:$AE$40,$T1578)&gt;0,"NAO","SIM"))</f>
        <v/>
      </c>
    </row>
    <row r="1579" ht="12.75" customHeight="1" s="60">
      <c r="A1579" s="59" t="n">
        <v>1</v>
      </c>
      <c r="B1579" s="75" t="n">
        <v>46233</v>
      </c>
      <c r="C1579" s="75" t="n">
        <v>46233</v>
      </c>
      <c r="D1579" s="59" t="n">
        <v>905</v>
      </c>
      <c r="E1579" s="59" t="inlineStr">
        <is>
          <t>ELISMAR(OBRA)</t>
        </is>
      </c>
      <c r="F1579" s="59" t="n">
        <v>34</v>
      </c>
      <c r="G1579" s="59" t="inlineStr">
        <is>
          <t>Transferencia Pix</t>
        </is>
      </c>
      <c r="H1579" s="59" t="n">
        <v>1110202</v>
      </c>
      <c r="I1579" s="59" t="inlineStr">
        <is>
          <t>BANCO ITAU Lj 01</t>
        </is>
      </c>
      <c r="J1579" s="59" t="n">
        <v>1474759</v>
      </c>
      <c r="L1579" s="59" t="n">
        <v>605804</v>
      </c>
      <c r="M1579" s="59" t="inlineStr">
        <is>
          <t>01</t>
        </is>
      </c>
      <c r="N1579" s="59" t="inlineStr">
        <is>
          <t>AVU</t>
        </is>
      </c>
      <c r="P1579" s="59" t="n">
        <v>101</v>
      </c>
      <c r="Q1579" s="59" t="inlineStr">
        <is>
          <t>KEILA LIMA</t>
        </is>
      </c>
      <c r="R1579" s="59" t="inlineStr">
        <is>
          <t>CUSTOS DE PRODUCAO</t>
        </is>
      </c>
      <c r="S1579" s="59" t="n">
        <v>4110103</v>
      </c>
      <c r="T1579" s="59" t="inlineStr">
        <is>
          <t>MAO DE OBRA</t>
        </is>
      </c>
      <c r="U1579" s="77" t="n">
        <v>300</v>
      </c>
      <c r="W1579" s="59" t="n">
        <v>0</v>
      </c>
      <c r="X1579" s="59" t="inlineStr">
        <is>
          <t>SERV CAIXA DE GORDURA DA AREA PETSHOP MO1 -  KEILA</t>
        </is>
      </c>
      <c r="Z1579" s="59">
        <f>IF($T1579="","",IFERROR(INDEX('Resumo Grupos'!$AC$3:$AC$200,MATCH($T1579,'Resumo Grupos'!$AB$3:$AB$200,0)),"n/d"))</f>
        <v/>
      </c>
      <c r="AA1579" s="59">
        <f>IF($T1579="","",IF(COUNTIF('Resumo Grupos'!$AE$3:$AE$40,$T1579)&gt;0,"NAO","SIM"))</f>
        <v/>
      </c>
    </row>
    <row r="1580" ht="12.75" customHeight="1" s="60">
      <c r="A1580" s="59" t="n">
        <v>1</v>
      </c>
      <c r="B1580" s="75" t="n">
        <v>46233</v>
      </c>
      <c r="C1580" s="75" t="n">
        <v>46233</v>
      </c>
      <c r="D1580" s="59" t="n">
        <v>514</v>
      </c>
      <c r="E1580" s="59" t="inlineStr">
        <is>
          <t>SANTANDER SA</t>
        </is>
      </c>
      <c r="F1580" s="59" t="n">
        <v>34</v>
      </c>
      <c r="G1580" s="59" t="inlineStr">
        <is>
          <t>Transferencia Pix</t>
        </is>
      </c>
      <c r="H1580" s="59" t="n">
        <v>1110202</v>
      </c>
      <c r="I1580" s="59" t="inlineStr">
        <is>
          <t>BANCO ITAU Lj 01</t>
        </is>
      </c>
      <c r="J1580" s="59" t="n">
        <v>1474843</v>
      </c>
      <c r="L1580" s="59" t="n">
        <v>605848</v>
      </c>
      <c r="M1580" s="59" t="inlineStr">
        <is>
          <t>01</t>
        </is>
      </c>
      <c r="N1580" s="59" t="inlineStr">
        <is>
          <t>AVU</t>
        </is>
      </c>
      <c r="P1580" s="59" t="n">
        <v>102</v>
      </c>
      <c r="Q1580" s="59" t="inlineStr">
        <is>
          <t>ANDREZA ANDRADE</t>
        </is>
      </c>
      <c r="R1580" s="59" t="inlineStr">
        <is>
          <t>DESPESAS FINANCEIRAS</t>
        </is>
      </c>
      <c r="S1580" s="59" t="n">
        <v>4210502</v>
      </c>
      <c r="T1580" s="59" t="inlineStr">
        <is>
          <t>JUROS S/ EMPRESTIMOS</t>
        </is>
      </c>
      <c r="U1580" s="77" t="n">
        <v>27.87</v>
      </c>
      <c r="W1580" s="59" t="n">
        <v>0</v>
      </c>
      <c r="X1580" s="59" t="inlineStr">
        <is>
          <t>JUROS  SALDO UTILIZ ATE LIM  SANTANDER 1VELHO-ANDREZA</t>
        </is>
      </c>
      <c r="Z1580" s="59">
        <f>IF($T1580="","",IFERROR(INDEX('Resumo Grupos'!$AC$3:$AC$200,MATCH($T1580,'Resumo Grupos'!$AB$3:$AB$200,0)),"n/d"))</f>
        <v/>
      </c>
      <c r="AA1580" s="59">
        <f>IF($T1580="","",IF(COUNTIF('Resumo Grupos'!$AE$3:$AE$40,$T1580)&gt;0,"NAO","SIM"))</f>
        <v/>
      </c>
    </row>
    <row r="1581" ht="12.75" customHeight="1" s="60">
      <c r="A1581" s="59" t="n">
        <v>1</v>
      </c>
      <c r="B1581" s="75" t="n">
        <v>46233</v>
      </c>
      <c r="C1581" s="75" t="n">
        <v>46233</v>
      </c>
      <c r="D1581" s="59" t="n">
        <v>514</v>
      </c>
      <c r="E1581" s="59" t="inlineStr">
        <is>
          <t>SANTANDER SA</t>
        </is>
      </c>
      <c r="F1581" s="59" t="n">
        <v>34</v>
      </c>
      <c r="G1581" s="59" t="inlineStr">
        <is>
          <t>Transferencia Pix</t>
        </is>
      </c>
      <c r="H1581" s="59" t="n">
        <v>1110202</v>
      </c>
      <c r="I1581" s="59" t="inlineStr">
        <is>
          <t>BANCO ITAU Lj 01</t>
        </is>
      </c>
      <c r="J1581" s="59" t="n">
        <v>1474863</v>
      </c>
      <c r="L1581" s="59" t="n">
        <v>605852</v>
      </c>
      <c r="M1581" s="59" t="inlineStr">
        <is>
          <t>01</t>
        </is>
      </c>
      <c r="N1581" s="59" t="inlineStr">
        <is>
          <t>AVU</t>
        </is>
      </c>
      <c r="P1581" s="59" t="n">
        <v>102</v>
      </c>
      <c r="Q1581" s="59" t="inlineStr">
        <is>
          <t>ANDREZA ANDRADE</t>
        </is>
      </c>
      <c r="R1581" s="59" t="inlineStr">
        <is>
          <t>DESPESAS FINANCEIRAS</t>
        </is>
      </c>
      <c r="S1581" s="59" t="n">
        <v>4210504</v>
      </c>
      <c r="T1581" s="59" t="inlineStr">
        <is>
          <t>DESPESAS BANCARIAS</t>
        </is>
      </c>
      <c r="U1581" s="77" t="n">
        <v>16</v>
      </c>
      <c r="W1581" s="59" t="n">
        <v>0</v>
      </c>
      <c r="X1581" s="59" t="inlineStr">
        <is>
          <t>TARIFA EXTRATO INTELIGENTE BCO SANTANDER 1 VELHO-ANDREZA</t>
        </is>
      </c>
      <c r="Z1581" s="59">
        <f>IF($T1581="","",IFERROR(INDEX('Resumo Grupos'!$AC$3:$AC$200,MATCH($T1581,'Resumo Grupos'!$AB$3:$AB$200,0)),"n/d"))</f>
        <v/>
      </c>
      <c r="AA1581" s="59">
        <f>IF($T1581="","",IF(COUNTIF('Resumo Grupos'!$AE$3:$AE$40,$T1581)&gt;0,"NAO","SIM"))</f>
        <v/>
      </c>
    </row>
    <row r="1582" ht="12.75" customHeight="1" s="60">
      <c r="A1582" s="59" t="n">
        <v>1</v>
      </c>
      <c r="B1582" s="75" t="n">
        <v>46233</v>
      </c>
      <c r="C1582" s="75" t="n">
        <v>46233</v>
      </c>
      <c r="D1582" s="59" t="n">
        <v>10096</v>
      </c>
      <c r="E1582" s="59" t="inlineStr">
        <is>
          <t>H L M PADARIA E CONFEITARIA LTDA</t>
        </is>
      </c>
      <c r="F1582" s="59" t="n">
        <v>13</v>
      </c>
      <c r="G1582" s="59" t="inlineStr">
        <is>
          <t>Compra a Vista</t>
        </is>
      </c>
      <c r="H1582" s="59" t="n">
        <v>2110101</v>
      </c>
      <c r="I1582" s="59" t="inlineStr">
        <is>
          <t>FORNECEDORES DE MERCADORIA</t>
        </is>
      </c>
      <c r="J1582" s="59" t="n">
        <v>1477863</v>
      </c>
      <c r="L1582" s="59" t="n">
        <v>98</v>
      </c>
      <c r="M1582" s="59" t="inlineStr">
        <is>
          <t>01</t>
        </is>
      </c>
      <c r="N1582" s="59" t="inlineStr">
        <is>
          <t>NFE</t>
        </is>
      </c>
      <c r="P1582" s="59" t="n">
        <v>104</v>
      </c>
      <c r="Q1582" s="59" t="inlineStr">
        <is>
          <t>DEBORA COSTA</t>
        </is>
      </c>
      <c r="R1582" s="59" t="inlineStr">
        <is>
          <t>ESTOQUE DE MERCADORIAS</t>
        </is>
      </c>
      <c r="S1582" s="59" t="n">
        <v>1130101</v>
      </c>
      <c r="T1582" s="59" t="inlineStr">
        <is>
          <t>MERCADORIAS P/REVENDA</t>
        </is>
      </c>
      <c r="U1582" s="77" t="n">
        <v>440</v>
      </c>
      <c r="W1582" s="59" t="n">
        <v>440</v>
      </c>
      <c r="X1582" s="59" t="inlineStr">
        <is>
          <t>NF 98 - DEBORA</t>
        </is>
      </c>
      <c r="Z1582" s="59">
        <f>IF($T1582="","",IFERROR(INDEX('Resumo Grupos'!$AC$3:$AC$200,MATCH($T1582,'Resumo Grupos'!$AB$3:$AB$200,0)),"n/d"))</f>
        <v/>
      </c>
      <c r="AA1582" s="59">
        <f>IF($T1582="","",IF(COUNTIF('Resumo Grupos'!$AE$3:$AE$40,$T1582)&gt;0,"NAO","SIM"))</f>
        <v/>
      </c>
    </row>
    <row r="1583" ht="12.75" customHeight="1" s="60">
      <c r="A1583" s="59" t="n">
        <v>1</v>
      </c>
      <c r="B1583" s="75" t="n">
        <v>46233</v>
      </c>
      <c r="C1583" s="75" t="n">
        <v>46233</v>
      </c>
      <c r="D1583" s="59" t="n">
        <v>515</v>
      </c>
      <c r="E1583" s="59" t="inlineStr">
        <is>
          <t>ITAU SA</t>
        </is>
      </c>
      <c r="F1583" s="59" t="n">
        <v>34</v>
      </c>
      <c r="G1583" s="59" t="inlineStr">
        <is>
          <t>Transferencia Pix</t>
        </is>
      </c>
      <c r="H1583" s="59" t="n">
        <v>1110202</v>
      </c>
      <c r="I1583" s="59" t="inlineStr">
        <is>
          <t>BANCO ITAU Lj 01</t>
        </is>
      </c>
      <c r="J1583" s="59" t="n">
        <v>1477888</v>
      </c>
      <c r="L1583" s="59" t="n">
        <v>607078</v>
      </c>
      <c r="M1583" s="59" t="inlineStr">
        <is>
          <t>01</t>
        </is>
      </c>
      <c r="N1583" s="59" t="inlineStr">
        <is>
          <t>AVU</t>
        </is>
      </c>
      <c r="P1583" s="59" t="n">
        <v>102</v>
      </c>
      <c r="Q1583" s="59" t="inlineStr">
        <is>
          <t>ANDREZA ANDRADE</t>
        </is>
      </c>
      <c r="R1583" s="59" t="inlineStr">
        <is>
          <t>DESPESAS FINANCEIRAS</t>
        </is>
      </c>
      <c r="S1583" s="59" t="n">
        <v>4210508</v>
      </c>
      <c r="T1583" s="59" t="inlineStr">
        <is>
          <t>CAPITALIZACAO BANCO</t>
        </is>
      </c>
      <c r="U1583" s="77" t="n">
        <v>153.13</v>
      </c>
      <c r="W1583" s="59" t="n">
        <v>0</v>
      </c>
      <c r="X1583" s="59" t="inlineStr">
        <is>
          <t>cap 60/60 itau 1nv-andreza</t>
        </is>
      </c>
      <c r="Z1583" s="59">
        <f>IF($T1583="","",IFERROR(INDEX('Resumo Grupos'!$AC$3:$AC$200,MATCH($T1583,'Resumo Grupos'!$AB$3:$AB$200,0)),"n/d"))</f>
        <v/>
      </c>
      <c r="AA1583" s="59">
        <f>IF($T1583="","",IF(COUNTIF('Resumo Grupos'!$AE$3:$AE$40,$T1583)&gt;0,"NAO","SIM"))</f>
        <v/>
      </c>
    </row>
    <row r="1584" ht="12.75" customHeight="1" s="60">
      <c r="A1584" s="59" t="n">
        <v>1</v>
      </c>
      <c r="B1584" s="75" t="n">
        <v>46233</v>
      </c>
      <c r="C1584" s="75" t="n">
        <v>46233</v>
      </c>
      <c r="D1584" s="59" t="n">
        <v>514</v>
      </c>
      <c r="E1584" s="59" t="inlineStr">
        <is>
          <t>SANTANDER SA</t>
        </is>
      </c>
      <c r="F1584" s="59" t="n">
        <v>34</v>
      </c>
      <c r="G1584" s="59" t="inlineStr">
        <is>
          <t>Transferencia Pix</t>
        </is>
      </c>
      <c r="H1584" s="59" t="n">
        <v>1110202</v>
      </c>
      <c r="I1584" s="59" t="inlineStr">
        <is>
          <t>BANCO ITAU Lj 01</t>
        </is>
      </c>
      <c r="J1584" s="59" t="n">
        <v>1477899</v>
      </c>
      <c r="L1584" s="59" t="n">
        <v>607082</v>
      </c>
      <c r="M1584" s="59" t="inlineStr">
        <is>
          <t>01</t>
        </is>
      </c>
      <c r="N1584" s="59" t="inlineStr">
        <is>
          <t>AVU</t>
        </is>
      </c>
      <c r="P1584" s="59" t="n">
        <v>102</v>
      </c>
      <c r="Q1584" s="59" t="inlineStr">
        <is>
          <t>ANDREZA ANDRADE</t>
        </is>
      </c>
      <c r="R1584" s="59" t="inlineStr">
        <is>
          <t>DESPESAS NAO OPERACIONAIS</t>
        </is>
      </c>
      <c r="S1584" s="59" t="n">
        <v>4220199</v>
      </c>
      <c r="T1584" s="59" t="inlineStr">
        <is>
          <t>PAGAMENTOS OUTROS NAO OPERACIONAIS</t>
        </is>
      </c>
      <c r="U1584" s="77" t="n">
        <v>30</v>
      </c>
      <c r="W1584" s="59" t="n">
        <v>0</v>
      </c>
      <c r="X1584" s="59" t="inlineStr">
        <is>
          <t>cobertura de conta banco santander 1velho-andreza</t>
        </is>
      </c>
      <c r="Z1584" s="59">
        <f>IF($T1584="","",IFERROR(INDEX('Resumo Grupos'!$AC$3:$AC$200,MATCH($T1584,'Resumo Grupos'!$AB$3:$AB$200,0)),"n/d"))</f>
        <v/>
      </c>
      <c r="AA1584" s="59">
        <f>IF($T1584="","",IF(COUNTIF('Resumo Grupos'!$AE$3:$AE$40,$T1584)&gt;0,"NAO","SIM"))</f>
        <v/>
      </c>
    </row>
    <row r="1585" ht="12.75" customHeight="1" s="60">
      <c r="A1585" s="59" t="n">
        <v>1</v>
      </c>
      <c r="B1585" s="75" t="n">
        <v>46233</v>
      </c>
      <c r="C1585" s="75" t="n">
        <v>46233</v>
      </c>
      <c r="D1585" s="59" t="n">
        <v>10096</v>
      </c>
      <c r="E1585" s="59" t="inlineStr">
        <is>
          <t>H L M PADARIA E CONFEITARIA LTDA</t>
        </is>
      </c>
      <c r="F1585" s="59" t="n">
        <v>13</v>
      </c>
      <c r="G1585" s="59" t="inlineStr">
        <is>
          <t>Compra a Vista</t>
        </is>
      </c>
      <c r="H1585" s="59" t="n">
        <v>2110101</v>
      </c>
      <c r="I1585" s="59" t="inlineStr">
        <is>
          <t>FORNECEDORES DE MERCADORIA</t>
        </is>
      </c>
      <c r="J1585" s="59" t="n">
        <v>1477994</v>
      </c>
      <c r="L1585" s="59" t="n">
        <v>97</v>
      </c>
      <c r="M1585" s="59" t="inlineStr">
        <is>
          <t>01</t>
        </is>
      </c>
      <c r="N1585" s="59" t="inlineStr">
        <is>
          <t>NFE</t>
        </is>
      </c>
      <c r="P1585" s="59" t="n">
        <v>104</v>
      </c>
      <c r="Q1585" s="59" t="inlineStr">
        <is>
          <t>DEBORA COSTA</t>
        </is>
      </c>
      <c r="R1585" s="59" t="inlineStr">
        <is>
          <t>ESTOQUE DE MERCADORIAS</t>
        </is>
      </c>
      <c r="S1585" s="59" t="n">
        <v>1130101</v>
      </c>
      <c r="T1585" s="59" t="inlineStr">
        <is>
          <t>MERCADORIAS P/REVENDA</t>
        </is>
      </c>
      <c r="U1585" s="77" t="n">
        <v>420</v>
      </c>
      <c r="W1585" s="59" t="n">
        <v>420</v>
      </c>
      <c r="X1585" s="59" t="inlineStr">
        <is>
          <t>NF 97 - DEBORA</t>
        </is>
      </c>
      <c r="Z1585" s="59">
        <f>IF($T1585="","",IFERROR(INDEX('Resumo Grupos'!$AC$3:$AC$200,MATCH($T1585,'Resumo Grupos'!$AB$3:$AB$200,0)),"n/d"))</f>
        <v/>
      </c>
      <c r="AA1585" s="59">
        <f>IF($T1585="","",IF(COUNTIF('Resumo Grupos'!$AE$3:$AE$40,$T1585)&gt;0,"NAO","SIM"))</f>
        <v/>
      </c>
    </row>
    <row r="1586" ht="12.75" customHeight="1" s="60">
      <c r="A1586" s="59" t="n">
        <v>1</v>
      </c>
      <c r="B1586" s="75" t="n">
        <v>46233</v>
      </c>
      <c r="C1586" s="75" t="n">
        <v>46233</v>
      </c>
      <c r="D1586" s="59" t="n">
        <v>10096</v>
      </c>
      <c r="E1586" s="59" t="inlineStr">
        <is>
          <t>H L M PADARIA E CONFEITARIA LTDA</t>
        </is>
      </c>
      <c r="F1586" s="59" t="n">
        <v>13</v>
      </c>
      <c r="G1586" s="59" t="inlineStr">
        <is>
          <t>Compra a Vista</t>
        </is>
      </c>
      <c r="H1586" s="59" t="n">
        <v>2110101</v>
      </c>
      <c r="I1586" s="59" t="inlineStr">
        <is>
          <t>FORNECEDORES DE MERCADORIA</t>
        </is>
      </c>
      <c r="J1586" s="59" t="n">
        <v>1478119</v>
      </c>
      <c r="L1586" s="59" t="n">
        <v>96</v>
      </c>
      <c r="M1586" s="59" t="inlineStr">
        <is>
          <t>01</t>
        </is>
      </c>
      <c r="N1586" s="59" t="inlineStr">
        <is>
          <t>NFE</t>
        </is>
      </c>
      <c r="P1586" s="59" t="n">
        <v>104</v>
      </c>
      <c r="Q1586" s="59" t="inlineStr">
        <is>
          <t>DEBORA COSTA</t>
        </is>
      </c>
      <c r="R1586" s="59" t="inlineStr">
        <is>
          <t>ESTOQUE DE MERCADORIAS</t>
        </is>
      </c>
      <c r="S1586" s="59" t="n">
        <v>1130101</v>
      </c>
      <c r="T1586" s="59" t="inlineStr">
        <is>
          <t>MERCADORIAS P/REVENDA</t>
        </is>
      </c>
      <c r="U1586" s="77" t="n">
        <v>420</v>
      </c>
      <c r="W1586" s="59" t="n">
        <v>420</v>
      </c>
      <c r="X1586" s="59" t="inlineStr">
        <is>
          <t>NF 96 - DEBORA</t>
        </is>
      </c>
      <c r="Z1586" s="59">
        <f>IF($T1586="","",IFERROR(INDEX('Resumo Grupos'!$AC$3:$AC$200,MATCH($T1586,'Resumo Grupos'!$AB$3:$AB$200,0)),"n/d"))</f>
        <v/>
      </c>
      <c r="AA1586" s="59">
        <f>IF($T1586="","",IF(COUNTIF('Resumo Grupos'!$AE$3:$AE$40,$T1586)&gt;0,"NAO","SIM"))</f>
        <v/>
      </c>
    </row>
    <row r="1587" ht="12.75" customHeight="1" s="60">
      <c r="A1587" s="59" t="n">
        <v>1</v>
      </c>
      <c r="B1587" s="75" t="n">
        <v>46212</v>
      </c>
      <c r="C1587" s="75" t="n">
        <v>46234</v>
      </c>
      <c r="D1587" s="59" t="n">
        <v>1718</v>
      </c>
      <c r="E1587" s="59" t="inlineStr">
        <is>
          <t>DISTRIBUIDORA FARIAS LTDA.</t>
        </is>
      </c>
      <c r="F1587" s="59" t="n">
        <v>24</v>
      </c>
      <c r="G1587" s="59" t="inlineStr">
        <is>
          <t>Compra a Prazo - Boletos</t>
        </is>
      </c>
      <c r="H1587" s="59" t="n">
        <v>2110405</v>
      </c>
      <c r="I1587" s="59" t="inlineStr">
        <is>
          <t>CONTAS A PAGAR</t>
        </is>
      </c>
      <c r="J1587" s="59" t="n">
        <v>1375395</v>
      </c>
      <c r="L1587" s="59" t="n">
        <v>681131</v>
      </c>
      <c r="M1587" s="59" t="inlineStr">
        <is>
          <t>02</t>
        </is>
      </c>
      <c r="N1587" s="59" t="inlineStr">
        <is>
          <t>AVU</t>
        </is>
      </c>
      <c r="P1587" s="59" t="n">
        <v>103</v>
      </c>
      <c r="Q1587" s="59" t="inlineStr">
        <is>
          <t>MILKA FRANCIS</t>
        </is>
      </c>
      <c r="R1587" s="59" t="inlineStr">
        <is>
          <t>ESTOQUE DE MERCADORIAS</t>
        </is>
      </c>
      <c r="S1587" s="59" t="n">
        <v>1130101</v>
      </c>
      <c r="T1587" s="59" t="inlineStr">
        <is>
          <t>MERCADORIAS P/REVENDA</t>
        </is>
      </c>
      <c r="U1587" s="77" t="n">
        <v>871.13</v>
      </c>
      <c r="W1587" s="59" t="n">
        <v>0</v>
      </c>
      <c r="X1587" s="59" t="inlineStr">
        <is>
          <t>804856-B/C  NF681131 - MILKA</t>
        </is>
      </c>
      <c r="Z1587" s="59">
        <f>IF($T1587="","",IFERROR(INDEX('Resumo Grupos'!$AC$3:$AC$200,MATCH($T1587,'Resumo Grupos'!$AB$3:$AB$200,0)),"n/d"))</f>
        <v/>
      </c>
      <c r="AA1587" s="59">
        <f>IF($T1587="","",IF(COUNTIF('Resumo Grupos'!$AE$3:$AE$40,$T1587)&gt;0,"NAO","SIM"))</f>
        <v/>
      </c>
    </row>
    <row r="1588" ht="12.75" customHeight="1" s="60">
      <c r="A1588" s="59" t="n">
        <v>1</v>
      </c>
      <c r="B1588" s="75" t="n">
        <v>46225</v>
      </c>
      <c r="C1588" s="75" t="n">
        <v>46234</v>
      </c>
      <c r="D1588" s="59" t="n">
        <v>1316</v>
      </c>
      <c r="E1588" s="59" t="inlineStr">
        <is>
          <t>VOVO DIZA COMERCIO VAREJISTA DE HORTALICAS LTDA</t>
        </is>
      </c>
      <c r="F1588" s="59" t="n">
        <v>34</v>
      </c>
      <c r="G1588" s="59" t="inlineStr">
        <is>
          <t>Transferencia Pix</t>
        </is>
      </c>
      <c r="H1588" s="59" t="n">
        <v>2110101</v>
      </c>
      <c r="I1588" s="59" t="inlineStr">
        <is>
          <t>FORNECEDORES DE MERCADORIA</t>
        </is>
      </c>
      <c r="J1588" s="59" t="n">
        <v>1459613</v>
      </c>
      <c r="L1588" s="59" t="n">
        <v>3896</v>
      </c>
      <c r="M1588" s="59" t="inlineStr">
        <is>
          <t>01</t>
        </is>
      </c>
      <c r="N1588" s="59" t="inlineStr">
        <is>
          <t>NFE</t>
        </is>
      </c>
      <c r="P1588" s="59" t="n">
        <v>104</v>
      </c>
      <c r="Q1588" s="59" t="inlineStr">
        <is>
          <t>DEBORA COSTA</t>
        </is>
      </c>
      <c r="R1588" s="59" t="inlineStr">
        <is>
          <t>ESTOQUE DE MERCADORIAS</t>
        </is>
      </c>
      <c r="S1588" s="59" t="n">
        <v>1130101</v>
      </c>
      <c r="T1588" s="59" t="inlineStr">
        <is>
          <t>MERCADORIAS P/REVENDA</t>
        </is>
      </c>
      <c r="U1588" s="77" t="n">
        <v>176</v>
      </c>
      <c r="W1588" s="59" t="n">
        <v>0</v>
      </c>
      <c r="X1588" s="59" t="inlineStr">
        <is>
          <t>NF 3896 - DEBORA</t>
        </is>
      </c>
      <c r="Z1588" s="59">
        <f>IF($T1588="","",IFERROR(INDEX('Resumo Grupos'!$AC$3:$AC$200,MATCH($T1588,'Resumo Grupos'!$AB$3:$AB$200,0)),"n/d"))</f>
        <v/>
      </c>
      <c r="AA1588" s="59">
        <f>IF($T1588="","",IF(COUNTIF('Resumo Grupos'!$AE$3:$AE$40,$T1588)&gt;0,"NAO","SIM"))</f>
        <v/>
      </c>
    </row>
    <row r="1589" ht="12.75" customHeight="1" s="60">
      <c r="A1589" s="59" t="n">
        <v>1</v>
      </c>
      <c r="B1589" s="75" t="n">
        <v>46230</v>
      </c>
      <c r="C1589" s="75" t="n">
        <v>46234</v>
      </c>
      <c r="D1589" s="59" t="n">
        <v>218</v>
      </c>
      <c r="E1589" s="59" t="inlineStr">
        <is>
          <t>RENATO DE O AZEVEDO E CIA LTDA</t>
        </is>
      </c>
      <c r="F1589" s="59" t="n">
        <v>34</v>
      </c>
      <c r="G1589" s="59" t="inlineStr">
        <is>
          <t>Transferencia Pix</t>
        </is>
      </c>
      <c r="H1589" s="59" t="n">
        <v>1110202</v>
      </c>
      <c r="I1589" s="59" t="inlineStr">
        <is>
          <t>BANCO ITAU Lj 01</t>
        </is>
      </c>
      <c r="J1589" s="59" t="n">
        <v>1459614</v>
      </c>
      <c r="L1589" s="59" t="n">
        <v>600415</v>
      </c>
      <c r="M1589" s="59" t="inlineStr">
        <is>
          <t>01</t>
        </is>
      </c>
      <c r="N1589" s="59" t="inlineStr">
        <is>
          <t>AVU</t>
        </is>
      </c>
      <c r="P1589" s="59" t="n">
        <v>101</v>
      </c>
      <c r="Q1589" s="59" t="inlineStr">
        <is>
          <t>KEILA LIMA</t>
        </is>
      </c>
      <c r="R1589" s="59" t="inlineStr">
        <is>
          <t>DESPESAS COM PESSOAL</t>
        </is>
      </c>
      <c r="S1589" s="59" t="n">
        <v>4210301</v>
      </c>
      <c r="T1589" s="59" t="inlineStr">
        <is>
          <t>SALARIOS</t>
        </is>
      </c>
      <c r="U1589" s="77" t="n">
        <v>3208.3</v>
      </c>
      <c r="W1589" s="59" t="n">
        <v>0</v>
      </c>
      <c r="X1589" s="59" t="inlineStr">
        <is>
          <t>CONVENIO DROG 04/26 MO1  - KEILA</t>
        </is>
      </c>
      <c r="Z1589" s="59">
        <f>IF($T1589="","",IFERROR(INDEX('Resumo Grupos'!$AC$3:$AC$200,MATCH($T1589,'Resumo Grupos'!$AB$3:$AB$200,0)),"n/d"))</f>
        <v/>
      </c>
      <c r="AA1589" s="59">
        <f>IF($T1589="","",IF(COUNTIF('Resumo Grupos'!$AE$3:$AE$40,$T1589)&gt;0,"NAO","SIM"))</f>
        <v/>
      </c>
    </row>
    <row r="1590" ht="12.75" customHeight="1" s="60">
      <c r="A1590" s="59" t="n">
        <v>1</v>
      </c>
      <c r="B1590" s="75" t="n">
        <v>46207</v>
      </c>
      <c r="C1590" s="75" t="n">
        <v>46234</v>
      </c>
      <c r="D1590" s="59" t="n">
        <v>1316</v>
      </c>
      <c r="E1590" s="59" t="inlineStr">
        <is>
          <t>VOVO DIZA COMERCIO VAREJISTA DE HORTALICAS LTDA</t>
        </is>
      </c>
      <c r="F1590" s="59" t="n">
        <v>34</v>
      </c>
      <c r="G1590" s="59" t="inlineStr">
        <is>
          <t>Transferencia Pix</t>
        </is>
      </c>
      <c r="H1590" s="59" t="n">
        <v>2110101</v>
      </c>
      <c r="I1590" s="59" t="inlineStr">
        <is>
          <t>FORNECEDORES DE MERCADORIA</t>
        </is>
      </c>
      <c r="J1590" s="59" t="n">
        <v>1370367</v>
      </c>
      <c r="L1590" s="59" t="n">
        <v>3742</v>
      </c>
      <c r="M1590" s="59" t="inlineStr">
        <is>
          <t>01</t>
        </is>
      </c>
      <c r="N1590" s="59" t="inlineStr">
        <is>
          <t>NFE</t>
        </is>
      </c>
      <c r="P1590" s="59" t="n">
        <v>104</v>
      </c>
      <c r="Q1590" s="59" t="inlineStr">
        <is>
          <t>DEBORA COSTA</t>
        </is>
      </c>
      <c r="R1590" s="59" t="inlineStr">
        <is>
          <t>ESTOQUE DE MERCADORIAS</t>
        </is>
      </c>
      <c r="S1590" s="59" t="n">
        <v>1130101</v>
      </c>
      <c r="T1590" s="59" t="inlineStr">
        <is>
          <t>MERCADORIAS P/REVENDA</t>
        </is>
      </c>
      <c r="U1590" s="77" t="n">
        <v>88</v>
      </c>
      <c r="W1590" s="59" t="n">
        <v>0</v>
      </c>
      <c r="X1590" s="59" t="inlineStr">
        <is>
          <t>NF 3742 - DEBORA</t>
        </is>
      </c>
      <c r="Z1590" s="59">
        <f>IF($T1590="","",IFERROR(INDEX('Resumo Grupos'!$AC$3:$AC$200,MATCH($T1590,'Resumo Grupos'!$AB$3:$AB$200,0)),"n/d"))</f>
        <v/>
      </c>
      <c r="AA1590" s="59">
        <f>IF($T1590="","",IF(COUNTIF('Resumo Grupos'!$AE$3:$AE$40,$T1590)&gt;0,"NAO","SIM"))</f>
        <v/>
      </c>
    </row>
    <row r="1591" ht="12.75" customHeight="1" s="60">
      <c r="A1591" s="59" t="n">
        <v>1</v>
      </c>
      <c r="B1591" s="75" t="n">
        <v>46214</v>
      </c>
      <c r="C1591" s="75" t="n">
        <v>46234</v>
      </c>
      <c r="D1591" s="59" t="n">
        <v>794</v>
      </c>
      <c r="E1591" s="59" t="inlineStr">
        <is>
          <t>EDMARA COMERCIO DE HIGIENE PESSOAL LTDA</t>
        </is>
      </c>
      <c r="F1591" s="59" t="n">
        <v>24</v>
      </c>
      <c r="G1591" s="59" t="inlineStr">
        <is>
          <t>Compra a Prazo - Boletos</t>
        </is>
      </c>
      <c r="H1591" s="59" t="n">
        <v>2110405</v>
      </c>
      <c r="I1591" s="59" t="inlineStr">
        <is>
          <t>CONTAS A PAGAR</t>
        </is>
      </c>
      <c r="J1591" s="59" t="n">
        <v>1381993</v>
      </c>
      <c r="L1591" s="59" t="n">
        <v>8364</v>
      </c>
      <c r="M1591" s="59" t="inlineStr">
        <is>
          <t>01</t>
        </is>
      </c>
      <c r="N1591" s="59" t="inlineStr">
        <is>
          <t>AVU</t>
        </is>
      </c>
      <c r="P1591" s="59" t="n">
        <v>103</v>
      </c>
      <c r="Q1591" s="59" t="inlineStr">
        <is>
          <t>MILKA FRANCIS</t>
        </is>
      </c>
      <c r="R1591" s="59" t="inlineStr">
        <is>
          <t>ESTOQUE DE MERCADORIAS</t>
        </is>
      </c>
      <c r="S1591" s="59" t="n">
        <v>1130101</v>
      </c>
      <c r="T1591" s="59" t="inlineStr">
        <is>
          <t>MERCADORIAS P/REVENDA</t>
        </is>
      </c>
      <c r="U1591" s="77" t="n">
        <v>523.67</v>
      </c>
      <c r="W1591" s="59" t="n">
        <v>0</v>
      </c>
      <c r="X1591" s="59" t="inlineStr">
        <is>
          <t>5350-A/C  NF8364 - MILKA</t>
        </is>
      </c>
      <c r="Z1591" s="59">
        <f>IF($T1591="","",IFERROR(INDEX('Resumo Grupos'!$AC$3:$AC$200,MATCH($T1591,'Resumo Grupos'!$AB$3:$AB$200,0)),"n/d"))</f>
        <v/>
      </c>
      <c r="AA1591" s="59">
        <f>IF($T1591="","",IF(COUNTIF('Resumo Grupos'!$AE$3:$AE$40,$T1591)&gt;0,"NAO","SIM"))</f>
        <v/>
      </c>
    </row>
    <row r="1592" ht="12.75" customHeight="1" s="60">
      <c r="A1592" s="59" t="n">
        <v>1</v>
      </c>
      <c r="B1592" s="75" t="n">
        <v>46214</v>
      </c>
      <c r="C1592" s="75" t="n">
        <v>46234</v>
      </c>
      <c r="D1592" s="59" t="n">
        <v>1815</v>
      </c>
      <c r="E1592" s="59" t="inlineStr">
        <is>
          <t>J G COMERCIO DE PRODUTOS ALIMENTICIOS LTDA</t>
        </is>
      </c>
      <c r="F1592" s="59" t="n">
        <v>24</v>
      </c>
      <c r="G1592" s="59" t="inlineStr">
        <is>
          <t>Compra a Prazo - Boletos</t>
        </is>
      </c>
      <c r="H1592" s="59" t="n">
        <v>1110202</v>
      </c>
      <c r="I1592" s="59" t="inlineStr">
        <is>
          <t>BANCO ITAU Lj 01</t>
        </is>
      </c>
      <c r="J1592" s="59" t="n">
        <v>1382433</v>
      </c>
      <c r="L1592" s="59" t="n">
        <v>391785</v>
      </c>
      <c r="M1592" s="59" t="inlineStr">
        <is>
          <t>03</t>
        </is>
      </c>
      <c r="N1592" s="59" t="inlineStr">
        <is>
          <t>AVU</t>
        </is>
      </c>
      <c r="P1592" s="59" t="n">
        <v>103</v>
      </c>
      <c r="Q1592" s="59" t="inlineStr">
        <is>
          <t>MILKA FRANCIS</t>
        </is>
      </c>
      <c r="R1592" s="59" t="inlineStr">
        <is>
          <t>ESTOQUE DE MERCADORIAS</t>
        </is>
      </c>
      <c r="S1592" s="59" t="n">
        <v>1130101</v>
      </c>
      <c r="T1592" s="59" t="inlineStr">
        <is>
          <t>MERCADORIAS P/REVENDA</t>
        </is>
      </c>
      <c r="U1592" s="77" t="n">
        <v>785.66</v>
      </c>
      <c r="W1592" s="59" t="n">
        <v>0</v>
      </c>
      <c r="X1592" s="59" t="inlineStr">
        <is>
          <t>455810-C/C  NF391785 MASTERFRIGO - MILKA</t>
        </is>
      </c>
      <c r="Z1592" s="59">
        <f>IF($T1592="","",IFERROR(INDEX('Resumo Grupos'!$AC$3:$AC$200,MATCH($T1592,'Resumo Grupos'!$AB$3:$AB$200,0)),"n/d"))</f>
        <v/>
      </c>
      <c r="AA1592" s="59">
        <f>IF($T1592="","",IF(COUNTIF('Resumo Grupos'!$AE$3:$AE$40,$T1592)&gt;0,"NAO","SIM"))</f>
        <v/>
      </c>
    </row>
    <row r="1593" ht="12.75" customHeight="1" s="60">
      <c r="A1593" s="59" t="n">
        <v>1</v>
      </c>
      <c r="B1593" s="75" t="n">
        <v>46214</v>
      </c>
      <c r="C1593" s="75" t="n">
        <v>46234</v>
      </c>
      <c r="D1593" s="59" t="n">
        <v>1316</v>
      </c>
      <c r="E1593" s="59" t="inlineStr">
        <is>
          <t>VOVO DIZA COMERCIO VAREJISTA DE HORTALICAS LTDA</t>
        </is>
      </c>
      <c r="F1593" s="59" t="n">
        <v>34</v>
      </c>
      <c r="G1593" s="59" t="inlineStr">
        <is>
          <t>Transferencia Pix</t>
        </is>
      </c>
      <c r="H1593" s="59" t="n">
        <v>2110101</v>
      </c>
      <c r="I1593" s="59" t="inlineStr">
        <is>
          <t>FORNECEDORES DE MERCADORIA</t>
        </is>
      </c>
      <c r="J1593" s="59" t="n">
        <v>1396639</v>
      </c>
      <c r="L1593" s="59" t="n">
        <v>3806</v>
      </c>
      <c r="M1593" s="59" t="inlineStr">
        <is>
          <t>01</t>
        </is>
      </c>
      <c r="N1593" s="59" t="inlineStr">
        <is>
          <t>NFE</t>
        </is>
      </c>
      <c r="P1593" s="59" t="n">
        <v>104</v>
      </c>
      <c r="Q1593" s="59" t="inlineStr">
        <is>
          <t>DEBORA COSTA</t>
        </is>
      </c>
      <c r="R1593" s="59" t="inlineStr">
        <is>
          <t>ESTOQUE DE MERCADORIAS</t>
        </is>
      </c>
      <c r="S1593" s="59" t="n">
        <v>1130101</v>
      </c>
      <c r="T1593" s="59" t="inlineStr">
        <is>
          <t>MERCADORIAS P/REVENDA</t>
        </is>
      </c>
      <c r="U1593" s="77" t="n">
        <v>200</v>
      </c>
      <c r="W1593" s="59" t="n">
        <v>0</v>
      </c>
      <c r="X1593" s="59" t="inlineStr">
        <is>
          <t>NF 3806 - DEBORA</t>
        </is>
      </c>
      <c r="Z1593" s="59">
        <f>IF($T1593="","",IFERROR(INDEX('Resumo Grupos'!$AC$3:$AC$200,MATCH($T1593,'Resumo Grupos'!$AB$3:$AB$200,0)),"n/d"))</f>
        <v/>
      </c>
      <c r="AA1593" s="59">
        <f>IF($T1593="","",IF(COUNTIF('Resumo Grupos'!$AE$3:$AE$40,$T1593)&gt;0,"NAO","SIM"))</f>
        <v/>
      </c>
    </row>
    <row r="1594" ht="12.75" customHeight="1" s="60">
      <c r="A1594" s="59" t="n">
        <v>1</v>
      </c>
      <c r="B1594" s="75" t="n">
        <v>46228</v>
      </c>
      <c r="C1594" s="75" t="n">
        <v>46234</v>
      </c>
      <c r="D1594" s="59" t="n">
        <v>1316</v>
      </c>
      <c r="E1594" s="59" t="inlineStr">
        <is>
          <t>VOVO DIZA COMERCIO VAREJISTA DE HORTALICAS LTDA</t>
        </is>
      </c>
      <c r="F1594" s="59" t="n">
        <v>34</v>
      </c>
      <c r="G1594" s="59" t="inlineStr">
        <is>
          <t>Transferencia Pix</t>
        </is>
      </c>
      <c r="H1594" s="59" t="n">
        <v>2110101</v>
      </c>
      <c r="I1594" s="59" t="inlineStr">
        <is>
          <t>FORNECEDORES DE MERCADORIA</t>
        </is>
      </c>
      <c r="J1594" s="59" t="n">
        <v>1459656</v>
      </c>
      <c r="L1594" s="59" t="n">
        <v>3931</v>
      </c>
      <c r="M1594" s="59" t="inlineStr">
        <is>
          <t>01</t>
        </is>
      </c>
      <c r="N1594" s="59" t="inlineStr">
        <is>
          <t>NFE</t>
        </is>
      </c>
      <c r="P1594" s="59" t="n">
        <v>104</v>
      </c>
      <c r="Q1594" s="59" t="inlineStr">
        <is>
          <t>DEBORA COSTA</t>
        </is>
      </c>
      <c r="R1594" s="59" t="inlineStr">
        <is>
          <t>ESTOQUE DE MERCADORIAS</t>
        </is>
      </c>
      <c r="S1594" s="59" t="n">
        <v>1130101</v>
      </c>
      <c r="T1594" s="59" t="inlineStr">
        <is>
          <t>MERCADORIAS P/REVENDA</t>
        </is>
      </c>
      <c r="U1594" s="77" t="n">
        <v>200</v>
      </c>
      <c r="W1594" s="59" t="n">
        <v>0</v>
      </c>
      <c r="X1594" s="59" t="inlineStr">
        <is>
          <t>NF 3931 - DEBORA</t>
        </is>
      </c>
      <c r="Z1594" s="59">
        <f>IF($T1594="","",IFERROR(INDEX('Resumo Grupos'!$AC$3:$AC$200,MATCH($T1594,'Resumo Grupos'!$AB$3:$AB$200,0)),"n/d"))</f>
        <v/>
      </c>
      <c r="AA1594" s="59">
        <f>IF($T1594="","",IF(COUNTIF('Resumo Grupos'!$AE$3:$AE$40,$T1594)&gt;0,"NAO","SIM"))</f>
        <v/>
      </c>
    </row>
    <row r="1595" ht="12.75" customHeight="1" s="60">
      <c r="A1595" s="59" t="n">
        <v>1</v>
      </c>
      <c r="B1595" s="75" t="n">
        <v>46223</v>
      </c>
      <c r="C1595" s="75" t="n">
        <v>46234</v>
      </c>
      <c r="D1595" s="59" t="n">
        <v>1107</v>
      </c>
      <c r="E1595" s="59" t="inlineStr">
        <is>
          <t>OESA COMERCIO E REPRESENTACOES S/A</t>
        </is>
      </c>
      <c r="F1595" s="59" t="n">
        <v>24</v>
      </c>
      <c r="G1595" s="59" t="inlineStr">
        <is>
          <t>Compra a Prazo - Boletos</t>
        </is>
      </c>
      <c r="H1595" s="59" t="n">
        <v>2110405</v>
      </c>
      <c r="I1595" s="59" t="inlineStr">
        <is>
          <t>CONTAS A PAGAR</t>
        </is>
      </c>
      <c r="J1595" s="59" t="n">
        <v>1423979</v>
      </c>
      <c r="L1595" s="59" t="n">
        <v>430879</v>
      </c>
      <c r="M1595" s="59" t="inlineStr">
        <is>
          <t>01</t>
        </is>
      </c>
      <c r="N1595" s="59" t="inlineStr">
        <is>
          <t>AVU</t>
        </is>
      </c>
      <c r="P1595" s="59" t="n">
        <v>103</v>
      </c>
      <c r="Q1595" s="59" t="inlineStr">
        <is>
          <t>MILKA FRANCIS</t>
        </is>
      </c>
      <c r="R1595" s="59" t="inlineStr">
        <is>
          <t>ESTOQUE DE MERCADORIAS</t>
        </is>
      </c>
      <c r="S1595" s="59" t="n">
        <v>1130101</v>
      </c>
      <c r="T1595" s="59" t="inlineStr">
        <is>
          <t>MERCADORIAS P/REVENDA</t>
        </is>
      </c>
      <c r="U1595" s="77" t="n">
        <v>1180.5</v>
      </c>
      <c r="W1595" s="59" t="n">
        <v>0</v>
      </c>
      <c r="X1595" s="59" t="inlineStr">
        <is>
          <t>NF 430879-1 DELLY'S - MILKA</t>
        </is>
      </c>
      <c r="Z1595" s="59">
        <f>IF($T1595="","",IFERROR(INDEX('Resumo Grupos'!$AC$3:$AC$200,MATCH($T1595,'Resumo Grupos'!$AB$3:$AB$200,0)),"n/d"))</f>
        <v/>
      </c>
      <c r="AA1595" s="59">
        <f>IF($T1595="","",IF(COUNTIF('Resumo Grupos'!$AE$3:$AE$40,$T1595)&gt;0,"NAO","SIM"))</f>
        <v/>
      </c>
    </row>
    <row r="1596" ht="12.75" customHeight="1" s="60">
      <c r="A1596" s="59" t="n">
        <v>1</v>
      </c>
      <c r="B1596" s="75" t="n">
        <v>46219</v>
      </c>
      <c r="C1596" s="75" t="n">
        <v>46234</v>
      </c>
      <c r="D1596" s="59" t="n">
        <v>1316</v>
      </c>
      <c r="E1596" s="59" t="inlineStr">
        <is>
          <t>VOVO DIZA COMERCIO VAREJISTA DE HORTALICAS LTDA</t>
        </is>
      </c>
      <c r="F1596" s="59" t="n">
        <v>34</v>
      </c>
      <c r="G1596" s="59" t="inlineStr">
        <is>
          <t>Transferencia Pix</t>
        </is>
      </c>
      <c r="H1596" s="59" t="n">
        <v>2110101</v>
      </c>
      <c r="I1596" s="59" t="inlineStr">
        <is>
          <t>FORNECEDORES DE MERCADORIA</t>
        </is>
      </c>
      <c r="J1596" s="59" t="n">
        <v>1425336</v>
      </c>
      <c r="L1596" s="59" t="n">
        <v>3844</v>
      </c>
      <c r="M1596" s="59" t="inlineStr">
        <is>
          <t>01</t>
        </is>
      </c>
      <c r="N1596" s="59" t="inlineStr">
        <is>
          <t>NFE</t>
        </is>
      </c>
      <c r="P1596" s="59" t="n">
        <v>104</v>
      </c>
      <c r="Q1596" s="59" t="inlineStr">
        <is>
          <t>DEBORA COSTA</t>
        </is>
      </c>
      <c r="R1596" s="59" t="inlineStr">
        <is>
          <t>ESTOQUE DE MERCADORIAS</t>
        </is>
      </c>
      <c r="S1596" s="59" t="n">
        <v>1130101</v>
      </c>
      <c r="T1596" s="59" t="inlineStr">
        <is>
          <t>MERCADORIAS P/REVENDA</t>
        </is>
      </c>
      <c r="U1596" s="77" t="n">
        <v>200</v>
      </c>
      <c r="W1596" s="59" t="n">
        <v>0</v>
      </c>
      <c r="X1596" s="59" t="inlineStr">
        <is>
          <t>NF 3844 - DEBORA</t>
        </is>
      </c>
      <c r="Z1596" s="59">
        <f>IF($T1596="","",IFERROR(INDEX('Resumo Grupos'!$AC$3:$AC$200,MATCH($T1596,'Resumo Grupos'!$AB$3:$AB$200,0)),"n/d"))</f>
        <v/>
      </c>
      <c r="AA1596" s="59">
        <f>IF($T1596="","",IF(COUNTIF('Resumo Grupos'!$AE$3:$AE$40,$T1596)&gt;0,"NAO","SIM"))</f>
        <v/>
      </c>
    </row>
    <row r="1597" ht="12.75" customHeight="1" s="60">
      <c r="A1597" s="59" t="n">
        <v>1</v>
      </c>
      <c r="B1597" s="75" t="n">
        <v>46224</v>
      </c>
      <c r="C1597" s="75" t="n">
        <v>46234</v>
      </c>
      <c r="D1597" s="59" t="n">
        <v>1114</v>
      </c>
      <c r="E1597" s="59" t="inlineStr">
        <is>
          <t>NT INDUSTRIA E COMERCIO DE PANIFICACAO L</t>
        </is>
      </c>
      <c r="F1597" s="59" t="n">
        <v>24</v>
      </c>
      <c r="G1597" s="59" t="inlineStr">
        <is>
          <t>Compra a Prazo - Boletos</t>
        </is>
      </c>
      <c r="H1597" s="59" t="n">
        <v>1110202</v>
      </c>
      <c r="I1597" s="59" t="inlineStr">
        <is>
          <t>BANCO ITAU Lj 01</t>
        </is>
      </c>
      <c r="J1597" s="59" t="n">
        <v>1431589</v>
      </c>
      <c r="L1597" s="59" t="n">
        <v>41360</v>
      </c>
      <c r="M1597" s="59" t="inlineStr">
        <is>
          <t>01</t>
        </is>
      </c>
      <c r="N1597" s="59" t="inlineStr">
        <is>
          <t>AVU</t>
        </is>
      </c>
      <c r="P1597" s="59" t="n">
        <v>103</v>
      </c>
      <c r="Q1597" s="59" t="inlineStr">
        <is>
          <t>MILKA FRANCIS</t>
        </is>
      </c>
      <c r="R1597" s="59" t="inlineStr">
        <is>
          <t>ESTOQUE DE MERCADORIAS</t>
        </is>
      </c>
      <c r="S1597" s="59" t="n">
        <v>1130101</v>
      </c>
      <c r="T1597" s="59" t="inlineStr">
        <is>
          <t>MERCADORIAS P/REVENDA</t>
        </is>
      </c>
      <c r="U1597" s="77" t="n">
        <v>3866.95</v>
      </c>
      <c r="W1597" s="59" t="n">
        <v>0</v>
      </c>
      <c r="X1597" s="59" t="inlineStr">
        <is>
          <t>NF 41360 - MILKA</t>
        </is>
      </c>
      <c r="Z1597" s="59">
        <f>IF($T1597="","",IFERROR(INDEX('Resumo Grupos'!$AC$3:$AC$200,MATCH($T1597,'Resumo Grupos'!$AB$3:$AB$200,0)),"n/d"))</f>
        <v/>
      </c>
      <c r="AA1597" s="59">
        <f>IF($T1597="","",IF(COUNTIF('Resumo Grupos'!$AE$3:$AE$40,$T1597)&gt;0,"NAO","SIM"))</f>
        <v/>
      </c>
    </row>
    <row r="1598" ht="12.75" customHeight="1" s="60">
      <c r="A1598" s="59" t="n">
        <v>1</v>
      </c>
      <c r="B1598" s="75" t="n">
        <v>46225</v>
      </c>
      <c r="C1598" s="75" t="n">
        <v>46234</v>
      </c>
      <c r="D1598" s="59" t="n">
        <v>1270</v>
      </c>
      <c r="E1598" s="59" t="inlineStr">
        <is>
          <t>J. S. MOREIRA ALVES LTDA</t>
        </is>
      </c>
      <c r="F1598" s="59" t="n">
        <v>24</v>
      </c>
      <c r="G1598" s="59" t="inlineStr">
        <is>
          <t>Compra a Prazo - Boletos</t>
        </is>
      </c>
      <c r="H1598" s="59" t="n">
        <v>1110202</v>
      </c>
      <c r="I1598" s="59" t="inlineStr">
        <is>
          <t>BANCO ITAU Lj 01</t>
        </is>
      </c>
      <c r="J1598" s="59" t="n">
        <v>1434138</v>
      </c>
      <c r="L1598" s="59" t="n">
        <v>2667</v>
      </c>
      <c r="M1598" s="59" t="inlineStr">
        <is>
          <t>01</t>
        </is>
      </c>
      <c r="N1598" s="59" t="inlineStr">
        <is>
          <t>AVU</t>
        </is>
      </c>
      <c r="P1598" s="59" t="n">
        <v>103</v>
      </c>
      <c r="Q1598" s="59" t="inlineStr">
        <is>
          <t>MILKA FRANCIS</t>
        </is>
      </c>
      <c r="R1598" s="59" t="inlineStr">
        <is>
          <t>ESTOQUE DE MERCADORIAS</t>
        </is>
      </c>
      <c r="S1598" s="59" t="n">
        <v>1130101</v>
      </c>
      <c r="T1598" s="59" t="inlineStr">
        <is>
          <t>MERCADORIAS P/REVENDA</t>
        </is>
      </c>
      <c r="U1598" s="77" t="n">
        <v>638.5</v>
      </c>
      <c r="W1598" s="59" t="n">
        <v>0</v>
      </c>
      <c r="X1598" s="59" t="inlineStr">
        <is>
          <t>NF 2667 MESA FARTA - MILKA</t>
        </is>
      </c>
      <c r="Z1598" s="59">
        <f>IF($T1598="","",IFERROR(INDEX('Resumo Grupos'!$AC$3:$AC$200,MATCH($T1598,'Resumo Grupos'!$AB$3:$AB$200,0)),"n/d"))</f>
        <v/>
      </c>
      <c r="AA1598" s="59">
        <f>IF($T1598="","",IF(COUNTIF('Resumo Grupos'!$AE$3:$AE$40,$T1598)&gt;0,"NAO","SIM"))</f>
        <v/>
      </c>
    </row>
    <row r="1599" ht="12.75" customHeight="1" s="60">
      <c r="A1599" s="59" t="n">
        <v>1</v>
      </c>
      <c r="B1599" s="75" t="n">
        <v>46225</v>
      </c>
      <c r="C1599" s="75" t="n">
        <v>46234</v>
      </c>
      <c r="D1599" s="59" t="n">
        <v>10017</v>
      </c>
      <c r="E1599" s="59" t="inlineStr">
        <is>
          <t>PIARARA COMERCIO, IMPORTACAO E EXPORTACAO LTDA</t>
        </is>
      </c>
      <c r="F1599" s="59" t="n">
        <v>24</v>
      </c>
      <c r="G1599" s="59" t="inlineStr">
        <is>
          <t>Compra a Prazo - Boletos</t>
        </is>
      </c>
      <c r="H1599" s="59" t="n">
        <v>2110405</v>
      </c>
      <c r="I1599" s="59" t="inlineStr">
        <is>
          <t>CONTAS A PAGAR</t>
        </is>
      </c>
      <c r="J1599" s="59" t="n">
        <v>1434930</v>
      </c>
      <c r="L1599" s="59" t="n">
        <v>194574</v>
      </c>
      <c r="M1599" s="59" t="inlineStr">
        <is>
          <t>01</t>
        </is>
      </c>
      <c r="N1599" s="59" t="inlineStr">
        <is>
          <t>AVU</t>
        </is>
      </c>
      <c r="P1599" s="59" t="n">
        <v>103</v>
      </c>
      <c r="Q1599" s="59" t="inlineStr">
        <is>
          <t>MILKA FRANCIS</t>
        </is>
      </c>
      <c r="R1599" s="59" t="inlineStr">
        <is>
          <t>ESTOQUE DE MERCADORIAS</t>
        </is>
      </c>
      <c r="S1599" s="59" t="n">
        <v>1130101</v>
      </c>
      <c r="T1599" s="59" t="inlineStr">
        <is>
          <t>MERCADORIAS P/REVENDA</t>
        </is>
      </c>
      <c r="U1599" s="77" t="n">
        <v>808.4400000000001</v>
      </c>
      <c r="W1599" s="59" t="n">
        <v>0</v>
      </c>
      <c r="X1599" s="59" t="inlineStr">
        <is>
          <t>NF 194574 -1 MILKA</t>
        </is>
      </c>
      <c r="Z1599" s="59">
        <f>IF($T1599="","",IFERROR(INDEX('Resumo Grupos'!$AC$3:$AC$200,MATCH($T1599,'Resumo Grupos'!$AB$3:$AB$200,0)),"n/d"))</f>
        <v/>
      </c>
      <c r="AA1599" s="59">
        <f>IF($T1599="","",IF(COUNTIF('Resumo Grupos'!$AE$3:$AE$40,$T1599)&gt;0,"NAO","SIM"))</f>
        <v/>
      </c>
    </row>
    <row r="1600" ht="12.75" customHeight="1" s="60">
      <c r="A1600" s="59" t="n">
        <v>1</v>
      </c>
      <c r="B1600" s="75" t="n">
        <v>46225</v>
      </c>
      <c r="C1600" s="75" t="n">
        <v>46234</v>
      </c>
      <c r="D1600" s="59" t="n">
        <v>1723</v>
      </c>
      <c r="E1600" s="59" t="inlineStr">
        <is>
          <t>COMERCIO DE FRIOS MANAUS LTDA</t>
        </is>
      </c>
      <c r="F1600" s="59" t="n">
        <v>24</v>
      </c>
      <c r="G1600" s="59" t="inlineStr">
        <is>
          <t>Compra a Prazo - Boletos</t>
        </is>
      </c>
      <c r="H1600" s="59" t="n">
        <v>1110202</v>
      </c>
      <c r="I1600" s="59" t="inlineStr">
        <is>
          <t>BANCO ITAU Lj 01</t>
        </is>
      </c>
      <c r="J1600" s="59" t="n">
        <v>1435466</v>
      </c>
      <c r="L1600" s="59" t="n">
        <v>173548</v>
      </c>
      <c r="M1600" s="59" t="inlineStr">
        <is>
          <t>01</t>
        </is>
      </c>
      <c r="N1600" s="59" t="inlineStr">
        <is>
          <t>AVU</t>
        </is>
      </c>
      <c r="P1600" s="59" t="n">
        <v>103</v>
      </c>
      <c r="Q1600" s="59" t="inlineStr">
        <is>
          <t>MILKA FRANCIS</t>
        </is>
      </c>
      <c r="R1600" s="59" t="inlineStr">
        <is>
          <t>ESTOQUE DE MERCADORIAS</t>
        </is>
      </c>
      <c r="S1600" s="59" t="n">
        <v>1130101</v>
      </c>
      <c r="T1600" s="59" t="inlineStr">
        <is>
          <t>MERCADORIAS P/REVENDA</t>
        </is>
      </c>
      <c r="U1600" s="77" t="n">
        <v>4683.5</v>
      </c>
      <c r="W1600" s="59" t="n">
        <v>0</v>
      </c>
      <c r="X1600" s="59" t="inlineStr">
        <is>
          <t>NF 173548 - MILKA</t>
        </is>
      </c>
      <c r="Z1600" s="59">
        <f>IF($T1600="","",IFERROR(INDEX('Resumo Grupos'!$AC$3:$AC$200,MATCH($T1600,'Resumo Grupos'!$AB$3:$AB$200,0)),"n/d"))</f>
        <v/>
      </c>
      <c r="AA1600" s="59">
        <f>IF($T1600="","",IF(COUNTIF('Resumo Grupos'!$AE$3:$AE$40,$T1600)&gt;0,"NAO","SIM"))</f>
        <v/>
      </c>
    </row>
    <row r="1601" ht="12.75" customHeight="1" s="60">
      <c r="A1601" s="59" t="n">
        <v>1</v>
      </c>
      <c r="B1601" s="75" t="n">
        <v>46226</v>
      </c>
      <c r="C1601" s="75" t="n">
        <v>46234</v>
      </c>
      <c r="D1601" s="59" t="n">
        <v>1666</v>
      </c>
      <c r="E1601" s="59" t="inlineStr">
        <is>
          <t>SOUZA CRUZ LTDA.</t>
        </is>
      </c>
      <c r="F1601" s="59" t="n">
        <v>24</v>
      </c>
      <c r="G1601" s="59" t="inlineStr">
        <is>
          <t>Compra a Prazo - Boletos</t>
        </is>
      </c>
      <c r="H1601" s="59" t="n">
        <v>2110405</v>
      </c>
      <c r="I1601" s="59" t="inlineStr">
        <is>
          <t>CONTAS A PAGAR</t>
        </is>
      </c>
      <c r="J1601" s="59" t="n">
        <v>1440189</v>
      </c>
      <c r="L1601" s="59" t="n">
        <v>568312</v>
      </c>
      <c r="M1601" s="59" t="inlineStr">
        <is>
          <t>01</t>
        </is>
      </c>
      <c r="N1601" s="59" t="inlineStr">
        <is>
          <t>AVU</t>
        </is>
      </c>
      <c r="P1601" s="59" t="n">
        <v>103</v>
      </c>
      <c r="Q1601" s="59" t="inlineStr">
        <is>
          <t>MILKA FRANCIS</t>
        </is>
      </c>
      <c r="R1601" s="59" t="inlineStr">
        <is>
          <t>ESTOQUE DE MERCADORIAS</t>
        </is>
      </c>
      <c r="S1601" s="59" t="n">
        <v>1130101</v>
      </c>
      <c r="T1601" s="59" t="inlineStr">
        <is>
          <t>MERCADORIAS P/REVENDA</t>
        </is>
      </c>
      <c r="U1601" s="77" t="n">
        <v>7635.42</v>
      </c>
      <c r="W1601" s="59" t="n">
        <v>0</v>
      </c>
      <c r="X1601" s="59" t="inlineStr">
        <is>
          <t>NF 568312-1 MILKA</t>
        </is>
      </c>
      <c r="Z1601" s="59">
        <f>IF($T1601="","",IFERROR(INDEX('Resumo Grupos'!$AC$3:$AC$200,MATCH($T1601,'Resumo Grupos'!$AB$3:$AB$200,0)),"n/d"))</f>
        <v/>
      </c>
      <c r="AA1601" s="59">
        <f>IF($T1601="","",IF(COUNTIF('Resumo Grupos'!$AE$3:$AE$40,$T1601)&gt;0,"NAO","SIM"))</f>
        <v/>
      </c>
    </row>
    <row r="1602" ht="12.75" customHeight="1" s="60">
      <c r="A1602" s="59" t="n">
        <v>1</v>
      </c>
      <c r="B1602" s="75" t="n">
        <v>46210</v>
      </c>
      <c r="C1602" s="75" t="n">
        <v>46234</v>
      </c>
      <c r="D1602" s="59" t="n">
        <v>967</v>
      </c>
      <c r="E1602" s="59" t="inlineStr">
        <is>
          <t>L. J. DA SILVA LTDA</t>
        </is>
      </c>
      <c r="F1602" s="59" t="n">
        <v>24</v>
      </c>
      <c r="G1602" s="59" t="inlineStr">
        <is>
          <t>Compra a Prazo - Boletos</t>
        </is>
      </c>
      <c r="H1602" s="59" t="n">
        <v>1110202</v>
      </c>
      <c r="I1602" s="59" t="inlineStr">
        <is>
          <t>BANCO ITAU Lj 01</t>
        </is>
      </c>
      <c r="J1602" s="59" t="n">
        <v>1440510</v>
      </c>
      <c r="L1602" s="59" t="n">
        <v>34608</v>
      </c>
      <c r="M1602" s="59" t="inlineStr">
        <is>
          <t>02</t>
        </is>
      </c>
      <c r="N1602" s="59" t="inlineStr">
        <is>
          <t>AVU</t>
        </is>
      </c>
      <c r="P1602" s="59" t="n">
        <v>103</v>
      </c>
      <c r="Q1602" s="59" t="inlineStr">
        <is>
          <t>MILKA FRANCIS</t>
        </is>
      </c>
      <c r="R1602" s="59" t="inlineStr">
        <is>
          <t>ESTOQUE DE MERCADORIAS</t>
        </is>
      </c>
      <c r="S1602" s="59" t="n">
        <v>1130101</v>
      </c>
      <c r="T1602" s="59" t="inlineStr">
        <is>
          <t>MERCADORIAS P/REVENDA</t>
        </is>
      </c>
      <c r="U1602" s="77" t="n">
        <v>2838.97</v>
      </c>
      <c r="W1602" s="59" t="n">
        <v>0</v>
      </c>
      <c r="X1602" s="59" t="inlineStr">
        <is>
          <t>NF 34608-02 C/ ACRESCIMO - MILKA</t>
        </is>
      </c>
      <c r="Z1602" s="59">
        <f>IF($T1602="","",IFERROR(INDEX('Resumo Grupos'!$AC$3:$AC$200,MATCH($T1602,'Resumo Grupos'!$AB$3:$AB$200,0)),"n/d"))</f>
        <v/>
      </c>
      <c r="AA1602" s="59">
        <f>IF($T1602="","",IF(COUNTIF('Resumo Grupos'!$AE$3:$AE$40,$T1602)&gt;0,"NAO","SIM"))</f>
        <v/>
      </c>
    </row>
    <row r="1603" ht="12.75" customHeight="1" s="60">
      <c r="A1603" s="59" t="n">
        <v>1</v>
      </c>
      <c r="B1603" s="75" t="n">
        <v>46227</v>
      </c>
      <c r="C1603" s="75" t="n">
        <v>46234</v>
      </c>
      <c r="D1603" s="59" t="n">
        <v>1642</v>
      </c>
      <c r="E1603" s="59" t="inlineStr">
        <is>
          <t>BROTHERS  INDUSTRIA DE ALIMENTOS LTDA</t>
        </is>
      </c>
      <c r="F1603" s="59" t="n">
        <v>24</v>
      </c>
      <c r="G1603" s="59" t="inlineStr">
        <is>
          <t>Compra a Prazo - Boletos</t>
        </is>
      </c>
      <c r="H1603" s="59" t="n">
        <v>1110202</v>
      </c>
      <c r="I1603" s="59" t="inlineStr">
        <is>
          <t>BANCO ITAU Lj 01</t>
        </is>
      </c>
      <c r="J1603" s="59" t="n">
        <v>1443670</v>
      </c>
      <c r="L1603" s="59" t="n">
        <v>1033389</v>
      </c>
      <c r="M1603" s="59" t="inlineStr">
        <is>
          <t>01</t>
        </is>
      </c>
      <c r="N1603" s="59" t="inlineStr">
        <is>
          <t>AVU</t>
        </is>
      </c>
      <c r="P1603" s="59" t="n">
        <v>103</v>
      </c>
      <c r="Q1603" s="59" t="inlineStr">
        <is>
          <t>MILKA FRANCIS</t>
        </is>
      </c>
      <c r="R1603" s="59" t="inlineStr">
        <is>
          <t>ESTOQUE DE MERCADORIAS</t>
        </is>
      </c>
      <c r="S1603" s="59" t="n">
        <v>1130101</v>
      </c>
      <c r="T1603" s="59" t="inlineStr">
        <is>
          <t>MERCADORIAS P/REVENDA</t>
        </is>
      </c>
      <c r="U1603" s="77" t="n">
        <v>455.45</v>
      </c>
      <c r="W1603" s="59" t="n">
        <v>0</v>
      </c>
      <c r="X1603" s="59" t="inlineStr">
        <is>
          <t>NF 1033389 -MILKA</t>
        </is>
      </c>
      <c r="Z1603" s="59">
        <f>IF($T1603="","",IFERROR(INDEX('Resumo Grupos'!$AC$3:$AC$200,MATCH($T1603,'Resumo Grupos'!$AB$3:$AB$200,0)),"n/d"))</f>
        <v/>
      </c>
      <c r="AA1603" s="59">
        <f>IF($T1603="","",IF(COUNTIF('Resumo Grupos'!$AE$3:$AE$40,$T1603)&gt;0,"NAO","SIM"))</f>
        <v/>
      </c>
    </row>
    <row r="1604" ht="12.75" customHeight="1" s="60">
      <c r="A1604" s="59" t="n">
        <v>1</v>
      </c>
      <c r="B1604" s="75" t="n">
        <v>46227</v>
      </c>
      <c r="C1604" s="75" t="n">
        <v>46234</v>
      </c>
      <c r="D1604" s="59" t="n">
        <v>364</v>
      </c>
      <c r="E1604" s="59" t="inlineStr">
        <is>
          <t>TEREZINHA DA SILVA DOURADO PADARIA</t>
        </is>
      </c>
      <c r="F1604" s="59" t="n">
        <v>34</v>
      </c>
      <c r="G1604" s="59" t="inlineStr">
        <is>
          <t>Transferencia Pix</t>
        </is>
      </c>
      <c r="H1604" s="59" t="n">
        <v>1110202</v>
      </c>
      <c r="I1604" s="59" t="inlineStr">
        <is>
          <t>BANCO ITAU Lj 01</t>
        </is>
      </c>
      <c r="J1604" s="59" t="n">
        <v>1445330</v>
      </c>
      <c r="L1604" s="59" t="n">
        <v>594527</v>
      </c>
      <c r="M1604" s="59" t="inlineStr">
        <is>
          <t>01</t>
        </is>
      </c>
      <c r="N1604" s="59" t="inlineStr">
        <is>
          <t>AVU</t>
        </is>
      </c>
      <c r="P1604" s="59" t="n">
        <v>101</v>
      </c>
      <c r="Q1604" s="59" t="inlineStr">
        <is>
          <t>KEILA LIMA</t>
        </is>
      </c>
      <c r="R1604" s="59" t="inlineStr">
        <is>
          <t>DESPESAS COM PESSOAL</t>
        </is>
      </c>
      <c r="S1604" s="59" t="n">
        <v>4210304</v>
      </c>
      <c r="T1604" s="59" t="inlineStr">
        <is>
          <t>FERIAS</t>
        </is>
      </c>
      <c r="U1604" s="77" t="n">
        <v>2245.05</v>
      </c>
      <c r="W1604" s="59" t="n">
        <v>0</v>
      </c>
      <c r="X1604" s="59" t="inlineStr">
        <is>
          <t>FERIAS TEREZINHA 2025/2026 MO1 - KEILA</t>
        </is>
      </c>
      <c r="Z1604" s="59">
        <f>IF($T1604="","",IFERROR(INDEX('Resumo Grupos'!$AC$3:$AC$200,MATCH($T1604,'Resumo Grupos'!$AB$3:$AB$200,0)),"n/d"))</f>
        <v/>
      </c>
      <c r="AA1604" s="59">
        <f>IF($T1604="","",IF(COUNTIF('Resumo Grupos'!$AE$3:$AE$40,$T1604)&gt;0,"NAO","SIM"))</f>
        <v/>
      </c>
    </row>
    <row r="1605" ht="12.75" customHeight="1" s="60">
      <c r="A1605" s="59" t="n">
        <v>1</v>
      </c>
      <c r="B1605" s="75" t="n">
        <v>46228</v>
      </c>
      <c r="C1605" s="75" t="n">
        <v>46234</v>
      </c>
      <c r="D1605" s="59" t="n">
        <v>1621</v>
      </c>
      <c r="E1605" s="59" t="inlineStr">
        <is>
          <t>CRBS S/A</t>
        </is>
      </c>
      <c r="F1605" s="59" t="n">
        <v>24</v>
      </c>
      <c r="G1605" s="59" t="inlineStr">
        <is>
          <t>Compra a Prazo - Boletos</t>
        </is>
      </c>
      <c r="H1605" s="59" t="n">
        <v>1110202</v>
      </c>
      <c r="I1605" s="59" t="inlineStr">
        <is>
          <t>BANCO ITAU Lj 01</t>
        </is>
      </c>
      <c r="J1605" s="59" t="n">
        <v>1450106</v>
      </c>
      <c r="L1605" s="59" t="n">
        <v>920837</v>
      </c>
      <c r="M1605" s="59" t="inlineStr">
        <is>
          <t>01</t>
        </is>
      </c>
      <c r="N1605" s="59" t="inlineStr">
        <is>
          <t>AVU</t>
        </is>
      </c>
      <c r="P1605" s="59" t="n">
        <v>103</v>
      </c>
      <c r="Q1605" s="59" t="inlineStr">
        <is>
          <t>MILKA FRANCIS</t>
        </is>
      </c>
      <c r="R1605" s="59" t="inlineStr">
        <is>
          <t>ESTOQUE DE MERCADORIAS</t>
        </is>
      </c>
      <c r="S1605" s="59" t="n">
        <v>1130101</v>
      </c>
      <c r="T1605" s="59" t="inlineStr">
        <is>
          <t>MERCADORIAS P/REVENDA</t>
        </is>
      </c>
      <c r="U1605" s="77" t="n">
        <v>337.06</v>
      </c>
      <c r="W1605" s="59" t="n">
        <v>0</v>
      </c>
      <c r="X1605" s="59" t="inlineStr">
        <is>
          <t>NF 920837 C/TARIFA INCLUSA - MILKA</t>
        </is>
      </c>
      <c r="Z1605" s="59">
        <f>IF($T1605="","",IFERROR(INDEX('Resumo Grupos'!$AC$3:$AC$200,MATCH($T1605,'Resumo Grupos'!$AB$3:$AB$200,0)),"n/d"))</f>
        <v/>
      </c>
      <c r="AA1605" s="59">
        <f>IF($T1605="","",IF(COUNTIF('Resumo Grupos'!$AE$3:$AE$40,$T1605)&gt;0,"NAO","SIM"))</f>
        <v/>
      </c>
    </row>
    <row r="1606" ht="12.75" customHeight="1" s="60">
      <c r="A1606" s="59" t="n">
        <v>1</v>
      </c>
      <c r="B1606" s="75" t="n">
        <v>46228</v>
      </c>
      <c r="C1606" s="75" t="n">
        <v>46234</v>
      </c>
      <c r="D1606" s="59" t="n">
        <v>1286</v>
      </c>
      <c r="E1606" s="59" t="inlineStr">
        <is>
          <t>VITAPAN COMERCIO VAREJISTA DE PRODUTOS ALIMENTICIOS LTDA</t>
        </is>
      </c>
      <c r="F1606" s="59" t="n">
        <v>24</v>
      </c>
      <c r="G1606" s="59" t="inlineStr">
        <is>
          <t>Compra a Prazo - Boletos</t>
        </is>
      </c>
      <c r="H1606" s="59" t="n">
        <v>1110202</v>
      </c>
      <c r="I1606" s="59" t="inlineStr">
        <is>
          <t>BANCO ITAU Lj 01</t>
        </is>
      </c>
      <c r="J1606" s="59" t="n">
        <v>1450163</v>
      </c>
      <c r="L1606" s="59" t="n">
        <v>10389</v>
      </c>
      <c r="M1606" s="59" t="inlineStr">
        <is>
          <t>01</t>
        </is>
      </c>
      <c r="N1606" s="59" t="inlineStr">
        <is>
          <t>AVU</t>
        </is>
      </c>
      <c r="P1606" s="59" t="n">
        <v>103</v>
      </c>
      <c r="Q1606" s="59" t="inlineStr">
        <is>
          <t>MILKA FRANCIS</t>
        </is>
      </c>
      <c r="R1606" s="59" t="inlineStr">
        <is>
          <t>ESTOQUE DE MERCADORIAS</t>
        </is>
      </c>
      <c r="S1606" s="59" t="n">
        <v>1130101</v>
      </c>
      <c r="T1606" s="59" t="inlineStr">
        <is>
          <t>MERCADORIAS P/REVENDA</t>
        </is>
      </c>
      <c r="U1606" s="77" t="n">
        <v>1026</v>
      </c>
      <c r="W1606" s="59" t="n">
        <v>0</v>
      </c>
      <c r="X1606" s="59" t="inlineStr">
        <is>
          <t>NF 10389 - MILKA</t>
        </is>
      </c>
      <c r="Z1606" s="59">
        <f>IF($T1606="","",IFERROR(INDEX('Resumo Grupos'!$AC$3:$AC$200,MATCH($T1606,'Resumo Grupos'!$AB$3:$AB$200,0)),"n/d"))</f>
        <v/>
      </c>
      <c r="AA1606" s="59">
        <f>IF($T1606="","",IF(COUNTIF('Resumo Grupos'!$AE$3:$AE$40,$T1606)&gt;0,"NAO","SIM"))</f>
        <v/>
      </c>
    </row>
    <row r="1607" ht="12.75" customHeight="1" s="60">
      <c r="A1607" s="59" t="n">
        <v>1</v>
      </c>
      <c r="B1607" s="75" t="n">
        <v>46230</v>
      </c>
      <c r="C1607" s="75" t="n">
        <v>46234</v>
      </c>
      <c r="D1607" s="59" t="n">
        <v>1328</v>
      </c>
      <c r="E1607" s="59" t="inlineStr">
        <is>
          <t>NOVA FRIOS COMERCIO ATACADISTA DE LATICINIOS LTDA</t>
        </is>
      </c>
      <c r="F1607" s="59" t="n">
        <v>24</v>
      </c>
      <c r="G1607" s="59" t="inlineStr">
        <is>
          <t>Compra a Prazo - Boletos</t>
        </is>
      </c>
      <c r="H1607" s="59" t="n">
        <v>1110202</v>
      </c>
      <c r="I1607" s="59" t="inlineStr">
        <is>
          <t>BANCO ITAU Lj 01</t>
        </is>
      </c>
      <c r="J1607" s="59" t="n">
        <v>1460129</v>
      </c>
      <c r="L1607" s="59" t="n">
        <v>4183</v>
      </c>
      <c r="M1607" s="59" t="inlineStr">
        <is>
          <t>01</t>
        </is>
      </c>
      <c r="N1607" s="59" t="inlineStr">
        <is>
          <t>AVU</t>
        </is>
      </c>
      <c r="P1607" s="59" t="n">
        <v>103</v>
      </c>
      <c r="Q1607" s="59" t="inlineStr">
        <is>
          <t>MILKA FRANCIS</t>
        </is>
      </c>
      <c r="R1607" s="59" t="inlineStr">
        <is>
          <t>ESTOQUE DE MERCADORIAS</t>
        </is>
      </c>
      <c r="S1607" s="59" t="n">
        <v>1130101</v>
      </c>
      <c r="T1607" s="59" t="inlineStr">
        <is>
          <t>MERCADORIAS P/REVENDA</t>
        </is>
      </c>
      <c r="U1607" s="77" t="n">
        <v>257</v>
      </c>
      <c r="W1607" s="59" t="n">
        <v>0</v>
      </c>
      <c r="X1607" s="59" t="inlineStr">
        <is>
          <t>NF 4183 BODEGA DO PAO - MILKA</t>
        </is>
      </c>
      <c r="Z1607" s="59">
        <f>IF($T1607="","",IFERROR(INDEX('Resumo Grupos'!$AC$3:$AC$200,MATCH($T1607,'Resumo Grupos'!$AB$3:$AB$200,0)),"n/d"))</f>
        <v/>
      </c>
      <c r="AA1607" s="59">
        <f>IF($T1607="","",IF(COUNTIF('Resumo Grupos'!$AE$3:$AE$40,$T1607)&gt;0,"NAO","SIM"))</f>
        <v/>
      </c>
    </row>
    <row r="1608" ht="12.75" customHeight="1" s="60">
      <c r="A1608" s="59" t="n">
        <v>1</v>
      </c>
      <c r="B1608" s="75" t="n">
        <v>46231</v>
      </c>
      <c r="C1608" s="75" t="n">
        <v>46234</v>
      </c>
      <c r="D1608" s="59" t="n">
        <v>1899</v>
      </c>
      <c r="E1608" s="59" t="inlineStr">
        <is>
          <t>PANIFICADORA E CONFEITARIA REAL MADRI LTDA</t>
        </is>
      </c>
      <c r="F1608" s="59" t="n">
        <v>24</v>
      </c>
      <c r="G1608" s="59" t="inlineStr">
        <is>
          <t>Compra a Prazo - Boletos</t>
        </is>
      </c>
      <c r="H1608" s="59" t="n">
        <v>1110202</v>
      </c>
      <c r="I1608" s="59" t="inlineStr">
        <is>
          <t>BANCO ITAU Lj 01</t>
        </is>
      </c>
      <c r="J1608" s="59" t="n">
        <v>1462665</v>
      </c>
      <c r="L1608" s="59" t="n">
        <v>733</v>
      </c>
      <c r="M1608" s="59" t="inlineStr">
        <is>
          <t>01</t>
        </is>
      </c>
      <c r="N1608" s="59" t="inlineStr">
        <is>
          <t>AVU</t>
        </is>
      </c>
      <c r="P1608" s="59" t="n">
        <v>103</v>
      </c>
      <c r="Q1608" s="59" t="inlineStr">
        <is>
          <t>MILKA FRANCIS</t>
        </is>
      </c>
      <c r="R1608" s="59" t="inlineStr">
        <is>
          <t>ESTOQUE DE MERCADORIAS</t>
        </is>
      </c>
      <c r="S1608" s="59" t="n">
        <v>1130101</v>
      </c>
      <c r="T1608" s="59" t="inlineStr">
        <is>
          <t>MERCADORIAS P/REVENDA</t>
        </is>
      </c>
      <c r="U1608" s="77" t="n">
        <v>855.5</v>
      </c>
      <c r="W1608" s="59" t="n">
        <v>0</v>
      </c>
      <c r="X1608" s="59" t="inlineStr">
        <is>
          <t>NF 733 - MILKA</t>
        </is>
      </c>
      <c r="Z1608" s="59">
        <f>IF($T1608="","",IFERROR(INDEX('Resumo Grupos'!$AC$3:$AC$200,MATCH($T1608,'Resumo Grupos'!$AB$3:$AB$200,0)),"n/d"))</f>
        <v/>
      </c>
      <c r="AA1608" s="59">
        <f>IF($T1608="","",IF(COUNTIF('Resumo Grupos'!$AE$3:$AE$40,$T1608)&gt;0,"NAO","SIM"))</f>
        <v/>
      </c>
    </row>
    <row r="1609" ht="12.75" customHeight="1" s="60">
      <c r="A1609" s="59" t="n">
        <v>1</v>
      </c>
      <c r="B1609" s="75" t="n">
        <v>46231</v>
      </c>
      <c r="C1609" s="75" t="n">
        <v>46234</v>
      </c>
      <c r="D1609" s="59" t="n">
        <v>1899</v>
      </c>
      <c r="E1609" s="59" t="inlineStr">
        <is>
          <t>PANIFICADORA E CONFEITARIA REAL MADRI LTDA</t>
        </is>
      </c>
      <c r="F1609" s="59" t="n">
        <v>24</v>
      </c>
      <c r="G1609" s="59" t="inlineStr">
        <is>
          <t>Compra a Prazo - Boletos</t>
        </is>
      </c>
      <c r="H1609" s="59" t="n">
        <v>1110202</v>
      </c>
      <c r="I1609" s="59" t="inlineStr">
        <is>
          <t>BANCO ITAU Lj 01</t>
        </is>
      </c>
      <c r="J1609" s="59" t="n">
        <v>1462886</v>
      </c>
      <c r="L1609" s="59" t="n">
        <v>734</v>
      </c>
      <c r="M1609" s="59" t="inlineStr">
        <is>
          <t>01</t>
        </is>
      </c>
      <c r="N1609" s="59" t="inlineStr">
        <is>
          <t>AVU</t>
        </is>
      </c>
      <c r="P1609" s="59" t="n">
        <v>103</v>
      </c>
      <c r="Q1609" s="59" t="inlineStr">
        <is>
          <t>MILKA FRANCIS</t>
        </is>
      </c>
      <c r="R1609" s="59" t="inlineStr">
        <is>
          <t>ESTOQUE DE MERCADORIAS</t>
        </is>
      </c>
      <c r="S1609" s="59" t="n">
        <v>1130101</v>
      </c>
      <c r="T1609" s="59" t="inlineStr">
        <is>
          <t>MERCADORIAS P/REVENDA</t>
        </is>
      </c>
      <c r="U1609" s="77" t="n">
        <v>1120</v>
      </c>
      <c r="W1609" s="59" t="n">
        <v>0</v>
      </c>
      <c r="X1609" s="59" t="inlineStr">
        <is>
          <t>NF 734 - MILKA</t>
        </is>
      </c>
      <c r="Z1609" s="59">
        <f>IF($T1609="","",IFERROR(INDEX('Resumo Grupos'!$AC$3:$AC$200,MATCH($T1609,'Resumo Grupos'!$AB$3:$AB$200,0)),"n/d"))</f>
        <v/>
      </c>
      <c r="AA1609" s="59">
        <f>IF($T1609="","",IF(COUNTIF('Resumo Grupos'!$AE$3:$AE$40,$T1609)&gt;0,"NAO","SIM"))</f>
        <v/>
      </c>
    </row>
    <row r="1610" ht="12.75" customHeight="1" s="60">
      <c r="A1610" s="59" t="n">
        <v>1</v>
      </c>
      <c r="B1610" s="75" t="n">
        <v>46233</v>
      </c>
      <c r="C1610" s="75" t="n">
        <v>46234</v>
      </c>
      <c r="D1610" s="59" t="n">
        <v>1683</v>
      </c>
      <c r="E1610" s="59" t="inlineStr">
        <is>
          <t>EDSON AGUIAR DE SOUZA</t>
        </is>
      </c>
      <c r="F1610" s="59" t="n">
        <v>34</v>
      </c>
      <c r="G1610" s="59" t="inlineStr">
        <is>
          <t>Transferencia Pix</t>
        </is>
      </c>
      <c r="H1610" s="59" t="n">
        <v>2110101</v>
      </c>
      <c r="I1610" s="59" t="inlineStr">
        <is>
          <t>FORNECEDORES DE MERCADORIA</t>
        </is>
      </c>
      <c r="J1610" s="59" t="n">
        <v>1477499</v>
      </c>
      <c r="L1610" s="59" t="n">
        <v>1655915</v>
      </c>
      <c r="M1610" s="59" t="inlineStr">
        <is>
          <t>01</t>
        </is>
      </c>
      <c r="N1610" s="59" t="inlineStr">
        <is>
          <t>NFE</t>
        </is>
      </c>
      <c r="P1610" s="59" t="n">
        <v>104</v>
      </c>
      <c r="Q1610" s="59" t="inlineStr">
        <is>
          <t>DEBORA COSTA</t>
        </is>
      </c>
      <c r="R1610" s="59" t="inlineStr">
        <is>
          <t>ESTOQUE DE MERCADORIAS</t>
        </is>
      </c>
      <c r="S1610" s="59" t="n">
        <v>1130101</v>
      </c>
      <c r="T1610" s="59" t="inlineStr">
        <is>
          <t>MERCADORIAS P/REVENDA</t>
        </is>
      </c>
      <c r="U1610" s="77" t="n">
        <v>126</v>
      </c>
      <c r="W1610" s="59" t="n">
        <v>0</v>
      </c>
      <c r="X1610" s="59" t="inlineStr">
        <is>
          <t>NF 1655915 - DEBORA</t>
        </is>
      </c>
      <c r="Z1610" s="59">
        <f>IF($T1610="","",IFERROR(INDEX('Resumo Grupos'!$AC$3:$AC$200,MATCH($T1610,'Resumo Grupos'!$AB$3:$AB$200,0)),"n/d"))</f>
        <v/>
      </c>
      <c r="AA1610" s="59">
        <f>IF($T1610="","",IF(COUNTIF('Resumo Grupos'!$AE$3:$AE$40,$T1610)&gt;0,"NAO","SIM"))</f>
        <v/>
      </c>
    </row>
    <row r="1611" ht="12.75" customHeight="1" s="60">
      <c r="A1611" s="59" t="n">
        <v>1</v>
      </c>
      <c r="B1611" s="75" t="n">
        <v>46233</v>
      </c>
      <c r="C1611" s="75" t="n">
        <v>46234</v>
      </c>
      <c r="D1611" s="59" t="n">
        <v>1683</v>
      </c>
      <c r="E1611" s="59" t="inlineStr">
        <is>
          <t>EDSON AGUIAR DE SOUZA</t>
        </is>
      </c>
      <c r="F1611" s="59" t="n">
        <v>34</v>
      </c>
      <c r="G1611" s="59" t="inlineStr">
        <is>
          <t>Transferencia Pix</t>
        </is>
      </c>
      <c r="H1611" s="59" t="n">
        <v>2110101</v>
      </c>
      <c r="I1611" s="59" t="inlineStr">
        <is>
          <t>FORNECEDORES DE MERCADORIA</t>
        </is>
      </c>
      <c r="J1611" s="59" t="n">
        <v>1477517</v>
      </c>
      <c r="L1611" s="59" t="n">
        <v>1655918</v>
      </c>
      <c r="M1611" s="59" t="inlineStr">
        <is>
          <t>01</t>
        </is>
      </c>
      <c r="N1611" s="59" t="inlineStr">
        <is>
          <t>NFE</t>
        </is>
      </c>
      <c r="P1611" s="59" t="n">
        <v>104</v>
      </c>
      <c r="Q1611" s="59" t="inlineStr">
        <is>
          <t>DEBORA COSTA</t>
        </is>
      </c>
      <c r="R1611" s="59" t="inlineStr">
        <is>
          <t>ESTOQUE DE MERCADORIAS</t>
        </is>
      </c>
      <c r="S1611" s="59" t="n">
        <v>1130101</v>
      </c>
      <c r="T1611" s="59" t="inlineStr">
        <is>
          <t>MERCADORIAS P/REVENDA</t>
        </is>
      </c>
      <c r="U1611" s="77" t="n">
        <v>225</v>
      </c>
      <c r="W1611" s="59" t="n">
        <v>0</v>
      </c>
      <c r="X1611" s="59" t="inlineStr">
        <is>
          <t>NF 1655918 - DEBORA</t>
        </is>
      </c>
      <c r="Z1611" s="59">
        <f>IF($T1611="","",IFERROR(INDEX('Resumo Grupos'!$AC$3:$AC$200,MATCH($T1611,'Resumo Grupos'!$AB$3:$AB$200,0)),"n/d"))</f>
        <v/>
      </c>
      <c r="AA1611" s="59">
        <f>IF($T1611="","",IF(COUNTIF('Resumo Grupos'!$AE$3:$AE$40,$T1611)&gt;0,"NAO","SIM"))</f>
        <v/>
      </c>
    </row>
    <row r="1612" ht="12.75" customHeight="1" s="60">
      <c r="A1612" s="59" t="n">
        <v>1</v>
      </c>
      <c r="B1612" s="75" t="n">
        <v>46233</v>
      </c>
      <c r="C1612" s="75" t="n">
        <v>46234</v>
      </c>
      <c r="D1612" s="59" t="n">
        <v>1683</v>
      </c>
      <c r="E1612" s="59" t="inlineStr">
        <is>
          <t>EDSON AGUIAR DE SOUZA</t>
        </is>
      </c>
      <c r="F1612" s="59" t="n">
        <v>34</v>
      </c>
      <c r="G1612" s="59" t="inlineStr">
        <is>
          <t>Transferencia Pix</t>
        </is>
      </c>
      <c r="H1612" s="59" t="n">
        <v>2110101</v>
      </c>
      <c r="I1612" s="59" t="inlineStr">
        <is>
          <t>FORNECEDORES DE MERCADORIA</t>
        </is>
      </c>
      <c r="J1612" s="59" t="n">
        <v>1477531</v>
      </c>
      <c r="L1612" s="59" t="n">
        <v>1655921</v>
      </c>
      <c r="M1612" s="59" t="inlineStr">
        <is>
          <t>01</t>
        </is>
      </c>
      <c r="N1612" s="59" t="inlineStr">
        <is>
          <t>NFE</t>
        </is>
      </c>
      <c r="P1612" s="59" t="n">
        <v>104</v>
      </c>
      <c r="Q1612" s="59" t="inlineStr">
        <is>
          <t>DEBORA COSTA</t>
        </is>
      </c>
      <c r="R1612" s="59" t="inlineStr">
        <is>
          <t>ESTOQUE DE MERCADORIAS</t>
        </is>
      </c>
      <c r="S1612" s="59" t="n">
        <v>1130101</v>
      </c>
      <c r="T1612" s="59" t="inlineStr">
        <is>
          <t>MERCADORIAS P/REVENDA</t>
        </is>
      </c>
      <c r="U1612" s="77" t="n">
        <v>210</v>
      </c>
      <c r="W1612" s="59" t="n">
        <v>0</v>
      </c>
      <c r="X1612" s="59" t="inlineStr">
        <is>
          <t>NF 1655921 - DEBORA</t>
        </is>
      </c>
      <c r="Z1612" s="59">
        <f>IF($T1612="","",IFERROR(INDEX('Resumo Grupos'!$AC$3:$AC$200,MATCH($T1612,'Resumo Grupos'!$AB$3:$AB$200,0)),"n/d"))</f>
        <v/>
      </c>
      <c r="AA1612" s="59">
        <f>IF($T1612="","",IF(COUNTIF('Resumo Grupos'!$AE$3:$AE$40,$T1612)&gt;0,"NAO","SIM"))</f>
        <v/>
      </c>
    </row>
    <row r="1613" ht="12.75" customHeight="1" s="60">
      <c r="A1613" s="59" t="n">
        <v>1</v>
      </c>
      <c r="B1613" s="75" t="n">
        <v>46233</v>
      </c>
      <c r="C1613" s="75" t="n">
        <v>46234</v>
      </c>
      <c r="D1613" s="59" t="n">
        <v>1683</v>
      </c>
      <c r="E1613" s="59" t="inlineStr">
        <is>
          <t>EDSON AGUIAR DE SOUZA</t>
        </is>
      </c>
      <c r="F1613" s="59" t="n">
        <v>34</v>
      </c>
      <c r="G1613" s="59" t="inlineStr">
        <is>
          <t>Transferencia Pix</t>
        </is>
      </c>
      <c r="H1613" s="59" t="n">
        <v>2110101</v>
      </c>
      <c r="I1613" s="59" t="inlineStr">
        <is>
          <t>FORNECEDORES DE MERCADORIA</t>
        </is>
      </c>
      <c r="J1613" s="59" t="n">
        <v>1477555</v>
      </c>
      <c r="L1613" s="59" t="n">
        <v>1655928</v>
      </c>
      <c r="M1613" s="59" t="inlineStr">
        <is>
          <t>01</t>
        </is>
      </c>
      <c r="N1613" s="59" t="inlineStr">
        <is>
          <t>NFE</t>
        </is>
      </c>
      <c r="P1613" s="59" t="n">
        <v>104</v>
      </c>
      <c r="Q1613" s="59" t="inlineStr">
        <is>
          <t>DEBORA COSTA</t>
        </is>
      </c>
      <c r="R1613" s="59" t="inlineStr">
        <is>
          <t>ESTOQUE DE MERCADORIAS</t>
        </is>
      </c>
      <c r="S1613" s="59" t="n">
        <v>1130101</v>
      </c>
      <c r="T1613" s="59" t="inlineStr">
        <is>
          <t>MERCADORIAS P/REVENDA</t>
        </is>
      </c>
      <c r="U1613" s="77" t="n">
        <v>315</v>
      </c>
      <c r="W1613" s="59" t="n">
        <v>0</v>
      </c>
      <c r="X1613" s="59" t="inlineStr">
        <is>
          <t>NF 1655928 - DEBORA</t>
        </is>
      </c>
      <c r="Z1613" s="59">
        <f>IF($T1613="","",IFERROR(INDEX('Resumo Grupos'!$AC$3:$AC$200,MATCH($T1613,'Resumo Grupos'!$AB$3:$AB$200,0)),"n/d"))</f>
        <v/>
      </c>
      <c r="AA1613" s="59">
        <f>IF($T1613="","",IF(COUNTIF('Resumo Grupos'!$AE$3:$AE$40,$T1613)&gt;0,"NAO","SIM"))</f>
        <v/>
      </c>
    </row>
    <row r="1614" ht="12.75" customHeight="1" s="60">
      <c r="A1614" s="59" t="n">
        <v>1</v>
      </c>
      <c r="B1614" s="75" t="n">
        <v>46233</v>
      </c>
      <c r="C1614" s="75" t="n">
        <v>46234</v>
      </c>
      <c r="D1614" s="59" t="n">
        <v>1683</v>
      </c>
      <c r="E1614" s="59" t="inlineStr">
        <is>
          <t>EDSON AGUIAR DE SOUZA</t>
        </is>
      </c>
      <c r="F1614" s="59" t="n">
        <v>34</v>
      </c>
      <c r="G1614" s="59" t="inlineStr">
        <is>
          <t>Transferencia Pix</t>
        </is>
      </c>
      <c r="H1614" s="59" t="n">
        <v>2110101</v>
      </c>
      <c r="I1614" s="59" t="inlineStr">
        <is>
          <t>FORNECEDORES DE MERCADORIA</t>
        </is>
      </c>
      <c r="J1614" s="59" t="n">
        <v>1477569</v>
      </c>
      <c r="L1614" s="59" t="n">
        <v>1655930</v>
      </c>
      <c r="M1614" s="59" t="inlineStr">
        <is>
          <t>01</t>
        </is>
      </c>
      <c r="N1614" s="59" t="inlineStr">
        <is>
          <t>NFE</t>
        </is>
      </c>
      <c r="P1614" s="59" t="n">
        <v>104</v>
      </c>
      <c r="Q1614" s="59" t="inlineStr">
        <is>
          <t>DEBORA COSTA</t>
        </is>
      </c>
      <c r="R1614" s="59" t="inlineStr">
        <is>
          <t>ESTOQUE DE MERCADORIAS</t>
        </is>
      </c>
      <c r="S1614" s="59" t="n">
        <v>1130101</v>
      </c>
      <c r="T1614" s="59" t="inlineStr">
        <is>
          <t>MERCADORIAS P/REVENDA</t>
        </is>
      </c>
      <c r="U1614" s="77" t="n">
        <v>126</v>
      </c>
      <c r="W1614" s="59" t="n">
        <v>0</v>
      </c>
      <c r="X1614" s="59" t="inlineStr">
        <is>
          <t>NF 1655930 - DEBORA</t>
        </is>
      </c>
      <c r="Z1614" s="59">
        <f>IF($T1614="","",IFERROR(INDEX('Resumo Grupos'!$AC$3:$AC$200,MATCH($T1614,'Resumo Grupos'!$AB$3:$AB$200,0)),"n/d"))</f>
        <v/>
      </c>
      <c r="AA1614" s="59">
        <f>IF($T1614="","",IF(COUNTIF('Resumo Grupos'!$AE$3:$AE$40,$T1614)&gt;0,"NAO","SIM"))</f>
        <v/>
      </c>
    </row>
    <row r="1615" ht="12.75" customHeight="1" s="60">
      <c r="A1615" s="59" t="n">
        <v>1</v>
      </c>
      <c r="B1615" s="75" t="n">
        <v>46233</v>
      </c>
      <c r="C1615" s="75" t="n">
        <v>46234</v>
      </c>
      <c r="D1615" s="59" t="n">
        <v>1683</v>
      </c>
      <c r="E1615" s="59" t="inlineStr">
        <is>
          <t>EDSON AGUIAR DE SOUZA</t>
        </is>
      </c>
      <c r="F1615" s="59" t="n">
        <v>34</v>
      </c>
      <c r="G1615" s="59" t="inlineStr">
        <is>
          <t>Transferencia Pix</t>
        </is>
      </c>
      <c r="H1615" s="59" t="n">
        <v>2110101</v>
      </c>
      <c r="I1615" s="59" t="inlineStr">
        <is>
          <t>FORNECEDORES DE MERCADORIA</t>
        </is>
      </c>
      <c r="J1615" s="59" t="n">
        <v>1477592</v>
      </c>
      <c r="L1615" s="59" t="n">
        <v>1655931</v>
      </c>
      <c r="M1615" s="59" t="inlineStr">
        <is>
          <t>01</t>
        </is>
      </c>
      <c r="N1615" s="59" t="inlineStr">
        <is>
          <t>NFE</t>
        </is>
      </c>
      <c r="P1615" s="59" t="n">
        <v>104</v>
      </c>
      <c r="Q1615" s="59" t="inlineStr">
        <is>
          <t>DEBORA COSTA</t>
        </is>
      </c>
      <c r="R1615" s="59" t="inlineStr">
        <is>
          <t>ESTOQUE DE MERCADORIAS</t>
        </is>
      </c>
      <c r="S1615" s="59" t="n">
        <v>1130101</v>
      </c>
      <c r="T1615" s="59" t="inlineStr">
        <is>
          <t>MERCADORIAS P/REVENDA</t>
        </is>
      </c>
      <c r="U1615" s="77" t="n">
        <v>261</v>
      </c>
      <c r="W1615" s="59" t="n">
        <v>0</v>
      </c>
      <c r="X1615" s="59" t="inlineStr">
        <is>
          <t>NF 1655931 - DEBORA</t>
        </is>
      </c>
      <c r="Z1615" s="59">
        <f>IF($T1615="","",IFERROR(INDEX('Resumo Grupos'!$AC$3:$AC$200,MATCH($T1615,'Resumo Grupos'!$AB$3:$AB$200,0)),"n/d"))</f>
        <v/>
      </c>
      <c r="AA1615" s="59">
        <f>IF($T1615="","",IF(COUNTIF('Resumo Grupos'!$AE$3:$AE$40,$T1615)&gt;0,"NAO","SIM"))</f>
        <v/>
      </c>
    </row>
    <row r="1616" ht="12.75" customHeight="1" s="60">
      <c r="A1616" s="59" t="n">
        <v>1</v>
      </c>
      <c r="B1616" s="75" t="n">
        <v>46233</v>
      </c>
      <c r="C1616" s="75" t="n">
        <v>46234</v>
      </c>
      <c r="D1616" s="59" t="n">
        <v>1683</v>
      </c>
      <c r="E1616" s="59" t="inlineStr">
        <is>
          <t>EDSON AGUIAR DE SOUZA</t>
        </is>
      </c>
      <c r="F1616" s="59" t="n">
        <v>34</v>
      </c>
      <c r="G1616" s="59" t="inlineStr">
        <is>
          <t>Transferencia Pix</t>
        </is>
      </c>
      <c r="H1616" s="59" t="n">
        <v>2110101</v>
      </c>
      <c r="I1616" s="59" t="inlineStr">
        <is>
          <t>FORNECEDORES DE MERCADORIA</t>
        </is>
      </c>
      <c r="J1616" s="59" t="n">
        <v>1477624</v>
      </c>
      <c r="L1616" s="59" t="n">
        <v>1655934</v>
      </c>
      <c r="M1616" s="59" t="inlineStr">
        <is>
          <t>01</t>
        </is>
      </c>
      <c r="N1616" s="59" t="inlineStr">
        <is>
          <t>NFE</t>
        </is>
      </c>
      <c r="P1616" s="59" t="n">
        <v>104</v>
      </c>
      <c r="Q1616" s="59" t="inlineStr">
        <is>
          <t>DEBORA COSTA</t>
        </is>
      </c>
      <c r="R1616" s="59" t="inlineStr">
        <is>
          <t>ESTOQUE DE MERCADORIAS</t>
        </is>
      </c>
      <c r="S1616" s="59" t="n">
        <v>1130101</v>
      </c>
      <c r="T1616" s="59" t="inlineStr">
        <is>
          <t>MERCADORIAS P/REVENDA</t>
        </is>
      </c>
      <c r="U1616" s="77" t="n">
        <v>126</v>
      </c>
      <c r="W1616" s="59" t="n">
        <v>0</v>
      </c>
      <c r="X1616" s="59" t="inlineStr">
        <is>
          <t>NF 1655934 - DEBORA</t>
        </is>
      </c>
      <c r="Z1616" s="59">
        <f>IF($T1616="","",IFERROR(INDEX('Resumo Grupos'!$AC$3:$AC$200,MATCH($T1616,'Resumo Grupos'!$AB$3:$AB$200,0)),"n/d"))</f>
        <v/>
      </c>
      <c r="AA1616" s="59">
        <f>IF($T1616="","",IF(COUNTIF('Resumo Grupos'!$AE$3:$AE$40,$T1616)&gt;0,"NAO","SIM"))</f>
        <v/>
      </c>
    </row>
    <row r="1617" ht="12.75" customHeight="1" s="60">
      <c r="A1617" s="59" t="n">
        <v>1</v>
      </c>
      <c r="B1617" s="75" t="n">
        <v>46233</v>
      </c>
      <c r="C1617" s="75" t="n">
        <v>46234</v>
      </c>
      <c r="D1617" s="59" t="n">
        <v>1683</v>
      </c>
      <c r="E1617" s="59" t="inlineStr">
        <is>
          <t>EDSON AGUIAR DE SOUZA</t>
        </is>
      </c>
      <c r="F1617" s="59" t="n">
        <v>34</v>
      </c>
      <c r="G1617" s="59" t="inlineStr">
        <is>
          <t>Transferencia Pix</t>
        </is>
      </c>
      <c r="H1617" s="59" t="n">
        <v>2110101</v>
      </c>
      <c r="I1617" s="59" t="inlineStr">
        <is>
          <t>FORNECEDORES DE MERCADORIA</t>
        </is>
      </c>
      <c r="J1617" s="59" t="n">
        <v>1477634</v>
      </c>
      <c r="L1617" s="59" t="n">
        <v>1655935</v>
      </c>
      <c r="M1617" s="59" t="inlineStr">
        <is>
          <t>01</t>
        </is>
      </c>
      <c r="N1617" s="59" t="inlineStr">
        <is>
          <t>NFE</t>
        </is>
      </c>
      <c r="P1617" s="59" t="n">
        <v>104</v>
      </c>
      <c r="Q1617" s="59" t="inlineStr">
        <is>
          <t>DEBORA COSTA</t>
        </is>
      </c>
      <c r="R1617" s="59" t="inlineStr">
        <is>
          <t>ESTOQUE DE MERCADORIAS</t>
        </is>
      </c>
      <c r="S1617" s="59" t="n">
        <v>1130101</v>
      </c>
      <c r="T1617" s="59" t="inlineStr">
        <is>
          <t>MERCADORIAS P/REVENDA</t>
        </is>
      </c>
      <c r="U1617" s="77" t="n">
        <v>261</v>
      </c>
      <c r="W1617" s="59" t="n">
        <v>0</v>
      </c>
      <c r="X1617" s="59" t="inlineStr">
        <is>
          <t>NF 1655935 - DEBORA</t>
        </is>
      </c>
      <c r="Z1617" s="59">
        <f>IF($T1617="","",IFERROR(INDEX('Resumo Grupos'!$AC$3:$AC$200,MATCH($T1617,'Resumo Grupos'!$AB$3:$AB$200,0)),"n/d"))</f>
        <v/>
      </c>
      <c r="AA1617" s="59">
        <f>IF($T1617="","",IF(COUNTIF('Resumo Grupos'!$AE$3:$AE$40,$T1617)&gt;0,"NAO","SIM"))</f>
        <v/>
      </c>
    </row>
    <row r="1618" ht="12.75" customHeight="1" s="60">
      <c r="A1618" s="59" t="n">
        <v>1</v>
      </c>
      <c r="B1618" s="75" t="n">
        <v>46234</v>
      </c>
      <c r="C1618" s="75" t="n">
        <v>46234</v>
      </c>
      <c r="D1618" s="59" t="n">
        <v>1683</v>
      </c>
      <c r="E1618" s="59" t="inlineStr">
        <is>
          <t>EDSON AGUIAR DE SOUZA</t>
        </is>
      </c>
      <c r="F1618" s="59" t="n">
        <v>34</v>
      </c>
      <c r="G1618" s="59" t="inlineStr">
        <is>
          <t>Transferencia Pix</t>
        </is>
      </c>
      <c r="H1618" s="59" t="n">
        <v>2110101</v>
      </c>
      <c r="I1618" s="59" t="inlineStr">
        <is>
          <t>FORNECEDORES DE MERCADORIA</t>
        </is>
      </c>
      <c r="J1618" s="59" t="n">
        <v>1478183</v>
      </c>
      <c r="L1618" s="59" t="n">
        <v>1656236</v>
      </c>
      <c r="M1618" s="59" t="inlineStr">
        <is>
          <t>01</t>
        </is>
      </c>
      <c r="N1618" s="59" t="inlineStr">
        <is>
          <t>NFE</t>
        </is>
      </c>
      <c r="P1618" s="59" t="n">
        <v>104</v>
      </c>
      <c r="Q1618" s="59" t="inlineStr">
        <is>
          <t>DEBORA COSTA</t>
        </is>
      </c>
      <c r="R1618" s="59" t="inlineStr">
        <is>
          <t>ESTOQUE DE MERCADORIAS</t>
        </is>
      </c>
      <c r="S1618" s="59" t="n">
        <v>1130101</v>
      </c>
      <c r="T1618" s="59" t="inlineStr">
        <is>
          <t>MERCADORIAS P/REVENDA</t>
        </is>
      </c>
      <c r="U1618" s="77" t="n">
        <v>210</v>
      </c>
      <c r="W1618" s="59" t="n">
        <v>0</v>
      </c>
      <c r="X1618" s="59" t="inlineStr">
        <is>
          <t>NF 1656236 - DEBORA</t>
        </is>
      </c>
      <c r="Z1618" s="59">
        <f>IF($T1618="","",IFERROR(INDEX('Resumo Grupos'!$AC$3:$AC$200,MATCH($T1618,'Resumo Grupos'!$AB$3:$AB$200,0)),"n/d"))</f>
        <v/>
      </c>
      <c r="AA1618" s="59">
        <f>IF($T1618="","",IF(COUNTIF('Resumo Grupos'!$AE$3:$AE$40,$T1618)&gt;0,"NAO","SIM"))</f>
        <v/>
      </c>
    </row>
    <row r="1619" ht="12.75" customHeight="1" s="60">
      <c r="A1619" s="59" t="n">
        <v>1</v>
      </c>
      <c r="B1619" s="75" t="n">
        <v>46234</v>
      </c>
      <c r="C1619" s="75" t="n">
        <v>46234</v>
      </c>
      <c r="D1619" s="59" t="n">
        <v>33</v>
      </c>
      <c r="E1619" s="59" t="inlineStr">
        <is>
          <t>RENATO DE O AZEVEDO E CIA LTDA - EPP</t>
        </is>
      </c>
      <c r="F1619" s="59" t="n">
        <v>34</v>
      </c>
      <c r="G1619" s="59" t="inlineStr">
        <is>
          <t>Transferencia Pix</t>
        </is>
      </c>
      <c r="H1619" s="59" t="n">
        <v>2110101</v>
      </c>
      <c r="I1619" s="59" t="inlineStr">
        <is>
          <t>FORNECEDORES DE MERCADORIA</t>
        </is>
      </c>
      <c r="J1619" s="59" t="n">
        <v>1478775</v>
      </c>
      <c r="L1619" s="59" t="n">
        <v>5407</v>
      </c>
      <c r="M1619" s="59" t="inlineStr">
        <is>
          <t>01</t>
        </is>
      </c>
      <c r="N1619" s="59" t="inlineStr">
        <is>
          <t>NFE</t>
        </is>
      </c>
      <c r="P1619" s="59" t="n">
        <v>104</v>
      </c>
      <c r="Q1619" s="59" t="inlineStr">
        <is>
          <t>DEBORA COSTA</t>
        </is>
      </c>
      <c r="R1619" s="59" t="inlineStr">
        <is>
          <t>ESTOQUE DE MERCADORIAS</t>
        </is>
      </c>
      <c r="S1619" s="59" t="n">
        <v>1130101</v>
      </c>
      <c r="T1619" s="59" t="inlineStr">
        <is>
          <t>MERCADORIAS P/REVENDA</t>
        </is>
      </c>
      <c r="U1619" s="77" t="n">
        <v>2731</v>
      </c>
      <c r="W1619" s="59" t="n">
        <v>0</v>
      </c>
      <c r="X1619" s="59" t="inlineStr">
        <is>
          <t>FEIRA CARLOS - DEBORA</t>
        </is>
      </c>
      <c r="Z1619" s="59">
        <f>IF($T1619="","",IFERROR(INDEX('Resumo Grupos'!$AC$3:$AC$200,MATCH($T1619,'Resumo Grupos'!$AB$3:$AB$200,0)),"n/d"))</f>
        <v/>
      </c>
      <c r="AA1619" s="59">
        <f>IF($T1619="","",IF(COUNTIF('Resumo Grupos'!$AE$3:$AE$40,$T1619)&gt;0,"NAO","SIM"))</f>
        <v/>
      </c>
    </row>
    <row r="1620" ht="12.75" customHeight="1" s="60">
      <c r="A1620" s="59" t="n">
        <v>1</v>
      </c>
      <c r="B1620" s="75" t="n">
        <v>46234</v>
      </c>
      <c r="C1620" s="75" t="n">
        <v>46234</v>
      </c>
      <c r="D1620" s="59" t="n">
        <v>1615</v>
      </c>
      <c r="E1620" s="59" t="inlineStr">
        <is>
          <t>COMERCIO E TRANSPORTE BRANDAO LTDA</t>
        </is>
      </c>
      <c r="F1620" s="59" t="n">
        <v>34</v>
      </c>
      <c r="G1620" s="59" t="inlineStr">
        <is>
          <t>Transferencia Pix</t>
        </is>
      </c>
      <c r="H1620" s="59" t="n">
        <v>2110101</v>
      </c>
      <c r="I1620" s="59" t="inlineStr">
        <is>
          <t>FORNECEDORES DE MERCADORIA</t>
        </is>
      </c>
      <c r="J1620" s="59" t="n">
        <v>1478787</v>
      </c>
      <c r="L1620" s="59" t="n">
        <v>14996</v>
      </c>
      <c r="M1620" s="59" t="inlineStr">
        <is>
          <t>01</t>
        </is>
      </c>
      <c r="N1620" s="59" t="inlineStr">
        <is>
          <t>NFE</t>
        </is>
      </c>
      <c r="P1620" s="59" t="n">
        <v>104</v>
      </c>
      <c r="Q1620" s="59" t="inlineStr">
        <is>
          <t>DEBORA COSTA</t>
        </is>
      </c>
      <c r="R1620" s="59" t="inlineStr">
        <is>
          <t>ESTOQUE DE MERCADORIAS</t>
        </is>
      </c>
      <c r="S1620" s="59" t="n">
        <v>1130101</v>
      </c>
      <c r="T1620" s="59" t="inlineStr">
        <is>
          <t>MERCADORIAS P/REVENDA</t>
        </is>
      </c>
      <c r="U1620" s="77" t="n">
        <v>1010</v>
      </c>
      <c r="W1620" s="59" t="n">
        <v>0</v>
      </c>
      <c r="X1620" s="59" t="inlineStr">
        <is>
          <t>NF 14996 - DEBORA</t>
        </is>
      </c>
      <c r="Z1620" s="59">
        <f>IF($T1620="","",IFERROR(INDEX('Resumo Grupos'!$AC$3:$AC$200,MATCH($T1620,'Resumo Grupos'!$AB$3:$AB$200,0)),"n/d"))</f>
        <v/>
      </c>
      <c r="AA1620" s="59">
        <f>IF($T1620="","",IF(COUNTIF('Resumo Grupos'!$AE$3:$AE$40,$T1620)&gt;0,"NAO","SIM"))</f>
        <v/>
      </c>
    </row>
    <row r="1621" ht="12.75" customHeight="1" s="60">
      <c r="A1621" s="59" t="n">
        <v>1</v>
      </c>
      <c r="B1621" s="75" t="n">
        <v>46234</v>
      </c>
      <c r="C1621" s="75" t="n">
        <v>46234</v>
      </c>
      <c r="D1621" s="59" t="n">
        <v>33</v>
      </c>
      <c r="E1621" s="59" t="inlineStr">
        <is>
          <t>RENATO DE O AZEVEDO E CIA LTDA - EPP</t>
        </is>
      </c>
      <c r="F1621" s="59" t="n">
        <v>34</v>
      </c>
      <c r="G1621" s="59" t="inlineStr">
        <is>
          <t>Transferencia Pix</t>
        </is>
      </c>
      <c r="H1621" s="59" t="n">
        <v>1110202</v>
      </c>
      <c r="I1621" s="59" t="inlineStr">
        <is>
          <t>BANCO ITAU Lj 01</t>
        </is>
      </c>
      <c r="J1621" s="59" t="n">
        <v>1478808</v>
      </c>
      <c r="L1621" s="59" t="n">
        <v>607311</v>
      </c>
      <c r="M1621" s="59" t="inlineStr">
        <is>
          <t>01</t>
        </is>
      </c>
      <c r="N1621" s="59" t="inlineStr">
        <is>
          <t>AVU</t>
        </is>
      </c>
      <c r="P1621" s="59" t="n">
        <v>104</v>
      </c>
      <c r="Q1621" s="59" t="inlineStr">
        <is>
          <t>DEBORA COSTA</t>
        </is>
      </c>
      <c r="R1621" s="59" t="inlineStr">
        <is>
          <t>ESTOQUE DE MERCADORIAS</t>
        </is>
      </c>
      <c r="S1621" s="59" t="n">
        <v>1130101</v>
      </c>
      <c r="T1621" s="59" t="inlineStr">
        <is>
          <t>MERCADORIAS P/REVENDA</t>
        </is>
      </c>
      <c r="U1621" s="77" t="n">
        <v>35</v>
      </c>
      <c r="W1621" s="59" t="n">
        <v>0</v>
      </c>
      <c r="X1621" s="59" t="inlineStr">
        <is>
          <t>FEIRA CARLOS - UVAS PASSAS - DEBORA</t>
        </is>
      </c>
      <c r="Z1621" s="59">
        <f>IF($T1621="","",IFERROR(INDEX('Resumo Grupos'!$AC$3:$AC$200,MATCH($T1621,'Resumo Grupos'!$AB$3:$AB$200,0)),"n/d"))</f>
        <v/>
      </c>
      <c r="AA1621" s="59">
        <f>IF($T1621="","",IF(COUNTIF('Resumo Grupos'!$AE$3:$AE$40,$T1621)&gt;0,"NAO","SIM"))</f>
        <v/>
      </c>
    </row>
    <row r="1622" ht="12.75" customHeight="1" s="60">
      <c r="A1622" s="59" t="n">
        <v>1</v>
      </c>
      <c r="B1622" s="75" t="n">
        <v>46234</v>
      </c>
      <c r="C1622" s="75" t="n">
        <v>46234</v>
      </c>
      <c r="D1622" s="59" t="n">
        <v>33</v>
      </c>
      <c r="E1622" s="59" t="inlineStr">
        <is>
          <t>RENATO DE O AZEVEDO E CIA LTDA - EPP</t>
        </is>
      </c>
      <c r="F1622" s="59" t="n">
        <v>34</v>
      </c>
      <c r="G1622" s="59" t="inlineStr">
        <is>
          <t>Transferencia Pix</t>
        </is>
      </c>
      <c r="H1622" s="59" t="n">
        <v>2110101</v>
      </c>
      <c r="I1622" s="59" t="inlineStr">
        <is>
          <t>FORNECEDORES DE MERCADORIA</t>
        </is>
      </c>
      <c r="J1622" s="59" t="n">
        <v>1479153</v>
      </c>
      <c r="L1622" s="59" t="n">
        <v>5419</v>
      </c>
      <c r="M1622" s="59" t="inlineStr">
        <is>
          <t>01</t>
        </is>
      </c>
      <c r="N1622" s="59" t="inlineStr">
        <is>
          <t>NFE</t>
        </is>
      </c>
      <c r="P1622" s="59" t="n">
        <v>104</v>
      </c>
      <c r="Q1622" s="59" t="inlineStr">
        <is>
          <t>DEBORA COSTA</t>
        </is>
      </c>
      <c r="R1622" s="59" t="inlineStr">
        <is>
          <t>ESTOQUE DE MERCADORIAS</t>
        </is>
      </c>
      <c r="S1622" s="59" t="n">
        <v>1130101</v>
      </c>
      <c r="T1622" s="59" t="inlineStr">
        <is>
          <t>MERCADORIAS P/REVENDA</t>
        </is>
      </c>
      <c r="U1622" s="77" t="n">
        <v>2682.43</v>
      </c>
      <c r="W1622" s="59" t="n">
        <v>0</v>
      </c>
      <c r="X1622" s="59" t="inlineStr">
        <is>
          <t>FEIRA SR RENATO - DEBORA</t>
        </is>
      </c>
      <c r="Z1622" s="59">
        <f>IF($T1622="","",IFERROR(INDEX('Resumo Grupos'!$AC$3:$AC$200,MATCH($T1622,'Resumo Grupos'!$AB$3:$AB$200,0)),"n/d"))</f>
        <v/>
      </c>
      <c r="AA1622" s="59">
        <f>IF($T1622="","",IF(COUNTIF('Resumo Grupos'!$AE$3:$AE$40,$T1622)&gt;0,"NAO","SIM"))</f>
        <v/>
      </c>
    </row>
    <row r="1623" ht="12.75" customHeight="1" s="60">
      <c r="A1623" s="59" t="n">
        <v>1</v>
      </c>
      <c r="B1623" s="75" t="n">
        <v>46234</v>
      </c>
      <c r="C1623" s="75" t="n">
        <v>46234</v>
      </c>
      <c r="D1623" s="59" t="n">
        <v>978</v>
      </c>
      <c r="E1623" s="59" t="inlineStr">
        <is>
          <t>GELO DANGELO FABRICACAO DE GELO LTDA</t>
        </is>
      </c>
      <c r="F1623" s="59" t="n">
        <v>13</v>
      </c>
      <c r="G1623" s="59" t="inlineStr">
        <is>
          <t>Compra a Vista</t>
        </is>
      </c>
      <c r="H1623" s="59" t="n">
        <v>2110101</v>
      </c>
      <c r="I1623" s="59" t="inlineStr">
        <is>
          <t>FORNECEDORES DE MERCADORIA</t>
        </is>
      </c>
      <c r="J1623" s="59" t="n">
        <v>1479256</v>
      </c>
      <c r="L1623" s="59" t="n">
        <v>413</v>
      </c>
      <c r="M1623" s="59" t="inlineStr">
        <is>
          <t>01</t>
        </is>
      </c>
      <c r="N1623" s="59" t="inlineStr">
        <is>
          <t>NFE</t>
        </is>
      </c>
      <c r="P1623" s="59" t="n">
        <v>104</v>
      </c>
      <c r="Q1623" s="59" t="inlineStr">
        <is>
          <t>DEBORA COSTA</t>
        </is>
      </c>
      <c r="R1623" s="59" t="inlineStr">
        <is>
          <t>ESTOQUE DE MERCADORIAS</t>
        </is>
      </c>
      <c r="S1623" s="59" t="n">
        <v>1130101</v>
      </c>
      <c r="T1623" s="59" t="inlineStr">
        <is>
          <t>MERCADORIAS P/REVENDA</t>
        </is>
      </c>
      <c r="U1623" s="77" t="n">
        <v>603</v>
      </c>
      <c r="W1623" s="59" t="n">
        <v>0</v>
      </c>
      <c r="X1623" s="59" t="inlineStr">
        <is>
          <t>NF 413 - DEBORA</t>
        </is>
      </c>
      <c r="Z1623" s="59">
        <f>IF($T1623="","",IFERROR(INDEX('Resumo Grupos'!$AC$3:$AC$200,MATCH($T1623,'Resumo Grupos'!$AB$3:$AB$200,0)),"n/d"))</f>
        <v/>
      </c>
      <c r="AA1623" s="59">
        <f>IF($T1623="","",IF(COUNTIF('Resumo Grupos'!$AE$3:$AE$40,$T1623)&gt;0,"NAO","SIM"))</f>
        <v/>
      </c>
    </row>
    <row r="1624" ht="12.75" customHeight="1" s="60">
      <c r="A1624" s="59" t="n">
        <v>1</v>
      </c>
      <c r="B1624" s="75" t="n">
        <v>46234</v>
      </c>
      <c r="C1624" s="75" t="n">
        <v>46234</v>
      </c>
      <c r="D1624" s="59" t="n">
        <v>10035</v>
      </c>
      <c r="E1624" s="59" t="inlineStr">
        <is>
          <t>J W N DOS SANTOS</t>
        </is>
      </c>
      <c r="F1624" s="59" t="n">
        <v>13</v>
      </c>
      <c r="G1624" s="59" t="inlineStr">
        <is>
          <t>Compra a Vista</t>
        </is>
      </c>
      <c r="H1624" s="59" t="n">
        <v>2110101</v>
      </c>
      <c r="I1624" s="59" t="inlineStr">
        <is>
          <t>FORNECEDORES DE MERCADORIA</t>
        </is>
      </c>
      <c r="J1624" s="59" t="n">
        <v>1479487</v>
      </c>
      <c r="L1624" s="59" t="n">
        <v>387</v>
      </c>
      <c r="M1624" s="59" t="inlineStr">
        <is>
          <t>01</t>
        </is>
      </c>
      <c r="N1624" s="59" t="inlineStr">
        <is>
          <t>NFE</t>
        </is>
      </c>
      <c r="P1624" s="59" t="n">
        <v>104</v>
      </c>
      <c r="Q1624" s="59" t="inlineStr">
        <is>
          <t>DEBORA COSTA</t>
        </is>
      </c>
      <c r="R1624" s="59" t="inlineStr">
        <is>
          <t>ESTOQUE DE MERCADORIAS</t>
        </is>
      </c>
      <c r="S1624" s="59" t="n">
        <v>1130101</v>
      </c>
      <c r="T1624" s="59" t="inlineStr">
        <is>
          <t>MERCADORIAS P/REVENDA</t>
        </is>
      </c>
      <c r="U1624" s="77" t="n">
        <v>572</v>
      </c>
      <c r="W1624" s="59" t="n">
        <v>0</v>
      </c>
      <c r="X1624" s="59" t="inlineStr">
        <is>
          <t>NF 387 - DEBORA</t>
        </is>
      </c>
      <c r="Z1624" s="59">
        <f>IF($T1624="","",IFERROR(INDEX('Resumo Grupos'!$AC$3:$AC$200,MATCH($T1624,'Resumo Grupos'!$AB$3:$AB$200,0)),"n/d"))</f>
        <v/>
      </c>
      <c r="AA1624" s="59">
        <f>IF($T1624="","",IF(COUNTIF('Resumo Grupos'!$AE$3:$AE$40,$T1624)&gt;0,"NAO","SIM"))</f>
        <v/>
      </c>
    </row>
    <row r="1625" ht="12.75" customHeight="1" s="60">
      <c r="A1625" s="59" t="n">
        <v>1</v>
      </c>
      <c r="B1625" s="75" t="n">
        <v>46234</v>
      </c>
      <c r="C1625" s="75" t="n">
        <v>46234</v>
      </c>
      <c r="D1625" s="59" t="n">
        <v>1316</v>
      </c>
      <c r="E1625" s="59" t="inlineStr">
        <is>
          <t>VOVO DIZA COMERCIO VAREJISTA DE HORTALICAS LTDA</t>
        </is>
      </c>
      <c r="F1625" s="59" t="n">
        <v>34</v>
      </c>
      <c r="G1625" s="59" t="inlineStr">
        <is>
          <t>Transferencia Pix</t>
        </is>
      </c>
      <c r="H1625" s="59" t="n">
        <v>2110101</v>
      </c>
      <c r="I1625" s="59" t="inlineStr">
        <is>
          <t>FORNECEDORES DE MERCADORIA</t>
        </is>
      </c>
      <c r="J1625" s="59" t="n">
        <v>1479627</v>
      </c>
      <c r="L1625" s="59" t="n">
        <v>3978</v>
      </c>
      <c r="M1625" s="59" t="inlineStr">
        <is>
          <t>01</t>
        </is>
      </c>
      <c r="N1625" s="59" t="inlineStr">
        <is>
          <t>NFE</t>
        </is>
      </c>
      <c r="P1625" s="59" t="n">
        <v>104</v>
      </c>
      <c r="Q1625" s="59" t="inlineStr">
        <is>
          <t>DEBORA COSTA</t>
        </is>
      </c>
      <c r="R1625" s="59" t="inlineStr">
        <is>
          <t>ESTOQUE DE MERCADORIAS</t>
        </is>
      </c>
      <c r="S1625" s="59" t="n">
        <v>1130101</v>
      </c>
      <c r="T1625" s="59" t="inlineStr">
        <is>
          <t>MERCADORIAS P/REVENDA</t>
        </is>
      </c>
      <c r="U1625" s="77" t="n">
        <v>200</v>
      </c>
      <c r="W1625" s="59" t="n">
        <v>0</v>
      </c>
      <c r="X1625" s="59" t="inlineStr">
        <is>
          <t>NF 3978 - DEBORA</t>
        </is>
      </c>
      <c r="Z1625" s="59">
        <f>IF($T1625="","",IFERROR(INDEX('Resumo Grupos'!$AC$3:$AC$200,MATCH($T1625,'Resumo Grupos'!$AB$3:$AB$200,0)),"n/d"))</f>
        <v/>
      </c>
      <c r="AA1625" s="59">
        <f>IF($T1625="","",IF(COUNTIF('Resumo Grupos'!$AE$3:$AE$40,$T1625)&gt;0,"NAO","SIM"))</f>
        <v/>
      </c>
    </row>
    <row r="1626" ht="12.75" customHeight="1" s="60">
      <c r="A1626" s="59" t="n">
        <v>1</v>
      </c>
      <c r="B1626" s="75" t="n">
        <v>46234</v>
      </c>
      <c r="C1626" s="75" t="n">
        <v>46234</v>
      </c>
      <c r="D1626" s="59" t="n">
        <v>519</v>
      </c>
      <c r="E1626" s="59" t="inlineStr">
        <is>
          <t>RENATO DE OLIVEIRA AZEVEDO</t>
        </is>
      </c>
      <c r="F1626" s="59" t="n">
        <v>11</v>
      </c>
      <c r="G1626" s="59" t="inlineStr">
        <is>
          <t>Dinheiro Cx Geral</t>
        </is>
      </c>
      <c r="H1626" s="59" t="n">
        <v>1110101</v>
      </c>
      <c r="I1626" s="59" t="inlineStr">
        <is>
          <t>CAIXA GERAL</t>
        </is>
      </c>
      <c r="J1626" s="59" t="n">
        <v>1493467</v>
      </c>
      <c r="L1626" s="59" t="n">
        <v>612900</v>
      </c>
      <c r="M1626" s="59" t="inlineStr">
        <is>
          <t>01</t>
        </is>
      </c>
      <c r="N1626" s="59" t="inlineStr">
        <is>
          <t>AVU</t>
        </is>
      </c>
      <c r="P1626" s="59" t="n">
        <v>102</v>
      </c>
      <c r="Q1626" s="59" t="inlineStr">
        <is>
          <t>ANDREZA ANDRADE</t>
        </is>
      </c>
      <c r="R1626" s="59" t="inlineStr">
        <is>
          <t>DESPESAS NAO OPERACIONAIS</t>
        </is>
      </c>
      <c r="S1626" s="59" t="n">
        <v>4220199</v>
      </c>
      <c r="T1626" s="59" t="inlineStr">
        <is>
          <t>PAGAMENTOS OUTROS NAO OPERACIONAIS</t>
        </is>
      </c>
      <c r="U1626" s="77" t="n">
        <v>3000</v>
      </c>
      <c r="W1626" s="59" t="n">
        <v>0</v>
      </c>
      <c r="X1626" s="59" t="inlineStr">
        <is>
          <t>PL RENATO DINHEIRO POTE MO1-ANDREZA</t>
        </is>
      </c>
      <c r="Z1626" s="59">
        <f>IF($T1626="","",IFERROR(INDEX('Resumo Grupos'!$AC$3:$AC$200,MATCH($T1626,'Resumo Grupos'!$AB$3:$AB$200,0)),"n/d"))</f>
        <v/>
      </c>
      <c r="AA1626" s="59">
        <f>IF($T1626="","",IF(COUNTIF('Resumo Grupos'!$AE$3:$AE$40,$T1626)&gt;0,"NAO","SIM"))</f>
        <v/>
      </c>
    </row>
    <row r="1627" ht="12.75" customHeight="1" s="60">
      <c r="A1627" s="59" t="n">
        <v>1</v>
      </c>
      <c r="B1627" s="75" t="n">
        <v>46234</v>
      </c>
      <c r="C1627" s="75" t="n">
        <v>46234</v>
      </c>
      <c r="D1627" s="59" t="n">
        <v>1037</v>
      </c>
      <c r="E1627" s="59" t="inlineStr">
        <is>
          <t>FEIRA</t>
        </is>
      </c>
      <c r="F1627" s="59" t="n">
        <v>34</v>
      </c>
      <c r="G1627" s="59" t="inlineStr">
        <is>
          <t>Transferencia Pix</t>
        </is>
      </c>
      <c r="H1627" s="59" t="n">
        <v>1110202</v>
      </c>
      <c r="I1627" s="59" t="inlineStr">
        <is>
          <t>BANCO ITAU Lj 01</t>
        </is>
      </c>
      <c r="J1627" s="59" t="n">
        <v>1495145</v>
      </c>
      <c r="L1627" s="59" t="n">
        <v>613092</v>
      </c>
      <c r="M1627" s="59" t="inlineStr">
        <is>
          <t>01</t>
        </is>
      </c>
      <c r="N1627" s="59" t="inlineStr">
        <is>
          <t>AVU</t>
        </is>
      </c>
      <c r="P1627" s="59" t="n">
        <v>102</v>
      </c>
      <c r="Q1627" s="59" t="inlineStr">
        <is>
          <t>ANDREZA ANDRADE</t>
        </is>
      </c>
      <c r="R1627" s="59" t="inlineStr">
        <is>
          <t>DESPESAS NAO OPERACIONAIS</t>
        </is>
      </c>
      <c r="S1627" s="59" t="n">
        <v>4220199</v>
      </c>
      <c r="T1627" s="59" t="inlineStr">
        <is>
          <t>PAGAMENTOS OUTROS NAO OPERACIONAIS</t>
        </is>
      </c>
      <c r="U1627" s="77" t="n">
        <v>6267.5</v>
      </c>
      <c r="W1627" s="59" t="n">
        <v>0</v>
      </c>
      <c r="X1627" s="59" t="inlineStr">
        <is>
          <t>FEIRA SR. RENATO LOJAS-ANDREZA</t>
        </is>
      </c>
      <c r="Z1627" s="59">
        <f>IF($T1627="","",IFERROR(INDEX('Resumo Grupos'!$AC$3:$AC$200,MATCH($T1627,'Resumo Grupos'!$AB$3:$AB$200,0)),"n/d"))</f>
        <v/>
      </c>
      <c r="AA1627" s="59">
        <f>IF($T1627="","",IF(COUNTIF('Resumo Grupos'!$AE$3:$AE$40,$T1627)&gt;0,"NAO","SIM"))</f>
        <v/>
      </c>
    </row>
    <row r="1628" ht="12.75" customHeight="1" s="60">
      <c r="A1628" s="59" t="n">
        <v>1</v>
      </c>
      <c r="B1628" s="75" t="n">
        <v>46234</v>
      </c>
      <c r="C1628" s="75" t="n">
        <v>46234</v>
      </c>
      <c r="D1628" s="59" t="n">
        <v>4</v>
      </c>
      <c r="E1628" s="59" t="inlineStr">
        <is>
          <t>KEILA CRISTINA DE LIMA</t>
        </is>
      </c>
      <c r="F1628" s="59" t="n">
        <v>34</v>
      </c>
      <c r="G1628" s="59" t="inlineStr">
        <is>
          <t>Transferencia Pix</t>
        </is>
      </c>
      <c r="H1628" s="59" t="n">
        <v>1110202</v>
      </c>
      <c r="I1628" s="59" t="inlineStr">
        <is>
          <t>BANCO ITAU Lj 01</t>
        </is>
      </c>
      <c r="J1628" s="59" t="n">
        <v>1495804</v>
      </c>
      <c r="L1628" s="59" t="n">
        <v>613270</v>
      </c>
      <c r="M1628" s="59" t="inlineStr">
        <is>
          <t>01</t>
        </is>
      </c>
      <c r="N1628" s="59" t="inlineStr">
        <is>
          <t>AVU</t>
        </is>
      </c>
      <c r="P1628" s="59" t="n">
        <v>102</v>
      </c>
      <c r="Q1628" s="59" t="inlineStr">
        <is>
          <t>ANDREZA ANDRADE</t>
        </is>
      </c>
      <c r="R1628" s="59" t="inlineStr">
        <is>
          <t>DESPESAS COM PESSOAL</t>
        </is>
      </c>
      <c r="S1628" s="59" t="n">
        <v>4210301</v>
      </c>
      <c r="T1628" s="59" t="inlineStr">
        <is>
          <t>SALARIOS</t>
        </is>
      </c>
      <c r="U1628" s="77" t="n">
        <v>300</v>
      </c>
      <c r="W1628" s="59" t="n">
        <v>0</v>
      </c>
      <c r="X1628" s="59" t="inlineStr">
        <is>
          <t>ADIANT SAL 07/26- MO1 -ANDREZA</t>
        </is>
      </c>
      <c r="Z1628" s="59">
        <f>IF($T1628="","",IFERROR(INDEX('Resumo Grupos'!$AC$3:$AC$200,MATCH($T1628,'Resumo Grupos'!$AB$3:$AB$200,0)),"n/d"))</f>
        <v/>
      </c>
      <c r="AA1628" s="59">
        <f>IF($T1628="","",IF(COUNTIF('Resumo Grupos'!$AE$3:$AE$40,$T1628)&gt;0,"NAO","SIM"))</f>
        <v/>
      </c>
    </row>
    <row r="1629" ht="12.75" customHeight="1" s="60">
      <c r="A1629" s="59" t="n">
        <v>1</v>
      </c>
      <c r="B1629" s="75" t="n">
        <v>46195</v>
      </c>
      <c r="C1629" s="75" t="n">
        <v>46235</v>
      </c>
      <c r="D1629" s="59" t="n">
        <v>10011</v>
      </c>
      <c r="E1629" s="59" t="inlineStr">
        <is>
          <t>OPPORTUNITY ALIMENTOS PARA ANIMAIS LTDA</t>
        </is>
      </c>
      <c r="F1629" s="59" t="n">
        <v>24</v>
      </c>
      <c r="G1629" s="59" t="inlineStr">
        <is>
          <t>Compra a Prazo - Boletos</t>
        </is>
      </c>
      <c r="H1629" s="59" t="n">
        <v>2110101</v>
      </c>
      <c r="I1629" s="59" t="inlineStr">
        <is>
          <t>FORNECEDORES DE MERCADORIA</t>
        </is>
      </c>
      <c r="J1629" s="59" t="n">
        <v>1291292</v>
      </c>
      <c r="L1629" s="59" t="n">
        <v>34212</v>
      </c>
      <c r="M1629" s="59" t="inlineStr">
        <is>
          <t>03</t>
        </is>
      </c>
      <c r="N1629" s="59" t="inlineStr">
        <is>
          <t>NFE</t>
        </is>
      </c>
      <c r="P1629" s="59" t="n">
        <v>103</v>
      </c>
      <c r="Q1629" s="59" t="inlineStr">
        <is>
          <t>MILKA FRANCIS</t>
        </is>
      </c>
      <c r="R1629" s="59" t="inlineStr">
        <is>
          <t>ESTOQUE DE MERCADORIAS</t>
        </is>
      </c>
      <c r="S1629" s="59" t="n">
        <v>1130101</v>
      </c>
      <c r="T1629" s="59" t="inlineStr">
        <is>
          <t>MERCADORIAS P/REVENDA</t>
        </is>
      </c>
      <c r="U1629" s="77" t="n">
        <v>1975</v>
      </c>
      <c r="W1629" s="59" t="n">
        <v>0</v>
      </c>
      <c r="X1629" s="59" t="inlineStr">
        <is>
          <t>NF 34212-3 MILKA</t>
        </is>
      </c>
      <c r="Z1629" s="59">
        <f>IF($T1629="","",IFERROR(INDEX('Resumo Grupos'!$AC$3:$AC$200,MATCH($T1629,'Resumo Grupos'!$AB$3:$AB$200,0)),"n/d"))</f>
        <v/>
      </c>
      <c r="AA1629" s="59">
        <f>IF($T1629="","",IF(COUNTIF('Resumo Grupos'!$AE$3:$AE$40,$T1629)&gt;0,"NAO","SIM"))</f>
        <v/>
      </c>
    </row>
    <row r="1630" ht="12.75" customHeight="1" s="60">
      <c r="A1630" s="59" t="n">
        <v>1</v>
      </c>
      <c r="B1630" s="75" t="n">
        <v>46230</v>
      </c>
      <c r="C1630" s="75" t="n">
        <v>46235</v>
      </c>
      <c r="D1630" s="59" t="n">
        <v>754</v>
      </c>
      <c r="E1630" s="59" t="inlineStr">
        <is>
          <t>SILVA E SANTOS FRIGORIFICO LTDA</t>
        </is>
      </c>
      <c r="F1630" s="59" t="n">
        <v>24</v>
      </c>
      <c r="G1630" s="59" t="inlineStr">
        <is>
          <t>Compra a Prazo - Boletos</t>
        </is>
      </c>
      <c r="H1630" s="59" t="n">
        <v>1110202</v>
      </c>
      <c r="I1630" s="59" t="inlineStr">
        <is>
          <t>BANCO ITAU Lj 01</t>
        </is>
      </c>
      <c r="J1630" s="59" t="n">
        <v>1459331</v>
      </c>
      <c r="L1630" s="59" t="n">
        <v>32051</v>
      </c>
      <c r="M1630" s="59" t="inlineStr">
        <is>
          <t>01</t>
        </is>
      </c>
      <c r="N1630" s="59" t="inlineStr">
        <is>
          <t>AVU</t>
        </is>
      </c>
      <c r="P1630" s="59" t="n">
        <v>103</v>
      </c>
      <c r="Q1630" s="59" t="inlineStr">
        <is>
          <t>MILKA FRANCIS</t>
        </is>
      </c>
      <c r="R1630" s="59" t="inlineStr">
        <is>
          <t>ESTOQUE DE MERCADORIAS</t>
        </is>
      </c>
      <c r="S1630" s="59" t="n">
        <v>1130101</v>
      </c>
      <c r="T1630" s="59" t="inlineStr">
        <is>
          <t>MERCADORIAS P/REVENDA</t>
        </is>
      </c>
      <c r="U1630" s="77" t="n">
        <v>1760</v>
      </c>
      <c r="W1630" s="59" t="n">
        <v>0</v>
      </c>
      <c r="X1630" s="59" t="inlineStr">
        <is>
          <t>NF 32051 - MILKA</t>
        </is>
      </c>
      <c r="Z1630" s="59">
        <f>IF($T1630="","",IFERROR(INDEX('Resumo Grupos'!$AC$3:$AC$200,MATCH($T1630,'Resumo Grupos'!$AB$3:$AB$200,0)),"n/d"))</f>
        <v/>
      </c>
      <c r="AA1630" s="59">
        <f>IF($T1630="","",IF(COUNTIF('Resumo Grupos'!$AE$3:$AE$40,$T1630)&gt;0,"NAO","SIM"))</f>
        <v/>
      </c>
    </row>
    <row r="1631" ht="12.75" customHeight="1" s="60">
      <c r="A1631" s="59" t="n">
        <v>1</v>
      </c>
      <c r="B1631" s="75" t="n">
        <v>46206</v>
      </c>
      <c r="C1631" s="75" t="n">
        <v>46235</v>
      </c>
      <c r="D1631" s="59" t="n">
        <v>1608</v>
      </c>
      <c r="E1631" s="59" t="inlineStr">
        <is>
          <t>DISTRIBUIDORA LOPES LTDA</t>
        </is>
      </c>
      <c r="F1631" s="59" t="n">
        <v>24</v>
      </c>
      <c r="G1631" s="59" t="inlineStr">
        <is>
          <t>Compra a Prazo - Boletos</t>
        </is>
      </c>
      <c r="H1631" s="59" t="n">
        <v>2110101</v>
      </c>
      <c r="I1631" s="59" t="inlineStr">
        <is>
          <t>FORNECEDORES DE MERCADORIA</t>
        </is>
      </c>
      <c r="J1631" s="59" t="n">
        <v>1344441</v>
      </c>
      <c r="L1631" s="59" t="n">
        <v>1686012</v>
      </c>
      <c r="M1631" s="59" t="inlineStr">
        <is>
          <t>02</t>
        </is>
      </c>
      <c r="N1631" s="59" t="inlineStr">
        <is>
          <t>NFE</t>
        </is>
      </c>
      <c r="P1631" s="59" t="n">
        <v>103</v>
      </c>
      <c r="Q1631" s="59" t="inlineStr">
        <is>
          <t>MILKA FRANCIS</t>
        </is>
      </c>
      <c r="R1631" s="59" t="inlineStr">
        <is>
          <t>ESTOQUE DE MERCADORIAS</t>
        </is>
      </c>
      <c r="S1631" s="59" t="n">
        <v>1130101</v>
      </c>
      <c r="T1631" s="59" t="inlineStr">
        <is>
          <t>MERCADORIAS P/REVENDA</t>
        </is>
      </c>
      <c r="U1631" s="77" t="n">
        <v>1731.26</v>
      </c>
      <c r="W1631" s="59" t="n">
        <v>0</v>
      </c>
      <c r="X1631" s="59" t="inlineStr">
        <is>
          <t>NF 1686012 -2 MILKA</t>
        </is>
      </c>
      <c r="Z1631" s="59">
        <f>IF($T1631="","",IFERROR(INDEX('Resumo Grupos'!$AC$3:$AC$200,MATCH($T1631,'Resumo Grupos'!$AB$3:$AB$200,0)),"n/d"))</f>
        <v/>
      </c>
      <c r="AA1631" s="59">
        <f>IF($T1631="","",IF(COUNTIF('Resumo Grupos'!$AE$3:$AE$40,$T1631)&gt;0,"NAO","SIM"))</f>
        <v/>
      </c>
    </row>
    <row r="1632" ht="12.75" customHeight="1" s="60">
      <c r="A1632" s="59" t="n">
        <v>1</v>
      </c>
      <c r="B1632" s="75" t="n">
        <v>46207</v>
      </c>
      <c r="C1632" s="75" t="n">
        <v>46235</v>
      </c>
      <c r="D1632" s="59" t="n">
        <v>1636</v>
      </c>
      <c r="E1632" s="59" t="inlineStr">
        <is>
          <t>DUNORTE DISTRIBUIDORA DE PRODUTOS DE CONSUMO LTDA</t>
        </is>
      </c>
      <c r="F1632" s="59" t="n">
        <v>24</v>
      </c>
      <c r="G1632" s="59" t="inlineStr">
        <is>
          <t>Compra a Prazo - Boletos</t>
        </is>
      </c>
      <c r="H1632" s="59" t="n">
        <v>2110102</v>
      </c>
      <c r="I1632" s="59" t="inlineStr">
        <is>
          <t>OUTROS FORNECEDORES</t>
        </is>
      </c>
      <c r="J1632" s="59" t="n">
        <v>1348691</v>
      </c>
      <c r="L1632" s="59" t="n">
        <v>3216011</v>
      </c>
      <c r="M1632" s="59" t="inlineStr">
        <is>
          <t>01</t>
        </is>
      </c>
      <c r="N1632" s="59" t="inlineStr">
        <is>
          <t>NFE</t>
        </is>
      </c>
      <c r="P1632" s="59" t="n">
        <v>103</v>
      </c>
      <c r="Q1632" s="59" t="inlineStr">
        <is>
          <t>MILKA FRANCIS</t>
        </is>
      </c>
      <c r="R1632" s="59" t="inlineStr">
        <is>
          <t>DESPESAS OPERACIONAIS</t>
        </is>
      </c>
      <c r="S1632" s="59" t="n">
        <v>4210204</v>
      </c>
      <c r="T1632" s="59" t="inlineStr">
        <is>
          <t>MATERIAL DE CONSUMO</t>
        </is>
      </c>
      <c r="U1632" s="77" t="n">
        <v>854.72</v>
      </c>
      <c r="W1632" s="59" t="n">
        <v>0</v>
      </c>
      <c r="X1632" s="59" t="inlineStr">
        <is>
          <t>NF 3216011 DESP LOJA /PAPEL HIG/TOALHA - MILKA</t>
        </is>
      </c>
      <c r="Z1632" s="59">
        <f>IF($T1632="","",IFERROR(INDEX('Resumo Grupos'!$AC$3:$AC$200,MATCH($T1632,'Resumo Grupos'!$AB$3:$AB$200,0)),"n/d"))</f>
        <v/>
      </c>
      <c r="AA1632" s="59">
        <f>IF($T1632="","",IF(COUNTIF('Resumo Grupos'!$AE$3:$AE$40,$T1632)&gt;0,"NAO","SIM"))</f>
        <v/>
      </c>
    </row>
    <row r="1633" ht="12.75" customHeight="1" s="60">
      <c r="A1633" s="59" t="n">
        <v>1</v>
      </c>
      <c r="B1633" s="75" t="n">
        <v>46225</v>
      </c>
      <c r="C1633" s="75" t="n">
        <v>46235</v>
      </c>
      <c r="D1633" s="59" t="n">
        <v>1723</v>
      </c>
      <c r="E1633" s="59" t="inlineStr">
        <is>
          <t>COMERCIO DE FRIOS MANAUS LTDA</t>
        </is>
      </c>
      <c r="F1633" s="59" t="n">
        <v>24</v>
      </c>
      <c r="G1633" s="59" t="inlineStr">
        <is>
          <t>Compra a Prazo - Boletos</t>
        </is>
      </c>
      <c r="H1633" s="59" t="n">
        <v>1110202</v>
      </c>
      <c r="I1633" s="59" t="inlineStr">
        <is>
          <t>BANCO ITAU Lj 01</t>
        </is>
      </c>
      <c r="J1633" s="59" t="n">
        <v>1435471</v>
      </c>
      <c r="L1633" s="59" t="n">
        <v>173595</v>
      </c>
      <c r="M1633" s="59" t="inlineStr">
        <is>
          <t>01</t>
        </is>
      </c>
      <c r="N1633" s="59" t="inlineStr">
        <is>
          <t>AVU</t>
        </is>
      </c>
      <c r="P1633" s="59" t="n">
        <v>103</v>
      </c>
      <c r="Q1633" s="59" t="inlineStr">
        <is>
          <t>MILKA FRANCIS</t>
        </is>
      </c>
      <c r="R1633" s="59" t="inlineStr">
        <is>
          <t>ESTOQUE DE MERCADORIAS</t>
        </is>
      </c>
      <c r="S1633" s="59" t="n">
        <v>1130101</v>
      </c>
      <c r="T1633" s="59" t="inlineStr">
        <is>
          <t>MERCADORIAS P/REVENDA</t>
        </is>
      </c>
      <c r="U1633" s="77" t="n">
        <v>5927</v>
      </c>
      <c r="W1633" s="59" t="n">
        <v>0</v>
      </c>
      <c r="X1633" s="59" t="inlineStr">
        <is>
          <t>NF 173595 - MILKA</t>
        </is>
      </c>
      <c r="Z1633" s="59">
        <f>IF($T1633="","",IFERROR(INDEX('Resumo Grupos'!$AC$3:$AC$200,MATCH($T1633,'Resumo Grupos'!$AB$3:$AB$200,0)),"n/d"))</f>
        <v/>
      </c>
      <c r="AA1633" s="59">
        <f>IF($T1633="","",IF(COUNTIF('Resumo Grupos'!$AE$3:$AE$40,$T1633)&gt;0,"NAO","SIM"))</f>
        <v/>
      </c>
    </row>
    <row r="1634" ht="12.75" customHeight="1" s="60">
      <c r="A1634" s="59" t="n">
        <v>1</v>
      </c>
      <c r="B1634" s="75" t="n">
        <v>46225</v>
      </c>
      <c r="C1634" s="75" t="n">
        <v>46235</v>
      </c>
      <c r="D1634" s="59" t="n">
        <v>1705</v>
      </c>
      <c r="E1634" s="59" t="inlineStr">
        <is>
          <t>BRASIL NORTE BEBIDAS S/A</t>
        </is>
      </c>
      <c r="F1634" s="59" t="n">
        <v>24</v>
      </c>
      <c r="G1634" s="59" t="inlineStr">
        <is>
          <t>Compra a Prazo - Boletos</t>
        </is>
      </c>
      <c r="H1634" s="59" t="n">
        <v>1110202</v>
      </c>
      <c r="I1634" s="59" t="inlineStr">
        <is>
          <t>BANCO ITAU Lj 01</t>
        </is>
      </c>
      <c r="J1634" s="59" t="n">
        <v>1435900</v>
      </c>
      <c r="L1634" s="59" t="n">
        <v>1942481</v>
      </c>
      <c r="M1634" s="59" t="inlineStr">
        <is>
          <t>01</t>
        </is>
      </c>
      <c r="N1634" s="59" t="inlineStr">
        <is>
          <t>AVU</t>
        </is>
      </c>
      <c r="P1634" s="59" t="n">
        <v>103</v>
      </c>
      <c r="Q1634" s="59" t="inlineStr">
        <is>
          <t>MILKA FRANCIS</t>
        </is>
      </c>
      <c r="R1634" s="59" t="inlineStr">
        <is>
          <t>ESTOQUE DE MERCADORIAS</t>
        </is>
      </c>
      <c r="S1634" s="59" t="n">
        <v>1130101</v>
      </c>
      <c r="T1634" s="59" t="inlineStr">
        <is>
          <t>MERCADORIAS P/REVENDA</t>
        </is>
      </c>
      <c r="U1634" s="77" t="n">
        <v>1253.43</v>
      </c>
      <c r="W1634" s="59" t="n">
        <v>0</v>
      </c>
      <c r="X1634" s="59" t="inlineStr">
        <is>
          <t>NF1942481 COCA - MILKA</t>
        </is>
      </c>
      <c r="Z1634" s="59">
        <f>IF($T1634="","",IFERROR(INDEX('Resumo Grupos'!$AC$3:$AC$200,MATCH($T1634,'Resumo Grupos'!$AB$3:$AB$200,0)),"n/d"))</f>
        <v/>
      </c>
      <c r="AA1634" s="59">
        <f>IF($T1634="","",IF(COUNTIF('Resumo Grupos'!$AE$3:$AE$40,$T1634)&gt;0,"NAO","SIM"))</f>
        <v/>
      </c>
    </row>
    <row r="1635" ht="12.75" customHeight="1" s="60">
      <c r="A1635" s="59" t="n">
        <v>1</v>
      </c>
      <c r="B1635" s="75" t="n">
        <v>46225</v>
      </c>
      <c r="C1635" s="75" t="n">
        <v>46235</v>
      </c>
      <c r="D1635" s="59" t="n">
        <v>1705</v>
      </c>
      <c r="E1635" s="59" t="inlineStr">
        <is>
          <t>BRASIL NORTE BEBIDAS S/A</t>
        </is>
      </c>
      <c r="F1635" s="59" t="n">
        <v>24</v>
      </c>
      <c r="G1635" s="59" t="inlineStr">
        <is>
          <t>Compra a Prazo - Boletos</t>
        </is>
      </c>
      <c r="H1635" s="59" t="n">
        <v>1110202</v>
      </c>
      <c r="I1635" s="59" t="inlineStr">
        <is>
          <t>BANCO ITAU Lj 01</t>
        </is>
      </c>
      <c r="J1635" s="59" t="n">
        <v>1435911</v>
      </c>
      <c r="L1635" s="59" t="n">
        <v>1209351</v>
      </c>
      <c r="M1635" s="59" t="inlineStr">
        <is>
          <t>01</t>
        </is>
      </c>
      <c r="N1635" s="59" t="inlineStr">
        <is>
          <t>AVU</t>
        </is>
      </c>
      <c r="P1635" s="59" t="n">
        <v>103</v>
      </c>
      <c r="Q1635" s="59" t="inlineStr">
        <is>
          <t>MILKA FRANCIS</t>
        </is>
      </c>
      <c r="R1635" s="59" t="inlineStr">
        <is>
          <t>ESTOQUE DE MERCADORIAS</t>
        </is>
      </c>
      <c r="S1635" s="59" t="n">
        <v>1130101</v>
      </c>
      <c r="T1635" s="59" t="inlineStr">
        <is>
          <t>MERCADORIAS P/REVENDA</t>
        </is>
      </c>
      <c r="U1635" s="77" t="n">
        <v>1459.28</v>
      </c>
      <c r="W1635" s="59" t="n">
        <v>0</v>
      </c>
      <c r="X1635" s="59" t="inlineStr">
        <is>
          <t>NF 1209351 COCA C/TARIFA - MILKA</t>
        </is>
      </c>
      <c r="Z1635" s="59">
        <f>IF($T1635="","",IFERROR(INDEX('Resumo Grupos'!$AC$3:$AC$200,MATCH($T1635,'Resumo Grupos'!$AB$3:$AB$200,0)),"n/d"))</f>
        <v/>
      </c>
      <c r="AA1635" s="59">
        <f>IF($T1635="","",IF(COUNTIF('Resumo Grupos'!$AE$3:$AE$40,$T1635)&gt;0,"NAO","SIM"))</f>
        <v/>
      </c>
    </row>
    <row r="1636" ht="12.75" customHeight="1" s="60">
      <c r="A1636" s="59" t="n">
        <v>1</v>
      </c>
      <c r="B1636" s="75" t="n">
        <v>46226</v>
      </c>
      <c r="C1636" s="75" t="n">
        <v>46235</v>
      </c>
      <c r="D1636" s="59" t="n">
        <v>1792</v>
      </c>
      <c r="E1636" s="59" t="inlineStr">
        <is>
          <t>CAMPOS E LIMA GESTAO EMPRESARIAL</t>
        </is>
      </c>
      <c r="F1636" s="59" t="n">
        <v>24</v>
      </c>
      <c r="G1636" s="59" t="inlineStr">
        <is>
          <t>Compra a Prazo - Boletos</t>
        </is>
      </c>
      <c r="H1636" s="59" t="n">
        <v>1110202</v>
      </c>
      <c r="I1636" s="59" t="inlineStr">
        <is>
          <t>BANCO ITAU Lj 01</t>
        </is>
      </c>
      <c r="J1636" s="59" t="n">
        <v>1440674</v>
      </c>
      <c r="L1636" s="59" t="n">
        <v>592792</v>
      </c>
      <c r="M1636" s="59" t="inlineStr">
        <is>
          <t>01</t>
        </is>
      </c>
      <c r="N1636" s="59" t="inlineStr">
        <is>
          <t>AVU</t>
        </is>
      </c>
      <c r="P1636" s="59" t="n">
        <v>101</v>
      </c>
      <c r="Q1636" s="59" t="inlineStr">
        <is>
          <t>KEILA LIMA</t>
        </is>
      </c>
      <c r="R1636" s="59" t="inlineStr">
        <is>
          <t>BENS INTANGIVEIS</t>
        </is>
      </c>
      <c r="S1636" s="59" t="n">
        <v>1240203</v>
      </c>
      <c r="T1636" s="59" t="inlineStr">
        <is>
          <t>SISTEMAS APLICATIVOS</t>
        </is>
      </c>
      <c r="U1636" s="77" t="n">
        <v>486.45</v>
      </c>
      <c r="W1636" s="59" t="n">
        <v>0</v>
      </c>
      <c r="X1636" s="59" t="inlineStr">
        <is>
          <t>MENSALIDADE SIST VAREJO MO1 - KEILA</t>
        </is>
      </c>
      <c r="Z1636" s="59">
        <f>IF($T1636="","",IFERROR(INDEX('Resumo Grupos'!$AC$3:$AC$200,MATCH($T1636,'Resumo Grupos'!$AB$3:$AB$200,0)),"n/d"))</f>
        <v/>
      </c>
      <c r="AA1636" s="59">
        <f>IF($T1636="","",IF(COUNTIF('Resumo Grupos'!$AE$3:$AE$40,$T1636)&gt;0,"NAO","SIM"))</f>
        <v/>
      </c>
    </row>
    <row r="1637" ht="12.75" customHeight="1" s="60">
      <c r="A1637" s="59" t="n">
        <v>1</v>
      </c>
      <c r="B1637" s="75" t="n">
        <v>46228</v>
      </c>
      <c r="C1637" s="75" t="n">
        <v>46235</v>
      </c>
      <c r="D1637" s="59" t="n">
        <v>1625</v>
      </c>
      <c r="E1637" s="59" t="inlineStr">
        <is>
          <t>MAXFRI DISTRIUIDORA LTDA</t>
        </is>
      </c>
      <c r="F1637" s="59" t="n">
        <v>24</v>
      </c>
      <c r="G1637" s="59" t="inlineStr">
        <is>
          <t>Compra a Prazo - Boletos</t>
        </is>
      </c>
      <c r="H1637" s="59" t="n">
        <v>1110202</v>
      </c>
      <c r="I1637" s="59" t="inlineStr">
        <is>
          <t>BANCO ITAU Lj 01</t>
        </is>
      </c>
      <c r="J1637" s="59" t="n">
        <v>1449957</v>
      </c>
      <c r="L1637" s="59" t="n">
        <v>14815</v>
      </c>
      <c r="M1637" s="59" t="inlineStr">
        <is>
          <t>01</t>
        </is>
      </c>
      <c r="N1637" s="59" t="inlineStr">
        <is>
          <t>AVU</t>
        </is>
      </c>
      <c r="P1637" s="59" t="n">
        <v>103</v>
      </c>
      <c r="Q1637" s="59" t="inlineStr">
        <is>
          <t>MILKA FRANCIS</t>
        </is>
      </c>
      <c r="R1637" s="59" t="inlineStr">
        <is>
          <t>ESTOQUE DE MERCADORIAS</t>
        </is>
      </c>
      <c r="S1637" s="59" t="n">
        <v>1130101</v>
      </c>
      <c r="T1637" s="59" t="inlineStr">
        <is>
          <t>MERCADORIAS P/REVENDA</t>
        </is>
      </c>
      <c r="U1637" s="77" t="n">
        <v>4716.8</v>
      </c>
      <c r="W1637" s="59" t="n">
        <v>0</v>
      </c>
      <c r="X1637" s="59" t="inlineStr">
        <is>
          <t>NF 14815 - MILKA</t>
        </is>
      </c>
      <c r="Z1637" s="59">
        <f>IF($T1637="","",IFERROR(INDEX('Resumo Grupos'!$AC$3:$AC$200,MATCH($T1637,'Resumo Grupos'!$AB$3:$AB$200,0)),"n/d"))</f>
        <v/>
      </c>
      <c r="AA1637" s="59">
        <f>IF($T1637="","",IF(COUNTIF('Resumo Grupos'!$AE$3:$AE$40,$T1637)&gt;0,"NAO","SIM"))</f>
        <v/>
      </c>
    </row>
    <row r="1638" ht="12.75" customHeight="1" s="60">
      <c r="A1638" s="59" t="n">
        <v>1</v>
      </c>
      <c r="B1638" s="75" t="n">
        <v>46228</v>
      </c>
      <c r="C1638" s="75" t="n">
        <v>46235</v>
      </c>
      <c r="D1638" s="59" t="n">
        <v>754</v>
      </c>
      <c r="E1638" s="59" t="inlineStr">
        <is>
          <t>SILVA E SANTOS FRIGORIFICO LTDA</t>
        </is>
      </c>
      <c r="F1638" s="59" t="n">
        <v>24</v>
      </c>
      <c r="G1638" s="59" t="inlineStr">
        <is>
          <t>Compra a Prazo - Boletos</t>
        </is>
      </c>
      <c r="H1638" s="59" t="n">
        <v>2110101</v>
      </c>
      <c r="I1638" s="59" t="inlineStr">
        <is>
          <t>FORNECEDORES DE MERCADORIA</t>
        </is>
      </c>
      <c r="J1638" s="59" t="n">
        <v>1449964</v>
      </c>
      <c r="L1638" s="59" t="n">
        <v>32050</v>
      </c>
      <c r="M1638" s="59" t="inlineStr">
        <is>
          <t>01</t>
        </is>
      </c>
      <c r="N1638" s="59" t="inlineStr">
        <is>
          <t>AVU</t>
        </is>
      </c>
      <c r="P1638" s="59" t="n">
        <v>103</v>
      </c>
      <c r="Q1638" s="59" t="inlineStr">
        <is>
          <t>MILKA FRANCIS</t>
        </is>
      </c>
      <c r="R1638" s="59" t="inlineStr">
        <is>
          <t>ESTOQUE DE MERCADORIAS</t>
        </is>
      </c>
      <c r="S1638" s="59" t="n">
        <v>1130101</v>
      </c>
      <c r="T1638" s="59" t="inlineStr">
        <is>
          <t>MERCADORIAS P/REVENDA</t>
        </is>
      </c>
      <c r="U1638" s="77" t="n">
        <v>2967.5</v>
      </c>
      <c r="W1638" s="59" t="n">
        <v>0</v>
      </c>
      <c r="X1638" s="59" t="inlineStr">
        <is>
          <t>NF32050 - MILKA</t>
        </is>
      </c>
      <c r="Z1638" s="59">
        <f>IF($T1638="","",IFERROR(INDEX('Resumo Grupos'!$AC$3:$AC$200,MATCH($T1638,'Resumo Grupos'!$AB$3:$AB$200,0)),"n/d"))</f>
        <v/>
      </c>
      <c r="AA1638" s="59">
        <f>IF($T1638="","",IF(COUNTIF('Resumo Grupos'!$AE$3:$AE$40,$T1638)&gt;0,"NAO","SIM"))</f>
        <v/>
      </c>
    </row>
    <row r="1639" ht="12.75" customHeight="1" s="60">
      <c r="A1639" s="59" t="n">
        <v>1</v>
      </c>
      <c r="B1639" s="75" t="n">
        <v>46235</v>
      </c>
      <c r="C1639" s="75" t="n">
        <v>46235</v>
      </c>
      <c r="D1639" s="59" t="n">
        <v>33</v>
      </c>
      <c r="E1639" s="59" t="inlineStr">
        <is>
          <t>RENATO DE O AZEVEDO E CIA LTDA - EPP</t>
        </is>
      </c>
      <c r="F1639" s="59" t="n">
        <v>13</v>
      </c>
      <c r="G1639" s="59" t="inlineStr">
        <is>
          <t>Compra a Vista</t>
        </is>
      </c>
      <c r="H1639" s="59" t="n">
        <v>2110101</v>
      </c>
      <c r="I1639" s="59" t="inlineStr">
        <is>
          <t>FORNECEDORES DE MERCADORIA</t>
        </is>
      </c>
      <c r="J1639" s="59" t="n">
        <v>1482644</v>
      </c>
      <c r="L1639" s="59" t="n">
        <v>5422</v>
      </c>
      <c r="M1639" s="59" t="inlineStr">
        <is>
          <t>01</t>
        </is>
      </c>
      <c r="N1639" s="59" t="inlineStr">
        <is>
          <t>NFE</t>
        </is>
      </c>
      <c r="P1639" s="59" t="n">
        <v>104</v>
      </c>
      <c r="Q1639" s="59" t="inlineStr">
        <is>
          <t>DEBORA COSTA</t>
        </is>
      </c>
      <c r="R1639" s="59" t="inlineStr">
        <is>
          <t>ESTOQUE DE MERCADORIAS</t>
        </is>
      </c>
      <c r="S1639" s="59" t="n">
        <v>1130101</v>
      </c>
      <c r="T1639" s="59" t="inlineStr">
        <is>
          <t>MERCADORIAS P/REVENDA</t>
        </is>
      </c>
      <c r="U1639" s="77" t="n">
        <v>280</v>
      </c>
      <c r="W1639" s="59" t="n">
        <v>280</v>
      </c>
      <c r="X1639" s="59" t="inlineStr">
        <is>
          <t>ACAI DE ANORI - DEBORA</t>
        </is>
      </c>
      <c r="Z1639" s="59">
        <f>IF($T1639="","",IFERROR(INDEX('Resumo Grupos'!$AC$3:$AC$200,MATCH($T1639,'Resumo Grupos'!$AB$3:$AB$200,0)),"n/d"))</f>
        <v/>
      </c>
      <c r="AA1639" s="59">
        <f>IF($T1639="","",IF(COUNTIF('Resumo Grupos'!$AE$3:$AE$40,$T1639)&gt;0,"NAO","SIM"))</f>
        <v/>
      </c>
    </row>
    <row r="1640" ht="12.75" customHeight="1" s="60">
      <c r="A1640" s="59" t="n">
        <v>1</v>
      </c>
      <c r="B1640" s="75" t="n">
        <v>46235</v>
      </c>
      <c r="C1640" s="75" t="n">
        <v>46235</v>
      </c>
      <c r="D1640" s="59" t="n">
        <v>1137</v>
      </c>
      <c r="E1640" s="59" t="inlineStr">
        <is>
          <t xml:space="preserve">FOLHA DE PAGAMENTO </t>
        </is>
      </c>
      <c r="F1640" s="59" t="n">
        <v>34</v>
      </c>
      <c r="G1640" s="59" t="inlineStr">
        <is>
          <t>Transferencia Pix</t>
        </is>
      </c>
      <c r="H1640" s="59" t="n">
        <v>1110202</v>
      </c>
      <c r="I1640" s="59" t="inlineStr">
        <is>
          <t>BANCO ITAU Lj 01</t>
        </is>
      </c>
      <c r="J1640" s="59" t="n">
        <v>1482647</v>
      </c>
      <c r="L1640" s="59" t="n">
        <v>608858</v>
      </c>
      <c r="M1640" s="59" t="inlineStr">
        <is>
          <t>01</t>
        </is>
      </c>
      <c r="N1640" s="59" t="inlineStr">
        <is>
          <t>AVU</t>
        </is>
      </c>
      <c r="P1640" s="59" t="n">
        <v>101</v>
      </c>
      <c r="Q1640" s="59" t="inlineStr">
        <is>
          <t>KEILA LIMA</t>
        </is>
      </c>
      <c r="R1640" s="59" t="inlineStr">
        <is>
          <t>DESPESAS COM PESSOAL</t>
        </is>
      </c>
      <c r="S1640" s="59" t="n">
        <v>4210309</v>
      </c>
      <c r="T1640" s="59" t="inlineStr">
        <is>
          <t>VALE TRANSPORTE</t>
        </is>
      </c>
      <c r="U1640" s="77" t="n">
        <v>1820</v>
      </c>
      <c r="W1640" s="59" t="n">
        <v>0</v>
      </c>
      <c r="X1640" s="59" t="inlineStr">
        <is>
          <t>PAG VALE TRANSPORTE MO1 08/26 - KEILA</t>
        </is>
      </c>
      <c r="Z1640" s="59">
        <f>IF($T1640="","",IFERROR(INDEX('Resumo Grupos'!$AC$3:$AC$200,MATCH($T1640,'Resumo Grupos'!$AB$3:$AB$200,0)),"n/d"))</f>
        <v/>
      </c>
      <c r="AA1640" s="59">
        <f>IF($T1640="","",IF(COUNTIF('Resumo Grupos'!$AE$3:$AE$40,$T1640)&gt;0,"NAO","SIM"))</f>
        <v/>
      </c>
    </row>
    <row r="1641" ht="12.75" customHeight="1" s="60">
      <c r="A1641" s="59" t="n">
        <v>1</v>
      </c>
      <c r="B1641" s="75" t="n">
        <v>46235</v>
      </c>
      <c r="C1641" s="75" t="n">
        <v>46235</v>
      </c>
      <c r="D1641" s="59" t="n">
        <v>1137</v>
      </c>
      <c r="E1641" s="59" t="inlineStr">
        <is>
          <t xml:space="preserve">FOLHA DE PAGAMENTO </t>
        </is>
      </c>
      <c r="F1641" s="59" t="n">
        <v>34</v>
      </c>
      <c r="G1641" s="59" t="inlineStr">
        <is>
          <t>Transferencia Pix</t>
        </is>
      </c>
      <c r="H1641" s="59" t="n">
        <v>1110202</v>
      </c>
      <c r="I1641" s="59" t="inlineStr">
        <is>
          <t>BANCO ITAU Lj 01</t>
        </is>
      </c>
      <c r="J1641" s="59" t="n">
        <v>1482687</v>
      </c>
      <c r="L1641" s="59" t="n">
        <v>608874</v>
      </c>
      <c r="M1641" s="59" t="inlineStr">
        <is>
          <t>01</t>
        </is>
      </c>
      <c r="N1641" s="59" t="inlineStr">
        <is>
          <t>AVU</t>
        </is>
      </c>
      <c r="P1641" s="59" t="n">
        <v>101</v>
      </c>
      <c r="Q1641" s="59" t="inlineStr">
        <is>
          <t>KEILA LIMA</t>
        </is>
      </c>
      <c r="R1641" s="59" t="inlineStr">
        <is>
          <t>DESPESAS COM PESSOAL</t>
        </is>
      </c>
      <c r="S1641" s="59" t="n">
        <v>4210309</v>
      </c>
      <c r="T1641" s="59" t="inlineStr">
        <is>
          <t>VALE TRANSPORTE</t>
        </is>
      </c>
      <c r="U1641" s="77" t="n">
        <v>780</v>
      </c>
      <c r="W1641" s="59" t="n">
        <v>0</v>
      </c>
      <c r="X1641" s="59" t="inlineStr">
        <is>
          <t>PAG VALE TRANSPORTE ESCR 08/26 - KEILA</t>
        </is>
      </c>
      <c r="Z1641" s="59">
        <f>IF($T1641="","",IFERROR(INDEX('Resumo Grupos'!$AC$3:$AC$200,MATCH($T1641,'Resumo Grupos'!$AB$3:$AB$200,0)),"n/d"))</f>
        <v/>
      </c>
      <c r="AA1641" s="59">
        <f>IF($T1641="","",IF(COUNTIF('Resumo Grupos'!$AE$3:$AE$40,$T1641)&gt;0,"NAO","SIM"))</f>
        <v/>
      </c>
    </row>
    <row r="1642" ht="12.75" customHeight="1" s="60">
      <c r="A1642" s="59" t="n">
        <v>1</v>
      </c>
      <c r="B1642" s="75" t="n">
        <v>46235</v>
      </c>
      <c r="C1642" s="75" t="n">
        <v>46235</v>
      </c>
      <c r="D1642" s="59" t="n">
        <v>10096</v>
      </c>
      <c r="E1642" s="59" t="inlineStr">
        <is>
          <t>H L M PADARIA E CONFEITARIA LTDA</t>
        </is>
      </c>
      <c r="F1642" s="59" t="n">
        <v>13</v>
      </c>
      <c r="G1642" s="59" t="inlineStr">
        <is>
          <t>Compra a Vista</t>
        </is>
      </c>
      <c r="H1642" s="59" t="n">
        <v>2110101</v>
      </c>
      <c r="I1642" s="59" t="inlineStr">
        <is>
          <t>FORNECEDORES DE MERCADORIA</t>
        </is>
      </c>
      <c r="J1642" s="59" t="n">
        <v>1508551</v>
      </c>
      <c r="L1642" s="59" t="n">
        <v>107</v>
      </c>
      <c r="M1642" s="59" t="inlineStr">
        <is>
          <t>01</t>
        </is>
      </c>
      <c r="N1642" s="59" t="inlineStr">
        <is>
          <t>NFE</t>
        </is>
      </c>
      <c r="P1642" s="59" t="n">
        <v>104</v>
      </c>
      <c r="Q1642" s="59" t="inlineStr">
        <is>
          <t>DEBORA COSTA</t>
        </is>
      </c>
      <c r="R1642" s="59" t="inlineStr">
        <is>
          <t>ESTOQUE DE MERCADORIAS</t>
        </is>
      </c>
      <c r="S1642" s="59" t="n">
        <v>1130101</v>
      </c>
      <c r="T1642" s="59" t="inlineStr">
        <is>
          <t>MERCADORIAS P/REVENDA</t>
        </is>
      </c>
      <c r="U1642" s="77" t="n">
        <v>600</v>
      </c>
      <c r="W1642" s="59" t="n">
        <v>0</v>
      </c>
      <c r="X1642" s="59" t="inlineStr">
        <is>
          <t>NF 107 - DEBORA</t>
        </is>
      </c>
      <c r="Z1642" s="59">
        <f>IF($T1642="","",IFERROR(INDEX('Resumo Grupos'!$AC$3:$AC$200,MATCH($T1642,'Resumo Grupos'!$AB$3:$AB$200,0)),"n/d"))</f>
        <v/>
      </c>
      <c r="AA1642" s="59">
        <f>IF($T1642="","",IF(COUNTIF('Resumo Grupos'!$AE$3:$AE$40,$T1642)&gt;0,"NAO","SIM"))</f>
        <v/>
      </c>
    </row>
    <row r="1643" ht="12.75" customHeight="1" s="60">
      <c r="A1643" s="59" t="n">
        <v>1</v>
      </c>
      <c r="B1643" s="75" t="n">
        <v>46114</v>
      </c>
      <c r="C1643" s="75" t="n">
        <v>46236</v>
      </c>
      <c r="D1643" s="59" t="n">
        <v>1460</v>
      </c>
      <c r="E1643" s="59" t="inlineStr">
        <is>
          <t>CISS CONTABIL SERVIÇOS</t>
        </is>
      </c>
      <c r="F1643" s="59" t="n">
        <v>24</v>
      </c>
      <c r="G1643" s="59" t="inlineStr">
        <is>
          <t>Compra a Prazo - Boletos</t>
        </is>
      </c>
      <c r="H1643" s="59" t="n">
        <v>2110405</v>
      </c>
      <c r="I1643" s="59" t="inlineStr">
        <is>
          <t>CONTAS A PAGAR</t>
        </is>
      </c>
      <c r="J1643" s="59" t="n">
        <v>920174</v>
      </c>
      <c r="L1643" s="59" t="n">
        <v>391878</v>
      </c>
      <c r="M1643" s="59" t="inlineStr">
        <is>
          <t>05</t>
        </is>
      </c>
      <c r="N1643" s="59" t="inlineStr">
        <is>
          <t>AVU</t>
        </is>
      </c>
      <c r="P1643" s="59" t="n">
        <v>101</v>
      </c>
      <c r="Q1643" s="59" t="inlineStr">
        <is>
          <t>KEILA LIMA</t>
        </is>
      </c>
      <c r="R1643" s="59" t="inlineStr">
        <is>
          <t>DESPESAS NAO OPERACIONAIS</t>
        </is>
      </c>
      <c r="S1643" s="59" t="n">
        <v>4220199</v>
      </c>
      <c r="T1643" s="59" t="inlineStr">
        <is>
          <t>PAGAMENTOS OUTROS NAO OPERACIONAIS</t>
        </is>
      </c>
      <c r="U1643" s="77" t="n">
        <v>711.6900000000001</v>
      </c>
      <c r="W1643" s="59" t="n">
        <v>0</v>
      </c>
      <c r="X1643" s="59" t="inlineStr">
        <is>
          <t xml:space="preserve">MENS CISS LOJAS IMPLANTACAO MO1 </t>
        </is>
      </c>
      <c r="Z1643" s="59">
        <f>IF($T1643="","",IFERROR(INDEX('Resumo Grupos'!$AC$3:$AC$200,MATCH($T1643,'Resumo Grupos'!$AB$3:$AB$200,0)),"n/d"))</f>
        <v/>
      </c>
      <c r="AA1643" s="59">
        <f>IF($T1643="","",IF(COUNTIF('Resumo Grupos'!$AE$3:$AE$40,$T1643)&gt;0,"NAO","SIM"))</f>
        <v/>
      </c>
    </row>
    <row r="1644" ht="12.75" customHeight="1" s="60">
      <c r="A1644" s="59" t="n">
        <v>1</v>
      </c>
      <c r="B1644" s="75" t="n">
        <v>46192</v>
      </c>
      <c r="C1644" s="75" t="n">
        <v>46236</v>
      </c>
      <c r="D1644" s="59" t="n">
        <v>10037</v>
      </c>
      <c r="E1644" s="59" t="inlineStr">
        <is>
          <t>FORTVET DISTRIBUIDORA LTDA</t>
        </is>
      </c>
      <c r="F1644" s="59" t="n">
        <v>24</v>
      </c>
      <c r="G1644" s="59" t="inlineStr">
        <is>
          <t>Compra a Prazo - Boletos</t>
        </is>
      </c>
      <c r="H1644" s="59" t="n">
        <v>2110101</v>
      </c>
      <c r="I1644" s="59" t="inlineStr">
        <is>
          <t>FORNECEDORES DE MERCADORIA</t>
        </is>
      </c>
      <c r="J1644" s="59" t="n">
        <v>1273218</v>
      </c>
      <c r="L1644" s="59" t="n">
        <v>2494</v>
      </c>
      <c r="M1644" s="59" t="inlineStr">
        <is>
          <t>02</t>
        </is>
      </c>
      <c r="N1644" s="59" t="inlineStr">
        <is>
          <t>NFE</t>
        </is>
      </c>
      <c r="P1644" s="59" t="n">
        <v>103</v>
      </c>
      <c r="Q1644" s="59" t="inlineStr">
        <is>
          <t>MILKA FRANCIS</t>
        </is>
      </c>
      <c r="R1644" s="59" t="inlineStr">
        <is>
          <t>ESTOQUE DE MERCADORIAS</t>
        </is>
      </c>
      <c r="S1644" s="59" t="n">
        <v>1130101</v>
      </c>
      <c r="T1644" s="59" t="inlineStr">
        <is>
          <t>MERCADORIAS P/REVENDA</t>
        </is>
      </c>
      <c r="U1644" s="77" t="n">
        <v>1098.8</v>
      </c>
      <c r="W1644" s="59" t="n">
        <v>0</v>
      </c>
      <c r="X1644" s="59" t="inlineStr">
        <is>
          <t>NF 2494-2 MILKA</t>
        </is>
      </c>
      <c r="Z1644" s="59">
        <f>IF($T1644="","",IFERROR(INDEX('Resumo Grupos'!$AC$3:$AC$200,MATCH($T1644,'Resumo Grupos'!$AB$3:$AB$200,0)),"n/d"))</f>
        <v/>
      </c>
      <c r="AA1644" s="59">
        <f>IF($T1644="","",IF(COUNTIF('Resumo Grupos'!$AE$3:$AE$40,$T1644)&gt;0,"NAO","SIM"))</f>
        <v/>
      </c>
    </row>
    <row r="1645" ht="12.75" customHeight="1" s="60">
      <c r="A1645" s="59" t="n">
        <v>1</v>
      </c>
      <c r="B1645" s="75" t="n">
        <v>46209</v>
      </c>
      <c r="C1645" s="75" t="n">
        <v>46236</v>
      </c>
      <c r="D1645" s="59" t="n">
        <v>10020</v>
      </c>
      <c r="E1645" s="59" t="inlineStr">
        <is>
          <t>E. SALES DO NASCIMENTO</t>
        </is>
      </c>
      <c r="F1645" s="59" t="n">
        <v>24</v>
      </c>
      <c r="G1645" s="59" t="inlineStr">
        <is>
          <t>Compra a Prazo - Boletos</t>
        </is>
      </c>
      <c r="H1645" s="59" t="n">
        <v>2110101</v>
      </c>
      <c r="I1645" s="59" t="inlineStr">
        <is>
          <t>FORNECEDORES DE MERCADORIA</t>
        </is>
      </c>
      <c r="J1645" s="59" t="n">
        <v>1360452</v>
      </c>
      <c r="L1645" s="59" t="n">
        <v>707</v>
      </c>
      <c r="M1645" s="59" t="inlineStr">
        <is>
          <t>03</t>
        </is>
      </c>
      <c r="N1645" s="59" t="inlineStr">
        <is>
          <t>NFE</t>
        </is>
      </c>
      <c r="P1645" s="59" t="n">
        <v>103</v>
      </c>
      <c r="Q1645" s="59" t="inlineStr">
        <is>
          <t>MILKA FRANCIS</t>
        </is>
      </c>
      <c r="R1645" s="59" t="inlineStr">
        <is>
          <t>ESTOQUE DE MERCADORIAS</t>
        </is>
      </c>
      <c r="S1645" s="59" t="n">
        <v>1130101</v>
      </c>
      <c r="T1645" s="59" t="inlineStr">
        <is>
          <t>MERCADORIAS P/REVENDA</t>
        </is>
      </c>
      <c r="U1645" s="77" t="n">
        <v>410.7</v>
      </c>
      <c r="W1645" s="59" t="n">
        <v>0</v>
      </c>
      <c r="X1645" s="59" t="inlineStr">
        <is>
          <t>NF 707 -03 MILKA</t>
        </is>
      </c>
      <c r="Z1645" s="59">
        <f>IF($T1645="","",IFERROR(INDEX('Resumo Grupos'!$AC$3:$AC$200,MATCH($T1645,'Resumo Grupos'!$AB$3:$AB$200,0)),"n/d"))</f>
        <v/>
      </c>
      <c r="AA1645" s="59">
        <f>IF($T1645="","",IF(COUNTIF('Resumo Grupos'!$AE$3:$AE$40,$T1645)&gt;0,"NAO","SIM"))</f>
        <v/>
      </c>
    </row>
    <row r="1646" ht="12.75" customHeight="1" s="60">
      <c r="A1646" s="59" t="n">
        <v>1</v>
      </c>
      <c r="B1646" s="75" t="n">
        <v>46226</v>
      </c>
      <c r="C1646" s="75" t="n">
        <v>46236</v>
      </c>
      <c r="D1646" s="59" t="n">
        <v>1723</v>
      </c>
      <c r="E1646" s="59" t="inlineStr">
        <is>
          <t>COMERCIO DE FRIOS MANAUS LTDA</t>
        </is>
      </c>
      <c r="F1646" s="59" t="n">
        <v>24</v>
      </c>
      <c r="G1646" s="59" t="inlineStr">
        <is>
          <t>Compra a Prazo - Boletos</t>
        </is>
      </c>
      <c r="H1646" s="59" t="n">
        <v>1110202</v>
      </c>
      <c r="I1646" s="59" t="inlineStr">
        <is>
          <t>BANCO ITAU Lj 01</t>
        </is>
      </c>
      <c r="J1646" s="59" t="n">
        <v>1440234</v>
      </c>
      <c r="L1646" s="59" t="n">
        <v>173664</v>
      </c>
      <c r="M1646" s="59" t="inlineStr">
        <is>
          <t>01</t>
        </is>
      </c>
      <c r="N1646" s="59" t="inlineStr">
        <is>
          <t>AVU</t>
        </is>
      </c>
      <c r="P1646" s="59" t="n">
        <v>103</v>
      </c>
      <c r="Q1646" s="59" t="inlineStr">
        <is>
          <t>MILKA FRANCIS</t>
        </is>
      </c>
      <c r="R1646" s="59" t="inlineStr">
        <is>
          <t>ESTOQUE DE MERCADORIAS</t>
        </is>
      </c>
      <c r="S1646" s="59" t="n">
        <v>1130101</v>
      </c>
      <c r="T1646" s="59" t="inlineStr">
        <is>
          <t>MERCADORIAS P/REVENDA</t>
        </is>
      </c>
      <c r="U1646" s="77" t="n">
        <v>3547.2</v>
      </c>
      <c r="W1646" s="59" t="n">
        <v>0</v>
      </c>
      <c r="X1646" s="59" t="inlineStr">
        <is>
          <t>NF173664 - MILKA</t>
        </is>
      </c>
      <c r="Z1646" s="59">
        <f>IF($T1646="","",IFERROR(INDEX('Resumo Grupos'!$AC$3:$AC$200,MATCH($T1646,'Resumo Grupos'!$AB$3:$AB$200,0)),"n/d"))</f>
        <v/>
      </c>
      <c r="AA1646" s="59">
        <f>IF($T1646="","",IF(COUNTIF('Resumo Grupos'!$AE$3:$AE$40,$T1646)&gt;0,"NAO","SIM"))</f>
        <v/>
      </c>
    </row>
    <row r="1647" ht="12.75" customHeight="1" s="60">
      <c r="A1647" s="59" t="n">
        <v>1</v>
      </c>
      <c r="B1647" s="75" t="n">
        <v>46234</v>
      </c>
      <c r="C1647" s="75" t="n">
        <v>46236</v>
      </c>
      <c r="D1647" s="59" t="n">
        <v>49</v>
      </c>
      <c r="E1647" s="59" t="inlineStr">
        <is>
          <t>AZEVEDO E SILVA LTDA</t>
        </is>
      </c>
      <c r="F1647" s="59" t="n">
        <v>34</v>
      </c>
      <c r="G1647" s="59" t="inlineStr">
        <is>
          <t>Transferencia Pix</t>
        </is>
      </c>
      <c r="H1647" s="59" t="n">
        <v>1110202</v>
      </c>
      <c r="I1647" s="59" t="inlineStr">
        <is>
          <t>BANCO ITAU Lj 01</t>
        </is>
      </c>
      <c r="J1647" s="59" t="n">
        <v>1477906</v>
      </c>
      <c r="L1647" s="59" t="n">
        <v>607083</v>
      </c>
      <c r="M1647" s="59" t="inlineStr">
        <is>
          <t>01</t>
        </is>
      </c>
      <c r="N1647" s="59" t="inlineStr">
        <is>
          <t>AVU</t>
        </is>
      </c>
      <c r="P1647" s="59" t="n">
        <v>101</v>
      </c>
      <c r="Q1647" s="59" t="inlineStr">
        <is>
          <t>KEILA LIMA</t>
        </is>
      </c>
      <c r="R1647" s="59" t="inlineStr">
        <is>
          <t>EMPRESTIMOS BANCARIOS</t>
        </is>
      </c>
      <c r="S1647" s="59" t="n">
        <v>2110901</v>
      </c>
      <c r="T1647" s="59" t="inlineStr">
        <is>
          <t>EMPRESTIMOS BANCARIOS A PAGAR</t>
        </is>
      </c>
      <c r="U1647" s="77" t="n">
        <v>16429.68</v>
      </c>
      <c r="W1647" s="59" t="n">
        <v>0</v>
      </c>
      <c r="X1647" s="59" t="inlineStr">
        <is>
          <t>PARC 09/48 EMPRESTIMO PARTE MO1 PAGAR P MO5 - KEILA</t>
        </is>
      </c>
      <c r="Z1647" s="59">
        <f>IF($T1647="","",IFERROR(INDEX('Resumo Grupos'!$AC$3:$AC$200,MATCH($T1647,'Resumo Grupos'!$AB$3:$AB$200,0)),"n/d"))</f>
        <v/>
      </c>
      <c r="AA1647" s="59">
        <f>IF($T1647="","",IF(COUNTIF('Resumo Grupos'!$AE$3:$AE$40,$T1647)&gt;0,"NAO","SIM"))</f>
        <v/>
      </c>
    </row>
    <row r="1648" ht="12.75" customHeight="1" s="60">
      <c r="A1648" s="59" t="n">
        <v>1</v>
      </c>
      <c r="B1648" s="75" t="n">
        <v>46230</v>
      </c>
      <c r="C1648" s="75" t="n">
        <v>46237</v>
      </c>
      <c r="D1648" s="59" t="n">
        <v>1614</v>
      </c>
      <c r="E1648" s="59" t="inlineStr">
        <is>
          <t>C. R. PARENTE ABREU</t>
        </is>
      </c>
      <c r="F1648" s="59" t="n">
        <v>24</v>
      </c>
      <c r="G1648" s="59" t="inlineStr">
        <is>
          <t>Compra a Prazo - Boletos</t>
        </is>
      </c>
      <c r="H1648" s="59" t="n">
        <v>1110202</v>
      </c>
      <c r="I1648" s="59" t="inlineStr">
        <is>
          <t>BANCO ITAU Lj 01</t>
        </is>
      </c>
      <c r="J1648" s="59" t="n">
        <v>1460045</v>
      </c>
      <c r="L1648" s="59" t="n">
        <v>11479</v>
      </c>
      <c r="M1648" s="59" t="inlineStr">
        <is>
          <t>02</t>
        </is>
      </c>
      <c r="N1648" s="59" t="inlineStr">
        <is>
          <t>AVU</t>
        </is>
      </c>
      <c r="P1648" s="59" t="n">
        <v>103</v>
      </c>
      <c r="Q1648" s="59" t="inlineStr">
        <is>
          <t>MILKA FRANCIS</t>
        </is>
      </c>
      <c r="R1648" s="59" t="inlineStr">
        <is>
          <t>ESTOQUE DE MERCADORIAS</t>
        </is>
      </c>
      <c r="S1648" s="59" t="n">
        <v>1130101</v>
      </c>
      <c r="T1648" s="59" t="inlineStr">
        <is>
          <t>MERCADORIAS P/REVENDA</t>
        </is>
      </c>
      <c r="U1648" s="77" t="n">
        <v>713.3099999999999</v>
      </c>
      <c r="W1648" s="59" t="n">
        <v>0</v>
      </c>
      <c r="X1648" s="59" t="inlineStr">
        <is>
          <t xml:space="preserve">NF 11479-2 KARU - MILKA </t>
        </is>
      </c>
      <c r="Z1648" s="59">
        <f>IF($T1648="","",IFERROR(INDEX('Resumo Grupos'!$AC$3:$AC$200,MATCH($T1648,'Resumo Grupos'!$AB$3:$AB$200,0)),"n/d"))</f>
        <v/>
      </c>
      <c r="AA1648" s="59">
        <f>IF($T1648="","",IF(COUNTIF('Resumo Grupos'!$AE$3:$AE$40,$T1648)&gt;0,"NAO","SIM"))</f>
        <v/>
      </c>
    </row>
    <row r="1649" ht="12.75" customHeight="1" s="60">
      <c r="A1649" s="59" t="n">
        <v>1</v>
      </c>
      <c r="B1649" s="75" t="n">
        <v>46230</v>
      </c>
      <c r="C1649" s="75" t="n">
        <v>46237</v>
      </c>
      <c r="D1649" s="59" t="n">
        <v>1631</v>
      </c>
      <c r="E1649" s="59" t="inlineStr">
        <is>
          <t>T. M. L. DA SILVA LTDA</t>
        </is>
      </c>
      <c r="F1649" s="59" t="n">
        <v>24</v>
      </c>
      <c r="G1649" s="59" t="inlineStr">
        <is>
          <t>Compra a Prazo - Boletos</t>
        </is>
      </c>
      <c r="H1649" s="59" t="n">
        <v>1110202</v>
      </c>
      <c r="I1649" s="59" t="inlineStr">
        <is>
          <t>BANCO ITAU Lj 01</t>
        </is>
      </c>
      <c r="J1649" s="59" t="n">
        <v>1460073</v>
      </c>
      <c r="L1649" s="59" t="n">
        <v>15181</v>
      </c>
      <c r="M1649" s="59" t="inlineStr">
        <is>
          <t>01</t>
        </is>
      </c>
      <c r="N1649" s="59" t="inlineStr">
        <is>
          <t>AVU</t>
        </is>
      </c>
      <c r="P1649" s="59" t="n">
        <v>103</v>
      </c>
      <c r="Q1649" s="59" t="inlineStr">
        <is>
          <t>MILKA FRANCIS</t>
        </is>
      </c>
      <c r="R1649" s="59" t="inlineStr">
        <is>
          <t>ESTOQUE DE MERCADORIAS</t>
        </is>
      </c>
      <c r="S1649" s="59" t="n">
        <v>1130101</v>
      </c>
      <c r="T1649" s="59" t="inlineStr">
        <is>
          <t>MERCADORIAS P/REVENDA</t>
        </is>
      </c>
      <c r="U1649" s="77" t="n">
        <v>730</v>
      </c>
      <c r="W1649" s="59" t="n">
        <v>0</v>
      </c>
      <c r="X1649" s="59" t="inlineStr">
        <is>
          <t>NF 15181 AMAZONGURT - MILKA</t>
        </is>
      </c>
      <c r="Z1649" s="59">
        <f>IF($T1649="","",IFERROR(INDEX('Resumo Grupos'!$AC$3:$AC$200,MATCH($T1649,'Resumo Grupos'!$AB$3:$AB$200,0)),"n/d"))</f>
        <v/>
      </c>
      <c r="AA1649" s="59">
        <f>IF($T1649="","",IF(COUNTIF('Resumo Grupos'!$AE$3:$AE$40,$T1649)&gt;0,"NAO","SIM"))</f>
        <v/>
      </c>
    </row>
    <row r="1650" ht="12.75" customHeight="1" s="60">
      <c r="A1650" s="59" t="n">
        <v>1</v>
      </c>
      <c r="B1650" s="75" t="n">
        <v>46230</v>
      </c>
      <c r="C1650" s="75" t="n">
        <v>46237</v>
      </c>
      <c r="D1650" s="59" t="n">
        <v>218</v>
      </c>
      <c r="E1650" s="59" t="inlineStr">
        <is>
          <t>RENATO DE O AZEVEDO E CIA LTDA</t>
        </is>
      </c>
      <c r="F1650" s="59" t="n">
        <v>34</v>
      </c>
      <c r="G1650" s="59" t="inlineStr">
        <is>
          <t>Transferencia Pix</t>
        </is>
      </c>
      <c r="H1650" s="59" t="n">
        <v>1110202</v>
      </c>
      <c r="I1650" s="59" t="inlineStr">
        <is>
          <t>BANCO ITAU Lj 01</t>
        </is>
      </c>
      <c r="J1650" s="59" t="n">
        <v>1459621</v>
      </c>
      <c r="L1650" s="59" t="n">
        <v>600416</v>
      </c>
      <c r="M1650" s="59" t="inlineStr">
        <is>
          <t>01</t>
        </is>
      </c>
      <c r="N1650" s="59" t="inlineStr">
        <is>
          <t>AVU</t>
        </is>
      </c>
      <c r="P1650" s="59" t="n">
        <v>101</v>
      </c>
      <c r="Q1650" s="59" t="inlineStr">
        <is>
          <t>KEILA LIMA</t>
        </is>
      </c>
      <c r="R1650" s="59" t="inlineStr">
        <is>
          <t>DESPESAS COM PESSOAL</t>
        </is>
      </c>
      <c r="S1650" s="59" t="n">
        <v>4210301</v>
      </c>
      <c r="T1650" s="59" t="inlineStr">
        <is>
          <t>SALARIOS</t>
        </is>
      </c>
      <c r="U1650" s="77" t="n">
        <v>4296.29</v>
      </c>
      <c r="W1650" s="59" t="n">
        <v>0</v>
      </c>
      <c r="X1650" s="59" t="inlineStr">
        <is>
          <t>CONVENIO MO1 DROG 05/26 - KEILA</t>
        </is>
      </c>
      <c r="Z1650" s="59">
        <f>IF($T1650="","",IFERROR(INDEX('Resumo Grupos'!$AC$3:$AC$200,MATCH($T1650,'Resumo Grupos'!$AB$3:$AB$200,0)),"n/d"))</f>
        <v/>
      </c>
      <c r="AA1650" s="59">
        <f>IF($T1650="","",IF(COUNTIF('Resumo Grupos'!$AE$3:$AE$40,$T1650)&gt;0,"NAO","SIM"))</f>
        <v/>
      </c>
    </row>
    <row r="1651" ht="12.75" customHeight="1" s="60">
      <c r="A1651" s="59" t="n">
        <v>1</v>
      </c>
      <c r="B1651" s="75" t="n">
        <v>46216</v>
      </c>
      <c r="C1651" s="75" t="n">
        <v>46237</v>
      </c>
      <c r="D1651" s="59" t="n">
        <v>1608</v>
      </c>
      <c r="E1651" s="59" t="inlineStr">
        <is>
          <t>DISTRIBUIDORA LOPES LTDA</t>
        </is>
      </c>
      <c r="F1651" s="59" t="n">
        <v>24</v>
      </c>
      <c r="G1651" s="59" t="inlineStr">
        <is>
          <t>Compra a Prazo - Boletos</t>
        </is>
      </c>
      <c r="H1651" s="59" t="n">
        <v>2110405</v>
      </c>
      <c r="I1651" s="59" t="inlineStr">
        <is>
          <t>CONTAS A PAGAR</t>
        </is>
      </c>
      <c r="J1651" s="59" t="n">
        <v>1393857</v>
      </c>
      <c r="L1651" s="59" t="n">
        <v>1690878</v>
      </c>
      <c r="M1651" s="59" t="inlineStr">
        <is>
          <t>02</t>
        </is>
      </c>
      <c r="N1651" s="59" t="inlineStr">
        <is>
          <t>AVU</t>
        </is>
      </c>
      <c r="P1651" s="59" t="n">
        <v>103</v>
      </c>
      <c r="Q1651" s="59" t="inlineStr">
        <is>
          <t>MILKA FRANCIS</t>
        </is>
      </c>
      <c r="R1651" s="59" t="inlineStr">
        <is>
          <t>ESTOQUE DE MERCADORIAS</t>
        </is>
      </c>
      <c r="S1651" s="59" t="n">
        <v>1130101</v>
      </c>
      <c r="T1651" s="59" t="inlineStr">
        <is>
          <t>MERCADORIAS P/REVENDA</t>
        </is>
      </c>
      <c r="U1651" s="77" t="n">
        <v>1039.09</v>
      </c>
      <c r="W1651" s="59" t="n">
        <v>0</v>
      </c>
      <c r="X1651" s="59" t="inlineStr">
        <is>
          <t>NF 1690878-2 MILKA / DESCONTO NO BOLETO</t>
        </is>
      </c>
      <c r="Z1651" s="59">
        <f>IF($T1651="","",IFERROR(INDEX('Resumo Grupos'!$AC$3:$AC$200,MATCH($T1651,'Resumo Grupos'!$AB$3:$AB$200,0)),"n/d"))</f>
        <v/>
      </c>
      <c r="AA1651" s="59">
        <f>IF($T1651="","",IF(COUNTIF('Resumo Grupos'!$AE$3:$AE$40,$T1651)&gt;0,"NAO","SIM"))</f>
        <v/>
      </c>
    </row>
    <row r="1652" ht="12.75" customHeight="1" s="60">
      <c r="A1652" s="59" t="n">
        <v>1</v>
      </c>
      <c r="B1652" s="75" t="n">
        <v>46220</v>
      </c>
      <c r="C1652" s="75" t="n">
        <v>46237</v>
      </c>
      <c r="D1652" s="59" t="n">
        <v>10014</v>
      </c>
      <c r="E1652" s="59" t="inlineStr">
        <is>
          <t>MARCLEY MACHADO CHAVES</t>
        </is>
      </c>
      <c r="F1652" s="59" t="n">
        <v>24</v>
      </c>
      <c r="G1652" s="59" t="inlineStr">
        <is>
          <t>Compra a Prazo - Boletos</t>
        </is>
      </c>
      <c r="H1652" s="59" t="n">
        <v>1110202</v>
      </c>
      <c r="I1652" s="59" t="inlineStr">
        <is>
          <t>BANCO ITAU Lj 01</t>
        </is>
      </c>
      <c r="J1652" s="59" t="n">
        <v>1411209</v>
      </c>
      <c r="L1652" s="59" t="n">
        <v>3541</v>
      </c>
      <c r="M1652" s="59" t="inlineStr">
        <is>
          <t>01</t>
        </is>
      </c>
      <c r="N1652" s="59" t="inlineStr">
        <is>
          <t>AVU</t>
        </is>
      </c>
      <c r="P1652" s="59" t="n">
        <v>103</v>
      </c>
      <c r="Q1652" s="59" t="inlineStr">
        <is>
          <t>MILKA FRANCIS</t>
        </is>
      </c>
      <c r="R1652" s="59" t="inlineStr">
        <is>
          <t>ESTOQUE DE MERCADORIAS</t>
        </is>
      </c>
      <c r="S1652" s="59" t="n">
        <v>1130101</v>
      </c>
      <c r="T1652" s="59" t="inlineStr">
        <is>
          <t>MERCADORIAS P/REVENDA</t>
        </is>
      </c>
      <c r="U1652" s="77" t="n">
        <v>1630.16</v>
      </c>
      <c r="W1652" s="59" t="n">
        <v>0</v>
      </c>
      <c r="X1652" s="59" t="inlineStr">
        <is>
          <t>NF 3541 - MILKA</t>
        </is>
      </c>
      <c r="Z1652" s="59">
        <f>IF($T1652="","",IFERROR(INDEX('Resumo Grupos'!$AC$3:$AC$200,MATCH($T1652,'Resumo Grupos'!$AB$3:$AB$200,0)),"n/d"))</f>
        <v/>
      </c>
      <c r="AA1652" s="59">
        <f>IF($T1652="","",IF(COUNTIF('Resumo Grupos'!$AE$3:$AE$40,$T1652)&gt;0,"NAO","SIM"))</f>
        <v/>
      </c>
    </row>
    <row r="1653" ht="12.75" customHeight="1" s="60">
      <c r="A1653" s="59" t="n">
        <v>1</v>
      </c>
      <c r="B1653" s="75" t="n">
        <v>46223</v>
      </c>
      <c r="C1653" s="75" t="n">
        <v>46237</v>
      </c>
      <c r="D1653" s="59" t="n">
        <v>1699</v>
      </c>
      <c r="E1653" s="59" t="inlineStr">
        <is>
          <t>L S M COMERCIO DE ALIMENTOS E NAVEGACAO</t>
        </is>
      </c>
      <c r="F1653" s="59" t="n">
        <v>24</v>
      </c>
      <c r="G1653" s="59" t="inlineStr">
        <is>
          <t>Compra a Prazo - Boletos</t>
        </is>
      </c>
      <c r="H1653" s="59" t="n">
        <v>1110202</v>
      </c>
      <c r="I1653" s="59" t="inlineStr">
        <is>
          <t>BANCO ITAU Lj 01</t>
        </is>
      </c>
      <c r="J1653" s="59" t="n">
        <v>1424330</v>
      </c>
      <c r="L1653" s="59" t="n">
        <v>308176</v>
      </c>
      <c r="M1653" s="59" t="inlineStr">
        <is>
          <t>01</t>
        </is>
      </c>
      <c r="N1653" s="59" t="inlineStr">
        <is>
          <t>AVU</t>
        </is>
      </c>
      <c r="P1653" s="59" t="n">
        <v>103</v>
      </c>
      <c r="Q1653" s="59" t="inlineStr">
        <is>
          <t>MILKA FRANCIS</t>
        </is>
      </c>
      <c r="R1653" s="59" t="inlineStr">
        <is>
          <t>ESTOQUE DE MERCADORIAS</t>
        </is>
      </c>
      <c r="S1653" s="59" t="n">
        <v>1130101</v>
      </c>
      <c r="T1653" s="59" t="inlineStr">
        <is>
          <t>MERCADORIAS P/REVENDA</t>
        </is>
      </c>
      <c r="U1653" s="77" t="n">
        <v>1529.2</v>
      </c>
      <c r="W1653" s="59" t="n">
        <v>0</v>
      </c>
      <c r="X1653" s="59" t="inlineStr">
        <is>
          <t>NF 308176 - MILKA</t>
        </is>
      </c>
      <c r="Z1653" s="59">
        <f>IF($T1653="","",IFERROR(INDEX('Resumo Grupos'!$AC$3:$AC$200,MATCH($T1653,'Resumo Grupos'!$AB$3:$AB$200,0)),"n/d"))</f>
        <v/>
      </c>
      <c r="AA1653" s="59">
        <f>IF($T1653="","",IF(COUNTIF('Resumo Grupos'!$AE$3:$AE$40,$T1653)&gt;0,"NAO","SIM"))</f>
        <v/>
      </c>
    </row>
    <row r="1654" ht="12.75" customHeight="1" s="60">
      <c r="A1654" s="59" t="n">
        <v>1</v>
      </c>
      <c r="B1654" s="75" t="n">
        <v>46224</v>
      </c>
      <c r="C1654" s="75" t="n">
        <v>46237</v>
      </c>
      <c r="D1654" s="59" t="n">
        <v>1740</v>
      </c>
      <c r="E1654" s="59" t="inlineStr">
        <is>
          <t>OCIDENTAL COMERCIO DE FRIOS LTDA</t>
        </is>
      </c>
      <c r="F1654" s="59" t="n">
        <v>24</v>
      </c>
      <c r="G1654" s="59" t="inlineStr">
        <is>
          <t>Compra a Prazo - Boletos</t>
        </is>
      </c>
      <c r="H1654" s="59" t="n">
        <v>2110405</v>
      </c>
      <c r="I1654" s="59" t="inlineStr">
        <is>
          <t>CONTAS A PAGAR</t>
        </is>
      </c>
      <c r="J1654" s="59" t="n">
        <v>1431693</v>
      </c>
      <c r="L1654" s="59" t="n">
        <v>1249231</v>
      </c>
      <c r="M1654" s="59" t="inlineStr">
        <is>
          <t>01</t>
        </is>
      </c>
      <c r="N1654" s="59" t="inlineStr">
        <is>
          <t>AVU</t>
        </is>
      </c>
      <c r="P1654" s="59" t="n">
        <v>103</v>
      </c>
      <c r="Q1654" s="59" t="inlineStr">
        <is>
          <t>MILKA FRANCIS</t>
        </is>
      </c>
      <c r="R1654" s="59" t="inlineStr">
        <is>
          <t>ESTOQUE DE MERCADORIAS</t>
        </is>
      </c>
      <c r="S1654" s="59" t="n">
        <v>1130101</v>
      </c>
      <c r="T1654" s="59" t="inlineStr">
        <is>
          <t>MERCADORIAS P/REVENDA</t>
        </is>
      </c>
      <c r="U1654" s="77" t="n">
        <v>2044.9</v>
      </c>
      <c r="W1654" s="59" t="n">
        <v>0</v>
      </c>
      <c r="X1654" s="59" t="inlineStr">
        <is>
          <t>NF 1249231-1/3 MILKA</t>
        </is>
      </c>
      <c r="Z1654" s="59">
        <f>IF($T1654="","",IFERROR(INDEX('Resumo Grupos'!$AC$3:$AC$200,MATCH($T1654,'Resumo Grupos'!$AB$3:$AB$200,0)),"n/d"))</f>
        <v/>
      </c>
      <c r="AA1654" s="59">
        <f>IF($T1654="","",IF(COUNTIF('Resumo Grupos'!$AE$3:$AE$40,$T1654)&gt;0,"NAO","SIM"))</f>
        <v/>
      </c>
    </row>
    <row r="1655" ht="12.75" customHeight="1" s="60">
      <c r="A1655" s="59" t="n">
        <v>1</v>
      </c>
      <c r="B1655" s="75" t="n">
        <v>46225</v>
      </c>
      <c r="C1655" s="75" t="n">
        <v>46237</v>
      </c>
      <c r="D1655" s="59" t="n">
        <v>1666</v>
      </c>
      <c r="E1655" s="59" t="inlineStr">
        <is>
          <t>SOUZA CRUZ LTDA.</t>
        </is>
      </c>
      <c r="F1655" s="59" t="n">
        <v>24</v>
      </c>
      <c r="G1655" s="59" t="inlineStr">
        <is>
          <t>Compra a Prazo - Boletos</t>
        </is>
      </c>
      <c r="H1655" s="59" t="n">
        <v>1110202</v>
      </c>
      <c r="I1655" s="59" t="inlineStr">
        <is>
          <t>BANCO ITAU Lj 01</t>
        </is>
      </c>
      <c r="J1655" s="59" t="n">
        <v>1435035</v>
      </c>
      <c r="L1655" s="59" t="n">
        <v>567587</v>
      </c>
      <c r="M1655" s="59" t="inlineStr">
        <is>
          <t>02</t>
        </is>
      </c>
      <c r="N1655" s="59" t="inlineStr">
        <is>
          <t>AVU</t>
        </is>
      </c>
      <c r="P1655" s="59" t="n">
        <v>103</v>
      </c>
      <c r="Q1655" s="59" t="inlineStr">
        <is>
          <t>MILKA FRANCIS</t>
        </is>
      </c>
      <c r="R1655" s="59" t="inlineStr">
        <is>
          <t>ESTOQUE DE MERCADORIAS</t>
        </is>
      </c>
      <c r="S1655" s="59" t="n">
        <v>1130101</v>
      </c>
      <c r="T1655" s="59" t="inlineStr">
        <is>
          <t>MERCADORIAS P/REVENDA</t>
        </is>
      </c>
      <c r="U1655" s="77" t="n">
        <v>5740.89</v>
      </c>
      <c r="W1655" s="59" t="n">
        <v>0</v>
      </c>
      <c r="X1655" s="59" t="inlineStr">
        <is>
          <t>NF 567587 -02 MILKA</t>
        </is>
      </c>
      <c r="Z1655" s="59">
        <f>IF($T1655="","",IFERROR(INDEX('Resumo Grupos'!$AC$3:$AC$200,MATCH($T1655,'Resumo Grupos'!$AB$3:$AB$200,0)),"n/d"))</f>
        <v/>
      </c>
      <c r="AA1655" s="59">
        <f>IF($T1655="","",IF(COUNTIF('Resumo Grupos'!$AE$3:$AE$40,$T1655)&gt;0,"NAO","SIM"))</f>
        <v/>
      </c>
    </row>
    <row r="1656" ht="12.75" customHeight="1" s="60">
      <c r="A1656" s="59" t="n">
        <v>1</v>
      </c>
      <c r="B1656" s="75" t="n">
        <v>46226</v>
      </c>
      <c r="C1656" s="75" t="n">
        <v>46237</v>
      </c>
      <c r="D1656" s="59" t="n">
        <v>1287</v>
      </c>
      <c r="E1656" s="59" t="inlineStr">
        <is>
          <t>DISPPAN DISTRIBUIDORA DE PRODUTOS PARA PANIFICACAO LTDA</t>
        </is>
      </c>
      <c r="F1656" s="59" t="n">
        <v>24</v>
      </c>
      <c r="G1656" s="59" t="inlineStr">
        <is>
          <t>Compra a Prazo - Boletos</t>
        </is>
      </c>
      <c r="H1656" s="59" t="n">
        <v>1110202</v>
      </c>
      <c r="I1656" s="59" t="inlineStr">
        <is>
          <t>BANCO ITAU Lj 01</t>
        </is>
      </c>
      <c r="J1656" s="59" t="n">
        <v>1439598</v>
      </c>
      <c r="L1656" s="59" t="n">
        <v>281541</v>
      </c>
      <c r="M1656" s="59" t="inlineStr">
        <is>
          <t>02</t>
        </is>
      </c>
      <c r="N1656" s="59" t="inlineStr">
        <is>
          <t>AVU</t>
        </is>
      </c>
      <c r="P1656" s="59" t="n">
        <v>103</v>
      </c>
      <c r="Q1656" s="59" t="inlineStr">
        <is>
          <t>MILKA FRANCIS</t>
        </is>
      </c>
      <c r="R1656" s="59" t="inlineStr">
        <is>
          <t>DESPESAS OPERACIONAIS</t>
        </is>
      </c>
      <c r="S1656" s="59" t="n">
        <v>4210228</v>
      </c>
      <c r="T1656" s="59" t="inlineStr">
        <is>
          <t>DESPESAS PADARIA</t>
        </is>
      </c>
      <c r="U1656" s="77" t="n">
        <v>175</v>
      </c>
      <c r="W1656" s="59" t="n">
        <v>0</v>
      </c>
      <c r="X1656" s="59" t="inlineStr">
        <is>
          <t>NF281541-2 USO E CONSUMO PADARIA/ MARGARINA 15KG - MILKA</t>
        </is>
      </c>
      <c r="Z1656" s="59">
        <f>IF($T1656="","",IFERROR(INDEX('Resumo Grupos'!$AC$3:$AC$200,MATCH($T1656,'Resumo Grupos'!$AB$3:$AB$200,0)),"n/d"))</f>
        <v/>
      </c>
      <c r="AA1656" s="59">
        <f>IF($T1656="","",IF(COUNTIF('Resumo Grupos'!$AE$3:$AE$40,$T1656)&gt;0,"NAO","SIM"))</f>
        <v/>
      </c>
    </row>
    <row r="1657" ht="12.75" customHeight="1" s="60">
      <c r="A1657" s="59" t="n">
        <v>1</v>
      </c>
      <c r="B1657" s="75" t="n">
        <v>46227</v>
      </c>
      <c r="C1657" s="75" t="n">
        <v>46237</v>
      </c>
      <c r="D1657" s="59" t="n">
        <v>1723</v>
      </c>
      <c r="E1657" s="59" t="inlineStr">
        <is>
          <t>COMERCIO DE FRIOS MANAUS LTDA</t>
        </is>
      </c>
      <c r="F1657" s="59" t="n">
        <v>24</v>
      </c>
      <c r="G1657" s="59" t="inlineStr">
        <is>
          <t>Compra a Prazo - Boletos</t>
        </is>
      </c>
      <c r="H1657" s="59" t="n">
        <v>1110202</v>
      </c>
      <c r="I1657" s="59" t="inlineStr">
        <is>
          <t>BANCO ITAU Lj 01</t>
        </is>
      </c>
      <c r="J1657" s="59" t="n">
        <v>1445157</v>
      </c>
      <c r="L1657" s="59" t="n">
        <v>173742</v>
      </c>
      <c r="M1657" s="59" t="inlineStr">
        <is>
          <t>01</t>
        </is>
      </c>
      <c r="N1657" s="59" t="inlineStr">
        <is>
          <t>AVU</t>
        </is>
      </c>
      <c r="P1657" s="59" t="n">
        <v>103</v>
      </c>
      <c r="Q1657" s="59" t="inlineStr">
        <is>
          <t>MILKA FRANCIS</t>
        </is>
      </c>
      <c r="R1657" s="59" t="inlineStr">
        <is>
          <t>ESTOQUE DE MERCADORIAS</t>
        </is>
      </c>
      <c r="S1657" s="59" t="n">
        <v>1130101</v>
      </c>
      <c r="T1657" s="59" t="inlineStr">
        <is>
          <t>MERCADORIAS P/REVENDA</t>
        </is>
      </c>
      <c r="U1657" s="77" t="n">
        <v>5892.2</v>
      </c>
      <c r="W1657" s="59" t="n">
        <v>0</v>
      </c>
      <c r="X1657" s="59" t="inlineStr">
        <is>
          <t>NF173742 - MILKA</t>
        </is>
      </c>
      <c r="Z1657" s="59">
        <f>IF($T1657="","",IFERROR(INDEX('Resumo Grupos'!$AC$3:$AC$200,MATCH($T1657,'Resumo Grupos'!$AB$3:$AB$200,0)),"n/d"))</f>
        <v/>
      </c>
      <c r="AA1657" s="59">
        <f>IF($T1657="","",IF(COUNTIF('Resumo Grupos'!$AE$3:$AE$40,$T1657)&gt;0,"NAO","SIM"))</f>
        <v/>
      </c>
    </row>
    <row r="1658" ht="12.75" customHeight="1" s="60">
      <c r="A1658" s="59" t="n">
        <v>1</v>
      </c>
      <c r="B1658" s="75" t="n">
        <v>46230</v>
      </c>
      <c r="C1658" s="75" t="n">
        <v>46237</v>
      </c>
      <c r="D1658" s="59" t="n">
        <v>1650</v>
      </c>
      <c r="E1658" s="59" t="inlineStr">
        <is>
          <t>FRUTAL INDUSTRIA E COMERCIO LTDA</t>
        </is>
      </c>
      <c r="F1658" s="59" t="n">
        <v>24</v>
      </c>
      <c r="G1658" s="59" t="inlineStr">
        <is>
          <t>Compra a Prazo - Boletos</t>
        </is>
      </c>
      <c r="H1658" s="59" t="n">
        <v>1110202</v>
      </c>
      <c r="I1658" s="59" t="inlineStr">
        <is>
          <t>BANCO ITAU Lj 01</t>
        </is>
      </c>
      <c r="J1658" s="59" t="n">
        <v>1460090</v>
      </c>
      <c r="L1658" s="59" t="n">
        <v>227030</v>
      </c>
      <c r="M1658" s="59" t="inlineStr">
        <is>
          <t>01</t>
        </is>
      </c>
      <c r="N1658" s="59" t="inlineStr">
        <is>
          <t>AVU</t>
        </is>
      </c>
      <c r="P1658" s="59" t="n">
        <v>103</v>
      </c>
      <c r="Q1658" s="59" t="inlineStr">
        <is>
          <t>MILKA FRANCIS</t>
        </is>
      </c>
      <c r="R1658" s="59" t="inlineStr">
        <is>
          <t>ESTOQUE DE MERCADORIAS</t>
        </is>
      </c>
      <c r="S1658" s="59" t="n">
        <v>1130101</v>
      </c>
      <c r="T1658" s="59" t="inlineStr">
        <is>
          <t>MERCADORIAS P/REVENDA</t>
        </is>
      </c>
      <c r="U1658" s="77" t="n">
        <v>331.14</v>
      </c>
      <c r="W1658" s="59" t="n">
        <v>0</v>
      </c>
      <c r="X1658" s="59" t="inlineStr">
        <is>
          <t>NF 227030 - MILKA</t>
        </is>
      </c>
      <c r="Z1658" s="59">
        <f>IF($T1658="","",IFERROR(INDEX('Resumo Grupos'!$AC$3:$AC$200,MATCH($T1658,'Resumo Grupos'!$AB$3:$AB$200,0)),"n/d"))</f>
        <v/>
      </c>
      <c r="AA1658" s="59">
        <f>IF($T1658="","",IF(COUNTIF('Resumo Grupos'!$AE$3:$AE$40,$T1658)&gt;0,"NAO","SIM"))</f>
        <v/>
      </c>
    </row>
    <row r="1659" ht="12.75" customHeight="1" s="60">
      <c r="A1659" s="59" t="n">
        <v>1</v>
      </c>
      <c r="B1659" s="75" t="n">
        <v>46230</v>
      </c>
      <c r="C1659" s="75" t="n">
        <v>46237</v>
      </c>
      <c r="D1659" s="59" t="n">
        <v>1123</v>
      </c>
      <c r="E1659" s="59" t="inlineStr">
        <is>
          <t>NORTELAC DISTRIBUIDORA DE FRIOS LTDA</t>
        </is>
      </c>
      <c r="F1659" s="59" t="n">
        <v>24</v>
      </c>
      <c r="G1659" s="59" t="inlineStr">
        <is>
          <t>Compra a Prazo - Boletos</t>
        </is>
      </c>
      <c r="H1659" s="59" t="n">
        <v>1110202</v>
      </c>
      <c r="I1659" s="59" t="inlineStr">
        <is>
          <t>BANCO ITAU Lj 01</t>
        </is>
      </c>
      <c r="J1659" s="59" t="n">
        <v>1460097</v>
      </c>
      <c r="L1659" s="59" t="n">
        <v>44711</v>
      </c>
      <c r="M1659" s="59" t="inlineStr">
        <is>
          <t>01</t>
        </is>
      </c>
      <c r="N1659" s="59" t="inlineStr">
        <is>
          <t>AVU</t>
        </is>
      </c>
      <c r="P1659" s="59" t="n">
        <v>103</v>
      </c>
      <c r="Q1659" s="59" t="inlineStr">
        <is>
          <t>MILKA FRANCIS</t>
        </is>
      </c>
      <c r="R1659" s="59" t="inlineStr">
        <is>
          <t>ESTOQUE DE MERCADORIAS</t>
        </is>
      </c>
      <c r="S1659" s="59" t="n">
        <v>1130101</v>
      </c>
      <c r="T1659" s="59" t="inlineStr">
        <is>
          <t>MERCADORIAS P/REVENDA</t>
        </is>
      </c>
      <c r="U1659" s="77" t="n">
        <v>1380</v>
      </c>
      <c r="W1659" s="59" t="n">
        <v>0</v>
      </c>
      <c r="X1659" s="59" t="inlineStr">
        <is>
          <t>NF44711 - MILKA</t>
        </is>
      </c>
      <c r="Z1659" s="59">
        <f>IF($T1659="","",IFERROR(INDEX('Resumo Grupos'!$AC$3:$AC$200,MATCH($T1659,'Resumo Grupos'!$AB$3:$AB$200,0)),"n/d"))</f>
        <v/>
      </c>
      <c r="AA1659" s="59">
        <f>IF($T1659="","",IF(COUNTIF('Resumo Grupos'!$AE$3:$AE$40,$T1659)&gt;0,"NAO","SIM"))</f>
        <v/>
      </c>
    </row>
    <row r="1660" ht="12.75" customHeight="1" s="60">
      <c r="A1660" s="59" t="n">
        <v>1</v>
      </c>
      <c r="B1660" s="75" t="n">
        <v>46230</v>
      </c>
      <c r="C1660" s="75" t="n">
        <v>46237</v>
      </c>
      <c r="D1660" s="59" t="n">
        <v>1276</v>
      </c>
      <c r="E1660" s="59" t="inlineStr">
        <is>
          <t>PRIMICIA DISTRIBUIDORA DE FRIOS LTDA</t>
        </is>
      </c>
      <c r="F1660" s="59" t="n">
        <v>24</v>
      </c>
      <c r="G1660" s="59" t="inlineStr">
        <is>
          <t>Compra a Prazo - Boletos</t>
        </is>
      </c>
      <c r="H1660" s="59" t="n">
        <v>1110202</v>
      </c>
      <c r="I1660" s="59" t="inlineStr">
        <is>
          <t>BANCO ITAU Lj 01</t>
        </is>
      </c>
      <c r="J1660" s="59" t="n">
        <v>1460111</v>
      </c>
      <c r="L1660" s="59" t="n">
        <v>3104</v>
      </c>
      <c r="M1660" s="59" t="inlineStr">
        <is>
          <t>01</t>
        </is>
      </c>
      <c r="N1660" s="59" t="inlineStr">
        <is>
          <t>AVU</t>
        </is>
      </c>
      <c r="P1660" s="59" t="n">
        <v>103</v>
      </c>
      <c r="Q1660" s="59" t="inlineStr">
        <is>
          <t>MILKA FRANCIS</t>
        </is>
      </c>
      <c r="R1660" s="59" t="inlineStr">
        <is>
          <t>ESTOQUE DE MERCADORIAS</t>
        </is>
      </c>
      <c r="S1660" s="59" t="n">
        <v>1130101</v>
      </c>
      <c r="T1660" s="59" t="inlineStr">
        <is>
          <t>MERCADORIAS P/REVENDA</t>
        </is>
      </c>
      <c r="U1660" s="77" t="n">
        <v>1408.5</v>
      </c>
      <c r="W1660" s="59" t="n">
        <v>0</v>
      </c>
      <c r="X1660" s="59" t="inlineStr">
        <is>
          <t>NF 3104 - MILKA</t>
        </is>
      </c>
      <c r="Z1660" s="59">
        <f>IF($T1660="","",IFERROR(INDEX('Resumo Grupos'!$AC$3:$AC$200,MATCH($T1660,'Resumo Grupos'!$AB$3:$AB$200,0)),"n/d"))</f>
        <v/>
      </c>
      <c r="AA1660" s="59">
        <f>IF($T1660="","",IF(COUNTIF('Resumo Grupos'!$AE$3:$AE$40,$T1660)&gt;0,"NAO","SIM"))</f>
        <v/>
      </c>
    </row>
    <row r="1661" ht="12.75" customHeight="1" s="60">
      <c r="A1661" s="59" t="n">
        <v>1</v>
      </c>
      <c r="B1661" s="75" t="n">
        <v>46230</v>
      </c>
      <c r="C1661" s="75" t="n">
        <v>46237</v>
      </c>
      <c r="D1661" s="59" t="n">
        <v>1625</v>
      </c>
      <c r="E1661" s="59" t="inlineStr">
        <is>
          <t>MAXFRI DISTRIUIDORA LTDA</t>
        </is>
      </c>
      <c r="F1661" s="59" t="n">
        <v>24</v>
      </c>
      <c r="G1661" s="59" t="inlineStr">
        <is>
          <t>Compra a Prazo - Boletos</t>
        </is>
      </c>
      <c r="H1661" s="59" t="n">
        <v>1110202</v>
      </c>
      <c r="I1661" s="59" t="inlineStr">
        <is>
          <t>BANCO ITAU Lj 01</t>
        </is>
      </c>
      <c r="J1661" s="59" t="n">
        <v>1460223</v>
      </c>
      <c r="L1661" s="59" t="n">
        <v>14838</v>
      </c>
      <c r="M1661" s="59" t="inlineStr">
        <is>
          <t>01</t>
        </is>
      </c>
      <c r="N1661" s="59" t="inlineStr">
        <is>
          <t>AVU</t>
        </is>
      </c>
      <c r="P1661" s="59" t="n">
        <v>103</v>
      </c>
      <c r="Q1661" s="59" t="inlineStr">
        <is>
          <t>MILKA FRANCIS</t>
        </is>
      </c>
      <c r="R1661" s="59" t="inlineStr">
        <is>
          <t>ESTOQUE DE MERCADORIAS</t>
        </is>
      </c>
      <c r="S1661" s="59" t="n">
        <v>1130101</v>
      </c>
      <c r="T1661" s="59" t="inlineStr">
        <is>
          <t>MERCADORIAS P/REVENDA</t>
        </is>
      </c>
      <c r="U1661" s="77" t="n">
        <v>2393.6</v>
      </c>
      <c r="W1661" s="59" t="n">
        <v>0</v>
      </c>
      <c r="X1661" s="59" t="inlineStr">
        <is>
          <t>NF 14838 - MILKA</t>
        </is>
      </c>
      <c r="Z1661" s="59">
        <f>IF($T1661="","",IFERROR(INDEX('Resumo Grupos'!$AC$3:$AC$200,MATCH($T1661,'Resumo Grupos'!$AB$3:$AB$200,0)),"n/d"))</f>
        <v/>
      </c>
      <c r="AA1661" s="59">
        <f>IF($T1661="","",IF(COUNTIF('Resumo Grupos'!$AE$3:$AE$40,$T1661)&gt;0,"NAO","SIM"))</f>
        <v/>
      </c>
    </row>
    <row r="1662" ht="12.75" customHeight="1" s="60">
      <c r="A1662" s="59" t="n">
        <v>1</v>
      </c>
      <c r="B1662" s="75" t="n">
        <v>46232</v>
      </c>
      <c r="C1662" s="75" t="n">
        <v>46237</v>
      </c>
      <c r="D1662" s="59" t="n">
        <v>1810</v>
      </c>
      <c r="E1662" s="59" t="inlineStr">
        <is>
          <t>NJF INDUSTRIA E COMERCIO LTDA</t>
        </is>
      </c>
      <c r="F1662" s="59" t="n">
        <v>24</v>
      </c>
      <c r="G1662" s="59" t="inlineStr">
        <is>
          <t>Compra a Prazo - Boletos</t>
        </is>
      </c>
      <c r="H1662" s="59" t="n">
        <v>2110405</v>
      </c>
      <c r="I1662" s="59" t="inlineStr">
        <is>
          <t>CONTAS A PAGAR</t>
        </is>
      </c>
      <c r="J1662" s="59" t="n">
        <v>1469140</v>
      </c>
      <c r="L1662" s="59" t="n">
        <v>85345</v>
      </c>
      <c r="M1662" s="59" t="inlineStr">
        <is>
          <t>01</t>
        </is>
      </c>
      <c r="N1662" s="59" t="inlineStr">
        <is>
          <t>AVU</t>
        </is>
      </c>
      <c r="P1662" s="59" t="n">
        <v>103</v>
      </c>
      <c r="Q1662" s="59" t="inlineStr">
        <is>
          <t>MILKA FRANCIS</t>
        </is>
      </c>
      <c r="R1662" s="59" t="inlineStr">
        <is>
          <t>ESTOQUE DE MERCADORIAS</t>
        </is>
      </c>
      <c r="S1662" s="59" t="n">
        <v>1130101</v>
      </c>
      <c r="T1662" s="59" t="inlineStr">
        <is>
          <t>MERCADORIAS P/REVENDA</t>
        </is>
      </c>
      <c r="U1662" s="77" t="n">
        <v>184.5</v>
      </c>
      <c r="W1662" s="59" t="n">
        <v>0</v>
      </c>
      <c r="X1662" s="59" t="inlineStr">
        <is>
          <t>NF 85345 -1 MILKA</t>
        </is>
      </c>
      <c r="Z1662" s="59">
        <f>IF($T1662="","",IFERROR(INDEX('Resumo Grupos'!$AC$3:$AC$200,MATCH($T1662,'Resumo Grupos'!$AB$3:$AB$200,0)),"n/d"))</f>
        <v/>
      </c>
      <c r="AA1662" s="59">
        <f>IF($T1662="","",IF(COUNTIF('Resumo Grupos'!$AE$3:$AE$40,$T1662)&gt;0,"NAO","SIM"))</f>
        <v/>
      </c>
    </row>
    <row r="1663" ht="12.75" customHeight="1" s="60">
      <c r="A1663" s="59" t="n">
        <v>1</v>
      </c>
      <c r="B1663" s="75" t="n">
        <v>46232</v>
      </c>
      <c r="C1663" s="75" t="n">
        <v>46237</v>
      </c>
      <c r="D1663" s="59" t="n">
        <v>1328</v>
      </c>
      <c r="E1663" s="59" t="inlineStr">
        <is>
          <t>NOVA FRIOS COMERCIO ATACADISTA DE LATICINIOS LTDA</t>
        </is>
      </c>
      <c r="F1663" s="59" t="n">
        <v>24</v>
      </c>
      <c r="G1663" s="59" t="inlineStr">
        <is>
          <t>Compra a Prazo - Boletos</t>
        </is>
      </c>
      <c r="H1663" s="59" t="n">
        <v>1110202</v>
      </c>
      <c r="I1663" s="59" t="inlineStr">
        <is>
          <t>BANCO ITAU Lj 01</t>
        </is>
      </c>
      <c r="J1663" s="59" t="n">
        <v>1469791</v>
      </c>
      <c r="L1663" s="59" t="n">
        <v>4203</v>
      </c>
      <c r="M1663" s="59" t="inlineStr">
        <is>
          <t>01</t>
        </is>
      </c>
      <c r="N1663" s="59" t="inlineStr">
        <is>
          <t>AVU</t>
        </is>
      </c>
      <c r="P1663" s="59" t="n">
        <v>103</v>
      </c>
      <c r="Q1663" s="59" t="inlineStr">
        <is>
          <t>MILKA FRANCIS</t>
        </is>
      </c>
      <c r="R1663" s="59" t="inlineStr">
        <is>
          <t>ESTOQUE DE MERCADORIAS</t>
        </is>
      </c>
      <c r="S1663" s="59" t="n">
        <v>1130101</v>
      </c>
      <c r="T1663" s="59" t="inlineStr">
        <is>
          <t>MERCADORIAS P/REVENDA</t>
        </is>
      </c>
      <c r="U1663" s="77" t="n">
        <v>299.5</v>
      </c>
      <c r="W1663" s="59" t="n">
        <v>0</v>
      </c>
      <c r="X1663" s="59" t="inlineStr">
        <is>
          <t>NF 4203 BODEGA DO PAO - MILKA</t>
        </is>
      </c>
      <c r="Z1663" s="59">
        <f>IF($T1663="","",IFERROR(INDEX('Resumo Grupos'!$AC$3:$AC$200,MATCH($T1663,'Resumo Grupos'!$AB$3:$AB$200,0)),"n/d"))</f>
        <v/>
      </c>
      <c r="AA1663" s="59">
        <f>IF($T1663="","",IF(COUNTIF('Resumo Grupos'!$AE$3:$AE$40,$T1663)&gt;0,"NAO","SIM"))</f>
        <v/>
      </c>
    </row>
    <row r="1664" ht="12.75" customHeight="1" s="60">
      <c r="A1664" s="59" t="n">
        <v>1</v>
      </c>
      <c r="B1664" s="75" t="n">
        <v>46232</v>
      </c>
      <c r="C1664" s="75" t="n">
        <v>46237</v>
      </c>
      <c r="D1664" s="59" t="n">
        <v>1658</v>
      </c>
      <c r="E1664" s="59" t="inlineStr">
        <is>
          <t>FORT COMERCIO DE BEBIDA LTDA</t>
        </is>
      </c>
      <c r="F1664" s="59" t="n">
        <v>24</v>
      </c>
      <c r="G1664" s="59" t="inlineStr">
        <is>
          <t>Compra a Prazo - Boletos</t>
        </is>
      </c>
      <c r="H1664" s="59" t="n">
        <v>1110202</v>
      </c>
      <c r="I1664" s="59" t="inlineStr">
        <is>
          <t>BANCO ITAU Lj 01</t>
        </is>
      </c>
      <c r="J1664" s="59" t="n">
        <v>1470157</v>
      </c>
      <c r="L1664" s="59" t="n">
        <v>145468</v>
      </c>
      <c r="M1664" s="59" t="inlineStr">
        <is>
          <t>01</t>
        </is>
      </c>
      <c r="N1664" s="59" t="inlineStr">
        <is>
          <t>AVU</t>
        </is>
      </c>
      <c r="P1664" s="59" t="n">
        <v>103</v>
      </c>
      <c r="Q1664" s="59" t="inlineStr">
        <is>
          <t>MILKA FRANCIS</t>
        </is>
      </c>
      <c r="R1664" s="59" t="inlineStr">
        <is>
          <t>ESTOQUE DE MERCADORIAS</t>
        </is>
      </c>
      <c r="S1664" s="59" t="n">
        <v>1130101</v>
      </c>
      <c r="T1664" s="59" t="inlineStr">
        <is>
          <t>MERCADORIAS P/REVENDA</t>
        </is>
      </c>
      <c r="U1664" s="77" t="n">
        <v>728.4</v>
      </c>
      <c r="W1664" s="59" t="n">
        <v>0</v>
      </c>
      <c r="X1664" s="59" t="inlineStr">
        <is>
          <t>NF 145468 TOYA - MILKA</t>
        </is>
      </c>
      <c r="Z1664" s="59">
        <f>IF($T1664="","",IFERROR(INDEX('Resumo Grupos'!$AC$3:$AC$200,MATCH($T1664,'Resumo Grupos'!$AB$3:$AB$200,0)),"n/d"))</f>
        <v/>
      </c>
      <c r="AA1664" s="59">
        <f>IF($T1664="","",IF(COUNTIF('Resumo Grupos'!$AE$3:$AE$40,$T1664)&gt;0,"NAO","SIM"))</f>
        <v/>
      </c>
    </row>
    <row r="1665" ht="12.75" customHeight="1" s="60">
      <c r="A1665" s="59" t="n">
        <v>1</v>
      </c>
      <c r="B1665" s="75" t="n">
        <v>46232</v>
      </c>
      <c r="C1665" s="75" t="n">
        <v>46237</v>
      </c>
      <c r="D1665" s="59" t="n">
        <v>1899</v>
      </c>
      <c r="E1665" s="59" t="inlineStr">
        <is>
          <t>PANIFICADORA E CONFEITARIA REAL MADRI LTDA</t>
        </is>
      </c>
      <c r="F1665" s="59" t="n">
        <v>24</v>
      </c>
      <c r="G1665" s="59" t="inlineStr">
        <is>
          <t>Compra a Prazo - Boletos</t>
        </is>
      </c>
      <c r="H1665" s="59" t="n">
        <v>1110202</v>
      </c>
      <c r="I1665" s="59" t="inlineStr">
        <is>
          <t>BANCO ITAU Lj 01</t>
        </is>
      </c>
      <c r="J1665" s="59" t="n">
        <v>1470177</v>
      </c>
      <c r="L1665" s="59" t="n">
        <v>736</v>
      </c>
      <c r="M1665" s="59" t="inlineStr">
        <is>
          <t>01</t>
        </is>
      </c>
      <c r="N1665" s="59" t="inlineStr">
        <is>
          <t>AVU</t>
        </is>
      </c>
      <c r="P1665" s="59" t="n">
        <v>103</v>
      </c>
      <c r="Q1665" s="59" t="inlineStr">
        <is>
          <t>MILKA FRANCIS</t>
        </is>
      </c>
      <c r="R1665" s="59" t="inlineStr">
        <is>
          <t>ESTOQUE DE MERCADORIAS</t>
        </is>
      </c>
      <c r="S1665" s="59" t="n">
        <v>1130101</v>
      </c>
      <c r="T1665" s="59" t="inlineStr">
        <is>
          <t>MERCADORIAS P/REVENDA</t>
        </is>
      </c>
      <c r="U1665" s="77" t="n">
        <v>329.7</v>
      </c>
      <c r="W1665" s="59" t="n">
        <v>0</v>
      </c>
      <c r="X1665" s="59" t="inlineStr">
        <is>
          <t>NF 736 - MILKA</t>
        </is>
      </c>
      <c r="Z1665" s="59">
        <f>IF($T1665="","",IFERROR(INDEX('Resumo Grupos'!$AC$3:$AC$200,MATCH($T1665,'Resumo Grupos'!$AB$3:$AB$200,0)),"n/d"))</f>
        <v/>
      </c>
      <c r="AA1665" s="59">
        <f>IF($T1665="","",IF(COUNTIF('Resumo Grupos'!$AE$3:$AE$40,$T1665)&gt;0,"NAO","SIM"))</f>
        <v/>
      </c>
    </row>
    <row r="1666" ht="12.75" customHeight="1" s="60">
      <c r="A1666" s="59" t="n">
        <v>1</v>
      </c>
      <c r="B1666" s="75" t="n">
        <v>46233</v>
      </c>
      <c r="C1666" s="75" t="n">
        <v>46237</v>
      </c>
      <c r="D1666" s="59" t="n">
        <v>1614</v>
      </c>
      <c r="E1666" s="59" t="inlineStr">
        <is>
          <t>C. R. PARENTE ABREU</t>
        </is>
      </c>
      <c r="F1666" s="59" t="n">
        <v>24</v>
      </c>
      <c r="G1666" s="59" t="inlineStr">
        <is>
          <t>Compra a Prazo - Boletos</t>
        </is>
      </c>
      <c r="H1666" s="59" t="n">
        <v>2110405</v>
      </c>
      <c r="I1666" s="59" t="inlineStr">
        <is>
          <t>CONTAS A PAGAR</t>
        </is>
      </c>
      <c r="J1666" s="59" t="n">
        <v>1473362</v>
      </c>
      <c r="L1666" s="59" t="n">
        <v>11493</v>
      </c>
      <c r="M1666" s="59" t="inlineStr">
        <is>
          <t>01</t>
        </is>
      </c>
      <c r="N1666" s="59" t="inlineStr">
        <is>
          <t>AVU</t>
        </is>
      </c>
      <c r="P1666" s="59" t="n">
        <v>103</v>
      </c>
      <c r="Q1666" s="59" t="inlineStr">
        <is>
          <t>MILKA FRANCIS</t>
        </is>
      </c>
      <c r="R1666" s="59" t="inlineStr">
        <is>
          <t>ESTOQUE DE MERCADORIAS</t>
        </is>
      </c>
      <c r="S1666" s="59" t="n">
        <v>1130101</v>
      </c>
      <c r="T1666" s="59" t="inlineStr">
        <is>
          <t>MERCADORIAS P/REVENDA</t>
        </is>
      </c>
      <c r="U1666" s="77" t="n">
        <v>285.48</v>
      </c>
      <c r="W1666" s="59" t="n">
        <v>0</v>
      </c>
      <c r="X1666" s="59" t="inlineStr">
        <is>
          <t>NF 11493-1 KARU - MILKA</t>
        </is>
      </c>
      <c r="Z1666" s="59">
        <f>IF($T1666="","",IFERROR(INDEX('Resumo Grupos'!$AC$3:$AC$200,MATCH($T1666,'Resumo Grupos'!$AB$3:$AB$200,0)),"n/d"))</f>
        <v/>
      </c>
      <c r="AA1666" s="59">
        <f>IF($T1666="","",IF(COUNTIF('Resumo Grupos'!$AE$3:$AE$40,$T1666)&gt;0,"NAO","SIM"))</f>
        <v/>
      </c>
    </row>
    <row r="1667" ht="12.75" customHeight="1" s="60">
      <c r="A1667" s="59" t="n">
        <v>1</v>
      </c>
      <c r="B1667" s="75" t="n">
        <v>46233</v>
      </c>
      <c r="C1667" s="75" t="n">
        <v>46237</v>
      </c>
      <c r="D1667" s="59" t="n">
        <v>10018</v>
      </c>
      <c r="E1667" s="59" t="inlineStr">
        <is>
          <t>ADRIANO FEITOSA OLIVEIRA LTDA</t>
        </is>
      </c>
      <c r="F1667" s="59" t="n">
        <v>34</v>
      </c>
      <c r="G1667" s="59" t="inlineStr">
        <is>
          <t>Transferencia Pix</t>
        </is>
      </c>
      <c r="H1667" s="59" t="n">
        <v>1110202</v>
      </c>
      <c r="I1667" s="59" t="inlineStr">
        <is>
          <t>BANCO ITAU Lj 01</t>
        </is>
      </c>
      <c r="J1667" s="59" t="n">
        <v>1474514</v>
      </c>
      <c r="L1667" s="59" t="n">
        <v>352</v>
      </c>
      <c r="M1667" s="59" t="inlineStr">
        <is>
          <t>01</t>
        </is>
      </c>
      <c r="N1667" s="59" t="inlineStr">
        <is>
          <t>AVU</t>
        </is>
      </c>
      <c r="P1667" s="59" t="n">
        <v>103</v>
      </c>
      <c r="Q1667" s="59" t="inlineStr">
        <is>
          <t>MILKA FRANCIS</t>
        </is>
      </c>
      <c r="R1667" s="59" t="inlineStr">
        <is>
          <t>ESTOQUE DE MERCADORIAS</t>
        </is>
      </c>
      <c r="S1667" s="59" t="n">
        <v>1130101</v>
      </c>
      <c r="T1667" s="59" t="inlineStr">
        <is>
          <t>MERCADORIAS P/REVENDA</t>
        </is>
      </c>
      <c r="U1667" s="77" t="n">
        <v>4244.34</v>
      </c>
      <c r="W1667" s="59" t="n">
        <v>0</v>
      </c>
      <c r="X1667" s="59" t="inlineStr">
        <is>
          <t>NF 352 /PGTO PARA DIST. OLIVEIRA - MILKA</t>
        </is>
      </c>
      <c r="Z1667" s="59">
        <f>IF($T1667="","",IFERROR(INDEX('Resumo Grupos'!$AC$3:$AC$200,MATCH($T1667,'Resumo Grupos'!$AB$3:$AB$200,0)),"n/d"))</f>
        <v/>
      </c>
      <c r="AA1667" s="59">
        <f>IF($T1667="","",IF(COUNTIF('Resumo Grupos'!$AE$3:$AE$40,$T1667)&gt;0,"NAO","SIM"))</f>
        <v/>
      </c>
    </row>
    <row r="1668" ht="12.75" customHeight="1" s="60">
      <c r="A1668" s="59" t="n">
        <v>1</v>
      </c>
      <c r="B1668" s="75" t="n">
        <v>46234</v>
      </c>
      <c r="C1668" s="75" t="n">
        <v>46237</v>
      </c>
      <c r="D1668" s="59" t="n">
        <v>33</v>
      </c>
      <c r="E1668" s="59" t="inlineStr">
        <is>
          <t>RENATO DE O AZEVEDO E CIA LTDA - EPP</t>
        </is>
      </c>
      <c r="F1668" s="59" t="n">
        <v>34</v>
      </c>
      <c r="G1668" s="59" t="inlineStr">
        <is>
          <t>Transferencia Pix</t>
        </is>
      </c>
      <c r="H1668" s="59" t="n">
        <v>2110101</v>
      </c>
      <c r="I1668" s="59" t="inlineStr">
        <is>
          <t>FORNECEDORES DE MERCADORIA</t>
        </is>
      </c>
      <c r="J1668" s="59" t="n">
        <v>1479224</v>
      </c>
      <c r="L1668" s="59" t="n">
        <v>5421</v>
      </c>
      <c r="M1668" s="59" t="inlineStr">
        <is>
          <t>01</t>
        </is>
      </c>
      <c r="N1668" s="59" t="inlineStr">
        <is>
          <t>NFE</t>
        </is>
      </c>
      <c r="P1668" s="59" t="n">
        <v>103</v>
      </c>
      <c r="Q1668" s="59" t="inlineStr">
        <is>
          <t>MILKA FRANCIS</t>
        </is>
      </c>
      <c r="R1668" s="59" t="inlineStr">
        <is>
          <t>ESTOQUE DE MERCADORIAS</t>
        </is>
      </c>
      <c r="S1668" s="59" t="n">
        <v>1130101</v>
      </c>
      <c r="T1668" s="59" t="inlineStr">
        <is>
          <t>MERCADORIAS P/REVENDA</t>
        </is>
      </c>
      <c r="U1668" s="77" t="n">
        <v>600</v>
      </c>
      <c r="W1668" s="59" t="n">
        <v>0</v>
      </c>
      <c r="X1668" s="59" t="inlineStr">
        <is>
          <t>FARINHA 3 IRMAOS - MILKA</t>
        </is>
      </c>
      <c r="Z1668" s="59">
        <f>IF($T1668="","",IFERROR(INDEX('Resumo Grupos'!$AC$3:$AC$200,MATCH($T1668,'Resumo Grupos'!$AB$3:$AB$200,0)),"n/d"))</f>
        <v/>
      </c>
      <c r="AA1668" s="59">
        <f>IF($T1668="","",IF(COUNTIF('Resumo Grupos'!$AE$3:$AE$40,$T1668)&gt;0,"NAO","SIM"))</f>
        <v/>
      </c>
    </row>
    <row r="1669" ht="12.75" customHeight="1" s="60">
      <c r="A1669" s="59" t="n">
        <v>1</v>
      </c>
      <c r="B1669" s="75" t="n">
        <v>46237</v>
      </c>
      <c r="C1669" s="75" t="n">
        <v>46237</v>
      </c>
      <c r="D1669" s="59" t="n">
        <v>1936</v>
      </c>
      <c r="E1669" s="59" t="inlineStr">
        <is>
          <t>RV TECNOLOGIA E SISTEMAS S.A</t>
        </is>
      </c>
      <c r="F1669" s="59" t="n">
        <v>24</v>
      </c>
      <c r="G1669" s="59" t="inlineStr">
        <is>
          <t>Compra a Prazo - Boletos</t>
        </is>
      </c>
      <c r="H1669" s="59" t="n">
        <v>1110202</v>
      </c>
      <c r="I1669" s="59" t="inlineStr">
        <is>
          <t>BANCO ITAU Lj 01</t>
        </is>
      </c>
      <c r="J1669" s="59" t="n">
        <v>1493456</v>
      </c>
      <c r="L1669" s="59" t="n">
        <v>612897</v>
      </c>
      <c r="M1669" s="59" t="inlineStr">
        <is>
          <t>01</t>
        </is>
      </c>
      <c r="N1669" s="59" t="inlineStr">
        <is>
          <t>AVU</t>
        </is>
      </c>
      <c r="P1669" s="59" t="n">
        <v>102</v>
      </c>
      <c r="Q1669" s="59" t="inlineStr">
        <is>
          <t>ANDREZA ANDRADE</t>
        </is>
      </c>
      <c r="R1669" s="59" t="inlineStr">
        <is>
          <t>ESTOQUE DE MERCADORIAS</t>
        </is>
      </c>
      <c r="S1669" s="59" t="n">
        <v>1130101</v>
      </c>
      <c r="T1669" s="59" t="inlineStr">
        <is>
          <t>MERCADORIAS P/REVENDA</t>
        </is>
      </c>
      <c r="U1669" s="77" t="n">
        <v>600.5</v>
      </c>
      <c r="W1669" s="59" t="n">
        <v>0</v>
      </c>
      <c r="X1669" s="59" t="inlineStr">
        <is>
          <t>RV RECARGA CELULAR  CHIPS-ANDREZA</t>
        </is>
      </c>
      <c r="Z1669" s="59">
        <f>IF($T1669="","",IFERROR(INDEX('Resumo Grupos'!$AC$3:$AC$200,MATCH($T1669,'Resumo Grupos'!$AB$3:$AB$200,0)),"n/d"))</f>
        <v/>
      </c>
      <c r="AA1669" s="59">
        <f>IF($T1669="","",IF(COUNTIF('Resumo Grupos'!$AE$3:$AE$40,$T1669)&gt;0,"NAO","SIM"))</f>
        <v/>
      </c>
    </row>
    <row r="1670" ht="12.75" customHeight="1" s="60">
      <c r="A1670" s="59" t="n">
        <v>1</v>
      </c>
      <c r="B1670" s="75" t="n">
        <v>46237</v>
      </c>
      <c r="C1670" s="75" t="n">
        <v>46237</v>
      </c>
      <c r="D1670" s="59" t="n">
        <v>10006</v>
      </c>
      <c r="E1670" s="59" t="inlineStr">
        <is>
          <t>RUAN FERNANDES</t>
        </is>
      </c>
      <c r="F1670" s="59" t="n">
        <v>34</v>
      </c>
      <c r="G1670" s="59" t="inlineStr">
        <is>
          <t>Transferencia Pix</t>
        </is>
      </c>
      <c r="H1670" s="59" t="n">
        <v>1110202</v>
      </c>
      <c r="I1670" s="59" t="inlineStr">
        <is>
          <t>BANCO ITAU Lj 01</t>
        </is>
      </c>
      <c r="J1670" s="59" t="n">
        <v>1495150</v>
      </c>
      <c r="L1670" s="59" t="n">
        <v>613093</v>
      </c>
      <c r="M1670" s="59" t="inlineStr">
        <is>
          <t>01</t>
        </is>
      </c>
      <c r="N1670" s="59" t="inlineStr">
        <is>
          <t>AVU</t>
        </is>
      </c>
      <c r="P1670" s="59" t="n">
        <v>102</v>
      </c>
      <c r="Q1670" s="59" t="inlineStr">
        <is>
          <t>ANDREZA ANDRADE</t>
        </is>
      </c>
      <c r="R1670" s="59" t="inlineStr">
        <is>
          <t>DESPESAS OPERACIONAIS</t>
        </is>
      </c>
      <c r="S1670" s="59" t="n">
        <v>4210232</v>
      </c>
      <c r="T1670" s="59" t="inlineStr">
        <is>
          <t>MANUTENÇÃO EQUIPAMENTOS DE INFORMATICA</t>
        </is>
      </c>
      <c r="U1670" s="77" t="n">
        <v>1200</v>
      </c>
      <c r="W1670" s="59" t="n">
        <v>0</v>
      </c>
      <c r="X1670" s="59" t="inlineStr">
        <is>
          <t>RECIBO 2 LEITOR DE CAIXA MO1-ANDREZA</t>
        </is>
      </c>
      <c r="Z1670" s="59">
        <f>IF($T1670="","",IFERROR(INDEX('Resumo Grupos'!$AC$3:$AC$200,MATCH($T1670,'Resumo Grupos'!$AB$3:$AB$200,0)),"n/d"))</f>
        <v/>
      </c>
      <c r="AA1670" s="59">
        <f>IF($T1670="","",IF(COUNTIF('Resumo Grupos'!$AE$3:$AE$40,$T1670)&gt;0,"NAO","SIM"))</f>
        <v/>
      </c>
    </row>
    <row r="1671" ht="12.75" customHeight="1" s="60">
      <c r="A1671" s="59" t="n">
        <v>1</v>
      </c>
      <c r="B1671" s="75" t="n">
        <v>46237</v>
      </c>
      <c r="C1671" s="75" t="n">
        <v>46237</v>
      </c>
      <c r="D1671" s="59" t="n">
        <v>103</v>
      </c>
      <c r="E1671" s="59" t="inlineStr">
        <is>
          <t>CAFE REJANE</t>
        </is>
      </c>
      <c r="F1671" s="59" t="n">
        <v>34</v>
      </c>
      <c r="G1671" s="59" t="inlineStr">
        <is>
          <t>Transferencia Pix</t>
        </is>
      </c>
      <c r="H1671" s="59" t="n">
        <v>1110202</v>
      </c>
      <c r="I1671" s="59" t="inlineStr">
        <is>
          <t>BANCO ITAU Lj 01</t>
        </is>
      </c>
      <c r="J1671" s="59" t="n">
        <v>1495399</v>
      </c>
      <c r="L1671" s="59" t="n">
        <v>613142</v>
      </c>
      <c r="M1671" s="59" t="inlineStr">
        <is>
          <t>01</t>
        </is>
      </c>
      <c r="N1671" s="59" t="inlineStr">
        <is>
          <t>AVU</t>
        </is>
      </c>
      <c r="P1671" s="59" t="n">
        <v>102</v>
      </c>
      <c r="Q1671" s="59" t="inlineStr">
        <is>
          <t>ANDREZA ANDRADE</t>
        </is>
      </c>
      <c r="R1671" s="59" t="inlineStr">
        <is>
          <t>DESPESAS COM PESSOAL</t>
        </is>
      </c>
      <c r="S1671" s="59" t="n">
        <v>4210310</v>
      </c>
      <c r="T1671" s="59" t="inlineStr">
        <is>
          <t>ALIMENTACAO</t>
        </is>
      </c>
      <c r="U1671" s="77" t="n">
        <v>515</v>
      </c>
      <c r="W1671" s="59" t="n">
        <v>0</v>
      </c>
      <c r="X1671" s="59" t="inlineStr">
        <is>
          <t>DESPESA ALMOÇO SR RENATO 07/26</t>
        </is>
      </c>
      <c r="Z1671" s="59">
        <f>IF($T1671="","",IFERROR(INDEX('Resumo Grupos'!$AC$3:$AC$200,MATCH($T1671,'Resumo Grupos'!$AB$3:$AB$200,0)),"n/d"))</f>
        <v/>
      </c>
      <c r="AA1671" s="59">
        <f>IF($T1671="","",IF(COUNTIF('Resumo Grupos'!$AE$3:$AE$40,$T1671)&gt;0,"NAO","SIM"))</f>
        <v/>
      </c>
    </row>
    <row r="1672" ht="12.75" customHeight="1" s="60">
      <c r="A1672" s="59" t="n">
        <v>1</v>
      </c>
      <c r="B1672" s="75" t="n">
        <v>46237</v>
      </c>
      <c r="C1672" s="75" t="n">
        <v>46237</v>
      </c>
      <c r="D1672" s="59" t="n">
        <v>515</v>
      </c>
      <c r="E1672" s="59" t="inlineStr">
        <is>
          <t>ITAU SA</t>
        </is>
      </c>
      <c r="F1672" s="59" t="n">
        <v>34</v>
      </c>
      <c r="G1672" s="59" t="inlineStr">
        <is>
          <t>Transferencia Pix</t>
        </is>
      </c>
      <c r="H1672" s="59" t="n">
        <v>1110202</v>
      </c>
      <c r="I1672" s="59" t="inlineStr">
        <is>
          <t>BANCO ITAU Lj 01</t>
        </is>
      </c>
      <c r="J1672" s="59" t="n">
        <v>1495579</v>
      </c>
      <c r="L1672" s="59" t="n">
        <v>613197</v>
      </c>
      <c r="M1672" s="59" t="inlineStr">
        <is>
          <t>01</t>
        </is>
      </c>
      <c r="N1672" s="59" t="inlineStr">
        <is>
          <t>AVU</t>
        </is>
      </c>
      <c r="P1672" s="59" t="n">
        <v>102</v>
      </c>
      <c r="Q1672" s="59" t="inlineStr">
        <is>
          <t>ANDREZA ANDRADE</t>
        </is>
      </c>
      <c r="R1672" s="59" t="inlineStr">
        <is>
          <t>DESPESAS NAO OPERACIONAIS</t>
        </is>
      </c>
      <c r="S1672" s="59" t="n">
        <v>4220199</v>
      </c>
      <c r="T1672" s="59" t="inlineStr">
        <is>
          <t>PAGAMENTOS OUTROS NAO OPERACIONAIS</t>
        </is>
      </c>
      <c r="U1672" s="77" t="n">
        <v>338</v>
      </c>
      <c r="W1672" s="59" t="n">
        <v>0</v>
      </c>
      <c r="X1672" s="59" t="inlineStr">
        <is>
          <t>cobertura de conta itau1velho-andreza</t>
        </is>
      </c>
      <c r="Z1672" s="59">
        <f>IF($T1672="","",IFERROR(INDEX('Resumo Grupos'!$AC$3:$AC$200,MATCH($T1672,'Resumo Grupos'!$AB$3:$AB$200,0)),"n/d"))</f>
        <v/>
      </c>
      <c r="AA1672" s="59">
        <f>IF($T1672="","",IF(COUNTIF('Resumo Grupos'!$AE$3:$AE$40,$T1672)&gt;0,"NAO","SIM"))</f>
        <v/>
      </c>
    </row>
    <row r="1673" ht="12.75" customHeight="1" s="60">
      <c r="A1673" s="59" t="n">
        <v>1</v>
      </c>
      <c r="B1673" s="75" t="n">
        <v>46237</v>
      </c>
      <c r="C1673" s="75" t="n">
        <v>46237</v>
      </c>
      <c r="D1673" s="59" t="n">
        <v>10096</v>
      </c>
      <c r="E1673" s="59" t="inlineStr">
        <is>
          <t>H L M PADARIA E CONFEITARIA LTDA</t>
        </is>
      </c>
      <c r="F1673" s="59" t="n">
        <v>13</v>
      </c>
      <c r="G1673" s="59" t="inlineStr">
        <is>
          <t>Compra a Vista</t>
        </is>
      </c>
      <c r="H1673" s="59" t="n">
        <v>2110101</v>
      </c>
      <c r="I1673" s="59" t="inlineStr">
        <is>
          <t>FORNECEDORES DE MERCADORIA</t>
        </is>
      </c>
      <c r="J1673" s="59" t="n">
        <v>1508508</v>
      </c>
      <c r="L1673" s="59" t="n">
        <v>114</v>
      </c>
      <c r="M1673" s="59" t="inlineStr">
        <is>
          <t>01</t>
        </is>
      </c>
      <c r="N1673" s="59" t="inlineStr">
        <is>
          <t>NFE</t>
        </is>
      </c>
      <c r="P1673" s="59" t="n">
        <v>104</v>
      </c>
      <c r="Q1673" s="59" t="inlineStr">
        <is>
          <t>DEBORA COSTA</t>
        </is>
      </c>
      <c r="R1673" s="59" t="inlineStr">
        <is>
          <t>ESTOQUE DE MERCADORIAS</t>
        </is>
      </c>
      <c r="S1673" s="59" t="n">
        <v>1130101</v>
      </c>
      <c r="T1673" s="59" t="inlineStr">
        <is>
          <t>MERCADORIAS P/REVENDA</t>
        </is>
      </c>
      <c r="U1673" s="77" t="n">
        <v>300</v>
      </c>
      <c r="W1673" s="59" t="n">
        <v>0</v>
      </c>
      <c r="X1673" s="59" t="inlineStr">
        <is>
          <t>NF 114 - DEBORA</t>
        </is>
      </c>
      <c r="Z1673" s="59">
        <f>IF($T1673="","",IFERROR(INDEX('Resumo Grupos'!$AC$3:$AC$200,MATCH($T1673,'Resumo Grupos'!$AB$3:$AB$200,0)),"n/d"))</f>
        <v/>
      </c>
      <c r="AA1673" s="59">
        <f>IF($T1673="","",IF(COUNTIF('Resumo Grupos'!$AE$3:$AE$40,$T1673)&gt;0,"NAO","SIM"))</f>
        <v/>
      </c>
    </row>
    <row r="1674" ht="12.75" customHeight="1" s="60">
      <c r="A1674" s="59" t="n">
        <v>1</v>
      </c>
      <c r="B1674" s="75" t="n">
        <v>46237</v>
      </c>
      <c r="C1674" s="75" t="n">
        <v>46237</v>
      </c>
      <c r="D1674" s="59" t="n">
        <v>978</v>
      </c>
      <c r="E1674" s="59" t="inlineStr">
        <is>
          <t>GELO DANGELO FABRICACAO DE GELO LTDA</t>
        </is>
      </c>
      <c r="F1674" s="59" t="n">
        <v>13</v>
      </c>
      <c r="G1674" s="59" t="inlineStr">
        <is>
          <t>Compra a Vista</t>
        </is>
      </c>
      <c r="H1674" s="59" t="n">
        <v>2110101</v>
      </c>
      <c r="I1674" s="59" t="inlineStr">
        <is>
          <t>FORNECEDORES DE MERCADORIA</t>
        </is>
      </c>
      <c r="J1674" s="59" t="n">
        <v>1508593</v>
      </c>
      <c r="L1674" s="59" t="n">
        <v>426</v>
      </c>
      <c r="M1674" s="59" t="inlineStr">
        <is>
          <t>01</t>
        </is>
      </c>
      <c r="N1674" s="59" t="inlineStr">
        <is>
          <t>NFE</t>
        </is>
      </c>
      <c r="P1674" s="59" t="n">
        <v>104</v>
      </c>
      <c r="Q1674" s="59" t="inlineStr">
        <is>
          <t>DEBORA COSTA</t>
        </is>
      </c>
      <c r="R1674" s="59" t="inlineStr">
        <is>
          <t>ESTOQUE DE MERCADORIAS</t>
        </is>
      </c>
      <c r="S1674" s="59" t="n">
        <v>1130101</v>
      </c>
      <c r="T1674" s="59" t="inlineStr">
        <is>
          <t>MERCADORIAS P/REVENDA</t>
        </is>
      </c>
      <c r="U1674" s="77" t="n">
        <v>564</v>
      </c>
      <c r="W1674" s="59" t="n">
        <v>0</v>
      </c>
      <c r="X1674" s="59" t="inlineStr">
        <is>
          <t>NF 426 - DEBORA</t>
        </is>
      </c>
      <c r="Z1674" s="59">
        <f>IF($T1674="","",IFERROR(INDEX('Resumo Grupos'!$AC$3:$AC$200,MATCH($T1674,'Resumo Grupos'!$AB$3:$AB$200,0)),"n/d"))</f>
        <v/>
      </c>
      <c r="AA1674" s="59">
        <f>IF($T1674="","",IF(COUNTIF('Resumo Grupos'!$AE$3:$AE$40,$T1674)&gt;0,"NAO","SIM"))</f>
        <v/>
      </c>
    </row>
    <row r="1675" ht="12.75" customHeight="1" s="60">
      <c r="A1675" s="59" t="n">
        <v>1</v>
      </c>
      <c r="B1675" s="75" t="n">
        <v>46240</v>
      </c>
      <c r="C1675" s="75" t="n">
        <v>46237</v>
      </c>
      <c r="D1675" s="59" t="n">
        <v>557</v>
      </c>
      <c r="E1675" s="59" t="inlineStr">
        <is>
          <t xml:space="preserve">CONTA VIVO </t>
        </is>
      </c>
      <c r="F1675" s="59" t="n">
        <v>34</v>
      </c>
      <c r="G1675" s="59" t="inlineStr">
        <is>
          <t>Transferencia Pix</t>
        </is>
      </c>
      <c r="H1675" s="59" t="n">
        <v>2110405</v>
      </c>
      <c r="I1675" s="59" t="inlineStr">
        <is>
          <t>CONTAS A PAGAR</t>
        </is>
      </c>
      <c r="J1675" s="59" t="n">
        <v>1122744</v>
      </c>
      <c r="L1675" s="59" t="n">
        <v>469459</v>
      </c>
      <c r="M1675" s="59" t="inlineStr">
        <is>
          <t>05</t>
        </is>
      </c>
      <c r="N1675" s="59" t="inlineStr">
        <is>
          <t>AVU</t>
        </is>
      </c>
      <c r="P1675" s="59" t="n">
        <v>102</v>
      </c>
      <c r="Q1675" s="59" t="inlineStr">
        <is>
          <t>ANDREZA ANDRADE</t>
        </is>
      </c>
      <c r="R1675" s="59" t="inlineStr">
        <is>
          <t>DESPESAS OPERACIONAIS</t>
        </is>
      </c>
      <c r="S1675" s="59" t="n">
        <v>4210206</v>
      </c>
      <c r="T1675" s="59" t="inlineStr">
        <is>
          <t>TELEFONE</t>
        </is>
      </c>
      <c r="U1675" s="77" t="n">
        <v>258.62</v>
      </c>
      <c r="W1675" s="59" t="n">
        <v>0</v>
      </c>
      <c r="X1675" s="59" t="inlineStr">
        <is>
          <t>VIVO MO1 -ANDREZA</t>
        </is>
      </c>
      <c r="Z1675" s="59">
        <f>IF($T1675="","",IFERROR(INDEX('Resumo Grupos'!$AC$3:$AC$200,MATCH($T1675,'Resumo Grupos'!$AB$3:$AB$200,0)),"n/d"))</f>
        <v/>
      </c>
      <c r="AA1675" s="59">
        <f>IF($T1675="","",IF(COUNTIF('Resumo Grupos'!$AE$3:$AE$40,$T1675)&gt;0,"NAO","SIM"))</f>
        <v/>
      </c>
    </row>
    <row r="1676" ht="12.75" customHeight="1" s="60">
      <c r="A1676" s="59" t="n">
        <v>1</v>
      </c>
      <c r="B1676" s="75" t="n">
        <v>46204</v>
      </c>
      <c r="C1676" s="75" t="n">
        <v>46238</v>
      </c>
      <c r="D1676" s="59" t="n">
        <v>607</v>
      </c>
      <c r="E1676" s="59" t="inlineStr">
        <is>
          <t>PRIME PET DISTRIBUIDORA LTDA</t>
        </is>
      </c>
      <c r="F1676" s="59" t="n">
        <v>24</v>
      </c>
      <c r="G1676" s="59" t="inlineStr">
        <is>
          <t>Compra a Prazo - Boletos</t>
        </is>
      </c>
      <c r="H1676" s="59" t="n">
        <v>2110101</v>
      </c>
      <c r="I1676" s="59" t="inlineStr">
        <is>
          <t>FORNECEDORES DE MERCADORIA</t>
        </is>
      </c>
      <c r="J1676" s="59" t="n">
        <v>1335231</v>
      </c>
      <c r="L1676" s="59" t="n">
        <v>11002</v>
      </c>
      <c r="M1676" s="59" t="inlineStr">
        <is>
          <t>02</t>
        </is>
      </c>
      <c r="N1676" s="59" t="inlineStr">
        <is>
          <t>NFE</t>
        </is>
      </c>
      <c r="P1676" s="59" t="n">
        <v>103</v>
      </c>
      <c r="Q1676" s="59" t="inlineStr">
        <is>
          <t>MILKA FRANCIS</t>
        </is>
      </c>
      <c r="R1676" s="59" t="inlineStr">
        <is>
          <t>ESTOQUE DE MERCADORIAS</t>
        </is>
      </c>
      <c r="S1676" s="59" t="n">
        <v>1130101</v>
      </c>
      <c r="T1676" s="59" t="inlineStr">
        <is>
          <t>MERCADORIAS P/REVENDA</t>
        </is>
      </c>
      <c r="U1676" s="77" t="n">
        <v>1849.57</v>
      </c>
      <c r="W1676" s="59" t="n">
        <v>1849.57</v>
      </c>
      <c r="X1676" s="59" t="inlineStr">
        <is>
          <t xml:space="preserve">NF 11002-02/07 MILKA </t>
        </is>
      </c>
      <c r="Z1676" s="59">
        <f>IF($T1676="","",IFERROR(INDEX('Resumo Grupos'!$AC$3:$AC$200,MATCH($T1676,'Resumo Grupos'!$AB$3:$AB$200,0)),"n/d"))</f>
        <v/>
      </c>
      <c r="AA1676" s="59">
        <f>IF($T1676="","",IF(COUNTIF('Resumo Grupos'!$AE$3:$AE$40,$T1676)&gt;0,"NAO","SIM"))</f>
        <v/>
      </c>
    </row>
    <row r="1677" ht="12.75" customHeight="1" s="60">
      <c r="A1677" s="59" t="n">
        <v>1</v>
      </c>
      <c r="B1677" s="75" t="n">
        <v>46209</v>
      </c>
      <c r="C1677" s="75" t="n">
        <v>46238</v>
      </c>
      <c r="D1677" s="59" t="n">
        <v>1611</v>
      </c>
      <c r="E1677" s="59" t="inlineStr">
        <is>
          <t>MARTINS COM SERV DISTR SA</t>
        </is>
      </c>
      <c r="F1677" s="59" t="n">
        <v>24</v>
      </c>
      <c r="G1677" s="59" t="inlineStr">
        <is>
          <t>Compra a Prazo - Boletos</t>
        </is>
      </c>
      <c r="H1677" s="59" t="n">
        <v>2110101</v>
      </c>
      <c r="I1677" s="59" t="inlineStr">
        <is>
          <t>FORNECEDORES DE MERCADORIA</t>
        </is>
      </c>
      <c r="J1677" s="59" t="n">
        <v>1360267</v>
      </c>
      <c r="L1677" s="59" t="n">
        <v>561687</v>
      </c>
      <c r="M1677" s="59" t="inlineStr">
        <is>
          <t>03</t>
        </is>
      </c>
      <c r="N1677" s="59" t="inlineStr">
        <is>
          <t>AVU</t>
        </is>
      </c>
      <c r="P1677" s="59" t="n">
        <v>103</v>
      </c>
      <c r="Q1677" s="59" t="inlineStr">
        <is>
          <t>MILKA FRANCIS</t>
        </is>
      </c>
      <c r="R1677" s="59" t="inlineStr">
        <is>
          <t>ESTOQUE DE MERCADORIAS</t>
        </is>
      </c>
      <c r="S1677" s="59" t="n">
        <v>1130101</v>
      </c>
      <c r="T1677" s="59" t="inlineStr">
        <is>
          <t>MERCADORIAS P/REVENDA</t>
        </is>
      </c>
      <c r="U1677" s="77" t="n">
        <v>3184.12</v>
      </c>
      <c r="W1677" s="59" t="n">
        <v>3184.12</v>
      </c>
      <c r="X1677" s="59" t="inlineStr">
        <is>
          <t>18259031 /NF1778370 NF1778371 - 03 MILKA</t>
        </is>
      </c>
      <c r="Z1677" s="59">
        <f>IF($T1677="","",IFERROR(INDEX('Resumo Grupos'!$AC$3:$AC$200,MATCH($T1677,'Resumo Grupos'!$AB$3:$AB$200,0)),"n/d"))</f>
        <v/>
      </c>
      <c r="AA1677" s="59">
        <f>IF($T1677="","",IF(COUNTIF('Resumo Grupos'!$AE$3:$AE$40,$T1677)&gt;0,"NAO","SIM"))</f>
        <v/>
      </c>
    </row>
    <row r="1678" ht="12.75" customHeight="1" s="60">
      <c r="A1678" s="59" t="n">
        <v>1</v>
      </c>
      <c r="B1678" s="75" t="n">
        <v>46209</v>
      </c>
      <c r="C1678" s="75" t="n">
        <v>46238</v>
      </c>
      <c r="D1678" s="59" t="n">
        <v>816</v>
      </c>
      <c r="E1678" s="59" t="inlineStr">
        <is>
          <t>AUGUSTA - JUROS EMPRESTIMO</t>
        </is>
      </c>
      <c r="F1678" s="59" t="n">
        <v>34</v>
      </c>
      <c r="G1678" s="59" t="inlineStr">
        <is>
          <t>Transferencia Pix</t>
        </is>
      </c>
      <c r="H1678" s="59" t="n">
        <v>2110405</v>
      </c>
      <c r="I1678" s="59" t="inlineStr">
        <is>
          <t>CONTAS A PAGAR</t>
        </is>
      </c>
      <c r="J1678" s="59" t="n">
        <v>480233</v>
      </c>
      <c r="L1678" s="59" t="n">
        <v>216087</v>
      </c>
      <c r="M1678" s="59" t="inlineStr">
        <is>
          <t>05</t>
        </is>
      </c>
      <c r="N1678" s="59" t="inlineStr">
        <is>
          <t>AVU</t>
        </is>
      </c>
      <c r="P1678" s="59" t="n">
        <v>102</v>
      </c>
      <c r="Q1678" s="59" t="inlineStr">
        <is>
          <t>ANDREZA ANDRADE</t>
        </is>
      </c>
      <c r="R1678" s="59" t="inlineStr">
        <is>
          <t>DESPESAS NAO OPERACIONAIS</t>
        </is>
      </c>
      <c r="S1678" s="59" t="n">
        <v>4220199</v>
      </c>
      <c r="T1678" s="59" t="inlineStr">
        <is>
          <t>PAGAMENTOS OUTROS NAO OPERACIONAIS</t>
        </is>
      </c>
      <c r="U1678" s="77" t="n">
        <v>2000</v>
      </c>
      <c r="W1678" s="59" t="n">
        <v>2000</v>
      </c>
      <c r="X1678" s="59" t="inlineStr">
        <is>
          <t xml:space="preserve">JUROS EMPRESTIMO AUGUSTA MO3 E MO4 </t>
        </is>
      </c>
      <c r="Z1678" s="59">
        <f>IF($T1678="","",IFERROR(INDEX('Resumo Grupos'!$AC$3:$AC$200,MATCH($T1678,'Resumo Grupos'!$AB$3:$AB$200,0)),"n/d"))</f>
        <v/>
      </c>
      <c r="AA1678" s="59">
        <f>IF($T1678="","",IF(COUNTIF('Resumo Grupos'!$AE$3:$AE$40,$T1678)&gt;0,"NAO","SIM"))</f>
        <v/>
      </c>
    </row>
    <row r="1679" ht="12.75" customHeight="1" s="60">
      <c r="A1679" s="59" t="n">
        <v>1</v>
      </c>
      <c r="B1679" s="75" t="n">
        <v>46211</v>
      </c>
      <c r="C1679" s="75" t="n">
        <v>46238</v>
      </c>
      <c r="D1679" s="59" t="n">
        <v>1705</v>
      </c>
      <c r="E1679" s="59" t="inlineStr">
        <is>
          <t>BRASIL NORTE BEBIDAS S/A</t>
        </is>
      </c>
      <c r="F1679" s="59" t="n">
        <v>24</v>
      </c>
      <c r="G1679" s="59" t="inlineStr">
        <is>
          <t>Compra a Prazo - Boletos</t>
        </is>
      </c>
      <c r="H1679" s="59" t="n">
        <v>2110101</v>
      </c>
      <c r="I1679" s="59" t="inlineStr">
        <is>
          <t>FORNECEDORES DE MERCADORIA</t>
        </is>
      </c>
      <c r="J1679" s="59" t="n">
        <v>1369139</v>
      </c>
      <c r="L1679" s="59" t="n">
        <v>1190625</v>
      </c>
      <c r="M1679" s="59" t="inlineStr">
        <is>
          <t>01</t>
        </is>
      </c>
      <c r="N1679" s="59" t="inlineStr">
        <is>
          <t>NFE</t>
        </is>
      </c>
      <c r="P1679" s="59" t="n">
        <v>103</v>
      </c>
      <c r="Q1679" s="59" t="inlineStr">
        <is>
          <t>MILKA FRANCIS</t>
        </is>
      </c>
      <c r="R1679" s="59" t="inlineStr">
        <is>
          <t>ESTOQUE DE MERCADORIAS</t>
        </is>
      </c>
      <c r="S1679" s="59" t="n">
        <v>1130101</v>
      </c>
      <c r="T1679" s="59" t="inlineStr">
        <is>
          <t>MERCADORIAS P/REVENDA</t>
        </is>
      </c>
      <c r="U1679" s="77" t="n">
        <v>94.31999999999999</v>
      </c>
      <c r="W1679" s="59" t="n">
        <v>94.31999999999999</v>
      </c>
      <c r="X1679" s="59" t="inlineStr">
        <is>
          <t>NF 1190625 - MILKA</t>
        </is>
      </c>
      <c r="Z1679" s="59">
        <f>IF($T1679="","",IFERROR(INDEX('Resumo Grupos'!$AC$3:$AC$200,MATCH($T1679,'Resumo Grupos'!$AB$3:$AB$200,0)),"n/d"))</f>
        <v/>
      </c>
      <c r="AA1679" s="59">
        <f>IF($T1679="","",IF(COUNTIF('Resumo Grupos'!$AE$3:$AE$40,$T1679)&gt;0,"NAO","SIM"))</f>
        <v/>
      </c>
    </row>
    <row r="1680" ht="12.75" customHeight="1" s="60">
      <c r="A1680" s="59" t="n">
        <v>1</v>
      </c>
      <c r="B1680" s="75" t="n">
        <v>46211</v>
      </c>
      <c r="C1680" s="75" t="n">
        <v>46238</v>
      </c>
      <c r="D1680" s="59" t="n">
        <v>1636</v>
      </c>
      <c r="E1680" s="59" t="inlineStr">
        <is>
          <t>DUNORTE DISTRIBUIDORA DE PRODUTOS DE CONSUMO LTDA</t>
        </is>
      </c>
      <c r="F1680" s="59" t="n">
        <v>24</v>
      </c>
      <c r="G1680" s="59" t="inlineStr">
        <is>
          <t>Compra a Prazo - Boletos</t>
        </is>
      </c>
      <c r="H1680" s="59" t="n">
        <v>2110101</v>
      </c>
      <c r="I1680" s="59" t="inlineStr">
        <is>
          <t>FORNECEDORES DE MERCADORIA</t>
        </is>
      </c>
      <c r="J1680" s="59" t="n">
        <v>1370892</v>
      </c>
      <c r="L1680" s="59" t="n">
        <v>3216535</v>
      </c>
      <c r="M1680" s="59" t="inlineStr">
        <is>
          <t>01</t>
        </is>
      </c>
      <c r="N1680" s="59" t="inlineStr">
        <is>
          <t>NFE</t>
        </is>
      </c>
      <c r="P1680" s="59" t="n">
        <v>103</v>
      </c>
      <c r="Q1680" s="59" t="inlineStr">
        <is>
          <t>MILKA FRANCIS</t>
        </is>
      </c>
      <c r="R1680" s="59" t="inlineStr">
        <is>
          <t>ESTOQUE DE MERCADORIAS</t>
        </is>
      </c>
      <c r="S1680" s="59" t="n">
        <v>1130101</v>
      </c>
      <c r="T1680" s="59" t="inlineStr">
        <is>
          <t>MERCADORIAS P/REVENDA</t>
        </is>
      </c>
      <c r="U1680" s="77" t="n">
        <v>2406.33</v>
      </c>
      <c r="W1680" s="59" t="n">
        <v>2406.33</v>
      </c>
      <c r="X1680" s="59" t="inlineStr">
        <is>
          <t>NF 3216535 - MILKA</t>
        </is>
      </c>
      <c r="Z1680" s="59">
        <f>IF($T1680="","",IFERROR(INDEX('Resumo Grupos'!$AC$3:$AC$200,MATCH($T1680,'Resumo Grupos'!$AB$3:$AB$200,0)),"n/d"))</f>
        <v/>
      </c>
      <c r="AA1680" s="59">
        <f>IF($T1680="","",IF(COUNTIF('Resumo Grupos'!$AE$3:$AE$40,$T1680)&gt;0,"NAO","SIM"))</f>
        <v/>
      </c>
    </row>
    <row r="1681" ht="12.75" customHeight="1" s="60">
      <c r="A1681" s="59" t="n">
        <v>1</v>
      </c>
      <c r="B1681" s="75" t="n">
        <v>46216</v>
      </c>
      <c r="C1681" s="75" t="n">
        <v>46238</v>
      </c>
      <c r="D1681" s="59" t="n">
        <v>1624</v>
      </c>
      <c r="E1681" s="59" t="inlineStr">
        <is>
          <t>RISADINHA LTDA</t>
        </is>
      </c>
      <c r="F1681" s="59" t="n">
        <v>24</v>
      </c>
      <c r="G1681" s="59" t="inlineStr">
        <is>
          <t>Compra a Prazo - Boletos</t>
        </is>
      </c>
      <c r="H1681" s="59" t="n">
        <v>2110405</v>
      </c>
      <c r="I1681" s="59" t="inlineStr">
        <is>
          <t>CONTAS A PAGAR</t>
        </is>
      </c>
      <c r="J1681" s="59" t="n">
        <v>1393007</v>
      </c>
      <c r="L1681" s="59" t="n">
        <v>662479</v>
      </c>
      <c r="M1681" s="59" t="inlineStr">
        <is>
          <t>01</t>
        </is>
      </c>
      <c r="N1681" s="59" t="inlineStr">
        <is>
          <t>AVU</t>
        </is>
      </c>
      <c r="P1681" s="59" t="n">
        <v>103</v>
      </c>
      <c r="Q1681" s="59" t="inlineStr">
        <is>
          <t>MILKA FRANCIS</t>
        </is>
      </c>
      <c r="R1681" s="59" t="inlineStr">
        <is>
          <t>ESTOQUE DE MERCADORIAS</t>
        </is>
      </c>
      <c r="S1681" s="59" t="n">
        <v>1130101</v>
      </c>
      <c r="T1681" s="59" t="inlineStr">
        <is>
          <t>MERCADORIAS P/REVENDA</t>
        </is>
      </c>
      <c r="U1681" s="77" t="n">
        <v>823.64</v>
      </c>
      <c r="W1681" s="59" t="n">
        <v>823.64</v>
      </c>
      <c r="X1681" s="59" t="inlineStr">
        <is>
          <t>NF 662479-01 MILKA</t>
        </is>
      </c>
      <c r="Z1681" s="59">
        <f>IF($T1681="","",IFERROR(INDEX('Resumo Grupos'!$AC$3:$AC$200,MATCH($T1681,'Resumo Grupos'!$AB$3:$AB$200,0)),"n/d"))</f>
        <v/>
      </c>
      <c r="AA1681" s="59">
        <f>IF($T1681="","",IF(COUNTIF('Resumo Grupos'!$AE$3:$AE$40,$T1681)&gt;0,"NAO","SIM"))</f>
        <v/>
      </c>
    </row>
    <row r="1682" ht="12.75" customHeight="1" s="60">
      <c r="A1682" s="59" t="n">
        <v>1</v>
      </c>
      <c r="B1682" s="75" t="n">
        <v>46217</v>
      </c>
      <c r="C1682" s="75" t="n">
        <v>46238</v>
      </c>
      <c r="D1682" s="59" t="n">
        <v>1458</v>
      </c>
      <c r="E1682" s="59" t="inlineStr">
        <is>
          <t>BETA INDUSTRIA E COMERCIO DE ALIMENTOS</t>
        </is>
      </c>
      <c r="F1682" s="59" t="n">
        <v>24</v>
      </c>
      <c r="G1682" s="59" t="inlineStr">
        <is>
          <t>Compra a Prazo - Boletos</t>
        </is>
      </c>
      <c r="H1682" s="59" t="n">
        <v>2110405</v>
      </c>
      <c r="I1682" s="59" t="inlineStr">
        <is>
          <t>CONTAS A PAGAR</t>
        </is>
      </c>
      <c r="J1682" s="59" t="n">
        <v>1397060</v>
      </c>
      <c r="L1682" s="59" t="n">
        <v>10861</v>
      </c>
      <c r="M1682" s="59" t="inlineStr">
        <is>
          <t>01</t>
        </is>
      </c>
      <c r="N1682" s="59" t="inlineStr">
        <is>
          <t>AVU</t>
        </is>
      </c>
      <c r="P1682" s="59" t="n">
        <v>103</v>
      </c>
      <c r="Q1682" s="59" t="inlineStr">
        <is>
          <t>MILKA FRANCIS</t>
        </is>
      </c>
      <c r="R1682" s="59" t="inlineStr">
        <is>
          <t>ESTOQUE DE MERCADORIAS</t>
        </is>
      </c>
      <c r="S1682" s="59" t="n">
        <v>1130101</v>
      </c>
      <c r="T1682" s="59" t="inlineStr">
        <is>
          <t>MERCADORIAS P/REVENDA</t>
        </is>
      </c>
      <c r="U1682" s="77" t="n">
        <v>909.9</v>
      </c>
      <c r="W1682" s="59" t="n">
        <v>909.9</v>
      </c>
      <c r="X1682" s="59" t="inlineStr">
        <is>
          <t>NF10861 PAPAGUARA - MILKA</t>
        </is>
      </c>
      <c r="Z1682" s="59">
        <f>IF($T1682="","",IFERROR(INDEX('Resumo Grupos'!$AC$3:$AC$200,MATCH($T1682,'Resumo Grupos'!$AB$3:$AB$200,0)),"n/d"))</f>
        <v/>
      </c>
      <c r="AA1682" s="59">
        <f>IF($T1682="","",IF(COUNTIF('Resumo Grupos'!$AE$3:$AE$40,$T1682)&gt;0,"NAO","SIM"))</f>
        <v/>
      </c>
    </row>
    <row r="1683" ht="12.75" customHeight="1" s="60">
      <c r="A1683" s="59" t="n">
        <v>1</v>
      </c>
      <c r="B1683" s="75" t="n">
        <v>46218</v>
      </c>
      <c r="C1683" s="75" t="n">
        <v>46238</v>
      </c>
      <c r="D1683" s="59" t="n">
        <v>1612</v>
      </c>
      <c r="E1683" s="59" t="inlineStr">
        <is>
          <t>EMPRESA BRASILEIRA DE DISTRIBUICAO LTDA</t>
        </is>
      </c>
      <c r="F1683" s="59" t="n">
        <v>24</v>
      </c>
      <c r="G1683" s="59" t="inlineStr">
        <is>
          <t>Compra a Prazo - Boletos</t>
        </is>
      </c>
      <c r="H1683" s="59" t="n">
        <v>2110405</v>
      </c>
      <c r="I1683" s="59" t="inlineStr">
        <is>
          <t>CONTAS A PAGAR</t>
        </is>
      </c>
      <c r="J1683" s="59" t="n">
        <v>1401084</v>
      </c>
      <c r="L1683" s="59" t="n">
        <v>2300748</v>
      </c>
      <c r="M1683" s="59" t="inlineStr">
        <is>
          <t>01</t>
        </is>
      </c>
      <c r="N1683" s="59" t="inlineStr">
        <is>
          <t>AVU</t>
        </is>
      </c>
      <c r="P1683" s="59" t="n">
        <v>103</v>
      </c>
      <c r="Q1683" s="59" t="inlineStr">
        <is>
          <t>MILKA FRANCIS</t>
        </is>
      </c>
      <c r="R1683" s="59" t="inlineStr">
        <is>
          <t>ESTOQUE DE MERCADORIAS</t>
        </is>
      </c>
      <c r="S1683" s="59" t="n">
        <v>1130101</v>
      </c>
      <c r="T1683" s="59" t="inlineStr">
        <is>
          <t>MERCADORIAS P/REVENDA</t>
        </is>
      </c>
      <c r="U1683" s="77" t="n">
        <v>2237.12</v>
      </c>
      <c r="W1683" s="59" t="n">
        <v>2237.12</v>
      </c>
      <c r="X1683" s="59" t="inlineStr">
        <is>
          <t>NF 2300748 EBD - MILKA</t>
        </is>
      </c>
      <c r="Z1683" s="59">
        <f>IF($T1683="","",IFERROR(INDEX('Resumo Grupos'!$AC$3:$AC$200,MATCH($T1683,'Resumo Grupos'!$AB$3:$AB$200,0)),"n/d"))</f>
        <v/>
      </c>
      <c r="AA1683" s="59">
        <f>IF($T1683="","",IF(COUNTIF('Resumo Grupos'!$AE$3:$AE$40,$T1683)&gt;0,"NAO","SIM"))</f>
        <v/>
      </c>
    </row>
    <row r="1684" ht="12.75" customHeight="1" s="60">
      <c r="A1684" s="59" t="n">
        <v>1</v>
      </c>
      <c r="B1684" s="75" t="n">
        <v>46218</v>
      </c>
      <c r="C1684" s="75" t="n">
        <v>46238</v>
      </c>
      <c r="D1684" s="59" t="n">
        <v>1612</v>
      </c>
      <c r="E1684" s="59" t="inlineStr">
        <is>
          <t>EMPRESA BRASILEIRA DE DISTRIBUICAO LTDA</t>
        </is>
      </c>
      <c r="F1684" s="59" t="n">
        <v>24</v>
      </c>
      <c r="G1684" s="59" t="inlineStr">
        <is>
          <t>Compra a Prazo - Boletos</t>
        </is>
      </c>
      <c r="H1684" s="59" t="n">
        <v>2110405</v>
      </c>
      <c r="I1684" s="59" t="inlineStr">
        <is>
          <t>CONTAS A PAGAR</t>
        </is>
      </c>
      <c r="J1684" s="59" t="n">
        <v>1401597</v>
      </c>
      <c r="L1684" s="59" t="n">
        <v>2300749</v>
      </c>
      <c r="M1684" s="59" t="inlineStr">
        <is>
          <t>01</t>
        </is>
      </c>
      <c r="N1684" s="59" t="inlineStr">
        <is>
          <t>AVU</t>
        </is>
      </c>
      <c r="P1684" s="59" t="n">
        <v>103</v>
      </c>
      <c r="Q1684" s="59" t="inlineStr">
        <is>
          <t>MILKA FRANCIS</t>
        </is>
      </c>
      <c r="R1684" s="59" t="inlineStr">
        <is>
          <t>ESTOQUE DE MERCADORIAS</t>
        </is>
      </c>
      <c r="S1684" s="59" t="n">
        <v>1130101</v>
      </c>
      <c r="T1684" s="59" t="inlineStr">
        <is>
          <t>MERCADORIAS P/REVENDA</t>
        </is>
      </c>
      <c r="U1684" s="77" t="n">
        <v>555.15</v>
      </c>
      <c r="W1684" s="59" t="n">
        <v>555.15</v>
      </c>
      <c r="X1684" s="59" t="inlineStr">
        <is>
          <t>NF 2300749 EBD - MILKA</t>
        </is>
      </c>
      <c r="Z1684" s="59">
        <f>IF($T1684="","",IFERROR(INDEX('Resumo Grupos'!$AC$3:$AC$200,MATCH($T1684,'Resumo Grupos'!$AB$3:$AB$200,0)),"n/d"))</f>
        <v/>
      </c>
      <c r="AA1684" s="59">
        <f>IF($T1684="","",IF(COUNTIF('Resumo Grupos'!$AE$3:$AE$40,$T1684)&gt;0,"NAO","SIM"))</f>
        <v/>
      </c>
    </row>
    <row r="1685" ht="12.75" customHeight="1" s="60">
      <c r="A1685" s="59" t="n">
        <v>1</v>
      </c>
      <c r="B1685" s="75" t="n">
        <v>46218</v>
      </c>
      <c r="C1685" s="75" t="n">
        <v>46238</v>
      </c>
      <c r="D1685" s="59" t="n">
        <v>1667</v>
      </c>
      <c r="E1685" s="59" t="inlineStr">
        <is>
          <t>FENNIX BRASIL DISTRIBUIDORA DE PRODUTOS</t>
        </is>
      </c>
      <c r="F1685" s="59" t="n">
        <v>24</v>
      </c>
      <c r="G1685" s="59" t="inlineStr">
        <is>
          <t>Compra a Prazo - Boletos</t>
        </is>
      </c>
      <c r="H1685" s="59" t="n">
        <v>2110405</v>
      </c>
      <c r="I1685" s="59" t="inlineStr">
        <is>
          <t>CONTAS A PAGAR</t>
        </is>
      </c>
      <c r="J1685" s="59" t="n">
        <v>1401680</v>
      </c>
      <c r="L1685" s="59" t="n">
        <v>396457</v>
      </c>
      <c r="M1685" s="59" t="inlineStr">
        <is>
          <t>01</t>
        </is>
      </c>
      <c r="N1685" s="59" t="inlineStr">
        <is>
          <t>AVU</t>
        </is>
      </c>
      <c r="P1685" s="59" t="n">
        <v>103</v>
      </c>
      <c r="Q1685" s="59" t="inlineStr">
        <is>
          <t>MILKA FRANCIS</t>
        </is>
      </c>
      <c r="R1685" s="59" t="inlineStr">
        <is>
          <t>ESTOQUE DE MERCADORIAS</t>
        </is>
      </c>
      <c r="S1685" s="59" t="n">
        <v>1130101</v>
      </c>
      <c r="T1685" s="59" t="inlineStr">
        <is>
          <t>MERCADORIAS P/REVENDA</t>
        </is>
      </c>
      <c r="U1685" s="77" t="n">
        <v>1224.01</v>
      </c>
      <c r="W1685" s="59" t="n">
        <v>1224.01</v>
      </c>
      <c r="X1685" s="59" t="inlineStr">
        <is>
          <t>NF 396457 C/ TARIFA INCLUSA - MILKA</t>
        </is>
      </c>
      <c r="Z1685" s="59">
        <f>IF($T1685="","",IFERROR(INDEX('Resumo Grupos'!$AC$3:$AC$200,MATCH($T1685,'Resumo Grupos'!$AB$3:$AB$200,0)),"n/d"))</f>
        <v/>
      </c>
      <c r="AA1685" s="59">
        <f>IF($T1685="","",IF(COUNTIF('Resumo Grupos'!$AE$3:$AE$40,$T1685)&gt;0,"NAO","SIM"))</f>
        <v/>
      </c>
    </row>
    <row r="1686" ht="12.75" customHeight="1" s="60">
      <c r="A1686" s="59" t="n">
        <v>1</v>
      </c>
      <c r="B1686" s="75" t="n">
        <v>46219</v>
      </c>
      <c r="C1686" s="75" t="n">
        <v>46238</v>
      </c>
      <c r="D1686" s="59" t="n">
        <v>1637</v>
      </c>
      <c r="E1686" s="59" t="inlineStr">
        <is>
          <t>ATACADAO S.A.</t>
        </is>
      </c>
      <c r="F1686" s="59" t="n">
        <v>24</v>
      </c>
      <c r="G1686" s="59" t="inlineStr">
        <is>
          <t>Compra a Prazo - Boletos</t>
        </is>
      </c>
      <c r="H1686" s="59" t="n">
        <v>2110405</v>
      </c>
      <c r="I1686" s="59" t="inlineStr">
        <is>
          <t>CONTAS A PAGAR</t>
        </is>
      </c>
      <c r="J1686" s="59" t="n">
        <v>1406548</v>
      </c>
      <c r="L1686" s="59" t="n">
        <v>1905834</v>
      </c>
      <c r="M1686" s="59" t="inlineStr">
        <is>
          <t>01</t>
        </is>
      </c>
      <c r="N1686" s="59" t="inlineStr">
        <is>
          <t>AVU</t>
        </is>
      </c>
      <c r="P1686" s="59" t="n">
        <v>103</v>
      </c>
      <c r="Q1686" s="59" t="inlineStr">
        <is>
          <t>MILKA FRANCIS</t>
        </is>
      </c>
      <c r="R1686" s="59" t="inlineStr">
        <is>
          <t>ESTOQUE DE MERCADORIAS</t>
        </is>
      </c>
      <c r="S1686" s="59" t="n">
        <v>1130101</v>
      </c>
      <c r="T1686" s="59" t="inlineStr">
        <is>
          <t>MERCADORIAS P/REVENDA</t>
        </is>
      </c>
      <c r="U1686" s="77" t="n">
        <v>479.64</v>
      </c>
      <c r="W1686" s="59" t="n">
        <v>479.64</v>
      </c>
      <c r="X1686" s="59" t="inlineStr">
        <is>
          <t>NF 1905834 - MILKA</t>
        </is>
      </c>
      <c r="Z1686" s="59">
        <f>IF($T1686="","",IFERROR(INDEX('Resumo Grupos'!$AC$3:$AC$200,MATCH($T1686,'Resumo Grupos'!$AB$3:$AB$200,0)),"n/d"))</f>
        <v/>
      </c>
      <c r="AA1686" s="59">
        <f>IF($T1686="","",IF(COUNTIF('Resumo Grupos'!$AE$3:$AE$40,$T1686)&gt;0,"NAO","SIM"))</f>
        <v/>
      </c>
    </row>
    <row r="1687" ht="12.75" customHeight="1" s="60">
      <c r="A1687" s="59" t="n">
        <v>1</v>
      </c>
      <c r="B1687" s="75" t="n">
        <v>46224</v>
      </c>
      <c r="C1687" s="75" t="n">
        <v>46238</v>
      </c>
      <c r="D1687" s="59" t="n">
        <v>1114</v>
      </c>
      <c r="E1687" s="59" t="inlineStr">
        <is>
          <t>NT INDUSTRIA E COMERCIO DE PANIFICACAO L</t>
        </is>
      </c>
      <c r="F1687" s="59" t="n">
        <v>24</v>
      </c>
      <c r="G1687" s="59" t="inlineStr">
        <is>
          <t>Compra a Prazo - Boletos</t>
        </is>
      </c>
      <c r="H1687" s="59" t="n">
        <v>2110405</v>
      </c>
      <c r="I1687" s="59" t="inlineStr">
        <is>
          <t>CONTAS A PAGAR</t>
        </is>
      </c>
      <c r="J1687" s="59" t="n">
        <v>1430968</v>
      </c>
      <c r="L1687" s="59" t="n">
        <v>41617</v>
      </c>
      <c r="M1687" s="59" t="inlineStr">
        <is>
          <t>01</t>
        </is>
      </c>
      <c r="N1687" s="59" t="inlineStr">
        <is>
          <t>AVU</t>
        </is>
      </c>
      <c r="P1687" s="59" t="n">
        <v>103</v>
      </c>
      <c r="Q1687" s="59" t="inlineStr">
        <is>
          <t>MILKA FRANCIS</t>
        </is>
      </c>
      <c r="R1687" s="59" t="inlineStr">
        <is>
          <t>ESTOQUE DE MERCADORIAS</t>
        </is>
      </c>
      <c r="S1687" s="59" t="n">
        <v>1130101</v>
      </c>
      <c r="T1687" s="59" t="inlineStr">
        <is>
          <t>MERCADORIAS P/REVENDA</t>
        </is>
      </c>
      <c r="U1687" s="77" t="n">
        <v>3510.17</v>
      </c>
      <c r="W1687" s="59" t="n">
        <v>3510.17</v>
      </c>
      <c r="X1687" s="59" t="inlineStr">
        <is>
          <t>NF 41617 - MILKA</t>
        </is>
      </c>
      <c r="Z1687" s="59">
        <f>IF($T1687="","",IFERROR(INDEX('Resumo Grupos'!$AC$3:$AC$200,MATCH($T1687,'Resumo Grupos'!$AB$3:$AB$200,0)),"n/d"))</f>
        <v/>
      </c>
      <c r="AA1687" s="59">
        <f>IF($T1687="","",IF(COUNTIF('Resumo Grupos'!$AE$3:$AE$40,$T1687)&gt;0,"NAO","SIM"))</f>
        <v/>
      </c>
    </row>
    <row r="1688" ht="12.75" customHeight="1" s="60">
      <c r="A1688" s="59" t="n">
        <v>1</v>
      </c>
      <c r="B1688" s="75" t="n">
        <v>46225</v>
      </c>
      <c r="C1688" s="75" t="n">
        <v>46238</v>
      </c>
      <c r="D1688" s="59" t="n">
        <v>1671</v>
      </c>
      <c r="E1688" s="59" t="inlineStr">
        <is>
          <t>TAPAJOS COM DE PERFUMARIA COSMETICOS E G</t>
        </is>
      </c>
      <c r="F1688" s="59" t="n">
        <v>24</v>
      </c>
      <c r="G1688" s="59" t="inlineStr">
        <is>
          <t>Compra a Prazo - Boletos</t>
        </is>
      </c>
      <c r="H1688" s="59" t="n">
        <v>2110405</v>
      </c>
      <c r="I1688" s="59" t="inlineStr">
        <is>
          <t>CONTAS A PAGAR</t>
        </is>
      </c>
      <c r="J1688" s="59" t="n">
        <v>1433691</v>
      </c>
      <c r="L1688" s="59" t="n">
        <v>581016</v>
      </c>
      <c r="M1688" s="59" t="inlineStr">
        <is>
          <t>01</t>
        </is>
      </c>
      <c r="N1688" s="59" t="inlineStr">
        <is>
          <t>AVU</t>
        </is>
      </c>
      <c r="P1688" s="59" t="n">
        <v>103</v>
      </c>
      <c r="Q1688" s="59" t="inlineStr">
        <is>
          <t>MILKA FRANCIS</t>
        </is>
      </c>
      <c r="R1688" s="59" t="inlineStr">
        <is>
          <t>ESTOQUE DE MERCADORIAS</t>
        </is>
      </c>
      <c r="S1688" s="59" t="n">
        <v>1130101</v>
      </c>
      <c r="T1688" s="59" t="inlineStr">
        <is>
          <t>MERCADORIAS P/REVENDA</t>
        </is>
      </c>
      <c r="U1688" s="77" t="n">
        <v>621.0700000000001</v>
      </c>
      <c r="W1688" s="59" t="n">
        <v>621.0700000000001</v>
      </c>
      <c r="X1688" s="59" t="inlineStr">
        <is>
          <t>NF 581016-1 MILKA</t>
        </is>
      </c>
      <c r="Z1688" s="59">
        <f>IF($T1688="","",IFERROR(INDEX('Resumo Grupos'!$AC$3:$AC$200,MATCH($T1688,'Resumo Grupos'!$AB$3:$AB$200,0)),"n/d"))</f>
        <v/>
      </c>
      <c r="AA1688" s="59">
        <f>IF($T1688="","",IF(COUNTIF('Resumo Grupos'!$AE$3:$AE$40,$T1688)&gt;0,"NAO","SIM"))</f>
        <v/>
      </c>
    </row>
    <row r="1689" ht="12.75" customHeight="1" s="60">
      <c r="A1689" s="59" t="n">
        <v>1</v>
      </c>
      <c r="B1689" s="75" t="n">
        <v>46225</v>
      </c>
      <c r="C1689" s="75" t="n">
        <v>46238</v>
      </c>
      <c r="D1689" s="59" t="n">
        <v>1672</v>
      </c>
      <c r="E1689" s="59" t="inlineStr">
        <is>
          <t>MARE DISTRIBUIDORA DE BEBIDAS E DE PRODUTOS ALIMENTICIOS LTDA</t>
        </is>
      </c>
      <c r="F1689" s="59" t="n">
        <v>24</v>
      </c>
      <c r="G1689" s="59" t="inlineStr">
        <is>
          <t>Compra a Prazo - Boletos</t>
        </is>
      </c>
      <c r="H1689" s="59" t="n">
        <v>2110405</v>
      </c>
      <c r="I1689" s="59" t="inlineStr">
        <is>
          <t>CONTAS A PAGAR</t>
        </is>
      </c>
      <c r="J1689" s="59" t="n">
        <v>1435975</v>
      </c>
      <c r="L1689" s="59" t="n">
        <v>1398219</v>
      </c>
      <c r="M1689" s="59" t="inlineStr">
        <is>
          <t>01</t>
        </is>
      </c>
      <c r="N1689" s="59" t="inlineStr">
        <is>
          <t>AVU</t>
        </is>
      </c>
      <c r="P1689" s="59" t="n">
        <v>103</v>
      </c>
      <c r="Q1689" s="59" t="inlineStr">
        <is>
          <t>MILKA FRANCIS</t>
        </is>
      </c>
      <c r="R1689" s="59" t="inlineStr">
        <is>
          <t>ESTOQUE DE MERCADORIAS</t>
        </is>
      </c>
      <c r="S1689" s="59" t="n">
        <v>1130101</v>
      </c>
      <c r="T1689" s="59" t="inlineStr">
        <is>
          <t>MERCADORIAS P/REVENDA</t>
        </is>
      </c>
      <c r="U1689" s="77" t="n">
        <v>2113.2</v>
      </c>
      <c r="W1689" s="59" t="n">
        <v>2113.2</v>
      </c>
      <c r="X1689" s="59" t="inlineStr">
        <is>
          <t>NF 1398219 MAGISTRAL - MILKA</t>
        </is>
      </c>
      <c r="Z1689" s="59">
        <f>IF($T1689="","",IFERROR(INDEX('Resumo Grupos'!$AC$3:$AC$200,MATCH($T1689,'Resumo Grupos'!$AB$3:$AB$200,0)),"n/d"))</f>
        <v/>
      </c>
      <c r="AA1689" s="59">
        <f>IF($T1689="","",IF(COUNTIF('Resumo Grupos'!$AE$3:$AE$40,$T1689)&gt;0,"NAO","SIM"))</f>
        <v/>
      </c>
    </row>
    <row r="1690" ht="12.75" customHeight="1" s="60">
      <c r="A1690" s="59" t="n">
        <v>1</v>
      </c>
      <c r="B1690" s="75" t="n">
        <v>46226</v>
      </c>
      <c r="C1690" s="75" t="n">
        <v>46238</v>
      </c>
      <c r="D1690" s="59" t="n">
        <v>1665</v>
      </c>
      <c r="E1690" s="59" t="inlineStr">
        <is>
          <t>H.V.M. XAVIER ALIMENTOS</t>
        </is>
      </c>
      <c r="F1690" s="59" t="n">
        <v>24</v>
      </c>
      <c r="G1690" s="59" t="inlineStr">
        <is>
          <t>Compra a Prazo - Boletos</t>
        </is>
      </c>
      <c r="H1690" s="59" t="n">
        <v>2110405</v>
      </c>
      <c r="I1690" s="59" t="inlineStr">
        <is>
          <t>CONTAS A PAGAR</t>
        </is>
      </c>
      <c r="J1690" s="59" t="n">
        <v>1439198</v>
      </c>
      <c r="L1690" s="59" t="n">
        <v>134892</v>
      </c>
      <c r="M1690" s="59" t="inlineStr">
        <is>
          <t>01</t>
        </is>
      </c>
      <c r="N1690" s="59" t="inlineStr">
        <is>
          <t>AVU</t>
        </is>
      </c>
      <c r="P1690" s="59" t="n">
        <v>103</v>
      </c>
      <c r="Q1690" s="59" t="inlineStr">
        <is>
          <t>MILKA FRANCIS</t>
        </is>
      </c>
      <c r="R1690" s="59" t="inlineStr">
        <is>
          <t>ESTOQUE DE MERCADORIAS</t>
        </is>
      </c>
      <c r="S1690" s="59" t="n">
        <v>1130101</v>
      </c>
      <c r="T1690" s="59" t="inlineStr">
        <is>
          <t>MERCADORIAS P/REVENDA</t>
        </is>
      </c>
      <c r="U1690" s="77" t="n">
        <v>194.4</v>
      </c>
      <c r="W1690" s="59" t="n">
        <v>194.4</v>
      </c>
      <c r="X1690" s="59" t="inlineStr">
        <is>
          <t>NF 134892 MULTI QUEIJO - MILKA</t>
        </is>
      </c>
      <c r="Z1690" s="59">
        <f>IF($T1690="","",IFERROR(INDEX('Resumo Grupos'!$AC$3:$AC$200,MATCH($T1690,'Resumo Grupos'!$AB$3:$AB$200,0)),"n/d"))</f>
        <v/>
      </c>
      <c r="AA1690" s="59">
        <f>IF($T1690="","",IF(COUNTIF('Resumo Grupos'!$AE$3:$AE$40,$T1690)&gt;0,"NAO","SIM"))</f>
        <v/>
      </c>
    </row>
    <row r="1691" ht="12.75" customHeight="1" s="60">
      <c r="A1691" s="59" t="n">
        <v>1</v>
      </c>
      <c r="B1691" s="75" t="n">
        <v>46226</v>
      </c>
      <c r="C1691" s="75" t="n">
        <v>46238</v>
      </c>
      <c r="D1691" s="59" t="n">
        <v>1643</v>
      </c>
      <c r="E1691" s="59" t="inlineStr">
        <is>
          <t>T A DE MATTOS COMIM EIRELI</t>
        </is>
      </c>
      <c r="F1691" s="59" t="n">
        <v>24</v>
      </c>
      <c r="G1691" s="59" t="inlineStr">
        <is>
          <t>Compra a Prazo - Boletos</t>
        </is>
      </c>
      <c r="H1691" s="59" t="n">
        <v>2110405</v>
      </c>
      <c r="I1691" s="59" t="inlineStr">
        <is>
          <t>CONTAS A PAGAR</t>
        </is>
      </c>
      <c r="J1691" s="59" t="n">
        <v>1439214</v>
      </c>
      <c r="L1691" s="59" t="n">
        <v>10753</v>
      </c>
      <c r="M1691" s="59" t="inlineStr">
        <is>
          <t>01</t>
        </is>
      </c>
      <c r="N1691" s="59" t="inlineStr">
        <is>
          <t>AVU</t>
        </is>
      </c>
      <c r="P1691" s="59" t="n">
        <v>103</v>
      </c>
      <c r="Q1691" s="59" t="inlineStr">
        <is>
          <t>MILKA FRANCIS</t>
        </is>
      </c>
      <c r="R1691" s="59" t="inlineStr">
        <is>
          <t>ESTOQUE DE MERCADORIAS</t>
        </is>
      </c>
      <c r="S1691" s="59" t="n">
        <v>1130101</v>
      </c>
      <c r="T1691" s="59" t="inlineStr">
        <is>
          <t>MERCADORIAS P/REVENDA</t>
        </is>
      </c>
      <c r="U1691" s="77" t="n">
        <v>228</v>
      </c>
      <c r="W1691" s="59" t="n">
        <v>228</v>
      </c>
      <c r="X1691" s="59" t="inlineStr">
        <is>
          <t>NF 10753 CASA NOSTRA - MILKA</t>
        </is>
      </c>
      <c r="Z1691" s="59">
        <f>IF($T1691="","",IFERROR(INDEX('Resumo Grupos'!$AC$3:$AC$200,MATCH($T1691,'Resumo Grupos'!$AB$3:$AB$200,0)),"n/d"))</f>
        <v/>
      </c>
      <c r="AA1691" s="59">
        <f>IF($T1691="","",IF(COUNTIF('Resumo Grupos'!$AE$3:$AE$40,$T1691)&gt;0,"NAO","SIM"))</f>
        <v/>
      </c>
    </row>
    <row r="1692" ht="12.75" customHeight="1" s="60">
      <c r="A1692" s="59" t="n">
        <v>1</v>
      </c>
      <c r="B1692" s="75" t="n">
        <v>46226</v>
      </c>
      <c r="C1692" s="75" t="n">
        <v>46238</v>
      </c>
      <c r="D1692" s="59" t="n">
        <v>1402</v>
      </c>
      <c r="E1692" s="59" t="inlineStr">
        <is>
          <t>TRIPLASTIK COMERCIAL</t>
        </is>
      </c>
      <c r="F1692" s="59" t="n">
        <v>24</v>
      </c>
      <c r="G1692" s="59" t="inlineStr">
        <is>
          <t>Compra a Prazo - Boletos</t>
        </is>
      </c>
      <c r="H1692" s="59" t="n">
        <v>2110101</v>
      </c>
      <c r="I1692" s="59" t="inlineStr">
        <is>
          <t>FORNECEDORES DE MERCADORIA</t>
        </is>
      </c>
      <c r="J1692" s="59" t="n">
        <v>1439539</v>
      </c>
      <c r="L1692" s="59" t="n">
        <v>3735</v>
      </c>
      <c r="M1692" s="59" t="inlineStr">
        <is>
          <t>01</t>
        </is>
      </c>
      <c r="N1692" s="59" t="inlineStr">
        <is>
          <t>AVU</t>
        </is>
      </c>
      <c r="P1692" s="59" t="n">
        <v>103</v>
      </c>
      <c r="Q1692" s="59" t="inlineStr">
        <is>
          <t>MILKA FRANCIS</t>
        </is>
      </c>
      <c r="R1692" s="59" t="inlineStr">
        <is>
          <t>DESPESAS OPERACIONAIS</t>
        </is>
      </c>
      <c r="S1692" s="59" t="n">
        <v>4210299</v>
      </c>
      <c r="T1692" s="59" t="inlineStr">
        <is>
          <t>DESPESA DE VENDA</t>
        </is>
      </c>
      <c r="U1692" s="77" t="n">
        <v>2771.05</v>
      </c>
      <c r="W1692" s="59" t="n">
        <v>2771.05</v>
      </c>
      <c r="X1692" s="59" t="inlineStr">
        <is>
          <t>NF3735 USO E CONSUMO/ SACO PAPEL/ SACOLAS PLASTICA/ SACO PEAD - MILKA</t>
        </is>
      </c>
      <c r="Z1692" s="59">
        <f>IF($T1692="","",IFERROR(INDEX('Resumo Grupos'!$AC$3:$AC$200,MATCH($T1692,'Resumo Grupos'!$AB$3:$AB$200,0)),"n/d"))</f>
        <v/>
      </c>
      <c r="AA1692" s="59">
        <f>IF($T1692="","",IF(COUNTIF('Resumo Grupos'!$AE$3:$AE$40,$T1692)&gt;0,"NAO","SIM"))</f>
        <v/>
      </c>
    </row>
    <row r="1693" ht="12.75" customHeight="1" s="60">
      <c r="A1693" s="59" t="n">
        <v>1</v>
      </c>
      <c r="B1693" s="75" t="n">
        <v>46232</v>
      </c>
      <c r="C1693" s="75" t="n">
        <v>46238</v>
      </c>
      <c r="D1693" s="59" t="n">
        <v>1642</v>
      </c>
      <c r="E1693" s="59" t="inlineStr">
        <is>
          <t>BROTHERS  INDUSTRIA DE ALIMENTOS LTDA</t>
        </is>
      </c>
      <c r="F1693" s="59" t="n">
        <v>24</v>
      </c>
      <c r="G1693" s="59" t="inlineStr">
        <is>
          <t>Compra a Prazo - Boletos</t>
        </is>
      </c>
      <c r="H1693" s="59" t="n">
        <v>2110405</v>
      </c>
      <c r="I1693" s="59" t="inlineStr">
        <is>
          <t>CONTAS A PAGAR</t>
        </is>
      </c>
      <c r="J1693" s="59" t="n">
        <v>1469751</v>
      </c>
      <c r="L1693" s="59" t="n">
        <v>1033944</v>
      </c>
      <c r="M1693" s="59" t="inlineStr">
        <is>
          <t>01</t>
        </is>
      </c>
      <c r="N1693" s="59" t="inlineStr">
        <is>
          <t>AVU</t>
        </is>
      </c>
      <c r="P1693" s="59" t="n">
        <v>103</v>
      </c>
      <c r="Q1693" s="59" t="inlineStr">
        <is>
          <t>MILKA FRANCIS</t>
        </is>
      </c>
      <c r="R1693" s="59" t="inlineStr">
        <is>
          <t>ESTOQUE DE MERCADORIAS</t>
        </is>
      </c>
      <c r="S1693" s="59" t="n">
        <v>1130101</v>
      </c>
      <c r="T1693" s="59" t="inlineStr">
        <is>
          <t>MERCADORIAS P/REVENDA</t>
        </is>
      </c>
      <c r="U1693" s="77" t="n">
        <v>554.3</v>
      </c>
      <c r="W1693" s="59" t="n">
        <v>554.3</v>
      </c>
      <c r="X1693" s="59" t="inlineStr">
        <is>
          <t>NF 1033944 - MILKA</t>
        </is>
      </c>
      <c r="Z1693" s="59">
        <f>IF($T1693="","",IFERROR(INDEX('Resumo Grupos'!$AC$3:$AC$200,MATCH($T1693,'Resumo Grupos'!$AB$3:$AB$200,0)),"n/d"))</f>
        <v/>
      </c>
      <c r="AA1693" s="59">
        <f>IF($T1693="","",IF(COUNTIF('Resumo Grupos'!$AE$3:$AE$40,$T1693)&gt;0,"NAO","SIM"))</f>
        <v/>
      </c>
    </row>
    <row r="1694" ht="12.75" customHeight="1" s="60">
      <c r="A1694" s="59" t="n">
        <v>1</v>
      </c>
      <c r="B1694" s="75" t="n">
        <v>46232</v>
      </c>
      <c r="C1694" s="75" t="n">
        <v>46238</v>
      </c>
      <c r="D1694" s="59" t="n">
        <v>1286</v>
      </c>
      <c r="E1694" s="59" t="inlineStr">
        <is>
          <t>VITAPAN COMERCIO VAREJISTA DE PRODUTOS ALIMENTICIOS LTDA</t>
        </is>
      </c>
      <c r="F1694" s="59" t="n">
        <v>24</v>
      </c>
      <c r="G1694" s="59" t="inlineStr">
        <is>
          <t>Compra a Prazo - Boletos</t>
        </is>
      </c>
      <c r="H1694" s="59" t="n">
        <v>2110405</v>
      </c>
      <c r="I1694" s="59" t="inlineStr">
        <is>
          <t>CONTAS A PAGAR</t>
        </is>
      </c>
      <c r="J1694" s="59" t="n">
        <v>1469776</v>
      </c>
      <c r="L1694" s="59" t="n">
        <v>10419</v>
      </c>
      <c r="M1694" s="59" t="inlineStr">
        <is>
          <t>01</t>
        </is>
      </c>
      <c r="N1694" s="59" t="inlineStr">
        <is>
          <t>AVU</t>
        </is>
      </c>
      <c r="P1694" s="59" t="n">
        <v>103</v>
      </c>
      <c r="Q1694" s="59" t="inlineStr">
        <is>
          <t>MILKA FRANCIS</t>
        </is>
      </c>
      <c r="R1694" s="59" t="inlineStr">
        <is>
          <t>ESTOQUE DE MERCADORIAS</t>
        </is>
      </c>
      <c r="S1694" s="59" t="n">
        <v>1130101</v>
      </c>
      <c r="T1694" s="59" t="inlineStr">
        <is>
          <t>MERCADORIAS P/REVENDA</t>
        </is>
      </c>
      <c r="U1694" s="77" t="n">
        <v>864</v>
      </c>
      <c r="W1694" s="59" t="n">
        <v>864</v>
      </c>
      <c r="X1694" s="59" t="inlineStr">
        <is>
          <t>NF 10419 - MILKA</t>
        </is>
      </c>
      <c r="Z1694" s="59">
        <f>IF($T1694="","",IFERROR(INDEX('Resumo Grupos'!$AC$3:$AC$200,MATCH($T1694,'Resumo Grupos'!$AB$3:$AB$200,0)),"n/d"))</f>
        <v/>
      </c>
      <c r="AA1694" s="59">
        <f>IF($T1694="","",IF(COUNTIF('Resumo Grupos'!$AE$3:$AE$40,$T1694)&gt;0,"NAO","SIM"))</f>
        <v/>
      </c>
    </row>
    <row r="1695" ht="12.75" customHeight="1" s="60">
      <c r="A1695" s="59" t="n">
        <v>1</v>
      </c>
      <c r="B1695" s="75" t="n">
        <v>46233</v>
      </c>
      <c r="C1695" s="75" t="n">
        <v>46238</v>
      </c>
      <c r="D1695" s="59" t="n">
        <v>1899</v>
      </c>
      <c r="E1695" s="59" t="inlineStr">
        <is>
          <t>PANIFICADORA E CONFEITARIA REAL MADRI LTDA</t>
        </is>
      </c>
      <c r="F1695" s="59" t="n">
        <v>24</v>
      </c>
      <c r="G1695" s="59" t="inlineStr">
        <is>
          <t>Compra a Prazo - Boletos</t>
        </is>
      </c>
      <c r="H1695" s="59" t="n">
        <v>2110405</v>
      </c>
      <c r="I1695" s="59" t="inlineStr">
        <is>
          <t>CONTAS A PAGAR</t>
        </is>
      </c>
      <c r="J1695" s="59" t="n">
        <v>1474627</v>
      </c>
      <c r="L1695" s="59" t="n">
        <v>738</v>
      </c>
      <c r="M1695" s="59" t="inlineStr">
        <is>
          <t>01</t>
        </is>
      </c>
      <c r="N1695" s="59" t="inlineStr">
        <is>
          <t>AVU</t>
        </is>
      </c>
      <c r="P1695" s="59" t="n">
        <v>103</v>
      </c>
      <c r="Q1695" s="59" t="inlineStr">
        <is>
          <t>MILKA FRANCIS</t>
        </is>
      </c>
      <c r="R1695" s="59" t="inlineStr">
        <is>
          <t>ESTOQUE DE MERCADORIAS</t>
        </is>
      </c>
      <c r="S1695" s="59" t="n">
        <v>1130101</v>
      </c>
      <c r="T1695" s="59" t="inlineStr">
        <is>
          <t>MERCADORIAS P/REVENDA</t>
        </is>
      </c>
      <c r="U1695" s="77" t="n">
        <v>700</v>
      </c>
      <c r="W1695" s="59" t="n">
        <v>700</v>
      </c>
      <c r="X1695" s="59" t="inlineStr">
        <is>
          <t>NF 738 - MILKA</t>
        </is>
      </c>
      <c r="Z1695" s="59">
        <f>IF($T1695="","",IFERROR(INDEX('Resumo Grupos'!$AC$3:$AC$200,MATCH($T1695,'Resumo Grupos'!$AB$3:$AB$200,0)),"n/d"))</f>
        <v/>
      </c>
      <c r="AA1695" s="59">
        <f>IF($T1695="","",IF(COUNTIF('Resumo Grupos'!$AE$3:$AE$40,$T1695)&gt;0,"NAO","SIM"))</f>
        <v/>
      </c>
    </row>
    <row r="1696" ht="12.75" customHeight="1" s="60">
      <c r="A1696" s="59" t="n">
        <v>1</v>
      </c>
      <c r="B1696" s="75" t="n">
        <v>46235</v>
      </c>
      <c r="C1696" s="75" t="n">
        <v>46238</v>
      </c>
      <c r="D1696" s="59" t="n">
        <v>642</v>
      </c>
      <c r="E1696" s="59" t="inlineStr">
        <is>
          <t>ADICSO FABIAN GONZALEZ MONTILLA 70302186</t>
        </is>
      </c>
      <c r="F1696" s="59" t="n">
        <v>24</v>
      </c>
      <c r="G1696" s="59" t="inlineStr">
        <is>
          <t>Compra a Prazo - Boletos</t>
        </is>
      </c>
      <c r="H1696" s="59" t="n">
        <v>2110405</v>
      </c>
      <c r="I1696" s="59" t="inlineStr">
        <is>
          <t>CONTAS A PAGAR</t>
        </is>
      </c>
      <c r="J1696" s="59" t="n">
        <v>1481714</v>
      </c>
      <c r="L1696" s="59" t="n">
        <v>568</v>
      </c>
      <c r="M1696" s="59" t="inlineStr">
        <is>
          <t>01</t>
        </is>
      </c>
      <c r="N1696" s="59" t="inlineStr">
        <is>
          <t>AVU</t>
        </is>
      </c>
      <c r="P1696" s="59" t="n">
        <v>103</v>
      </c>
      <c r="Q1696" s="59" t="inlineStr">
        <is>
          <t>MILKA FRANCIS</t>
        </is>
      </c>
      <c r="R1696" s="59" t="inlineStr">
        <is>
          <t>ESTOQUE DE MERCADORIAS</t>
        </is>
      </c>
      <c r="S1696" s="59" t="n">
        <v>1130101</v>
      </c>
      <c r="T1696" s="59" t="inlineStr">
        <is>
          <t>MERCADORIAS P/REVENDA</t>
        </is>
      </c>
      <c r="U1696" s="77" t="n">
        <v>840</v>
      </c>
      <c r="W1696" s="59" t="n">
        <v>840</v>
      </c>
      <c r="X1696" s="59" t="inlineStr">
        <is>
          <t>NF 568 BLOOM - MILKA</t>
        </is>
      </c>
      <c r="Z1696" s="59">
        <f>IF($T1696="","",IFERROR(INDEX('Resumo Grupos'!$AC$3:$AC$200,MATCH($T1696,'Resumo Grupos'!$AB$3:$AB$200,0)),"n/d"))</f>
        <v/>
      </c>
      <c r="AA1696" s="59">
        <f>IF($T1696="","",IF(COUNTIF('Resumo Grupos'!$AE$3:$AE$40,$T1696)&gt;0,"NAO","SIM"))</f>
        <v/>
      </c>
    </row>
    <row r="1697" ht="12.75" customHeight="1" s="60">
      <c r="A1697" s="59" t="n">
        <v>1</v>
      </c>
      <c r="B1697" s="75" t="n">
        <v>46238</v>
      </c>
      <c r="C1697" s="75" t="n">
        <v>46238</v>
      </c>
      <c r="D1697" s="59" t="n">
        <v>862</v>
      </c>
      <c r="E1697" s="59" t="inlineStr">
        <is>
          <t>ACL REPARACAO E TECNOLOGIA DA INFORMACAO LTDA</t>
        </is>
      </c>
      <c r="F1697" s="59" t="n">
        <v>24</v>
      </c>
      <c r="G1697" s="59" t="inlineStr">
        <is>
          <t>Compra a Prazo - Boletos</t>
        </is>
      </c>
      <c r="H1697" s="59" t="n">
        <v>2110405</v>
      </c>
      <c r="I1697" s="59" t="inlineStr">
        <is>
          <t>CONTAS A PAGAR</t>
        </is>
      </c>
      <c r="J1697" s="59" t="n">
        <v>1498819</v>
      </c>
      <c r="L1697" s="59" t="n">
        <v>614572</v>
      </c>
      <c r="M1697" s="59" t="inlineStr">
        <is>
          <t>01</t>
        </is>
      </c>
      <c r="N1697" s="59" t="inlineStr">
        <is>
          <t>AVU</t>
        </is>
      </c>
      <c r="P1697" s="59" t="n">
        <v>101</v>
      </c>
      <c r="Q1697" s="59" t="inlineStr">
        <is>
          <t>KEILA LIMA</t>
        </is>
      </c>
      <c r="R1697" s="59" t="inlineStr">
        <is>
          <t>DESPESAS OPERACIONAIS</t>
        </is>
      </c>
      <c r="S1697" s="59" t="n">
        <v>4210233</v>
      </c>
      <c r="T1697" s="59" t="inlineStr">
        <is>
          <t>MENSALIDADE TI</t>
        </is>
      </c>
      <c r="U1697" s="77" t="n">
        <v>270.9</v>
      </c>
      <c r="W1697" s="59" t="n">
        <v>270.9</v>
      </c>
      <c r="X1697" s="59" t="inlineStr">
        <is>
          <t>MENSALIDADE DO TI RUAN MO1 - KEILA</t>
        </is>
      </c>
      <c r="Z1697" s="59">
        <f>IF($T1697="","",IFERROR(INDEX('Resumo Grupos'!$AC$3:$AC$200,MATCH($T1697,'Resumo Grupos'!$AB$3:$AB$200,0)),"n/d"))</f>
        <v/>
      </c>
      <c r="AA1697" s="59">
        <f>IF($T1697="","",IF(COUNTIF('Resumo Grupos'!$AE$3:$AE$40,$T1697)&gt;0,"NAO","SIM"))</f>
        <v/>
      </c>
    </row>
    <row r="1698" ht="12.75" customHeight="1" s="60">
      <c r="A1698" s="59" t="n">
        <v>1</v>
      </c>
      <c r="B1698" s="75" t="n">
        <v>46238</v>
      </c>
      <c r="C1698" s="75" t="n">
        <v>46238</v>
      </c>
      <c r="D1698" s="59" t="n">
        <v>16</v>
      </c>
      <c r="E1698" s="59" t="inlineStr">
        <is>
          <t>RENATO DE OLIVEIRA AZEVEDO</t>
        </is>
      </c>
      <c r="F1698" s="59" t="n">
        <v>24</v>
      </c>
      <c r="G1698" s="59" t="inlineStr">
        <is>
          <t>Compra a Prazo - Boletos</t>
        </is>
      </c>
      <c r="H1698" s="59" t="n">
        <v>2110405</v>
      </c>
      <c r="I1698" s="59" t="inlineStr">
        <is>
          <t>CONTAS A PAGAR</t>
        </is>
      </c>
      <c r="J1698" s="59" t="n">
        <v>1498827</v>
      </c>
      <c r="L1698" s="59" t="n">
        <v>614573</v>
      </c>
      <c r="M1698" s="59" t="inlineStr">
        <is>
          <t>01</t>
        </is>
      </c>
      <c r="N1698" s="59" t="inlineStr">
        <is>
          <t>AVU</t>
        </is>
      </c>
      <c r="P1698" s="59" t="n">
        <v>101</v>
      </c>
      <c r="Q1698" s="59" t="inlineStr">
        <is>
          <t>KEILA LIMA</t>
        </is>
      </c>
      <c r="R1698" s="59" t="inlineStr">
        <is>
          <t>DESPESAS NAO OPERACIONAIS</t>
        </is>
      </c>
      <c r="S1698" s="59" t="n">
        <v>4220199</v>
      </c>
      <c r="T1698" s="59" t="inlineStr">
        <is>
          <t>PAGAMENTOS OUTROS NAO OPERACIONAIS</t>
        </is>
      </c>
      <c r="U1698" s="77" t="n">
        <v>262.5</v>
      </c>
      <c r="W1698" s="59" t="n">
        <v>262.5</v>
      </c>
      <c r="X1698" s="59" t="inlineStr">
        <is>
          <t xml:space="preserve">PL RENATO SISTEMA DN </t>
        </is>
      </c>
      <c r="Z1698" s="59">
        <f>IF($T1698="","",IFERROR(INDEX('Resumo Grupos'!$AC$3:$AC$200,MATCH($T1698,'Resumo Grupos'!$AB$3:$AB$200,0)),"n/d"))</f>
        <v/>
      </c>
      <c r="AA1698" s="59">
        <f>IF($T1698="","",IF(COUNTIF('Resumo Grupos'!$AE$3:$AE$40,$T1698)&gt;0,"NAO","SIM"))</f>
        <v/>
      </c>
    </row>
    <row r="1699" ht="12.75" customHeight="1" s="60">
      <c r="A1699" s="59" t="n">
        <v>1</v>
      </c>
      <c r="B1699" s="75" t="n">
        <v>46238</v>
      </c>
      <c r="C1699" s="75" t="n">
        <v>46238</v>
      </c>
      <c r="D1699" s="59" t="n">
        <v>33</v>
      </c>
      <c r="E1699" s="59" t="inlineStr">
        <is>
          <t>RENATO DE O AZEVEDO E CIA LTDA - EPP</t>
        </is>
      </c>
      <c r="F1699" s="59" t="n">
        <v>13</v>
      </c>
      <c r="G1699" s="59" t="inlineStr">
        <is>
          <t>Compra a Vista</t>
        </is>
      </c>
      <c r="H1699" s="59" t="n">
        <v>2110101</v>
      </c>
      <c r="I1699" s="59" t="inlineStr">
        <is>
          <t>FORNECEDORES DE MERCADORIA</t>
        </is>
      </c>
      <c r="J1699" s="59" t="n">
        <v>1499090</v>
      </c>
      <c r="L1699" s="59" t="n">
        <v>5427</v>
      </c>
      <c r="M1699" s="59" t="inlineStr">
        <is>
          <t>01</t>
        </is>
      </c>
      <c r="N1699" s="59" t="inlineStr">
        <is>
          <t>NFE</t>
        </is>
      </c>
      <c r="P1699" s="59" t="n">
        <v>104</v>
      </c>
      <c r="Q1699" s="59" t="inlineStr">
        <is>
          <t>DEBORA COSTA</t>
        </is>
      </c>
      <c r="R1699" s="59" t="inlineStr">
        <is>
          <t>ESTOQUE DE MERCADORIAS</t>
        </is>
      </c>
      <c r="S1699" s="59" t="n">
        <v>1130101</v>
      </c>
      <c r="T1699" s="59" t="inlineStr">
        <is>
          <t>MERCADORIAS P/REVENDA</t>
        </is>
      </c>
      <c r="U1699" s="77" t="n">
        <v>200</v>
      </c>
      <c r="W1699" s="59" t="n">
        <v>200</v>
      </c>
      <c r="X1699" s="59" t="inlineStr">
        <is>
          <t>10 KG PITAYA - DEBORA</t>
        </is>
      </c>
      <c r="Z1699" s="59">
        <f>IF($T1699="","",IFERROR(INDEX('Resumo Grupos'!$AC$3:$AC$200,MATCH($T1699,'Resumo Grupos'!$AB$3:$AB$200,0)),"n/d"))</f>
        <v/>
      </c>
      <c r="AA1699" s="59">
        <f>IF($T1699="","",IF(COUNTIF('Resumo Grupos'!$AE$3:$AE$40,$T1699)&gt;0,"NAO","SIM"))</f>
        <v/>
      </c>
    </row>
    <row r="1700" ht="12.75" customHeight="1" s="60">
      <c r="A1700" s="59" t="n">
        <v>1</v>
      </c>
      <c r="B1700" s="75" t="n">
        <v>46238</v>
      </c>
      <c r="C1700" s="75" t="n">
        <v>46238</v>
      </c>
      <c r="D1700" s="59" t="n">
        <v>1961</v>
      </c>
      <c r="E1700" s="59" t="inlineStr">
        <is>
          <t xml:space="preserve">ALMOCO </t>
        </is>
      </c>
      <c r="F1700" s="59" t="n">
        <v>34</v>
      </c>
      <c r="G1700" s="59" t="inlineStr">
        <is>
          <t>Transferencia Pix</t>
        </is>
      </c>
      <c r="H1700" s="59" t="n">
        <v>2110405</v>
      </c>
      <c r="I1700" s="59" t="inlineStr">
        <is>
          <t>CONTAS A PAGAR</t>
        </is>
      </c>
      <c r="J1700" s="59" t="n">
        <v>1500417</v>
      </c>
      <c r="L1700" s="59" t="n">
        <v>615017</v>
      </c>
      <c r="M1700" s="59" t="inlineStr">
        <is>
          <t>01</t>
        </is>
      </c>
      <c r="N1700" s="59" t="inlineStr">
        <is>
          <t>AVU</t>
        </is>
      </c>
      <c r="P1700" s="59" t="n">
        <v>101</v>
      </c>
      <c r="Q1700" s="59" t="inlineStr">
        <is>
          <t>KEILA LIMA</t>
        </is>
      </c>
      <c r="R1700" s="59" t="inlineStr">
        <is>
          <t>DESPESAS COM PESSOAL</t>
        </is>
      </c>
      <c r="S1700" s="59" t="n">
        <v>4210310</v>
      </c>
      <c r="T1700" s="59" t="inlineStr">
        <is>
          <t>ALIMENTACAO</t>
        </is>
      </c>
      <c r="U1700" s="77" t="n">
        <v>380</v>
      </c>
      <c r="W1700" s="59" t="n">
        <v>380</v>
      </c>
      <c r="X1700" s="59" t="inlineStr">
        <is>
          <t>ALMOCO MO1 04/08 - KEILA</t>
        </is>
      </c>
      <c r="Z1700" s="59">
        <f>IF($T1700="","",IFERROR(INDEX('Resumo Grupos'!$AC$3:$AC$200,MATCH($T1700,'Resumo Grupos'!$AB$3:$AB$200,0)),"n/d"))</f>
        <v/>
      </c>
      <c r="AA1700" s="59">
        <f>IF($T1700="","",IF(COUNTIF('Resumo Grupos'!$AE$3:$AE$40,$T1700)&gt;0,"NAO","SIM"))</f>
        <v/>
      </c>
    </row>
    <row r="1701" ht="12.75" customHeight="1" s="60">
      <c r="A1701" s="59" t="n">
        <v>1</v>
      </c>
      <c r="B1701" s="75" t="n">
        <v>46238</v>
      </c>
      <c r="C1701" s="75" t="n">
        <v>46238</v>
      </c>
      <c r="D1701" s="59" t="n">
        <v>514</v>
      </c>
      <c r="E1701" s="59" t="inlineStr">
        <is>
          <t>SANTANDER SA</t>
        </is>
      </c>
      <c r="F1701" s="59" t="n">
        <v>34</v>
      </c>
      <c r="G1701" s="59" t="inlineStr">
        <is>
          <t>Transferencia Pix</t>
        </is>
      </c>
      <c r="H1701" s="59" t="n">
        <v>2110405</v>
      </c>
      <c r="I1701" s="59" t="inlineStr">
        <is>
          <t>CONTAS A PAGAR</t>
        </is>
      </c>
      <c r="J1701" s="59" t="n">
        <v>1500532</v>
      </c>
      <c r="L1701" s="59" t="n">
        <v>615044</v>
      </c>
      <c r="M1701" s="59" t="inlineStr">
        <is>
          <t>01</t>
        </is>
      </c>
      <c r="N1701" s="59" t="inlineStr">
        <is>
          <t>AVU</t>
        </is>
      </c>
      <c r="P1701" s="59" t="n">
        <v>101</v>
      </c>
      <c r="Q1701" s="59" t="inlineStr">
        <is>
          <t>KEILA LIMA</t>
        </is>
      </c>
      <c r="R1701" s="59" t="inlineStr">
        <is>
          <t>DESPESAS NAO OPERACIONAIS</t>
        </is>
      </c>
      <c r="S1701" s="59" t="n">
        <v>4220199</v>
      </c>
      <c r="T1701" s="59" t="inlineStr">
        <is>
          <t>PAGAMENTOS OUTROS NAO OPERACIONAIS</t>
        </is>
      </c>
      <c r="U1701" s="77" t="n">
        <v>50</v>
      </c>
      <c r="W1701" s="59" t="n">
        <v>50</v>
      </c>
      <c r="X1701" s="59" t="inlineStr">
        <is>
          <t>OUTROS COBERTURA CONTA SANT 1 VELHO - KEILA</t>
        </is>
      </c>
      <c r="Z1701" s="59">
        <f>IF($T1701="","",IFERROR(INDEX('Resumo Grupos'!$AC$3:$AC$200,MATCH($T1701,'Resumo Grupos'!$AB$3:$AB$200,0)),"n/d"))</f>
        <v/>
      </c>
      <c r="AA1701" s="59">
        <f>IF($T1701="","",IF(COUNTIF('Resumo Grupos'!$AE$3:$AE$40,$T1701)&gt;0,"NAO","SIM"))</f>
        <v/>
      </c>
    </row>
    <row r="1702" ht="12.75" customHeight="1" s="60">
      <c r="A1702" s="59" t="n">
        <v>1</v>
      </c>
      <c r="B1702" s="75" t="n">
        <v>46238</v>
      </c>
      <c r="C1702" s="75" t="n">
        <v>46238</v>
      </c>
      <c r="D1702" s="59" t="n">
        <v>17</v>
      </c>
      <c r="E1702" s="59" t="inlineStr">
        <is>
          <t>NEYLIANE SILVA DE OLIVEIRA</t>
        </is>
      </c>
      <c r="F1702" s="59" t="n">
        <v>34</v>
      </c>
      <c r="G1702" s="59" t="inlineStr">
        <is>
          <t>Transferencia Pix</t>
        </is>
      </c>
      <c r="H1702" s="59" t="n">
        <v>2110405</v>
      </c>
      <c r="I1702" s="59" t="inlineStr">
        <is>
          <t>CONTAS A PAGAR</t>
        </is>
      </c>
      <c r="J1702" s="59" t="n">
        <v>1500762</v>
      </c>
      <c r="L1702" s="59" t="n">
        <v>615096</v>
      </c>
      <c r="M1702" s="59" t="inlineStr">
        <is>
          <t>01</t>
        </is>
      </c>
      <c r="N1702" s="59" t="inlineStr">
        <is>
          <t>AVU</t>
        </is>
      </c>
      <c r="P1702" s="59" t="n">
        <v>101</v>
      </c>
      <c r="Q1702" s="59" t="inlineStr">
        <is>
          <t>KEILA LIMA</t>
        </is>
      </c>
      <c r="R1702" s="59" t="inlineStr">
        <is>
          <t>DESPESAS OPERACIONAIS</t>
        </is>
      </c>
      <c r="S1702" s="59" t="n">
        <v>4210222</v>
      </c>
      <c r="T1702" s="59" t="inlineStr">
        <is>
          <t>TREINAMENTO/CONSULTORIAS</t>
        </is>
      </c>
      <c r="U1702" s="77" t="n">
        <v>514.36</v>
      </c>
      <c r="W1702" s="59" t="n">
        <v>514.36</v>
      </c>
      <c r="X1702" s="59" t="inlineStr">
        <is>
          <t>PAG DESPESA CURSOS E TELEFONE - KEILA</t>
        </is>
      </c>
      <c r="Z1702" s="59">
        <f>IF($T1702="","",IFERROR(INDEX('Resumo Grupos'!$AC$3:$AC$200,MATCH($T1702,'Resumo Grupos'!$AB$3:$AB$200,0)),"n/d"))</f>
        <v/>
      </c>
      <c r="AA1702" s="59">
        <f>IF($T1702="","",IF(COUNTIF('Resumo Grupos'!$AE$3:$AE$40,$T1702)&gt;0,"NAO","SIM"))</f>
        <v/>
      </c>
    </row>
    <row r="1703" ht="12.75" customHeight="1" s="60">
      <c r="A1703" s="59" t="n">
        <v>1</v>
      </c>
      <c r="B1703" s="75" t="n">
        <v>46238</v>
      </c>
      <c r="C1703" s="75" t="n">
        <v>46238</v>
      </c>
      <c r="D1703" s="59" t="n">
        <v>33</v>
      </c>
      <c r="E1703" s="59" t="inlineStr">
        <is>
          <t>RENATO DE O AZEVEDO E CIA LTDA - EPP</t>
        </is>
      </c>
      <c r="F1703" s="59" t="n">
        <v>34</v>
      </c>
      <c r="G1703" s="59" t="inlineStr">
        <is>
          <t>Transferencia Pix</t>
        </is>
      </c>
      <c r="H1703" s="59" t="n">
        <v>2110101</v>
      </c>
      <c r="I1703" s="59" t="inlineStr">
        <is>
          <t>FORNECEDORES DE MERCADORIA</t>
        </is>
      </c>
      <c r="J1703" s="59" t="n">
        <v>1500738</v>
      </c>
      <c r="L1703" s="59" t="n">
        <v>5432</v>
      </c>
      <c r="M1703" s="59" t="inlineStr">
        <is>
          <t>01</t>
        </is>
      </c>
      <c r="N1703" s="59" t="inlineStr">
        <is>
          <t>NFE</t>
        </is>
      </c>
      <c r="P1703" s="59" t="n">
        <v>104</v>
      </c>
      <c r="Q1703" s="59" t="inlineStr">
        <is>
          <t>DEBORA COSTA</t>
        </is>
      </c>
      <c r="R1703" s="59" t="inlineStr">
        <is>
          <t>ESTOQUE DE MERCADORIAS</t>
        </is>
      </c>
      <c r="S1703" s="59" t="n">
        <v>1130101</v>
      </c>
      <c r="T1703" s="59" t="inlineStr">
        <is>
          <t>MERCADORIAS P/REVENDA</t>
        </is>
      </c>
      <c r="U1703" s="77" t="n">
        <v>2770</v>
      </c>
      <c r="W1703" s="59" t="n">
        <v>2770</v>
      </c>
      <c r="X1703" s="59" t="inlineStr">
        <is>
          <t>FEIRA RENATO - DEBORA</t>
        </is>
      </c>
      <c r="Z1703" s="59">
        <f>IF($T1703="","",IFERROR(INDEX('Resumo Grupos'!$AC$3:$AC$200,MATCH($T1703,'Resumo Grupos'!$AB$3:$AB$200,0)),"n/d"))</f>
        <v/>
      </c>
      <c r="AA1703" s="59">
        <f>IF($T1703="","",IF(COUNTIF('Resumo Grupos'!$AE$3:$AE$40,$T1703)&gt;0,"NAO","SIM"))</f>
        <v/>
      </c>
    </row>
    <row r="1704" ht="12.75" customHeight="1" s="60">
      <c r="A1704" s="59" t="n">
        <v>1</v>
      </c>
      <c r="B1704" s="75" t="n">
        <v>46238</v>
      </c>
      <c r="C1704" s="75" t="n">
        <v>46238</v>
      </c>
      <c r="D1704" s="59" t="n">
        <v>17</v>
      </c>
      <c r="E1704" s="59" t="inlineStr">
        <is>
          <t>NEYLIANE SILVA DE OLIVEIRA</t>
        </is>
      </c>
      <c r="F1704" s="59" t="n">
        <v>34</v>
      </c>
      <c r="G1704" s="59" t="inlineStr">
        <is>
          <t>Transferencia Pix</t>
        </is>
      </c>
      <c r="H1704" s="59" t="n">
        <v>1110202</v>
      </c>
      <c r="I1704" s="59" t="inlineStr">
        <is>
          <t>BANCO ITAU Lj 01</t>
        </is>
      </c>
      <c r="J1704" s="59" t="n">
        <v>1500772</v>
      </c>
      <c r="L1704" s="59" t="n">
        <v>615100</v>
      </c>
      <c r="M1704" s="59" t="inlineStr">
        <is>
          <t>01</t>
        </is>
      </c>
      <c r="N1704" s="59" t="inlineStr">
        <is>
          <t>AVU</t>
        </is>
      </c>
      <c r="P1704" s="59" t="n">
        <v>101</v>
      </c>
      <c r="Q1704" s="59" t="inlineStr">
        <is>
          <t>KEILA LIMA</t>
        </is>
      </c>
      <c r="R1704" s="59" t="inlineStr">
        <is>
          <t>DESPESAS NAO OPERACIONAIS</t>
        </is>
      </c>
      <c r="S1704" s="59" t="n">
        <v>4220199</v>
      </c>
      <c r="T1704" s="59" t="inlineStr">
        <is>
          <t>PAGAMENTOS OUTROS NAO OPERACIONAIS</t>
        </is>
      </c>
      <c r="U1704" s="77" t="n">
        <v>10000</v>
      </c>
      <c r="W1704" s="59" t="n">
        <v>10000</v>
      </c>
      <c r="X1704" s="59" t="inlineStr">
        <is>
          <t xml:space="preserve">PL NEILA OUTROS - KEILA </t>
        </is>
      </c>
      <c r="Z1704" s="59">
        <f>IF($T1704="","",IFERROR(INDEX('Resumo Grupos'!$AC$3:$AC$200,MATCH($T1704,'Resumo Grupos'!$AB$3:$AB$200,0)),"n/d"))</f>
        <v/>
      </c>
      <c r="AA1704" s="59">
        <f>IF($T1704="","",IF(COUNTIF('Resumo Grupos'!$AE$3:$AE$40,$T1704)&gt;0,"NAO","SIM"))</f>
        <v/>
      </c>
    </row>
    <row r="1705" ht="12.75" customHeight="1" s="60">
      <c r="A1705" s="59" t="n">
        <v>1</v>
      </c>
      <c r="B1705" s="75" t="n">
        <v>46238</v>
      </c>
      <c r="C1705" s="75" t="n">
        <v>46238</v>
      </c>
      <c r="D1705" s="59" t="n">
        <v>33</v>
      </c>
      <c r="E1705" s="59" t="inlineStr">
        <is>
          <t>RENATO DE O AZEVEDO E CIA LTDA - EPP</t>
        </is>
      </c>
      <c r="F1705" s="59" t="n">
        <v>34</v>
      </c>
      <c r="G1705" s="59" t="inlineStr">
        <is>
          <t>Transferencia Pix</t>
        </is>
      </c>
      <c r="H1705" s="59" t="n">
        <v>2110101</v>
      </c>
      <c r="I1705" s="59" t="inlineStr">
        <is>
          <t>FORNECEDORES DE MERCADORIA</t>
        </is>
      </c>
      <c r="J1705" s="59" t="n">
        <v>1500873</v>
      </c>
      <c r="L1705" s="59" t="n">
        <v>5437</v>
      </c>
      <c r="M1705" s="59" t="inlineStr">
        <is>
          <t>01</t>
        </is>
      </c>
      <c r="N1705" s="59" t="inlineStr">
        <is>
          <t>NFE</t>
        </is>
      </c>
      <c r="P1705" s="59" t="n">
        <v>104</v>
      </c>
      <c r="Q1705" s="59" t="inlineStr">
        <is>
          <t>DEBORA COSTA</t>
        </is>
      </c>
      <c r="R1705" s="59" t="inlineStr">
        <is>
          <t>ESTOQUE DE MERCADORIAS</t>
        </is>
      </c>
      <c r="S1705" s="59" t="n">
        <v>1130101</v>
      </c>
      <c r="T1705" s="59" t="inlineStr">
        <is>
          <t>MERCADORIAS P/REVENDA</t>
        </is>
      </c>
      <c r="U1705" s="77" t="n">
        <v>710</v>
      </c>
      <c r="W1705" s="59" t="n">
        <v>710</v>
      </c>
      <c r="X1705" s="59" t="inlineStr">
        <is>
          <t>BANANA PACOVAN - FEIRA RENATO - DEBORA</t>
        </is>
      </c>
      <c r="Z1705" s="59">
        <f>IF($T1705="","",IFERROR(INDEX('Resumo Grupos'!$AC$3:$AC$200,MATCH($T1705,'Resumo Grupos'!$AB$3:$AB$200,0)),"n/d"))</f>
        <v/>
      </c>
      <c r="AA1705" s="59">
        <f>IF($T1705="","",IF(COUNTIF('Resumo Grupos'!$AE$3:$AE$40,$T1705)&gt;0,"NAO","SIM"))</f>
        <v/>
      </c>
    </row>
    <row r="1706" ht="12.75" customHeight="1" s="60">
      <c r="A1706" s="59" t="n">
        <v>1</v>
      </c>
      <c r="B1706" s="75" t="n">
        <v>46238</v>
      </c>
      <c r="C1706" s="75" t="n">
        <v>46238</v>
      </c>
      <c r="D1706" s="59" t="n">
        <v>1639</v>
      </c>
      <c r="E1706" s="59" t="inlineStr">
        <is>
          <t>A L DE ALMEIDA NETO MINIMERCADOS-ME</t>
        </is>
      </c>
      <c r="F1706" s="59" t="n">
        <v>13</v>
      </c>
      <c r="G1706" s="59" t="inlineStr">
        <is>
          <t>Compra a Vista</t>
        </is>
      </c>
      <c r="H1706" s="59" t="n">
        <v>2110101</v>
      </c>
      <c r="I1706" s="59" t="inlineStr">
        <is>
          <t>FORNECEDORES DE MERCADORIA</t>
        </is>
      </c>
      <c r="J1706" s="59" t="n">
        <v>1508490</v>
      </c>
      <c r="L1706" s="59" t="n">
        <v>7322</v>
      </c>
      <c r="M1706" s="59" t="inlineStr">
        <is>
          <t>01</t>
        </is>
      </c>
      <c r="N1706" s="59" t="inlineStr">
        <is>
          <t>NFE</t>
        </is>
      </c>
      <c r="P1706" s="59" t="n">
        <v>104</v>
      </c>
      <c r="Q1706" s="59" t="inlineStr">
        <is>
          <t>DEBORA COSTA</t>
        </is>
      </c>
      <c r="R1706" s="59" t="inlineStr">
        <is>
          <t>ESTOQUE DE MERCADORIAS</t>
        </is>
      </c>
      <c r="S1706" s="59" t="n">
        <v>1130101</v>
      </c>
      <c r="T1706" s="59" t="inlineStr">
        <is>
          <t>MERCADORIAS P/REVENDA</t>
        </is>
      </c>
      <c r="U1706" s="77" t="n">
        <v>205</v>
      </c>
      <c r="W1706" s="59" t="n">
        <v>0</v>
      </c>
      <c r="X1706" s="59" t="inlineStr">
        <is>
          <t>NF 7322 - DEBORA</t>
        </is>
      </c>
      <c r="Z1706" s="59">
        <f>IF($T1706="","",IFERROR(INDEX('Resumo Grupos'!$AC$3:$AC$200,MATCH($T1706,'Resumo Grupos'!$AB$3:$AB$200,0)),"n/d"))</f>
        <v/>
      </c>
      <c r="AA1706" s="59">
        <f>IF($T1706="","",IF(COUNTIF('Resumo Grupos'!$AE$3:$AE$40,$T1706)&gt;0,"NAO","SIM"))</f>
        <v/>
      </c>
    </row>
    <row r="1707" ht="12.75" customHeight="1" s="60">
      <c r="A1707" s="59" t="n">
        <v>1</v>
      </c>
      <c r="B1707" s="75" t="n">
        <v>46238</v>
      </c>
      <c r="C1707" s="75" t="n">
        <v>46238</v>
      </c>
      <c r="D1707" s="59" t="n">
        <v>515</v>
      </c>
      <c r="E1707" s="59" t="inlineStr">
        <is>
          <t>ITAU SA</t>
        </is>
      </c>
      <c r="F1707" s="59" t="n">
        <v>34</v>
      </c>
      <c r="G1707" s="59" t="inlineStr">
        <is>
          <t>Transferencia Pix</t>
        </is>
      </c>
      <c r="H1707" s="59" t="n">
        <v>2110405</v>
      </c>
      <c r="I1707" s="59" t="inlineStr">
        <is>
          <t>CONTAS A PAGAR</t>
        </is>
      </c>
      <c r="J1707" s="59" t="n">
        <v>1509501</v>
      </c>
      <c r="L1707" s="59" t="n">
        <v>618408</v>
      </c>
      <c r="M1707" s="59" t="inlineStr">
        <is>
          <t>01</t>
        </is>
      </c>
      <c r="N1707" s="59" t="inlineStr">
        <is>
          <t>AVU</t>
        </is>
      </c>
      <c r="P1707" s="59" t="n">
        <v>102</v>
      </c>
      <c r="Q1707" s="59" t="inlineStr">
        <is>
          <t>ANDREZA ANDRADE</t>
        </is>
      </c>
      <c r="R1707" s="59" t="inlineStr">
        <is>
          <t>DESPESAS FINANCEIRAS</t>
        </is>
      </c>
      <c r="S1707" s="59" t="n">
        <v>4210504</v>
      </c>
      <c r="T1707" s="59" t="inlineStr">
        <is>
          <t>DESPESAS BANCARIAS</t>
        </is>
      </c>
      <c r="U1707" s="77" t="n">
        <v>32.17</v>
      </c>
      <c r="W1707" s="59" t="n">
        <v>32.17</v>
      </c>
      <c r="X1707" s="59" t="inlineStr">
        <is>
          <t>TAR PIXQR LIQ MAQUININHA ITAU1-ANDREZA</t>
        </is>
      </c>
      <c r="Z1707" s="59">
        <f>IF($T1707="","",IFERROR(INDEX('Resumo Grupos'!$AC$3:$AC$200,MATCH($T1707,'Resumo Grupos'!$AB$3:$AB$200,0)),"n/d"))</f>
        <v/>
      </c>
      <c r="AA1707" s="59">
        <f>IF($T1707="","",IF(COUNTIF('Resumo Grupos'!$AE$3:$AE$40,$T1707)&gt;0,"NAO","SIM"))</f>
        <v/>
      </c>
    </row>
    <row r="1708" ht="12.75" customHeight="1" s="60">
      <c r="A1708" s="59" t="n">
        <v>1</v>
      </c>
      <c r="B1708" s="75" t="n">
        <v>46238</v>
      </c>
      <c r="C1708" s="75" t="n">
        <v>46238</v>
      </c>
      <c r="D1708" s="59" t="n">
        <v>515</v>
      </c>
      <c r="E1708" s="59" t="inlineStr">
        <is>
          <t>ITAU SA</t>
        </is>
      </c>
      <c r="F1708" s="59" t="n">
        <v>34</v>
      </c>
      <c r="G1708" s="59" t="inlineStr">
        <is>
          <t>Transferencia Pix</t>
        </is>
      </c>
      <c r="H1708" s="59" t="n">
        <v>2110405</v>
      </c>
      <c r="I1708" s="59" t="inlineStr">
        <is>
          <t>CONTAS A PAGAR</t>
        </is>
      </c>
      <c r="J1708" s="59" t="n">
        <v>1509530</v>
      </c>
      <c r="L1708" s="59" t="n">
        <v>618414</v>
      </c>
      <c r="M1708" s="59" t="inlineStr">
        <is>
          <t>01</t>
        </is>
      </c>
      <c r="N1708" s="59" t="inlineStr">
        <is>
          <t>AVU</t>
        </is>
      </c>
      <c r="P1708" s="59" t="n">
        <v>102</v>
      </c>
      <c r="Q1708" s="59" t="inlineStr">
        <is>
          <t>ANDREZA ANDRADE</t>
        </is>
      </c>
      <c r="R1708" s="59" t="inlineStr">
        <is>
          <t>DESPESAS FINANCEIRAS</t>
        </is>
      </c>
      <c r="S1708" s="59" t="n">
        <v>4210505</v>
      </c>
      <c r="T1708" s="59" t="inlineStr">
        <is>
          <t>IOF - OPERACOES FINANCEIRAS</t>
        </is>
      </c>
      <c r="U1708" s="77" t="n">
        <v>584.66</v>
      </c>
      <c r="W1708" s="59" t="n">
        <v>584.66</v>
      </c>
      <c r="X1708" s="59" t="inlineStr">
        <is>
          <t>DESPESA -IOF 608363511-7 C/C</t>
        </is>
      </c>
      <c r="Z1708" s="59">
        <f>IF($T1708="","",IFERROR(INDEX('Resumo Grupos'!$AC$3:$AC$200,MATCH($T1708,'Resumo Grupos'!$AB$3:$AB$200,0)),"n/d"))</f>
        <v/>
      </c>
      <c r="AA1708" s="59">
        <f>IF($T1708="","",IF(COUNTIF('Resumo Grupos'!$AE$3:$AE$40,$T1708)&gt;0,"NAO","SIM"))</f>
        <v/>
      </c>
    </row>
    <row r="1709" ht="12.75" customHeight="1" s="60">
      <c r="A1709" s="59" t="n">
        <v>1</v>
      </c>
      <c r="B1709" s="75" t="n">
        <v>46238</v>
      </c>
      <c r="C1709" s="75" t="n">
        <v>46238</v>
      </c>
      <c r="D1709" s="59" t="n">
        <v>515</v>
      </c>
      <c r="E1709" s="59" t="inlineStr">
        <is>
          <t>ITAU SA</t>
        </is>
      </c>
      <c r="F1709" s="59" t="n">
        <v>34</v>
      </c>
      <c r="G1709" s="59" t="inlineStr">
        <is>
          <t>Transferencia Pix</t>
        </is>
      </c>
      <c r="H1709" s="59" t="n">
        <v>2110405</v>
      </c>
      <c r="I1709" s="59" t="inlineStr">
        <is>
          <t>CONTAS A PAGAR</t>
        </is>
      </c>
      <c r="J1709" s="59" t="n">
        <v>1509530</v>
      </c>
      <c r="L1709" s="59" t="n">
        <v>618414</v>
      </c>
      <c r="M1709" s="59" t="inlineStr">
        <is>
          <t>02</t>
        </is>
      </c>
      <c r="N1709" s="59" t="inlineStr">
        <is>
          <t>AVU</t>
        </is>
      </c>
      <c r="P1709" s="59" t="n">
        <v>102</v>
      </c>
      <c r="Q1709" s="59" t="inlineStr">
        <is>
          <t>ANDREZA ANDRADE</t>
        </is>
      </c>
      <c r="R1709" s="59" t="inlineStr">
        <is>
          <t>DESPESAS FINANCEIRAS</t>
        </is>
      </c>
      <c r="S1709" s="59" t="n">
        <v>4210505</v>
      </c>
      <c r="T1709" s="59" t="inlineStr">
        <is>
          <t>IOF - OPERACOES FINANCEIRAS</t>
        </is>
      </c>
      <c r="U1709" s="77" t="n">
        <v>835.34</v>
      </c>
      <c r="W1709" s="59" t="n">
        <v>835.34</v>
      </c>
      <c r="X1709" s="59" t="inlineStr">
        <is>
          <t>DESPESA -IOF</t>
        </is>
      </c>
      <c r="Z1709" s="59">
        <f>IF($T1709="","",IFERROR(INDEX('Resumo Grupos'!$AC$3:$AC$200,MATCH($T1709,'Resumo Grupos'!$AB$3:$AB$200,0)),"n/d"))</f>
        <v/>
      </c>
      <c r="AA1709" s="59">
        <f>IF($T1709="","",IF(COUNTIF('Resumo Grupos'!$AE$3:$AE$40,$T1709)&gt;0,"NAO","SIM"))</f>
        <v/>
      </c>
    </row>
    <row r="1710" ht="12.75" customHeight="1" s="60">
      <c r="A1710" s="59" t="n">
        <v>1</v>
      </c>
      <c r="B1710" s="75" t="n">
        <v>46238</v>
      </c>
      <c r="C1710" s="75" t="n">
        <v>46238</v>
      </c>
      <c r="D1710" s="59" t="n">
        <v>515</v>
      </c>
      <c r="E1710" s="59" t="inlineStr">
        <is>
          <t>ITAU SA</t>
        </is>
      </c>
      <c r="F1710" s="59" t="n">
        <v>34</v>
      </c>
      <c r="G1710" s="59" t="inlineStr">
        <is>
          <t>Transferencia Pix</t>
        </is>
      </c>
      <c r="H1710" s="59" t="n">
        <v>2110405</v>
      </c>
      <c r="I1710" s="59" t="inlineStr">
        <is>
          <t>CONTAS A PAGAR</t>
        </is>
      </c>
      <c r="J1710" s="59" t="n">
        <v>1509548</v>
      </c>
      <c r="L1710" s="59" t="n">
        <v>618425</v>
      </c>
      <c r="M1710" s="59" t="inlineStr">
        <is>
          <t>01</t>
        </is>
      </c>
      <c r="N1710" s="59" t="inlineStr">
        <is>
          <t>AVU</t>
        </is>
      </c>
      <c r="P1710" s="59" t="n">
        <v>102</v>
      </c>
      <c r="Q1710" s="59" t="inlineStr">
        <is>
          <t>ANDREZA ANDRADE</t>
        </is>
      </c>
      <c r="R1710" s="59" t="inlineStr">
        <is>
          <t>DESPESAS FINANCEIRAS</t>
        </is>
      </c>
      <c r="S1710" s="59" t="n">
        <v>4210504</v>
      </c>
      <c r="T1710" s="59" t="inlineStr">
        <is>
          <t>DESPESAS BANCARIAS</t>
        </is>
      </c>
      <c r="U1710" s="77" t="n">
        <v>1774.03</v>
      </c>
      <c r="W1710" s="59" t="n">
        <v>1774.03</v>
      </c>
      <c r="X1710" s="59" t="inlineStr">
        <is>
          <t>TAR PIX QR CODE LIQUIDA ITAU1-ANDREZA</t>
        </is>
      </c>
      <c r="Z1710" s="59">
        <f>IF($T1710="","",IFERROR(INDEX('Resumo Grupos'!$AC$3:$AC$200,MATCH($T1710,'Resumo Grupos'!$AB$3:$AB$200,0)),"n/d"))</f>
        <v/>
      </c>
      <c r="AA1710" s="59">
        <f>IF($T1710="","",IF(COUNTIF('Resumo Grupos'!$AE$3:$AE$40,$T1710)&gt;0,"NAO","SIM"))</f>
        <v/>
      </c>
    </row>
    <row r="1711" ht="12.75" customHeight="1" s="60">
      <c r="A1711" s="59" t="n">
        <v>1</v>
      </c>
      <c r="B1711" s="75" t="n">
        <v>46238</v>
      </c>
      <c r="C1711" s="75" t="n">
        <v>46238</v>
      </c>
      <c r="D1711" s="59" t="n">
        <v>16</v>
      </c>
      <c r="E1711" s="59" t="inlineStr">
        <is>
          <t>RENATO DE OLIVEIRA AZEVEDO</t>
        </is>
      </c>
      <c r="F1711" s="59" t="n">
        <v>34</v>
      </c>
      <c r="G1711" s="59" t="inlineStr">
        <is>
          <t>Transferencia Pix</t>
        </is>
      </c>
      <c r="H1711" s="59" t="n">
        <v>2110405</v>
      </c>
      <c r="I1711" s="59" t="inlineStr">
        <is>
          <t>CONTAS A PAGAR</t>
        </is>
      </c>
      <c r="J1711" s="59" t="n">
        <v>1509655</v>
      </c>
      <c r="L1711" s="59" t="n">
        <v>618452</v>
      </c>
      <c r="M1711" s="59" t="inlineStr">
        <is>
          <t>01</t>
        </is>
      </c>
      <c r="N1711" s="59" t="inlineStr">
        <is>
          <t>AVU</t>
        </is>
      </c>
      <c r="P1711" s="59" t="n">
        <v>102</v>
      </c>
      <c r="Q1711" s="59" t="inlineStr">
        <is>
          <t>ANDREZA ANDRADE</t>
        </is>
      </c>
      <c r="R1711" s="59" t="inlineStr">
        <is>
          <t>DESPESAS NAO OPERACIONAIS</t>
        </is>
      </c>
      <c r="S1711" s="59" t="n">
        <v>4220199</v>
      </c>
      <c r="T1711" s="59" t="inlineStr">
        <is>
          <t>PAGAMENTOS OUTROS NAO OPERACIONAIS</t>
        </is>
      </c>
      <c r="U1711" s="77" t="n">
        <v>4761</v>
      </c>
      <c r="W1711" s="59" t="n">
        <v>4761</v>
      </c>
      <c r="X1711" s="59" t="inlineStr">
        <is>
          <t>PL RENATO -ESCOLA MARIA 07E08/26-ANDREZA</t>
        </is>
      </c>
      <c r="Z1711" s="59">
        <f>IF($T1711="","",IFERROR(INDEX('Resumo Grupos'!$AC$3:$AC$200,MATCH($T1711,'Resumo Grupos'!$AB$3:$AB$200,0)),"n/d"))</f>
        <v/>
      </c>
      <c r="AA1711" s="59">
        <f>IF($T1711="","",IF(COUNTIF('Resumo Grupos'!$AE$3:$AE$40,$T1711)&gt;0,"NAO","SIM"))</f>
        <v/>
      </c>
    </row>
    <row r="1712" ht="12.75" customHeight="1" s="60">
      <c r="A1712" s="59" t="n">
        <v>1</v>
      </c>
      <c r="B1712" s="75" t="n">
        <v>46142</v>
      </c>
      <c r="C1712" s="75" t="n">
        <v>46239</v>
      </c>
      <c r="D1712" s="59" t="n">
        <v>607</v>
      </c>
      <c r="E1712" s="59" t="inlineStr">
        <is>
          <t>PRIME PET DISTRIBUIDORA LTDA</t>
        </is>
      </c>
      <c r="F1712" s="59" t="n">
        <v>24</v>
      </c>
      <c r="G1712" s="59" t="inlineStr">
        <is>
          <t>Compra a Prazo - Boletos</t>
        </is>
      </c>
      <c r="H1712" s="59" t="n">
        <v>2110101</v>
      </c>
      <c r="I1712" s="59" t="inlineStr">
        <is>
          <t>FORNECEDORES DE MERCADORIA</t>
        </is>
      </c>
      <c r="J1712" s="59" t="n">
        <v>1028242</v>
      </c>
      <c r="L1712" s="59" t="n">
        <v>10262</v>
      </c>
      <c r="M1712" s="59" t="inlineStr">
        <is>
          <t>08</t>
        </is>
      </c>
      <c r="N1712" s="59" t="inlineStr">
        <is>
          <t>NFE</t>
        </is>
      </c>
      <c r="P1712" s="59" t="n">
        <v>103</v>
      </c>
      <c r="Q1712" s="59" t="inlineStr">
        <is>
          <t>MILKA FRANCIS</t>
        </is>
      </c>
      <c r="R1712" s="59" t="inlineStr">
        <is>
          <t>ESTOQUE DE MERCADORIAS</t>
        </is>
      </c>
      <c r="S1712" s="59" t="n">
        <v>1130101</v>
      </c>
      <c r="T1712" s="59" t="inlineStr">
        <is>
          <t>MERCADORIAS P/REVENDA</t>
        </is>
      </c>
      <c r="U1712" s="77" t="n">
        <v>1488.3</v>
      </c>
      <c r="W1712" s="59" t="n">
        <v>0</v>
      </c>
      <c r="X1712" s="59" t="inlineStr">
        <is>
          <t>NF 10262 -08/09 MILKA</t>
        </is>
      </c>
      <c r="Z1712" s="59">
        <f>IF($T1712="","",IFERROR(INDEX('Resumo Grupos'!$AC$3:$AC$200,MATCH($T1712,'Resumo Grupos'!$AB$3:$AB$200,0)),"n/d"))</f>
        <v/>
      </c>
      <c r="AA1712" s="59">
        <f>IF($T1712="","",IF(COUNTIF('Resumo Grupos'!$AE$3:$AE$40,$T1712)&gt;0,"NAO","SIM"))</f>
        <v/>
      </c>
    </row>
    <row r="1713" ht="12.75" customHeight="1" s="60">
      <c r="A1713" s="59" t="n">
        <v>1</v>
      </c>
      <c r="B1713" s="75" t="n">
        <v>46147</v>
      </c>
      <c r="C1713" s="75" t="n">
        <v>46239</v>
      </c>
      <c r="D1713" s="59" t="n">
        <v>956</v>
      </c>
      <c r="E1713" s="59" t="inlineStr">
        <is>
          <t>ORIGENES C FREITAS</t>
        </is>
      </c>
      <c r="F1713" s="59" t="n">
        <v>34</v>
      </c>
      <c r="G1713" s="59" t="inlineStr">
        <is>
          <t>Transferencia Pix</t>
        </is>
      </c>
      <c r="H1713" s="59" t="n">
        <v>2110405</v>
      </c>
      <c r="I1713" s="59" t="inlineStr">
        <is>
          <t>CONTAS A PAGAR</t>
        </is>
      </c>
      <c r="J1713" s="59" t="n">
        <v>1053484</v>
      </c>
      <c r="L1713" s="59" t="n">
        <v>443312</v>
      </c>
      <c r="M1713" s="59" t="inlineStr">
        <is>
          <t>03</t>
        </is>
      </c>
      <c r="N1713" s="59" t="inlineStr">
        <is>
          <t>AVU</t>
        </is>
      </c>
      <c r="P1713" s="59" t="n">
        <v>101</v>
      </c>
      <c r="Q1713" s="59" t="inlineStr">
        <is>
          <t>KEILA LIMA</t>
        </is>
      </c>
      <c r="R1713" s="59" t="inlineStr">
        <is>
          <t>DESPESAS COMERCIAIS</t>
        </is>
      </c>
      <c r="S1713" s="59" t="n">
        <v>4210111</v>
      </c>
      <c r="T1713" s="59" t="inlineStr">
        <is>
          <t>ALUGUEIS PAGOS A PF</t>
        </is>
      </c>
      <c r="U1713" s="77" t="n">
        <v>4300</v>
      </c>
      <c r="W1713" s="59" t="n">
        <v>0</v>
      </c>
      <c r="X1713" s="59" t="inlineStr">
        <is>
          <t>ALUGUEL MO1 PADARIA - KEILA</t>
        </is>
      </c>
      <c r="Z1713" s="59">
        <f>IF($T1713="","",IFERROR(INDEX('Resumo Grupos'!$AC$3:$AC$200,MATCH($T1713,'Resumo Grupos'!$AB$3:$AB$200,0)),"n/d"))</f>
        <v/>
      </c>
      <c r="AA1713" s="59">
        <f>IF($T1713="","",IF(COUNTIF('Resumo Grupos'!$AE$3:$AE$40,$T1713)&gt;0,"NAO","SIM"))</f>
        <v/>
      </c>
    </row>
    <row r="1714" ht="12.75" customHeight="1" s="60">
      <c r="A1714" s="59" t="n">
        <v>1</v>
      </c>
      <c r="B1714" s="75" t="n">
        <v>46185</v>
      </c>
      <c r="C1714" s="75" t="n">
        <v>46239</v>
      </c>
      <c r="D1714" s="59" t="n">
        <v>1768</v>
      </c>
      <c r="E1714" s="59" t="inlineStr">
        <is>
          <t>GOLD SERVICE</t>
        </is>
      </c>
      <c r="F1714" s="59" t="n">
        <v>34</v>
      </c>
      <c r="G1714" s="59" t="inlineStr">
        <is>
          <t>Transferencia Pix</t>
        </is>
      </c>
      <c r="H1714" s="59" t="n">
        <v>1110202</v>
      </c>
      <c r="I1714" s="59" t="inlineStr">
        <is>
          <t>BANCO ITAU Lj 01</t>
        </is>
      </c>
      <c r="J1714" s="59" t="n">
        <v>1240158</v>
      </c>
      <c r="L1714" s="59" t="n">
        <v>515079</v>
      </c>
      <c r="M1714" s="59" t="inlineStr">
        <is>
          <t>02</t>
        </is>
      </c>
      <c r="N1714" s="59" t="inlineStr">
        <is>
          <t>AVU</t>
        </is>
      </c>
      <c r="P1714" s="59" t="n">
        <v>102</v>
      </c>
      <c r="Q1714" s="59" t="inlineStr">
        <is>
          <t>ANDREZA ANDRADE</t>
        </is>
      </c>
      <c r="R1714" s="59" t="inlineStr">
        <is>
          <t>DESPESAS OPERACIONAIS</t>
        </is>
      </c>
      <c r="S1714" s="59" t="n">
        <v>4210202</v>
      </c>
      <c r="T1714" s="59" t="inlineStr">
        <is>
          <t>HONORARIOS CONTABEIS</t>
        </is>
      </c>
      <c r="U1714" s="77" t="n">
        <v>2431.5</v>
      </c>
      <c r="W1714" s="59" t="n">
        <v>0</v>
      </c>
      <c r="X1714" s="59" t="inlineStr">
        <is>
          <t>MENSALIDADE GOLD MO1-ANDREZA</t>
        </is>
      </c>
      <c r="Z1714" s="59">
        <f>IF($T1714="","",IFERROR(INDEX('Resumo Grupos'!$AC$3:$AC$200,MATCH($T1714,'Resumo Grupos'!$AB$3:$AB$200,0)),"n/d"))</f>
        <v/>
      </c>
      <c r="AA1714" s="59">
        <f>IF($T1714="","",IF(COUNTIF('Resumo Grupos'!$AE$3:$AE$40,$T1714)&gt;0,"NAO","SIM"))</f>
        <v/>
      </c>
    </row>
    <row r="1715" ht="12.75" customHeight="1" s="60">
      <c r="A1715" s="59" t="n">
        <v>1</v>
      </c>
      <c r="B1715" s="75" t="n">
        <v>46208</v>
      </c>
      <c r="C1715" s="75" t="n">
        <v>46239</v>
      </c>
      <c r="D1715" s="59" t="n">
        <v>17</v>
      </c>
      <c r="E1715" s="59" t="inlineStr">
        <is>
          <t>NEYLIANE SILVA DE OLIVEIRA</t>
        </is>
      </c>
      <c r="F1715" s="59" t="n">
        <v>24</v>
      </c>
      <c r="G1715" s="59" t="inlineStr">
        <is>
          <t>Compra a Prazo - Boletos</t>
        </is>
      </c>
      <c r="H1715" s="59" t="n">
        <v>1110202</v>
      </c>
      <c r="I1715" s="59" t="inlineStr">
        <is>
          <t>BANCO ITAU Lj 01</t>
        </is>
      </c>
      <c r="J1715" s="59" t="n">
        <v>1359969</v>
      </c>
      <c r="L1715" s="59" t="n">
        <v>561604</v>
      </c>
      <c r="M1715" s="59" t="inlineStr">
        <is>
          <t>02</t>
        </is>
      </c>
      <c r="N1715" s="59" t="inlineStr">
        <is>
          <t>AVU</t>
        </is>
      </c>
      <c r="P1715" s="59" t="n">
        <v>101</v>
      </c>
      <c r="Q1715" s="59" t="inlineStr">
        <is>
          <t>KEILA LIMA</t>
        </is>
      </c>
      <c r="R1715" s="59" t="inlineStr">
        <is>
          <t>DESPESAS NAO OPERACIONAIS</t>
        </is>
      </c>
      <c r="S1715" s="59" t="n">
        <v>4220199</v>
      </c>
      <c r="T1715" s="59" t="inlineStr">
        <is>
          <t>PAGAMENTOS OUTROS NAO OPERACIONAIS</t>
        </is>
      </c>
      <c r="U1715" s="77" t="n">
        <v>631.05</v>
      </c>
      <c r="W1715" s="59" t="n">
        <v>0</v>
      </c>
      <c r="X1715" s="59" t="inlineStr">
        <is>
          <t>PL NEILA CONDOMINIO - KEILA</t>
        </is>
      </c>
      <c r="Z1715" s="59">
        <f>IF($T1715="","",IFERROR(INDEX('Resumo Grupos'!$AC$3:$AC$200,MATCH($T1715,'Resumo Grupos'!$AB$3:$AB$200,0)),"n/d"))</f>
        <v/>
      </c>
      <c r="AA1715" s="59">
        <f>IF($T1715="","",IF(COUNTIF('Resumo Grupos'!$AE$3:$AE$40,$T1715)&gt;0,"NAO","SIM"))</f>
        <v/>
      </c>
    </row>
    <row r="1716" ht="12.75" customHeight="1" s="60">
      <c r="A1716" s="59" t="n">
        <v>1</v>
      </c>
      <c r="B1716" s="75" t="n">
        <v>46209</v>
      </c>
      <c r="C1716" s="75" t="n">
        <v>46239</v>
      </c>
      <c r="D1716" s="59" t="n">
        <v>714</v>
      </c>
      <c r="E1716" s="59" t="inlineStr">
        <is>
          <t>CARMEM ELIZA</t>
        </is>
      </c>
      <c r="F1716" s="59" t="n">
        <v>34</v>
      </c>
      <c r="G1716" s="59" t="inlineStr">
        <is>
          <t>Transferencia Pix</t>
        </is>
      </c>
      <c r="H1716" s="59" t="n">
        <v>2110405</v>
      </c>
      <c r="I1716" s="59" t="inlineStr">
        <is>
          <t>CONTAS A PAGAR</t>
        </is>
      </c>
      <c r="J1716" s="59" t="n">
        <v>1207135</v>
      </c>
      <c r="L1716" s="59" t="n">
        <v>502146</v>
      </c>
      <c r="M1716" s="59" t="inlineStr">
        <is>
          <t>03</t>
        </is>
      </c>
      <c r="N1716" s="59" t="inlineStr">
        <is>
          <t>AVU</t>
        </is>
      </c>
      <c r="P1716" s="59" t="n">
        <v>102</v>
      </c>
      <c r="Q1716" s="59" t="inlineStr">
        <is>
          <t>ANDREZA ANDRADE</t>
        </is>
      </c>
      <c r="R1716" s="59" t="inlineStr">
        <is>
          <t>DESPESAS COMERCIAIS</t>
        </is>
      </c>
      <c r="S1716" s="59" t="n">
        <v>4210111</v>
      </c>
      <c r="T1716" s="59" t="inlineStr">
        <is>
          <t>ALUGUEIS PAGOS A PF</t>
        </is>
      </c>
      <c r="U1716" s="77" t="n">
        <v>3000</v>
      </c>
      <c r="W1716" s="59" t="n">
        <v>0</v>
      </c>
      <c r="X1716" s="59" t="inlineStr">
        <is>
          <t xml:space="preserve">ALUGUEL MO1 - </t>
        </is>
      </c>
      <c r="Z1716" s="59">
        <f>IF($T1716="","",IFERROR(INDEX('Resumo Grupos'!$AC$3:$AC$200,MATCH($T1716,'Resumo Grupos'!$AB$3:$AB$200,0)),"n/d"))</f>
        <v/>
      </c>
      <c r="AA1716" s="59">
        <f>IF($T1716="","",IF(COUNTIF('Resumo Grupos'!$AE$3:$AE$40,$T1716)&gt;0,"NAO","SIM"))</f>
        <v/>
      </c>
    </row>
    <row r="1717" ht="12.75" customHeight="1" s="60">
      <c r="A1717" s="59" t="n">
        <v>1</v>
      </c>
      <c r="B1717" s="75" t="n">
        <v>46209</v>
      </c>
      <c r="C1717" s="75" t="n">
        <v>46239</v>
      </c>
      <c r="D1717" s="59" t="n">
        <v>16</v>
      </c>
      <c r="E1717" s="59" t="inlineStr">
        <is>
          <t>RENATO DE OLIVEIRA AZEVEDO</t>
        </is>
      </c>
      <c r="F1717" s="59" t="n">
        <v>34</v>
      </c>
      <c r="G1717" s="59" t="inlineStr">
        <is>
          <t>Transferencia Pix</t>
        </is>
      </c>
      <c r="H1717" s="59" t="n">
        <v>2110405</v>
      </c>
      <c r="I1717" s="59" t="inlineStr">
        <is>
          <t>CONTAS A PAGAR</t>
        </is>
      </c>
      <c r="J1717" s="59" t="n">
        <v>1207139</v>
      </c>
      <c r="L1717" s="59" t="n">
        <v>502148</v>
      </c>
      <c r="M1717" s="59" t="inlineStr">
        <is>
          <t>03</t>
        </is>
      </c>
      <c r="N1717" s="59" t="inlineStr">
        <is>
          <t>AVU</t>
        </is>
      </c>
      <c r="P1717" s="59" t="n">
        <v>102</v>
      </c>
      <c r="Q1717" s="59" t="inlineStr">
        <is>
          <t>ANDREZA ANDRADE</t>
        </is>
      </c>
      <c r="R1717" s="59" t="inlineStr">
        <is>
          <t>DESPESAS NAO OPERACIONAIS</t>
        </is>
      </c>
      <c r="S1717" s="59" t="n">
        <v>4220199</v>
      </c>
      <c r="T1717" s="59" t="inlineStr">
        <is>
          <t>PAGAMENTOS OUTROS NAO OPERACIONAIS</t>
        </is>
      </c>
      <c r="U1717" s="77" t="n">
        <v>350</v>
      </c>
      <c r="W1717" s="59" t="n">
        <v>0</v>
      </c>
      <c r="X1717" s="59" t="inlineStr">
        <is>
          <t>ALUGUEL MO1 NAO SOMAR</t>
        </is>
      </c>
      <c r="Z1717" s="59">
        <f>IF($T1717="","",IFERROR(INDEX('Resumo Grupos'!$AC$3:$AC$200,MATCH($T1717,'Resumo Grupos'!$AB$3:$AB$200,0)),"n/d"))</f>
        <v/>
      </c>
      <c r="AA1717" s="59">
        <f>IF($T1717="","",IF(COUNTIF('Resumo Grupos'!$AE$3:$AE$40,$T1717)&gt;0,"NAO","SIM"))</f>
        <v/>
      </c>
    </row>
    <row r="1718" ht="12.75" customHeight="1" s="60">
      <c r="A1718" s="59" t="n">
        <v>1</v>
      </c>
      <c r="B1718" s="75" t="n">
        <v>46212</v>
      </c>
      <c r="C1718" s="75" t="n">
        <v>46239</v>
      </c>
      <c r="D1718" s="59" t="n">
        <v>911</v>
      </c>
      <c r="E1718" s="59" t="inlineStr">
        <is>
          <t>FEMAR IND E COM DE BEBIDAS LTDA</t>
        </is>
      </c>
      <c r="F1718" s="59" t="n">
        <v>24</v>
      </c>
      <c r="G1718" s="59" t="inlineStr">
        <is>
          <t>Compra a Prazo - Boletos</t>
        </is>
      </c>
      <c r="H1718" s="59" t="n">
        <v>2110101</v>
      </c>
      <c r="I1718" s="59" t="inlineStr">
        <is>
          <t>FORNECEDORES DE MERCADORIA</t>
        </is>
      </c>
      <c r="J1718" s="59" t="n">
        <v>1374163</v>
      </c>
      <c r="L1718" s="59" t="n">
        <v>53383</v>
      </c>
      <c r="M1718" s="59" t="inlineStr">
        <is>
          <t>01</t>
        </is>
      </c>
      <c r="N1718" s="59" t="inlineStr">
        <is>
          <t>NFE</t>
        </is>
      </c>
      <c r="P1718" s="59" t="n">
        <v>103</v>
      </c>
      <c r="Q1718" s="59" t="inlineStr">
        <is>
          <t>MILKA FRANCIS</t>
        </is>
      </c>
      <c r="R1718" s="59" t="inlineStr">
        <is>
          <t>ESTOQUE DE MERCADORIAS</t>
        </is>
      </c>
      <c r="S1718" s="59" t="n">
        <v>1130101</v>
      </c>
      <c r="T1718" s="59" t="inlineStr">
        <is>
          <t>MERCADORIAS P/REVENDA</t>
        </is>
      </c>
      <c r="U1718" s="77" t="n">
        <v>990.72</v>
      </c>
      <c r="W1718" s="59" t="n">
        <v>0</v>
      </c>
      <c r="X1718" s="59" t="inlineStr">
        <is>
          <t>NF 53383 - MILKA</t>
        </is>
      </c>
      <c r="Z1718" s="59">
        <f>IF($T1718="","",IFERROR(INDEX('Resumo Grupos'!$AC$3:$AC$200,MATCH($T1718,'Resumo Grupos'!$AB$3:$AB$200,0)),"n/d"))</f>
        <v/>
      </c>
      <c r="AA1718" s="59">
        <f>IF($T1718="","",IF(COUNTIF('Resumo Grupos'!$AE$3:$AE$40,$T1718)&gt;0,"NAO","SIM"))</f>
        <v/>
      </c>
    </row>
    <row r="1719" ht="12.75" customHeight="1" s="60">
      <c r="A1719" s="59" t="n">
        <v>1</v>
      </c>
      <c r="B1719" s="75" t="n">
        <v>46230</v>
      </c>
      <c r="C1719" s="75" t="n">
        <v>46239</v>
      </c>
      <c r="D1719" s="59" t="n">
        <v>218</v>
      </c>
      <c r="E1719" s="59" t="inlineStr">
        <is>
          <t>RENATO DE O AZEVEDO E CIA LTDA</t>
        </is>
      </c>
      <c r="F1719" s="59" t="n">
        <v>34</v>
      </c>
      <c r="G1719" s="59" t="inlineStr">
        <is>
          <t>Transferencia Pix</t>
        </is>
      </c>
      <c r="H1719" s="59" t="n">
        <v>2110405</v>
      </c>
      <c r="I1719" s="59" t="inlineStr">
        <is>
          <t>CONTAS A PAGAR</t>
        </is>
      </c>
      <c r="J1719" s="59" t="n">
        <v>1459638</v>
      </c>
      <c r="L1719" s="59" t="n">
        <v>600419</v>
      </c>
      <c r="M1719" s="59" t="inlineStr">
        <is>
          <t>01</t>
        </is>
      </c>
      <c r="N1719" s="59" t="inlineStr">
        <is>
          <t>AVU</t>
        </is>
      </c>
      <c r="P1719" s="59" t="n">
        <v>101</v>
      </c>
      <c r="Q1719" s="59" t="inlineStr">
        <is>
          <t>KEILA LIMA</t>
        </is>
      </c>
      <c r="R1719" s="59" t="inlineStr">
        <is>
          <t>DESPESAS COM PESSOAL</t>
        </is>
      </c>
      <c r="S1719" s="59" t="n">
        <v>4210301</v>
      </c>
      <c r="T1719" s="59" t="inlineStr">
        <is>
          <t>SALARIOS</t>
        </is>
      </c>
      <c r="U1719" s="77" t="n">
        <v>4070.48</v>
      </c>
      <c r="W1719" s="59" t="n">
        <v>0</v>
      </c>
      <c r="X1719" s="59" t="inlineStr">
        <is>
          <t>CONVENIO MO1 DROG 06/26 - KEILA</t>
        </is>
      </c>
      <c r="Z1719" s="59">
        <f>IF($T1719="","",IFERROR(INDEX('Resumo Grupos'!$AC$3:$AC$200,MATCH($T1719,'Resumo Grupos'!$AB$3:$AB$200,0)),"n/d"))</f>
        <v/>
      </c>
      <c r="AA1719" s="59">
        <f>IF($T1719="","",IF(COUNTIF('Resumo Grupos'!$AE$3:$AE$40,$T1719)&gt;0,"NAO","SIM"))</f>
        <v/>
      </c>
    </row>
    <row r="1720" ht="12.75" customHeight="1" s="60">
      <c r="A1720" s="59" t="n">
        <v>1</v>
      </c>
      <c r="B1720" s="75" t="n">
        <v>46218</v>
      </c>
      <c r="C1720" s="75" t="n">
        <v>46239</v>
      </c>
      <c r="D1720" s="59" t="n">
        <v>1699</v>
      </c>
      <c r="E1720" s="59" t="inlineStr">
        <is>
          <t>L S M COMERCIO DE ALIMENTOS E NAVEGACAO</t>
        </is>
      </c>
      <c r="F1720" s="59" t="n">
        <v>24</v>
      </c>
      <c r="G1720" s="59" t="inlineStr">
        <is>
          <t>Compra a Prazo - Boletos</t>
        </is>
      </c>
      <c r="H1720" s="59" t="n">
        <v>1110202</v>
      </c>
      <c r="I1720" s="59" t="inlineStr">
        <is>
          <t>BANCO ITAU Lj 01</t>
        </is>
      </c>
      <c r="J1720" s="59" t="n">
        <v>1401907</v>
      </c>
      <c r="L1720" s="59" t="n">
        <v>307805</v>
      </c>
      <c r="M1720" s="59" t="inlineStr">
        <is>
          <t>03</t>
        </is>
      </c>
      <c r="N1720" s="59" t="inlineStr">
        <is>
          <t>AVU</t>
        </is>
      </c>
      <c r="P1720" s="59" t="n">
        <v>103</v>
      </c>
      <c r="Q1720" s="59" t="inlineStr">
        <is>
          <t>MILKA FRANCIS</t>
        </is>
      </c>
      <c r="R1720" s="59" t="inlineStr">
        <is>
          <t>ESTOQUE DE MERCADORIAS</t>
        </is>
      </c>
      <c r="S1720" s="59" t="n">
        <v>1130101</v>
      </c>
      <c r="T1720" s="59" t="inlineStr">
        <is>
          <t>MERCADORIAS P/REVENDA</t>
        </is>
      </c>
      <c r="U1720" s="77" t="n">
        <v>732.46</v>
      </c>
      <c r="W1720" s="59" t="n">
        <v>0</v>
      </c>
      <c r="X1720" s="59" t="inlineStr">
        <is>
          <t>NF 307805-3 MILKA</t>
        </is>
      </c>
      <c r="Z1720" s="59">
        <f>IF($T1720="","",IFERROR(INDEX('Resumo Grupos'!$AC$3:$AC$200,MATCH($T1720,'Resumo Grupos'!$AB$3:$AB$200,0)),"n/d"))</f>
        <v/>
      </c>
      <c r="AA1720" s="59">
        <f>IF($T1720="","",IF(COUNTIF('Resumo Grupos'!$AE$3:$AE$40,$T1720)&gt;0,"NAO","SIM"))</f>
        <v/>
      </c>
    </row>
    <row r="1721" ht="12.75" customHeight="1" s="60">
      <c r="A1721" s="59" t="n">
        <v>1</v>
      </c>
      <c r="B1721" s="75" t="n">
        <v>46218</v>
      </c>
      <c r="C1721" s="75" t="n">
        <v>46239</v>
      </c>
      <c r="D1721" s="59" t="n">
        <v>957</v>
      </c>
      <c r="E1721" s="59" t="inlineStr">
        <is>
          <t>FUNNY PET DISTRIBUIDORA DE ALIMENTOS PAR</t>
        </is>
      </c>
      <c r="F1721" s="59" t="n">
        <v>24</v>
      </c>
      <c r="G1721" s="59" t="inlineStr">
        <is>
          <t>Compra a Prazo - Boletos</t>
        </is>
      </c>
      <c r="H1721" s="59" t="n">
        <v>2110405</v>
      </c>
      <c r="I1721" s="59" t="inlineStr">
        <is>
          <t>CONTAS A PAGAR</t>
        </is>
      </c>
      <c r="J1721" s="59" t="n">
        <v>1402587</v>
      </c>
      <c r="L1721" s="59" t="n">
        <v>21048</v>
      </c>
      <c r="M1721" s="59" t="inlineStr">
        <is>
          <t>01</t>
        </is>
      </c>
      <c r="N1721" s="59" t="inlineStr">
        <is>
          <t>AVU</t>
        </is>
      </c>
      <c r="P1721" s="59" t="n">
        <v>103</v>
      </c>
      <c r="Q1721" s="59" t="inlineStr">
        <is>
          <t>MILKA FRANCIS</t>
        </is>
      </c>
      <c r="R1721" s="59" t="inlineStr">
        <is>
          <t>ESTOQUE DE MERCADORIAS</t>
        </is>
      </c>
      <c r="S1721" s="59" t="n">
        <v>1130101</v>
      </c>
      <c r="T1721" s="59" t="inlineStr">
        <is>
          <t>MERCADORIAS P/REVENDA</t>
        </is>
      </c>
      <c r="U1721" s="77" t="n">
        <v>1475.42</v>
      </c>
      <c r="W1721" s="59" t="n">
        <v>0</v>
      </c>
      <c r="X1721" s="59" t="inlineStr">
        <is>
          <t>NF 21048-1 MILKA</t>
        </is>
      </c>
      <c r="Z1721" s="59">
        <f>IF($T1721="","",IFERROR(INDEX('Resumo Grupos'!$AC$3:$AC$200,MATCH($T1721,'Resumo Grupos'!$AB$3:$AB$200,0)),"n/d"))</f>
        <v/>
      </c>
      <c r="AA1721" s="59">
        <f>IF($T1721="","",IF(COUNTIF('Resumo Grupos'!$AE$3:$AE$40,$T1721)&gt;0,"NAO","SIM"))</f>
        <v/>
      </c>
    </row>
    <row r="1722" ht="12.75" customHeight="1" s="60">
      <c r="A1722" s="59" t="n">
        <v>1</v>
      </c>
      <c r="B1722" s="75" t="n">
        <v>46219</v>
      </c>
      <c r="C1722" s="75" t="n">
        <v>46239</v>
      </c>
      <c r="D1722" s="59" t="n">
        <v>1605</v>
      </c>
      <c r="E1722" s="59" t="inlineStr">
        <is>
          <t>RCL COMERCIO DE PRODUTOS ALIMENTICIOS LT</t>
        </is>
      </c>
      <c r="F1722" s="59" t="n">
        <v>24</v>
      </c>
      <c r="G1722" s="59" t="inlineStr">
        <is>
          <t>Compra a Prazo - Boletos</t>
        </is>
      </c>
      <c r="H1722" s="59" t="n">
        <v>1110202</v>
      </c>
      <c r="I1722" s="59" t="inlineStr">
        <is>
          <t>BANCO ITAU Lj 01</t>
        </is>
      </c>
      <c r="J1722" s="59" t="n">
        <v>1405688</v>
      </c>
      <c r="L1722" s="59" t="n">
        <v>218815</v>
      </c>
      <c r="M1722" s="59" t="inlineStr">
        <is>
          <t>01</t>
        </is>
      </c>
      <c r="N1722" s="59" t="inlineStr">
        <is>
          <t>AVU</t>
        </is>
      </c>
      <c r="P1722" s="59" t="n">
        <v>103</v>
      </c>
      <c r="Q1722" s="59" t="inlineStr">
        <is>
          <t>MILKA FRANCIS</t>
        </is>
      </c>
      <c r="R1722" s="59" t="inlineStr">
        <is>
          <t>ESTOQUE DE MERCADORIAS</t>
        </is>
      </c>
      <c r="S1722" s="59" t="n">
        <v>1130101</v>
      </c>
      <c r="T1722" s="59" t="inlineStr">
        <is>
          <t>MERCADORIAS P/REVENDA</t>
        </is>
      </c>
      <c r="U1722" s="77" t="n">
        <v>527.04</v>
      </c>
      <c r="W1722" s="59" t="n">
        <v>0</v>
      </c>
      <c r="X1722" s="59" t="inlineStr">
        <is>
          <t>NF 218815 - MILKA</t>
        </is>
      </c>
      <c r="Z1722" s="59">
        <f>IF($T1722="","",IFERROR(INDEX('Resumo Grupos'!$AC$3:$AC$200,MATCH($T1722,'Resumo Grupos'!$AB$3:$AB$200,0)),"n/d"))</f>
        <v/>
      </c>
      <c r="AA1722" s="59">
        <f>IF($T1722="","",IF(COUNTIF('Resumo Grupos'!$AE$3:$AE$40,$T1722)&gt;0,"NAO","SIM"))</f>
        <v/>
      </c>
    </row>
    <row r="1723" ht="12.75" customHeight="1" s="60">
      <c r="A1723" s="59" t="n">
        <v>1</v>
      </c>
      <c r="B1723" s="75" t="n">
        <v>46219</v>
      </c>
      <c r="C1723" s="75" t="n">
        <v>46239</v>
      </c>
      <c r="D1723" s="59" t="n">
        <v>1612</v>
      </c>
      <c r="E1723" s="59" t="inlineStr">
        <is>
          <t>EMPRESA BRASILEIRA DE DISTRIBUICAO LTDA</t>
        </is>
      </c>
      <c r="F1723" s="59" t="n">
        <v>24</v>
      </c>
      <c r="G1723" s="59" t="inlineStr">
        <is>
          <t>Compra a Prazo - Boletos</t>
        </is>
      </c>
      <c r="H1723" s="59" t="n">
        <v>1110202</v>
      </c>
      <c r="I1723" s="59" t="inlineStr">
        <is>
          <t>BANCO ITAU Lj 01</t>
        </is>
      </c>
      <c r="J1723" s="59" t="n">
        <v>1406414</v>
      </c>
      <c r="L1723" s="59" t="n">
        <v>2301161</v>
      </c>
      <c r="M1723" s="59" t="inlineStr">
        <is>
          <t>01</t>
        </is>
      </c>
      <c r="N1723" s="59" t="inlineStr">
        <is>
          <t>AVU</t>
        </is>
      </c>
      <c r="P1723" s="59" t="n">
        <v>103</v>
      </c>
      <c r="Q1723" s="59" t="inlineStr">
        <is>
          <t>MILKA FRANCIS</t>
        </is>
      </c>
      <c r="R1723" s="59" t="inlineStr">
        <is>
          <t>ESTOQUE DE MERCADORIAS</t>
        </is>
      </c>
      <c r="S1723" s="59" t="n">
        <v>1130101</v>
      </c>
      <c r="T1723" s="59" t="inlineStr">
        <is>
          <t>MERCADORIAS P/REVENDA</t>
        </is>
      </c>
      <c r="U1723" s="77" t="n">
        <v>1828.54</v>
      </c>
      <c r="W1723" s="59" t="n">
        <v>0</v>
      </c>
      <c r="X1723" s="59" t="inlineStr">
        <is>
          <t>NF 2301161 EBD - MILKA</t>
        </is>
      </c>
      <c r="Z1723" s="59">
        <f>IF($T1723="","",IFERROR(INDEX('Resumo Grupos'!$AC$3:$AC$200,MATCH($T1723,'Resumo Grupos'!$AB$3:$AB$200,0)),"n/d"))</f>
        <v/>
      </c>
      <c r="AA1723" s="59">
        <f>IF($T1723="","",IF(COUNTIF('Resumo Grupos'!$AE$3:$AE$40,$T1723)&gt;0,"NAO","SIM"))</f>
        <v/>
      </c>
    </row>
    <row r="1724" ht="12.75" customHeight="1" s="60">
      <c r="A1724" s="59" t="n">
        <v>1</v>
      </c>
      <c r="B1724" s="75" t="n">
        <v>46219</v>
      </c>
      <c r="C1724" s="75" t="n">
        <v>46239</v>
      </c>
      <c r="D1724" s="59" t="n">
        <v>1601</v>
      </c>
      <c r="E1724" s="59" t="inlineStr">
        <is>
          <t>CB COMERCIO E DISTRIBUIDORA DE ALIMENTOS</t>
        </is>
      </c>
      <c r="F1724" s="59" t="n">
        <v>24</v>
      </c>
      <c r="G1724" s="59" t="inlineStr">
        <is>
          <t>Compra a Prazo - Boletos</t>
        </is>
      </c>
      <c r="H1724" s="59" t="n">
        <v>1110202</v>
      </c>
      <c r="I1724" s="59" t="inlineStr">
        <is>
          <t>BANCO ITAU Lj 01</t>
        </is>
      </c>
      <c r="J1724" s="59" t="n">
        <v>1407173</v>
      </c>
      <c r="L1724" s="59" t="n">
        <v>854259</v>
      </c>
      <c r="M1724" s="59" t="inlineStr">
        <is>
          <t>01</t>
        </is>
      </c>
      <c r="N1724" s="59" t="inlineStr">
        <is>
          <t>AVU</t>
        </is>
      </c>
      <c r="P1724" s="59" t="n">
        <v>103</v>
      </c>
      <c r="Q1724" s="59" t="inlineStr">
        <is>
          <t>MILKA FRANCIS</t>
        </is>
      </c>
      <c r="R1724" s="59" t="inlineStr">
        <is>
          <t>ESTOQUE DE MERCADORIAS</t>
        </is>
      </c>
      <c r="S1724" s="59" t="n">
        <v>1130101</v>
      </c>
      <c r="T1724" s="59" t="inlineStr">
        <is>
          <t>MERCADORIAS P/REVENDA</t>
        </is>
      </c>
      <c r="U1724" s="77" t="n">
        <v>546.17</v>
      </c>
      <c r="W1724" s="59" t="n">
        <v>0</v>
      </c>
      <c r="X1724" s="59" t="inlineStr">
        <is>
          <t>NF 854259 - MILKA</t>
        </is>
      </c>
      <c r="Z1724" s="59">
        <f>IF($T1724="","",IFERROR(INDEX('Resumo Grupos'!$AC$3:$AC$200,MATCH($T1724,'Resumo Grupos'!$AB$3:$AB$200,0)),"n/d"))</f>
        <v/>
      </c>
      <c r="AA1724" s="59">
        <f>IF($T1724="","",IF(COUNTIF('Resumo Grupos'!$AE$3:$AE$40,$T1724)&gt;0,"NAO","SIM"))</f>
        <v/>
      </c>
    </row>
    <row r="1725" ht="12.75" customHeight="1" s="60">
      <c r="A1725" s="59" t="n">
        <v>1</v>
      </c>
      <c r="B1725" s="75" t="n">
        <v>46220</v>
      </c>
      <c r="C1725" s="75" t="n">
        <v>46239</v>
      </c>
      <c r="D1725" s="59" t="n">
        <v>1613</v>
      </c>
      <c r="E1725" s="59" t="inlineStr">
        <is>
          <t>BRF S A</t>
        </is>
      </c>
      <c r="F1725" s="59" t="n">
        <v>24</v>
      </c>
      <c r="G1725" s="59" t="inlineStr">
        <is>
          <t>Compra a Prazo - Boletos</t>
        </is>
      </c>
      <c r="H1725" s="59" t="n">
        <v>1110202</v>
      </c>
      <c r="I1725" s="59" t="inlineStr">
        <is>
          <t>BANCO ITAU Lj 01</t>
        </is>
      </c>
      <c r="J1725" s="59" t="n">
        <v>1411781</v>
      </c>
      <c r="L1725" s="59" t="n">
        <v>1608648</v>
      </c>
      <c r="M1725" s="59" t="inlineStr">
        <is>
          <t>02</t>
        </is>
      </c>
      <c r="N1725" s="59" t="inlineStr">
        <is>
          <t>AVU</t>
        </is>
      </c>
      <c r="P1725" s="59" t="n">
        <v>103</v>
      </c>
      <c r="Q1725" s="59" t="inlineStr">
        <is>
          <t>MILKA FRANCIS</t>
        </is>
      </c>
      <c r="R1725" s="59" t="inlineStr">
        <is>
          <t>ESTOQUE DE MERCADORIAS</t>
        </is>
      </c>
      <c r="S1725" s="59" t="n">
        <v>1130101</v>
      </c>
      <c r="T1725" s="59" t="inlineStr">
        <is>
          <t>MERCADORIAS P/REVENDA</t>
        </is>
      </c>
      <c r="U1725" s="77" t="n">
        <v>4171.51</v>
      </c>
      <c r="W1725" s="59" t="n">
        <v>0</v>
      </c>
      <c r="X1725" s="59" t="inlineStr">
        <is>
          <t>NF 1608648 -02/02   MILKA</t>
        </is>
      </c>
      <c r="Z1725" s="59">
        <f>IF($T1725="","",IFERROR(INDEX('Resumo Grupos'!$AC$3:$AC$200,MATCH($T1725,'Resumo Grupos'!$AB$3:$AB$200,0)),"n/d"))</f>
        <v/>
      </c>
      <c r="AA1725" s="59">
        <f>IF($T1725="","",IF(COUNTIF('Resumo Grupos'!$AE$3:$AE$40,$T1725)&gt;0,"NAO","SIM"))</f>
        <v/>
      </c>
    </row>
    <row r="1726" ht="12.75" customHeight="1" s="60">
      <c r="A1726" s="59" t="n">
        <v>1</v>
      </c>
      <c r="B1726" s="75" t="n">
        <v>46223</v>
      </c>
      <c r="C1726" s="75" t="n">
        <v>46239</v>
      </c>
      <c r="D1726" s="59" t="n">
        <v>1637</v>
      </c>
      <c r="E1726" s="59" t="inlineStr">
        <is>
          <t>ATACADAO S.A.</t>
        </is>
      </c>
      <c r="F1726" s="59" t="n">
        <v>24</v>
      </c>
      <c r="G1726" s="59" t="inlineStr">
        <is>
          <t>Compra a Prazo - Boletos</t>
        </is>
      </c>
      <c r="H1726" s="59" t="n">
        <v>1110202</v>
      </c>
      <c r="I1726" s="59" t="inlineStr">
        <is>
          <t>BANCO ITAU Lj 01</t>
        </is>
      </c>
      <c r="J1726" s="59" t="n">
        <v>1424302</v>
      </c>
      <c r="L1726" s="59" t="n">
        <v>1906316</v>
      </c>
      <c r="M1726" s="59" t="inlineStr">
        <is>
          <t>01</t>
        </is>
      </c>
      <c r="N1726" s="59" t="inlineStr">
        <is>
          <t>AVU</t>
        </is>
      </c>
      <c r="P1726" s="59" t="n">
        <v>103</v>
      </c>
      <c r="Q1726" s="59" t="inlineStr">
        <is>
          <t>MILKA FRANCIS</t>
        </is>
      </c>
      <c r="R1726" s="59" t="inlineStr">
        <is>
          <t>ESTOQUE DE MERCADORIAS</t>
        </is>
      </c>
      <c r="S1726" s="59" t="n">
        <v>1130101</v>
      </c>
      <c r="T1726" s="59" t="inlineStr">
        <is>
          <t>MERCADORIAS P/REVENDA</t>
        </is>
      </c>
      <c r="U1726" s="77" t="n">
        <v>832.4</v>
      </c>
      <c r="W1726" s="59" t="n">
        <v>0</v>
      </c>
      <c r="X1726" s="59" t="inlineStr">
        <is>
          <t>NF 1906316 - MILKA</t>
        </is>
      </c>
      <c r="Z1726" s="59">
        <f>IF($T1726="","",IFERROR(INDEX('Resumo Grupos'!$AC$3:$AC$200,MATCH($T1726,'Resumo Grupos'!$AB$3:$AB$200,0)),"n/d"))</f>
        <v/>
      </c>
      <c r="AA1726" s="59">
        <f>IF($T1726="","",IF(COUNTIF('Resumo Grupos'!$AE$3:$AE$40,$T1726)&gt;0,"NAO","SIM"))</f>
        <v/>
      </c>
    </row>
    <row r="1727" ht="12.75" customHeight="1" s="60">
      <c r="A1727" s="59" t="n">
        <v>1</v>
      </c>
      <c r="B1727" s="75" t="n">
        <v>46225</v>
      </c>
      <c r="C1727" s="75" t="n">
        <v>46239</v>
      </c>
      <c r="D1727" s="59" t="n">
        <v>1659</v>
      </c>
      <c r="E1727" s="59" t="inlineStr">
        <is>
          <t>ADRIANA DISTRIBUIDORA DE PRODUTOS ALIMEN</t>
        </is>
      </c>
      <c r="F1727" s="59" t="n">
        <v>24</v>
      </c>
      <c r="G1727" s="59" t="inlineStr">
        <is>
          <t>Compra a Prazo - Boletos</t>
        </is>
      </c>
      <c r="H1727" s="59" t="n">
        <v>2110405</v>
      </c>
      <c r="I1727" s="59" t="inlineStr">
        <is>
          <t>CONTAS A PAGAR</t>
        </is>
      </c>
      <c r="J1727" s="59" t="n">
        <v>1435386</v>
      </c>
      <c r="L1727" s="59" t="n">
        <v>886068</v>
      </c>
      <c r="M1727" s="59" t="inlineStr">
        <is>
          <t>01</t>
        </is>
      </c>
      <c r="N1727" s="59" t="inlineStr">
        <is>
          <t>AVU</t>
        </is>
      </c>
      <c r="P1727" s="59" t="n">
        <v>103</v>
      </c>
      <c r="Q1727" s="59" t="inlineStr">
        <is>
          <t>MILKA FRANCIS</t>
        </is>
      </c>
      <c r="R1727" s="59" t="inlineStr">
        <is>
          <t>ESTOQUE DE MERCADORIAS</t>
        </is>
      </c>
      <c r="S1727" s="59" t="n">
        <v>1130101</v>
      </c>
      <c r="T1727" s="59" t="inlineStr">
        <is>
          <t>MERCADORIAS P/REVENDA</t>
        </is>
      </c>
      <c r="U1727" s="77" t="n">
        <v>1420.57</v>
      </c>
      <c r="W1727" s="59" t="n">
        <v>0</v>
      </c>
      <c r="X1727" s="59" t="inlineStr">
        <is>
          <t>NF 886068-1 MILKA</t>
        </is>
      </c>
      <c r="Z1727" s="59">
        <f>IF($T1727="","",IFERROR(INDEX('Resumo Grupos'!$AC$3:$AC$200,MATCH($T1727,'Resumo Grupos'!$AB$3:$AB$200,0)),"n/d"))</f>
        <v/>
      </c>
      <c r="AA1727" s="59">
        <f>IF($T1727="","",IF(COUNTIF('Resumo Grupos'!$AE$3:$AE$40,$T1727)&gt;0,"NAO","SIM"))</f>
        <v/>
      </c>
    </row>
    <row r="1728" ht="12.75" customHeight="1" s="60">
      <c r="A1728" s="59" t="n">
        <v>1</v>
      </c>
      <c r="B1728" s="75" t="n">
        <v>46226</v>
      </c>
      <c r="C1728" s="75" t="n">
        <v>46239</v>
      </c>
      <c r="D1728" s="59" t="n">
        <v>1671</v>
      </c>
      <c r="E1728" s="59" t="inlineStr">
        <is>
          <t>TAPAJOS COM DE PERFUMARIA COSMETICOS E G</t>
        </is>
      </c>
      <c r="F1728" s="59" t="n">
        <v>24</v>
      </c>
      <c r="G1728" s="59" t="inlineStr">
        <is>
          <t>Compra a Prazo - Boletos</t>
        </is>
      </c>
      <c r="H1728" s="59" t="n">
        <v>2110405</v>
      </c>
      <c r="I1728" s="59" t="inlineStr">
        <is>
          <t>CONTAS A PAGAR</t>
        </is>
      </c>
      <c r="J1728" s="59" t="n">
        <v>1439103</v>
      </c>
      <c r="L1728" s="59" t="n">
        <v>592343</v>
      </c>
      <c r="M1728" s="59" t="inlineStr">
        <is>
          <t>01</t>
        </is>
      </c>
      <c r="N1728" s="59" t="inlineStr">
        <is>
          <t>AVU</t>
        </is>
      </c>
      <c r="P1728" s="59" t="n">
        <v>104</v>
      </c>
      <c r="Q1728" s="59" t="inlineStr">
        <is>
          <t>DEBORA COSTA</t>
        </is>
      </c>
      <c r="R1728" s="59" t="inlineStr">
        <is>
          <t>ESTOQUE DE MERCADORIAS</t>
        </is>
      </c>
      <c r="S1728" s="59" t="n">
        <v>1130101</v>
      </c>
      <c r="T1728" s="59" t="inlineStr">
        <is>
          <t>MERCADORIAS P/REVENDA</t>
        </is>
      </c>
      <c r="U1728" s="77" t="n">
        <v>1471.39</v>
      </c>
      <c r="W1728" s="59" t="n">
        <v>0</v>
      </c>
      <c r="X1728" s="59" t="inlineStr">
        <is>
          <t>NF 581288 - DEBORA</t>
        </is>
      </c>
      <c r="Z1728" s="59">
        <f>IF($T1728="","",IFERROR(INDEX('Resumo Grupos'!$AC$3:$AC$200,MATCH($T1728,'Resumo Grupos'!$AB$3:$AB$200,0)),"n/d"))</f>
        <v/>
      </c>
      <c r="AA1728" s="59">
        <f>IF($T1728="","",IF(COUNTIF('Resumo Grupos'!$AE$3:$AE$40,$T1728)&gt;0,"NAO","SIM"))</f>
        <v/>
      </c>
    </row>
    <row r="1729" ht="12.75" customHeight="1" s="60">
      <c r="A1729" s="59" t="n">
        <v>1</v>
      </c>
      <c r="B1729" s="75" t="n">
        <v>46226</v>
      </c>
      <c r="C1729" s="75" t="n">
        <v>46239</v>
      </c>
      <c r="D1729" s="59" t="n">
        <v>1749</v>
      </c>
      <c r="E1729" s="59" t="inlineStr">
        <is>
          <t>ORIENTE COM. ATACADISTA E REPRES. LTDA</t>
        </is>
      </c>
      <c r="F1729" s="59" t="n">
        <v>24</v>
      </c>
      <c r="G1729" s="59" t="inlineStr">
        <is>
          <t>Compra a Prazo - Boletos</t>
        </is>
      </c>
      <c r="H1729" s="59" t="n">
        <v>2110405</v>
      </c>
      <c r="I1729" s="59" t="inlineStr">
        <is>
          <t>CONTAS A PAGAR</t>
        </is>
      </c>
      <c r="J1729" s="59" t="n">
        <v>1439282</v>
      </c>
      <c r="L1729" s="59" t="n">
        <v>2785</v>
      </c>
      <c r="M1729" s="59" t="inlineStr">
        <is>
          <t>01</t>
        </is>
      </c>
      <c r="N1729" s="59" t="inlineStr">
        <is>
          <t>AVU</t>
        </is>
      </c>
      <c r="P1729" s="59" t="n">
        <v>103</v>
      </c>
      <c r="Q1729" s="59" t="inlineStr">
        <is>
          <t>MILKA FRANCIS</t>
        </is>
      </c>
      <c r="R1729" s="59" t="inlineStr">
        <is>
          <t>ESTOQUE DE MERCADORIAS</t>
        </is>
      </c>
      <c r="S1729" s="59" t="n">
        <v>1130101</v>
      </c>
      <c r="T1729" s="59" t="inlineStr">
        <is>
          <t>MERCADORIAS P/REVENDA</t>
        </is>
      </c>
      <c r="U1729" s="77" t="n">
        <v>2195.6</v>
      </c>
      <c r="W1729" s="59" t="n">
        <v>0</v>
      </c>
      <c r="X1729" s="59" t="inlineStr">
        <is>
          <t>3344/1  NF2785 - MILKA</t>
        </is>
      </c>
      <c r="Z1729" s="59">
        <f>IF($T1729="","",IFERROR(INDEX('Resumo Grupos'!$AC$3:$AC$200,MATCH($T1729,'Resumo Grupos'!$AB$3:$AB$200,0)),"n/d"))</f>
        <v/>
      </c>
      <c r="AA1729" s="59">
        <f>IF($T1729="","",IF(COUNTIF('Resumo Grupos'!$AE$3:$AE$40,$T1729)&gt;0,"NAO","SIM"))</f>
        <v/>
      </c>
    </row>
    <row r="1730" ht="12.75" customHeight="1" s="60">
      <c r="A1730" s="59" t="n">
        <v>1</v>
      </c>
      <c r="B1730" s="75" t="n">
        <v>46226</v>
      </c>
      <c r="C1730" s="75" t="n">
        <v>46239</v>
      </c>
      <c r="D1730" s="59" t="n">
        <v>1608</v>
      </c>
      <c r="E1730" s="59" t="inlineStr">
        <is>
          <t>DISTRIBUIDORA LOPES LTDA</t>
        </is>
      </c>
      <c r="F1730" s="59" t="n">
        <v>24</v>
      </c>
      <c r="G1730" s="59" t="inlineStr">
        <is>
          <t>Compra a Prazo - Boletos</t>
        </is>
      </c>
      <c r="H1730" s="59" t="n">
        <v>2110405</v>
      </c>
      <c r="I1730" s="59" t="inlineStr">
        <is>
          <t>CONTAS A PAGAR</t>
        </is>
      </c>
      <c r="J1730" s="59" t="n">
        <v>1439448</v>
      </c>
      <c r="L1730" s="59" t="n">
        <v>592413</v>
      </c>
      <c r="M1730" s="59" t="inlineStr">
        <is>
          <t>01</t>
        </is>
      </c>
      <c r="N1730" s="59" t="inlineStr">
        <is>
          <t>AVU</t>
        </is>
      </c>
      <c r="P1730" s="59" t="n">
        <v>104</v>
      </c>
      <c r="Q1730" s="59" t="inlineStr">
        <is>
          <t>DEBORA COSTA</t>
        </is>
      </c>
      <c r="R1730" s="59" t="inlineStr">
        <is>
          <t>ESTOQUE DE MERCADORIAS</t>
        </is>
      </c>
      <c r="S1730" s="59" t="n">
        <v>1130101</v>
      </c>
      <c r="T1730" s="59" t="inlineStr">
        <is>
          <t>MERCADORIAS P/REVENDA</t>
        </is>
      </c>
      <c r="U1730" s="77" t="n">
        <v>1790.09</v>
      </c>
      <c r="W1730" s="59" t="n">
        <v>0</v>
      </c>
      <c r="X1730" s="59" t="inlineStr">
        <is>
          <t>NF 1696462 C/DESCONTO NO BOLETO - DEBORA</t>
        </is>
      </c>
      <c r="Z1730" s="59">
        <f>IF($T1730="","",IFERROR(INDEX('Resumo Grupos'!$AC$3:$AC$200,MATCH($T1730,'Resumo Grupos'!$AB$3:$AB$200,0)),"n/d"))</f>
        <v/>
      </c>
      <c r="AA1730" s="59">
        <f>IF($T1730="","",IF(COUNTIF('Resumo Grupos'!$AE$3:$AE$40,$T1730)&gt;0,"NAO","SIM"))</f>
        <v/>
      </c>
    </row>
    <row r="1731" ht="12.75" customHeight="1" s="60">
      <c r="A1731" s="59" t="n">
        <v>1</v>
      </c>
      <c r="B1731" s="75" t="n">
        <v>46226</v>
      </c>
      <c r="C1731" s="75" t="n">
        <v>46239</v>
      </c>
      <c r="D1731" s="59" t="n">
        <v>1745</v>
      </c>
      <c r="E1731" s="59" t="inlineStr">
        <is>
          <t>TRES CORACOES ALIMENTOS S.A.</t>
        </is>
      </c>
      <c r="F1731" s="59" t="n">
        <v>24</v>
      </c>
      <c r="G1731" s="59" t="inlineStr">
        <is>
          <t>Compra a Prazo - Boletos</t>
        </is>
      </c>
      <c r="H1731" s="59" t="n">
        <v>2110405</v>
      </c>
      <c r="I1731" s="59" t="inlineStr">
        <is>
          <t>CONTAS A PAGAR</t>
        </is>
      </c>
      <c r="J1731" s="59" t="n">
        <v>1440158</v>
      </c>
      <c r="L1731" s="59" t="n">
        <v>353326</v>
      </c>
      <c r="M1731" s="59" t="inlineStr">
        <is>
          <t>01</t>
        </is>
      </c>
      <c r="N1731" s="59" t="inlineStr">
        <is>
          <t>AVU</t>
        </is>
      </c>
      <c r="P1731" s="59" t="n">
        <v>103</v>
      </c>
      <c r="Q1731" s="59" t="inlineStr">
        <is>
          <t>MILKA FRANCIS</t>
        </is>
      </c>
      <c r="R1731" s="59" t="inlineStr">
        <is>
          <t>ESTOQUE DE MERCADORIAS</t>
        </is>
      </c>
      <c r="S1731" s="59" t="n">
        <v>1130101</v>
      </c>
      <c r="T1731" s="59" t="inlineStr">
        <is>
          <t>MERCADORIAS P/REVENDA</t>
        </is>
      </c>
      <c r="U1731" s="77" t="n">
        <v>2063.42</v>
      </c>
      <c r="W1731" s="59" t="n">
        <v>0</v>
      </c>
      <c r="X1731" s="59" t="inlineStr">
        <is>
          <t>NF353326-01 MILKA</t>
        </is>
      </c>
      <c r="Z1731" s="59">
        <f>IF($T1731="","",IFERROR(INDEX('Resumo Grupos'!$AC$3:$AC$200,MATCH($T1731,'Resumo Grupos'!$AB$3:$AB$200,0)),"n/d"))</f>
        <v/>
      </c>
      <c r="AA1731" s="59">
        <f>IF($T1731="","",IF(COUNTIF('Resumo Grupos'!$AE$3:$AE$40,$T1731)&gt;0,"NAO","SIM"))</f>
        <v/>
      </c>
    </row>
    <row r="1732" ht="12.75" customHeight="1" s="60">
      <c r="A1732" s="59" t="n">
        <v>1</v>
      </c>
      <c r="B1732" s="75" t="n">
        <v>46227</v>
      </c>
      <c r="C1732" s="75" t="n">
        <v>46239</v>
      </c>
      <c r="D1732" s="59" t="n">
        <v>1613</v>
      </c>
      <c r="E1732" s="59" t="inlineStr">
        <is>
          <t>BRF S A</t>
        </is>
      </c>
      <c r="F1732" s="59" t="n">
        <v>24</v>
      </c>
      <c r="G1732" s="59" t="inlineStr">
        <is>
          <t>Compra a Prazo - Boletos</t>
        </is>
      </c>
      <c r="H1732" s="59" t="n">
        <v>2110405</v>
      </c>
      <c r="I1732" s="59" t="inlineStr">
        <is>
          <t>CONTAS A PAGAR</t>
        </is>
      </c>
      <c r="J1732" s="59" t="n">
        <v>1443677</v>
      </c>
      <c r="L1732" s="59" t="n">
        <v>1611343</v>
      </c>
      <c r="M1732" s="59" t="inlineStr">
        <is>
          <t>01</t>
        </is>
      </c>
      <c r="N1732" s="59" t="inlineStr">
        <is>
          <t>AVU</t>
        </is>
      </c>
      <c r="P1732" s="59" t="n">
        <v>103</v>
      </c>
      <c r="Q1732" s="59" t="inlineStr">
        <is>
          <t>MILKA FRANCIS</t>
        </is>
      </c>
      <c r="R1732" s="59" t="inlineStr">
        <is>
          <t>ESTOQUE DE MERCADORIAS</t>
        </is>
      </c>
      <c r="S1732" s="59" t="n">
        <v>1130101</v>
      </c>
      <c r="T1732" s="59" t="inlineStr">
        <is>
          <t>MERCADORIAS P/REVENDA</t>
        </is>
      </c>
      <c r="U1732" s="77" t="n">
        <v>447.25</v>
      </c>
      <c r="W1732" s="59" t="n">
        <v>0</v>
      </c>
      <c r="X1732" s="59" t="inlineStr">
        <is>
          <t>NF 1611343-01/02 MILKA</t>
        </is>
      </c>
      <c r="Z1732" s="59">
        <f>IF($T1732="","",IFERROR(INDEX('Resumo Grupos'!$AC$3:$AC$200,MATCH($T1732,'Resumo Grupos'!$AB$3:$AB$200,0)),"n/d"))</f>
        <v/>
      </c>
      <c r="AA1732" s="59">
        <f>IF($T1732="","",IF(COUNTIF('Resumo Grupos'!$AE$3:$AE$40,$T1732)&gt;0,"NAO","SIM"))</f>
        <v/>
      </c>
    </row>
    <row r="1733" ht="12.75" customHeight="1" s="60">
      <c r="A1733" s="59" t="n">
        <v>1</v>
      </c>
      <c r="B1733" s="75" t="n">
        <v>46228</v>
      </c>
      <c r="C1733" s="75" t="n">
        <v>46239</v>
      </c>
      <c r="D1733" s="59" t="n">
        <v>1061</v>
      </c>
      <c r="E1733" s="59" t="inlineStr">
        <is>
          <t xml:space="preserve">ELIANA SILVA DE OLIVEIRA </t>
        </is>
      </c>
      <c r="F1733" s="59" t="n">
        <v>34</v>
      </c>
      <c r="G1733" s="59" t="inlineStr">
        <is>
          <t>Transferencia Pix</t>
        </is>
      </c>
      <c r="H1733" s="59" t="n">
        <v>1110202</v>
      </c>
      <c r="I1733" s="59" t="inlineStr">
        <is>
          <t>BANCO ITAU Lj 01</t>
        </is>
      </c>
      <c r="J1733" s="59" t="n">
        <v>1448839</v>
      </c>
      <c r="L1733" s="59" t="n">
        <v>596058</v>
      </c>
      <c r="M1733" s="59" t="inlineStr">
        <is>
          <t>01</t>
        </is>
      </c>
      <c r="N1733" s="59" t="inlineStr">
        <is>
          <t>AVU</t>
        </is>
      </c>
      <c r="P1733" s="59" t="n">
        <v>101</v>
      </c>
      <c r="Q1733" s="59" t="inlineStr">
        <is>
          <t>KEILA LIMA</t>
        </is>
      </c>
      <c r="R1733" s="59" t="inlineStr">
        <is>
          <t>DESPESAS NAO OPERACIONAIS</t>
        </is>
      </c>
      <c r="S1733" s="59" t="n">
        <v>4220199</v>
      </c>
      <c r="T1733" s="59" t="inlineStr">
        <is>
          <t>PAGAMENTOS OUTROS NAO OPERACIONAIS</t>
        </is>
      </c>
      <c r="U1733" s="77" t="n">
        <v>1500</v>
      </c>
      <c r="W1733" s="59" t="n">
        <v>0</v>
      </c>
      <c r="X1733" s="59" t="inlineStr">
        <is>
          <t>SALARIO ELIANA LOJAS - ESO - KEILA</t>
        </is>
      </c>
      <c r="Z1733" s="59">
        <f>IF($T1733="","",IFERROR(INDEX('Resumo Grupos'!$AC$3:$AC$200,MATCH($T1733,'Resumo Grupos'!$AB$3:$AB$200,0)),"n/d"))</f>
        <v/>
      </c>
      <c r="AA1733" s="59">
        <f>IF($T1733="","",IF(COUNTIF('Resumo Grupos'!$AE$3:$AE$40,$T1733)&gt;0,"NAO","SIM"))</f>
        <v/>
      </c>
    </row>
    <row r="1734" ht="12.75" customHeight="1" s="60">
      <c r="A1734" s="59" t="n">
        <v>1</v>
      </c>
      <c r="B1734" s="75" t="n">
        <v>46228</v>
      </c>
      <c r="C1734" s="75" t="n">
        <v>46239</v>
      </c>
      <c r="D1734" s="59" t="n">
        <v>16</v>
      </c>
      <c r="E1734" s="59" t="inlineStr">
        <is>
          <t>RENATO DE OLIVEIRA AZEVEDO</t>
        </is>
      </c>
      <c r="F1734" s="59" t="n">
        <v>34</v>
      </c>
      <c r="G1734" s="59" t="inlineStr">
        <is>
          <t>Transferencia Pix</t>
        </is>
      </c>
      <c r="H1734" s="59" t="n">
        <v>2110405</v>
      </c>
      <c r="I1734" s="59" t="inlineStr">
        <is>
          <t>CONTAS A PAGAR</t>
        </is>
      </c>
      <c r="J1734" s="59" t="n">
        <v>1448856</v>
      </c>
      <c r="L1734" s="59" t="n">
        <v>596062</v>
      </c>
      <c r="M1734" s="59" t="inlineStr">
        <is>
          <t>01</t>
        </is>
      </c>
      <c r="N1734" s="59" t="inlineStr">
        <is>
          <t>AVU</t>
        </is>
      </c>
      <c r="P1734" s="59" t="n">
        <v>101</v>
      </c>
      <c r="Q1734" s="59" t="inlineStr">
        <is>
          <t>KEILA LIMA</t>
        </is>
      </c>
      <c r="R1734" s="59" t="inlineStr">
        <is>
          <t>DESPESAS COM PESSOAL</t>
        </is>
      </c>
      <c r="S1734" s="59" t="n">
        <v>4210301</v>
      </c>
      <c r="T1734" s="59" t="inlineStr">
        <is>
          <t>SALARIOS</t>
        </is>
      </c>
      <c r="U1734" s="77" t="n">
        <v>500</v>
      </c>
      <c r="W1734" s="59" t="n">
        <v>0</v>
      </c>
      <c r="X1734" s="59" t="inlineStr">
        <is>
          <t>PG SALARIO 07/26 RENATO MO1 - KEILA</t>
        </is>
      </c>
      <c r="Z1734" s="59">
        <f>IF($T1734="","",IFERROR(INDEX('Resumo Grupos'!$AC$3:$AC$200,MATCH($T1734,'Resumo Grupos'!$AB$3:$AB$200,0)),"n/d"))</f>
        <v/>
      </c>
      <c r="AA1734" s="59">
        <f>IF($T1734="","",IF(COUNTIF('Resumo Grupos'!$AE$3:$AE$40,$T1734)&gt;0,"NAO","SIM"))</f>
        <v/>
      </c>
    </row>
    <row r="1735" ht="12.75" customHeight="1" s="60">
      <c r="A1735" s="59" t="n">
        <v>1</v>
      </c>
      <c r="B1735" s="75" t="n">
        <v>46232</v>
      </c>
      <c r="C1735" s="75" t="n">
        <v>46239</v>
      </c>
      <c r="D1735" s="59" t="n">
        <v>1778</v>
      </c>
      <c r="E1735" s="59" t="inlineStr">
        <is>
          <t xml:space="preserve">MANAUS AMBIENTAL S/A </t>
        </is>
      </c>
      <c r="F1735" s="59" t="n">
        <v>24</v>
      </c>
      <c r="G1735" s="59" t="inlineStr">
        <is>
          <t>Compra a Prazo - Boletos</t>
        </is>
      </c>
      <c r="H1735" s="59" t="n">
        <v>1110202</v>
      </c>
      <c r="I1735" s="59" t="inlineStr">
        <is>
          <t>BANCO ITAU Lj 01</t>
        </is>
      </c>
      <c r="J1735" s="59" t="n">
        <v>1469191</v>
      </c>
      <c r="L1735" s="59" t="n">
        <v>124472855</v>
      </c>
      <c r="M1735" s="59" t="inlineStr">
        <is>
          <t>01</t>
        </is>
      </c>
      <c r="N1735" s="59" t="inlineStr">
        <is>
          <t>AVU</t>
        </is>
      </c>
      <c r="P1735" s="59" t="n">
        <v>101</v>
      </c>
      <c r="Q1735" s="59" t="inlineStr">
        <is>
          <t>KEILA LIMA</t>
        </is>
      </c>
      <c r="R1735" s="59" t="inlineStr">
        <is>
          <t>DESPESAS OPERACIONAIS</t>
        </is>
      </c>
      <c r="S1735" s="59" t="n">
        <v>4210207</v>
      </c>
      <c r="T1735" s="59" t="inlineStr">
        <is>
          <t>AGUA</t>
        </is>
      </c>
      <c r="U1735" s="77" t="n">
        <v>196.58</v>
      </c>
      <c r="W1735" s="59" t="n">
        <v>0</v>
      </c>
      <c r="X1735" s="59" t="inlineStr">
        <is>
          <t>AGUA MO1 1244728-5 - KEILA</t>
        </is>
      </c>
      <c r="Z1735" s="59">
        <f>IF($T1735="","",IFERROR(INDEX('Resumo Grupos'!$AC$3:$AC$200,MATCH($T1735,'Resumo Grupos'!$AB$3:$AB$200,0)),"n/d"))</f>
        <v/>
      </c>
      <c r="AA1735" s="59">
        <f>IF($T1735="","",IF(COUNTIF('Resumo Grupos'!$AE$3:$AE$40,$T1735)&gt;0,"NAO","SIM"))</f>
        <v/>
      </c>
    </row>
    <row r="1736" ht="12.75" customHeight="1" s="60">
      <c r="A1736" s="59" t="n">
        <v>1</v>
      </c>
      <c r="B1736" s="75" t="n">
        <v>46232</v>
      </c>
      <c r="C1736" s="75" t="n">
        <v>46239</v>
      </c>
      <c r="D1736" s="59" t="n">
        <v>33</v>
      </c>
      <c r="E1736" s="59" t="inlineStr">
        <is>
          <t>RENATO DE O AZEVEDO E CIA LTDA - EPP</t>
        </is>
      </c>
      <c r="F1736" s="59" t="n">
        <v>24</v>
      </c>
      <c r="G1736" s="59" t="inlineStr">
        <is>
          <t>Compra a Prazo - Boletos</t>
        </is>
      </c>
      <c r="H1736" s="59" t="n">
        <v>2110101</v>
      </c>
      <c r="I1736" s="59" t="inlineStr">
        <is>
          <t>FORNECEDORES DE MERCADORIA</t>
        </is>
      </c>
      <c r="J1736" s="59" t="n">
        <v>1469574</v>
      </c>
      <c r="L1736" s="59" t="n">
        <v>5387</v>
      </c>
      <c r="M1736" s="59" t="inlineStr">
        <is>
          <t>01</t>
        </is>
      </c>
      <c r="N1736" s="59" t="inlineStr">
        <is>
          <t>NFE</t>
        </is>
      </c>
      <c r="P1736" s="59" t="n">
        <v>103</v>
      </c>
      <c r="Q1736" s="59" t="inlineStr">
        <is>
          <t>MILKA FRANCIS</t>
        </is>
      </c>
      <c r="R1736" s="59" t="inlineStr">
        <is>
          <t>ESTOQUE DE MERCADORIAS</t>
        </is>
      </c>
      <c r="S1736" s="59" t="n">
        <v>1130101</v>
      </c>
      <c r="T1736" s="59" t="inlineStr">
        <is>
          <t>MERCADORIAS P/REVENDA</t>
        </is>
      </c>
      <c r="U1736" s="77" t="n">
        <v>280</v>
      </c>
      <c r="W1736" s="59" t="n">
        <v>0</v>
      </c>
      <c r="X1736" s="59" t="inlineStr">
        <is>
          <t>DOC.:157430/1 /VISCERA SR.RENATO - MILKA</t>
        </is>
      </c>
      <c r="Z1736" s="59">
        <f>IF($T1736="","",IFERROR(INDEX('Resumo Grupos'!$AC$3:$AC$200,MATCH($T1736,'Resumo Grupos'!$AB$3:$AB$200,0)),"n/d"))</f>
        <v/>
      </c>
      <c r="AA1736" s="59">
        <f>IF($T1736="","",IF(COUNTIF('Resumo Grupos'!$AE$3:$AE$40,$T1736)&gt;0,"NAO","SIM"))</f>
        <v/>
      </c>
    </row>
    <row r="1737" ht="12.75" customHeight="1" s="60">
      <c r="A1737" s="59" t="n">
        <v>1</v>
      </c>
      <c r="B1737" s="75" t="n">
        <v>46232</v>
      </c>
      <c r="C1737" s="75" t="n">
        <v>46239</v>
      </c>
      <c r="D1737" s="59" t="n">
        <v>754</v>
      </c>
      <c r="E1737" s="59" t="inlineStr">
        <is>
          <t>SILVA E SANTOS FRIGORIFICO LTDA</t>
        </is>
      </c>
      <c r="F1737" s="59" t="n">
        <v>24</v>
      </c>
      <c r="G1737" s="59" t="inlineStr">
        <is>
          <t>Compra a Prazo - Boletos</t>
        </is>
      </c>
      <c r="H1737" s="59" t="n">
        <v>1110202</v>
      </c>
      <c r="I1737" s="59" t="inlineStr">
        <is>
          <t>BANCO ITAU Lj 01</t>
        </is>
      </c>
      <c r="J1737" s="59" t="n">
        <v>1469648</v>
      </c>
      <c r="L1737" s="59" t="n">
        <v>32114</v>
      </c>
      <c r="M1737" s="59" t="inlineStr">
        <is>
          <t>01</t>
        </is>
      </c>
      <c r="N1737" s="59" t="inlineStr">
        <is>
          <t>AVU</t>
        </is>
      </c>
      <c r="P1737" s="59" t="n">
        <v>103</v>
      </c>
      <c r="Q1737" s="59" t="inlineStr">
        <is>
          <t>MILKA FRANCIS</t>
        </is>
      </c>
      <c r="R1737" s="59" t="inlineStr">
        <is>
          <t>ESTOQUE DE MERCADORIAS</t>
        </is>
      </c>
      <c r="S1737" s="59" t="n">
        <v>1130101</v>
      </c>
      <c r="T1737" s="59" t="inlineStr">
        <is>
          <t>MERCADORIAS P/REVENDA</t>
        </is>
      </c>
      <c r="U1737" s="77" t="n">
        <v>3642.5</v>
      </c>
      <c r="W1737" s="59" t="n">
        <v>0</v>
      </c>
      <c r="X1737" s="59" t="inlineStr">
        <is>
          <t>NF32114 - MILKA</t>
        </is>
      </c>
      <c r="Z1737" s="59">
        <f>IF($T1737="","",IFERROR(INDEX('Resumo Grupos'!$AC$3:$AC$200,MATCH($T1737,'Resumo Grupos'!$AB$3:$AB$200,0)),"n/d"))</f>
        <v/>
      </c>
      <c r="AA1737" s="59">
        <f>IF($T1737="","",IF(COUNTIF('Resumo Grupos'!$AE$3:$AE$40,$T1737)&gt;0,"NAO","SIM"))</f>
        <v/>
      </c>
    </row>
    <row r="1738" ht="12.75" customHeight="1" s="60">
      <c r="A1738" s="59" t="n">
        <v>1</v>
      </c>
      <c r="B1738" s="75" t="n">
        <v>46232</v>
      </c>
      <c r="C1738" s="75" t="n">
        <v>46239</v>
      </c>
      <c r="D1738" s="59" t="n">
        <v>714</v>
      </c>
      <c r="E1738" s="59" t="inlineStr">
        <is>
          <t>CARMEM ELIZA</t>
        </is>
      </c>
      <c r="F1738" s="59" t="n">
        <v>34</v>
      </c>
      <c r="G1738" s="59" t="inlineStr">
        <is>
          <t>Transferencia Pix</t>
        </is>
      </c>
      <c r="H1738" s="59" t="n">
        <v>2110405</v>
      </c>
      <c r="I1738" s="59" t="inlineStr">
        <is>
          <t>CONTAS A PAGAR</t>
        </is>
      </c>
      <c r="J1738" s="59" t="n">
        <v>1470158</v>
      </c>
      <c r="L1738" s="59" t="n">
        <v>604127</v>
      </c>
      <c r="M1738" s="59" t="inlineStr">
        <is>
          <t>01</t>
        </is>
      </c>
      <c r="N1738" s="59" t="inlineStr">
        <is>
          <t>AVU</t>
        </is>
      </c>
      <c r="P1738" s="59" t="n">
        <v>101</v>
      </c>
      <c r="Q1738" s="59" t="inlineStr">
        <is>
          <t>KEILA LIMA</t>
        </is>
      </c>
      <c r="R1738" s="59" t="inlineStr">
        <is>
          <t>DESPESAS NAO OPERACIONAIS</t>
        </is>
      </c>
      <c r="S1738" s="59" t="n">
        <v>4220199</v>
      </c>
      <c r="T1738" s="59" t="inlineStr">
        <is>
          <t>PAGAMENTOS OUTROS NAO OPERACIONAIS</t>
        </is>
      </c>
      <c r="U1738" s="77" t="n">
        <v>6150</v>
      </c>
      <c r="W1738" s="59" t="n">
        <v>0</v>
      </c>
      <c r="X1738" s="59" t="inlineStr">
        <is>
          <t xml:space="preserve">ALUGUEL NAO SOMAR MO1 </t>
        </is>
      </c>
      <c r="Z1738" s="59">
        <f>IF($T1738="","",IFERROR(INDEX('Resumo Grupos'!$AC$3:$AC$200,MATCH($T1738,'Resumo Grupos'!$AB$3:$AB$200,0)),"n/d"))</f>
        <v/>
      </c>
      <c r="AA1738" s="59">
        <f>IF($T1738="","",IF(COUNTIF('Resumo Grupos'!$AE$3:$AE$40,$T1738)&gt;0,"NAO","SIM"))</f>
        <v/>
      </c>
    </row>
    <row r="1739" ht="12.75" customHeight="1" s="60">
      <c r="A1739" s="59" t="n">
        <v>1</v>
      </c>
      <c r="B1739" s="75" t="n">
        <v>46235</v>
      </c>
      <c r="C1739" s="75" t="n">
        <v>46239</v>
      </c>
      <c r="D1739" s="59" t="n">
        <v>1363</v>
      </c>
      <c r="E1739" s="59" t="inlineStr">
        <is>
          <t>JAB COMERCIO DE PRODUTOS ALIMENTICIOS LT</t>
        </is>
      </c>
      <c r="F1739" s="59" t="n">
        <v>24</v>
      </c>
      <c r="G1739" s="59" t="inlineStr">
        <is>
          <t>Compra a Prazo - Boletos</t>
        </is>
      </c>
      <c r="H1739" s="59" t="n">
        <v>1110202</v>
      </c>
      <c r="I1739" s="59" t="inlineStr">
        <is>
          <t>BANCO ITAU Lj 01</t>
        </is>
      </c>
      <c r="J1739" s="59" t="n">
        <v>1481738</v>
      </c>
      <c r="L1739" s="59" t="n">
        <v>3624</v>
      </c>
      <c r="M1739" s="59" t="inlineStr">
        <is>
          <t>01</t>
        </is>
      </c>
      <c r="N1739" s="59" t="inlineStr">
        <is>
          <t>AVU</t>
        </is>
      </c>
      <c r="P1739" s="59" t="n">
        <v>103</v>
      </c>
      <c r="Q1739" s="59" t="inlineStr">
        <is>
          <t>MILKA FRANCIS</t>
        </is>
      </c>
      <c r="R1739" s="59" t="inlineStr">
        <is>
          <t>ESTOQUE DE MERCADORIAS</t>
        </is>
      </c>
      <c r="S1739" s="59" t="n">
        <v>1130101</v>
      </c>
      <c r="T1739" s="59" t="inlineStr">
        <is>
          <t>MERCADORIAS P/REVENDA</t>
        </is>
      </c>
      <c r="U1739" s="77" t="n">
        <v>287</v>
      </c>
      <c r="W1739" s="59" t="n">
        <v>0</v>
      </c>
      <c r="X1739" s="59" t="inlineStr">
        <is>
          <t>NF 3624 SANTO PAO - MILKA</t>
        </is>
      </c>
      <c r="Z1739" s="59">
        <f>IF($T1739="","",IFERROR(INDEX('Resumo Grupos'!$AC$3:$AC$200,MATCH($T1739,'Resumo Grupos'!$AB$3:$AB$200,0)),"n/d"))</f>
        <v/>
      </c>
      <c r="AA1739" s="59">
        <f>IF($T1739="","",IF(COUNTIF('Resumo Grupos'!$AE$3:$AE$40,$T1739)&gt;0,"NAO","SIM"))</f>
        <v/>
      </c>
    </row>
    <row r="1740" ht="12.75" customHeight="1" s="60">
      <c r="A1740" s="59" t="n">
        <v>1</v>
      </c>
      <c r="B1740" s="75" t="n">
        <v>46238</v>
      </c>
      <c r="C1740" s="75" t="n">
        <v>46239</v>
      </c>
      <c r="D1740" s="59" t="n">
        <v>33</v>
      </c>
      <c r="E1740" s="59" t="inlineStr">
        <is>
          <t>RENATO DE O AZEVEDO E CIA LTDA - EPP</t>
        </is>
      </c>
      <c r="F1740" s="59" t="n">
        <v>34</v>
      </c>
      <c r="G1740" s="59" t="inlineStr">
        <is>
          <t>Transferencia Pix</t>
        </is>
      </c>
      <c r="H1740" s="59" t="n">
        <v>2110101</v>
      </c>
      <c r="I1740" s="59" t="inlineStr">
        <is>
          <t>FORNECEDORES DE MERCADORIA</t>
        </is>
      </c>
      <c r="J1740" s="59" t="n">
        <v>1501635</v>
      </c>
      <c r="L1740" s="59" t="n">
        <v>5438</v>
      </c>
      <c r="M1740" s="59" t="inlineStr">
        <is>
          <t>01</t>
        </is>
      </c>
      <c r="N1740" s="59" t="inlineStr">
        <is>
          <t>NFE</t>
        </is>
      </c>
      <c r="P1740" s="59" t="n">
        <v>104</v>
      </c>
      <c r="Q1740" s="59" t="inlineStr">
        <is>
          <t>DEBORA COSTA</t>
        </is>
      </c>
      <c r="R1740" s="59" t="inlineStr">
        <is>
          <t>ESTOQUE DE MERCADORIAS</t>
        </is>
      </c>
      <c r="S1740" s="59" t="n">
        <v>1130101</v>
      </c>
      <c r="T1740" s="59" t="inlineStr">
        <is>
          <t>MERCADORIAS P/REVENDA</t>
        </is>
      </c>
      <c r="U1740" s="77" t="n">
        <v>1581</v>
      </c>
      <c r="W1740" s="59" t="n">
        <v>0</v>
      </c>
      <c r="X1740" s="59" t="inlineStr">
        <is>
          <t>FEIRA CARLOS - DEBORA</t>
        </is>
      </c>
      <c r="Z1740" s="59">
        <f>IF($T1740="","",IFERROR(INDEX('Resumo Grupos'!$AC$3:$AC$200,MATCH($T1740,'Resumo Grupos'!$AB$3:$AB$200,0)),"n/d"))</f>
        <v/>
      </c>
      <c r="AA1740" s="59">
        <f>IF($T1740="","",IF(COUNTIF('Resumo Grupos'!$AE$3:$AE$40,$T1740)&gt;0,"NAO","SIM"))</f>
        <v/>
      </c>
    </row>
    <row r="1741" ht="12.75" customHeight="1" s="60">
      <c r="A1741" s="59" t="n">
        <v>1</v>
      </c>
      <c r="B1741" s="75" t="n">
        <v>46238</v>
      </c>
      <c r="C1741" s="75" t="n">
        <v>46239</v>
      </c>
      <c r="D1741" s="59" t="n">
        <v>1615</v>
      </c>
      <c r="E1741" s="59" t="inlineStr">
        <is>
          <t>COMERCIO E TRANSPORTE BRANDAO LTDA</t>
        </is>
      </c>
      <c r="F1741" s="59" t="n">
        <v>34</v>
      </c>
      <c r="G1741" s="59" t="inlineStr">
        <is>
          <t>Transferencia Pix</t>
        </is>
      </c>
      <c r="H1741" s="59" t="n">
        <v>2110101</v>
      </c>
      <c r="I1741" s="59" t="inlineStr">
        <is>
          <t>FORNECEDORES DE MERCADORIA</t>
        </is>
      </c>
      <c r="J1741" s="59" t="n">
        <v>1501658</v>
      </c>
      <c r="L1741" s="59" t="n">
        <v>15021</v>
      </c>
      <c r="M1741" s="59" t="inlineStr">
        <is>
          <t>01</t>
        </is>
      </c>
      <c r="N1741" s="59" t="inlineStr">
        <is>
          <t>NFE</t>
        </is>
      </c>
      <c r="P1741" s="59" t="n">
        <v>104</v>
      </c>
      <c r="Q1741" s="59" t="inlineStr">
        <is>
          <t>DEBORA COSTA</t>
        </is>
      </c>
      <c r="R1741" s="59" t="inlineStr">
        <is>
          <t>ESTOQUE DE MERCADORIAS</t>
        </is>
      </c>
      <c r="S1741" s="59" t="n">
        <v>1130101</v>
      </c>
      <c r="T1741" s="59" t="inlineStr">
        <is>
          <t>MERCADORIAS P/REVENDA</t>
        </is>
      </c>
      <c r="U1741" s="77" t="n">
        <v>750</v>
      </c>
      <c r="W1741" s="59" t="n">
        <v>0</v>
      </c>
      <c r="X1741" s="59" t="inlineStr">
        <is>
          <t>NF 15021 - DEBORA</t>
        </is>
      </c>
      <c r="Z1741" s="59">
        <f>IF($T1741="","",IFERROR(INDEX('Resumo Grupos'!$AC$3:$AC$200,MATCH($T1741,'Resumo Grupos'!$AB$3:$AB$200,0)),"n/d"))</f>
        <v/>
      </c>
      <c r="AA1741" s="59">
        <f>IF($T1741="","",IF(COUNTIF('Resumo Grupos'!$AE$3:$AE$40,$T1741)&gt;0,"NAO","SIM"))</f>
        <v/>
      </c>
    </row>
    <row r="1742" ht="12.75" customHeight="1" s="60">
      <c r="A1742" s="59" t="n">
        <v>1</v>
      </c>
      <c r="B1742" s="75" t="n">
        <v>46238</v>
      </c>
      <c r="C1742" s="75" t="n">
        <v>46239</v>
      </c>
      <c r="D1742" s="59" t="n">
        <v>33</v>
      </c>
      <c r="E1742" s="59" t="inlineStr">
        <is>
          <t>RENATO DE O AZEVEDO E CIA LTDA - EPP</t>
        </is>
      </c>
      <c r="F1742" s="59" t="n">
        <v>34</v>
      </c>
      <c r="G1742" s="59" t="inlineStr">
        <is>
          <t>Transferencia Pix</t>
        </is>
      </c>
      <c r="H1742" s="59" t="n">
        <v>1110202</v>
      </c>
      <c r="I1742" s="59" t="inlineStr">
        <is>
          <t>BANCO ITAU Lj 01</t>
        </is>
      </c>
      <c r="J1742" s="59" t="n">
        <v>1501680</v>
      </c>
      <c r="L1742" s="59" t="n">
        <v>615474</v>
      </c>
      <c r="M1742" s="59" t="inlineStr">
        <is>
          <t>01</t>
        </is>
      </c>
      <c r="N1742" s="59" t="inlineStr">
        <is>
          <t>AVU</t>
        </is>
      </c>
      <c r="P1742" s="59" t="n">
        <v>104</v>
      </c>
      <c r="Q1742" s="59" t="inlineStr">
        <is>
          <t>DEBORA COSTA</t>
        </is>
      </c>
      <c r="R1742" s="59" t="inlineStr">
        <is>
          <t>ESTOQUE DE MERCADORIAS</t>
        </is>
      </c>
      <c r="S1742" s="59" t="n">
        <v>1130101</v>
      </c>
      <c r="T1742" s="59" t="inlineStr">
        <is>
          <t>MERCADORIAS P/REVENDA</t>
        </is>
      </c>
      <c r="U1742" s="77" t="n">
        <v>70</v>
      </c>
      <c r="W1742" s="59" t="n">
        <v>0</v>
      </c>
      <c r="X1742" s="59" t="inlineStr">
        <is>
          <t>CAMARAO COM CASCA - FEIRA CARLOS - DEBORA</t>
        </is>
      </c>
      <c r="Z1742" s="59">
        <f>IF($T1742="","",IFERROR(INDEX('Resumo Grupos'!$AC$3:$AC$200,MATCH($T1742,'Resumo Grupos'!$AB$3:$AB$200,0)),"n/d"))</f>
        <v/>
      </c>
      <c r="AA1742" s="59">
        <f>IF($T1742="","",IF(COUNTIF('Resumo Grupos'!$AE$3:$AE$40,$T1742)&gt;0,"NAO","SIM"))</f>
        <v/>
      </c>
    </row>
    <row r="1743" ht="12.75" customHeight="1" s="60">
      <c r="A1743" s="59" t="n">
        <v>1</v>
      </c>
      <c r="B1743" s="75" t="n">
        <v>46239</v>
      </c>
      <c r="C1743" s="75" t="n">
        <v>46239</v>
      </c>
      <c r="D1743" s="59" t="n">
        <v>10067</v>
      </c>
      <c r="E1743" s="59" t="inlineStr">
        <is>
          <t>GETNET ADQUIRENCIA E SERVICOS PARA MEIOS DE PAGAMENTO S.A. - INSTITUICAO DE PAGA</t>
        </is>
      </c>
      <c r="F1743" s="59" t="n">
        <v>24</v>
      </c>
      <c r="G1743" s="59" t="inlineStr">
        <is>
          <t>Compra a Prazo - Boletos</t>
        </is>
      </c>
      <c r="H1743" s="59" t="n">
        <v>2110101</v>
      </c>
      <c r="I1743" s="59" t="inlineStr">
        <is>
          <t>FORNECEDORES DE MERCADORIA</t>
        </is>
      </c>
      <c r="J1743" s="59" t="n">
        <v>1503907</v>
      </c>
      <c r="L1743" s="59" t="n">
        <v>616391</v>
      </c>
      <c r="M1743" s="59" t="inlineStr">
        <is>
          <t>01</t>
        </is>
      </c>
      <c r="N1743" s="59" t="inlineStr">
        <is>
          <t>AVU</t>
        </is>
      </c>
      <c r="P1743" s="59" t="n">
        <v>102</v>
      </c>
      <c r="Q1743" s="59" t="inlineStr">
        <is>
          <t>ANDREZA ANDRADE</t>
        </is>
      </c>
      <c r="R1743" s="59" t="inlineStr">
        <is>
          <t>DESPESAS OPERACIONAIS</t>
        </is>
      </c>
      <c r="S1743" s="59" t="n">
        <v>4210227</v>
      </c>
      <c r="T1743" s="59" t="inlineStr">
        <is>
          <t>DESPESAS LOJA</t>
        </is>
      </c>
      <c r="U1743" s="77" t="n">
        <v>216.48</v>
      </c>
      <c r="W1743" s="59" t="n">
        <v>0</v>
      </c>
      <c r="X1743" s="59" t="inlineStr">
        <is>
          <t>DESPESA GETNET ADQUIRENTE ALUGUEL MAQUINAMO1-ANDREZA</t>
        </is>
      </c>
      <c r="Z1743" s="59">
        <f>IF($T1743="","",IFERROR(INDEX('Resumo Grupos'!$AC$3:$AC$200,MATCH($T1743,'Resumo Grupos'!$AB$3:$AB$200,0)),"n/d"))</f>
        <v/>
      </c>
      <c r="AA1743" s="59">
        <f>IF($T1743="","",IF(COUNTIF('Resumo Grupos'!$AE$3:$AE$40,$T1743)&gt;0,"NAO","SIM"))</f>
        <v/>
      </c>
    </row>
    <row r="1744" ht="12.75" customHeight="1" s="60">
      <c r="A1744" s="59" t="n">
        <v>1</v>
      </c>
      <c r="B1744" s="75" t="n">
        <v>46239</v>
      </c>
      <c r="C1744" s="75" t="n">
        <v>46239</v>
      </c>
      <c r="D1744" s="59" t="n">
        <v>17</v>
      </c>
      <c r="E1744" s="59" t="inlineStr">
        <is>
          <t>NEYLIANE SILVA DE OLIVEIRA</t>
        </is>
      </c>
      <c r="F1744" s="59" t="n">
        <v>34</v>
      </c>
      <c r="G1744" s="59" t="inlineStr">
        <is>
          <t>Transferencia Pix</t>
        </is>
      </c>
      <c r="H1744" s="59" t="n">
        <v>2110405</v>
      </c>
      <c r="I1744" s="59" t="inlineStr">
        <is>
          <t>CONTAS A PAGAR</t>
        </is>
      </c>
      <c r="J1744" s="59" t="n">
        <v>1504687</v>
      </c>
      <c r="L1744" s="59" t="n">
        <v>616564</v>
      </c>
      <c r="M1744" s="59" t="inlineStr">
        <is>
          <t>01</t>
        </is>
      </c>
      <c r="N1744" s="59" t="inlineStr">
        <is>
          <t>AVU</t>
        </is>
      </c>
      <c r="P1744" s="59" t="n">
        <v>101</v>
      </c>
      <c r="Q1744" s="59" t="inlineStr">
        <is>
          <t>KEILA LIMA</t>
        </is>
      </c>
      <c r="R1744" s="59" t="inlineStr">
        <is>
          <t>DESPESAS NAO OPERACIONAIS</t>
        </is>
      </c>
      <c r="S1744" s="59" t="n">
        <v>4220199</v>
      </c>
      <c r="T1744" s="59" t="inlineStr">
        <is>
          <t>PAGAMENTOS OUTROS NAO OPERACIONAIS</t>
        </is>
      </c>
      <c r="U1744" s="77" t="n">
        <v>220</v>
      </c>
      <c r="W1744" s="59" t="n">
        <v>0</v>
      </c>
      <c r="X1744" s="59" t="inlineStr">
        <is>
          <t xml:space="preserve">PL NEILA E RENTATO VT ARLETE </t>
        </is>
      </c>
      <c r="Z1744" s="59">
        <f>IF($T1744="","",IFERROR(INDEX('Resumo Grupos'!$AC$3:$AC$200,MATCH($T1744,'Resumo Grupos'!$AB$3:$AB$200,0)),"n/d"))</f>
        <v/>
      </c>
      <c r="AA1744" s="59">
        <f>IF($T1744="","",IF(COUNTIF('Resumo Grupos'!$AE$3:$AE$40,$T1744)&gt;0,"NAO","SIM"))</f>
        <v/>
      </c>
    </row>
    <row r="1745" ht="12.75" customHeight="1" s="60">
      <c r="A1745" s="59" t="n">
        <v>1</v>
      </c>
      <c r="B1745" s="75" t="n">
        <v>46239</v>
      </c>
      <c r="C1745" s="75" t="n">
        <v>46239</v>
      </c>
      <c r="D1745" s="59" t="n">
        <v>33</v>
      </c>
      <c r="E1745" s="59" t="inlineStr">
        <is>
          <t>RENATO DE O AZEVEDO E CIA LTDA - EPP</t>
        </is>
      </c>
      <c r="F1745" s="59" t="n">
        <v>34</v>
      </c>
      <c r="G1745" s="59" t="inlineStr">
        <is>
          <t>Transferencia Pix</t>
        </is>
      </c>
      <c r="H1745" s="59" t="n">
        <v>2110101</v>
      </c>
      <c r="I1745" s="59" t="inlineStr">
        <is>
          <t>FORNECEDORES DE MERCADORIA</t>
        </is>
      </c>
      <c r="J1745" s="59" t="n">
        <v>1505339</v>
      </c>
      <c r="L1745" s="59" t="n">
        <v>5439</v>
      </c>
      <c r="M1745" s="59" t="inlineStr">
        <is>
          <t>01</t>
        </is>
      </c>
      <c r="N1745" s="59" t="inlineStr">
        <is>
          <t>NFE</t>
        </is>
      </c>
      <c r="P1745" s="59" t="n">
        <v>104</v>
      </c>
      <c r="Q1745" s="59" t="inlineStr">
        <is>
          <t>DEBORA COSTA</t>
        </is>
      </c>
      <c r="R1745" s="59" t="inlineStr">
        <is>
          <t>ESTOQUE DE MERCADORIAS</t>
        </is>
      </c>
      <c r="S1745" s="59" t="n">
        <v>1130101</v>
      </c>
      <c r="T1745" s="59" t="inlineStr">
        <is>
          <t>MERCADORIAS P/REVENDA</t>
        </is>
      </c>
      <c r="U1745" s="77" t="n">
        <v>500</v>
      </c>
      <c r="W1745" s="59" t="n">
        <v>0</v>
      </c>
      <c r="X1745" s="59" t="inlineStr">
        <is>
          <t>FEIRA SR RENATO - PIX P/  J F MERCEARIA - MERCADINHO FORTALEZA - DEBORA</t>
        </is>
      </c>
      <c r="Z1745" s="59">
        <f>IF($T1745="","",IFERROR(INDEX('Resumo Grupos'!$AC$3:$AC$200,MATCH($T1745,'Resumo Grupos'!$AB$3:$AB$200,0)),"n/d"))</f>
        <v/>
      </c>
      <c r="AA1745" s="59">
        <f>IF($T1745="","",IF(COUNTIF('Resumo Grupos'!$AE$3:$AE$40,$T1745)&gt;0,"NAO","SIM"))</f>
        <v/>
      </c>
    </row>
    <row r="1746" ht="12.75" customHeight="1" s="60">
      <c r="A1746" s="59" t="n">
        <v>1</v>
      </c>
      <c r="B1746" s="75" t="n">
        <v>46239</v>
      </c>
      <c r="C1746" s="75" t="n">
        <v>46239</v>
      </c>
      <c r="D1746" s="59" t="n">
        <v>10096</v>
      </c>
      <c r="E1746" s="59" t="inlineStr">
        <is>
          <t>H L M PADARIA E CONFEITARIA LTDA</t>
        </is>
      </c>
      <c r="F1746" s="59" t="n">
        <v>13</v>
      </c>
      <c r="G1746" s="59" t="inlineStr">
        <is>
          <t>Compra a Vista</t>
        </is>
      </c>
      <c r="H1746" s="59" t="n">
        <v>2110101</v>
      </c>
      <c r="I1746" s="59" t="inlineStr">
        <is>
          <t>FORNECEDORES DE MERCADORIA</t>
        </is>
      </c>
      <c r="J1746" s="59" t="n">
        <v>1508427</v>
      </c>
      <c r="L1746" s="59" t="n">
        <v>122</v>
      </c>
      <c r="M1746" s="59" t="inlineStr">
        <is>
          <t>01</t>
        </is>
      </c>
      <c r="N1746" s="59" t="inlineStr">
        <is>
          <t>NFE</t>
        </is>
      </c>
      <c r="P1746" s="59" t="n">
        <v>104</v>
      </c>
      <c r="Q1746" s="59" t="inlineStr">
        <is>
          <t>DEBORA COSTA</t>
        </is>
      </c>
      <c r="R1746" s="59" t="inlineStr">
        <is>
          <t>ESTOQUE DE MERCADORIAS</t>
        </is>
      </c>
      <c r="S1746" s="59" t="n">
        <v>1130101</v>
      </c>
      <c r="T1746" s="59" t="inlineStr">
        <is>
          <t>MERCADORIAS P/REVENDA</t>
        </is>
      </c>
      <c r="U1746" s="77" t="n">
        <v>280</v>
      </c>
      <c r="W1746" s="59" t="n">
        <v>0</v>
      </c>
      <c r="X1746" s="59" t="inlineStr">
        <is>
          <t>NF 122 - DEBORA</t>
        </is>
      </c>
      <c r="Z1746" s="59">
        <f>IF($T1746="","",IFERROR(INDEX('Resumo Grupos'!$AC$3:$AC$200,MATCH($T1746,'Resumo Grupos'!$AB$3:$AB$200,0)),"n/d"))</f>
        <v/>
      </c>
      <c r="AA1746" s="59">
        <f>IF($T1746="","",IF(COUNTIF('Resumo Grupos'!$AE$3:$AE$40,$T1746)&gt;0,"NAO","SIM"))</f>
        <v/>
      </c>
    </row>
    <row r="1747" ht="12.75" customHeight="1" s="60">
      <c r="A1747" s="59" t="n">
        <v>1</v>
      </c>
      <c r="B1747" s="75" t="n">
        <v>46239</v>
      </c>
      <c r="C1747" s="75" t="n">
        <v>46239</v>
      </c>
      <c r="D1747" s="59" t="n">
        <v>717</v>
      </c>
      <c r="E1747" s="59" t="inlineStr">
        <is>
          <t>FORNECEDOR AVULSO</t>
        </is>
      </c>
      <c r="F1747" s="59" t="n">
        <v>34</v>
      </c>
      <c r="G1747" s="59" t="inlineStr">
        <is>
          <t>Transferencia Pix</t>
        </is>
      </c>
      <c r="H1747" s="59" t="n">
        <v>2110405</v>
      </c>
      <c r="I1747" s="59" t="inlineStr">
        <is>
          <t>CONTAS A PAGAR</t>
        </is>
      </c>
      <c r="J1747" s="59" t="n">
        <v>1509165</v>
      </c>
      <c r="L1747" s="59" t="n">
        <v>618316</v>
      </c>
      <c r="M1747" s="59" t="inlineStr">
        <is>
          <t>01</t>
        </is>
      </c>
      <c r="N1747" s="59" t="inlineStr">
        <is>
          <t>AVU</t>
        </is>
      </c>
      <c r="P1747" s="59" t="n">
        <v>102</v>
      </c>
      <c r="Q1747" s="59" t="inlineStr">
        <is>
          <t>ANDREZA ANDRADE</t>
        </is>
      </c>
      <c r="R1747" s="59" t="inlineStr">
        <is>
          <t>DESPESAS NAO OPERACIONAIS</t>
        </is>
      </c>
      <c r="S1747" s="59" t="n">
        <v>4220199</v>
      </c>
      <c r="T1747" s="59" t="inlineStr">
        <is>
          <t>PAGAMENTOS OUTROS NAO OPERACIONAIS</t>
        </is>
      </c>
      <c r="U1747" s="77" t="n">
        <v>610</v>
      </c>
      <c r="W1747" s="59" t="n">
        <v>0</v>
      </c>
      <c r="X1747" s="59" t="inlineStr">
        <is>
          <t>DINHEIRO TROCADO PIX GELBER  DAMASCENO LIMA-ANDREZA</t>
        </is>
      </c>
      <c r="Z1747" s="59">
        <f>IF($T1747="","",IFERROR(INDEX('Resumo Grupos'!$AC$3:$AC$200,MATCH($T1747,'Resumo Grupos'!$AB$3:$AB$200,0)),"n/d"))</f>
        <v/>
      </c>
      <c r="AA1747" s="59">
        <f>IF($T1747="","",IF(COUNTIF('Resumo Grupos'!$AE$3:$AE$40,$T1747)&gt;0,"NAO","SIM"))</f>
        <v/>
      </c>
    </row>
    <row r="1748" ht="12.75" customHeight="1" s="60">
      <c r="A1748" s="59" t="n">
        <v>1</v>
      </c>
      <c r="B1748" s="75" t="n">
        <v>46092</v>
      </c>
      <c r="C1748" s="75" t="n">
        <v>46240</v>
      </c>
      <c r="D1748" s="59" t="n">
        <v>16</v>
      </c>
      <c r="E1748" s="59" t="inlineStr">
        <is>
          <t>RENATO DE OLIVEIRA AZEVEDO</t>
        </is>
      </c>
      <c r="F1748" s="59" t="n">
        <v>11</v>
      </c>
      <c r="G1748" s="59" t="inlineStr">
        <is>
          <t>Dinheiro Cx Geral</t>
        </is>
      </c>
      <c r="H1748" s="59" t="n">
        <v>2110405</v>
      </c>
      <c r="I1748" s="59" t="inlineStr">
        <is>
          <t>CONTAS A PAGAR</t>
        </is>
      </c>
      <c r="J1748" s="59" t="n">
        <v>784488</v>
      </c>
      <c r="L1748" s="59" t="n">
        <v>338625</v>
      </c>
      <c r="M1748" s="59" t="inlineStr">
        <is>
          <t>03</t>
        </is>
      </c>
      <c r="N1748" s="59" t="inlineStr">
        <is>
          <t>AVU</t>
        </is>
      </c>
      <c r="P1748" s="59" t="n">
        <v>101</v>
      </c>
      <c r="Q1748" s="59" t="inlineStr">
        <is>
          <t>KEILA LIMA</t>
        </is>
      </c>
      <c r="R1748" s="59" t="inlineStr">
        <is>
          <t>DESPESAS NAO OPERACIONAIS</t>
        </is>
      </c>
      <c r="S1748" s="59" t="n">
        <v>4220199</v>
      </c>
      <c r="T1748" s="59" t="inlineStr">
        <is>
          <t>PAGAMENTOS OUTROS NAO OPERACIONAIS</t>
        </is>
      </c>
      <c r="U1748" s="77" t="n">
        <v>3600</v>
      </c>
      <c r="W1748" s="59" t="n">
        <v>0</v>
      </c>
      <c r="X1748" s="59" t="inlineStr">
        <is>
          <t>PL RENATO MO1 - KEILA  pote mo1</t>
        </is>
      </c>
      <c r="Z1748" s="59">
        <f>IF($T1748="","",IFERROR(INDEX('Resumo Grupos'!$AC$3:$AC$200,MATCH($T1748,'Resumo Grupos'!$AB$3:$AB$200,0)),"n/d"))</f>
        <v/>
      </c>
      <c r="AA1748" s="59">
        <f>IF($T1748="","",IF(COUNTIF('Resumo Grupos'!$AE$3:$AE$40,$T1748)&gt;0,"NAO","SIM"))</f>
        <v/>
      </c>
    </row>
    <row r="1749" ht="12.75" customHeight="1" s="60">
      <c r="A1749" s="59" t="n">
        <v>1</v>
      </c>
      <c r="B1749" s="75" t="n">
        <v>46211</v>
      </c>
      <c r="C1749" s="75" t="n">
        <v>46240</v>
      </c>
      <c r="D1749" s="59" t="n">
        <v>1830</v>
      </c>
      <c r="E1749" s="59" t="inlineStr">
        <is>
          <t>NL SERVICOS MEDICOS LTDA</t>
        </is>
      </c>
      <c r="F1749" s="59" t="n">
        <v>24</v>
      </c>
      <c r="G1749" s="59" t="inlineStr">
        <is>
          <t>Compra a Prazo - Boletos</t>
        </is>
      </c>
      <c r="H1749" s="59" t="n">
        <v>2110405</v>
      </c>
      <c r="I1749" s="59" t="inlineStr">
        <is>
          <t>CONTAS A PAGAR</t>
        </is>
      </c>
      <c r="J1749" s="59" t="n">
        <v>1370639</v>
      </c>
      <c r="L1749" s="59" t="n">
        <v>1053</v>
      </c>
      <c r="M1749" s="59" t="inlineStr">
        <is>
          <t>01</t>
        </is>
      </c>
      <c r="N1749" s="59" t="inlineStr">
        <is>
          <t>AVU</t>
        </is>
      </c>
      <c r="P1749" s="59" t="n">
        <v>101</v>
      </c>
      <c r="Q1749" s="59" t="inlineStr">
        <is>
          <t>KEILA LIMA</t>
        </is>
      </c>
      <c r="R1749" s="59" t="inlineStr">
        <is>
          <t>DESPESAS COM PESSOAL</t>
        </is>
      </c>
      <c r="S1749" s="59" t="n">
        <v>4210319</v>
      </c>
      <c r="T1749" s="59" t="inlineStr">
        <is>
          <t>ASO FUNCIONARIOS</t>
        </is>
      </c>
      <c r="U1749" s="77" t="n">
        <v>209</v>
      </c>
      <c r="W1749" s="59" t="n">
        <v>209</v>
      </c>
      <c r="X1749" s="59" t="inlineStr">
        <is>
          <t>ASOS FUNCIONARIOS MO1 06/26 - KEILA</t>
        </is>
      </c>
      <c r="Z1749" s="59">
        <f>IF($T1749="","",IFERROR(INDEX('Resumo Grupos'!$AC$3:$AC$200,MATCH($T1749,'Resumo Grupos'!$AB$3:$AB$200,0)),"n/d"))</f>
        <v/>
      </c>
      <c r="AA1749" s="59">
        <f>IF($T1749="","",IF(COUNTIF('Resumo Grupos'!$AE$3:$AE$40,$T1749)&gt;0,"NAO","SIM"))</f>
        <v/>
      </c>
    </row>
    <row r="1750" ht="12.75" customHeight="1" s="60">
      <c r="A1750" s="59" t="n">
        <v>1</v>
      </c>
      <c r="B1750" s="75" t="n">
        <v>46213</v>
      </c>
      <c r="C1750" s="75" t="n">
        <v>46240</v>
      </c>
      <c r="D1750" s="59" t="n">
        <v>1626</v>
      </c>
      <c r="E1750" s="59" t="inlineStr">
        <is>
          <t>FENNIX BRASIL DISTRIBUIDORA DE PRODUTOS</t>
        </is>
      </c>
      <c r="F1750" s="59" t="n">
        <v>24</v>
      </c>
      <c r="G1750" s="59" t="inlineStr">
        <is>
          <t>Compra a Prazo - Boletos</t>
        </is>
      </c>
      <c r="H1750" s="59" t="n">
        <v>2110405</v>
      </c>
      <c r="I1750" s="59" t="inlineStr">
        <is>
          <t>CONTAS A PAGAR</t>
        </is>
      </c>
      <c r="J1750" s="59" t="n">
        <v>1376626</v>
      </c>
      <c r="L1750" s="59" t="n">
        <v>312590</v>
      </c>
      <c r="M1750" s="59" t="inlineStr">
        <is>
          <t>03</t>
        </is>
      </c>
      <c r="N1750" s="59" t="inlineStr">
        <is>
          <t>AVU</t>
        </is>
      </c>
      <c r="P1750" s="59" t="n">
        <v>103</v>
      </c>
      <c r="Q1750" s="59" t="inlineStr">
        <is>
          <t>MILKA FRANCIS</t>
        </is>
      </c>
      <c r="R1750" s="59" t="inlineStr">
        <is>
          <t>ESTOQUE DE MERCADORIAS</t>
        </is>
      </c>
      <c r="S1750" s="59" t="n">
        <v>1130101</v>
      </c>
      <c r="T1750" s="59" t="inlineStr">
        <is>
          <t>MERCADORIAS P/REVENDA</t>
        </is>
      </c>
      <c r="U1750" s="77" t="n">
        <v>1643.75</v>
      </c>
      <c r="W1750" s="59" t="n">
        <v>1643.75</v>
      </c>
      <c r="X1750" s="59" t="inlineStr">
        <is>
          <t>NF 312590-3 MILKA</t>
        </is>
      </c>
      <c r="Z1750" s="59">
        <f>IF($T1750="","",IFERROR(INDEX('Resumo Grupos'!$AC$3:$AC$200,MATCH($T1750,'Resumo Grupos'!$AB$3:$AB$200,0)),"n/d"))</f>
        <v/>
      </c>
      <c r="AA1750" s="59">
        <f>IF($T1750="","",IF(COUNTIF('Resumo Grupos'!$AE$3:$AE$40,$T1750)&gt;0,"NAO","SIM"))</f>
        <v/>
      </c>
    </row>
    <row r="1751" ht="12.75" customHeight="1" s="60">
      <c r="A1751" s="59" t="n">
        <v>1</v>
      </c>
      <c r="B1751" s="75" t="n">
        <v>46213</v>
      </c>
      <c r="C1751" s="75" t="n">
        <v>46240</v>
      </c>
      <c r="D1751" s="59" t="n">
        <v>1740</v>
      </c>
      <c r="E1751" s="59" t="inlineStr">
        <is>
          <t>OCIDENTAL COMERCIO DE FRIOS LTDA</t>
        </is>
      </c>
      <c r="F1751" s="59" t="n">
        <v>24</v>
      </c>
      <c r="G1751" s="59" t="inlineStr">
        <is>
          <t>Compra a Prazo - Boletos</t>
        </is>
      </c>
      <c r="H1751" s="59" t="n">
        <v>2110405</v>
      </c>
      <c r="I1751" s="59" t="inlineStr">
        <is>
          <t>CONTAS A PAGAR</t>
        </is>
      </c>
      <c r="J1751" s="59" t="n">
        <v>1376989</v>
      </c>
      <c r="L1751" s="59" t="n">
        <v>1245715</v>
      </c>
      <c r="M1751" s="59" t="inlineStr">
        <is>
          <t>02</t>
        </is>
      </c>
      <c r="N1751" s="59" t="inlineStr">
        <is>
          <t>AVU</t>
        </is>
      </c>
      <c r="P1751" s="59" t="n">
        <v>103</v>
      </c>
      <c r="Q1751" s="59" t="inlineStr">
        <is>
          <t>MILKA FRANCIS</t>
        </is>
      </c>
      <c r="R1751" s="59" t="inlineStr">
        <is>
          <t>ESTOQUE DE MERCADORIAS</t>
        </is>
      </c>
      <c r="S1751" s="59" t="n">
        <v>1130101</v>
      </c>
      <c r="T1751" s="59" t="inlineStr">
        <is>
          <t>MERCADORIAS P/REVENDA</t>
        </is>
      </c>
      <c r="U1751" s="77" t="n">
        <v>828.4400000000001</v>
      </c>
      <c r="W1751" s="59" t="n">
        <v>828.4400000000001</v>
      </c>
      <c r="X1751" s="59" t="inlineStr">
        <is>
          <t>NF 1245715-2/2 MILKA</t>
        </is>
      </c>
      <c r="Z1751" s="59">
        <f>IF($T1751="","",IFERROR(INDEX('Resumo Grupos'!$AC$3:$AC$200,MATCH($T1751,'Resumo Grupos'!$AB$3:$AB$200,0)),"n/d"))</f>
        <v/>
      </c>
      <c r="AA1751" s="59">
        <f>IF($T1751="","",IF(COUNTIF('Resumo Grupos'!$AE$3:$AE$40,$T1751)&gt;0,"NAO","SIM"))</f>
        <v/>
      </c>
    </row>
    <row r="1752" ht="12.75" customHeight="1" s="60">
      <c r="A1752" s="59" t="n">
        <v>1</v>
      </c>
      <c r="B1752" s="75" t="n">
        <v>46219</v>
      </c>
      <c r="C1752" s="75" t="n">
        <v>46240</v>
      </c>
      <c r="D1752" s="59" t="n">
        <v>1636</v>
      </c>
      <c r="E1752" s="59" t="inlineStr">
        <is>
          <t>DUNORTE DISTRIBUIDORA DE PRODUTOS DE CONSUMO LTDA</t>
        </is>
      </c>
      <c r="F1752" s="59" t="n">
        <v>24</v>
      </c>
      <c r="G1752" s="59" t="inlineStr">
        <is>
          <t>Compra a Prazo - Boletos</t>
        </is>
      </c>
      <c r="H1752" s="59" t="n">
        <v>2110405</v>
      </c>
      <c r="I1752" s="59" t="inlineStr">
        <is>
          <t>CONTAS A PAGAR</t>
        </is>
      </c>
      <c r="J1752" s="59" t="n">
        <v>1407061</v>
      </c>
      <c r="L1752" s="59" t="n">
        <v>3220224</v>
      </c>
      <c r="M1752" s="59" t="inlineStr">
        <is>
          <t>01</t>
        </is>
      </c>
      <c r="N1752" s="59" t="inlineStr">
        <is>
          <t>AVU</t>
        </is>
      </c>
      <c r="P1752" s="59" t="n">
        <v>103</v>
      </c>
      <c r="Q1752" s="59" t="inlineStr">
        <is>
          <t>MILKA FRANCIS</t>
        </is>
      </c>
      <c r="R1752" s="59" t="inlineStr">
        <is>
          <t>ESTOQUE DE MERCADORIAS</t>
        </is>
      </c>
      <c r="S1752" s="59" t="n">
        <v>1130101</v>
      </c>
      <c r="T1752" s="59" t="inlineStr">
        <is>
          <t>MERCADORIAS P/REVENDA</t>
        </is>
      </c>
      <c r="U1752" s="77" t="n">
        <v>1757.52</v>
      </c>
      <c r="W1752" s="59" t="n">
        <v>1757.52</v>
      </c>
      <c r="X1752" s="59" t="inlineStr">
        <is>
          <t>NF 3220224 - MILKA</t>
        </is>
      </c>
      <c r="Z1752" s="59">
        <f>IF($T1752="","",IFERROR(INDEX('Resumo Grupos'!$AC$3:$AC$200,MATCH($T1752,'Resumo Grupos'!$AB$3:$AB$200,0)),"n/d"))</f>
        <v/>
      </c>
      <c r="AA1752" s="59">
        <f>IF($T1752="","",IF(COUNTIF('Resumo Grupos'!$AE$3:$AE$40,$T1752)&gt;0,"NAO","SIM"))</f>
        <v/>
      </c>
    </row>
    <row r="1753" ht="12.75" customHeight="1" s="60">
      <c r="A1753" s="59" t="n">
        <v>1</v>
      </c>
      <c r="B1753" s="75" t="n">
        <v>46219</v>
      </c>
      <c r="C1753" s="75" t="n">
        <v>46240</v>
      </c>
      <c r="D1753" s="59" t="n">
        <v>1601</v>
      </c>
      <c r="E1753" s="59" t="inlineStr">
        <is>
          <t>CB COMERCIO E DISTRIBUIDORA DE ALIMENTOS</t>
        </is>
      </c>
      <c r="F1753" s="59" t="n">
        <v>24</v>
      </c>
      <c r="G1753" s="59" t="inlineStr">
        <is>
          <t>Compra a Prazo - Boletos</t>
        </is>
      </c>
      <c r="H1753" s="59" t="n">
        <v>2110405</v>
      </c>
      <c r="I1753" s="59" t="inlineStr">
        <is>
          <t>CONTAS A PAGAR</t>
        </is>
      </c>
      <c r="J1753" s="59" t="n">
        <v>1407452</v>
      </c>
      <c r="L1753" s="59" t="n">
        <v>854275</v>
      </c>
      <c r="M1753" s="59" t="inlineStr">
        <is>
          <t>02</t>
        </is>
      </c>
      <c r="N1753" s="59" t="inlineStr">
        <is>
          <t>AVU</t>
        </is>
      </c>
      <c r="P1753" s="59" t="n">
        <v>103</v>
      </c>
      <c r="Q1753" s="59" t="inlineStr">
        <is>
          <t>MILKA FRANCIS</t>
        </is>
      </c>
      <c r="R1753" s="59" t="inlineStr">
        <is>
          <t>ESTOQUE DE MERCADORIAS</t>
        </is>
      </c>
      <c r="S1753" s="59" t="n">
        <v>1130101</v>
      </c>
      <c r="T1753" s="59" t="inlineStr">
        <is>
          <t>MERCADORIAS P/REVENDA</t>
        </is>
      </c>
      <c r="U1753" s="77" t="n">
        <v>748.7</v>
      </c>
      <c r="W1753" s="59" t="n">
        <v>748.7</v>
      </c>
      <c r="X1753" s="59" t="inlineStr">
        <is>
          <t>952611-B/C  NF854275 - MILKA</t>
        </is>
      </c>
      <c r="Z1753" s="59">
        <f>IF($T1753="","",IFERROR(INDEX('Resumo Grupos'!$AC$3:$AC$200,MATCH($T1753,'Resumo Grupos'!$AB$3:$AB$200,0)),"n/d"))</f>
        <v/>
      </c>
      <c r="AA1753" s="59">
        <f>IF($T1753="","",IF(COUNTIF('Resumo Grupos'!$AE$3:$AE$40,$T1753)&gt;0,"NAO","SIM"))</f>
        <v/>
      </c>
    </row>
    <row r="1754" ht="12.75" customHeight="1" s="60">
      <c r="A1754" s="59" t="n">
        <v>1</v>
      </c>
      <c r="B1754" s="75" t="n">
        <v>46220</v>
      </c>
      <c r="C1754" s="75" t="n">
        <v>46240</v>
      </c>
      <c r="D1754" s="59" t="n">
        <v>1608</v>
      </c>
      <c r="E1754" s="59" t="inlineStr">
        <is>
          <t>DISTRIBUIDORA LOPES LTDA</t>
        </is>
      </c>
      <c r="F1754" s="59" t="n">
        <v>24</v>
      </c>
      <c r="G1754" s="59" t="inlineStr">
        <is>
          <t>Compra a Prazo - Boletos</t>
        </is>
      </c>
      <c r="H1754" s="59" t="n">
        <v>2110405</v>
      </c>
      <c r="I1754" s="59" t="inlineStr">
        <is>
          <t>CONTAS A PAGAR</t>
        </is>
      </c>
      <c r="J1754" s="59" t="n">
        <v>1410646</v>
      </c>
      <c r="L1754" s="59" t="n">
        <v>1693814</v>
      </c>
      <c r="M1754" s="59" t="inlineStr">
        <is>
          <t>01</t>
        </is>
      </c>
      <c r="N1754" s="59" t="inlineStr">
        <is>
          <t>AVU</t>
        </is>
      </c>
      <c r="P1754" s="59" t="n">
        <v>103</v>
      </c>
      <c r="Q1754" s="59" t="inlineStr">
        <is>
          <t>MILKA FRANCIS</t>
        </is>
      </c>
      <c r="R1754" s="59" t="inlineStr">
        <is>
          <t>ESTOQUE DE MERCADORIAS</t>
        </is>
      </c>
      <c r="S1754" s="59" t="n">
        <v>1130101</v>
      </c>
      <c r="T1754" s="59" t="inlineStr">
        <is>
          <t>MERCADORIAS P/REVENDA</t>
        </is>
      </c>
      <c r="U1754" s="77" t="n">
        <v>2799.83</v>
      </c>
      <c r="W1754" s="59" t="n">
        <v>2799.83</v>
      </c>
      <c r="X1754" s="59" t="inlineStr">
        <is>
          <t>NF 1693814 DESCONTO EM BOLETO - MILKA</t>
        </is>
      </c>
      <c r="Z1754" s="59">
        <f>IF($T1754="","",IFERROR(INDEX('Resumo Grupos'!$AC$3:$AC$200,MATCH($T1754,'Resumo Grupos'!$AB$3:$AB$200,0)),"n/d"))</f>
        <v/>
      </c>
      <c r="AA1754" s="59">
        <f>IF($T1754="","",IF(COUNTIF('Resumo Grupos'!$AE$3:$AE$40,$T1754)&gt;0,"NAO","SIM"))</f>
        <v/>
      </c>
    </row>
    <row r="1755" ht="12.75" customHeight="1" s="60">
      <c r="A1755" s="59" t="n">
        <v>1</v>
      </c>
      <c r="B1755" s="75" t="n">
        <v>46221</v>
      </c>
      <c r="C1755" s="75" t="n">
        <v>46240</v>
      </c>
      <c r="D1755" s="59" t="n">
        <v>1675</v>
      </c>
      <c r="E1755" s="59" t="inlineStr">
        <is>
          <t>MARQUES &amp; MELO LTDA - FILIAL</t>
        </is>
      </c>
      <c r="F1755" s="59" t="n">
        <v>24</v>
      </c>
      <c r="G1755" s="59" t="inlineStr">
        <is>
          <t>Compra a Prazo - Boletos</t>
        </is>
      </c>
      <c r="H1755" s="59" t="n">
        <v>2110405</v>
      </c>
      <c r="I1755" s="59" t="inlineStr">
        <is>
          <t>CONTAS A PAGAR</t>
        </is>
      </c>
      <c r="J1755" s="59" t="n">
        <v>1415719</v>
      </c>
      <c r="L1755" s="59" t="n">
        <v>502189</v>
      </c>
      <c r="M1755" s="59" t="inlineStr">
        <is>
          <t>01</t>
        </is>
      </c>
      <c r="N1755" s="59" t="inlineStr">
        <is>
          <t>AVU</t>
        </is>
      </c>
      <c r="P1755" s="59" t="n">
        <v>103</v>
      </c>
      <c r="Q1755" s="59" t="inlineStr">
        <is>
          <t>MILKA FRANCIS</t>
        </is>
      </c>
      <c r="R1755" s="59" t="inlineStr">
        <is>
          <t>ESTOQUE DE MERCADORIAS</t>
        </is>
      </c>
      <c r="S1755" s="59" t="n">
        <v>1130101</v>
      </c>
      <c r="T1755" s="59" t="inlineStr">
        <is>
          <t>MERCADORIAS P/REVENDA</t>
        </is>
      </c>
      <c r="U1755" s="77" t="n">
        <v>1181.96</v>
      </c>
      <c r="W1755" s="59" t="n">
        <v>1181.96</v>
      </c>
      <c r="X1755" s="59" t="inlineStr">
        <is>
          <t>NF 502189 -01 DISMELO -  MILKA</t>
        </is>
      </c>
      <c r="Z1755" s="59">
        <f>IF($T1755="","",IFERROR(INDEX('Resumo Grupos'!$AC$3:$AC$200,MATCH($T1755,'Resumo Grupos'!$AB$3:$AB$200,0)),"n/d"))</f>
        <v/>
      </c>
      <c r="AA1755" s="59">
        <f>IF($T1755="","",IF(COUNTIF('Resumo Grupos'!$AE$3:$AE$40,$T1755)&gt;0,"NAO","SIM"))</f>
        <v/>
      </c>
    </row>
    <row r="1756" ht="12.75" customHeight="1" s="60">
      <c r="A1756" s="59" t="n">
        <v>1</v>
      </c>
      <c r="B1756" s="75" t="n">
        <v>46223</v>
      </c>
      <c r="C1756" s="75" t="n">
        <v>46240</v>
      </c>
      <c r="D1756" s="59" t="n">
        <v>1676</v>
      </c>
      <c r="E1756" s="59" t="inlineStr">
        <is>
          <t>SL DISTRIBUIDORA COM. DE PROD. ALIMENTIC</t>
        </is>
      </c>
      <c r="F1756" s="59" t="n">
        <v>24</v>
      </c>
      <c r="G1756" s="59" t="inlineStr">
        <is>
          <t>Compra a Prazo - Boletos</t>
        </is>
      </c>
      <c r="H1756" s="59" t="n">
        <v>2110405</v>
      </c>
      <c r="I1756" s="59" t="inlineStr">
        <is>
          <t>CONTAS A PAGAR</t>
        </is>
      </c>
      <c r="J1756" s="59" t="n">
        <v>1424767</v>
      </c>
      <c r="L1756" s="59" t="n">
        <v>10857</v>
      </c>
      <c r="M1756" s="59" t="inlineStr">
        <is>
          <t>01</t>
        </is>
      </c>
      <c r="N1756" s="59" t="inlineStr">
        <is>
          <t>AVU</t>
        </is>
      </c>
      <c r="P1756" s="59" t="n">
        <v>103</v>
      </c>
      <c r="Q1756" s="59" t="inlineStr">
        <is>
          <t>MILKA FRANCIS</t>
        </is>
      </c>
      <c r="R1756" s="59" t="inlineStr">
        <is>
          <t>ESTOQUE DE MERCADORIAS</t>
        </is>
      </c>
      <c r="S1756" s="59" t="n">
        <v>1130101</v>
      </c>
      <c r="T1756" s="59" t="inlineStr">
        <is>
          <t>MERCADORIAS P/REVENDA</t>
        </is>
      </c>
      <c r="U1756" s="77" t="n">
        <v>1608.44</v>
      </c>
      <c r="W1756" s="59" t="n">
        <v>1608.44</v>
      </c>
      <c r="X1756" s="59" t="inlineStr">
        <is>
          <t>NF 10857 - MILKA</t>
        </is>
      </c>
      <c r="Z1756" s="59">
        <f>IF($T1756="","",IFERROR(INDEX('Resumo Grupos'!$AC$3:$AC$200,MATCH($T1756,'Resumo Grupos'!$AB$3:$AB$200,0)),"n/d"))</f>
        <v/>
      </c>
      <c r="AA1756" s="59">
        <f>IF($T1756="","",IF(COUNTIF('Resumo Grupos'!$AE$3:$AE$40,$T1756)&gt;0,"NAO","SIM"))</f>
        <v/>
      </c>
    </row>
    <row r="1757" ht="12.75" customHeight="1" s="60">
      <c r="A1757" s="59" t="n">
        <v>1</v>
      </c>
      <c r="B1757" s="75" t="n">
        <v>46223</v>
      </c>
      <c r="C1757" s="75" t="n">
        <v>46240</v>
      </c>
      <c r="D1757" s="59" t="n">
        <v>1718</v>
      </c>
      <c r="E1757" s="59" t="inlineStr">
        <is>
          <t>DISTRIBUIDORA FARIAS LTDA.</t>
        </is>
      </c>
      <c r="F1757" s="59" t="n">
        <v>24</v>
      </c>
      <c r="G1757" s="59" t="inlineStr">
        <is>
          <t>Compra a Prazo - Boletos</t>
        </is>
      </c>
      <c r="H1757" s="59" t="n">
        <v>2110405</v>
      </c>
      <c r="I1757" s="59" t="inlineStr">
        <is>
          <t>CONTAS A PAGAR</t>
        </is>
      </c>
      <c r="J1757" s="59" t="n">
        <v>1425328</v>
      </c>
      <c r="L1757" s="59" t="n">
        <v>682525</v>
      </c>
      <c r="M1757" s="59" t="inlineStr">
        <is>
          <t>01</t>
        </is>
      </c>
      <c r="N1757" s="59" t="inlineStr">
        <is>
          <t>AVU</t>
        </is>
      </c>
      <c r="P1757" s="59" t="n">
        <v>103</v>
      </c>
      <c r="Q1757" s="59" t="inlineStr">
        <is>
          <t>MILKA FRANCIS</t>
        </is>
      </c>
      <c r="R1757" s="59" t="inlineStr">
        <is>
          <t>ESTOQUE DE MERCADORIAS</t>
        </is>
      </c>
      <c r="S1757" s="59" t="n">
        <v>1130101</v>
      </c>
      <c r="T1757" s="59" t="inlineStr">
        <is>
          <t>MERCADORIAS P/REVENDA</t>
        </is>
      </c>
      <c r="U1757" s="77" t="n">
        <v>698.48</v>
      </c>
      <c r="W1757" s="59" t="n">
        <v>698.48</v>
      </c>
      <c r="X1757" s="59" t="inlineStr">
        <is>
          <t>NF 682525 - MILKA</t>
        </is>
      </c>
      <c r="Z1757" s="59">
        <f>IF($T1757="","",IFERROR(INDEX('Resumo Grupos'!$AC$3:$AC$200,MATCH($T1757,'Resumo Grupos'!$AB$3:$AB$200,0)),"n/d"))</f>
        <v/>
      </c>
      <c r="AA1757" s="59">
        <f>IF($T1757="","",IF(COUNTIF('Resumo Grupos'!$AE$3:$AE$40,$T1757)&gt;0,"NAO","SIM"))</f>
        <v/>
      </c>
    </row>
    <row r="1758" ht="12.75" customHeight="1" s="60">
      <c r="A1758" s="59" t="n">
        <v>1</v>
      </c>
      <c r="B1758" s="75" t="n">
        <v>46225</v>
      </c>
      <c r="C1758" s="75" t="n">
        <v>46240</v>
      </c>
      <c r="D1758" s="59" t="n">
        <v>10009</v>
      </c>
      <c r="E1758" s="59" t="inlineStr">
        <is>
          <t>NESTLÉ BRASIL LTDA.</t>
        </is>
      </c>
      <c r="F1758" s="59" t="n">
        <v>24</v>
      </c>
      <c r="G1758" s="59" t="inlineStr">
        <is>
          <t>Compra a Prazo - Boletos</t>
        </is>
      </c>
      <c r="H1758" s="59" t="n">
        <v>2110405</v>
      </c>
      <c r="I1758" s="59" t="inlineStr">
        <is>
          <t>CONTAS A PAGAR</t>
        </is>
      </c>
      <c r="J1758" s="59" t="n">
        <v>1434102</v>
      </c>
      <c r="L1758" s="59" t="n">
        <v>1428642</v>
      </c>
      <c r="M1758" s="59" t="inlineStr">
        <is>
          <t>03</t>
        </is>
      </c>
      <c r="N1758" s="59" t="inlineStr">
        <is>
          <t>AVU</t>
        </is>
      </c>
      <c r="P1758" s="59" t="n">
        <v>103</v>
      </c>
      <c r="Q1758" s="59" t="inlineStr">
        <is>
          <t>MILKA FRANCIS</t>
        </is>
      </c>
      <c r="R1758" s="59" t="inlineStr">
        <is>
          <t>ESTOQUE DE MERCADORIAS</t>
        </is>
      </c>
      <c r="S1758" s="59" t="n">
        <v>1130101</v>
      </c>
      <c r="T1758" s="59" t="inlineStr">
        <is>
          <t>MERCADORIAS P/REVENDA</t>
        </is>
      </c>
      <c r="U1758" s="77" t="n">
        <v>957.84</v>
      </c>
      <c r="W1758" s="59" t="n">
        <v>957.84</v>
      </c>
      <c r="X1758" s="59" t="inlineStr">
        <is>
          <t>NF 1428642-03 MILKA</t>
        </is>
      </c>
      <c r="Z1758" s="59">
        <f>IF($T1758="","",IFERROR(INDEX('Resumo Grupos'!$AC$3:$AC$200,MATCH($T1758,'Resumo Grupos'!$AB$3:$AB$200,0)),"n/d"))</f>
        <v/>
      </c>
      <c r="AA1758" s="59">
        <f>IF($T1758="","",IF(COUNTIF('Resumo Grupos'!$AE$3:$AE$40,$T1758)&gt;0,"NAO","SIM"))</f>
        <v/>
      </c>
    </row>
    <row r="1759" ht="12.75" customHeight="1" s="60">
      <c r="A1759" s="59" t="n">
        <v>1</v>
      </c>
      <c r="B1759" s="75" t="n">
        <v>46225</v>
      </c>
      <c r="C1759" s="75" t="n">
        <v>46240</v>
      </c>
      <c r="D1759" s="59" t="n">
        <v>794</v>
      </c>
      <c r="E1759" s="59" t="inlineStr">
        <is>
          <t>EDMARA COMERCIO DE HIGIENE PESSOAL LTDA</t>
        </is>
      </c>
      <c r="F1759" s="59" t="n">
        <v>24</v>
      </c>
      <c r="G1759" s="59" t="inlineStr">
        <is>
          <t>Compra a Prazo - Boletos</t>
        </is>
      </c>
      <c r="H1759" s="59" t="n">
        <v>2110405</v>
      </c>
      <c r="I1759" s="59" t="inlineStr">
        <is>
          <t>CONTAS A PAGAR</t>
        </is>
      </c>
      <c r="J1759" s="59" t="n">
        <v>1435872</v>
      </c>
      <c r="L1759" s="59" t="n">
        <v>8403</v>
      </c>
      <c r="M1759" s="59" t="inlineStr">
        <is>
          <t>01</t>
        </is>
      </c>
      <c r="N1759" s="59" t="inlineStr">
        <is>
          <t>AVU</t>
        </is>
      </c>
      <c r="P1759" s="59" t="n">
        <v>103</v>
      </c>
      <c r="Q1759" s="59" t="inlineStr">
        <is>
          <t>MILKA FRANCIS</t>
        </is>
      </c>
      <c r="R1759" s="59" t="inlineStr">
        <is>
          <t>ESTOQUE DE MERCADORIAS</t>
        </is>
      </c>
      <c r="S1759" s="59" t="n">
        <v>1130101</v>
      </c>
      <c r="T1759" s="59" t="inlineStr">
        <is>
          <t>MERCADORIAS P/REVENDA</t>
        </is>
      </c>
      <c r="U1759" s="77" t="n">
        <v>2621.74</v>
      </c>
      <c r="W1759" s="59" t="n">
        <v>2621.74</v>
      </c>
      <c r="X1759" s="59" t="inlineStr">
        <is>
          <t>5431-A/D  NF8403 - MILKA</t>
        </is>
      </c>
      <c r="Z1759" s="59">
        <f>IF($T1759="","",IFERROR(INDEX('Resumo Grupos'!$AC$3:$AC$200,MATCH($T1759,'Resumo Grupos'!$AB$3:$AB$200,0)),"n/d"))</f>
        <v/>
      </c>
      <c r="AA1759" s="59">
        <f>IF($T1759="","",IF(COUNTIF('Resumo Grupos'!$AE$3:$AE$40,$T1759)&gt;0,"NAO","SIM"))</f>
        <v/>
      </c>
    </row>
    <row r="1760" ht="12.75" customHeight="1" s="60">
      <c r="A1760" s="59" t="n">
        <v>1</v>
      </c>
      <c r="B1760" s="75" t="n">
        <v>46225</v>
      </c>
      <c r="C1760" s="75" t="n">
        <v>46240</v>
      </c>
      <c r="D1760" s="59" t="n">
        <v>1740</v>
      </c>
      <c r="E1760" s="59" t="inlineStr">
        <is>
          <t>OCIDENTAL COMERCIO DE FRIOS LTDA</t>
        </is>
      </c>
      <c r="F1760" s="59" t="n">
        <v>24</v>
      </c>
      <c r="G1760" s="59" t="inlineStr">
        <is>
          <t>Compra a Prazo - Boletos</t>
        </is>
      </c>
      <c r="H1760" s="59" t="n">
        <v>2110405</v>
      </c>
      <c r="I1760" s="59" t="inlineStr">
        <is>
          <t>CONTAS A PAGAR</t>
        </is>
      </c>
      <c r="J1760" s="59" t="n">
        <v>1435938</v>
      </c>
      <c r="L1760" s="59" t="n">
        <v>1248470</v>
      </c>
      <c r="M1760" s="59" t="inlineStr">
        <is>
          <t>01</t>
        </is>
      </c>
      <c r="N1760" s="59" t="inlineStr">
        <is>
          <t>AVU</t>
        </is>
      </c>
      <c r="P1760" s="59" t="n">
        <v>103</v>
      </c>
      <c r="Q1760" s="59" t="inlineStr">
        <is>
          <t>MILKA FRANCIS</t>
        </is>
      </c>
      <c r="R1760" s="59" t="inlineStr">
        <is>
          <t>ESTOQUE DE MERCADORIAS</t>
        </is>
      </c>
      <c r="S1760" s="59" t="n">
        <v>1130101</v>
      </c>
      <c r="T1760" s="59" t="inlineStr">
        <is>
          <t>MERCADORIAS P/REVENDA</t>
        </is>
      </c>
      <c r="U1760" s="77" t="n">
        <v>662.72</v>
      </c>
      <c r="W1760" s="59" t="n">
        <v>662.72</v>
      </c>
      <c r="X1760" s="59" t="inlineStr">
        <is>
          <t>NF 1248470-01 MILKA</t>
        </is>
      </c>
      <c r="Z1760" s="59">
        <f>IF($T1760="","",IFERROR(INDEX('Resumo Grupos'!$AC$3:$AC$200,MATCH($T1760,'Resumo Grupos'!$AB$3:$AB$200,0)),"n/d"))</f>
        <v/>
      </c>
      <c r="AA1760" s="59">
        <f>IF($T1760="","",IF(COUNTIF('Resumo Grupos'!$AE$3:$AE$40,$T1760)&gt;0,"NAO","SIM"))</f>
        <v/>
      </c>
    </row>
    <row r="1761" ht="12.75" customHeight="1" s="60">
      <c r="A1761" s="59" t="n">
        <v>1</v>
      </c>
      <c r="B1761" s="75" t="n">
        <v>46226</v>
      </c>
      <c r="C1761" s="75" t="n">
        <v>46240</v>
      </c>
      <c r="D1761" s="59" t="n">
        <v>1667</v>
      </c>
      <c r="E1761" s="59" t="inlineStr">
        <is>
          <t>FENNIX BRASIL DISTRIBUIDORA DE PRODUTOS</t>
        </is>
      </c>
      <c r="F1761" s="59" t="n">
        <v>24</v>
      </c>
      <c r="G1761" s="59" t="inlineStr">
        <is>
          <t>Compra a Prazo - Boletos</t>
        </is>
      </c>
      <c r="H1761" s="59" t="n">
        <v>2110405</v>
      </c>
      <c r="I1761" s="59" t="inlineStr">
        <is>
          <t>CONTAS A PAGAR</t>
        </is>
      </c>
      <c r="J1761" s="59" t="n">
        <v>1439734</v>
      </c>
      <c r="L1761" s="59" t="n">
        <v>396990</v>
      </c>
      <c r="M1761" s="59" t="inlineStr">
        <is>
          <t>01</t>
        </is>
      </c>
      <c r="N1761" s="59" t="inlineStr">
        <is>
          <t>AVU</t>
        </is>
      </c>
      <c r="P1761" s="59" t="n">
        <v>103</v>
      </c>
      <c r="Q1761" s="59" t="inlineStr">
        <is>
          <t>MILKA FRANCIS</t>
        </is>
      </c>
      <c r="R1761" s="59" t="inlineStr">
        <is>
          <t>ESTOQUE DE MERCADORIAS</t>
        </is>
      </c>
      <c r="S1761" s="59" t="n">
        <v>1130101</v>
      </c>
      <c r="T1761" s="59" t="inlineStr">
        <is>
          <t>MERCADORIAS P/REVENDA</t>
        </is>
      </c>
      <c r="U1761" s="77" t="n">
        <v>398.7</v>
      </c>
      <c r="W1761" s="59" t="n">
        <v>398.7</v>
      </c>
      <c r="X1761" s="59" t="inlineStr">
        <is>
          <t>NF 396990 C/ ACRESCIMO - MILKA</t>
        </is>
      </c>
      <c r="Z1761" s="59">
        <f>IF($T1761="","",IFERROR(INDEX('Resumo Grupos'!$AC$3:$AC$200,MATCH($T1761,'Resumo Grupos'!$AB$3:$AB$200,0)),"n/d"))</f>
        <v/>
      </c>
      <c r="AA1761" s="59">
        <f>IF($T1761="","",IF(COUNTIF('Resumo Grupos'!$AE$3:$AE$40,$T1761)&gt;0,"NAO","SIM"))</f>
        <v/>
      </c>
    </row>
    <row r="1762" ht="12.75" customHeight="1" s="60">
      <c r="A1762" s="59" t="n">
        <v>1</v>
      </c>
      <c r="B1762" s="75" t="n">
        <v>46226</v>
      </c>
      <c r="C1762" s="75" t="n">
        <v>46240</v>
      </c>
      <c r="D1762" s="59" t="n">
        <v>1616</v>
      </c>
      <c r="E1762" s="59" t="inlineStr">
        <is>
          <t>DURAES DISTRIBUIDORA DE ESTIVAS LTDA</t>
        </is>
      </c>
      <c r="F1762" s="59" t="n">
        <v>24</v>
      </c>
      <c r="G1762" s="59" t="inlineStr">
        <is>
          <t>Compra a Prazo - Boletos</t>
        </is>
      </c>
      <c r="H1762" s="59" t="n">
        <v>2110405</v>
      </c>
      <c r="I1762" s="59" t="inlineStr">
        <is>
          <t>CONTAS A PAGAR</t>
        </is>
      </c>
      <c r="J1762" s="59" t="n">
        <v>1440106</v>
      </c>
      <c r="L1762" s="59" t="n">
        <v>592593</v>
      </c>
      <c r="M1762" s="59" t="inlineStr">
        <is>
          <t>01</t>
        </is>
      </c>
      <c r="N1762" s="59" t="inlineStr">
        <is>
          <t>AVU</t>
        </is>
      </c>
      <c r="P1762" s="59" t="n">
        <v>104</v>
      </c>
      <c r="Q1762" s="59" t="inlineStr">
        <is>
          <t>DEBORA COSTA</t>
        </is>
      </c>
      <c r="R1762" s="59" t="inlineStr">
        <is>
          <t>ESTOQUE DE MERCADORIAS</t>
        </is>
      </c>
      <c r="S1762" s="59" t="n">
        <v>1130101</v>
      </c>
      <c r="T1762" s="59" t="inlineStr">
        <is>
          <t>MERCADORIAS P/REVENDA</t>
        </is>
      </c>
      <c r="U1762" s="77" t="n">
        <v>605.92</v>
      </c>
      <c r="W1762" s="59" t="n">
        <v>605.92</v>
      </c>
      <c r="X1762" s="59" t="inlineStr">
        <is>
          <t>NF 651360 -1 DEBORA</t>
        </is>
      </c>
      <c r="Z1762" s="59">
        <f>IF($T1762="","",IFERROR(INDEX('Resumo Grupos'!$AC$3:$AC$200,MATCH($T1762,'Resumo Grupos'!$AB$3:$AB$200,0)),"n/d"))</f>
        <v/>
      </c>
      <c r="AA1762" s="59">
        <f>IF($T1762="","",IF(COUNTIF('Resumo Grupos'!$AE$3:$AE$40,$T1762)&gt;0,"NAO","SIM"))</f>
        <v/>
      </c>
    </row>
    <row r="1763" ht="12.75" customHeight="1" s="60">
      <c r="A1763" s="59" t="n">
        <v>1</v>
      </c>
      <c r="B1763" s="75" t="n">
        <v>46226</v>
      </c>
      <c r="C1763" s="75" t="n">
        <v>46240</v>
      </c>
      <c r="D1763" s="59" t="n">
        <v>10037</v>
      </c>
      <c r="E1763" s="59" t="inlineStr">
        <is>
          <t>FORTVET DISTRIBUIDORA LTDA</t>
        </is>
      </c>
      <c r="F1763" s="59" t="n">
        <v>24</v>
      </c>
      <c r="G1763" s="59" t="inlineStr">
        <is>
          <t>Compra a Prazo - Boletos</t>
        </is>
      </c>
      <c r="H1763" s="59" t="n">
        <v>2110405</v>
      </c>
      <c r="I1763" s="59" t="inlineStr">
        <is>
          <t>CONTAS A PAGAR</t>
        </is>
      </c>
      <c r="J1763" s="59" t="n">
        <v>1440179</v>
      </c>
      <c r="L1763" s="59" t="n">
        <v>2808</v>
      </c>
      <c r="M1763" s="59" t="inlineStr">
        <is>
          <t>02</t>
        </is>
      </c>
      <c r="N1763" s="59" t="inlineStr">
        <is>
          <t>AVU</t>
        </is>
      </c>
      <c r="P1763" s="59" t="n">
        <v>103</v>
      </c>
      <c r="Q1763" s="59" t="inlineStr">
        <is>
          <t>MILKA FRANCIS</t>
        </is>
      </c>
      <c r="R1763" s="59" t="inlineStr">
        <is>
          <t>ESTOQUE DE MERCADORIAS</t>
        </is>
      </c>
      <c r="S1763" s="59" t="n">
        <v>1130101</v>
      </c>
      <c r="T1763" s="59" t="inlineStr">
        <is>
          <t>MERCADORIAS P/REVENDA</t>
        </is>
      </c>
      <c r="U1763" s="77" t="n">
        <v>445.37</v>
      </c>
      <c r="W1763" s="59" t="n">
        <v>445.37</v>
      </c>
      <c r="X1763" s="59" t="inlineStr">
        <is>
          <t>NF 2808-2 MILKA</t>
        </is>
      </c>
      <c r="Z1763" s="59">
        <f>IF($T1763="","",IFERROR(INDEX('Resumo Grupos'!$AC$3:$AC$200,MATCH($T1763,'Resumo Grupos'!$AB$3:$AB$200,0)),"n/d"))</f>
        <v/>
      </c>
      <c r="AA1763" s="59">
        <f>IF($T1763="","",IF(COUNTIF('Resumo Grupos'!$AE$3:$AE$40,$T1763)&gt;0,"NAO","SIM"))</f>
        <v/>
      </c>
    </row>
    <row r="1764" ht="12.75" customHeight="1" s="60">
      <c r="A1764" s="59" t="n">
        <v>1</v>
      </c>
      <c r="B1764" s="75" t="n">
        <v>46226</v>
      </c>
      <c r="C1764" s="75" t="n">
        <v>46240</v>
      </c>
      <c r="D1764" s="59" t="n">
        <v>1616</v>
      </c>
      <c r="E1764" s="59" t="inlineStr">
        <is>
          <t>DURAES DISTRIBUIDORA DE ESTIVAS LTDA</t>
        </is>
      </c>
      <c r="F1764" s="59" t="n">
        <v>24</v>
      </c>
      <c r="G1764" s="59" t="inlineStr">
        <is>
          <t>Compra a Prazo - Boletos</t>
        </is>
      </c>
      <c r="H1764" s="59" t="n">
        <v>2110405</v>
      </c>
      <c r="I1764" s="59" t="inlineStr">
        <is>
          <t>CONTAS A PAGAR</t>
        </is>
      </c>
      <c r="J1764" s="59" t="n">
        <v>1440186</v>
      </c>
      <c r="L1764" s="59" t="n">
        <v>592618</v>
      </c>
      <c r="M1764" s="59" t="inlineStr">
        <is>
          <t>01</t>
        </is>
      </c>
      <c r="N1764" s="59" t="inlineStr">
        <is>
          <t>AVU</t>
        </is>
      </c>
      <c r="P1764" s="59" t="n">
        <v>104</v>
      </c>
      <c r="Q1764" s="59" t="inlineStr">
        <is>
          <t>DEBORA COSTA</t>
        </is>
      </c>
      <c r="R1764" s="59" t="inlineStr">
        <is>
          <t>ESTOQUE DE MERCADORIAS</t>
        </is>
      </c>
      <c r="S1764" s="59" t="n">
        <v>1130101</v>
      </c>
      <c r="T1764" s="59" t="inlineStr">
        <is>
          <t>MERCADORIAS P/REVENDA</t>
        </is>
      </c>
      <c r="U1764" s="77" t="n">
        <v>434.05</v>
      </c>
      <c r="W1764" s="59" t="n">
        <v>434.05</v>
      </c>
      <c r="X1764" s="59" t="inlineStr">
        <is>
          <t>NF 651362 - DEBORA</t>
        </is>
      </c>
      <c r="Z1764" s="59">
        <f>IF($T1764="","",IFERROR(INDEX('Resumo Grupos'!$AC$3:$AC$200,MATCH($T1764,'Resumo Grupos'!$AB$3:$AB$200,0)),"n/d"))</f>
        <v/>
      </c>
      <c r="AA1764" s="59">
        <f>IF($T1764="","",IF(COUNTIF('Resumo Grupos'!$AE$3:$AE$40,$T1764)&gt;0,"NAO","SIM"))</f>
        <v/>
      </c>
    </row>
    <row r="1765" ht="12.75" customHeight="1" s="60">
      <c r="A1765" s="59" t="n">
        <v>1</v>
      </c>
      <c r="B1765" s="75" t="n">
        <v>46226</v>
      </c>
      <c r="C1765" s="75" t="n">
        <v>46240</v>
      </c>
      <c r="D1765" s="59" t="n">
        <v>1626</v>
      </c>
      <c r="E1765" s="59" t="inlineStr">
        <is>
          <t>FENNIX BRASIL DISTRIBUIDORA DE PRODUTOS</t>
        </is>
      </c>
      <c r="F1765" s="59" t="n">
        <v>24</v>
      </c>
      <c r="G1765" s="59" t="inlineStr">
        <is>
          <t>Compra a Prazo - Boletos</t>
        </is>
      </c>
      <c r="H1765" s="59" t="n">
        <v>2110405</v>
      </c>
      <c r="I1765" s="59" t="inlineStr">
        <is>
          <t>CONTAS A PAGAR</t>
        </is>
      </c>
      <c r="J1765" s="59" t="n">
        <v>1440328</v>
      </c>
      <c r="L1765" s="59" t="n">
        <v>592650</v>
      </c>
      <c r="M1765" s="59" t="inlineStr">
        <is>
          <t>01</t>
        </is>
      </c>
      <c r="N1765" s="59" t="inlineStr">
        <is>
          <t>AVU</t>
        </is>
      </c>
      <c r="P1765" s="59" t="n">
        <v>104</v>
      </c>
      <c r="Q1765" s="59" t="inlineStr">
        <is>
          <t>DEBORA COSTA</t>
        </is>
      </c>
      <c r="R1765" s="59" t="inlineStr">
        <is>
          <t>ESTOQUE DE MERCADORIAS</t>
        </is>
      </c>
      <c r="S1765" s="59" t="n">
        <v>1130101</v>
      </c>
      <c r="T1765" s="59" t="inlineStr">
        <is>
          <t>MERCADORIAS P/REVENDA</t>
        </is>
      </c>
      <c r="U1765" s="77" t="n">
        <v>907.87</v>
      </c>
      <c r="W1765" s="59" t="n">
        <v>907.87</v>
      </c>
      <c r="X1765" s="59" t="inlineStr">
        <is>
          <t>NF 314382 - COM TARIFA - DEBORA</t>
        </is>
      </c>
      <c r="Z1765" s="59">
        <f>IF($T1765="","",IFERROR(INDEX('Resumo Grupos'!$AC$3:$AC$200,MATCH($T1765,'Resumo Grupos'!$AB$3:$AB$200,0)),"n/d"))</f>
        <v/>
      </c>
      <c r="AA1765" s="59">
        <f>IF($T1765="","",IF(COUNTIF('Resumo Grupos'!$AE$3:$AE$40,$T1765)&gt;0,"NAO","SIM"))</f>
        <v/>
      </c>
    </row>
    <row r="1766" ht="12.75" customHeight="1" s="60">
      <c r="A1766" s="59" t="n">
        <v>1</v>
      </c>
      <c r="B1766" s="75" t="n">
        <v>46228</v>
      </c>
      <c r="C1766" s="75" t="n">
        <v>46240</v>
      </c>
      <c r="D1766" s="59" t="n">
        <v>1668</v>
      </c>
      <c r="E1766" s="59" t="inlineStr">
        <is>
          <t>NATUREZA COMERCIO DE DESCARTAVEIS LTDA</t>
        </is>
      </c>
      <c r="F1766" s="59" t="n">
        <v>24</v>
      </c>
      <c r="G1766" s="59" t="inlineStr">
        <is>
          <t>Compra a Prazo - Boletos</t>
        </is>
      </c>
      <c r="H1766" s="59" t="n">
        <v>2110405</v>
      </c>
      <c r="I1766" s="59" t="inlineStr">
        <is>
          <t>CONTAS A PAGAR</t>
        </is>
      </c>
      <c r="J1766" s="59" t="n">
        <v>1449563</v>
      </c>
      <c r="L1766" s="59" t="n">
        <v>739552</v>
      </c>
      <c r="M1766" s="59" t="inlineStr">
        <is>
          <t>01</t>
        </is>
      </c>
      <c r="N1766" s="59" t="inlineStr">
        <is>
          <t>AVU</t>
        </is>
      </c>
      <c r="P1766" s="59" t="n">
        <v>103</v>
      </c>
      <c r="Q1766" s="59" t="inlineStr">
        <is>
          <t>MILKA FRANCIS</t>
        </is>
      </c>
      <c r="R1766" s="59" t="inlineStr">
        <is>
          <t>ESTOQUE DE MERCADORIAS</t>
        </is>
      </c>
      <c r="S1766" s="59" t="n">
        <v>1130101</v>
      </c>
      <c r="T1766" s="59" t="inlineStr">
        <is>
          <t>MERCADORIAS P/REVENDA</t>
        </is>
      </c>
      <c r="U1766" s="77" t="n">
        <v>340</v>
      </c>
      <c r="W1766" s="59" t="n">
        <v>340</v>
      </c>
      <c r="X1766" s="59" t="inlineStr">
        <is>
          <t>NF 739552 - MILKA</t>
        </is>
      </c>
      <c r="Z1766" s="59">
        <f>IF($T1766="","",IFERROR(INDEX('Resumo Grupos'!$AC$3:$AC$200,MATCH($T1766,'Resumo Grupos'!$AB$3:$AB$200,0)),"n/d"))</f>
        <v/>
      </c>
      <c r="AA1766" s="59">
        <f>IF($T1766="","",IF(COUNTIF('Resumo Grupos'!$AE$3:$AE$40,$T1766)&gt;0,"NAO","SIM"))</f>
        <v/>
      </c>
    </row>
    <row r="1767" ht="12.75" customHeight="1" s="60">
      <c r="A1767" s="59" t="n">
        <v>1</v>
      </c>
      <c r="B1767" s="75" t="n">
        <v>46228</v>
      </c>
      <c r="C1767" s="75" t="n">
        <v>46240</v>
      </c>
      <c r="D1767" s="59" t="n">
        <v>10009</v>
      </c>
      <c r="E1767" s="59" t="inlineStr">
        <is>
          <t>NESTLÉ BRASIL LTDA.</t>
        </is>
      </c>
      <c r="F1767" s="59" t="n">
        <v>24</v>
      </c>
      <c r="G1767" s="59" t="inlineStr">
        <is>
          <t>Compra a Prazo - Boletos</t>
        </is>
      </c>
      <c r="H1767" s="59" t="n">
        <v>2110405</v>
      </c>
      <c r="I1767" s="59" t="inlineStr">
        <is>
          <t>CONTAS A PAGAR</t>
        </is>
      </c>
      <c r="J1767" s="59" t="n">
        <v>1449995</v>
      </c>
      <c r="L1767" s="59" t="n">
        <v>1431708</v>
      </c>
      <c r="M1767" s="59" t="inlineStr">
        <is>
          <t>02</t>
        </is>
      </c>
      <c r="N1767" s="59" t="inlineStr">
        <is>
          <t>AVU</t>
        </is>
      </c>
      <c r="P1767" s="59" t="n">
        <v>103</v>
      </c>
      <c r="Q1767" s="59" t="inlineStr">
        <is>
          <t>MILKA FRANCIS</t>
        </is>
      </c>
      <c r="R1767" s="59" t="inlineStr">
        <is>
          <t>ESTOQUE DE MERCADORIAS</t>
        </is>
      </c>
      <c r="S1767" s="59" t="n">
        <v>1130101</v>
      </c>
      <c r="T1767" s="59" t="inlineStr">
        <is>
          <t>MERCADORIAS P/REVENDA</t>
        </is>
      </c>
      <c r="U1767" s="77" t="n">
        <v>1721.47</v>
      </c>
      <c r="W1767" s="59" t="n">
        <v>1721.47</v>
      </c>
      <c r="X1767" s="59" t="inlineStr">
        <is>
          <t>NF 1431708-02/03 MILKA</t>
        </is>
      </c>
      <c r="Z1767" s="59">
        <f>IF($T1767="","",IFERROR(INDEX('Resumo Grupos'!$AC$3:$AC$200,MATCH($T1767,'Resumo Grupos'!$AB$3:$AB$200,0)),"n/d"))</f>
        <v/>
      </c>
      <c r="AA1767" s="59">
        <f>IF($T1767="","",IF(COUNTIF('Resumo Grupos'!$AE$3:$AE$40,$T1767)&gt;0,"NAO","SIM"))</f>
        <v/>
      </c>
    </row>
    <row r="1768" ht="12.75" customHeight="1" s="60">
      <c r="A1768" s="59" t="n">
        <v>1</v>
      </c>
      <c r="B1768" s="75" t="n">
        <v>46233</v>
      </c>
      <c r="C1768" s="75" t="n">
        <v>46240</v>
      </c>
      <c r="D1768" s="59" t="n">
        <v>1614</v>
      </c>
      <c r="E1768" s="59" t="inlineStr">
        <is>
          <t>C. R. PARENTE ABREU</t>
        </is>
      </c>
      <c r="F1768" s="59" t="n">
        <v>24</v>
      </c>
      <c r="G1768" s="59" t="inlineStr">
        <is>
          <t>Compra a Prazo - Boletos</t>
        </is>
      </c>
      <c r="H1768" s="59" t="n">
        <v>2110405</v>
      </c>
      <c r="I1768" s="59" t="inlineStr">
        <is>
          <t>CONTAS A PAGAR</t>
        </is>
      </c>
      <c r="J1768" s="59" t="n">
        <v>1473362</v>
      </c>
      <c r="L1768" s="59" t="n">
        <v>11493</v>
      </c>
      <c r="M1768" s="59" t="inlineStr">
        <is>
          <t>02</t>
        </is>
      </c>
      <c r="N1768" s="59" t="inlineStr">
        <is>
          <t>AVU</t>
        </is>
      </c>
      <c r="P1768" s="59" t="n">
        <v>103</v>
      </c>
      <c r="Q1768" s="59" t="inlineStr">
        <is>
          <t>MILKA FRANCIS</t>
        </is>
      </c>
      <c r="R1768" s="59" t="inlineStr">
        <is>
          <t>ESTOQUE DE MERCADORIAS</t>
        </is>
      </c>
      <c r="S1768" s="59" t="n">
        <v>1130101</v>
      </c>
      <c r="T1768" s="59" t="inlineStr">
        <is>
          <t>MERCADORIAS P/REVENDA</t>
        </is>
      </c>
      <c r="U1768" s="77" t="n">
        <v>285.48</v>
      </c>
      <c r="W1768" s="59" t="n">
        <v>285.48</v>
      </c>
      <c r="X1768" s="59" t="inlineStr">
        <is>
          <t>NF 11493-2 KARU - MILKA</t>
        </is>
      </c>
      <c r="Z1768" s="59">
        <f>IF($T1768="","",IFERROR(INDEX('Resumo Grupos'!$AC$3:$AC$200,MATCH($T1768,'Resumo Grupos'!$AB$3:$AB$200,0)),"n/d"))</f>
        <v/>
      </c>
      <c r="AA1768" s="59">
        <f>IF($T1768="","",IF(COUNTIF('Resumo Grupos'!$AE$3:$AE$40,$T1768)&gt;0,"NAO","SIM"))</f>
        <v/>
      </c>
    </row>
    <row r="1769" ht="12.75" customHeight="1" s="60">
      <c r="A1769" s="59" t="n">
        <v>1</v>
      </c>
      <c r="B1769" s="75" t="n">
        <v>46233</v>
      </c>
      <c r="C1769" s="75" t="n">
        <v>46240</v>
      </c>
      <c r="D1769" s="59" t="n">
        <v>1609</v>
      </c>
      <c r="E1769" s="59" t="inlineStr">
        <is>
          <t>H. L. DO NASCIMENTO</t>
        </is>
      </c>
      <c r="F1769" s="59" t="n">
        <v>24</v>
      </c>
      <c r="G1769" s="59" t="inlineStr">
        <is>
          <t>Compra a Prazo - Boletos</t>
        </is>
      </c>
      <c r="H1769" s="59" t="n">
        <v>2110405</v>
      </c>
      <c r="I1769" s="59" t="inlineStr">
        <is>
          <t>CONTAS A PAGAR</t>
        </is>
      </c>
      <c r="J1769" s="59" t="n">
        <v>1474673</v>
      </c>
      <c r="L1769" s="59" t="n">
        <v>5888</v>
      </c>
      <c r="M1769" s="59" t="inlineStr">
        <is>
          <t>01</t>
        </is>
      </c>
      <c r="N1769" s="59" t="inlineStr">
        <is>
          <t>AVU</t>
        </is>
      </c>
      <c r="P1769" s="59" t="n">
        <v>103</v>
      </c>
      <c r="Q1769" s="59" t="inlineStr">
        <is>
          <t>MILKA FRANCIS</t>
        </is>
      </c>
      <c r="R1769" s="59" t="inlineStr">
        <is>
          <t>ESTOQUE DE MERCADORIAS</t>
        </is>
      </c>
      <c r="S1769" s="59" t="n">
        <v>1130101</v>
      </c>
      <c r="T1769" s="59" t="inlineStr">
        <is>
          <t>MERCADORIAS P/REVENDA</t>
        </is>
      </c>
      <c r="U1769" s="77" t="n">
        <v>365</v>
      </c>
      <c r="W1769" s="59" t="n">
        <v>365</v>
      </c>
      <c r="X1769" s="59" t="inlineStr">
        <is>
          <t>NF 5888 FAZENDINHA - MILKA</t>
        </is>
      </c>
      <c r="Z1769" s="59">
        <f>IF($T1769="","",IFERROR(INDEX('Resumo Grupos'!$AC$3:$AC$200,MATCH($T1769,'Resumo Grupos'!$AB$3:$AB$200,0)),"n/d"))</f>
        <v/>
      </c>
      <c r="AA1769" s="59">
        <f>IF($T1769="","",IF(COUNTIF('Resumo Grupos'!$AE$3:$AE$40,$T1769)&gt;0,"NAO","SIM"))</f>
        <v/>
      </c>
    </row>
    <row r="1770" ht="12.75" customHeight="1" s="60">
      <c r="A1770" s="59" t="n">
        <v>1</v>
      </c>
      <c r="B1770" s="75" t="n">
        <v>46233</v>
      </c>
      <c r="C1770" s="75" t="n">
        <v>46240</v>
      </c>
      <c r="D1770" s="59" t="n">
        <v>1625</v>
      </c>
      <c r="E1770" s="59" t="inlineStr">
        <is>
          <t>MAXFRI DISTRIUIDORA LTDA</t>
        </is>
      </c>
      <c r="F1770" s="59" t="n">
        <v>24</v>
      </c>
      <c r="G1770" s="59" t="inlineStr">
        <is>
          <t>Compra a Prazo - Boletos</t>
        </is>
      </c>
      <c r="H1770" s="59" t="n">
        <v>2110405</v>
      </c>
      <c r="I1770" s="59" t="inlineStr">
        <is>
          <t>CONTAS A PAGAR</t>
        </is>
      </c>
      <c r="J1770" s="59" t="n">
        <v>1474777</v>
      </c>
      <c r="L1770" s="59" t="n">
        <v>14881</v>
      </c>
      <c r="M1770" s="59" t="inlineStr">
        <is>
          <t>01</t>
        </is>
      </c>
      <c r="N1770" s="59" t="inlineStr">
        <is>
          <t>AVU</t>
        </is>
      </c>
      <c r="P1770" s="59" t="n">
        <v>103</v>
      </c>
      <c r="Q1770" s="59" t="inlineStr">
        <is>
          <t>MILKA FRANCIS</t>
        </is>
      </c>
      <c r="R1770" s="59" t="inlineStr">
        <is>
          <t>ESTOQUE DE MERCADORIAS</t>
        </is>
      </c>
      <c r="S1770" s="59" t="n">
        <v>1130101</v>
      </c>
      <c r="T1770" s="59" t="inlineStr">
        <is>
          <t>MERCADORIAS P/REVENDA</t>
        </is>
      </c>
      <c r="U1770" s="77" t="n">
        <v>4726.7</v>
      </c>
      <c r="W1770" s="59" t="n">
        <v>4726.7</v>
      </c>
      <c r="X1770" s="59" t="inlineStr">
        <is>
          <t>NF 14881 - MILKA</t>
        </is>
      </c>
      <c r="Z1770" s="59">
        <f>IF($T1770="","",IFERROR(INDEX('Resumo Grupos'!$AC$3:$AC$200,MATCH($T1770,'Resumo Grupos'!$AB$3:$AB$200,0)),"n/d"))</f>
        <v/>
      </c>
      <c r="AA1770" s="59">
        <f>IF($T1770="","",IF(COUNTIF('Resumo Grupos'!$AE$3:$AE$40,$T1770)&gt;0,"NAO","SIM"))</f>
        <v/>
      </c>
    </row>
    <row r="1771" ht="12.75" customHeight="1" s="60">
      <c r="A1771" s="59" t="n">
        <v>1</v>
      </c>
      <c r="B1771" s="75" t="n">
        <v>46235</v>
      </c>
      <c r="C1771" s="75" t="n">
        <v>46240</v>
      </c>
      <c r="D1771" s="59" t="n">
        <v>1899</v>
      </c>
      <c r="E1771" s="59" t="inlineStr">
        <is>
          <t>PANIFICADORA E CONFEITARIA REAL MADRI LTDA</t>
        </is>
      </c>
      <c r="F1771" s="59" t="n">
        <v>24</v>
      </c>
      <c r="G1771" s="59" t="inlineStr">
        <is>
          <t>Compra a Prazo - Boletos</t>
        </is>
      </c>
      <c r="H1771" s="59" t="n">
        <v>2110405</v>
      </c>
      <c r="I1771" s="59" t="inlineStr">
        <is>
          <t>CONTAS A PAGAR</t>
        </is>
      </c>
      <c r="J1771" s="59" t="n">
        <v>1481751</v>
      </c>
      <c r="L1771" s="59" t="n">
        <v>739</v>
      </c>
      <c r="M1771" s="59" t="inlineStr">
        <is>
          <t>01</t>
        </is>
      </c>
      <c r="N1771" s="59" t="inlineStr">
        <is>
          <t>AVU</t>
        </is>
      </c>
      <c r="P1771" s="59" t="n">
        <v>103</v>
      </c>
      <c r="Q1771" s="59" t="inlineStr">
        <is>
          <t>MILKA FRANCIS</t>
        </is>
      </c>
      <c r="R1771" s="59" t="inlineStr">
        <is>
          <t>ESTOQUE DE MERCADORIAS</t>
        </is>
      </c>
      <c r="S1771" s="59" t="n">
        <v>1130101</v>
      </c>
      <c r="T1771" s="59" t="inlineStr">
        <is>
          <t>MERCADORIAS P/REVENDA</t>
        </is>
      </c>
      <c r="U1771" s="77" t="n">
        <v>739.15</v>
      </c>
      <c r="W1771" s="59" t="n">
        <v>739.15</v>
      </c>
      <c r="X1771" s="59" t="inlineStr">
        <is>
          <t>NF 739 - MILKA</t>
        </is>
      </c>
      <c r="Z1771" s="59">
        <f>IF($T1771="","",IFERROR(INDEX('Resumo Grupos'!$AC$3:$AC$200,MATCH($T1771,'Resumo Grupos'!$AB$3:$AB$200,0)),"n/d"))</f>
        <v/>
      </c>
      <c r="AA1771" s="59">
        <f>IF($T1771="","",IF(COUNTIF('Resumo Grupos'!$AE$3:$AE$40,$T1771)&gt;0,"NAO","SIM"))</f>
        <v/>
      </c>
    </row>
    <row r="1772" ht="12.75" customHeight="1" s="60">
      <c r="A1772" s="59" t="n">
        <v>1</v>
      </c>
      <c r="B1772" s="75" t="n">
        <v>46238</v>
      </c>
      <c r="C1772" s="75" t="n">
        <v>46240</v>
      </c>
      <c r="D1772" s="59" t="n">
        <v>642</v>
      </c>
      <c r="E1772" s="59" t="inlineStr">
        <is>
          <t>ADICSO FABIAN GONZALEZ MONTILLA 70302186</t>
        </is>
      </c>
      <c r="F1772" s="59" t="n">
        <v>24</v>
      </c>
      <c r="G1772" s="59" t="inlineStr">
        <is>
          <t>Compra a Prazo - Boletos</t>
        </is>
      </c>
      <c r="H1772" s="59" t="n">
        <v>2110405</v>
      </c>
      <c r="I1772" s="59" t="inlineStr">
        <is>
          <t>CONTAS A PAGAR</t>
        </is>
      </c>
      <c r="J1772" s="59" t="n">
        <v>1500381</v>
      </c>
      <c r="L1772" s="59" t="n">
        <v>576</v>
      </c>
      <c r="M1772" s="59" t="inlineStr">
        <is>
          <t>01</t>
        </is>
      </c>
      <c r="N1772" s="59" t="inlineStr">
        <is>
          <t>AVU</t>
        </is>
      </c>
      <c r="P1772" s="59" t="n">
        <v>103</v>
      </c>
      <c r="Q1772" s="59" t="inlineStr">
        <is>
          <t>MILKA FRANCIS</t>
        </is>
      </c>
      <c r="R1772" s="59" t="inlineStr">
        <is>
          <t>ESTOQUE DE MERCADORIAS</t>
        </is>
      </c>
      <c r="S1772" s="59" t="n">
        <v>1130101</v>
      </c>
      <c r="T1772" s="59" t="inlineStr">
        <is>
          <t>MERCADORIAS P/REVENDA</t>
        </is>
      </c>
      <c r="U1772" s="77" t="n">
        <v>816</v>
      </c>
      <c r="W1772" s="59" t="n">
        <v>816</v>
      </c>
      <c r="X1772" s="59" t="inlineStr">
        <is>
          <t>NF 576 BLOOM - MILKA</t>
        </is>
      </c>
      <c r="Z1772" s="59">
        <f>IF($T1772="","",IFERROR(INDEX('Resumo Grupos'!$AC$3:$AC$200,MATCH($T1772,'Resumo Grupos'!$AB$3:$AB$200,0)),"n/d"))</f>
        <v/>
      </c>
      <c r="AA1772" s="59">
        <f>IF($T1772="","",IF(COUNTIF('Resumo Grupos'!$AE$3:$AE$40,$T1772)&gt;0,"NAO","SIM"))</f>
        <v/>
      </c>
    </row>
    <row r="1773" ht="12.75" customHeight="1" s="60">
      <c r="A1773" s="59" t="n">
        <v>1</v>
      </c>
      <c r="B1773" s="75" t="n">
        <v>46240</v>
      </c>
      <c r="C1773" s="75" t="n">
        <v>46240</v>
      </c>
      <c r="D1773" s="59" t="n">
        <v>1137</v>
      </c>
      <c r="E1773" s="59" t="inlineStr">
        <is>
          <t xml:space="preserve">FOLHA DE PAGAMENTO </t>
        </is>
      </c>
      <c r="F1773" s="59" t="n">
        <v>34</v>
      </c>
      <c r="G1773" s="59" t="inlineStr">
        <is>
          <t>Transferencia Pix</t>
        </is>
      </c>
      <c r="H1773" s="59" t="n">
        <v>2110405</v>
      </c>
      <c r="I1773" s="59" t="inlineStr">
        <is>
          <t>CONTAS A PAGAR</t>
        </is>
      </c>
      <c r="J1773" s="59" t="n">
        <v>1508284</v>
      </c>
      <c r="L1773" s="59" t="n">
        <v>618072</v>
      </c>
      <c r="M1773" s="59" t="inlineStr">
        <is>
          <t>01</t>
        </is>
      </c>
      <c r="N1773" s="59" t="inlineStr">
        <is>
          <t>AVU</t>
        </is>
      </c>
      <c r="P1773" s="59" t="n">
        <v>101</v>
      </c>
      <c r="Q1773" s="59" t="inlineStr">
        <is>
          <t>KEILA LIMA</t>
        </is>
      </c>
      <c r="R1773" s="59" t="inlineStr">
        <is>
          <t>DESPESAS COM PESSOAL</t>
        </is>
      </c>
      <c r="S1773" s="59" t="n">
        <v>4210301</v>
      </c>
      <c r="T1773" s="59" t="inlineStr">
        <is>
          <t>SALARIOS</t>
        </is>
      </c>
      <c r="U1773" s="77" t="n">
        <v>1284.5</v>
      </c>
      <c r="W1773" s="59" t="n">
        <v>1284.5</v>
      </c>
      <c r="X1773" s="59" t="inlineStr">
        <is>
          <t>PAG SALARIO 07/26 ESCR - KEILA</t>
        </is>
      </c>
      <c r="Z1773" s="59">
        <f>IF($T1773="","",IFERROR(INDEX('Resumo Grupos'!$AC$3:$AC$200,MATCH($T1773,'Resumo Grupos'!$AB$3:$AB$200,0)),"n/d"))</f>
        <v/>
      </c>
      <c r="AA1773" s="59">
        <f>IF($T1773="","",IF(COUNTIF('Resumo Grupos'!$AE$3:$AE$40,$T1773)&gt;0,"NAO","SIM"))</f>
        <v/>
      </c>
    </row>
    <row r="1774" ht="12.75" customHeight="1" s="60">
      <c r="A1774" s="59" t="n">
        <v>1</v>
      </c>
      <c r="B1774" s="75" t="n">
        <v>46240</v>
      </c>
      <c r="C1774" s="75" t="n">
        <v>46240</v>
      </c>
      <c r="D1774" s="59" t="n">
        <v>1137</v>
      </c>
      <c r="E1774" s="59" t="inlineStr">
        <is>
          <t xml:space="preserve">FOLHA DE PAGAMENTO </t>
        </is>
      </c>
      <c r="F1774" s="59" t="n">
        <v>34</v>
      </c>
      <c r="G1774" s="59" t="inlineStr">
        <is>
          <t>Transferencia Pix</t>
        </is>
      </c>
      <c r="H1774" s="59" t="n">
        <v>2110405</v>
      </c>
      <c r="I1774" s="59" t="inlineStr">
        <is>
          <t>CONTAS A PAGAR</t>
        </is>
      </c>
      <c r="J1774" s="59" t="n">
        <v>1508287</v>
      </c>
      <c r="L1774" s="59" t="n">
        <v>618073</v>
      </c>
      <c r="M1774" s="59" t="inlineStr">
        <is>
          <t>01</t>
        </is>
      </c>
      <c r="N1774" s="59" t="inlineStr">
        <is>
          <t>AVU</t>
        </is>
      </c>
      <c r="P1774" s="59" t="n">
        <v>101</v>
      </c>
      <c r="Q1774" s="59" t="inlineStr">
        <is>
          <t>KEILA LIMA</t>
        </is>
      </c>
      <c r="R1774" s="59" t="inlineStr">
        <is>
          <t>DESPESAS COM PESSOAL</t>
        </is>
      </c>
      <c r="S1774" s="59" t="n">
        <v>4210301</v>
      </c>
      <c r="T1774" s="59" t="inlineStr">
        <is>
          <t>SALARIOS</t>
        </is>
      </c>
      <c r="U1774" s="77" t="n">
        <v>378.58</v>
      </c>
      <c r="W1774" s="59" t="n">
        <v>378.58</v>
      </c>
      <c r="X1774" s="59" t="inlineStr">
        <is>
          <t>PAG SALARIO 07/26 ESCR - KEILA</t>
        </is>
      </c>
      <c r="Z1774" s="59">
        <f>IF($T1774="","",IFERROR(INDEX('Resumo Grupos'!$AC$3:$AC$200,MATCH($T1774,'Resumo Grupos'!$AB$3:$AB$200,0)),"n/d"))</f>
        <v/>
      </c>
      <c r="AA1774" s="59">
        <f>IF($T1774="","",IF(COUNTIF('Resumo Grupos'!$AE$3:$AE$40,$T1774)&gt;0,"NAO","SIM"))</f>
        <v/>
      </c>
    </row>
    <row r="1775" ht="12.75" customHeight="1" s="60">
      <c r="A1775" s="59" t="n">
        <v>1</v>
      </c>
      <c r="B1775" s="75" t="n">
        <v>46240</v>
      </c>
      <c r="C1775" s="75" t="n">
        <v>46240</v>
      </c>
      <c r="D1775" s="59" t="n">
        <v>1961</v>
      </c>
      <c r="E1775" s="59" t="inlineStr">
        <is>
          <t xml:space="preserve">ALMOCO </t>
        </is>
      </c>
      <c r="F1775" s="59" t="n">
        <v>34</v>
      </c>
      <c r="G1775" s="59" t="inlineStr">
        <is>
          <t>Transferencia Pix</t>
        </is>
      </c>
      <c r="H1775" s="59" t="n">
        <v>2110405</v>
      </c>
      <c r="I1775" s="59" t="inlineStr">
        <is>
          <t>CONTAS A PAGAR</t>
        </is>
      </c>
      <c r="J1775" s="59" t="n">
        <v>1508789</v>
      </c>
      <c r="L1775" s="59" t="n">
        <v>618218</v>
      </c>
      <c r="M1775" s="59" t="inlineStr">
        <is>
          <t>01</t>
        </is>
      </c>
      <c r="N1775" s="59" t="inlineStr">
        <is>
          <t>AVU</t>
        </is>
      </c>
      <c r="P1775" s="59" t="n">
        <v>101</v>
      </c>
      <c r="Q1775" s="59" t="inlineStr">
        <is>
          <t>KEILA LIMA</t>
        </is>
      </c>
      <c r="R1775" s="59" t="inlineStr">
        <is>
          <t>DESPESAS COM PESSOAL</t>
        </is>
      </c>
      <c r="S1775" s="59" t="n">
        <v>4210310</v>
      </c>
      <c r="T1775" s="59" t="inlineStr">
        <is>
          <t>ALIMENTACAO</t>
        </is>
      </c>
      <c r="U1775" s="77" t="n">
        <v>220</v>
      </c>
      <c r="W1775" s="59" t="n">
        <v>220</v>
      </c>
      <c r="X1775" s="59" t="inlineStr">
        <is>
          <t>ALIMENTACAO JANTA MO1 04/08 - KEILA</t>
        </is>
      </c>
      <c r="Z1775" s="59">
        <f>IF($T1775="","",IFERROR(INDEX('Resumo Grupos'!$AC$3:$AC$200,MATCH($T1775,'Resumo Grupos'!$AB$3:$AB$200,0)),"n/d"))</f>
        <v/>
      </c>
      <c r="AA1775" s="59">
        <f>IF($T1775="","",IF(COUNTIF('Resumo Grupos'!$AE$3:$AE$40,$T1775)&gt;0,"NAO","SIM"))</f>
        <v/>
      </c>
    </row>
    <row r="1776" ht="12.75" customHeight="1" s="60">
      <c r="A1776" s="59" t="n">
        <v>1</v>
      </c>
      <c r="B1776" s="75" t="n">
        <v>46240</v>
      </c>
      <c r="C1776" s="75" t="n">
        <v>46240</v>
      </c>
      <c r="D1776" s="59" t="n">
        <v>33</v>
      </c>
      <c r="E1776" s="59" t="inlineStr">
        <is>
          <t>RENATO DE O AZEVEDO E CIA LTDA - EPP</t>
        </is>
      </c>
      <c r="F1776" s="59" t="n">
        <v>13</v>
      </c>
      <c r="G1776" s="59" t="inlineStr">
        <is>
          <t>Compra a Vista</t>
        </is>
      </c>
      <c r="H1776" s="59" t="n">
        <v>2110101</v>
      </c>
      <c r="I1776" s="59" t="inlineStr">
        <is>
          <t>FORNECEDORES DE MERCADORIA</t>
        </is>
      </c>
      <c r="J1776" s="59" t="n">
        <v>1509045</v>
      </c>
      <c r="L1776" s="59" t="n">
        <v>5440</v>
      </c>
      <c r="M1776" s="59" t="inlineStr">
        <is>
          <t>01</t>
        </is>
      </c>
      <c r="N1776" s="59" t="inlineStr">
        <is>
          <t>NFE</t>
        </is>
      </c>
      <c r="P1776" s="59" t="n">
        <v>104</v>
      </c>
      <c r="Q1776" s="59" t="inlineStr">
        <is>
          <t>DEBORA COSTA</t>
        </is>
      </c>
      <c r="R1776" s="59" t="inlineStr">
        <is>
          <t>ESTOQUE DE MERCADORIAS</t>
        </is>
      </c>
      <c r="S1776" s="59" t="n">
        <v>1130101</v>
      </c>
      <c r="T1776" s="59" t="inlineStr">
        <is>
          <t>MERCADORIAS P/REVENDA</t>
        </is>
      </c>
      <c r="U1776" s="77" t="n">
        <v>350</v>
      </c>
      <c r="W1776" s="59" t="n">
        <v>350</v>
      </c>
      <c r="X1776" s="59" t="inlineStr">
        <is>
          <t>ACAI DE ANORI - DEBORA - 30/07</t>
        </is>
      </c>
      <c r="Z1776" s="59">
        <f>IF($T1776="","",IFERROR(INDEX('Resumo Grupos'!$AC$3:$AC$200,MATCH($T1776,'Resumo Grupos'!$AB$3:$AB$200,0)),"n/d"))</f>
        <v/>
      </c>
      <c r="AA1776" s="59">
        <f>IF($T1776="","",IF(COUNTIF('Resumo Grupos'!$AE$3:$AE$40,$T1776)&gt;0,"NAO","SIM"))</f>
        <v/>
      </c>
    </row>
    <row r="1777" ht="12.75" customHeight="1" s="60">
      <c r="A1777" s="59" t="n">
        <v>1</v>
      </c>
      <c r="B1777" s="75" t="n">
        <v>46240</v>
      </c>
      <c r="C1777" s="75" t="n">
        <v>46240</v>
      </c>
      <c r="D1777" s="59" t="n">
        <v>33</v>
      </c>
      <c r="E1777" s="59" t="inlineStr">
        <is>
          <t>RENATO DE O AZEVEDO E CIA LTDA - EPP</t>
        </is>
      </c>
      <c r="F1777" s="59" t="n">
        <v>13</v>
      </c>
      <c r="G1777" s="59" t="inlineStr">
        <is>
          <t>Compra a Vista</t>
        </is>
      </c>
      <c r="H1777" s="59" t="n">
        <v>2110101</v>
      </c>
      <c r="I1777" s="59" t="inlineStr">
        <is>
          <t>FORNECEDORES DE MERCADORIA</t>
        </is>
      </c>
      <c r="J1777" s="59" t="n">
        <v>1509219</v>
      </c>
      <c r="L1777" s="59" t="n">
        <v>5442</v>
      </c>
      <c r="M1777" s="59" t="inlineStr">
        <is>
          <t>01</t>
        </is>
      </c>
      <c r="N1777" s="59" t="inlineStr">
        <is>
          <t>NFE</t>
        </is>
      </c>
      <c r="P1777" s="59" t="n">
        <v>104</v>
      </c>
      <c r="Q1777" s="59" t="inlineStr">
        <is>
          <t>DEBORA COSTA</t>
        </is>
      </c>
      <c r="R1777" s="59" t="inlineStr">
        <is>
          <t>ESTOQUE DE MERCADORIAS</t>
        </is>
      </c>
      <c r="S1777" s="59" t="n">
        <v>1130101</v>
      </c>
      <c r="T1777" s="59" t="inlineStr">
        <is>
          <t>MERCADORIAS P/REVENDA</t>
        </is>
      </c>
      <c r="U1777" s="77" t="n">
        <v>420</v>
      </c>
      <c r="W1777" s="59" t="n">
        <v>420</v>
      </c>
      <c r="X1777" s="59" t="inlineStr">
        <is>
          <t>ACAI DE ANORI - DEBORA - DIA 01/08</t>
        </is>
      </c>
      <c r="Z1777" s="59">
        <f>IF($T1777="","",IFERROR(INDEX('Resumo Grupos'!$AC$3:$AC$200,MATCH($T1777,'Resumo Grupos'!$AB$3:$AB$200,0)),"n/d"))</f>
        <v/>
      </c>
      <c r="AA1777" s="59">
        <f>IF($T1777="","",IF(COUNTIF('Resumo Grupos'!$AE$3:$AE$40,$T1777)&gt;0,"NAO","SIM"))</f>
        <v/>
      </c>
    </row>
    <row r="1778" ht="12.75" customHeight="1" s="60">
      <c r="A1778" s="59" t="n">
        <v>1</v>
      </c>
      <c r="B1778" s="75" t="n">
        <v>46240</v>
      </c>
      <c r="C1778" s="75" t="n">
        <v>46240</v>
      </c>
      <c r="D1778" s="59" t="n">
        <v>33</v>
      </c>
      <c r="E1778" s="59" t="inlineStr">
        <is>
          <t>RENATO DE O AZEVEDO E CIA LTDA - EPP</t>
        </is>
      </c>
      <c r="F1778" s="59" t="n">
        <v>13</v>
      </c>
      <c r="G1778" s="59" t="inlineStr">
        <is>
          <t>Compra a Vista</t>
        </is>
      </c>
      <c r="H1778" s="59" t="n">
        <v>2110101</v>
      </c>
      <c r="I1778" s="59" t="inlineStr">
        <is>
          <t>FORNECEDORES DE MERCADORIA</t>
        </is>
      </c>
      <c r="J1778" s="59" t="n">
        <v>1509244</v>
      </c>
      <c r="L1778" s="59" t="n">
        <v>5443</v>
      </c>
      <c r="M1778" s="59" t="inlineStr">
        <is>
          <t>01</t>
        </is>
      </c>
      <c r="N1778" s="59" t="inlineStr">
        <is>
          <t>NFE</t>
        </is>
      </c>
      <c r="P1778" s="59" t="n">
        <v>104</v>
      </c>
      <c r="Q1778" s="59" t="inlineStr">
        <is>
          <t>DEBORA COSTA</t>
        </is>
      </c>
      <c r="R1778" s="59" t="inlineStr">
        <is>
          <t>ESTOQUE DE MERCADORIAS</t>
        </is>
      </c>
      <c r="S1778" s="59" t="n">
        <v>1130101</v>
      </c>
      <c r="T1778" s="59" t="inlineStr">
        <is>
          <t>MERCADORIAS P/REVENDA</t>
        </is>
      </c>
      <c r="U1778" s="77" t="n">
        <v>350</v>
      </c>
      <c r="W1778" s="59" t="n">
        <v>350</v>
      </c>
      <c r="X1778" s="59" t="inlineStr">
        <is>
          <t>ACAI DE ANORI - DEBORA - 03/08</t>
        </is>
      </c>
      <c r="Z1778" s="59">
        <f>IF($T1778="","",IFERROR(INDEX('Resumo Grupos'!$AC$3:$AC$200,MATCH($T1778,'Resumo Grupos'!$AB$3:$AB$200,0)),"n/d"))</f>
        <v/>
      </c>
      <c r="AA1778" s="59">
        <f>IF($T1778="","",IF(COUNTIF('Resumo Grupos'!$AE$3:$AE$40,$T1778)&gt;0,"NAO","SIM"))</f>
        <v/>
      </c>
    </row>
    <row r="1779" ht="12.75" customHeight="1" s="60">
      <c r="A1779" s="59" t="n">
        <v>1</v>
      </c>
      <c r="B1779" s="75" t="n">
        <v>46240</v>
      </c>
      <c r="C1779" s="75" t="n">
        <v>46240</v>
      </c>
      <c r="D1779" s="59" t="n">
        <v>33</v>
      </c>
      <c r="E1779" s="59" t="inlineStr">
        <is>
          <t>RENATO DE O AZEVEDO E CIA LTDA - EPP</t>
        </is>
      </c>
      <c r="F1779" s="59" t="n">
        <v>13</v>
      </c>
      <c r="G1779" s="59" t="inlineStr">
        <is>
          <t>Compra a Vista</t>
        </is>
      </c>
      <c r="H1779" s="59" t="n">
        <v>2110101</v>
      </c>
      <c r="I1779" s="59" t="inlineStr">
        <is>
          <t>FORNECEDORES DE MERCADORIA</t>
        </is>
      </c>
      <c r="J1779" s="59" t="n">
        <v>1509334</v>
      </c>
      <c r="L1779" s="59" t="n">
        <v>5444</v>
      </c>
      <c r="M1779" s="59" t="inlineStr">
        <is>
          <t>01</t>
        </is>
      </c>
      <c r="N1779" s="59" t="inlineStr">
        <is>
          <t>NFE</t>
        </is>
      </c>
      <c r="P1779" s="59" t="n">
        <v>104</v>
      </c>
      <c r="Q1779" s="59" t="inlineStr">
        <is>
          <t>DEBORA COSTA</t>
        </is>
      </c>
      <c r="R1779" s="59" t="inlineStr">
        <is>
          <t>ESTOQUE DE MERCADORIAS</t>
        </is>
      </c>
      <c r="S1779" s="59" t="n">
        <v>1130101</v>
      </c>
      <c r="T1779" s="59" t="inlineStr">
        <is>
          <t>MERCADORIAS P/REVENDA</t>
        </is>
      </c>
      <c r="U1779" s="77" t="n">
        <v>350</v>
      </c>
      <c r="W1779" s="59" t="n">
        <v>350</v>
      </c>
      <c r="X1779" s="59" t="inlineStr">
        <is>
          <t>ACAI DE ANORI - DEBORA - DIA 05/08</t>
        </is>
      </c>
      <c r="Z1779" s="59">
        <f>IF($T1779="","",IFERROR(INDEX('Resumo Grupos'!$AC$3:$AC$200,MATCH($T1779,'Resumo Grupos'!$AB$3:$AB$200,0)),"n/d"))</f>
        <v/>
      </c>
      <c r="AA1779" s="59">
        <f>IF($T1779="","",IF(COUNTIF('Resumo Grupos'!$AE$3:$AE$40,$T1779)&gt;0,"NAO","SIM"))</f>
        <v/>
      </c>
    </row>
    <row r="1780" ht="12.75" customHeight="1" s="60">
      <c r="A1780" s="59" t="n">
        <v>1</v>
      </c>
      <c r="B1780" s="75" t="n">
        <v>46240</v>
      </c>
      <c r="C1780" s="75" t="n">
        <v>46240</v>
      </c>
      <c r="D1780" s="59" t="n">
        <v>978</v>
      </c>
      <c r="E1780" s="59" t="inlineStr">
        <is>
          <t>GELO DANGELO FABRICACAO DE GELO LTDA</t>
        </is>
      </c>
      <c r="F1780" s="59" t="n">
        <v>13</v>
      </c>
      <c r="G1780" s="59" t="inlineStr">
        <is>
          <t>Compra a Vista</t>
        </is>
      </c>
      <c r="H1780" s="59" t="n">
        <v>2110101</v>
      </c>
      <c r="I1780" s="59" t="inlineStr">
        <is>
          <t>FORNECEDORES DE MERCADORIA</t>
        </is>
      </c>
      <c r="J1780" s="59" t="n">
        <v>1509405</v>
      </c>
      <c r="L1780" s="59" t="n">
        <v>443</v>
      </c>
      <c r="M1780" s="59" t="inlineStr">
        <is>
          <t>01</t>
        </is>
      </c>
      <c r="N1780" s="59" t="inlineStr">
        <is>
          <t>NFE</t>
        </is>
      </c>
      <c r="P1780" s="59" t="n">
        <v>104</v>
      </c>
      <c r="Q1780" s="59" t="inlineStr">
        <is>
          <t>DEBORA COSTA</t>
        </is>
      </c>
      <c r="R1780" s="59" t="inlineStr">
        <is>
          <t>ESTOQUE DE MERCADORIAS</t>
        </is>
      </c>
      <c r="S1780" s="59" t="n">
        <v>1130101</v>
      </c>
      <c r="T1780" s="59" t="inlineStr">
        <is>
          <t>MERCADORIAS P/REVENDA</t>
        </is>
      </c>
      <c r="U1780" s="77" t="n">
        <v>405.5</v>
      </c>
      <c r="W1780" s="59" t="n">
        <v>0</v>
      </c>
      <c r="X1780" s="59" t="inlineStr">
        <is>
          <t>NF 443 - DEBORA</t>
        </is>
      </c>
      <c r="Z1780" s="59">
        <f>IF($T1780="","",IFERROR(INDEX('Resumo Grupos'!$AC$3:$AC$200,MATCH($T1780,'Resumo Grupos'!$AB$3:$AB$200,0)),"n/d"))</f>
        <v/>
      </c>
      <c r="AA1780" s="59">
        <f>IF($T1780="","",IF(COUNTIF('Resumo Grupos'!$AE$3:$AE$40,$T1780)&gt;0,"NAO","SIM"))</f>
        <v/>
      </c>
    </row>
    <row r="1781" ht="12.75" customHeight="1" s="60">
      <c r="A1781" s="59" t="n">
        <v>1</v>
      </c>
      <c r="B1781" s="75" t="n">
        <v>46240</v>
      </c>
      <c r="C1781" s="75" t="n">
        <v>46240</v>
      </c>
      <c r="D1781" s="59" t="n">
        <v>1137</v>
      </c>
      <c r="E1781" s="59" t="inlineStr">
        <is>
          <t xml:space="preserve">FOLHA DE PAGAMENTO </t>
        </is>
      </c>
      <c r="F1781" s="59" t="n">
        <v>34</v>
      </c>
      <c r="G1781" s="59" t="inlineStr">
        <is>
          <t>Transferencia Pix</t>
        </is>
      </c>
      <c r="H1781" s="59" t="n">
        <v>2110405</v>
      </c>
      <c r="I1781" s="59" t="inlineStr">
        <is>
          <t>CONTAS A PAGAR</t>
        </is>
      </c>
      <c r="J1781" s="59" t="n">
        <v>1510054</v>
      </c>
      <c r="L1781" s="59" t="n">
        <v>618572</v>
      </c>
      <c r="M1781" s="59" t="inlineStr">
        <is>
          <t>01</t>
        </is>
      </c>
      <c r="N1781" s="59" t="inlineStr">
        <is>
          <t>AVU</t>
        </is>
      </c>
      <c r="P1781" s="59" t="n">
        <v>101</v>
      </c>
      <c r="Q1781" s="59" t="inlineStr">
        <is>
          <t>KEILA LIMA</t>
        </is>
      </c>
      <c r="R1781" s="59" t="inlineStr">
        <is>
          <t>DESPESAS COM PESSOAL</t>
        </is>
      </c>
      <c r="S1781" s="59" t="n">
        <v>4210301</v>
      </c>
      <c r="T1781" s="59" t="inlineStr">
        <is>
          <t>SALARIOS</t>
        </is>
      </c>
      <c r="U1781" s="77" t="n">
        <v>21294.16</v>
      </c>
      <c r="W1781" s="59" t="n">
        <v>21294.16</v>
      </c>
      <c r="X1781" s="59" t="inlineStr">
        <is>
          <t>PAG SALARIO FUNCIONARIOS MO1 07/26 - KEILA</t>
        </is>
      </c>
      <c r="Z1781" s="59">
        <f>IF($T1781="","",IFERROR(INDEX('Resumo Grupos'!$AC$3:$AC$200,MATCH($T1781,'Resumo Grupos'!$AB$3:$AB$200,0)),"n/d"))</f>
        <v/>
      </c>
      <c r="AA1781" s="59">
        <f>IF($T1781="","",IF(COUNTIF('Resumo Grupos'!$AE$3:$AE$40,$T1781)&gt;0,"NAO","SIM"))</f>
        <v/>
      </c>
    </row>
    <row r="1782" ht="12.75" customHeight="1" s="60">
      <c r="A1782" s="59" t="n">
        <v>1</v>
      </c>
      <c r="B1782" s="75" t="n">
        <v>46240</v>
      </c>
      <c r="C1782" s="75" t="n">
        <v>46240</v>
      </c>
      <c r="D1782" s="59" t="n">
        <v>1936</v>
      </c>
      <c r="E1782" s="59" t="inlineStr">
        <is>
          <t>RV TECNOLOGIA E SISTEMAS S.A</t>
        </is>
      </c>
      <c r="F1782" s="59" t="n">
        <v>34</v>
      </c>
      <c r="G1782" s="59" t="inlineStr">
        <is>
          <t>Transferencia Pix</t>
        </is>
      </c>
      <c r="H1782" s="59" t="n">
        <v>2110405</v>
      </c>
      <c r="I1782" s="59" t="inlineStr">
        <is>
          <t>CONTAS A PAGAR</t>
        </is>
      </c>
      <c r="J1782" s="59" t="n">
        <v>1513693</v>
      </c>
      <c r="L1782" s="59" t="n">
        <v>619965</v>
      </c>
      <c r="M1782" s="59" t="inlineStr">
        <is>
          <t>01</t>
        </is>
      </c>
      <c r="N1782" s="59" t="inlineStr">
        <is>
          <t>AVU</t>
        </is>
      </c>
      <c r="P1782" s="59" t="n">
        <v>102</v>
      </c>
      <c r="Q1782" s="59" t="inlineStr">
        <is>
          <t>ANDREZA ANDRADE</t>
        </is>
      </c>
      <c r="R1782" s="59" t="inlineStr">
        <is>
          <t>ESTOQUE DE MERCADORIAS</t>
        </is>
      </c>
      <c r="S1782" s="59" t="n">
        <v>1130101</v>
      </c>
      <c r="T1782" s="59" t="inlineStr">
        <is>
          <t>MERCADORIAS P/REVENDA</t>
        </is>
      </c>
      <c r="U1782" s="77" t="n">
        <v>626.05</v>
      </c>
      <c r="W1782" s="59" t="n">
        <v>626.05</v>
      </c>
      <c r="X1782" s="59" t="inlineStr">
        <is>
          <t>RV RECARGA CELULAR -ANDREZA</t>
        </is>
      </c>
      <c r="Z1782" s="59">
        <f>IF($T1782="","",IFERROR(INDEX('Resumo Grupos'!$AC$3:$AC$200,MATCH($T1782,'Resumo Grupos'!$AB$3:$AB$200,0)),"n/d"))</f>
        <v/>
      </c>
      <c r="AA1782" s="59">
        <f>IF($T1782="","",IF(COUNTIF('Resumo Grupos'!$AE$3:$AE$40,$T1782)&gt;0,"NAO","SIM"))</f>
        <v/>
      </c>
    </row>
    <row r="1783" ht="12.75" customHeight="1" s="60">
      <c r="A1783" s="59" t="n">
        <v>1</v>
      </c>
      <c r="B1783" s="75" t="n">
        <v>46240</v>
      </c>
      <c r="C1783" s="75" t="n">
        <v>46240</v>
      </c>
      <c r="D1783" s="59" t="n">
        <v>1187</v>
      </c>
      <c r="E1783" s="59" t="inlineStr">
        <is>
          <t>JACKSON ROCHA NUNES</t>
        </is>
      </c>
      <c r="F1783" s="59" t="n">
        <v>13</v>
      </c>
      <c r="G1783" s="59" t="inlineStr">
        <is>
          <t>Compra a Vista</t>
        </is>
      </c>
      <c r="H1783" s="59" t="n">
        <v>2110101</v>
      </c>
      <c r="I1783" s="59" t="inlineStr">
        <is>
          <t>FORNECEDORES DE MERCADORIA</t>
        </is>
      </c>
      <c r="J1783" s="59" t="n">
        <v>1518718</v>
      </c>
      <c r="L1783" s="59" t="n">
        <v>237</v>
      </c>
      <c r="M1783" s="59" t="inlineStr">
        <is>
          <t>01</t>
        </is>
      </c>
      <c r="N1783" s="59" t="inlineStr">
        <is>
          <t>NFE</t>
        </is>
      </c>
      <c r="P1783" s="59" t="n">
        <v>104</v>
      </c>
      <c r="Q1783" s="59" t="inlineStr">
        <is>
          <t>DEBORA COSTA</t>
        </is>
      </c>
      <c r="R1783" s="59" t="inlineStr">
        <is>
          <t>ESTOQUE DE MERCADORIAS</t>
        </is>
      </c>
      <c r="S1783" s="59" t="n">
        <v>1130101</v>
      </c>
      <c r="T1783" s="59" t="inlineStr">
        <is>
          <t>MERCADORIAS P/REVENDA</t>
        </is>
      </c>
      <c r="U1783" s="77" t="n">
        <v>750</v>
      </c>
      <c r="W1783" s="59" t="n">
        <v>0</v>
      </c>
      <c r="X1783" s="59" t="inlineStr">
        <is>
          <t>NF 237 - DEBORA</t>
        </is>
      </c>
      <c r="Z1783" s="59">
        <f>IF($T1783="","",IFERROR(INDEX('Resumo Grupos'!$AC$3:$AC$200,MATCH($T1783,'Resumo Grupos'!$AB$3:$AB$200,0)),"n/d"))</f>
        <v/>
      </c>
      <c r="AA1783" s="59">
        <f>IF($T1783="","",IF(COUNTIF('Resumo Grupos'!$AE$3:$AE$40,$T1783)&gt;0,"NAO","SIM"))</f>
        <v/>
      </c>
    </row>
    <row r="1784" ht="12.75" customHeight="1" s="60">
      <c r="A1784" s="59" t="n">
        <v>1</v>
      </c>
      <c r="B1784" s="75" t="n">
        <v>46148</v>
      </c>
      <c r="C1784" s="75" t="n">
        <v>46241</v>
      </c>
      <c r="D1784" s="59" t="n">
        <v>607</v>
      </c>
      <c r="E1784" s="59" t="inlineStr">
        <is>
          <t>PRIME PET DISTRIBUIDORA LTDA</t>
        </is>
      </c>
      <c r="F1784" s="59" t="n">
        <v>24</v>
      </c>
      <c r="G1784" s="59" t="inlineStr">
        <is>
          <t>Compra a Prazo - Boletos</t>
        </is>
      </c>
      <c r="H1784" s="59" t="n">
        <v>2110101</v>
      </c>
      <c r="I1784" s="59" t="inlineStr">
        <is>
          <t>FORNECEDORES DE MERCADORIA</t>
        </is>
      </c>
      <c r="J1784" s="59" t="n">
        <v>1057743</v>
      </c>
      <c r="L1784" s="59" t="n">
        <v>10336</v>
      </c>
      <c r="M1784" s="59" t="inlineStr">
        <is>
          <t>08</t>
        </is>
      </c>
      <c r="N1784" s="59" t="inlineStr">
        <is>
          <t>NFE</t>
        </is>
      </c>
      <c r="P1784" s="59" t="n">
        <v>103</v>
      </c>
      <c r="Q1784" s="59" t="inlineStr">
        <is>
          <t>MILKA FRANCIS</t>
        </is>
      </c>
      <c r="R1784" s="59" t="inlineStr">
        <is>
          <t>ESTOQUE DE MERCADORIAS</t>
        </is>
      </c>
      <c r="S1784" s="59" t="n">
        <v>1130101</v>
      </c>
      <c r="T1784" s="59" t="inlineStr">
        <is>
          <t>MERCADORIAS P/REVENDA</t>
        </is>
      </c>
      <c r="U1784" s="77" t="n">
        <v>250.38</v>
      </c>
      <c r="W1784" s="59" t="n">
        <v>250.38</v>
      </c>
      <c r="X1784" s="59" t="inlineStr">
        <is>
          <t>NF 10336 -08 MILKA</t>
        </is>
      </c>
      <c r="Z1784" s="59">
        <f>IF($T1784="","",IFERROR(INDEX('Resumo Grupos'!$AC$3:$AC$200,MATCH($T1784,'Resumo Grupos'!$AB$3:$AB$200,0)),"n/d"))</f>
        <v/>
      </c>
      <c r="AA1784" s="59">
        <f>IF($T1784="","",IF(COUNTIF('Resumo Grupos'!$AE$3:$AE$40,$T1784)&gt;0,"NAO","SIM"))</f>
        <v/>
      </c>
    </row>
    <row r="1785" ht="12.75" customHeight="1" s="60">
      <c r="A1785" s="59" t="n">
        <v>1</v>
      </c>
      <c r="B1785" s="75" t="n">
        <v>46230</v>
      </c>
      <c r="C1785" s="75" t="n">
        <v>46241</v>
      </c>
      <c r="D1785" s="59" t="n">
        <v>1705</v>
      </c>
      <c r="E1785" s="59" t="inlineStr">
        <is>
          <t>BRASIL NORTE BEBIDAS S/A</t>
        </is>
      </c>
      <c r="F1785" s="59" t="n">
        <v>24</v>
      </c>
      <c r="G1785" s="59" t="inlineStr">
        <is>
          <t>Compra a Prazo - Boletos</t>
        </is>
      </c>
      <c r="H1785" s="59" t="n">
        <v>2110405</v>
      </c>
      <c r="I1785" s="59" t="inlineStr">
        <is>
          <t>CONTAS A PAGAR</t>
        </is>
      </c>
      <c r="J1785" s="59" t="n">
        <v>1458857</v>
      </c>
      <c r="L1785" s="59" t="n">
        <v>1950823</v>
      </c>
      <c r="M1785" s="59" t="inlineStr">
        <is>
          <t>01</t>
        </is>
      </c>
      <c r="N1785" s="59" t="inlineStr">
        <is>
          <t>AVU</t>
        </is>
      </c>
      <c r="P1785" s="59" t="n">
        <v>103</v>
      </c>
      <c r="Q1785" s="59" t="inlineStr">
        <is>
          <t>MILKA FRANCIS</t>
        </is>
      </c>
      <c r="R1785" s="59" t="inlineStr">
        <is>
          <t>ESTOQUE DE MERCADORIAS</t>
        </is>
      </c>
      <c r="S1785" s="59" t="n">
        <v>1130101</v>
      </c>
      <c r="T1785" s="59" t="inlineStr">
        <is>
          <t>MERCADORIAS P/REVENDA</t>
        </is>
      </c>
      <c r="U1785" s="77" t="n">
        <v>65.93000000000001</v>
      </c>
      <c r="W1785" s="59" t="n">
        <v>65.93000000000001</v>
      </c>
      <c r="X1785" s="59" t="inlineStr">
        <is>
          <t>NF 1950823 COCA / DESCONTO COMODATO - MILKA</t>
        </is>
      </c>
      <c r="Z1785" s="59">
        <f>IF($T1785="","",IFERROR(INDEX('Resumo Grupos'!$AC$3:$AC$200,MATCH($T1785,'Resumo Grupos'!$AB$3:$AB$200,0)),"n/d"))</f>
        <v/>
      </c>
      <c r="AA1785" s="59">
        <f>IF($T1785="","",IF(COUNTIF('Resumo Grupos'!$AE$3:$AE$40,$T1785)&gt;0,"NAO","SIM"))</f>
        <v/>
      </c>
    </row>
    <row r="1786" ht="12.75" customHeight="1" s="60">
      <c r="A1786" s="59" t="n">
        <v>1</v>
      </c>
      <c r="B1786" s="75" t="n">
        <v>46212</v>
      </c>
      <c r="C1786" s="75" t="n">
        <v>46241</v>
      </c>
      <c r="D1786" s="59" t="n">
        <v>10011</v>
      </c>
      <c r="E1786" s="59" t="inlineStr">
        <is>
          <t>OPPORTUNITY ALIMENTOS PARA ANIMAIS LTDA</t>
        </is>
      </c>
      <c r="F1786" s="59" t="n">
        <v>24</v>
      </c>
      <c r="G1786" s="59" t="inlineStr">
        <is>
          <t>Compra a Prazo - Boletos</t>
        </is>
      </c>
      <c r="H1786" s="59" t="n">
        <v>2110405</v>
      </c>
      <c r="I1786" s="59" t="inlineStr">
        <is>
          <t>CONTAS A PAGAR</t>
        </is>
      </c>
      <c r="J1786" s="59" t="n">
        <v>1375344</v>
      </c>
      <c r="L1786" s="59" t="n">
        <v>34611</v>
      </c>
      <c r="M1786" s="59" t="inlineStr">
        <is>
          <t>01</t>
        </is>
      </c>
      <c r="N1786" s="59" t="inlineStr">
        <is>
          <t>AVU</t>
        </is>
      </c>
      <c r="P1786" s="59" t="n">
        <v>103</v>
      </c>
      <c r="Q1786" s="59" t="inlineStr">
        <is>
          <t>MILKA FRANCIS</t>
        </is>
      </c>
      <c r="R1786" s="59" t="inlineStr">
        <is>
          <t>ESTOQUE DE MERCADORIAS</t>
        </is>
      </c>
      <c r="S1786" s="59" t="n">
        <v>1130101</v>
      </c>
      <c r="T1786" s="59" t="inlineStr">
        <is>
          <t>MERCADORIAS P/REVENDA</t>
        </is>
      </c>
      <c r="U1786" s="77" t="n">
        <v>1091.08</v>
      </c>
      <c r="W1786" s="59" t="n">
        <v>1091.08</v>
      </c>
      <c r="X1786" s="59" t="inlineStr">
        <is>
          <t>NF 34611 - MILKA</t>
        </is>
      </c>
      <c r="Z1786" s="59">
        <f>IF($T1786="","",IFERROR(INDEX('Resumo Grupos'!$AC$3:$AC$200,MATCH($T1786,'Resumo Grupos'!$AB$3:$AB$200,0)),"n/d"))</f>
        <v/>
      </c>
      <c r="AA1786" s="59">
        <f>IF($T1786="","",IF(COUNTIF('Resumo Grupos'!$AE$3:$AE$40,$T1786)&gt;0,"NAO","SIM"))</f>
        <v/>
      </c>
    </row>
    <row r="1787" ht="12.75" customHeight="1" s="60">
      <c r="A1787" s="59" t="n">
        <v>1</v>
      </c>
      <c r="B1787" s="75" t="n">
        <v>46212</v>
      </c>
      <c r="C1787" s="75" t="n">
        <v>46241</v>
      </c>
      <c r="D1787" s="59" t="n">
        <v>1718</v>
      </c>
      <c r="E1787" s="59" t="inlineStr">
        <is>
          <t>DISTRIBUIDORA FARIAS LTDA.</t>
        </is>
      </c>
      <c r="F1787" s="59" t="n">
        <v>24</v>
      </c>
      <c r="G1787" s="59" t="inlineStr">
        <is>
          <t>Compra a Prazo - Boletos</t>
        </is>
      </c>
      <c r="H1787" s="59" t="n">
        <v>2110405</v>
      </c>
      <c r="I1787" s="59" t="inlineStr">
        <is>
          <t>CONTAS A PAGAR</t>
        </is>
      </c>
      <c r="J1787" s="59" t="n">
        <v>1375395</v>
      </c>
      <c r="L1787" s="59" t="n">
        <v>681131</v>
      </c>
      <c r="M1787" s="59" t="inlineStr">
        <is>
          <t>03</t>
        </is>
      </c>
      <c r="N1787" s="59" t="inlineStr">
        <is>
          <t>AVU</t>
        </is>
      </c>
      <c r="P1787" s="59" t="n">
        <v>103</v>
      </c>
      <c r="Q1787" s="59" t="inlineStr">
        <is>
          <t>MILKA FRANCIS</t>
        </is>
      </c>
      <c r="R1787" s="59" t="inlineStr">
        <is>
          <t>ESTOQUE DE MERCADORIAS</t>
        </is>
      </c>
      <c r="S1787" s="59" t="n">
        <v>1130101</v>
      </c>
      <c r="T1787" s="59" t="inlineStr">
        <is>
          <t>MERCADORIAS P/REVENDA</t>
        </is>
      </c>
      <c r="U1787" s="77" t="n">
        <v>871.12</v>
      </c>
      <c r="W1787" s="59" t="n">
        <v>871.12</v>
      </c>
      <c r="X1787" s="59" t="inlineStr">
        <is>
          <t>804856-C/C  NF681131 - MILKA</t>
        </is>
      </c>
      <c r="Z1787" s="59">
        <f>IF($T1787="","",IFERROR(INDEX('Resumo Grupos'!$AC$3:$AC$200,MATCH($T1787,'Resumo Grupos'!$AB$3:$AB$200,0)),"n/d"))</f>
        <v/>
      </c>
      <c r="AA1787" s="59">
        <f>IF($T1787="","",IF(COUNTIF('Resumo Grupos'!$AE$3:$AE$40,$T1787)&gt;0,"NAO","SIM"))</f>
        <v/>
      </c>
    </row>
    <row r="1788" ht="12.75" customHeight="1" s="60">
      <c r="A1788" s="59" t="n">
        <v>1</v>
      </c>
      <c r="B1788" s="75" t="n">
        <v>46214</v>
      </c>
      <c r="C1788" s="75" t="n">
        <v>46241</v>
      </c>
      <c r="D1788" s="59" t="n">
        <v>794</v>
      </c>
      <c r="E1788" s="59" t="inlineStr">
        <is>
          <t>EDMARA COMERCIO DE HIGIENE PESSOAL LTDA</t>
        </is>
      </c>
      <c r="F1788" s="59" t="n">
        <v>24</v>
      </c>
      <c r="G1788" s="59" t="inlineStr">
        <is>
          <t>Compra a Prazo - Boletos</t>
        </is>
      </c>
      <c r="H1788" s="59" t="n">
        <v>2110405</v>
      </c>
      <c r="I1788" s="59" t="inlineStr">
        <is>
          <t>CONTAS A PAGAR</t>
        </is>
      </c>
      <c r="J1788" s="59" t="n">
        <v>1381993</v>
      </c>
      <c r="L1788" s="59" t="n">
        <v>8364</v>
      </c>
      <c r="M1788" s="59" t="inlineStr">
        <is>
          <t>02</t>
        </is>
      </c>
      <c r="N1788" s="59" t="inlineStr">
        <is>
          <t>AVU</t>
        </is>
      </c>
      <c r="P1788" s="59" t="n">
        <v>103</v>
      </c>
      <c r="Q1788" s="59" t="inlineStr">
        <is>
          <t>MILKA FRANCIS</t>
        </is>
      </c>
      <c r="R1788" s="59" t="inlineStr">
        <is>
          <t>ESTOQUE DE MERCADORIAS</t>
        </is>
      </c>
      <c r="S1788" s="59" t="n">
        <v>1130101</v>
      </c>
      <c r="T1788" s="59" t="inlineStr">
        <is>
          <t>MERCADORIAS P/REVENDA</t>
        </is>
      </c>
      <c r="U1788" s="77" t="n">
        <v>523.67</v>
      </c>
      <c r="W1788" s="59" t="n">
        <v>523.67</v>
      </c>
      <c r="X1788" s="59" t="inlineStr">
        <is>
          <t>5350-B/C  NF8364 - MILKA</t>
        </is>
      </c>
      <c r="Z1788" s="59">
        <f>IF($T1788="","",IFERROR(INDEX('Resumo Grupos'!$AC$3:$AC$200,MATCH($T1788,'Resumo Grupos'!$AB$3:$AB$200,0)),"n/d"))</f>
        <v/>
      </c>
      <c r="AA1788" s="59">
        <f>IF($T1788="","",IF(COUNTIF('Resumo Grupos'!$AE$3:$AE$40,$T1788)&gt;0,"NAO","SIM"))</f>
        <v/>
      </c>
    </row>
    <row r="1789" ht="12.75" customHeight="1" s="60">
      <c r="A1789" s="59" t="n">
        <v>1</v>
      </c>
      <c r="B1789" s="75" t="n">
        <v>46216</v>
      </c>
      <c r="C1789" s="75" t="n">
        <v>46241</v>
      </c>
      <c r="D1789" s="59" t="n">
        <v>1705</v>
      </c>
      <c r="E1789" s="59" t="inlineStr">
        <is>
          <t>BRASIL NORTE BEBIDAS S/A</t>
        </is>
      </c>
      <c r="F1789" s="59" t="n">
        <v>24</v>
      </c>
      <c r="G1789" s="59" t="inlineStr">
        <is>
          <t>Compra a Prazo - Boletos</t>
        </is>
      </c>
      <c r="H1789" s="59" t="n">
        <v>2110405</v>
      </c>
      <c r="I1789" s="59" t="inlineStr">
        <is>
          <t>CONTAS A PAGAR</t>
        </is>
      </c>
      <c r="J1789" s="59" t="n">
        <v>1392743</v>
      </c>
      <c r="L1789" s="59" t="n">
        <v>1197029</v>
      </c>
      <c r="M1789" s="59" t="inlineStr">
        <is>
          <t>01</t>
        </is>
      </c>
      <c r="N1789" s="59" t="inlineStr">
        <is>
          <t>AVU</t>
        </is>
      </c>
      <c r="P1789" s="59" t="n">
        <v>103</v>
      </c>
      <c r="Q1789" s="59" t="inlineStr">
        <is>
          <t>MILKA FRANCIS</t>
        </is>
      </c>
      <c r="R1789" s="59" t="inlineStr">
        <is>
          <t>ESTOQUE DE MERCADORIAS</t>
        </is>
      </c>
      <c r="S1789" s="59" t="n">
        <v>1130101</v>
      </c>
      <c r="T1789" s="59" t="inlineStr">
        <is>
          <t>MERCADORIAS P/REVENDA</t>
        </is>
      </c>
      <c r="U1789" s="77" t="n">
        <v>215.52</v>
      </c>
      <c r="W1789" s="59" t="n">
        <v>215.52</v>
      </c>
      <c r="X1789" s="59" t="inlineStr">
        <is>
          <t>NF1197029 COCA / TARIFA INCLUSA - MILKA</t>
        </is>
      </c>
      <c r="Z1789" s="59">
        <f>IF($T1789="","",IFERROR(INDEX('Resumo Grupos'!$AC$3:$AC$200,MATCH($T1789,'Resumo Grupos'!$AB$3:$AB$200,0)),"n/d"))</f>
        <v/>
      </c>
      <c r="AA1789" s="59">
        <f>IF($T1789="","",IF(COUNTIF('Resumo Grupos'!$AE$3:$AE$40,$T1789)&gt;0,"NAO","SIM"))</f>
        <v/>
      </c>
    </row>
    <row r="1790" ht="12.75" customHeight="1" s="60">
      <c r="A1790" s="59" t="n">
        <v>1</v>
      </c>
      <c r="B1790" s="75" t="n">
        <v>46218</v>
      </c>
      <c r="C1790" s="75" t="n">
        <v>46241</v>
      </c>
      <c r="D1790" s="59" t="n">
        <v>10011</v>
      </c>
      <c r="E1790" s="59" t="inlineStr">
        <is>
          <t>OPPORTUNITY ALIMENTOS PARA ANIMAIS LTDA</t>
        </is>
      </c>
      <c r="F1790" s="59" t="n">
        <v>24</v>
      </c>
      <c r="G1790" s="59" t="inlineStr">
        <is>
          <t>Compra a Prazo - Boletos</t>
        </is>
      </c>
      <c r="H1790" s="59" t="n">
        <v>2110405</v>
      </c>
      <c r="I1790" s="59" t="inlineStr">
        <is>
          <t>CONTAS A PAGAR</t>
        </is>
      </c>
      <c r="J1790" s="59" t="n">
        <v>1401989</v>
      </c>
      <c r="L1790" s="59" t="n">
        <v>34663</v>
      </c>
      <c r="M1790" s="59" t="inlineStr">
        <is>
          <t>01</t>
        </is>
      </c>
      <c r="N1790" s="59" t="inlineStr">
        <is>
          <t>AVU</t>
        </is>
      </c>
      <c r="P1790" s="59" t="n">
        <v>103</v>
      </c>
      <c r="Q1790" s="59" t="inlineStr">
        <is>
          <t>MILKA FRANCIS</t>
        </is>
      </c>
      <c r="R1790" s="59" t="inlineStr">
        <is>
          <t>ESTOQUE DE MERCADORIAS</t>
        </is>
      </c>
      <c r="S1790" s="59" t="n">
        <v>1130101</v>
      </c>
      <c r="T1790" s="59" t="inlineStr">
        <is>
          <t>MERCADORIAS P/REVENDA</t>
        </is>
      </c>
      <c r="U1790" s="77" t="n">
        <v>2006</v>
      </c>
      <c r="W1790" s="59" t="n">
        <v>2006</v>
      </c>
      <c r="X1790" s="59" t="inlineStr">
        <is>
          <t>NF 34663-3 MILKA</t>
        </is>
      </c>
      <c r="Z1790" s="59">
        <f>IF($T1790="","",IFERROR(INDEX('Resumo Grupos'!$AC$3:$AC$200,MATCH($T1790,'Resumo Grupos'!$AB$3:$AB$200,0)),"n/d"))</f>
        <v/>
      </c>
      <c r="AA1790" s="59">
        <f>IF($T1790="","",IF(COUNTIF('Resumo Grupos'!$AE$3:$AE$40,$T1790)&gt;0,"NAO","SIM"))</f>
        <v/>
      </c>
    </row>
    <row r="1791" ht="12.75" customHeight="1" s="60">
      <c r="A1791" s="59" t="n">
        <v>1</v>
      </c>
      <c r="B1791" s="75" t="n">
        <v>46223</v>
      </c>
      <c r="C1791" s="75" t="n">
        <v>46241</v>
      </c>
      <c r="D1791" s="59" t="n">
        <v>1107</v>
      </c>
      <c r="E1791" s="59" t="inlineStr">
        <is>
          <t>OESA COMERCIO E REPRESENTACOES S/A</t>
        </is>
      </c>
      <c r="F1791" s="59" t="n">
        <v>24</v>
      </c>
      <c r="G1791" s="59" t="inlineStr">
        <is>
          <t>Compra a Prazo - Boletos</t>
        </is>
      </c>
      <c r="H1791" s="59" t="n">
        <v>2110405</v>
      </c>
      <c r="I1791" s="59" t="inlineStr">
        <is>
          <t>CONTAS A PAGAR</t>
        </is>
      </c>
      <c r="J1791" s="59" t="n">
        <v>1423979</v>
      </c>
      <c r="L1791" s="59" t="n">
        <v>430879</v>
      </c>
      <c r="M1791" s="59" t="inlineStr">
        <is>
          <t>02</t>
        </is>
      </c>
      <c r="N1791" s="59" t="inlineStr">
        <is>
          <t>AVU</t>
        </is>
      </c>
      <c r="P1791" s="59" t="n">
        <v>103</v>
      </c>
      <c r="Q1791" s="59" t="inlineStr">
        <is>
          <t>MILKA FRANCIS</t>
        </is>
      </c>
      <c r="R1791" s="59" t="inlineStr">
        <is>
          <t>ESTOQUE DE MERCADORIAS</t>
        </is>
      </c>
      <c r="S1791" s="59" t="n">
        <v>1130101</v>
      </c>
      <c r="T1791" s="59" t="inlineStr">
        <is>
          <t>MERCADORIAS P/REVENDA</t>
        </is>
      </c>
      <c r="U1791" s="77" t="n">
        <v>1180.51</v>
      </c>
      <c r="W1791" s="59" t="n">
        <v>1180.51</v>
      </c>
      <c r="X1791" s="59" t="inlineStr">
        <is>
          <t>NF 430879-2 DELLY'S - MILKA</t>
        </is>
      </c>
      <c r="Z1791" s="59">
        <f>IF($T1791="","",IFERROR(INDEX('Resumo Grupos'!$AC$3:$AC$200,MATCH($T1791,'Resumo Grupos'!$AB$3:$AB$200,0)),"n/d"))</f>
        <v/>
      </c>
      <c r="AA1791" s="59">
        <f>IF($T1791="","",IF(COUNTIF('Resumo Grupos'!$AE$3:$AE$40,$T1791)&gt;0,"NAO","SIM"))</f>
        <v/>
      </c>
    </row>
    <row r="1792" ht="12.75" customHeight="1" s="60">
      <c r="A1792" s="59" t="n">
        <v>1</v>
      </c>
      <c r="B1792" s="75" t="n">
        <v>46225</v>
      </c>
      <c r="C1792" s="75" t="n">
        <v>46241</v>
      </c>
      <c r="D1792" s="59" t="n">
        <v>10017</v>
      </c>
      <c r="E1792" s="59" t="inlineStr">
        <is>
          <t>PIARARA COMERCIO, IMPORTACAO E EXPORTACAO LTDA</t>
        </is>
      </c>
      <c r="F1792" s="59" t="n">
        <v>24</v>
      </c>
      <c r="G1792" s="59" t="inlineStr">
        <is>
          <t>Compra a Prazo - Boletos</t>
        </is>
      </c>
      <c r="H1792" s="59" t="n">
        <v>2110405</v>
      </c>
      <c r="I1792" s="59" t="inlineStr">
        <is>
          <t>CONTAS A PAGAR</t>
        </is>
      </c>
      <c r="J1792" s="59" t="n">
        <v>1434930</v>
      </c>
      <c r="L1792" s="59" t="n">
        <v>194574</v>
      </c>
      <c r="M1792" s="59" t="inlineStr">
        <is>
          <t>02</t>
        </is>
      </c>
      <c r="N1792" s="59" t="inlineStr">
        <is>
          <t>AVU</t>
        </is>
      </c>
      <c r="P1792" s="59" t="n">
        <v>103</v>
      </c>
      <c r="Q1792" s="59" t="inlineStr">
        <is>
          <t>MILKA FRANCIS</t>
        </is>
      </c>
      <c r="R1792" s="59" t="inlineStr">
        <is>
          <t>ESTOQUE DE MERCADORIAS</t>
        </is>
      </c>
      <c r="S1792" s="59" t="n">
        <v>1130101</v>
      </c>
      <c r="T1792" s="59" t="inlineStr">
        <is>
          <t>MERCADORIAS P/REVENDA</t>
        </is>
      </c>
      <c r="U1792" s="77" t="n">
        <v>808.45</v>
      </c>
      <c r="W1792" s="59" t="n">
        <v>808.45</v>
      </c>
      <c r="X1792" s="59" t="inlineStr">
        <is>
          <t>NF 194574 -2 MILKA</t>
        </is>
      </c>
      <c r="Z1792" s="59">
        <f>IF($T1792="","",IFERROR(INDEX('Resumo Grupos'!$AC$3:$AC$200,MATCH($T1792,'Resumo Grupos'!$AB$3:$AB$200,0)),"n/d"))</f>
        <v/>
      </c>
      <c r="AA1792" s="59">
        <f>IF($T1792="","",IF(COUNTIF('Resumo Grupos'!$AE$3:$AE$40,$T1792)&gt;0,"NAO","SIM"))</f>
        <v/>
      </c>
    </row>
    <row r="1793" ht="12.75" customHeight="1" s="60">
      <c r="A1793" s="59" t="n">
        <v>1</v>
      </c>
      <c r="B1793" s="75" t="n">
        <v>46226</v>
      </c>
      <c r="C1793" s="75" t="n">
        <v>46241</v>
      </c>
      <c r="D1793" s="59" t="n">
        <v>1402</v>
      </c>
      <c r="E1793" s="59" t="inlineStr">
        <is>
          <t>TRIPLASTIK COMERCIAL</t>
        </is>
      </c>
      <c r="F1793" s="59" t="n">
        <v>24</v>
      </c>
      <c r="G1793" s="59" t="inlineStr">
        <is>
          <t>Compra a Prazo - Boletos</t>
        </is>
      </c>
      <c r="H1793" s="59" t="n">
        <v>2110405</v>
      </c>
      <c r="I1793" s="59" t="inlineStr">
        <is>
          <t>CONTAS A PAGAR</t>
        </is>
      </c>
      <c r="J1793" s="59" t="n">
        <v>1439563</v>
      </c>
      <c r="L1793" s="59" t="n">
        <v>3858</v>
      </c>
      <c r="M1793" s="59" t="inlineStr">
        <is>
          <t>01</t>
        </is>
      </c>
      <c r="N1793" s="59" t="inlineStr">
        <is>
          <t>AVU</t>
        </is>
      </c>
      <c r="P1793" s="59" t="n">
        <v>103</v>
      </c>
      <c r="Q1793" s="59" t="inlineStr">
        <is>
          <t>MILKA FRANCIS</t>
        </is>
      </c>
      <c r="R1793" s="59" t="inlineStr">
        <is>
          <t>DESPESAS OPERACIONAIS</t>
        </is>
      </c>
      <c r="S1793" s="59" t="n">
        <v>4210227</v>
      </c>
      <c r="T1793" s="59" t="inlineStr">
        <is>
          <t>DESPESAS LOJA</t>
        </is>
      </c>
      <c r="U1793" s="77" t="n">
        <v>994.74</v>
      </c>
      <c r="W1793" s="59" t="n">
        <v>994.74</v>
      </c>
      <c r="X1793" s="59" t="inlineStr">
        <is>
          <t>NF3858 USO E CONSUMO LOJA/ BOBINAS - MILKA</t>
        </is>
      </c>
      <c r="Z1793" s="59">
        <f>IF($T1793="","",IFERROR(INDEX('Resumo Grupos'!$AC$3:$AC$200,MATCH($T1793,'Resumo Grupos'!$AB$3:$AB$200,0)),"n/d"))</f>
        <v/>
      </c>
      <c r="AA1793" s="59">
        <f>IF($T1793="","",IF(COUNTIF('Resumo Grupos'!$AE$3:$AE$40,$T1793)&gt;0,"NAO","SIM"))</f>
        <v/>
      </c>
    </row>
    <row r="1794" ht="12.75" customHeight="1" s="60">
      <c r="A1794" s="59" t="n">
        <v>1</v>
      </c>
      <c r="B1794" s="75" t="n">
        <v>46226</v>
      </c>
      <c r="C1794" s="75" t="n">
        <v>46241</v>
      </c>
      <c r="D1794" s="59" t="n">
        <v>1666</v>
      </c>
      <c r="E1794" s="59" t="inlineStr">
        <is>
          <t>SOUZA CRUZ LTDA.</t>
        </is>
      </c>
      <c r="F1794" s="59" t="n">
        <v>24</v>
      </c>
      <c r="G1794" s="59" t="inlineStr">
        <is>
          <t>Compra a Prazo - Boletos</t>
        </is>
      </c>
      <c r="H1794" s="59" t="n">
        <v>2110405</v>
      </c>
      <c r="I1794" s="59" t="inlineStr">
        <is>
          <t>CONTAS A PAGAR</t>
        </is>
      </c>
      <c r="J1794" s="59" t="n">
        <v>1440189</v>
      </c>
      <c r="L1794" s="59" t="n">
        <v>568312</v>
      </c>
      <c r="M1794" s="59" t="inlineStr">
        <is>
          <t>02</t>
        </is>
      </c>
      <c r="N1794" s="59" t="inlineStr">
        <is>
          <t>AVU</t>
        </is>
      </c>
      <c r="P1794" s="59" t="n">
        <v>103</v>
      </c>
      <c r="Q1794" s="59" t="inlineStr">
        <is>
          <t>MILKA FRANCIS</t>
        </is>
      </c>
      <c r="R1794" s="59" t="inlineStr">
        <is>
          <t>ESTOQUE DE MERCADORIAS</t>
        </is>
      </c>
      <c r="S1794" s="59" t="n">
        <v>1130101</v>
      </c>
      <c r="T1794" s="59" t="inlineStr">
        <is>
          <t>MERCADORIAS P/REVENDA</t>
        </is>
      </c>
      <c r="U1794" s="77" t="n">
        <v>7635.42</v>
      </c>
      <c r="W1794" s="59" t="n">
        <v>7635.42</v>
      </c>
      <c r="X1794" s="59" t="inlineStr">
        <is>
          <t>NF 568312-2 MILKA</t>
        </is>
      </c>
      <c r="Z1794" s="59">
        <f>IF($T1794="","",IFERROR(INDEX('Resumo Grupos'!$AC$3:$AC$200,MATCH($T1794,'Resumo Grupos'!$AB$3:$AB$200,0)),"n/d"))</f>
        <v/>
      </c>
      <c r="AA1794" s="59">
        <f>IF($T1794="","",IF(COUNTIF('Resumo Grupos'!$AE$3:$AE$40,$T1794)&gt;0,"NAO","SIM"))</f>
        <v/>
      </c>
    </row>
    <row r="1795" ht="12.75" customHeight="1" s="60">
      <c r="A1795" s="59" t="n">
        <v>1</v>
      </c>
      <c r="B1795" s="75" t="n">
        <v>46226</v>
      </c>
      <c r="C1795" s="75" t="n">
        <v>46241</v>
      </c>
      <c r="D1795" s="59" t="n">
        <v>10017</v>
      </c>
      <c r="E1795" s="59" t="inlineStr">
        <is>
          <t>PIARARA COMERCIO, IMPORTACAO E EXPORTACAO LTDA</t>
        </is>
      </c>
      <c r="F1795" s="59" t="n">
        <v>24</v>
      </c>
      <c r="G1795" s="59" t="inlineStr">
        <is>
          <t>Compra a Prazo - Boletos</t>
        </is>
      </c>
      <c r="H1795" s="59" t="n">
        <v>2110405</v>
      </c>
      <c r="I1795" s="59" t="inlineStr">
        <is>
          <t>CONTAS A PAGAR</t>
        </is>
      </c>
      <c r="J1795" s="59" t="n">
        <v>1440211</v>
      </c>
      <c r="L1795" s="59" t="n">
        <v>592622</v>
      </c>
      <c r="M1795" s="59" t="inlineStr">
        <is>
          <t>01</t>
        </is>
      </c>
      <c r="N1795" s="59" t="inlineStr">
        <is>
          <t>AVU</t>
        </is>
      </c>
      <c r="P1795" s="59" t="n">
        <v>104</v>
      </c>
      <c r="Q1795" s="59" t="inlineStr">
        <is>
          <t>DEBORA COSTA</t>
        </is>
      </c>
      <c r="R1795" s="59" t="inlineStr">
        <is>
          <t>ESTOQUE DE MERCADORIAS</t>
        </is>
      </c>
      <c r="S1795" s="59" t="n">
        <v>1130101</v>
      </c>
      <c r="T1795" s="59" t="inlineStr">
        <is>
          <t>MERCADORIAS P/REVENDA</t>
        </is>
      </c>
      <c r="U1795" s="77" t="n">
        <v>868.36</v>
      </c>
      <c r="W1795" s="59" t="n">
        <v>868.36</v>
      </c>
      <c r="X1795" s="59" t="inlineStr">
        <is>
          <t>NF 194785 - DEBORA</t>
        </is>
      </c>
      <c r="Z1795" s="59">
        <f>IF($T1795="","",IFERROR(INDEX('Resumo Grupos'!$AC$3:$AC$200,MATCH($T1795,'Resumo Grupos'!$AB$3:$AB$200,0)),"n/d"))</f>
        <v/>
      </c>
      <c r="AA1795" s="59">
        <f>IF($T1795="","",IF(COUNTIF('Resumo Grupos'!$AE$3:$AE$40,$T1795)&gt;0,"NAO","SIM"))</f>
        <v/>
      </c>
    </row>
    <row r="1796" ht="12.75" customHeight="1" s="60">
      <c r="A1796" s="59" t="n">
        <v>1</v>
      </c>
      <c r="B1796" s="75" t="n">
        <v>46228</v>
      </c>
      <c r="C1796" s="75" t="n">
        <v>46241</v>
      </c>
      <c r="D1796" s="59" t="n">
        <v>1270</v>
      </c>
      <c r="E1796" s="59" t="inlineStr">
        <is>
          <t>J. S. MOREIRA ALVES LTDA</t>
        </is>
      </c>
      <c r="F1796" s="59" t="n">
        <v>24</v>
      </c>
      <c r="G1796" s="59" t="inlineStr">
        <is>
          <t>Compra a Prazo - Boletos</t>
        </is>
      </c>
      <c r="H1796" s="59" t="n">
        <v>2110405</v>
      </c>
      <c r="I1796" s="59" t="inlineStr">
        <is>
          <t>CONTAS A PAGAR</t>
        </is>
      </c>
      <c r="J1796" s="59" t="n">
        <v>1450031</v>
      </c>
      <c r="L1796" s="59" t="n">
        <v>2702</v>
      </c>
      <c r="M1796" s="59" t="inlineStr">
        <is>
          <t>01</t>
        </is>
      </c>
      <c r="N1796" s="59" t="inlineStr">
        <is>
          <t>AVU</t>
        </is>
      </c>
      <c r="P1796" s="59" t="n">
        <v>103</v>
      </c>
      <c r="Q1796" s="59" t="inlineStr">
        <is>
          <t>MILKA FRANCIS</t>
        </is>
      </c>
      <c r="R1796" s="59" t="inlineStr">
        <is>
          <t>ESTOQUE DE MERCADORIAS</t>
        </is>
      </c>
      <c r="S1796" s="59" t="n">
        <v>1130101</v>
      </c>
      <c r="T1796" s="59" t="inlineStr">
        <is>
          <t>MERCADORIAS P/REVENDA</t>
        </is>
      </c>
      <c r="U1796" s="77" t="n">
        <v>581.5</v>
      </c>
      <c r="W1796" s="59" t="n">
        <v>581.5</v>
      </c>
      <c r="X1796" s="59" t="inlineStr">
        <is>
          <t>NF 2702 MESA FARTA - MILKA</t>
        </is>
      </c>
      <c r="Z1796" s="59">
        <f>IF($T1796="","",IFERROR(INDEX('Resumo Grupos'!$AC$3:$AC$200,MATCH($T1796,'Resumo Grupos'!$AB$3:$AB$200,0)),"n/d"))</f>
        <v/>
      </c>
      <c r="AA1796" s="59">
        <f>IF($T1796="","",IF(COUNTIF('Resumo Grupos'!$AE$3:$AE$40,$T1796)&gt;0,"NAO","SIM"))</f>
        <v/>
      </c>
    </row>
    <row r="1797" ht="12.75" customHeight="1" s="60">
      <c r="A1797" s="59" t="n">
        <v>1</v>
      </c>
      <c r="B1797" s="75" t="n">
        <v>46228</v>
      </c>
      <c r="C1797" s="75" t="n">
        <v>46241</v>
      </c>
      <c r="D1797" s="59" t="n">
        <v>1657</v>
      </c>
      <c r="E1797" s="59" t="inlineStr">
        <is>
          <t>IRMÃOS LIMA  ATACADO  DE ALIMENTOS LTDA</t>
        </is>
      </c>
      <c r="F1797" s="59" t="n">
        <v>24</v>
      </c>
      <c r="G1797" s="59" t="inlineStr">
        <is>
          <t>Compra a Prazo - Boletos</t>
        </is>
      </c>
      <c r="H1797" s="59" t="n">
        <v>2110405</v>
      </c>
      <c r="I1797" s="59" t="inlineStr">
        <is>
          <t>CONTAS A PAGAR</t>
        </is>
      </c>
      <c r="J1797" s="59" t="n">
        <v>1450043</v>
      </c>
      <c r="L1797" s="59" t="n">
        <v>296100</v>
      </c>
      <c r="M1797" s="59" t="inlineStr">
        <is>
          <t>01</t>
        </is>
      </c>
      <c r="N1797" s="59" t="inlineStr">
        <is>
          <t>AVU</t>
        </is>
      </c>
      <c r="P1797" s="59" t="n">
        <v>103</v>
      </c>
      <c r="Q1797" s="59" t="inlineStr">
        <is>
          <t>MILKA FRANCIS</t>
        </is>
      </c>
      <c r="R1797" s="59" t="inlineStr">
        <is>
          <t>ESTOQUE DE MERCADORIAS</t>
        </is>
      </c>
      <c r="S1797" s="59" t="n">
        <v>1130101</v>
      </c>
      <c r="T1797" s="59" t="inlineStr">
        <is>
          <t>MERCADORIAS P/REVENDA</t>
        </is>
      </c>
      <c r="U1797" s="77" t="n">
        <v>925.97</v>
      </c>
      <c r="W1797" s="59" t="n">
        <v>925.97</v>
      </c>
      <c r="X1797" s="59" t="inlineStr">
        <is>
          <t>377101 -A/C  NF296100 - MILKA</t>
        </is>
      </c>
      <c r="Z1797" s="59">
        <f>IF($T1797="","",IFERROR(INDEX('Resumo Grupos'!$AC$3:$AC$200,MATCH($T1797,'Resumo Grupos'!$AB$3:$AB$200,0)),"n/d"))</f>
        <v/>
      </c>
      <c r="AA1797" s="59">
        <f>IF($T1797="","",IF(COUNTIF('Resumo Grupos'!$AE$3:$AE$40,$T1797)&gt;0,"NAO","SIM"))</f>
        <v/>
      </c>
    </row>
    <row r="1798" ht="12.75" customHeight="1" s="60">
      <c r="A1798" s="59" t="n">
        <v>1</v>
      </c>
      <c r="B1798" s="75" t="n">
        <v>46228</v>
      </c>
      <c r="C1798" s="75" t="n">
        <v>46241</v>
      </c>
      <c r="D1798" s="59" t="n">
        <v>1114</v>
      </c>
      <c r="E1798" s="59" t="inlineStr">
        <is>
          <t>NT INDUSTRIA E COMERCIO DE PANIFICACAO L</t>
        </is>
      </c>
      <c r="F1798" s="59" t="n">
        <v>24</v>
      </c>
      <c r="G1798" s="59" t="inlineStr">
        <is>
          <t>Compra a Prazo - Boletos</t>
        </is>
      </c>
      <c r="H1798" s="59" t="n">
        <v>2110405</v>
      </c>
      <c r="I1798" s="59" t="inlineStr">
        <is>
          <t>CONTAS A PAGAR</t>
        </is>
      </c>
      <c r="J1798" s="59" t="n">
        <v>1450174</v>
      </c>
      <c r="L1798" s="59" t="n">
        <v>41958</v>
      </c>
      <c r="M1798" s="59" t="inlineStr">
        <is>
          <t>01</t>
        </is>
      </c>
      <c r="N1798" s="59" t="inlineStr">
        <is>
          <t>AVU</t>
        </is>
      </c>
      <c r="P1798" s="59" t="n">
        <v>103</v>
      </c>
      <c r="Q1798" s="59" t="inlineStr">
        <is>
          <t>MILKA FRANCIS</t>
        </is>
      </c>
      <c r="R1798" s="59" t="inlineStr">
        <is>
          <t>ESTOQUE DE MERCADORIAS</t>
        </is>
      </c>
      <c r="S1798" s="59" t="n">
        <v>1130101</v>
      </c>
      <c r="T1798" s="59" t="inlineStr">
        <is>
          <t>MERCADORIAS P/REVENDA</t>
        </is>
      </c>
      <c r="U1798" s="77" t="n">
        <v>5054.39</v>
      </c>
      <c r="W1798" s="59" t="n">
        <v>5054.39</v>
      </c>
      <c r="X1798" s="59" t="inlineStr">
        <is>
          <t>NF 41958 - MILKA</t>
        </is>
      </c>
      <c r="Z1798" s="59">
        <f>IF($T1798="","",IFERROR(INDEX('Resumo Grupos'!$AC$3:$AC$200,MATCH($T1798,'Resumo Grupos'!$AB$3:$AB$200,0)),"n/d"))</f>
        <v/>
      </c>
      <c r="AA1798" s="59">
        <f>IF($T1798="","",IF(COUNTIF('Resumo Grupos'!$AE$3:$AE$40,$T1798)&gt;0,"NAO","SIM"))</f>
        <v/>
      </c>
    </row>
    <row r="1799" ht="12.75" customHeight="1" s="60">
      <c r="A1799" s="59" t="n">
        <v>1</v>
      </c>
      <c r="B1799" s="75" t="n">
        <v>46230</v>
      </c>
      <c r="C1799" s="75" t="n">
        <v>46241</v>
      </c>
      <c r="D1799" s="59" t="n">
        <v>1705</v>
      </c>
      <c r="E1799" s="59" t="inlineStr">
        <is>
          <t>BRASIL NORTE BEBIDAS S/A</t>
        </is>
      </c>
      <c r="F1799" s="59" t="n">
        <v>24</v>
      </c>
      <c r="G1799" s="59" t="inlineStr">
        <is>
          <t>Compra a Prazo - Boletos</t>
        </is>
      </c>
      <c r="H1799" s="59" t="n">
        <v>2110405</v>
      </c>
      <c r="I1799" s="59" t="inlineStr">
        <is>
          <t>CONTAS A PAGAR</t>
        </is>
      </c>
      <c r="J1799" s="59" t="n">
        <v>1457905</v>
      </c>
      <c r="L1799" s="59" t="n">
        <v>1951962</v>
      </c>
      <c r="M1799" s="59" t="inlineStr">
        <is>
          <t>01</t>
        </is>
      </c>
      <c r="N1799" s="59" t="inlineStr">
        <is>
          <t>AVU</t>
        </is>
      </c>
      <c r="P1799" s="59" t="n">
        <v>103</v>
      </c>
      <c r="Q1799" s="59" t="inlineStr">
        <is>
          <t>MILKA FRANCIS</t>
        </is>
      </c>
      <c r="R1799" s="59" t="inlineStr">
        <is>
          <t>ESTOQUE DE MERCADORIAS</t>
        </is>
      </c>
      <c r="S1799" s="59" t="n">
        <v>1130101</v>
      </c>
      <c r="T1799" s="59" t="inlineStr">
        <is>
          <t>MERCADORIAS P/REVENDA</t>
        </is>
      </c>
      <c r="U1799" s="77" t="n">
        <v>5518.6</v>
      </c>
      <c r="W1799" s="59" t="n">
        <v>5518.6</v>
      </c>
      <c r="X1799" s="59" t="inlineStr">
        <is>
          <t>NF 1951962 COCA - MILKA</t>
        </is>
      </c>
      <c r="Z1799" s="59">
        <f>IF($T1799="","",IFERROR(INDEX('Resumo Grupos'!$AC$3:$AC$200,MATCH($T1799,'Resumo Grupos'!$AB$3:$AB$200,0)),"n/d"))</f>
        <v/>
      </c>
      <c r="AA1799" s="59">
        <f>IF($T1799="","",IF(COUNTIF('Resumo Grupos'!$AE$3:$AE$40,$T1799)&gt;0,"NAO","SIM"))</f>
        <v/>
      </c>
    </row>
    <row r="1800" ht="12.75" customHeight="1" s="60">
      <c r="A1800" s="59" t="n">
        <v>1</v>
      </c>
      <c r="B1800" s="75" t="n">
        <v>46230</v>
      </c>
      <c r="C1800" s="75" t="n">
        <v>46241</v>
      </c>
      <c r="D1800" s="59" t="n">
        <v>1705</v>
      </c>
      <c r="E1800" s="59" t="inlineStr">
        <is>
          <t>BRASIL NORTE BEBIDAS S/A</t>
        </is>
      </c>
      <c r="F1800" s="59" t="n">
        <v>24</v>
      </c>
      <c r="G1800" s="59" t="inlineStr">
        <is>
          <t>Compra a Prazo - Boletos</t>
        </is>
      </c>
      <c r="H1800" s="59" t="n">
        <v>2110405</v>
      </c>
      <c r="I1800" s="59" t="inlineStr">
        <is>
          <t>CONTAS A PAGAR</t>
        </is>
      </c>
      <c r="J1800" s="59" t="n">
        <v>1458370</v>
      </c>
      <c r="L1800" s="59" t="n">
        <v>1217731</v>
      </c>
      <c r="M1800" s="59" t="inlineStr">
        <is>
          <t>01</t>
        </is>
      </c>
      <c r="N1800" s="59" t="inlineStr">
        <is>
          <t>AVU</t>
        </is>
      </c>
      <c r="P1800" s="59" t="n">
        <v>103</v>
      </c>
      <c r="Q1800" s="59" t="inlineStr">
        <is>
          <t>MILKA FRANCIS</t>
        </is>
      </c>
      <c r="R1800" s="59" t="inlineStr">
        <is>
          <t>ESTOQUE DE MERCADORIAS</t>
        </is>
      </c>
      <c r="S1800" s="59" t="n">
        <v>1130101</v>
      </c>
      <c r="T1800" s="59" t="inlineStr">
        <is>
          <t>MERCADORIAS P/REVENDA</t>
        </is>
      </c>
      <c r="U1800" s="77" t="n">
        <v>3459.51</v>
      </c>
      <c r="W1800" s="59" t="n">
        <v>3459.51</v>
      </c>
      <c r="X1800" s="59" t="inlineStr">
        <is>
          <t>NF 1217731 COCA - MILKA</t>
        </is>
      </c>
      <c r="Z1800" s="59">
        <f>IF($T1800="","",IFERROR(INDEX('Resumo Grupos'!$AC$3:$AC$200,MATCH($T1800,'Resumo Grupos'!$AB$3:$AB$200,0)),"n/d"))</f>
        <v/>
      </c>
      <c r="AA1800" s="59">
        <f>IF($T1800="","",IF(COUNTIF('Resumo Grupos'!$AE$3:$AE$40,$T1800)&gt;0,"NAO","SIM"))</f>
        <v/>
      </c>
    </row>
    <row r="1801" ht="12.75" customHeight="1" s="60">
      <c r="A1801" s="59" t="n">
        <v>1</v>
      </c>
      <c r="B1801" s="75" t="n">
        <v>46230</v>
      </c>
      <c r="C1801" s="75" t="n">
        <v>46241</v>
      </c>
      <c r="D1801" s="59" t="n">
        <v>1705</v>
      </c>
      <c r="E1801" s="59" t="inlineStr">
        <is>
          <t>BRASIL NORTE BEBIDAS S/A</t>
        </is>
      </c>
      <c r="F1801" s="59" t="n">
        <v>24</v>
      </c>
      <c r="G1801" s="59" t="inlineStr">
        <is>
          <t>Compra a Prazo - Boletos</t>
        </is>
      </c>
      <c r="H1801" s="59" t="n">
        <v>2110405</v>
      </c>
      <c r="I1801" s="59" t="inlineStr">
        <is>
          <t>CONTAS A PAGAR</t>
        </is>
      </c>
      <c r="J1801" s="59" t="n">
        <v>1458410</v>
      </c>
      <c r="L1801" s="59" t="n">
        <v>1216466</v>
      </c>
      <c r="M1801" s="59" t="inlineStr">
        <is>
          <t>01</t>
        </is>
      </c>
      <c r="N1801" s="59" t="inlineStr">
        <is>
          <t>AVU</t>
        </is>
      </c>
      <c r="P1801" s="59" t="n">
        <v>103</v>
      </c>
      <c r="Q1801" s="59" t="inlineStr">
        <is>
          <t>MILKA FRANCIS</t>
        </is>
      </c>
      <c r="R1801" s="59" t="inlineStr">
        <is>
          <t>ESTOQUE DE MERCADORIAS</t>
        </is>
      </c>
      <c r="S1801" s="59" t="n">
        <v>1130101</v>
      </c>
      <c r="T1801" s="59" t="inlineStr">
        <is>
          <t>MERCADORIAS P/REVENDA</t>
        </is>
      </c>
      <c r="U1801" s="77" t="n">
        <v>152.38</v>
      </c>
      <c r="W1801" s="59" t="n">
        <v>152.38</v>
      </c>
      <c r="X1801" s="59" t="inlineStr">
        <is>
          <t>NF 1216466 C/DESCONTO DO COMODATO - MILKA</t>
        </is>
      </c>
      <c r="Z1801" s="59">
        <f>IF($T1801="","",IFERROR(INDEX('Resumo Grupos'!$AC$3:$AC$200,MATCH($T1801,'Resumo Grupos'!$AB$3:$AB$200,0)),"n/d"))</f>
        <v/>
      </c>
      <c r="AA1801" s="59">
        <f>IF($T1801="","",IF(COUNTIF('Resumo Grupos'!$AE$3:$AE$40,$T1801)&gt;0,"NAO","SIM"))</f>
        <v/>
      </c>
    </row>
    <row r="1802" ht="12.75" customHeight="1" s="60">
      <c r="A1802" s="59" t="n">
        <v>1</v>
      </c>
      <c r="B1802" s="75" t="n">
        <v>46230</v>
      </c>
      <c r="C1802" s="75" t="n">
        <v>46241</v>
      </c>
      <c r="D1802" s="59" t="n">
        <v>1613</v>
      </c>
      <c r="E1802" s="59" t="inlineStr">
        <is>
          <t>BRF S A</t>
        </is>
      </c>
      <c r="F1802" s="59" t="n">
        <v>24</v>
      </c>
      <c r="G1802" s="59" t="inlineStr">
        <is>
          <t>Compra a Prazo - Boletos</t>
        </is>
      </c>
      <c r="H1802" s="59" t="n">
        <v>2110405</v>
      </c>
      <c r="I1802" s="59" t="inlineStr">
        <is>
          <t>CONTAS A PAGAR</t>
        </is>
      </c>
      <c r="J1802" s="59" t="n">
        <v>1460199</v>
      </c>
      <c r="L1802" s="59" t="n">
        <v>1611963</v>
      </c>
      <c r="M1802" s="59" t="inlineStr">
        <is>
          <t>01</t>
        </is>
      </c>
      <c r="N1802" s="59" t="inlineStr">
        <is>
          <t>AVU</t>
        </is>
      </c>
      <c r="P1802" s="59" t="n">
        <v>103</v>
      </c>
      <c r="Q1802" s="59" t="inlineStr">
        <is>
          <t>MILKA FRANCIS</t>
        </is>
      </c>
      <c r="R1802" s="59" t="inlineStr">
        <is>
          <t>ESTOQUE DE MERCADORIAS</t>
        </is>
      </c>
      <c r="S1802" s="59" t="n">
        <v>1130101</v>
      </c>
      <c r="T1802" s="59" t="inlineStr">
        <is>
          <t>MERCADORIAS P/REVENDA</t>
        </is>
      </c>
      <c r="U1802" s="77" t="n">
        <v>676.2</v>
      </c>
      <c r="W1802" s="59" t="n">
        <v>676.2</v>
      </c>
      <c r="X1802" s="59" t="inlineStr">
        <is>
          <t>NF 1611963 -01/02  MILKA</t>
        </is>
      </c>
      <c r="Z1802" s="59">
        <f>IF($T1802="","",IFERROR(INDEX('Resumo Grupos'!$AC$3:$AC$200,MATCH($T1802,'Resumo Grupos'!$AB$3:$AB$200,0)),"n/d"))</f>
        <v/>
      </c>
      <c r="AA1802" s="59">
        <f>IF($T1802="","",IF(COUNTIF('Resumo Grupos'!$AE$3:$AE$40,$T1802)&gt;0,"NAO","SIM"))</f>
        <v/>
      </c>
    </row>
    <row r="1803" ht="12.75" customHeight="1" s="60">
      <c r="A1803" s="59" t="n">
        <v>1</v>
      </c>
      <c r="B1803" s="75" t="n">
        <v>46232</v>
      </c>
      <c r="C1803" s="75" t="n">
        <v>46241</v>
      </c>
      <c r="D1803" s="59" t="n">
        <v>1723</v>
      </c>
      <c r="E1803" s="59" t="inlineStr">
        <is>
          <t>COMERCIO DE FRIOS MANAUS LTDA</t>
        </is>
      </c>
      <c r="F1803" s="59" t="n">
        <v>24</v>
      </c>
      <c r="G1803" s="59" t="inlineStr">
        <is>
          <t>Compra a Prazo - Boletos</t>
        </is>
      </c>
      <c r="H1803" s="59" t="n">
        <v>2110405</v>
      </c>
      <c r="I1803" s="59" t="inlineStr">
        <is>
          <t>CONTAS A PAGAR</t>
        </is>
      </c>
      <c r="J1803" s="59" t="n">
        <v>1469410</v>
      </c>
      <c r="L1803" s="59" t="n">
        <v>173886</v>
      </c>
      <c r="M1803" s="59" t="inlineStr">
        <is>
          <t>01</t>
        </is>
      </c>
      <c r="N1803" s="59" t="inlineStr">
        <is>
          <t>AVU</t>
        </is>
      </c>
      <c r="P1803" s="59" t="n">
        <v>103</v>
      </c>
      <c r="Q1803" s="59" t="inlineStr">
        <is>
          <t>MILKA FRANCIS</t>
        </is>
      </c>
      <c r="R1803" s="59" t="inlineStr">
        <is>
          <t>ESTOQUE DE MERCADORIAS</t>
        </is>
      </c>
      <c r="S1803" s="59" t="n">
        <v>1130101</v>
      </c>
      <c r="T1803" s="59" t="inlineStr">
        <is>
          <t>MERCADORIAS P/REVENDA</t>
        </is>
      </c>
      <c r="U1803" s="77" t="n">
        <v>5242.4</v>
      </c>
      <c r="W1803" s="59" t="n">
        <v>5242.4</v>
      </c>
      <c r="X1803" s="59" t="inlineStr">
        <is>
          <t>NF 173886 - MILKA</t>
        </is>
      </c>
      <c r="Z1803" s="59">
        <f>IF($T1803="","",IFERROR(INDEX('Resumo Grupos'!$AC$3:$AC$200,MATCH($T1803,'Resumo Grupos'!$AB$3:$AB$200,0)),"n/d"))</f>
        <v/>
      </c>
      <c r="AA1803" s="59">
        <f>IF($T1803="","",IF(COUNTIF('Resumo Grupos'!$AE$3:$AE$40,$T1803)&gt;0,"NAO","SIM"))</f>
        <v/>
      </c>
    </row>
    <row r="1804" ht="12.75" customHeight="1" s="60">
      <c r="A1804" s="59" t="n">
        <v>1</v>
      </c>
      <c r="B1804" s="75" t="n">
        <v>46234</v>
      </c>
      <c r="C1804" s="75" t="n">
        <v>46241</v>
      </c>
      <c r="D1804" s="59" t="n">
        <v>33</v>
      </c>
      <c r="E1804" s="59" t="inlineStr">
        <is>
          <t>RENATO DE O AZEVEDO E CIA LTDA - EPP</t>
        </is>
      </c>
      <c r="F1804" s="59" t="n">
        <v>34</v>
      </c>
      <c r="G1804" s="59" t="inlineStr">
        <is>
          <t>Transferencia Pix</t>
        </is>
      </c>
      <c r="H1804" s="59" t="n">
        <v>2110101</v>
      </c>
      <c r="I1804" s="59" t="inlineStr">
        <is>
          <t>FORNECEDORES DE MERCADORIA</t>
        </is>
      </c>
      <c r="J1804" s="59" t="n">
        <v>1478271</v>
      </c>
      <c r="L1804" s="59" t="n">
        <v>5400</v>
      </c>
      <c r="M1804" s="59" t="inlineStr">
        <is>
          <t>01</t>
        </is>
      </c>
      <c r="N1804" s="59" t="inlineStr">
        <is>
          <t>NFE</t>
        </is>
      </c>
      <c r="P1804" s="59" t="n">
        <v>103</v>
      </c>
      <c r="Q1804" s="59" t="inlineStr">
        <is>
          <t>MILKA FRANCIS</t>
        </is>
      </c>
      <c r="R1804" s="59" t="inlineStr">
        <is>
          <t>ESTOQUE DE MERCADORIAS</t>
        </is>
      </c>
      <c r="S1804" s="59" t="n">
        <v>1130101</v>
      </c>
      <c r="T1804" s="59" t="inlineStr">
        <is>
          <t>MERCADORIAS P/REVENDA</t>
        </is>
      </c>
      <c r="U1804" s="77" t="n">
        <v>1560</v>
      </c>
      <c r="W1804" s="59" t="n">
        <v>1560</v>
      </c>
      <c r="X1804" s="59" t="inlineStr">
        <is>
          <t>COMPRA FARINHA CRUZEIRO/ PGTO NO PIX P/ JOSE CLAUDIO CHAVE:92991326372</t>
        </is>
      </c>
      <c r="Z1804" s="59">
        <f>IF($T1804="","",IFERROR(INDEX('Resumo Grupos'!$AC$3:$AC$200,MATCH($T1804,'Resumo Grupos'!$AB$3:$AB$200,0)),"n/d"))</f>
        <v/>
      </c>
      <c r="AA1804" s="59">
        <f>IF($T1804="","",IF(COUNTIF('Resumo Grupos'!$AE$3:$AE$40,$T1804)&gt;0,"NAO","SIM"))</f>
        <v/>
      </c>
    </row>
    <row r="1805" ht="12.75" customHeight="1" s="60">
      <c r="A1805" s="59" t="n">
        <v>1</v>
      </c>
      <c r="B1805" s="75" t="n">
        <v>46235</v>
      </c>
      <c r="C1805" s="75" t="n">
        <v>46241</v>
      </c>
      <c r="D1805" s="59" t="n">
        <v>1642</v>
      </c>
      <c r="E1805" s="59" t="inlineStr">
        <is>
          <t>BROTHERS  INDUSTRIA DE ALIMENTOS LTDA</t>
        </is>
      </c>
      <c r="F1805" s="59" t="n">
        <v>24</v>
      </c>
      <c r="G1805" s="59" t="inlineStr">
        <is>
          <t>Compra a Prazo - Boletos</t>
        </is>
      </c>
      <c r="H1805" s="59" t="n">
        <v>2110405</v>
      </c>
      <c r="I1805" s="59" t="inlineStr">
        <is>
          <t>CONTAS A PAGAR</t>
        </is>
      </c>
      <c r="J1805" s="59" t="n">
        <v>1481798</v>
      </c>
      <c r="L1805" s="59" t="n">
        <v>1034623</v>
      </c>
      <c r="M1805" s="59" t="inlineStr">
        <is>
          <t>01</t>
        </is>
      </c>
      <c r="N1805" s="59" t="inlineStr">
        <is>
          <t>AVU</t>
        </is>
      </c>
      <c r="P1805" s="59" t="n">
        <v>103</v>
      </c>
      <c r="Q1805" s="59" t="inlineStr">
        <is>
          <t>MILKA FRANCIS</t>
        </is>
      </c>
      <c r="R1805" s="59" t="inlineStr">
        <is>
          <t>ESTOQUE DE MERCADORIAS</t>
        </is>
      </c>
      <c r="S1805" s="59" t="n">
        <v>1130101</v>
      </c>
      <c r="T1805" s="59" t="inlineStr">
        <is>
          <t>MERCADORIAS P/REVENDA</t>
        </is>
      </c>
      <c r="U1805" s="77" t="n">
        <v>556.5</v>
      </c>
      <c r="W1805" s="59" t="n">
        <v>556.5</v>
      </c>
      <c r="X1805" s="59" t="inlineStr">
        <is>
          <t>NF 1034623 - MILKA</t>
        </is>
      </c>
      <c r="Z1805" s="59">
        <f>IF($T1805="","",IFERROR(INDEX('Resumo Grupos'!$AC$3:$AC$200,MATCH($T1805,'Resumo Grupos'!$AB$3:$AB$200,0)),"n/d"))</f>
        <v/>
      </c>
      <c r="AA1805" s="59">
        <f>IF($T1805="","",IF(COUNTIF('Resumo Grupos'!$AE$3:$AE$40,$T1805)&gt;0,"NAO","SIM"))</f>
        <v/>
      </c>
    </row>
    <row r="1806" ht="12.75" customHeight="1" s="60">
      <c r="A1806" s="59" t="n">
        <v>1</v>
      </c>
      <c r="B1806" s="75" t="n">
        <v>46235</v>
      </c>
      <c r="C1806" s="75" t="n">
        <v>46241</v>
      </c>
      <c r="D1806" s="59" t="n">
        <v>1286</v>
      </c>
      <c r="E1806" s="59" t="inlineStr">
        <is>
          <t>VITAPAN COMERCIO VAREJISTA DE PRODUTOS ALIMENTICIOS LTDA</t>
        </is>
      </c>
      <c r="F1806" s="59" t="n">
        <v>24</v>
      </c>
      <c r="G1806" s="59" t="inlineStr">
        <is>
          <t>Compra a Prazo - Boletos</t>
        </is>
      </c>
      <c r="H1806" s="59" t="n">
        <v>2110405</v>
      </c>
      <c r="I1806" s="59" t="inlineStr">
        <is>
          <t>CONTAS A PAGAR</t>
        </is>
      </c>
      <c r="J1806" s="59" t="n">
        <v>1482229</v>
      </c>
      <c r="L1806" s="59" t="n">
        <v>10438</v>
      </c>
      <c r="M1806" s="59" t="inlineStr">
        <is>
          <t>01</t>
        </is>
      </c>
      <c r="N1806" s="59" t="inlineStr">
        <is>
          <t>AVU</t>
        </is>
      </c>
      <c r="P1806" s="59" t="n">
        <v>103</v>
      </c>
      <c r="Q1806" s="59" t="inlineStr">
        <is>
          <t>MILKA FRANCIS</t>
        </is>
      </c>
      <c r="R1806" s="59" t="inlineStr">
        <is>
          <t>ESTOQUE DE MERCADORIAS</t>
        </is>
      </c>
      <c r="S1806" s="59" t="n">
        <v>1130101</v>
      </c>
      <c r="T1806" s="59" t="inlineStr">
        <is>
          <t>MERCADORIAS P/REVENDA</t>
        </is>
      </c>
      <c r="U1806" s="77" t="n">
        <v>1026</v>
      </c>
      <c r="W1806" s="59" t="n">
        <v>1026</v>
      </c>
      <c r="X1806" s="59" t="inlineStr">
        <is>
          <t>NF 10438 - MILKA</t>
        </is>
      </c>
      <c r="Z1806" s="59">
        <f>IF($T1806="","",IFERROR(INDEX('Resumo Grupos'!$AC$3:$AC$200,MATCH($T1806,'Resumo Grupos'!$AB$3:$AB$200,0)),"n/d"))</f>
        <v/>
      </c>
      <c r="AA1806" s="59">
        <f>IF($T1806="","",IF(COUNTIF('Resumo Grupos'!$AE$3:$AE$40,$T1806)&gt;0,"NAO","SIM"))</f>
        <v/>
      </c>
    </row>
    <row r="1807" ht="12.75" customHeight="1" s="60">
      <c r="A1807" s="59" t="n">
        <v>1</v>
      </c>
      <c r="B1807" s="75" t="n">
        <v>46241</v>
      </c>
      <c r="C1807" s="75" t="n">
        <v>46241</v>
      </c>
      <c r="D1807" s="59" t="n">
        <v>17</v>
      </c>
      <c r="E1807" s="59" t="inlineStr">
        <is>
          <t>NEYLIANE SILVA DE OLIVEIRA</t>
        </is>
      </c>
      <c r="F1807" s="59" t="n">
        <v>34</v>
      </c>
      <c r="G1807" s="59" t="inlineStr">
        <is>
          <t>Transferencia Pix</t>
        </is>
      </c>
      <c r="H1807" s="59" t="n">
        <v>2110405</v>
      </c>
      <c r="I1807" s="59" t="inlineStr">
        <is>
          <t>CONTAS A PAGAR</t>
        </is>
      </c>
      <c r="J1807" s="59" t="n">
        <v>1512942</v>
      </c>
      <c r="L1807" s="59" t="n">
        <v>619809</v>
      </c>
      <c r="M1807" s="59" t="inlineStr">
        <is>
          <t>01</t>
        </is>
      </c>
      <c r="N1807" s="59" t="inlineStr">
        <is>
          <t>AVU</t>
        </is>
      </c>
      <c r="P1807" s="59" t="n">
        <v>101</v>
      </c>
      <c r="Q1807" s="59" t="inlineStr">
        <is>
          <t>KEILA LIMA</t>
        </is>
      </c>
      <c r="R1807" s="59" t="inlineStr">
        <is>
          <t>DESPESAS NAO OPERACIONAIS</t>
        </is>
      </c>
      <c r="S1807" s="59" t="n">
        <v>4220199</v>
      </c>
      <c r="T1807" s="59" t="inlineStr">
        <is>
          <t>PAGAMENTOS OUTROS NAO OPERACIONAIS</t>
        </is>
      </c>
      <c r="U1807" s="77" t="n">
        <v>150</v>
      </c>
      <c r="W1807" s="59" t="n">
        <v>150</v>
      </c>
      <c r="X1807" s="59" t="inlineStr">
        <is>
          <t>PL NEILA MENS 07/26 CONTADOR KAMILLA - KEILA</t>
        </is>
      </c>
      <c r="Z1807" s="59">
        <f>IF($T1807="","",IFERROR(INDEX('Resumo Grupos'!$AC$3:$AC$200,MATCH($T1807,'Resumo Grupos'!$AB$3:$AB$200,0)),"n/d"))</f>
        <v/>
      </c>
      <c r="AA1807" s="59">
        <f>IF($T1807="","",IF(COUNTIF('Resumo Grupos'!$AE$3:$AE$40,$T1807)&gt;0,"NAO","SIM"))</f>
        <v/>
      </c>
    </row>
    <row r="1808" ht="12.75" customHeight="1" s="60">
      <c r="A1808" s="59" t="n">
        <v>1</v>
      </c>
      <c r="B1808" s="75" t="n">
        <v>46237</v>
      </c>
      <c r="C1808" s="75" t="n">
        <v>46241</v>
      </c>
      <c r="D1808" s="59" t="n">
        <v>1899</v>
      </c>
      <c r="E1808" s="59" t="inlineStr">
        <is>
          <t>PANIFICADORA E CONFEITARIA REAL MADRI LTDA</t>
        </is>
      </c>
      <c r="F1808" s="59" t="n">
        <v>24</v>
      </c>
      <c r="G1808" s="59" t="inlineStr">
        <is>
          <t>Compra a Prazo - Boletos</t>
        </is>
      </c>
      <c r="H1808" s="59" t="n">
        <v>2110405</v>
      </c>
      <c r="I1808" s="59" t="inlineStr">
        <is>
          <t>CONTAS A PAGAR</t>
        </is>
      </c>
      <c r="J1808" s="59" t="n">
        <v>1495710</v>
      </c>
      <c r="L1808" s="59" t="n">
        <v>741</v>
      </c>
      <c r="M1808" s="59" t="inlineStr">
        <is>
          <t>01</t>
        </is>
      </c>
      <c r="N1808" s="59" t="inlineStr">
        <is>
          <t>AVU</t>
        </is>
      </c>
      <c r="P1808" s="59" t="n">
        <v>103</v>
      </c>
      <c r="Q1808" s="59" t="inlineStr">
        <is>
          <t>MILKA FRANCIS</t>
        </is>
      </c>
      <c r="R1808" s="59" t="inlineStr">
        <is>
          <t>ESTOQUE DE MERCADORIAS</t>
        </is>
      </c>
      <c r="S1808" s="59" t="n">
        <v>1130101</v>
      </c>
      <c r="T1808" s="59" t="inlineStr">
        <is>
          <t>MERCADORIAS P/REVENDA</t>
        </is>
      </c>
      <c r="U1808" s="77" t="n">
        <v>700</v>
      </c>
      <c r="W1808" s="59" t="n">
        <v>700</v>
      </c>
      <c r="X1808" s="59" t="inlineStr">
        <is>
          <t>NF 741 - MILKA</t>
        </is>
      </c>
      <c r="Z1808" s="59">
        <f>IF($T1808="","",IFERROR(INDEX('Resumo Grupos'!$AC$3:$AC$200,MATCH($T1808,'Resumo Grupos'!$AB$3:$AB$200,0)),"n/d"))</f>
        <v/>
      </c>
      <c r="AA1808" s="59">
        <f>IF($T1808="","",IF(COUNTIF('Resumo Grupos'!$AE$3:$AE$40,$T1808)&gt;0,"NAO","SIM"))</f>
        <v/>
      </c>
    </row>
    <row r="1809" ht="12.75" customHeight="1" s="60">
      <c r="A1809" s="59" t="n">
        <v>1</v>
      </c>
      <c r="B1809" s="75" t="n">
        <v>46237</v>
      </c>
      <c r="C1809" s="75" t="n">
        <v>46241</v>
      </c>
      <c r="D1809" s="59" t="n">
        <v>1899</v>
      </c>
      <c r="E1809" s="59" t="inlineStr">
        <is>
          <t>PANIFICADORA E CONFEITARIA REAL MADRI LTDA</t>
        </is>
      </c>
      <c r="F1809" s="59" t="n">
        <v>24</v>
      </c>
      <c r="G1809" s="59" t="inlineStr">
        <is>
          <t>Compra a Prazo - Boletos</t>
        </is>
      </c>
      <c r="H1809" s="59" t="n">
        <v>2110405</v>
      </c>
      <c r="I1809" s="59" t="inlineStr">
        <is>
          <t>CONTAS A PAGAR</t>
        </is>
      </c>
      <c r="J1809" s="59" t="n">
        <v>1495726</v>
      </c>
      <c r="L1809" s="59" t="n">
        <v>742</v>
      </c>
      <c r="M1809" s="59" t="inlineStr">
        <is>
          <t>01</t>
        </is>
      </c>
      <c r="N1809" s="59" t="inlineStr">
        <is>
          <t>AVU</t>
        </is>
      </c>
      <c r="P1809" s="59" t="n">
        <v>103</v>
      </c>
      <c r="Q1809" s="59" t="inlineStr">
        <is>
          <t>MILKA FRANCIS</t>
        </is>
      </c>
      <c r="R1809" s="59" t="inlineStr">
        <is>
          <t>ESTOQUE DE MERCADORIAS</t>
        </is>
      </c>
      <c r="S1809" s="59" t="n">
        <v>1130101</v>
      </c>
      <c r="T1809" s="59" t="inlineStr">
        <is>
          <t>MERCADORIAS P/REVENDA</t>
        </is>
      </c>
      <c r="U1809" s="77" t="n">
        <v>474.5</v>
      </c>
      <c r="W1809" s="59" t="n">
        <v>474.5</v>
      </c>
      <c r="X1809" s="59" t="inlineStr">
        <is>
          <t>NF 742 - MILKA</t>
        </is>
      </c>
      <c r="Z1809" s="59">
        <f>IF($T1809="","",IFERROR(INDEX('Resumo Grupos'!$AC$3:$AC$200,MATCH($T1809,'Resumo Grupos'!$AB$3:$AB$200,0)),"n/d"))</f>
        <v/>
      </c>
      <c r="AA1809" s="59">
        <f>IF($T1809="","",IF(COUNTIF('Resumo Grupos'!$AE$3:$AE$40,$T1809)&gt;0,"NAO","SIM"))</f>
        <v/>
      </c>
    </row>
    <row r="1810" ht="12.75" customHeight="1" s="60">
      <c r="A1810" s="59" t="n">
        <v>1</v>
      </c>
      <c r="B1810" s="75" t="n">
        <v>46241</v>
      </c>
      <c r="C1810" s="75" t="n">
        <v>46241</v>
      </c>
      <c r="D1810" s="59" t="n">
        <v>1195</v>
      </c>
      <c r="E1810" s="59" t="inlineStr">
        <is>
          <t>PLURAL GEST EM P DE SAUDE LTDA</t>
        </is>
      </c>
      <c r="F1810" s="59" t="n">
        <v>24</v>
      </c>
      <c r="G1810" s="59" t="inlineStr">
        <is>
          <t>Compra a Prazo - Boletos</t>
        </is>
      </c>
      <c r="H1810" s="59" t="n">
        <v>2110405</v>
      </c>
      <c r="I1810" s="59" t="inlineStr">
        <is>
          <t>CONTAS A PAGAR</t>
        </is>
      </c>
      <c r="J1810" s="59" t="n">
        <v>1152372</v>
      </c>
      <c r="L1810" s="59" t="n">
        <v>480964</v>
      </c>
      <c r="M1810" s="59" t="inlineStr">
        <is>
          <t>02</t>
        </is>
      </c>
      <c r="N1810" s="59" t="inlineStr">
        <is>
          <t>AVU</t>
        </is>
      </c>
      <c r="P1810" s="59" t="n">
        <v>102</v>
      </c>
      <c r="Q1810" s="59" t="inlineStr">
        <is>
          <t>ANDREZA ANDRADE</t>
        </is>
      </c>
      <c r="R1810" s="59" t="inlineStr">
        <is>
          <t>DESPESAS COM PESSOAL</t>
        </is>
      </c>
      <c r="S1810" s="59" t="n">
        <v>4210311</v>
      </c>
      <c r="T1810" s="59" t="inlineStr">
        <is>
          <t>PLANOS DE SAUDE</t>
        </is>
      </c>
      <c r="U1810" s="77" t="n">
        <v>3001.44</v>
      </c>
      <c r="W1810" s="59" t="n">
        <v>3001.44</v>
      </c>
      <c r="X1810" s="59" t="inlineStr">
        <is>
          <t xml:space="preserve">PLANO DE SAUDE - KEILA ELIANA HELIO THAIRINE DAVID </t>
        </is>
      </c>
      <c r="Z1810" s="59">
        <f>IF($T1810="","",IFERROR(INDEX('Resumo Grupos'!$AC$3:$AC$200,MATCH($T1810,'Resumo Grupos'!$AB$3:$AB$200,0)),"n/d"))</f>
        <v/>
      </c>
      <c r="AA1810" s="59">
        <f>IF($T1810="","",IF(COUNTIF('Resumo Grupos'!$AE$3:$AE$40,$T1810)&gt;0,"NAO","SIM"))</f>
        <v/>
      </c>
    </row>
    <row r="1811" ht="12.75" customHeight="1" s="60">
      <c r="A1811" s="59" t="n">
        <v>1</v>
      </c>
      <c r="B1811" s="75" t="n">
        <v>46241</v>
      </c>
      <c r="C1811" s="75" t="n">
        <v>46241</v>
      </c>
      <c r="D1811" s="59" t="n">
        <v>1000001</v>
      </c>
      <c r="E1811" s="59" t="inlineStr">
        <is>
          <t>CISS CONSULTORIA EM INFORMATICA, SERVICOS E SOFTWARE S/A</t>
        </is>
      </c>
      <c r="F1811" s="59" t="n">
        <v>24</v>
      </c>
      <c r="G1811" s="59" t="inlineStr">
        <is>
          <t>Compra a Prazo - Boletos</t>
        </is>
      </c>
      <c r="H1811" s="59" t="n">
        <v>2110405</v>
      </c>
      <c r="I1811" s="59" t="inlineStr">
        <is>
          <t>CONTAS A PAGAR</t>
        </is>
      </c>
      <c r="J1811" s="59" t="n">
        <v>1463045</v>
      </c>
      <c r="L1811" s="59" t="n">
        <v>601783</v>
      </c>
      <c r="M1811" s="59" t="inlineStr">
        <is>
          <t>02</t>
        </is>
      </c>
      <c r="N1811" s="59" t="inlineStr">
        <is>
          <t>AVU</t>
        </is>
      </c>
      <c r="P1811" s="59" t="n">
        <v>102</v>
      </c>
      <c r="Q1811" s="59" t="inlineStr">
        <is>
          <t>ANDREZA ANDRADE</t>
        </is>
      </c>
      <c r="R1811" s="59" t="inlineStr">
        <is>
          <t>DESPESAS NAO OPERACIONAIS</t>
        </is>
      </c>
      <c r="S1811" s="59" t="n">
        <v>4220199</v>
      </c>
      <c r="T1811" s="59" t="inlineStr">
        <is>
          <t>PAGAMENTOS OUTROS NAO OPERACIONAIS</t>
        </is>
      </c>
      <c r="U1811" s="77" t="n">
        <v>2413.98</v>
      </c>
      <c r="W1811" s="59" t="n">
        <v>2413.98</v>
      </c>
      <c r="X1811" s="59" t="inlineStr">
        <is>
          <t>mensalidade sistema ciss lojas -andreza</t>
        </is>
      </c>
      <c r="Z1811" s="59">
        <f>IF($T1811="","",IFERROR(INDEX('Resumo Grupos'!$AC$3:$AC$200,MATCH($T1811,'Resumo Grupos'!$AB$3:$AB$200,0)),"n/d"))</f>
        <v/>
      </c>
      <c r="AA1811" s="59">
        <f>IF($T1811="","",IF(COUNTIF('Resumo Grupos'!$AE$3:$AE$40,$T1811)&gt;0,"NAO","SIM"))</f>
        <v/>
      </c>
    </row>
    <row r="1812" ht="12.75" customHeight="1" s="60">
      <c r="A1812" s="59" t="n">
        <v>1</v>
      </c>
      <c r="B1812" s="75" t="n">
        <v>46241</v>
      </c>
      <c r="C1812" s="75" t="n">
        <v>46241</v>
      </c>
      <c r="D1812" s="59" t="n">
        <v>1779</v>
      </c>
      <c r="E1812" s="59" t="inlineStr">
        <is>
          <t>BANCO DO BRASIL SA</t>
        </is>
      </c>
      <c r="F1812" s="59" t="n">
        <v>34</v>
      </c>
      <c r="G1812" s="59" t="inlineStr">
        <is>
          <t>Transferencia Pix</t>
        </is>
      </c>
      <c r="H1812" s="59" t="n">
        <v>2110405</v>
      </c>
      <c r="I1812" s="59" t="inlineStr">
        <is>
          <t>CONTAS A PAGAR</t>
        </is>
      </c>
      <c r="J1812" s="59" t="n">
        <v>1513472</v>
      </c>
      <c r="L1812" s="59" t="n">
        <v>619925</v>
      </c>
      <c r="M1812" s="59" t="inlineStr">
        <is>
          <t>01</t>
        </is>
      </c>
      <c r="N1812" s="59" t="inlineStr">
        <is>
          <t>AVU</t>
        </is>
      </c>
      <c r="P1812" s="59" t="n">
        <v>102</v>
      </c>
      <c r="Q1812" s="59" t="inlineStr">
        <is>
          <t>ANDREZA ANDRADE</t>
        </is>
      </c>
      <c r="R1812" s="59" t="inlineStr">
        <is>
          <t>DESPESAS FINANCEIRAS</t>
        </is>
      </c>
      <c r="S1812" s="59" t="n">
        <v>4210504</v>
      </c>
      <c r="T1812" s="59" t="inlineStr">
        <is>
          <t>DESPESAS BANCARIAS</t>
        </is>
      </c>
      <c r="U1812" s="77" t="n">
        <v>93.09999999999999</v>
      </c>
      <c r="W1812" s="59" t="n">
        <v>0</v>
      </c>
      <c r="X1812" s="59" t="inlineStr">
        <is>
          <t>DESPESA TAR PACOTE SERVIÇOS BB 1VELHO-ANDREZA</t>
        </is>
      </c>
      <c r="Z1812" s="59">
        <f>IF($T1812="","",IFERROR(INDEX('Resumo Grupos'!$AC$3:$AC$200,MATCH($T1812,'Resumo Grupos'!$AB$3:$AB$200,0)),"n/d"))</f>
        <v/>
      </c>
      <c r="AA1812" s="59">
        <f>IF($T1812="","",IF(COUNTIF('Resumo Grupos'!$AE$3:$AE$40,$T1812)&gt;0,"NAO","SIM"))</f>
        <v/>
      </c>
    </row>
    <row r="1813" ht="12.75" customHeight="1" s="60">
      <c r="A1813" s="59" t="n">
        <v>1</v>
      </c>
      <c r="B1813" s="75" t="n">
        <v>46241</v>
      </c>
      <c r="C1813" s="75" t="n">
        <v>46241</v>
      </c>
      <c r="D1813" s="59" t="n">
        <v>515</v>
      </c>
      <c r="E1813" s="59" t="inlineStr">
        <is>
          <t>ITAU SA</t>
        </is>
      </c>
      <c r="F1813" s="59" t="n">
        <v>34</v>
      </c>
      <c r="G1813" s="59" t="inlineStr">
        <is>
          <t>Transferencia Pix</t>
        </is>
      </c>
      <c r="H1813" s="59" t="n">
        <v>2110405</v>
      </c>
      <c r="I1813" s="59" t="inlineStr">
        <is>
          <t>CONTAS A PAGAR</t>
        </is>
      </c>
      <c r="J1813" s="59" t="n">
        <v>1513478</v>
      </c>
      <c r="L1813" s="59" t="n">
        <v>619928</v>
      </c>
      <c r="M1813" s="59" t="inlineStr">
        <is>
          <t>01</t>
        </is>
      </c>
      <c r="N1813" s="59" t="inlineStr">
        <is>
          <t>AVU</t>
        </is>
      </c>
      <c r="P1813" s="59" t="n">
        <v>102</v>
      </c>
      <c r="Q1813" s="59" t="inlineStr">
        <is>
          <t>ANDREZA ANDRADE</t>
        </is>
      </c>
      <c r="R1813" s="59" t="inlineStr">
        <is>
          <t>DESPESAS NAO OPERACIONAIS</t>
        </is>
      </c>
      <c r="S1813" s="59" t="n">
        <v>4220199</v>
      </c>
      <c r="T1813" s="59" t="inlineStr">
        <is>
          <t>PAGAMENTOS OUTROS NAO OPERACIONAIS</t>
        </is>
      </c>
      <c r="U1813" s="77" t="n">
        <v>100</v>
      </c>
      <c r="W1813" s="59" t="n">
        <v>100</v>
      </c>
      <c r="X1813" s="59" t="inlineStr">
        <is>
          <t>COBERTURA DE CONTAS BB 1 VELHO-ANDREZA</t>
        </is>
      </c>
      <c r="Z1813" s="59">
        <f>IF($T1813="","",IFERROR(INDEX('Resumo Grupos'!$AC$3:$AC$200,MATCH($T1813,'Resumo Grupos'!$AB$3:$AB$200,0)),"n/d"))</f>
        <v/>
      </c>
      <c r="AA1813" s="59">
        <f>IF($T1813="","",IF(COUNTIF('Resumo Grupos'!$AE$3:$AE$40,$T1813)&gt;0,"NAO","SIM"))</f>
        <v/>
      </c>
    </row>
    <row r="1814" ht="12.75" customHeight="1" s="60">
      <c r="A1814" s="59" t="n">
        <v>1</v>
      </c>
      <c r="B1814" s="75" t="n">
        <v>46241</v>
      </c>
      <c r="C1814" s="75" t="n">
        <v>46241</v>
      </c>
      <c r="D1814" s="59" t="n">
        <v>17</v>
      </c>
      <c r="E1814" s="59" t="inlineStr">
        <is>
          <t>NEYLIANE SILVA DE OLIVEIRA</t>
        </is>
      </c>
      <c r="F1814" s="59" t="n">
        <v>34</v>
      </c>
      <c r="G1814" s="59" t="inlineStr">
        <is>
          <t>Transferencia Pix</t>
        </is>
      </c>
      <c r="H1814" s="59" t="n">
        <v>2110405</v>
      </c>
      <c r="I1814" s="59" t="inlineStr">
        <is>
          <t>CONTAS A PAGAR</t>
        </is>
      </c>
      <c r="J1814" s="59" t="n">
        <v>1514377</v>
      </c>
      <c r="L1814" s="59" t="n">
        <v>620132</v>
      </c>
      <c r="M1814" s="59" t="inlineStr">
        <is>
          <t>01</t>
        </is>
      </c>
      <c r="N1814" s="59" t="inlineStr">
        <is>
          <t>AVU</t>
        </is>
      </c>
      <c r="P1814" s="59" t="n">
        <v>101</v>
      </c>
      <c r="Q1814" s="59" t="inlineStr">
        <is>
          <t>KEILA LIMA</t>
        </is>
      </c>
      <c r="R1814" s="59" t="inlineStr">
        <is>
          <t>DESPESAS NAO OPERACIONAIS</t>
        </is>
      </c>
      <c r="S1814" s="59" t="n">
        <v>4220199</v>
      </c>
      <c r="T1814" s="59" t="inlineStr">
        <is>
          <t>PAGAMENTOS OUTROS NAO OPERACIONAIS</t>
        </is>
      </c>
      <c r="U1814" s="77" t="n">
        <v>1303.99</v>
      </c>
      <c r="W1814" s="59" t="n">
        <v>1303.99</v>
      </c>
      <c r="X1814" s="59" t="inlineStr">
        <is>
          <t>P NELA E RENATO SAL SALARIO ARLETE</t>
        </is>
      </c>
      <c r="Z1814" s="59">
        <f>IF($T1814="","",IFERROR(INDEX('Resumo Grupos'!$AC$3:$AC$200,MATCH($T1814,'Resumo Grupos'!$AB$3:$AB$200,0)),"n/d"))</f>
        <v/>
      </c>
      <c r="AA1814" s="59">
        <f>IF($T1814="","",IF(COUNTIF('Resumo Grupos'!$AE$3:$AE$40,$T1814)&gt;0,"NAO","SIM"))</f>
        <v/>
      </c>
    </row>
    <row r="1815" ht="12.75" customHeight="1" s="60">
      <c r="A1815" s="59" t="n">
        <v>1</v>
      </c>
      <c r="B1815" s="75" t="n">
        <v>46241</v>
      </c>
      <c r="C1815" s="75" t="n">
        <v>46241</v>
      </c>
      <c r="D1815" s="59" t="n">
        <v>33</v>
      </c>
      <c r="E1815" s="59" t="inlineStr">
        <is>
          <t>RENATO DE O AZEVEDO E CIA LTDA - EPP</t>
        </is>
      </c>
      <c r="F1815" s="59" t="n">
        <v>34</v>
      </c>
      <c r="G1815" s="59" t="inlineStr">
        <is>
          <t>Transferencia Pix</t>
        </is>
      </c>
      <c r="H1815" s="59" t="n">
        <v>2110101</v>
      </c>
      <c r="I1815" s="59" t="inlineStr">
        <is>
          <t>FORNECEDORES DE MERCADORIA</t>
        </is>
      </c>
      <c r="J1815" s="59" t="n">
        <v>1514611</v>
      </c>
      <c r="L1815" s="59" t="n">
        <v>5453</v>
      </c>
      <c r="M1815" s="59" t="inlineStr">
        <is>
          <t>01</t>
        </is>
      </c>
      <c r="N1815" s="59" t="inlineStr">
        <is>
          <t>NFE</t>
        </is>
      </c>
      <c r="P1815" s="59" t="n">
        <v>104</v>
      </c>
      <c r="Q1815" s="59" t="inlineStr">
        <is>
          <t>DEBORA COSTA</t>
        </is>
      </c>
      <c r="R1815" s="59" t="inlineStr">
        <is>
          <t>ESTOQUE DE MERCADORIAS</t>
        </is>
      </c>
      <c r="S1815" s="59" t="n">
        <v>1130101</v>
      </c>
      <c r="T1815" s="59" t="inlineStr">
        <is>
          <t>MERCADORIAS P/REVENDA</t>
        </is>
      </c>
      <c r="U1815" s="77" t="n">
        <v>3404</v>
      </c>
      <c r="W1815" s="59" t="n">
        <v>3404</v>
      </c>
      <c r="X1815" s="59" t="inlineStr">
        <is>
          <t>FEIRA SR RENATO - DEBORA</t>
        </is>
      </c>
      <c r="Z1815" s="59">
        <f>IF($T1815="","",IFERROR(INDEX('Resumo Grupos'!$AC$3:$AC$200,MATCH($T1815,'Resumo Grupos'!$AB$3:$AB$200,0)),"n/d"))</f>
        <v/>
      </c>
      <c r="AA1815" s="59">
        <f>IF($T1815="","",IF(COUNTIF('Resumo Grupos'!$AE$3:$AE$40,$T1815)&gt;0,"NAO","SIM"))</f>
        <v/>
      </c>
    </row>
    <row r="1816" ht="12.75" customHeight="1" s="60">
      <c r="A1816" s="59" t="n">
        <v>1</v>
      </c>
      <c r="B1816" s="75" t="n">
        <v>46241</v>
      </c>
      <c r="C1816" s="75" t="n">
        <v>46241</v>
      </c>
      <c r="D1816" s="59" t="n">
        <v>33</v>
      </c>
      <c r="E1816" s="59" t="inlineStr">
        <is>
          <t>RENATO DE O AZEVEDO E CIA LTDA - EPP</t>
        </is>
      </c>
      <c r="F1816" s="59" t="n">
        <v>34</v>
      </c>
      <c r="G1816" s="59" t="inlineStr">
        <is>
          <t>Transferencia Pix</t>
        </is>
      </c>
      <c r="H1816" s="59" t="n">
        <v>2110101</v>
      </c>
      <c r="I1816" s="59" t="inlineStr">
        <is>
          <t>FORNECEDORES DE MERCADORIA</t>
        </is>
      </c>
      <c r="J1816" s="59" t="n">
        <v>1514687</v>
      </c>
      <c r="L1816" s="59" t="n">
        <v>5454</v>
      </c>
      <c r="M1816" s="59" t="inlineStr">
        <is>
          <t>01</t>
        </is>
      </c>
      <c r="N1816" s="59" t="inlineStr">
        <is>
          <t>NFE</t>
        </is>
      </c>
      <c r="P1816" s="59" t="n">
        <v>104</v>
      </c>
      <c r="Q1816" s="59" t="inlineStr">
        <is>
          <t>DEBORA COSTA</t>
        </is>
      </c>
      <c r="R1816" s="59" t="inlineStr">
        <is>
          <t>ESTOQUE DE MERCADORIAS</t>
        </is>
      </c>
      <c r="S1816" s="59" t="n">
        <v>1130101</v>
      </c>
      <c r="T1816" s="59" t="inlineStr">
        <is>
          <t>MERCADORIAS P/REVENDA</t>
        </is>
      </c>
      <c r="U1816" s="77" t="n">
        <v>830</v>
      </c>
      <c r="W1816" s="59" t="n">
        <v>830</v>
      </c>
      <c r="X1816" s="59" t="inlineStr">
        <is>
          <t>NOTA PROPRIA - PIX P/ M M COMERCIO ATACADISTA DE FRUTAS LTDA - DEBORA</t>
        </is>
      </c>
      <c r="Z1816" s="59">
        <f>IF($T1816="","",IFERROR(INDEX('Resumo Grupos'!$AC$3:$AC$200,MATCH($T1816,'Resumo Grupos'!$AB$3:$AB$200,0)),"n/d"))</f>
        <v/>
      </c>
      <c r="AA1816" s="59">
        <f>IF($T1816="","",IF(COUNTIF('Resumo Grupos'!$AE$3:$AE$40,$T1816)&gt;0,"NAO","SIM"))</f>
        <v/>
      </c>
    </row>
    <row r="1817" ht="12.75" customHeight="1" s="60">
      <c r="A1817" s="59" t="n">
        <v>1</v>
      </c>
      <c r="B1817" s="75" t="n">
        <v>46241</v>
      </c>
      <c r="C1817" s="75" t="n">
        <v>46241</v>
      </c>
      <c r="D1817" s="59" t="n">
        <v>10096</v>
      </c>
      <c r="E1817" s="59" t="inlineStr">
        <is>
          <t>H L M PADARIA E CONFEITARIA LTDA</t>
        </is>
      </c>
      <c r="F1817" s="59" t="n">
        <v>13</v>
      </c>
      <c r="G1817" s="59" t="inlineStr">
        <is>
          <t>Compra a Vista</t>
        </is>
      </c>
      <c r="H1817" s="59" t="n">
        <v>2110101</v>
      </c>
      <c r="I1817" s="59" t="inlineStr">
        <is>
          <t>FORNECEDORES DE MERCADORIA</t>
        </is>
      </c>
      <c r="J1817" s="59" t="n">
        <v>1515613</v>
      </c>
      <c r="L1817" s="59" t="n">
        <v>131</v>
      </c>
      <c r="M1817" s="59" t="inlineStr">
        <is>
          <t>01</t>
        </is>
      </c>
      <c r="N1817" s="59" t="inlineStr">
        <is>
          <t>NFE</t>
        </is>
      </c>
      <c r="P1817" s="59" t="n">
        <v>104</v>
      </c>
      <c r="Q1817" s="59" t="inlineStr">
        <is>
          <t>DEBORA COSTA</t>
        </is>
      </c>
      <c r="R1817" s="59" t="inlineStr">
        <is>
          <t>ESTOQUE DE MERCADORIAS</t>
        </is>
      </c>
      <c r="S1817" s="59" t="n">
        <v>1130101</v>
      </c>
      <c r="T1817" s="59" t="inlineStr">
        <is>
          <t>MERCADORIAS P/REVENDA</t>
        </is>
      </c>
      <c r="U1817" s="77" t="n">
        <v>420</v>
      </c>
      <c r="W1817" s="59" t="n">
        <v>0</v>
      </c>
      <c r="X1817" s="59" t="inlineStr">
        <is>
          <t>NF 131 - DEBORA</t>
        </is>
      </c>
      <c r="Z1817" s="59">
        <f>IF($T1817="","",IFERROR(INDEX('Resumo Grupos'!$AC$3:$AC$200,MATCH($T1817,'Resumo Grupos'!$AB$3:$AB$200,0)),"n/d"))</f>
        <v/>
      </c>
      <c r="AA1817" s="59">
        <f>IF($T1817="","",IF(COUNTIF('Resumo Grupos'!$AE$3:$AE$40,$T1817)&gt;0,"NAO","SIM"))</f>
        <v/>
      </c>
    </row>
    <row r="1818" ht="12.75" customHeight="1" s="60">
      <c r="A1818" s="59" t="n">
        <v>1</v>
      </c>
      <c r="B1818" s="75" t="n">
        <v>46241</v>
      </c>
      <c r="C1818" s="75" t="n">
        <v>46241</v>
      </c>
      <c r="D1818" s="59" t="n">
        <v>1783</v>
      </c>
      <c r="E1818" s="59" t="inlineStr">
        <is>
          <t>LOURIVAL ALMEIDA DA SILVA 17128784845</t>
        </is>
      </c>
      <c r="F1818" s="59" t="n">
        <v>13</v>
      </c>
      <c r="G1818" s="59" t="inlineStr">
        <is>
          <t>Compra a Vista</t>
        </is>
      </c>
      <c r="H1818" s="59" t="n">
        <v>2110101</v>
      </c>
      <c r="I1818" s="59" t="inlineStr">
        <is>
          <t>FORNECEDORES DE MERCADORIA</t>
        </is>
      </c>
      <c r="J1818" s="59" t="n">
        <v>1515625</v>
      </c>
      <c r="L1818" s="59" t="n">
        <v>526</v>
      </c>
      <c r="M1818" s="59" t="inlineStr">
        <is>
          <t>01</t>
        </is>
      </c>
      <c r="N1818" s="59" t="inlineStr">
        <is>
          <t>NFE</t>
        </is>
      </c>
      <c r="P1818" s="59" t="n">
        <v>104</v>
      </c>
      <c r="Q1818" s="59" t="inlineStr">
        <is>
          <t>DEBORA COSTA</t>
        </is>
      </c>
      <c r="R1818" s="59" t="inlineStr">
        <is>
          <t>ESTOQUE DE MERCADORIAS</t>
        </is>
      </c>
      <c r="S1818" s="59" t="n">
        <v>1130101</v>
      </c>
      <c r="T1818" s="59" t="inlineStr">
        <is>
          <t>MERCADORIAS P/REVENDA</t>
        </is>
      </c>
      <c r="U1818" s="77" t="n">
        <v>160.32</v>
      </c>
      <c r="W1818" s="59" t="n">
        <v>0</v>
      </c>
      <c r="X1818" s="59" t="inlineStr">
        <is>
          <t>NF 526 - DEBORA</t>
        </is>
      </c>
      <c r="Z1818" s="59">
        <f>IF($T1818="","",IFERROR(INDEX('Resumo Grupos'!$AC$3:$AC$200,MATCH($T1818,'Resumo Grupos'!$AB$3:$AB$200,0)),"n/d"))</f>
        <v/>
      </c>
      <c r="AA1818" s="59">
        <f>IF($T1818="","",IF(COUNTIF('Resumo Grupos'!$AE$3:$AE$40,$T1818)&gt;0,"NAO","SIM"))</f>
        <v/>
      </c>
    </row>
    <row r="1819" ht="12.75" customHeight="1" s="60">
      <c r="A1819" s="59" t="n">
        <v>1</v>
      </c>
      <c r="B1819" s="75" t="n">
        <v>46241</v>
      </c>
      <c r="C1819" s="75" t="n">
        <v>46241</v>
      </c>
      <c r="D1819" s="59" t="n">
        <v>10035</v>
      </c>
      <c r="E1819" s="59" t="inlineStr">
        <is>
          <t>J W N DOS SANTOS</t>
        </is>
      </c>
      <c r="F1819" s="59" t="n">
        <v>13</v>
      </c>
      <c r="G1819" s="59" t="inlineStr">
        <is>
          <t>Compra a Vista</t>
        </is>
      </c>
      <c r="H1819" s="59" t="n">
        <v>2110101</v>
      </c>
      <c r="I1819" s="59" t="inlineStr">
        <is>
          <t>FORNECEDORES DE MERCADORIA</t>
        </is>
      </c>
      <c r="J1819" s="59" t="n">
        <v>1518708</v>
      </c>
      <c r="L1819" s="59" t="n">
        <v>396</v>
      </c>
      <c r="M1819" s="59" t="inlineStr">
        <is>
          <t>01</t>
        </is>
      </c>
      <c r="N1819" s="59" t="inlineStr">
        <is>
          <t>NFE</t>
        </is>
      </c>
      <c r="P1819" s="59" t="n">
        <v>104</v>
      </c>
      <c r="Q1819" s="59" t="inlineStr">
        <is>
          <t>DEBORA COSTA</t>
        </is>
      </c>
      <c r="R1819" s="59" t="inlineStr">
        <is>
          <t>ESTOQUE DE MERCADORIAS</t>
        </is>
      </c>
      <c r="S1819" s="59" t="n">
        <v>1130101</v>
      </c>
      <c r="T1819" s="59" t="inlineStr">
        <is>
          <t>MERCADORIAS P/REVENDA</t>
        </is>
      </c>
      <c r="U1819" s="77" t="n">
        <v>470</v>
      </c>
      <c r="W1819" s="59" t="n">
        <v>0</v>
      </c>
      <c r="X1819" s="59" t="inlineStr">
        <is>
          <t>NF 396 - DEBORA</t>
        </is>
      </c>
      <c r="Z1819" s="59">
        <f>IF($T1819="","",IFERROR(INDEX('Resumo Grupos'!$AC$3:$AC$200,MATCH($T1819,'Resumo Grupos'!$AB$3:$AB$200,0)),"n/d"))</f>
        <v/>
      </c>
      <c r="AA1819" s="59">
        <f>IF($T1819="","",IF(COUNTIF('Resumo Grupos'!$AE$3:$AE$40,$T1819)&gt;0,"NAO","SIM"))</f>
        <v/>
      </c>
    </row>
    <row r="1820" ht="12.75" customHeight="1" s="60">
      <c r="A1820" s="59" t="n">
        <v>1</v>
      </c>
      <c r="B1820" s="75" t="n">
        <v>46241</v>
      </c>
      <c r="C1820" s="75" t="n">
        <v>46241</v>
      </c>
      <c r="D1820" s="59" t="n">
        <v>1173</v>
      </c>
      <c r="E1820" s="59" t="inlineStr">
        <is>
          <t>MELISSA COMERCIO E DISTRIBUIDORA DE GAS</t>
        </is>
      </c>
      <c r="F1820" s="59" t="n">
        <v>13</v>
      </c>
      <c r="G1820" s="59" t="inlineStr">
        <is>
          <t>Compra a Vista</t>
        </is>
      </c>
      <c r="H1820" s="59" t="n">
        <v>2110101</v>
      </c>
      <c r="I1820" s="59" t="inlineStr">
        <is>
          <t>FORNECEDORES DE MERCADORIA</t>
        </is>
      </c>
      <c r="J1820" s="59" t="n">
        <v>1518728</v>
      </c>
      <c r="L1820" s="59" t="n">
        <v>1046</v>
      </c>
      <c r="M1820" s="59" t="inlineStr">
        <is>
          <t>01</t>
        </is>
      </c>
      <c r="N1820" s="59" t="inlineStr">
        <is>
          <t>NFE</t>
        </is>
      </c>
      <c r="P1820" s="59" t="n">
        <v>104</v>
      </c>
      <c r="Q1820" s="59" t="inlineStr">
        <is>
          <t>DEBORA COSTA</t>
        </is>
      </c>
      <c r="R1820" s="59" t="inlineStr">
        <is>
          <t>ESTOQUE DE MERCADORIAS</t>
        </is>
      </c>
      <c r="S1820" s="59" t="n">
        <v>1130101</v>
      </c>
      <c r="T1820" s="59" t="inlineStr">
        <is>
          <t>MERCADORIAS P/REVENDA</t>
        </is>
      </c>
      <c r="U1820" s="77" t="n">
        <v>180</v>
      </c>
      <c r="W1820" s="59" t="n">
        <v>0</v>
      </c>
      <c r="X1820" s="59" t="inlineStr">
        <is>
          <t>NF 1046 - DEBORA</t>
        </is>
      </c>
      <c r="Z1820" s="59">
        <f>IF($T1820="","",IFERROR(INDEX('Resumo Grupos'!$AC$3:$AC$200,MATCH($T1820,'Resumo Grupos'!$AB$3:$AB$200,0)),"n/d"))</f>
        <v/>
      </c>
      <c r="AA1820" s="59">
        <f>IF($T1820="","",IF(COUNTIF('Resumo Grupos'!$AE$3:$AE$40,$T1820)&gt;0,"NAO","SIM"))</f>
        <v/>
      </c>
    </row>
    <row r="1821" ht="12.75" customHeight="1" s="60">
      <c r="A1821" s="59" t="n">
        <v>1</v>
      </c>
      <c r="B1821" s="75" t="n">
        <v>46241</v>
      </c>
      <c r="C1821" s="75" t="n">
        <v>46241</v>
      </c>
      <c r="D1821" s="59" t="n">
        <v>1391</v>
      </c>
      <c r="E1821" s="59" t="inlineStr">
        <is>
          <t>D N COMERCIO ATACADISTA DE EMBALAGENS E</t>
        </is>
      </c>
      <c r="F1821" s="59" t="n">
        <v>34</v>
      </c>
      <c r="G1821" s="59" t="inlineStr">
        <is>
          <t>Transferencia Pix</t>
        </is>
      </c>
      <c r="H1821" s="59" t="n">
        <v>2110405</v>
      </c>
      <c r="I1821" s="59" t="inlineStr">
        <is>
          <t>CONTAS A PAGAR</t>
        </is>
      </c>
      <c r="J1821" s="59" t="n">
        <v>1529520</v>
      </c>
      <c r="L1821" s="59" t="n">
        <v>414</v>
      </c>
      <c r="M1821" s="59" t="inlineStr">
        <is>
          <t>01</t>
        </is>
      </c>
      <c r="N1821" s="59" t="inlineStr">
        <is>
          <t>AVU</t>
        </is>
      </c>
      <c r="P1821" s="59" t="n">
        <v>103</v>
      </c>
      <c r="Q1821" s="59" t="inlineStr">
        <is>
          <t>MILKA FRANCIS</t>
        </is>
      </c>
      <c r="R1821" s="59" t="inlineStr">
        <is>
          <t>ESTOQUE DE MERCADORIAS</t>
        </is>
      </c>
      <c r="S1821" s="59" t="n">
        <v>1130101</v>
      </c>
      <c r="T1821" s="59" t="inlineStr">
        <is>
          <t>MERCADORIAS P/REVENDA</t>
        </is>
      </c>
      <c r="U1821" s="77" t="n">
        <v>360</v>
      </c>
      <c r="W1821" s="59" t="n">
        <v>360</v>
      </c>
      <c r="X1821" s="59" t="inlineStr">
        <is>
          <t>NF414 VULCANO 2L / PGTO WARISON LUIZ - MILKA</t>
        </is>
      </c>
      <c r="Z1821" s="59">
        <f>IF($T1821="","",IFERROR(INDEX('Resumo Grupos'!$AC$3:$AC$200,MATCH($T1821,'Resumo Grupos'!$AB$3:$AB$200,0)),"n/d"))</f>
        <v/>
      </c>
      <c r="AA1821" s="59">
        <f>IF($T1821="","",IF(COUNTIF('Resumo Grupos'!$AE$3:$AE$40,$T1821)&gt;0,"NAO","SIM"))</f>
        <v/>
      </c>
    </row>
    <row r="1822" ht="12.75" customHeight="1" s="60">
      <c r="A1822" s="59" t="n">
        <v>1</v>
      </c>
      <c r="B1822" s="75" t="n">
        <v>46202</v>
      </c>
      <c r="C1822" s="75" t="n">
        <v>46242</v>
      </c>
      <c r="D1822" s="59" t="n">
        <v>1624</v>
      </c>
      <c r="E1822" s="59" t="inlineStr">
        <is>
          <t>RISADINHA LTDA</t>
        </is>
      </c>
      <c r="F1822" s="59" t="n">
        <v>24</v>
      </c>
      <c r="G1822" s="59" t="inlineStr">
        <is>
          <t>Compra a Prazo - Boletos</t>
        </is>
      </c>
      <c r="H1822" s="59" t="n">
        <v>2110101</v>
      </c>
      <c r="I1822" s="59" t="inlineStr">
        <is>
          <t>FORNECEDORES DE MERCADORIA</t>
        </is>
      </c>
      <c r="J1822" s="59" t="n">
        <v>1322405</v>
      </c>
      <c r="L1822" s="59" t="n">
        <v>660505</v>
      </c>
      <c r="M1822" s="59" t="inlineStr">
        <is>
          <t>02</t>
        </is>
      </c>
      <c r="N1822" s="59" t="inlineStr">
        <is>
          <t>NFE</t>
        </is>
      </c>
      <c r="P1822" s="59" t="n">
        <v>103</v>
      </c>
      <c r="Q1822" s="59" t="inlineStr">
        <is>
          <t>MILKA FRANCIS</t>
        </is>
      </c>
      <c r="R1822" s="59" t="inlineStr">
        <is>
          <t>ESTOQUE DE MERCADORIAS</t>
        </is>
      </c>
      <c r="S1822" s="59" t="n">
        <v>1130101</v>
      </c>
      <c r="T1822" s="59" t="inlineStr">
        <is>
          <t>MERCADORIAS P/REVENDA</t>
        </is>
      </c>
      <c r="U1822" s="77" t="n">
        <v>660</v>
      </c>
      <c r="W1822" s="59" t="n">
        <v>660</v>
      </c>
      <c r="X1822" s="59" t="inlineStr">
        <is>
          <t>NF 660505-02 MILKA</t>
        </is>
      </c>
      <c r="Z1822" s="59">
        <f>IF($T1822="","",IFERROR(INDEX('Resumo Grupos'!$AC$3:$AC$200,MATCH($T1822,'Resumo Grupos'!$AB$3:$AB$200,0)),"n/d"))</f>
        <v/>
      </c>
      <c r="AA1822" s="59">
        <f>IF($T1822="","",IF(COUNTIF('Resumo Grupos'!$AE$3:$AE$40,$T1822)&gt;0,"NAO","SIM"))</f>
        <v/>
      </c>
    </row>
    <row r="1823" ht="12.75" customHeight="1" s="60">
      <c r="A1823" s="59" t="n">
        <v>1</v>
      </c>
      <c r="B1823" s="75" t="n">
        <v>46212</v>
      </c>
      <c r="C1823" s="75" t="n">
        <v>46242</v>
      </c>
      <c r="D1823" s="59" t="n">
        <v>10037</v>
      </c>
      <c r="E1823" s="59" t="inlineStr">
        <is>
          <t>FORTVET DISTRIBUIDORA LTDA</t>
        </is>
      </c>
      <c r="F1823" s="59" t="n">
        <v>24</v>
      </c>
      <c r="G1823" s="59" t="inlineStr">
        <is>
          <t>Compra a Prazo - Boletos</t>
        </is>
      </c>
      <c r="H1823" s="59" t="n">
        <v>2110405</v>
      </c>
      <c r="I1823" s="59" t="inlineStr">
        <is>
          <t>CONTAS A PAGAR</t>
        </is>
      </c>
      <c r="J1823" s="59" t="n">
        <v>1374662</v>
      </c>
      <c r="L1823" s="59" t="n">
        <v>2737</v>
      </c>
      <c r="M1823" s="59" t="inlineStr">
        <is>
          <t>02</t>
        </is>
      </c>
      <c r="N1823" s="59" t="inlineStr">
        <is>
          <t>AVU</t>
        </is>
      </c>
      <c r="P1823" s="59" t="n">
        <v>103</v>
      </c>
      <c r="Q1823" s="59" t="inlineStr">
        <is>
          <t>MILKA FRANCIS</t>
        </is>
      </c>
      <c r="R1823" s="59" t="inlineStr">
        <is>
          <t>ESTOQUE DE MERCADORIAS</t>
        </is>
      </c>
      <c r="S1823" s="59" t="n">
        <v>1130101</v>
      </c>
      <c r="T1823" s="59" t="inlineStr">
        <is>
          <t>MERCADORIAS P/REVENDA</t>
        </is>
      </c>
      <c r="U1823" s="77" t="n">
        <v>527.3</v>
      </c>
      <c r="W1823" s="59" t="n">
        <v>527.3</v>
      </c>
      <c r="X1823" s="59" t="inlineStr">
        <is>
          <t>NF 2737-2 MILKA</t>
        </is>
      </c>
      <c r="Z1823" s="59">
        <f>IF($T1823="","",IFERROR(INDEX('Resumo Grupos'!$AC$3:$AC$200,MATCH($T1823,'Resumo Grupos'!$AB$3:$AB$200,0)),"n/d"))</f>
        <v/>
      </c>
      <c r="AA1823" s="59">
        <f>IF($T1823="","",IF(COUNTIF('Resumo Grupos'!$AE$3:$AE$40,$T1823)&gt;0,"NAO","SIM"))</f>
        <v/>
      </c>
    </row>
    <row r="1824" ht="12.75" customHeight="1" s="60">
      <c r="A1824" s="59" t="n">
        <v>1</v>
      </c>
      <c r="B1824" s="75" t="n">
        <v>46237</v>
      </c>
      <c r="C1824" s="75" t="n">
        <v>46242</v>
      </c>
      <c r="D1824" s="59" t="n">
        <v>754</v>
      </c>
      <c r="E1824" s="59" t="inlineStr">
        <is>
          <t>SILVA E SANTOS FRIGORIFICO LTDA</t>
        </is>
      </c>
      <c r="F1824" s="59" t="n">
        <v>24</v>
      </c>
      <c r="G1824" s="59" t="inlineStr">
        <is>
          <t>Compra a Prazo - Boletos</t>
        </is>
      </c>
      <c r="H1824" s="59" t="n">
        <v>2110405</v>
      </c>
      <c r="I1824" s="59" t="inlineStr">
        <is>
          <t>CONTAS A PAGAR</t>
        </is>
      </c>
      <c r="J1824" s="59" t="n">
        <v>1495440</v>
      </c>
      <c r="L1824" s="59" t="n">
        <v>32187</v>
      </c>
      <c r="M1824" s="59" t="inlineStr">
        <is>
          <t>01</t>
        </is>
      </c>
      <c r="N1824" s="59" t="inlineStr">
        <is>
          <t>AVU</t>
        </is>
      </c>
      <c r="P1824" s="59" t="n">
        <v>103</v>
      </c>
      <c r="Q1824" s="59" t="inlineStr">
        <is>
          <t>MILKA FRANCIS</t>
        </is>
      </c>
      <c r="R1824" s="59" t="inlineStr">
        <is>
          <t>ESTOQUE DE MERCADORIAS</t>
        </is>
      </c>
      <c r="S1824" s="59" t="n">
        <v>1130101</v>
      </c>
      <c r="T1824" s="59" t="inlineStr">
        <is>
          <t>MERCADORIAS P/REVENDA</t>
        </is>
      </c>
      <c r="U1824" s="77" t="n">
        <v>3557.5</v>
      </c>
      <c r="W1824" s="59" t="n">
        <v>3557.5</v>
      </c>
      <c r="X1824" s="59" t="inlineStr">
        <is>
          <t>NF32187 - MILKA</t>
        </is>
      </c>
      <c r="Z1824" s="59">
        <f>IF($T1824="","",IFERROR(INDEX('Resumo Grupos'!$AC$3:$AC$200,MATCH($T1824,'Resumo Grupos'!$AB$3:$AB$200,0)),"n/d"))</f>
        <v/>
      </c>
      <c r="AA1824" s="59">
        <f>IF($T1824="","",IF(COUNTIF('Resumo Grupos'!$AE$3:$AE$40,$T1824)&gt;0,"NAO","SIM"))</f>
        <v/>
      </c>
    </row>
    <row r="1825" ht="12.75" customHeight="1" s="60">
      <c r="A1825" s="59" t="n">
        <v>1</v>
      </c>
      <c r="B1825" s="75" t="n">
        <v>46237</v>
      </c>
      <c r="C1825" s="75" t="n">
        <v>46242</v>
      </c>
      <c r="D1825" s="59" t="n">
        <v>1625</v>
      </c>
      <c r="E1825" s="59" t="inlineStr">
        <is>
          <t>MAXFRI DISTRIUIDORA LTDA</t>
        </is>
      </c>
      <c r="F1825" s="59" t="n">
        <v>24</v>
      </c>
      <c r="G1825" s="59" t="inlineStr">
        <is>
          <t>Compra a Prazo - Boletos</t>
        </is>
      </c>
      <c r="H1825" s="59" t="n">
        <v>2110405</v>
      </c>
      <c r="I1825" s="59" t="inlineStr">
        <is>
          <t>CONTAS A PAGAR</t>
        </is>
      </c>
      <c r="J1825" s="59" t="n">
        <v>1495532</v>
      </c>
      <c r="L1825" s="59" t="n">
        <v>14907</v>
      </c>
      <c r="M1825" s="59" t="inlineStr">
        <is>
          <t>01</t>
        </is>
      </c>
      <c r="N1825" s="59" t="inlineStr">
        <is>
          <t>AVU</t>
        </is>
      </c>
      <c r="P1825" s="59" t="n">
        <v>103</v>
      </c>
      <c r="Q1825" s="59" t="inlineStr">
        <is>
          <t>MILKA FRANCIS</t>
        </is>
      </c>
      <c r="R1825" s="59" t="inlineStr">
        <is>
          <t>ESTOQUE DE MERCADORIAS</t>
        </is>
      </c>
      <c r="S1825" s="59" t="n">
        <v>1130101</v>
      </c>
      <c r="T1825" s="59" t="inlineStr">
        <is>
          <t>MERCADORIAS P/REVENDA</t>
        </is>
      </c>
      <c r="U1825" s="77" t="n">
        <v>4044.8</v>
      </c>
      <c r="W1825" s="59" t="n">
        <v>4044.8</v>
      </c>
      <c r="X1825" s="59" t="inlineStr">
        <is>
          <t>NF14907 - MILKA</t>
        </is>
      </c>
      <c r="Z1825" s="59">
        <f>IF($T1825="","",IFERROR(INDEX('Resumo Grupos'!$AC$3:$AC$200,MATCH($T1825,'Resumo Grupos'!$AB$3:$AB$200,0)),"n/d"))</f>
        <v/>
      </c>
      <c r="AA1825" s="59">
        <f>IF($T1825="","",IF(COUNTIF('Resumo Grupos'!$AE$3:$AE$40,$T1825)&gt;0,"NAO","SIM"))</f>
        <v/>
      </c>
    </row>
    <row r="1826" ht="12.75" customHeight="1" s="60">
      <c r="A1826" s="59" t="n">
        <v>1</v>
      </c>
      <c r="B1826" s="75" t="n">
        <v>46241</v>
      </c>
      <c r="C1826" s="75" t="n">
        <v>46242</v>
      </c>
      <c r="D1826" s="59" t="n">
        <v>33</v>
      </c>
      <c r="E1826" s="59" t="inlineStr">
        <is>
          <t>RENATO DE O AZEVEDO E CIA LTDA - EPP</t>
        </is>
      </c>
      <c r="F1826" s="59" t="n">
        <v>34</v>
      </c>
      <c r="G1826" s="59" t="inlineStr">
        <is>
          <t>Transferencia Pix</t>
        </is>
      </c>
      <c r="H1826" s="59" t="n">
        <v>2110101</v>
      </c>
      <c r="I1826" s="59" t="inlineStr">
        <is>
          <t>FORNECEDORES DE MERCADORIA</t>
        </is>
      </c>
      <c r="J1826" s="59" t="n">
        <v>1514851</v>
      </c>
      <c r="L1826" s="59" t="n">
        <v>5455</v>
      </c>
      <c r="M1826" s="59" t="inlineStr">
        <is>
          <t>01</t>
        </is>
      </c>
      <c r="N1826" s="59" t="inlineStr">
        <is>
          <t>NFE</t>
        </is>
      </c>
      <c r="P1826" s="59" t="n">
        <v>104</v>
      </c>
      <c r="Q1826" s="59" t="inlineStr">
        <is>
          <t>DEBORA COSTA</t>
        </is>
      </c>
      <c r="R1826" s="59" t="inlineStr">
        <is>
          <t>ESTOQUE DE MERCADORIAS</t>
        </is>
      </c>
      <c r="S1826" s="59" t="n">
        <v>1130101</v>
      </c>
      <c r="T1826" s="59" t="inlineStr">
        <is>
          <t>MERCADORIAS P/REVENDA</t>
        </is>
      </c>
      <c r="U1826" s="77" t="n">
        <v>3382</v>
      </c>
      <c r="W1826" s="59" t="n">
        <v>3382</v>
      </c>
      <c r="X1826" s="59" t="inlineStr">
        <is>
          <t>FEIRA CARLOS - DEBORA</t>
        </is>
      </c>
      <c r="Z1826" s="59">
        <f>IF($T1826="","",IFERROR(INDEX('Resumo Grupos'!$AC$3:$AC$200,MATCH($T1826,'Resumo Grupos'!$AB$3:$AB$200,0)),"n/d"))</f>
        <v/>
      </c>
      <c r="AA1826" s="59">
        <f>IF($T1826="","",IF(COUNTIF('Resumo Grupos'!$AE$3:$AE$40,$T1826)&gt;0,"NAO","SIM"))</f>
        <v/>
      </c>
    </row>
    <row r="1827" ht="12.75" customHeight="1" s="60">
      <c r="A1827" s="59" t="n">
        <v>1</v>
      </c>
      <c r="B1827" s="75" t="n">
        <v>46241</v>
      </c>
      <c r="C1827" s="75" t="n">
        <v>46242</v>
      </c>
      <c r="D1827" s="59" t="n">
        <v>1615</v>
      </c>
      <c r="E1827" s="59" t="inlineStr">
        <is>
          <t>COMERCIO E TRANSPORTE BRANDAO LTDA</t>
        </is>
      </c>
      <c r="F1827" s="59" t="n">
        <v>34</v>
      </c>
      <c r="G1827" s="59" t="inlineStr">
        <is>
          <t>Transferencia Pix</t>
        </is>
      </c>
      <c r="H1827" s="59" t="n">
        <v>2110101</v>
      </c>
      <c r="I1827" s="59" t="inlineStr">
        <is>
          <t>FORNECEDORES DE MERCADORIA</t>
        </is>
      </c>
      <c r="J1827" s="59" t="n">
        <v>1514916</v>
      </c>
      <c r="L1827" s="59" t="n">
        <v>5456</v>
      </c>
      <c r="M1827" s="59" t="inlineStr">
        <is>
          <t>01</t>
        </is>
      </c>
      <c r="N1827" s="59" t="inlineStr">
        <is>
          <t>NFE</t>
        </is>
      </c>
      <c r="P1827" s="59" t="n">
        <v>104</v>
      </c>
      <c r="Q1827" s="59" t="inlineStr">
        <is>
          <t>DEBORA COSTA</t>
        </is>
      </c>
      <c r="R1827" s="59" t="inlineStr">
        <is>
          <t>ESTOQUE DE MERCADORIAS</t>
        </is>
      </c>
      <c r="S1827" s="59" t="n">
        <v>1130101</v>
      </c>
      <c r="T1827" s="59" t="inlineStr">
        <is>
          <t>MERCADORIAS P/REVENDA</t>
        </is>
      </c>
      <c r="U1827" s="77" t="n">
        <v>1610</v>
      </c>
      <c r="W1827" s="59" t="n">
        <v>1610</v>
      </c>
      <c r="X1827" s="59" t="inlineStr">
        <is>
          <t>NF 15054 - DEBORA</t>
        </is>
      </c>
      <c r="Z1827" s="59">
        <f>IF($T1827="","",IFERROR(INDEX('Resumo Grupos'!$AC$3:$AC$200,MATCH($T1827,'Resumo Grupos'!$AB$3:$AB$200,0)),"n/d"))</f>
        <v/>
      </c>
      <c r="AA1827" s="59">
        <f>IF($T1827="","",IF(COUNTIF('Resumo Grupos'!$AE$3:$AE$40,$T1827)&gt;0,"NAO","SIM"))</f>
        <v/>
      </c>
    </row>
    <row r="1828" ht="12.75" customHeight="1" s="60">
      <c r="A1828" s="59" t="n">
        <v>1</v>
      </c>
      <c r="B1828" s="75" t="n">
        <v>46241</v>
      </c>
      <c r="C1828" s="75" t="n">
        <v>46242</v>
      </c>
      <c r="D1828" s="59" t="n">
        <v>33</v>
      </c>
      <c r="E1828" s="59" t="inlineStr">
        <is>
          <t>RENATO DE O AZEVEDO E CIA LTDA - EPP</t>
        </is>
      </c>
      <c r="F1828" s="59" t="n">
        <v>34</v>
      </c>
      <c r="G1828" s="59" t="inlineStr">
        <is>
          <t>Transferencia Pix</t>
        </is>
      </c>
      <c r="H1828" s="59" t="n">
        <v>2110405</v>
      </c>
      <c r="I1828" s="59" t="inlineStr">
        <is>
          <t>CONTAS A PAGAR</t>
        </is>
      </c>
      <c r="J1828" s="59" t="n">
        <v>1515329</v>
      </c>
      <c r="L1828" s="59" t="n">
        <v>620434</v>
      </c>
      <c r="M1828" s="59" t="inlineStr">
        <is>
          <t>01</t>
        </is>
      </c>
      <c r="N1828" s="59" t="inlineStr">
        <is>
          <t>AVU</t>
        </is>
      </c>
      <c r="P1828" s="59" t="n">
        <v>104</v>
      </c>
      <c r="Q1828" s="59" t="inlineStr">
        <is>
          <t>DEBORA COSTA</t>
        </is>
      </c>
      <c r="R1828" s="59" t="inlineStr">
        <is>
          <t>ESTOQUE DE MERCADORIAS</t>
        </is>
      </c>
      <c r="S1828" s="59" t="n">
        <v>1130101</v>
      </c>
      <c r="T1828" s="59" t="inlineStr">
        <is>
          <t>MERCADORIAS P/REVENDA</t>
        </is>
      </c>
      <c r="U1828" s="77" t="n">
        <v>70</v>
      </c>
      <c r="W1828" s="59" t="n">
        <v>70</v>
      </c>
      <c r="X1828" s="59" t="inlineStr">
        <is>
          <t>CAMARAO COM CASCA - FEIRA CARLOS - DEBORA</t>
        </is>
      </c>
      <c r="Z1828" s="59">
        <f>IF($T1828="","",IFERROR(INDEX('Resumo Grupos'!$AC$3:$AC$200,MATCH($T1828,'Resumo Grupos'!$AB$3:$AB$200,0)),"n/d"))</f>
        <v/>
      </c>
      <c r="AA1828" s="59">
        <f>IF($T1828="","",IF(COUNTIF('Resumo Grupos'!$AE$3:$AE$40,$T1828)&gt;0,"NAO","SIM"))</f>
        <v/>
      </c>
    </row>
    <row r="1829" ht="12.75" customHeight="1" s="60">
      <c r="A1829" s="59" t="n">
        <v>1</v>
      </c>
      <c r="B1829" s="75" t="n">
        <v>46242</v>
      </c>
      <c r="C1829" s="75" t="n">
        <v>46242</v>
      </c>
      <c r="D1829" s="59" t="n">
        <v>978</v>
      </c>
      <c r="E1829" s="59" t="inlineStr">
        <is>
          <t>GELO DANGELO FABRICACAO DE GELO LTDA</t>
        </is>
      </c>
      <c r="F1829" s="59" t="n">
        <v>13</v>
      </c>
      <c r="G1829" s="59" t="inlineStr">
        <is>
          <t>Compra a Vista</t>
        </is>
      </c>
      <c r="H1829" s="59" t="n">
        <v>2110101</v>
      </c>
      <c r="I1829" s="59" t="inlineStr">
        <is>
          <t>FORNECEDORES DE MERCADORIA</t>
        </is>
      </c>
      <c r="J1829" s="59" t="n">
        <v>1518674</v>
      </c>
      <c r="L1829" s="59" t="n">
        <v>455</v>
      </c>
      <c r="M1829" s="59" t="inlineStr">
        <is>
          <t>01</t>
        </is>
      </c>
      <c r="N1829" s="59" t="inlineStr">
        <is>
          <t>NFE</t>
        </is>
      </c>
      <c r="P1829" s="59" t="n">
        <v>104</v>
      </c>
      <c r="Q1829" s="59" t="inlineStr">
        <is>
          <t>DEBORA COSTA</t>
        </is>
      </c>
      <c r="R1829" s="59" t="inlineStr">
        <is>
          <t>ESTOQUE DE MERCADORIAS</t>
        </is>
      </c>
      <c r="S1829" s="59" t="n">
        <v>1130101</v>
      </c>
      <c r="T1829" s="59" t="inlineStr">
        <is>
          <t>MERCADORIAS P/REVENDA</t>
        </is>
      </c>
      <c r="U1829" s="77" t="n">
        <v>390</v>
      </c>
      <c r="W1829" s="59" t="n">
        <v>0</v>
      </c>
      <c r="X1829" s="59" t="inlineStr">
        <is>
          <t>NF 455 - DEBORA</t>
        </is>
      </c>
      <c r="Z1829" s="59">
        <f>IF($T1829="","",IFERROR(INDEX('Resumo Grupos'!$AC$3:$AC$200,MATCH($T1829,'Resumo Grupos'!$AB$3:$AB$200,0)),"n/d"))</f>
        <v/>
      </c>
      <c r="AA1829" s="59">
        <f>IF($T1829="","",IF(COUNTIF('Resumo Grupos'!$AE$3:$AE$40,$T1829)&gt;0,"NAO","SIM"))</f>
        <v/>
      </c>
    </row>
    <row r="1830" ht="12.75" customHeight="1" s="60">
      <c r="A1830" s="59" t="n">
        <v>1</v>
      </c>
      <c r="B1830" s="75" t="n">
        <v>46242</v>
      </c>
      <c r="C1830" s="75" t="n">
        <v>46242</v>
      </c>
      <c r="D1830" s="59" t="n">
        <v>10096</v>
      </c>
      <c r="E1830" s="59" t="inlineStr">
        <is>
          <t>H L M PADARIA E CONFEITARIA LTDA</t>
        </is>
      </c>
      <c r="F1830" s="59" t="n">
        <v>13</v>
      </c>
      <c r="G1830" s="59" t="inlineStr">
        <is>
          <t>Compra a Vista</t>
        </is>
      </c>
      <c r="H1830" s="59" t="n">
        <v>2110101</v>
      </c>
      <c r="I1830" s="59" t="inlineStr">
        <is>
          <t>FORNECEDORES DE MERCADORIA</t>
        </is>
      </c>
      <c r="J1830" s="59" t="n">
        <v>1528968</v>
      </c>
      <c r="L1830" s="59" t="n">
        <v>140</v>
      </c>
      <c r="M1830" s="59" t="inlineStr">
        <is>
          <t>01</t>
        </is>
      </c>
      <c r="N1830" s="59" t="inlineStr">
        <is>
          <t>NFE</t>
        </is>
      </c>
      <c r="P1830" s="59" t="n">
        <v>104</v>
      </c>
      <c r="Q1830" s="59" t="inlineStr">
        <is>
          <t>DEBORA COSTA</t>
        </is>
      </c>
      <c r="R1830" s="59" t="inlineStr">
        <is>
          <t>ESTOQUE DE MERCADORIAS</t>
        </is>
      </c>
      <c r="S1830" s="59" t="n">
        <v>1130101</v>
      </c>
      <c r="T1830" s="59" t="inlineStr">
        <is>
          <t>MERCADORIAS P/REVENDA</t>
        </is>
      </c>
      <c r="U1830" s="77" t="n">
        <v>840</v>
      </c>
      <c r="W1830" s="59" t="n">
        <v>0</v>
      </c>
      <c r="X1830" s="59" t="inlineStr">
        <is>
          <t>NF 140 - DEBORA</t>
        </is>
      </c>
      <c r="Z1830" s="59">
        <f>IF($T1830="","",IFERROR(INDEX('Resumo Grupos'!$AC$3:$AC$200,MATCH($T1830,'Resumo Grupos'!$AB$3:$AB$200,0)),"n/d"))</f>
        <v/>
      </c>
      <c r="AA1830" s="59">
        <f>IF($T1830="","",IF(COUNTIF('Resumo Grupos'!$AE$3:$AE$40,$T1830)&gt;0,"NAO","SIM"))</f>
        <v/>
      </c>
    </row>
    <row r="1831" ht="12.75" customHeight="1" s="60">
      <c r="A1831" s="59" t="n">
        <v>1</v>
      </c>
      <c r="B1831" s="75" t="n">
        <v>46203</v>
      </c>
      <c r="C1831" s="75" t="n">
        <v>46243</v>
      </c>
      <c r="D1831" s="59" t="n">
        <v>10011</v>
      </c>
      <c r="E1831" s="59" t="inlineStr">
        <is>
          <t>OPPORTUNITY ALIMENTOS PARA ANIMAIS LTDA</t>
        </is>
      </c>
      <c r="F1831" s="59" t="n">
        <v>24</v>
      </c>
      <c r="G1831" s="59" t="inlineStr">
        <is>
          <t>Compra a Prazo - Boletos</t>
        </is>
      </c>
      <c r="H1831" s="59" t="n">
        <v>2110101</v>
      </c>
      <c r="I1831" s="59" t="inlineStr">
        <is>
          <t>FORNECEDORES DE MERCADORIA</t>
        </is>
      </c>
      <c r="J1831" s="59" t="n">
        <v>1330475</v>
      </c>
      <c r="L1831" s="59" t="n">
        <v>34300</v>
      </c>
      <c r="M1831" s="59" t="inlineStr">
        <is>
          <t>03</t>
        </is>
      </c>
      <c r="N1831" s="59" t="inlineStr">
        <is>
          <t>NFE</t>
        </is>
      </c>
      <c r="P1831" s="59" t="n">
        <v>103</v>
      </c>
      <c r="Q1831" s="59" t="inlineStr">
        <is>
          <t>MILKA FRANCIS</t>
        </is>
      </c>
      <c r="R1831" s="59" t="inlineStr">
        <is>
          <t>ESTOQUE DE MERCADORIAS</t>
        </is>
      </c>
      <c r="S1831" s="59" t="n">
        <v>1130101</v>
      </c>
      <c r="T1831" s="59" t="inlineStr">
        <is>
          <t>MERCADORIAS P/REVENDA</t>
        </is>
      </c>
      <c r="U1831" s="77" t="n">
        <v>3377.6</v>
      </c>
      <c r="W1831" s="59" t="n">
        <v>3377.6</v>
      </c>
      <c r="X1831" s="59" t="inlineStr">
        <is>
          <t>NF 34300-3 MILKA</t>
        </is>
      </c>
      <c r="Z1831" s="59">
        <f>IF($T1831="","",IFERROR(INDEX('Resumo Grupos'!$AC$3:$AC$200,MATCH($T1831,'Resumo Grupos'!$AB$3:$AB$200,0)),"n/d"))</f>
        <v/>
      </c>
      <c r="AA1831" s="59">
        <f>IF($T1831="","",IF(COUNTIF('Resumo Grupos'!$AE$3:$AE$40,$T1831)&gt;0,"NAO","SIM"))</f>
        <v/>
      </c>
    </row>
    <row r="1832" ht="12.75" customHeight="1" s="60">
      <c r="A1832" s="59" t="n">
        <v>1</v>
      </c>
      <c r="B1832" s="75" t="n">
        <v>46209</v>
      </c>
      <c r="C1832" s="75" t="n">
        <v>46243</v>
      </c>
      <c r="D1832" s="59" t="n">
        <v>10020</v>
      </c>
      <c r="E1832" s="59" t="inlineStr">
        <is>
          <t>E. SALES DO NASCIMENTO</t>
        </is>
      </c>
      <c r="F1832" s="59" t="n">
        <v>24</v>
      </c>
      <c r="G1832" s="59" t="inlineStr">
        <is>
          <t>Compra a Prazo - Boletos</t>
        </is>
      </c>
      <c r="H1832" s="59" t="n">
        <v>2110101</v>
      </c>
      <c r="I1832" s="59" t="inlineStr">
        <is>
          <t>FORNECEDORES DE MERCADORIA</t>
        </is>
      </c>
      <c r="J1832" s="59" t="n">
        <v>1360452</v>
      </c>
      <c r="L1832" s="59" t="n">
        <v>707</v>
      </c>
      <c r="M1832" s="59" t="inlineStr">
        <is>
          <t>04</t>
        </is>
      </c>
      <c r="N1832" s="59" t="inlineStr">
        <is>
          <t>NFE</t>
        </is>
      </c>
      <c r="P1832" s="59" t="n">
        <v>103</v>
      </c>
      <c r="Q1832" s="59" t="inlineStr">
        <is>
          <t>MILKA FRANCIS</t>
        </is>
      </c>
      <c r="R1832" s="59" t="inlineStr">
        <is>
          <t>ESTOQUE DE MERCADORIAS</t>
        </is>
      </c>
      <c r="S1832" s="59" t="n">
        <v>1130101</v>
      </c>
      <c r="T1832" s="59" t="inlineStr">
        <is>
          <t>MERCADORIAS P/REVENDA</t>
        </is>
      </c>
      <c r="U1832" s="77" t="n">
        <v>410.7</v>
      </c>
      <c r="W1832" s="59" t="n">
        <v>410.7</v>
      </c>
      <c r="X1832" s="59" t="inlineStr">
        <is>
          <t>NF 707 -04 MILKA</t>
        </is>
      </c>
      <c r="Z1832" s="59">
        <f>IF($T1832="","",IFERROR(INDEX('Resumo Grupos'!$AC$3:$AC$200,MATCH($T1832,'Resumo Grupos'!$AB$3:$AB$200,0)),"n/d"))</f>
        <v/>
      </c>
      <c r="AA1832" s="59">
        <f>IF($T1832="","",IF(COUNTIF('Resumo Grupos'!$AE$3:$AE$40,$T1832)&gt;0,"NAO","SIM"))</f>
        <v/>
      </c>
    </row>
    <row r="1833" ht="12.75" customHeight="1" s="60">
      <c r="A1833" s="59" t="n">
        <v>1</v>
      </c>
      <c r="B1833" s="75" t="n">
        <v>46029</v>
      </c>
      <c r="C1833" s="75" t="n">
        <v>46244</v>
      </c>
      <c r="D1833" s="59" t="n">
        <v>105</v>
      </c>
      <c r="E1833" s="59" t="inlineStr">
        <is>
          <t>ANDERSON SILVA - BOY</t>
        </is>
      </c>
      <c r="F1833" s="59" t="n">
        <v>46</v>
      </c>
      <c r="G1833" s="59" t="inlineStr">
        <is>
          <t>Cartao Sant 1 Velho 9336 venc 10</t>
        </is>
      </c>
      <c r="H1833" s="59" t="n">
        <v>2110405</v>
      </c>
      <c r="I1833" s="59" t="inlineStr">
        <is>
          <t>CONTAS A PAGAR</t>
        </is>
      </c>
      <c r="J1833" s="59" t="n">
        <v>651504</v>
      </c>
      <c r="L1833" s="59" t="n">
        <v>287048</v>
      </c>
      <c r="M1833" s="59" t="inlineStr">
        <is>
          <t>07</t>
        </is>
      </c>
      <c r="N1833" s="59" t="inlineStr">
        <is>
          <t>AVU</t>
        </is>
      </c>
      <c r="P1833" s="59" t="n">
        <v>101</v>
      </c>
      <c r="Q1833" s="59" t="inlineStr">
        <is>
          <t>KEILA LIMA</t>
        </is>
      </c>
      <c r="R1833" s="59" t="inlineStr">
        <is>
          <t>DESPESAS NAO OPERACIONAIS</t>
        </is>
      </c>
      <c r="S1833" s="59" t="n">
        <v>4220199</v>
      </c>
      <c r="T1833" s="59" t="inlineStr">
        <is>
          <t>PAGAMENTOS OUTROS NAO OPERACIONAIS</t>
        </is>
      </c>
      <c r="U1833" s="77" t="n">
        <v>1567.08</v>
      </c>
      <c r="W1833" s="59" t="n">
        <v>0</v>
      </c>
      <c r="X1833" s="59" t="inlineStr">
        <is>
          <t>COMPRAS FUNC ANDERSON PARC 07/12 - KEILA</t>
        </is>
      </c>
      <c r="Z1833" s="59">
        <f>IF($T1833="","",IFERROR(INDEX('Resumo Grupos'!$AC$3:$AC$200,MATCH($T1833,'Resumo Grupos'!$AB$3:$AB$200,0)),"n/d"))</f>
        <v/>
      </c>
      <c r="AA1833" s="59">
        <f>IF($T1833="","",IF(COUNTIF('Resumo Grupos'!$AE$3:$AE$40,$T1833)&gt;0,"NAO","SIM"))</f>
        <v/>
      </c>
    </row>
    <row r="1834" ht="12.75" customHeight="1" s="60">
      <c r="A1834" s="59" t="n">
        <v>1</v>
      </c>
      <c r="B1834" s="75" t="n">
        <v>46092</v>
      </c>
      <c r="C1834" s="75" t="n">
        <v>46244</v>
      </c>
      <c r="D1834" s="59" t="n">
        <v>1835</v>
      </c>
      <c r="E1834" s="59" t="inlineStr">
        <is>
          <t>LOJA DO REI COMERCIO DE MATERIAL DE CONS</t>
        </is>
      </c>
      <c r="F1834" s="59" t="n">
        <v>46</v>
      </c>
      <c r="G1834" s="59" t="inlineStr">
        <is>
          <t>Cartao Sant 1 Velho 9336 venc 10</t>
        </is>
      </c>
      <c r="H1834" s="59" t="n">
        <v>2110405</v>
      </c>
      <c r="I1834" s="59" t="inlineStr">
        <is>
          <t>CONTAS A PAGAR</t>
        </is>
      </c>
      <c r="J1834" s="59" t="n">
        <v>927300</v>
      </c>
      <c r="L1834" s="59" t="n">
        <v>99886</v>
      </c>
      <c r="M1834" s="59" t="inlineStr">
        <is>
          <t>05</t>
        </is>
      </c>
      <c r="N1834" s="59" t="inlineStr">
        <is>
          <t>AVU</t>
        </is>
      </c>
      <c r="P1834" s="59" t="n">
        <v>101</v>
      </c>
      <c r="Q1834" s="59" t="inlineStr">
        <is>
          <t>KEILA LIMA</t>
        </is>
      </c>
      <c r="R1834" s="59" t="inlineStr">
        <is>
          <t>DESPESAS OPERACIONAIS</t>
        </is>
      </c>
      <c r="S1834" s="59" t="n">
        <v>4210228</v>
      </c>
      <c r="T1834" s="59" t="inlineStr">
        <is>
          <t>DESPESAS PADARIA</t>
        </is>
      </c>
      <c r="U1834" s="77" t="n">
        <v>225.13</v>
      </c>
      <c r="W1834" s="59" t="n">
        <v>0</v>
      </c>
      <c r="X1834" s="59" t="inlineStr">
        <is>
          <t>PARC 05/05 DESPE PADARIA MO1 - KEILA</t>
        </is>
      </c>
      <c r="Z1834" s="59">
        <f>IF($T1834="","",IFERROR(INDEX('Resumo Grupos'!$AC$3:$AC$200,MATCH($T1834,'Resumo Grupos'!$AB$3:$AB$200,0)),"n/d"))</f>
        <v/>
      </c>
      <c r="AA1834" s="59">
        <f>IF($T1834="","",IF(COUNTIF('Resumo Grupos'!$AE$3:$AE$40,$T1834)&gt;0,"NAO","SIM"))</f>
        <v/>
      </c>
    </row>
    <row r="1835" ht="12.75" customHeight="1" s="60">
      <c r="A1835" s="59" t="n">
        <v>1</v>
      </c>
      <c r="B1835" s="75" t="n">
        <v>46135</v>
      </c>
      <c r="C1835" s="75" t="n">
        <v>46244</v>
      </c>
      <c r="D1835" s="59" t="n">
        <v>1758</v>
      </c>
      <c r="E1835" s="59" t="inlineStr">
        <is>
          <t>DESPESA OPER LOJA</t>
        </is>
      </c>
      <c r="F1835" s="59" t="n">
        <v>46</v>
      </c>
      <c r="G1835" s="59" t="inlineStr">
        <is>
          <t>Cartao Sant 1 Velho 9336 venc 10</t>
        </is>
      </c>
      <c r="H1835" s="59" t="n">
        <v>2110405</v>
      </c>
      <c r="I1835" s="59" t="inlineStr">
        <is>
          <t>CONTAS A PAGAR</t>
        </is>
      </c>
      <c r="J1835" s="59" t="n">
        <v>993744</v>
      </c>
      <c r="L1835" s="59" t="n">
        <v>420093</v>
      </c>
      <c r="M1835" s="59" t="inlineStr">
        <is>
          <t>04</t>
        </is>
      </c>
      <c r="N1835" s="59" t="inlineStr">
        <is>
          <t>AVU</t>
        </is>
      </c>
      <c r="P1835" s="59" t="n">
        <v>101</v>
      </c>
      <c r="Q1835" s="59" t="inlineStr">
        <is>
          <t>KEILA LIMA</t>
        </is>
      </c>
      <c r="R1835" s="59" t="inlineStr">
        <is>
          <t>DESPESAS NAO OPERACIONAIS</t>
        </is>
      </c>
      <c r="S1835" s="59" t="n">
        <v>4220199</v>
      </c>
      <c r="T1835" s="59" t="inlineStr">
        <is>
          <t>PAGAMENTOS OUTROS NAO OPERACIONAIS</t>
        </is>
      </c>
      <c r="U1835" s="77" t="n">
        <v>130</v>
      </c>
      <c r="W1835" s="59" t="n">
        <v>0</v>
      </c>
      <c r="X1835" s="59" t="inlineStr">
        <is>
          <t>OUTROS DESP MO1 FUNCIONARIO PARC 04/06</t>
        </is>
      </c>
      <c r="Z1835" s="59">
        <f>IF($T1835="","",IFERROR(INDEX('Resumo Grupos'!$AC$3:$AC$200,MATCH($T1835,'Resumo Grupos'!$AB$3:$AB$200,0)),"n/d"))</f>
        <v/>
      </c>
      <c r="AA1835" s="59">
        <f>IF($T1835="","",IF(COUNTIF('Resumo Grupos'!$AE$3:$AE$40,$T1835)&gt;0,"NAO","SIM"))</f>
        <v/>
      </c>
    </row>
    <row r="1836" ht="12.75" customHeight="1" s="60">
      <c r="A1836" s="59" t="n">
        <v>1</v>
      </c>
      <c r="B1836" s="75" t="n">
        <v>46139</v>
      </c>
      <c r="C1836" s="75" t="n">
        <v>46244</v>
      </c>
      <c r="D1836" s="59" t="n">
        <v>1835</v>
      </c>
      <c r="E1836" s="59" t="inlineStr">
        <is>
          <t>LOJA DO REI COMERCIO DE MATERIAL DE CONS</t>
        </is>
      </c>
      <c r="F1836" s="59" t="n">
        <v>46</v>
      </c>
      <c r="G1836" s="59" t="inlineStr">
        <is>
          <t>Cartao Sant 1 Velho 9336 venc 10</t>
        </is>
      </c>
      <c r="H1836" s="59" t="n">
        <v>2110405</v>
      </c>
      <c r="I1836" s="59" t="inlineStr">
        <is>
          <t>CONTAS A PAGAR</t>
        </is>
      </c>
      <c r="J1836" s="59" t="n">
        <v>1014538</v>
      </c>
      <c r="L1836" s="59" t="n">
        <v>102658</v>
      </c>
      <c r="M1836" s="59" t="inlineStr">
        <is>
          <t>03</t>
        </is>
      </c>
      <c r="N1836" s="59" t="inlineStr">
        <is>
          <t>AVU</t>
        </is>
      </c>
      <c r="P1836" s="59" t="n">
        <v>101</v>
      </c>
      <c r="Q1836" s="59" t="inlineStr">
        <is>
          <t>KEILA LIMA</t>
        </is>
      </c>
      <c r="R1836" s="59" t="inlineStr">
        <is>
          <t>DESPESAS OPERACIONAIS</t>
        </is>
      </c>
      <c r="S1836" s="59" t="n">
        <v>4210227</v>
      </c>
      <c r="T1836" s="59" t="inlineStr">
        <is>
          <t>DESPESAS LOJA</t>
        </is>
      </c>
      <c r="U1836" s="77" t="n">
        <v>103.11</v>
      </c>
      <c r="W1836" s="59" t="n">
        <v>0</v>
      </c>
      <c r="X1836" s="59" t="inlineStr">
        <is>
          <t>NF 102658 PARC 3/3 DESPESA LOJA - KEILA</t>
        </is>
      </c>
      <c r="Z1836" s="59">
        <f>IF($T1836="","",IFERROR(INDEX('Resumo Grupos'!$AC$3:$AC$200,MATCH($T1836,'Resumo Grupos'!$AB$3:$AB$200,0)),"n/d"))</f>
        <v/>
      </c>
      <c r="AA1836" s="59">
        <f>IF($T1836="","",IF(COUNTIF('Resumo Grupos'!$AE$3:$AE$40,$T1836)&gt;0,"NAO","SIM"))</f>
        <v/>
      </c>
    </row>
    <row r="1837" ht="12.75" customHeight="1" s="60">
      <c r="A1837" s="59" t="n">
        <v>1</v>
      </c>
      <c r="B1837" s="75" t="n">
        <v>46112</v>
      </c>
      <c r="C1837" s="75" t="n">
        <v>46244</v>
      </c>
      <c r="D1837" s="59" t="n">
        <v>10006</v>
      </c>
      <c r="E1837" s="59" t="inlineStr">
        <is>
          <t>RUAN FERNANDES</t>
        </is>
      </c>
      <c r="F1837" s="59" t="n">
        <v>46</v>
      </c>
      <c r="G1837" s="59" t="inlineStr">
        <is>
          <t>Cartao Sant 1 Velho 9336 venc 10</t>
        </is>
      </c>
      <c r="H1837" s="59" t="n">
        <v>2110405</v>
      </c>
      <c r="I1837" s="59" t="inlineStr">
        <is>
          <t>CONTAS A PAGAR</t>
        </is>
      </c>
      <c r="J1837" s="59" t="n">
        <v>1085756</v>
      </c>
      <c r="L1837" s="59" t="n">
        <v>455404</v>
      </c>
      <c r="M1837" s="59" t="inlineStr">
        <is>
          <t>04</t>
        </is>
      </c>
      <c r="N1837" s="59" t="inlineStr">
        <is>
          <t>AVU</t>
        </is>
      </c>
      <c r="P1837" s="59" t="n">
        <v>101</v>
      </c>
      <c r="Q1837" s="59" t="inlineStr">
        <is>
          <t>KEILA LIMA</t>
        </is>
      </c>
      <c r="R1837" s="59" t="inlineStr">
        <is>
          <t>DESPESAS OPERACIONAIS</t>
        </is>
      </c>
      <c r="S1837" s="59" t="n">
        <v>4210232</v>
      </c>
      <c r="T1837" s="59" t="inlineStr">
        <is>
          <t>MANUTENÇÃO EQUIPAMENTOS DE INFORMATICA</t>
        </is>
      </c>
      <c r="U1837" s="77" t="n">
        <v>375</v>
      </c>
      <c r="W1837" s="59" t="n">
        <v>0</v>
      </c>
      <c r="X1837" s="59" t="inlineStr">
        <is>
          <t xml:space="preserve"> MO1 SERVIDOR WORDBALAACE - PARC 04/04</t>
        </is>
      </c>
      <c r="Z1837" s="59">
        <f>IF($T1837="","",IFERROR(INDEX('Resumo Grupos'!$AC$3:$AC$200,MATCH($T1837,'Resumo Grupos'!$AB$3:$AB$200,0)),"n/d"))</f>
        <v/>
      </c>
      <c r="AA1837" s="59">
        <f>IF($T1837="","",IF(COUNTIF('Resumo Grupos'!$AE$3:$AE$40,$T1837)&gt;0,"NAO","SIM"))</f>
        <v/>
      </c>
    </row>
    <row r="1838" ht="12.75" customHeight="1" s="60">
      <c r="A1838" s="59" t="n">
        <v>1</v>
      </c>
      <c r="B1838" s="75" t="n">
        <v>46169</v>
      </c>
      <c r="C1838" s="75" t="n">
        <v>46244</v>
      </c>
      <c r="D1838" s="59" t="n">
        <v>546</v>
      </c>
      <c r="E1838" s="59" t="inlineStr">
        <is>
          <t xml:space="preserve">IMPERIO FESTAS MIX </t>
        </is>
      </c>
      <c r="F1838" s="59" t="n">
        <v>46</v>
      </c>
      <c r="G1838" s="59" t="inlineStr">
        <is>
          <t>Cartao Sant 1 Velho 9336 venc 10</t>
        </is>
      </c>
      <c r="H1838" s="59" t="n">
        <v>2110405</v>
      </c>
      <c r="I1838" s="59" t="inlineStr">
        <is>
          <t>CONTAS A PAGAR</t>
        </is>
      </c>
      <c r="J1838" s="59" t="n">
        <v>1176263</v>
      </c>
      <c r="L1838" s="59" t="n">
        <v>2639</v>
      </c>
      <c r="M1838" s="59" t="inlineStr">
        <is>
          <t>02</t>
        </is>
      </c>
      <c r="N1838" s="59" t="inlineStr">
        <is>
          <t>AVU</t>
        </is>
      </c>
      <c r="P1838" s="59" t="n">
        <v>101</v>
      </c>
      <c r="Q1838" s="59" t="inlineStr">
        <is>
          <t>KEILA LIMA</t>
        </is>
      </c>
      <c r="R1838" s="59" t="inlineStr">
        <is>
          <t>DESPESAS OPERACIONAIS</t>
        </is>
      </c>
      <c r="S1838" s="59" t="n">
        <v>4210227</v>
      </c>
      <c r="T1838" s="59" t="inlineStr">
        <is>
          <t>DESPESAS LOJA</t>
        </is>
      </c>
      <c r="U1838" s="77" t="n">
        <v>158.85</v>
      </c>
      <c r="W1838" s="59" t="n">
        <v>0</v>
      </c>
      <c r="X1838" s="59" t="inlineStr">
        <is>
          <t>DECORACAO LOJA COPA PARC 02/02 - KEILA</t>
        </is>
      </c>
      <c r="Z1838" s="59">
        <f>IF($T1838="","",IFERROR(INDEX('Resumo Grupos'!$AC$3:$AC$200,MATCH($T1838,'Resumo Grupos'!$AB$3:$AB$200,0)),"n/d"))</f>
        <v/>
      </c>
      <c r="AA1838" s="59">
        <f>IF($T1838="","",IF(COUNTIF('Resumo Grupos'!$AE$3:$AE$40,$T1838)&gt;0,"NAO","SIM"))</f>
        <v/>
      </c>
    </row>
    <row r="1839" ht="12.75" customHeight="1" s="60">
      <c r="A1839" s="59" t="n">
        <v>1</v>
      </c>
      <c r="B1839" s="75" t="n">
        <v>46182</v>
      </c>
      <c r="C1839" s="75" t="n">
        <v>46244</v>
      </c>
      <c r="D1839" s="59" t="n">
        <v>1898</v>
      </c>
      <c r="E1839" s="59" t="inlineStr">
        <is>
          <t>BF COMERCIO DE EQUIP. E SUP DE INFO LTDA</t>
        </is>
      </c>
      <c r="F1839" s="59" t="n">
        <v>46</v>
      </c>
      <c r="G1839" s="59" t="inlineStr">
        <is>
          <t>Cartao Sant 1 Velho 9336 venc 10</t>
        </is>
      </c>
      <c r="H1839" s="59" t="n">
        <v>2110405</v>
      </c>
      <c r="I1839" s="59" t="inlineStr">
        <is>
          <t>CONTAS A PAGAR</t>
        </is>
      </c>
      <c r="J1839" s="59" t="n">
        <v>1226797</v>
      </c>
      <c r="L1839" s="59" t="n">
        <v>5536</v>
      </c>
      <c r="M1839" s="59" t="inlineStr">
        <is>
          <t>02</t>
        </is>
      </c>
      <c r="N1839" s="59" t="inlineStr">
        <is>
          <t>AVU</t>
        </is>
      </c>
      <c r="P1839" s="59" t="n">
        <v>101</v>
      </c>
      <c r="Q1839" s="59" t="inlineStr">
        <is>
          <t>KEILA LIMA</t>
        </is>
      </c>
      <c r="R1839" s="59" t="inlineStr">
        <is>
          <t>DESPESAS OPERACIONAIS</t>
        </is>
      </c>
      <c r="S1839" s="59" t="n">
        <v>4210226</v>
      </c>
      <c r="T1839" s="59" t="inlineStr">
        <is>
          <t>DESPESAS ESCRITORIO</t>
        </is>
      </c>
      <c r="U1839" s="77" t="n">
        <v>157.89</v>
      </c>
      <c r="W1839" s="59" t="n">
        <v>0</v>
      </c>
      <c r="X1839" s="59" t="inlineStr">
        <is>
          <t>NF 5.536 PARC 02/02  TONNER ESCRITORIO - KEILA</t>
        </is>
      </c>
      <c r="Z1839" s="59">
        <f>IF($T1839="","",IFERROR(INDEX('Resumo Grupos'!$AC$3:$AC$200,MATCH($T1839,'Resumo Grupos'!$AB$3:$AB$200,0)),"n/d"))</f>
        <v/>
      </c>
      <c r="AA1839" s="59">
        <f>IF($T1839="","",IF(COUNTIF('Resumo Grupos'!$AE$3:$AE$40,$T1839)&gt;0,"NAO","SIM"))</f>
        <v/>
      </c>
    </row>
    <row r="1840" ht="12.75" customHeight="1" s="60">
      <c r="A1840" s="59" t="n">
        <v>1</v>
      </c>
      <c r="B1840" s="75" t="n">
        <v>46153</v>
      </c>
      <c r="C1840" s="75" t="n">
        <v>46244</v>
      </c>
      <c r="D1840" s="59" t="n">
        <v>1898</v>
      </c>
      <c r="E1840" s="59" t="inlineStr">
        <is>
          <t>BF COMERCIO DE EQUIP. E SUP DE INFO LTDA</t>
        </is>
      </c>
      <c r="F1840" s="59" t="n">
        <v>46</v>
      </c>
      <c r="G1840" s="59" t="inlineStr">
        <is>
          <t>Cartao Sant 1 Velho 9336 venc 10</t>
        </is>
      </c>
      <c r="H1840" s="59" t="n">
        <v>2110405</v>
      </c>
      <c r="I1840" s="59" t="inlineStr">
        <is>
          <t>CONTAS A PAGAR</t>
        </is>
      </c>
      <c r="J1840" s="59" t="n">
        <v>1230688</v>
      </c>
      <c r="L1840" s="59" t="n">
        <v>5484</v>
      </c>
      <c r="M1840" s="59" t="inlineStr">
        <is>
          <t>03</t>
        </is>
      </c>
      <c r="N1840" s="59" t="inlineStr">
        <is>
          <t>AVU</t>
        </is>
      </c>
      <c r="P1840" s="59" t="n">
        <v>101</v>
      </c>
      <c r="Q1840" s="59" t="inlineStr">
        <is>
          <t>KEILA LIMA</t>
        </is>
      </c>
      <c r="R1840" s="59" t="inlineStr">
        <is>
          <t>DESPESAS OPERACIONAIS</t>
        </is>
      </c>
      <c r="S1840" s="59" t="n">
        <v>4210205</v>
      </c>
      <c r="T1840" s="59" t="inlineStr">
        <is>
          <t>MATERIAL DE ESCRITORIO</t>
        </is>
      </c>
      <c r="U1840" s="77" t="n">
        <v>120.12</v>
      </c>
      <c r="W1840" s="59" t="n">
        <v>0</v>
      </c>
      <c r="X1840" s="59" t="inlineStr">
        <is>
          <t>NF 5484 PARC 03/04 TONNER ESCR - KEILA</t>
        </is>
      </c>
      <c r="Z1840" s="59">
        <f>IF($T1840="","",IFERROR(INDEX('Resumo Grupos'!$AC$3:$AC$200,MATCH($T1840,'Resumo Grupos'!$AB$3:$AB$200,0)),"n/d"))</f>
        <v/>
      </c>
      <c r="AA1840" s="59">
        <f>IF($T1840="","",IF(COUNTIF('Resumo Grupos'!$AE$3:$AE$40,$T1840)&gt;0,"NAO","SIM"))</f>
        <v/>
      </c>
    </row>
    <row r="1841" ht="12.75" customHeight="1" s="60">
      <c r="A1841" s="59" t="n">
        <v>1</v>
      </c>
      <c r="B1841" s="75" t="n">
        <v>46183</v>
      </c>
      <c r="C1841" s="75" t="n">
        <v>46244</v>
      </c>
      <c r="D1841" s="59" t="n">
        <v>1747</v>
      </c>
      <c r="E1841" s="59" t="inlineStr">
        <is>
          <t>SV INSTALACOES LTDA</t>
        </is>
      </c>
      <c r="F1841" s="59" t="n">
        <v>46</v>
      </c>
      <c r="G1841" s="59" t="inlineStr">
        <is>
          <t>Cartao Sant 1 Velho 9336 venc 10</t>
        </is>
      </c>
      <c r="H1841" s="59" t="n">
        <v>2110405</v>
      </c>
      <c r="I1841" s="59" t="inlineStr">
        <is>
          <t>CONTAS A PAGAR</t>
        </is>
      </c>
      <c r="J1841" s="59" t="n">
        <v>1231737</v>
      </c>
      <c r="L1841" s="59" t="n">
        <v>1529878</v>
      </c>
      <c r="M1841" s="59" t="inlineStr">
        <is>
          <t>02</t>
        </is>
      </c>
      <c r="N1841" s="59" t="inlineStr">
        <is>
          <t>AVU</t>
        </is>
      </c>
      <c r="P1841" s="59" t="n">
        <v>101</v>
      </c>
      <c r="Q1841" s="59" t="inlineStr">
        <is>
          <t>KEILA LIMA</t>
        </is>
      </c>
      <c r="R1841" s="59" t="inlineStr">
        <is>
          <t>DESPESAS COM PESSOAL</t>
        </is>
      </c>
      <c r="S1841" s="59" t="n">
        <v>4210317</v>
      </c>
      <c r="T1841" s="59" t="inlineStr">
        <is>
          <t>EPI - FUNCIONARIOS</t>
        </is>
      </c>
      <c r="U1841" s="77" t="n">
        <v>116.07</v>
      </c>
      <c r="W1841" s="59" t="n">
        <v>0</v>
      </c>
      <c r="X1841" s="59" t="inlineStr">
        <is>
          <t>NF 1529878 - BOTAS ACOUGUEIROS - KEILA</t>
        </is>
      </c>
      <c r="Z1841" s="59">
        <f>IF($T1841="","",IFERROR(INDEX('Resumo Grupos'!$AC$3:$AC$200,MATCH($T1841,'Resumo Grupos'!$AB$3:$AB$200,0)),"n/d"))</f>
        <v/>
      </c>
      <c r="AA1841" s="59">
        <f>IF($T1841="","",IF(COUNTIF('Resumo Grupos'!$AE$3:$AE$40,$T1841)&gt;0,"NAO","SIM"))</f>
        <v/>
      </c>
    </row>
    <row r="1842" ht="12.75" customHeight="1" s="60">
      <c r="A1842" s="59" t="n">
        <v>1</v>
      </c>
      <c r="B1842" s="75" t="n">
        <v>46204</v>
      </c>
      <c r="C1842" s="75" t="n">
        <v>46244</v>
      </c>
      <c r="D1842" s="59" t="n">
        <v>1008</v>
      </c>
      <c r="E1842" s="59" t="inlineStr">
        <is>
          <t>A5 COMERCIO DE EQUIPAMENTOS LTDA</t>
        </is>
      </c>
      <c r="F1842" s="59" t="n">
        <v>46</v>
      </c>
      <c r="G1842" s="59" t="inlineStr">
        <is>
          <t>Cartao Sant 1 Velho 9336 venc 10</t>
        </is>
      </c>
      <c r="H1842" s="59" t="n">
        <v>2110405</v>
      </c>
      <c r="I1842" s="59" t="inlineStr">
        <is>
          <t>CONTAS A PAGAR</t>
        </is>
      </c>
      <c r="J1842" s="59" t="n">
        <v>1336323</v>
      </c>
      <c r="L1842" s="59" t="n">
        <v>1657</v>
      </c>
      <c r="M1842" s="59" t="inlineStr">
        <is>
          <t>01</t>
        </is>
      </c>
      <c r="N1842" s="59" t="inlineStr">
        <is>
          <t>AVU</t>
        </is>
      </c>
      <c r="P1842" s="59" t="n">
        <v>101</v>
      </c>
      <c r="Q1842" s="59" t="inlineStr">
        <is>
          <t>KEILA LIMA</t>
        </is>
      </c>
      <c r="R1842" s="59" t="inlineStr">
        <is>
          <t>DESPESAS OPERACIONAIS</t>
        </is>
      </c>
      <c r="S1842" s="59" t="n">
        <v>4210232</v>
      </c>
      <c r="T1842" s="59" t="inlineStr">
        <is>
          <t>MANUTENÇÃO EQUIPAMENTOS DE INFORMATICA</t>
        </is>
      </c>
      <c r="U1842" s="77" t="n">
        <v>208</v>
      </c>
      <c r="W1842" s="59" t="n">
        <v>0</v>
      </c>
      <c r="X1842" s="59" t="inlineStr">
        <is>
          <t>PARC 01/10 BALANCA CX 4 MO1 - KEILA</t>
        </is>
      </c>
      <c r="Z1842" s="59">
        <f>IF($T1842="","",IFERROR(INDEX('Resumo Grupos'!$AC$3:$AC$200,MATCH($T1842,'Resumo Grupos'!$AB$3:$AB$200,0)),"n/d"))</f>
        <v/>
      </c>
      <c r="AA1842" s="59">
        <f>IF($T1842="","",IF(COUNTIF('Resumo Grupos'!$AE$3:$AE$40,$T1842)&gt;0,"NAO","SIM"))</f>
        <v/>
      </c>
    </row>
    <row r="1843" ht="12.75" customHeight="1" s="60">
      <c r="A1843" s="59" t="n">
        <v>1</v>
      </c>
      <c r="B1843" s="75" t="n">
        <v>46211</v>
      </c>
      <c r="C1843" s="75" t="n">
        <v>46244</v>
      </c>
      <c r="D1843" s="59" t="n">
        <v>10026</v>
      </c>
      <c r="E1843" s="59" t="inlineStr">
        <is>
          <t>SWTL SERVICOS DE INFORMATICA LTDA</t>
        </is>
      </c>
      <c r="F1843" s="59" t="n">
        <v>24</v>
      </c>
      <c r="G1843" s="59" t="inlineStr">
        <is>
          <t>Compra a Prazo - Boletos</t>
        </is>
      </c>
      <c r="H1843" s="59" t="n">
        <v>1110202</v>
      </c>
      <c r="I1843" s="59" t="inlineStr">
        <is>
          <t>BANCO ITAU Lj 01</t>
        </is>
      </c>
      <c r="J1843" s="59" t="n">
        <v>1370737</v>
      </c>
      <c r="L1843" s="59" t="n">
        <v>565779</v>
      </c>
      <c r="M1843" s="59" t="inlineStr">
        <is>
          <t>01</t>
        </is>
      </c>
      <c r="N1843" s="59" t="inlineStr">
        <is>
          <t>AVU</t>
        </is>
      </c>
      <c r="P1843" s="59" t="n">
        <v>101</v>
      </c>
      <c r="Q1843" s="59" t="inlineStr">
        <is>
          <t>KEILA LIMA</t>
        </is>
      </c>
      <c r="R1843" s="59" t="inlineStr">
        <is>
          <t>DESPESAS OPERACIONAIS</t>
        </is>
      </c>
      <c r="S1843" s="59" t="n">
        <v>4210222</v>
      </c>
      <c r="T1843" s="59" t="inlineStr">
        <is>
          <t>TREINAMENTO/CONSULTORIAS</t>
        </is>
      </c>
      <c r="U1843" s="77" t="n">
        <v>666.67</v>
      </c>
      <c r="W1843" s="59" t="n">
        <v>0</v>
      </c>
      <c r="X1843" s="59" t="inlineStr">
        <is>
          <t>MENSALIDADE CONSULTORIA CISS PARTE MO1 - KELA</t>
        </is>
      </c>
      <c r="Z1843" s="59">
        <f>IF($T1843="","",IFERROR(INDEX('Resumo Grupos'!$AC$3:$AC$200,MATCH($T1843,'Resumo Grupos'!$AB$3:$AB$200,0)),"n/d"))</f>
        <v/>
      </c>
      <c r="AA1843" s="59">
        <f>IF($T1843="","",IF(COUNTIF('Resumo Grupos'!$AE$3:$AE$40,$T1843)&gt;0,"NAO","SIM"))</f>
        <v/>
      </c>
    </row>
    <row r="1844" ht="12.75" customHeight="1" s="60">
      <c r="A1844" s="59" t="n">
        <v>1</v>
      </c>
      <c r="B1844" s="75" t="n">
        <v>46211</v>
      </c>
      <c r="C1844" s="75" t="n">
        <v>46244</v>
      </c>
      <c r="D1844" s="59" t="n">
        <v>10026</v>
      </c>
      <c r="E1844" s="59" t="inlineStr">
        <is>
          <t>SWTL SERVICOS DE INFORMATICA LTDA</t>
        </is>
      </c>
      <c r="F1844" s="59" t="n">
        <v>24</v>
      </c>
      <c r="G1844" s="59" t="inlineStr">
        <is>
          <t>Compra a Prazo - Boletos</t>
        </is>
      </c>
      <c r="H1844" s="59" t="n">
        <v>2110405</v>
      </c>
      <c r="I1844" s="59" t="inlineStr">
        <is>
          <t>CONTAS A PAGAR</t>
        </is>
      </c>
      <c r="J1844" s="59" t="n">
        <v>1370749</v>
      </c>
      <c r="L1844" s="59" t="n">
        <v>565780</v>
      </c>
      <c r="M1844" s="59" t="inlineStr">
        <is>
          <t>01</t>
        </is>
      </c>
      <c r="N1844" s="59" t="inlineStr">
        <is>
          <t>AVU</t>
        </is>
      </c>
      <c r="P1844" s="59" t="n">
        <v>101</v>
      </c>
      <c r="Q1844" s="59" t="inlineStr">
        <is>
          <t>KEILA LIMA</t>
        </is>
      </c>
      <c r="R1844" s="59" t="inlineStr">
        <is>
          <t>DESPESAS NAO OPERACIONAIS</t>
        </is>
      </c>
      <c r="S1844" s="59" t="n">
        <v>4220199</v>
      </c>
      <c r="T1844" s="59" t="inlineStr">
        <is>
          <t>PAGAMENTOS OUTROS NAO OPERACIONAIS</t>
        </is>
      </c>
      <c r="U1844" s="77" t="n">
        <v>2000</v>
      </c>
      <c r="W1844" s="59" t="n">
        <v>2000</v>
      </c>
      <c r="X1844" s="59" t="inlineStr">
        <is>
          <t>MENSALIDADE CONSULTORIA CISS LOJAS NAO SO - KELA</t>
        </is>
      </c>
      <c r="Z1844" s="59">
        <f>IF($T1844="","",IFERROR(INDEX('Resumo Grupos'!$AC$3:$AC$200,MATCH($T1844,'Resumo Grupos'!$AB$3:$AB$200,0)),"n/d"))</f>
        <v/>
      </c>
      <c r="AA1844" s="59">
        <f>IF($T1844="","",IF(COUNTIF('Resumo Grupos'!$AE$3:$AE$40,$T1844)&gt;0,"NAO","SIM"))</f>
        <v/>
      </c>
    </row>
    <row r="1845" ht="12.75" customHeight="1" s="60">
      <c r="A1845" s="59" t="n">
        <v>1</v>
      </c>
      <c r="B1845" s="75" t="n">
        <v>46213</v>
      </c>
      <c r="C1845" s="75" t="n">
        <v>46244</v>
      </c>
      <c r="D1845" s="59" t="n">
        <v>1914</v>
      </c>
      <c r="E1845" s="59" t="inlineStr">
        <is>
          <t>CAP-COMERCIO DE EQUIPAMENTOS DE INFORMAT</t>
        </is>
      </c>
      <c r="F1845" s="59" t="n">
        <v>46</v>
      </c>
      <c r="G1845" s="59" t="inlineStr">
        <is>
          <t>Cartao Sant 1 Velho 9336 venc 10</t>
        </is>
      </c>
      <c r="H1845" s="59" t="n">
        <v>1110202</v>
      </c>
      <c r="I1845" s="59" t="inlineStr">
        <is>
          <t>BANCO ITAU Lj 01</t>
        </is>
      </c>
      <c r="J1845" s="59" t="n">
        <v>1377369</v>
      </c>
      <c r="L1845" s="59" t="n">
        <v>28968</v>
      </c>
      <c r="M1845" s="59" t="inlineStr">
        <is>
          <t>01</t>
        </is>
      </c>
      <c r="N1845" s="59" t="inlineStr">
        <is>
          <t>AVU</t>
        </is>
      </c>
      <c r="P1845" s="59" t="n">
        <v>101</v>
      </c>
      <c r="Q1845" s="59" t="inlineStr">
        <is>
          <t>KEILA LIMA</t>
        </is>
      </c>
      <c r="R1845" s="59" t="inlineStr">
        <is>
          <t>DESPESAS OPERACIONAIS</t>
        </is>
      </c>
      <c r="S1845" s="59" t="n">
        <v>4210232</v>
      </c>
      <c r="T1845" s="59" t="inlineStr">
        <is>
          <t>MANUTENÇÃO EQUIPAMENTOS DE INFORMATICA</t>
        </is>
      </c>
      <c r="U1845" s="77" t="n">
        <v>935.28</v>
      </c>
      <c r="W1845" s="59" t="n">
        <v>0</v>
      </c>
      <c r="X1845" s="59" t="inlineStr">
        <is>
          <t>NF 28968 PARC1/3 2 LEITOR CX 1 E CX 4 MO1 - KEILA</t>
        </is>
      </c>
      <c r="Z1845" s="59">
        <f>IF($T1845="","",IFERROR(INDEX('Resumo Grupos'!$AC$3:$AC$200,MATCH($T1845,'Resumo Grupos'!$AB$3:$AB$200,0)),"n/d"))</f>
        <v/>
      </c>
      <c r="AA1845" s="59">
        <f>IF($T1845="","",IF(COUNTIF('Resumo Grupos'!$AE$3:$AE$40,$T1845)&gt;0,"NAO","SIM"))</f>
        <v/>
      </c>
    </row>
    <row r="1846" ht="12.75" customHeight="1" s="60">
      <c r="A1846" s="59" t="n">
        <v>1</v>
      </c>
      <c r="B1846" s="75" t="n">
        <v>46199</v>
      </c>
      <c r="C1846" s="75" t="n">
        <v>46244</v>
      </c>
      <c r="D1846" s="59" t="n">
        <v>1758</v>
      </c>
      <c r="E1846" s="59" t="inlineStr">
        <is>
          <t>DESPESA OPER LOJA</t>
        </is>
      </c>
      <c r="F1846" s="59" t="n">
        <v>46</v>
      </c>
      <c r="G1846" s="59" t="inlineStr">
        <is>
          <t>Cartao Sant 1 Velho 9336 venc 10</t>
        </is>
      </c>
      <c r="H1846" s="59" t="n">
        <v>1110202</v>
      </c>
      <c r="I1846" s="59" t="inlineStr">
        <is>
          <t>BANCO ITAU Lj 01</t>
        </is>
      </c>
      <c r="J1846" s="59" t="n">
        <v>1378055</v>
      </c>
      <c r="L1846" s="59" t="n">
        <v>568065</v>
      </c>
      <c r="M1846" s="59" t="inlineStr">
        <is>
          <t>02</t>
        </is>
      </c>
      <c r="N1846" s="59" t="inlineStr">
        <is>
          <t>AVU</t>
        </is>
      </c>
      <c r="P1846" s="59" t="n">
        <v>101</v>
      </c>
      <c r="Q1846" s="59" t="inlineStr">
        <is>
          <t>KEILA LIMA</t>
        </is>
      </c>
      <c r="R1846" s="59" t="inlineStr">
        <is>
          <t>DESPESAS OPERACIONAIS</t>
        </is>
      </c>
      <c r="S1846" s="59" t="n">
        <v>4210227</v>
      </c>
      <c r="T1846" s="59" t="inlineStr">
        <is>
          <t>DESPESAS LOJA</t>
        </is>
      </c>
      <c r="U1846" s="77" t="n">
        <v>429.66</v>
      </c>
      <c r="W1846" s="59" t="n">
        <v>0</v>
      </c>
      <c r="X1846" s="59" t="inlineStr">
        <is>
          <t>PARC 02/05 DESPESA MINEIRO - KEILA</t>
        </is>
      </c>
      <c r="Z1846" s="59">
        <f>IF($T1846="","",IFERROR(INDEX('Resumo Grupos'!$AC$3:$AC$200,MATCH($T1846,'Resumo Grupos'!$AB$3:$AB$200,0)),"n/d"))</f>
        <v/>
      </c>
      <c r="AA1846" s="59">
        <f>IF($T1846="","",IF(COUNTIF('Resumo Grupos'!$AE$3:$AE$40,$T1846)&gt;0,"NAO","SIM"))</f>
        <v/>
      </c>
    </row>
    <row r="1847" ht="12.75" customHeight="1" s="60">
      <c r="A1847" s="59" t="n">
        <v>1</v>
      </c>
      <c r="B1847" s="75" t="n">
        <v>46213</v>
      </c>
      <c r="C1847" s="75" t="n">
        <v>46244</v>
      </c>
      <c r="D1847" s="59" t="n">
        <v>1465</v>
      </c>
      <c r="E1847" s="59" t="inlineStr">
        <is>
          <t>HAVAN S.A.</t>
        </is>
      </c>
      <c r="F1847" s="59" t="n">
        <v>46</v>
      </c>
      <c r="G1847" s="59" t="inlineStr">
        <is>
          <t>Cartao Sant 1 Velho 9336 venc 10</t>
        </is>
      </c>
      <c r="H1847" s="59" t="n">
        <v>1110202</v>
      </c>
      <c r="I1847" s="59" t="inlineStr">
        <is>
          <t>BANCO ITAU Lj 01</t>
        </is>
      </c>
      <c r="J1847" s="59" t="n">
        <v>1378075</v>
      </c>
      <c r="L1847" s="59" t="n">
        <v>568085</v>
      </c>
      <c r="M1847" s="59" t="inlineStr">
        <is>
          <t>01</t>
        </is>
      </c>
      <c r="N1847" s="59" t="inlineStr">
        <is>
          <t>AVU</t>
        </is>
      </c>
      <c r="P1847" s="59" t="n">
        <v>101</v>
      </c>
      <c r="Q1847" s="59" t="inlineStr">
        <is>
          <t>KEILA LIMA</t>
        </is>
      </c>
      <c r="R1847" s="59" t="inlineStr">
        <is>
          <t>DESPESAS OPERACIONAIS</t>
        </is>
      </c>
      <c r="S1847" s="59" t="n">
        <v>4210228</v>
      </c>
      <c r="T1847" s="59" t="inlineStr">
        <is>
          <t>DESPESAS PADARIA</t>
        </is>
      </c>
      <c r="U1847" s="77" t="n">
        <v>86.76000000000001</v>
      </c>
      <c r="W1847" s="59" t="n">
        <v>0</v>
      </c>
      <c r="X1847" s="59" t="inlineStr">
        <is>
          <t>PARC 02/03 LIQUIDIFICADOR PADARIA MO1 - KEILA</t>
        </is>
      </c>
      <c r="Z1847" s="59">
        <f>IF($T1847="","",IFERROR(INDEX('Resumo Grupos'!$AC$3:$AC$200,MATCH($T1847,'Resumo Grupos'!$AB$3:$AB$200,0)),"n/d"))</f>
        <v/>
      </c>
      <c r="AA1847" s="59">
        <f>IF($T1847="","",IF(COUNTIF('Resumo Grupos'!$AE$3:$AE$40,$T1847)&gt;0,"NAO","SIM"))</f>
        <v/>
      </c>
    </row>
    <row r="1848" ht="12.75" customHeight="1" s="60">
      <c r="A1848" s="59" t="n">
        <v>1</v>
      </c>
      <c r="B1848" s="75" t="n">
        <v>46183</v>
      </c>
      <c r="C1848" s="75" t="n">
        <v>46244</v>
      </c>
      <c r="D1848" s="59" t="n">
        <v>16</v>
      </c>
      <c r="E1848" s="59" t="inlineStr">
        <is>
          <t>RENATO DE OLIVEIRA AZEVEDO</t>
        </is>
      </c>
      <c r="F1848" s="59" t="n">
        <v>46</v>
      </c>
      <c r="G1848" s="59" t="inlineStr">
        <is>
          <t>Cartao Sant 1 Velho 9336 venc 10</t>
        </is>
      </c>
      <c r="H1848" s="59" t="n">
        <v>1110202</v>
      </c>
      <c r="I1848" s="59" t="inlineStr">
        <is>
          <t>BANCO ITAU Lj 01</t>
        </is>
      </c>
      <c r="J1848" s="59" t="n">
        <v>1378230</v>
      </c>
      <c r="L1848" s="59" t="n">
        <v>568166</v>
      </c>
      <c r="M1848" s="59" t="inlineStr">
        <is>
          <t>02</t>
        </is>
      </c>
      <c r="N1848" s="59" t="inlineStr">
        <is>
          <t>AVU</t>
        </is>
      </c>
      <c r="P1848" s="59" t="n">
        <v>101</v>
      </c>
      <c r="Q1848" s="59" t="inlineStr">
        <is>
          <t>KEILA LIMA</t>
        </is>
      </c>
      <c r="R1848" s="59" t="inlineStr">
        <is>
          <t>DESPESAS NAO OPERACIONAIS</t>
        </is>
      </c>
      <c r="S1848" s="59" t="n">
        <v>4220199</v>
      </c>
      <c r="T1848" s="59" t="inlineStr">
        <is>
          <t>PAGAMENTOS OUTROS NAO OPERACIONAIS</t>
        </is>
      </c>
      <c r="U1848" s="77" t="n">
        <v>331.61</v>
      </c>
      <c r="W1848" s="59" t="n">
        <v>0</v>
      </c>
      <c r="X1848" s="59" t="inlineStr">
        <is>
          <t>PL RENATO PARC 02/03 - KEILA</t>
        </is>
      </c>
      <c r="Z1848" s="59">
        <f>IF($T1848="","",IFERROR(INDEX('Resumo Grupos'!$AC$3:$AC$200,MATCH($T1848,'Resumo Grupos'!$AB$3:$AB$200,0)),"n/d"))</f>
        <v/>
      </c>
      <c r="AA1848" s="59">
        <f>IF($T1848="","",IF(COUNTIF('Resumo Grupos'!$AE$3:$AE$40,$T1848)&gt;0,"NAO","SIM"))</f>
        <v/>
      </c>
    </row>
    <row r="1849" ht="12.75" customHeight="1" s="60">
      <c r="A1849" s="59" t="n">
        <v>1</v>
      </c>
      <c r="B1849" s="75" t="n">
        <v>46174</v>
      </c>
      <c r="C1849" s="75" t="n">
        <v>46244</v>
      </c>
      <c r="D1849" s="59" t="n">
        <v>1933</v>
      </c>
      <c r="E1849" s="59" t="inlineStr">
        <is>
          <t>NEY MATERIAL DE CONSTRUCAO</t>
        </is>
      </c>
      <c r="F1849" s="59" t="n">
        <v>46</v>
      </c>
      <c r="G1849" s="59" t="inlineStr">
        <is>
          <t>Cartao Sant 1 Velho 9336 venc 10</t>
        </is>
      </c>
      <c r="H1849" s="59" t="n">
        <v>2110405</v>
      </c>
      <c r="I1849" s="59" t="inlineStr">
        <is>
          <t>CONTAS A PAGAR</t>
        </is>
      </c>
      <c r="J1849" s="59" t="n">
        <v>1382032</v>
      </c>
      <c r="L1849" s="59" t="n">
        <v>570381</v>
      </c>
      <c r="M1849" s="59" t="inlineStr">
        <is>
          <t>02</t>
        </is>
      </c>
      <c r="N1849" s="59" t="inlineStr">
        <is>
          <t>AVU</t>
        </is>
      </c>
      <c r="P1849" s="59" t="n">
        <v>101</v>
      </c>
      <c r="Q1849" s="59" t="inlineStr">
        <is>
          <t>KEILA LIMA</t>
        </is>
      </c>
      <c r="R1849" s="59" t="inlineStr">
        <is>
          <t>DESPESAS NAO OPERACIONAIS</t>
        </is>
      </c>
      <c r="S1849" s="59" t="n">
        <v>4220199</v>
      </c>
      <c r="T1849" s="59" t="inlineStr">
        <is>
          <t>PAGAMENTOS OUTROS NAO OPERACIONAIS</t>
        </is>
      </c>
      <c r="U1849" s="77" t="n">
        <v>600</v>
      </c>
      <c r="W1849" s="59" t="n">
        <v>0</v>
      </c>
      <c r="X1849" s="59" t="inlineStr">
        <is>
          <t xml:space="preserve">OUTROS ANDERSON PARC 01/03 MATERIAL CONSTRUCAO </t>
        </is>
      </c>
      <c r="Z1849" s="59">
        <f>IF($T1849="","",IFERROR(INDEX('Resumo Grupos'!$AC$3:$AC$200,MATCH($T1849,'Resumo Grupos'!$AB$3:$AB$200,0)),"n/d"))</f>
        <v/>
      </c>
      <c r="AA1849" s="59">
        <f>IF($T1849="","",IF(COUNTIF('Resumo Grupos'!$AE$3:$AE$40,$T1849)&gt;0,"NAO","SIM"))</f>
        <v/>
      </c>
    </row>
    <row r="1850" ht="12.75" customHeight="1" s="60">
      <c r="A1850" s="59" t="n">
        <v>1</v>
      </c>
      <c r="B1850" s="75" t="n">
        <v>46209</v>
      </c>
      <c r="C1850" s="75" t="n">
        <v>46244</v>
      </c>
      <c r="D1850" s="59" t="n">
        <v>930</v>
      </c>
      <c r="E1850" s="59" t="inlineStr">
        <is>
          <t xml:space="preserve">PONTO DO ELETRICISTA </t>
        </is>
      </c>
      <c r="F1850" s="59" t="n">
        <v>46</v>
      </c>
      <c r="G1850" s="59" t="inlineStr">
        <is>
          <t>Cartao Sant 1 Velho 9336 venc 10</t>
        </is>
      </c>
      <c r="H1850" s="59" t="n">
        <v>1110202</v>
      </c>
      <c r="I1850" s="59" t="inlineStr">
        <is>
          <t>BANCO ITAU Lj 01</t>
        </is>
      </c>
      <c r="J1850" s="59" t="n">
        <v>1382123</v>
      </c>
      <c r="L1850" s="59" t="n">
        <v>570412</v>
      </c>
      <c r="M1850" s="59" t="inlineStr">
        <is>
          <t>01</t>
        </is>
      </c>
      <c r="N1850" s="59" t="inlineStr">
        <is>
          <t>AVU</t>
        </is>
      </c>
      <c r="P1850" s="59" t="n">
        <v>101</v>
      </c>
      <c r="Q1850" s="59" t="inlineStr">
        <is>
          <t>KEILA LIMA</t>
        </is>
      </c>
      <c r="R1850" s="59" t="inlineStr">
        <is>
          <t>DESPESAS OPERACIONAIS</t>
        </is>
      </c>
      <c r="S1850" s="59" t="n">
        <v>4210232</v>
      </c>
      <c r="T1850" s="59" t="inlineStr">
        <is>
          <t>MANUTENÇÃO EQUIPAMENTOS DE INFORMATICA</t>
        </is>
      </c>
      <c r="U1850" s="77" t="n">
        <v>44</v>
      </c>
      <c r="W1850" s="59" t="n">
        <v>0</v>
      </c>
      <c r="X1850" s="59" t="inlineStr">
        <is>
          <t>CABO PP PLUG REGUA DE ENTRADA CX 04 DESPESA - KEIL</t>
        </is>
      </c>
      <c r="Z1850" s="59">
        <f>IF($T1850="","",IFERROR(INDEX('Resumo Grupos'!$AC$3:$AC$200,MATCH($T1850,'Resumo Grupos'!$AB$3:$AB$200,0)),"n/d"))</f>
        <v/>
      </c>
      <c r="AA1850" s="59">
        <f>IF($T1850="","",IF(COUNTIF('Resumo Grupos'!$AE$3:$AE$40,$T1850)&gt;0,"NAO","SIM"))</f>
        <v/>
      </c>
    </row>
    <row r="1851" ht="12.75" customHeight="1" s="60">
      <c r="A1851" s="59" t="n">
        <v>1</v>
      </c>
      <c r="B1851" s="75" t="n">
        <v>46216</v>
      </c>
      <c r="C1851" s="75" t="n">
        <v>46244</v>
      </c>
      <c r="D1851" s="59" t="n">
        <v>1608</v>
      </c>
      <c r="E1851" s="59" t="inlineStr">
        <is>
          <t>DISTRIBUIDORA LOPES LTDA</t>
        </is>
      </c>
      <c r="F1851" s="59" t="n">
        <v>24</v>
      </c>
      <c r="G1851" s="59" t="inlineStr">
        <is>
          <t>Compra a Prazo - Boletos</t>
        </is>
      </c>
      <c r="H1851" s="59" t="n">
        <v>2110405</v>
      </c>
      <c r="I1851" s="59" t="inlineStr">
        <is>
          <t>CONTAS A PAGAR</t>
        </is>
      </c>
      <c r="J1851" s="59" t="n">
        <v>1393462</v>
      </c>
      <c r="L1851" s="59" t="n">
        <v>1690976</v>
      </c>
      <c r="M1851" s="59" t="inlineStr">
        <is>
          <t>01</t>
        </is>
      </c>
      <c r="N1851" s="59" t="inlineStr">
        <is>
          <t>AVU</t>
        </is>
      </c>
      <c r="P1851" s="59" t="n">
        <v>103</v>
      </c>
      <c r="Q1851" s="59" t="inlineStr">
        <is>
          <t>MILKA FRANCIS</t>
        </is>
      </c>
      <c r="R1851" s="59" t="inlineStr">
        <is>
          <t>ESTOQUE DE MERCADORIAS</t>
        </is>
      </c>
      <c r="S1851" s="59" t="n">
        <v>1130101</v>
      </c>
      <c r="T1851" s="59" t="inlineStr">
        <is>
          <t>MERCADORIAS P/REVENDA</t>
        </is>
      </c>
      <c r="U1851" s="77" t="n">
        <v>2819.44</v>
      </c>
      <c r="W1851" s="59" t="n">
        <v>2819.44</v>
      </c>
      <c r="X1851" s="59" t="inlineStr">
        <is>
          <t>NF 1690976 / DESCONTO NO BOLETO - MILKA</t>
        </is>
      </c>
      <c r="Z1851" s="59">
        <f>IF($T1851="","",IFERROR(INDEX('Resumo Grupos'!$AC$3:$AC$200,MATCH($T1851,'Resumo Grupos'!$AB$3:$AB$200,0)),"n/d"))</f>
        <v/>
      </c>
      <c r="AA1851" s="59">
        <f>IF($T1851="","",IF(COUNTIF('Resumo Grupos'!$AE$3:$AE$40,$T1851)&gt;0,"NAO","SIM"))</f>
        <v/>
      </c>
    </row>
    <row r="1852" ht="12.75" customHeight="1" s="60">
      <c r="A1852" s="59" t="n">
        <v>1</v>
      </c>
      <c r="B1852" s="75" t="n">
        <v>46216</v>
      </c>
      <c r="C1852" s="75" t="n">
        <v>46244</v>
      </c>
      <c r="D1852" s="59" t="n">
        <v>1608</v>
      </c>
      <c r="E1852" s="59" t="inlineStr">
        <is>
          <t>DISTRIBUIDORA LOPES LTDA</t>
        </is>
      </c>
      <c r="F1852" s="59" t="n">
        <v>24</v>
      </c>
      <c r="G1852" s="59" t="inlineStr">
        <is>
          <t>Compra a Prazo - Boletos</t>
        </is>
      </c>
      <c r="H1852" s="59" t="n">
        <v>2110405</v>
      </c>
      <c r="I1852" s="59" t="inlineStr">
        <is>
          <t>CONTAS A PAGAR</t>
        </is>
      </c>
      <c r="J1852" s="59" t="n">
        <v>1393857</v>
      </c>
      <c r="L1852" s="59" t="n">
        <v>1690878</v>
      </c>
      <c r="M1852" s="59" t="inlineStr">
        <is>
          <t>03</t>
        </is>
      </c>
      <c r="N1852" s="59" t="inlineStr">
        <is>
          <t>AVU</t>
        </is>
      </c>
      <c r="P1852" s="59" t="n">
        <v>103</v>
      </c>
      <c r="Q1852" s="59" t="inlineStr">
        <is>
          <t>MILKA FRANCIS</t>
        </is>
      </c>
      <c r="R1852" s="59" t="inlineStr">
        <is>
          <t>ESTOQUE DE MERCADORIAS</t>
        </is>
      </c>
      <c r="S1852" s="59" t="n">
        <v>1130101</v>
      </c>
      <c r="T1852" s="59" t="inlineStr">
        <is>
          <t>MERCADORIAS P/REVENDA</t>
        </is>
      </c>
      <c r="U1852" s="77" t="n">
        <v>1039.09</v>
      </c>
      <c r="W1852" s="59" t="n">
        <v>1039.09</v>
      </c>
      <c r="X1852" s="59" t="inlineStr">
        <is>
          <t>NF 1690878-3 MILKA / DESCONTO NO BOLETO</t>
        </is>
      </c>
      <c r="Z1852" s="59">
        <f>IF($T1852="","",IFERROR(INDEX('Resumo Grupos'!$AC$3:$AC$200,MATCH($T1852,'Resumo Grupos'!$AB$3:$AB$200,0)),"n/d"))</f>
        <v/>
      </c>
      <c r="AA1852" s="59">
        <f>IF($T1852="","",IF(COUNTIF('Resumo Grupos'!$AE$3:$AE$40,$T1852)&gt;0,"NAO","SIM"))</f>
        <v/>
      </c>
    </row>
    <row r="1853" ht="12.75" customHeight="1" s="60">
      <c r="A1853" s="59" t="n">
        <v>1</v>
      </c>
      <c r="B1853" s="75" t="n">
        <v>46216</v>
      </c>
      <c r="C1853" s="75" t="n">
        <v>46244</v>
      </c>
      <c r="D1853" s="59" t="n">
        <v>1717</v>
      </c>
      <c r="E1853" s="59" t="inlineStr">
        <is>
          <t>SUPERMERCADOS DB LTDA</t>
        </is>
      </c>
      <c r="F1853" s="59" t="n">
        <v>46</v>
      </c>
      <c r="G1853" s="59" t="inlineStr">
        <is>
          <t>Cartao Sant 1 Velho 9336 venc 10</t>
        </is>
      </c>
      <c r="H1853" s="59" t="n">
        <v>1110202</v>
      </c>
      <c r="I1853" s="59" t="inlineStr">
        <is>
          <t>BANCO ITAU Lj 01</t>
        </is>
      </c>
      <c r="J1853" s="59" t="n">
        <v>1394062</v>
      </c>
      <c r="L1853" s="59" t="n">
        <v>51412</v>
      </c>
      <c r="M1853" s="59" t="inlineStr">
        <is>
          <t>01</t>
        </is>
      </c>
      <c r="N1853" s="59" t="inlineStr">
        <is>
          <t>AVU</t>
        </is>
      </c>
      <c r="P1853" s="59" t="n">
        <v>103</v>
      </c>
      <c r="Q1853" s="59" t="inlineStr">
        <is>
          <t>MILKA FRANCIS</t>
        </is>
      </c>
      <c r="R1853" s="59" t="inlineStr">
        <is>
          <t>ESTOQUE DE MERCADORIAS</t>
        </is>
      </c>
      <c r="S1853" s="59" t="n">
        <v>1130101</v>
      </c>
      <c r="T1853" s="59" t="inlineStr">
        <is>
          <t>MERCADORIAS P/REVENDA</t>
        </is>
      </c>
      <c r="U1853" s="77" t="n">
        <v>319.2</v>
      </c>
      <c r="W1853" s="59" t="n">
        <v>0</v>
      </c>
      <c r="X1853" s="59" t="inlineStr">
        <is>
          <t>NF51412 / PARC. 01/03  - MILKA</t>
        </is>
      </c>
      <c r="Z1853" s="59">
        <f>IF($T1853="","",IFERROR(INDEX('Resumo Grupos'!$AC$3:$AC$200,MATCH($T1853,'Resumo Grupos'!$AB$3:$AB$200,0)),"n/d"))</f>
        <v/>
      </c>
      <c r="AA1853" s="59">
        <f>IF($T1853="","",IF(COUNTIF('Resumo Grupos'!$AE$3:$AE$40,$T1853)&gt;0,"NAO","SIM"))</f>
        <v/>
      </c>
    </row>
    <row r="1854" ht="12.75" customHeight="1" s="60">
      <c r="A1854" s="59" t="n">
        <v>1</v>
      </c>
      <c r="B1854" s="75" t="n">
        <v>46218</v>
      </c>
      <c r="C1854" s="75" t="n">
        <v>46244</v>
      </c>
      <c r="D1854" s="59" t="n">
        <v>957</v>
      </c>
      <c r="E1854" s="59" t="inlineStr">
        <is>
          <t>FUNNY PET DISTRIBUIDORA DE ALIMENTOS PAR</t>
        </is>
      </c>
      <c r="F1854" s="59" t="n">
        <v>24</v>
      </c>
      <c r="G1854" s="59" t="inlineStr">
        <is>
          <t>Compra a Prazo - Boletos</t>
        </is>
      </c>
      <c r="H1854" s="59" t="n">
        <v>2110405</v>
      </c>
      <c r="I1854" s="59" t="inlineStr">
        <is>
          <t>CONTAS A PAGAR</t>
        </is>
      </c>
      <c r="J1854" s="59" t="n">
        <v>1402047</v>
      </c>
      <c r="L1854" s="59" t="n">
        <v>21047</v>
      </c>
      <c r="M1854" s="59" t="inlineStr">
        <is>
          <t>01</t>
        </is>
      </c>
      <c r="N1854" s="59" t="inlineStr">
        <is>
          <t>AVU</t>
        </is>
      </c>
      <c r="P1854" s="59" t="n">
        <v>103</v>
      </c>
      <c r="Q1854" s="59" t="inlineStr">
        <is>
          <t>MILKA FRANCIS</t>
        </is>
      </c>
      <c r="R1854" s="59" t="inlineStr">
        <is>
          <t>ESTOQUE DE MERCADORIAS</t>
        </is>
      </c>
      <c r="S1854" s="59" t="n">
        <v>1130101</v>
      </c>
      <c r="T1854" s="59" t="inlineStr">
        <is>
          <t>MERCADORIAS P/REVENDA</t>
        </is>
      </c>
      <c r="U1854" s="77" t="n">
        <v>2186.18</v>
      </c>
      <c r="W1854" s="59" t="n">
        <v>2186.18</v>
      </c>
      <c r="X1854" s="59" t="inlineStr">
        <is>
          <t>NF 21047-1 MILKA</t>
        </is>
      </c>
      <c r="Z1854" s="59">
        <f>IF($T1854="","",IFERROR(INDEX('Resumo Grupos'!$AC$3:$AC$200,MATCH($T1854,'Resumo Grupos'!$AB$3:$AB$200,0)),"n/d"))</f>
        <v/>
      </c>
      <c r="AA1854" s="59">
        <f>IF($T1854="","",IF(COUNTIF('Resumo Grupos'!$AE$3:$AE$40,$T1854)&gt;0,"NAO","SIM"))</f>
        <v/>
      </c>
    </row>
    <row r="1855" ht="12.75" customHeight="1" s="60">
      <c r="A1855" s="59" t="n">
        <v>1</v>
      </c>
      <c r="B1855" s="75" t="n">
        <v>46219</v>
      </c>
      <c r="C1855" s="75" t="n">
        <v>46244</v>
      </c>
      <c r="D1855" s="59" t="n">
        <v>1280</v>
      </c>
      <c r="E1855" s="59" t="inlineStr">
        <is>
          <t>DMF COMERCIO DE DESCARTAVEIS LTDA</t>
        </is>
      </c>
      <c r="F1855" s="59" t="n">
        <v>46</v>
      </c>
      <c r="G1855" s="59" t="inlineStr">
        <is>
          <t>Cartao Sant 1 Velho 9336 venc 10</t>
        </is>
      </c>
      <c r="H1855" s="59" t="n">
        <v>1110202</v>
      </c>
      <c r="I1855" s="59" t="inlineStr">
        <is>
          <t>BANCO ITAU Lj 01</t>
        </is>
      </c>
      <c r="J1855" s="59" t="n">
        <v>1407597</v>
      </c>
      <c r="L1855" s="59" t="n">
        <v>580167</v>
      </c>
      <c r="M1855" s="59" t="inlineStr">
        <is>
          <t>01</t>
        </is>
      </c>
      <c r="N1855" s="59" t="inlineStr">
        <is>
          <t>AVU</t>
        </is>
      </c>
      <c r="P1855" s="59" t="n">
        <v>101</v>
      </c>
      <c r="Q1855" s="59" t="inlineStr">
        <is>
          <t>KEILA LIMA</t>
        </is>
      </c>
      <c r="R1855" s="59" t="inlineStr">
        <is>
          <t>DESPESAS OPERACIONAIS</t>
        </is>
      </c>
      <c r="S1855" s="59" t="n">
        <v>4210228</v>
      </c>
      <c r="T1855" s="59" t="inlineStr">
        <is>
          <t>DESPESAS PADARIA</t>
        </is>
      </c>
      <c r="U1855" s="77" t="n">
        <v>13.98</v>
      </c>
      <c r="W1855" s="59" t="n">
        <v>0</v>
      </c>
      <c r="X1855" s="59" t="inlineStr">
        <is>
          <t xml:space="preserve">NFCE 40147 - SACO PARA TORRADA DESP PADARIA - KEIL </t>
        </is>
      </c>
      <c r="Z1855" s="59">
        <f>IF($T1855="","",IFERROR(INDEX('Resumo Grupos'!$AC$3:$AC$200,MATCH($T1855,'Resumo Grupos'!$AB$3:$AB$200,0)),"n/d"))</f>
        <v/>
      </c>
      <c r="AA1855" s="59">
        <f>IF($T1855="","",IF(COUNTIF('Resumo Grupos'!$AE$3:$AE$40,$T1855)&gt;0,"NAO","SIM"))</f>
        <v/>
      </c>
    </row>
    <row r="1856" ht="12.75" customHeight="1" s="60">
      <c r="A1856" s="59" t="n">
        <v>1</v>
      </c>
      <c r="B1856" s="75" t="n">
        <v>46224</v>
      </c>
      <c r="C1856" s="75" t="n">
        <v>46244</v>
      </c>
      <c r="D1856" s="59" t="n">
        <v>1740</v>
      </c>
      <c r="E1856" s="59" t="inlineStr">
        <is>
          <t>OCIDENTAL COMERCIO DE FRIOS LTDA</t>
        </is>
      </c>
      <c r="F1856" s="59" t="n">
        <v>24</v>
      </c>
      <c r="G1856" s="59" t="inlineStr">
        <is>
          <t>Compra a Prazo - Boletos</t>
        </is>
      </c>
      <c r="H1856" s="59" t="n">
        <v>2110405</v>
      </c>
      <c r="I1856" s="59" t="inlineStr">
        <is>
          <t>CONTAS A PAGAR</t>
        </is>
      </c>
      <c r="J1856" s="59" t="n">
        <v>1431693</v>
      </c>
      <c r="L1856" s="59" t="n">
        <v>1249231</v>
      </c>
      <c r="M1856" s="59" t="inlineStr">
        <is>
          <t>02</t>
        </is>
      </c>
      <c r="N1856" s="59" t="inlineStr">
        <is>
          <t>AVU</t>
        </is>
      </c>
      <c r="P1856" s="59" t="n">
        <v>103</v>
      </c>
      <c r="Q1856" s="59" t="inlineStr">
        <is>
          <t>MILKA FRANCIS</t>
        </is>
      </c>
      <c r="R1856" s="59" t="inlineStr">
        <is>
          <t>ESTOQUE DE MERCADORIAS</t>
        </is>
      </c>
      <c r="S1856" s="59" t="n">
        <v>1130101</v>
      </c>
      <c r="T1856" s="59" t="inlineStr">
        <is>
          <t>MERCADORIAS P/REVENDA</t>
        </is>
      </c>
      <c r="U1856" s="77" t="n">
        <v>2044.89</v>
      </c>
      <c r="W1856" s="59" t="n">
        <v>2044.89</v>
      </c>
      <c r="X1856" s="59" t="inlineStr">
        <is>
          <t>NF 1249231-2/3 MILKA</t>
        </is>
      </c>
      <c r="Z1856" s="59">
        <f>IF($T1856="","",IFERROR(INDEX('Resumo Grupos'!$AC$3:$AC$200,MATCH($T1856,'Resumo Grupos'!$AB$3:$AB$200,0)),"n/d"))</f>
        <v/>
      </c>
      <c r="AA1856" s="59">
        <f>IF($T1856="","",IF(COUNTIF('Resumo Grupos'!$AE$3:$AE$40,$T1856)&gt;0,"NAO","SIM"))</f>
        <v/>
      </c>
    </row>
    <row r="1857" ht="12.75" customHeight="1" s="60">
      <c r="A1857" s="59" t="n">
        <v>1</v>
      </c>
      <c r="B1857" s="75" t="n">
        <v>46226</v>
      </c>
      <c r="C1857" s="75" t="n">
        <v>46244</v>
      </c>
      <c r="D1857" s="59" t="n">
        <v>10033</v>
      </c>
      <c r="E1857" s="59" t="inlineStr">
        <is>
          <t>INNOVAR DISTRIBUIDORA DE COSMETICOS E MEDICAMENTOS LTDA</t>
        </is>
      </c>
      <c r="F1857" s="59" t="n">
        <v>24</v>
      </c>
      <c r="G1857" s="59" t="inlineStr">
        <is>
          <t>Compra a Prazo - Boletos</t>
        </is>
      </c>
      <c r="H1857" s="59" t="n">
        <v>2110405</v>
      </c>
      <c r="I1857" s="59" t="inlineStr">
        <is>
          <t>CONTAS A PAGAR</t>
        </is>
      </c>
      <c r="J1857" s="59" t="n">
        <v>1439582</v>
      </c>
      <c r="L1857" s="59" t="n">
        <v>592457</v>
      </c>
      <c r="M1857" s="59" t="inlineStr">
        <is>
          <t>01</t>
        </is>
      </c>
      <c r="N1857" s="59" t="inlineStr">
        <is>
          <t>AVU</t>
        </is>
      </c>
      <c r="P1857" s="59" t="n">
        <v>104</v>
      </c>
      <c r="Q1857" s="59" t="inlineStr">
        <is>
          <t>DEBORA COSTA</t>
        </is>
      </c>
      <c r="R1857" s="59" t="inlineStr">
        <is>
          <t>ESTOQUE DE MERCADORIAS</t>
        </is>
      </c>
      <c r="S1857" s="59" t="n">
        <v>1130101</v>
      </c>
      <c r="T1857" s="59" t="inlineStr">
        <is>
          <t>MERCADORIAS P/REVENDA</t>
        </is>
      </c>
      <c r="U1857" s="77" t="n">
        <v>1958.46</v>
      </c>
      <c r="W1857" s="59" t="n">
        <v>1958.46</v>
      </c>
      <c r="X1857" s="59" t="inlineStr">
        <is>
          <t>NF 104754 - DEBORA</t>
        </is>
      </c>
      <c r="Z1857" s="59">
        <f>IF($T1857="","",IFERROR(INDEX('Resumo Grupos'!$AC$3:$AC$200,MATCH($T1857,'Resumo Grupos'!$AB$3:$AB$200,0)),"n/d"))</f>
        <v/>
      </c>
      <c r="AA1857" s="59">
        <f>IF($T1857="","",IF(COUNTIF('Resumo Grupos'!$AE$3:$AE$40,$T1857)&gt;0,"NAO","SIM"))</f>
        <v/>
      </c>
    </row>
    <row r="1858" ht="12.75" customHeight="1" s="60">
      <c r="A1858" s="59" t="n">
        <v>1</v>
      </c>
      <c r="B1858" s="75" t="n">
        <v>46226</v>
      </c>
      <c r="C1858" s="75" t="n">
        <v>46244</v>
      </c>
      <c r="D1858" s="59" t="n">
        <v>1893</v>
      </c>
      <c r="E1858" s="59" t="inlineStr">
        <is>
          <t>TIM S.A</t>
        </is>
      </c>
      <c r="F1858" s="59" t="n">
        <v>34</v>
      </c>
      <c r="G1858" s="59" t="inlineStr">
        <is>
          <t>Transferencia Pix</t>
        </is>
      </c>
      <c r="H1858" s="59" t="n">
        <v>1110202</v>
      </c>
      <c r="I1858" s="59" t="inlineStr">
        <is>
          <t>BANCO ITAU Lj 01</t>
        </is>
      </c>
      <c r="J1858" s="59" t="n">
        <v>1440493</v>
      </c>
      <c r="L1858" s="59" t="n">
        <v>592715</v>
      </c>
      <c r="M1858" s="59" t="inlineStr">
        <is>
          <t>01</t>
        </is>
      </c>
      <c r="N1858" s="59" t="inlineStr">
        <is>
          <t>AVU</t>
        </is>
      </c>
      <c r="P1858" s="59" t="n">
        <v>101</v>
      </c>
      <c r="Q1858" s="59" t="inlineStr">
        <is>
          <t>KEILA LIMA</t>
        </is>
      </c>
      <c r="R1858" s="59" t="inlineStr">
        <is>
          <t>DESPESAS COM PESSOAL</t>
        </is>
      </c>
      <c r="S1858" s="59" t="n">
        <v>4210315</v>
      </c>
      <c r="T1858" s="59" t="inlineStr">
        <is>
          <t>INTERNET</t>
        </is>
      </c>
      <c r="U1858" s="77" t="n">
        <v>209.99</v>
      </c>
      <c r="W1858" s="59" t="n">
        <v>0</v>
      </c>
      <c r="X1858" s="59" t="inlineStr">
        <is>
          <t>[BOLETO FINANCEIRO]CELULAR TIM RENATO MO1 - KEILA</t>
        </is>
      </c>
      <c r="Z1858" s="59">
        <f>IF($T1858="","",IFERROR(INDEX('Resumo Grupos'!$AC$3:$AC$200,MATCH($T1858,'Resumo Grupos'!$AB$3:$AB$200,0)),"n/d"))</f>
        <v/>
      </c>
      <c r="AA1858" s="59">
        <f>IF($T1858="","",IF(COUNTIF('Resumo Grupos'!$AE$3:$AE$40,$T1858)&gt;0,"NAO","SIM"))</f>
        <v/>
      </c>
    </row>
    <row r="1859" ht="12.75" customHeight="1" s="60">
      <c r="A1859" s="59" t="n">
        <v>1</v>
      </c>
      <c r="B1859" s="75" t="n">
        <v>46227</v>
      </c>
      <c r="C1859" s="75" t="n">
        <v>46244</v>
      </c>
      <c r="D1859" s="59" t="n">
        <v>1878</v>
      </c>
      <c r="E1859" s="59" t="inlineStr">
        <is>
          <t xml:space="preserve">PONTO CHAVE </t>
        </is>
      </c>
      <c r="F1859" s="59" t="n">
        <v>46</v>
      </c>
      <c r="G1859" s="59" t="inlineStr">
        <is>
          <t>Cartao Sant 1 Velho 9336 venc 10</t>
        </is>
      </c>
      <c r="H1859" s="59" t="n">
        <v>1110202</v>
      </c>
      <c r="I1859" s="59" t="inlineStr">
        <is>
          <t>BANCO ITAU Lj 01</t>
        </is>
      </c>
      <c r="J1859" s="59" t="n">
        <v>1444896</v>
      </c>
      <c r="L1859" s="59" t="n">
        <v>594406</v>
      </c>
      <c r="M1859" s="59" t="inlineStr">
        <is>
          <t>01</t>
        </is>
      </c>
      <c r="N1859" s="59" t="inlineStr">
        <is>
          <t>AVU</t>
        </is>
      </c>
      <c r="P1859" s="59" t="n">
        <v>102</v>
      </c>
      <c r="Q1859" s="59" t="inlineStr">
        <is>
          <t>ANDREZA ANDRADE</t>
        </is>
      </c>
      <c r="R1859" s="59" t="inlineStr">
        <is>
          <t>DESPESAS OPERACIONAIS</t>
        </is>
      </c>
      <c r="S1859" s="59" t="n">
        <v>4210227</v>
      </c>
      <c r="T1859" s="59" t="inlineStr">
        <is>
          <t>DESPESAS LOJA</t>
        </is>
      </c>
      <c r="U1859" s="77" t="n">
        <v>44</v>
      </c>
      <c r="W1859" s="59" t="n">
        <v>0</v>
      </c>
      <c r="X1859" s="59" t="inlineStr">
        <is>
          <t>RECIBO DESPESA COPIA DA CHAVE MO1-ANDREZA</t>
        </is>
      </c>
      <c r="Z1859" s="59">
        <f>IF($T1859="","",IFERROR(INDEX('Resumo Grupos'!$AC$3:$AC$200,MATCH($T1859,'Resumo Grupos'!$AB$3:$AB$200,0)),"n/d"))</f>
        <v/>
      </c>
      <c r="AA1859" s="59">
        <f>IF($T1859="","",IF(COUNTIF('Resumo Grupos'!$AE$3:$AE$40,$T1859)&gt;0,"NAO","SIM"))</f>
        <v/>
      </c>
    </row>
    <row r="1860" ht="12.75" customHeight="1" s="60">
      <c r="A1860" s="59" t="n">
        <v>1</v>
      </c>
      <c r="B1860" s="75" t="n">
        <v>46231</v>
      </c>
      <c r="C1860" s="75" t="n">
        <v>46244</v>
      </c>
      <c r="D1860" s="59" t="n">
        <v>1835</v>
      </c>
      <c r="E1860" s="59" t="inlineStr">
        <is>
          <t>LOJA DO REI COMERCIO DE MATERIAL DE CONS</t>
        </is>
      </c>
      <c r="F1860" s="59" t="n">
        <v>46</v>
      </c>
      <c r="G1860" s="59" t="inlineStr">
        <is>
          <t>Cartao Sant 1 Velho 9336 venc 10</t>
        </is>
      </c>
      <c r="H1860" s="59" t="n">
        <v>1110202</v>
      </c>
      <c r="I1860" s="59" t="inlineStr">
        <is>
          <t>BANCO ITAU Lj 01</t>
        </is>
      </c>
      <c r="J1860" s="59" t="n">
        <v>1464175</v>
      </c>
      <c r="L1860" s="59" t="n">
        <v>108113</v>
      </c>
      <c r="M1860" s="59" t="inlineStr">
        <is>
          <t>01</t>
        </is>
      </c>
      <c r="N1860" s="59" t="inlineStr">
        <is>
          <t>AVU</t>
        </is>
      </c>
      <c r="P1860" s="59" t="n">
        <v>103</v>
      </c>
      <c r="Q1860" s="59" t="inlineStr">
        <is>
          <t>MILKA FRANCIS</t>
        </is>
      </c>
      <c r="R1860" s="59" t="inlineStr">
        <is>
          <t>DESPESAS OPERACIONAIS</t>
        </is>
      </c>
      <c r="S1860" s="59" t="n">
        <v>4210228</v>
      </c>
      <c r="T1860" s="59" t="inlineStr">
        <is>
          <t>DESPESAS PADARIA</t>
        </is>
      </c>
      <c r="U1860" s="77" t="n">
        <v>13.76</v>
      </c>
      <c r="W1860" s="59" t="n">
        <v>0</v>
      </c>
      <c r="X1860" s="59" t="inlineStr">
        <is>
          <t>NF108113 /PISTAO A GAS /DESPESA PADARIA - MILKA</t>
        </is>
      </c>
      <c r="Z1860" s="59">
        <f>IF($T1860="","",IFERROR(INDEX('Resumo Grupos'!$AC$3:$AC$200,MATCH($T1860,'Resumo Grupos'!$AB$3:$AB$200,0)),"n/d"))</f>
        <v/>
      </c>
      <c r="AA1860" s="59">
        <f>IF($T1860="","",IF(COUNTIF('Resumo Grupos'!$AE$3:$AE$40,$T1860)&gt;0,"NAO","SIM"))</f>
        <v/>
      </c>
    </row>
    <row r="1861" ht="12.75" customHeight="1" s="60">
      <c r="A1861" s="59" t="n">
        <v>1</v>
      </c>
      <c r="B1861" s="75" t="n">
        <v>46232</v>
      </c>
      <c r="C1861" s="75" t="n">
        <v>46244</v>
      </c>
      <c r="D1861" s="59" t="n">
        <v>1810</v>
      </c>
      <c r="E1861" s="59" t="inlineStr">
        <is>
          <t>NJF INDUSTRIA E COMERCIO LTDA</t>
        </is>
      </c>
      <c r="F1861" s="59" t="n">
        <v>24</v>
      </c>
      <c r="G1861" s="59" t="inlineStr">
        <is>
          <t>Compra a Prazo - Boletos</t>
        </is>
      </c>
      <c r="H1861" s="59" t="n">
        <v>2110405</v>
      </c>
      <c r="I1861" s="59" t="inlineStr">
        <is>
          <t>CONTAS A PAGAR</t>
        </is>
      </c>
      <c r="J1861" s="59" t="n">
        <v>1469140</v>
      </c>
      <c r="L1861" s="59" t="n">
        <v>85345</v>
      </c>
      <c r="M1861" s="59" t="inlineStr">
        <is>
          <t>02</t>
        </is>
      </c>
      <c r="N1861" s="59" t="inlineStr">
        <is>
          <t>AVU</t>
        </is>
      </c>
      <c r="P1861" s="59" t="n">
        <v>103</v>
      </c>
      <c r="Q1861" s="59" t="inlineStr">
        <is>
          <t>MILKA FRANCIS</t>
        </is>
      </c>
      <c r="R1861" s="59" t="inlineStr">
        <is>
          <t>ESTOQUE DE MERCADORIAS</t>
        </is>
      </c>
      <c r="S1861" s="59" t="n">
        <v>1130101</v>
      </c>
      <c r="T1861" s="59" t="inlineStr">
        <is>
          <t>MERCADORIAS P/REVENDA</t>
        </is>
      </c>
      <c r="U1861" s="77" t="n">
        <v>184.5</v>
      </c>
      <c r="W1861" s="59" t="n">
        <v>184.5</v>
      </c>
      <c r="X1861" s="59" t="inlineStr">
        <is>
          <t>NF 85345 -2 MILKA</t>
        </is>
      </c>
      <c r="Z1861" s="59">
        <f>IF($T1861="","",IFERROR(INDEX('Resumo Grupos'!$AC$3:$AC$200,MATCH($T1861,'Resumo Grupos'!$AB$3:$AB$200,0)),"n/d"))</f>
        <v/>
      </c>
      <c r="AA1861" s="59">
        <f>IF($T1861="","",IF(COUNTIF('Resumo Grupos'!$AE$3:$AE$40,$T1861)&gt;0,"NAO","SIM"))</f>
        <v/>
      </c>
    </row>
    <row r="1862" ht="12.75" customHeight="1" s="60">
      <c r="A1862" s="59" t="n">
        <v>1</v>
      </c>
      <c r="B1862" s="75" t="n">
        <v>46232</v>
      </c>
      <c r="C1862" s="75" t="n">
        <v>46244</v>
      </c>
      <c r="D1862" s="59" t="n">
        <v>1810</v>
      </c>
      <c r="E1862" s="59" t="inlineStr">
        <is>
          <t>NJF INDUSTRIA E COMERCIO LTDA</t>
        </is>
      </c>
      <c r="F1862" s="59" t="n">
        <v>24</v>
      </c>
      <c r="G1862" s="59" t="inlineStr">
        <is>
          <t>Compra a Prazo - Boletos</t>
        </is>
      </c>
      <c r="H1862" s="59" t="n">
        <v>2110405</v>
      </c>
      <c r="I1862" s="59" t="inlineStr">
        <is>
          <t>CONTAS A PAGAR</t>
        </is>
      </c>
      <c r="J1862" s="59" t="n">
        <v>1469179</v>
      </c>
      <c r="L1862" s="59" t="n">
        <v>85346</v>
      </c>
      <c r="M1862" s="59" t="inlineStr">
        <is>
          <t>01</t>
        </is>
      </c>
      <c r="N1862" s="59" t="inlineStr">
        <is>
          <t>AVU</t>
        </is>
      </c>
      <c r="P1862" s="59" t="n">
        <v>103</v>
      </c>
      <c r="Q1862" s="59" t="inlineStr">
        <is>
          <t>MILKA FRANCIS</t>
        </is>
      </c>
      <c r="R1862" s="59" t="inlineStr">
        <is>
          <t>ESTOQUE DE MERCADORIAS</t>
        </is>
      </c>
      <c r="S1862" s="59" t="n">
        <v>1130101</v>
      </c>
      <c r="T1862" s="59" t="inlineStr">
        <is>
          <t>MERCADORIAS P/REVENDA</t>
        </is>
      </c>
      <c r="U1862" s="77" t="n">
        <v>1164.5</v>
      </c>
      <c r="W1862" s="59" t="n">
        <v>1164.5</v>
      </c>
      <c r="X1862" s="59" t="inlineStr">
        <is>
          <t>NF 85346 -1 MILKA</t>
        </is>
      </c>
      <c r="Z1862" s="59">
        <f>IF($T1862="","",IFERROR(INDEX('Resumo Grupos'!$AC$3:$AC$200,MATCH($T1862,'Resumo Grupos'!$AB$3:$AB$200,0)),"n/d"))</f>
        <v/>
      </c>
      <c r="AA1862" s="59">
        <f>IF($T1862="","",IF(COUNTIF('Resumo Grupos'!$AE$3:$AE$40,$T1862)&gt;0,"NAO","SIM"))</f>
        <v/>
      </c>
    </row>
    <row r="1863" ht="12.75" customHeight="1" s="60">
      <c r="A1863" s="59" t="n">
        <v>1</v>
      </c>
      <c r="B1863" s="75" t="n">
        <v>46232</v>
      </c>
      <c r="C1863" s="75" t="n">
        <v>46244</v>
      </c>
      <c r="D1863" s="59" t="n">
        <v>1778</v>
      </c>
      <c r="E1863" s="59" t="inlineStr">
        <is>
          <t xml:space="preserve">MANAUS AMBIENTAL S/A </t>
        </is>
      </c>
      <c r="F1863" s="59" t="n">
        <v>24</v>
      </c>
      <c r="G1863" s="59" t="inlineStr">
        <is>
          <t>Compra a Prazo - Boletos</t>
        </is>
      </c>
      <c r="H1863" s="59" t="n">
        <v>2110405</v>
      </c>
      <c r="I1863" s="59" t="inlineStr">
        <is>
          <t>CONTAS A PAGAR</t>
        </is>
      </c>
      <c r="J1863" s="59" t="n">
        <v>1469303</v>
      </c>
      <c r="L1863" s="59" t="n">
        <v>124473366</v>
      </c>
      <c r="M1863" s="59" t="inlineStr">
        <is>
          <t>01</t>
        </is>
      </c>
      <c r="N1863" s="59" t="inlineStr">
        <is>
          <t>AVU</t>
        </is>
      </c>
      <c r="P1863" s="59" t="n">
        <v>101</v>
      </c>
      <c r="Q1863" s="59" t="inlineStr">
        <is>
          <t>KEILA LIMA</t>
        </is>
      </c>
      <c r="R1863" s="59" t="inlineStr">
        <is>
          <t>DESPESAS OPERACIONAIS</t>
        </is>
      </c>
      <c r="S1863" s="59" t="n">
        <v>4210207</v>
      </c>
      <c r="T1863" s="59" t="inlineStr">
        <is>
          <t>AGUA</t>
        </is>
      </c>
      <c r="U1863" s="77" t="n">
        <v>273.13</v>
      </c>
      <c r="W1863" s="59" t="n">
        <v>273.13</v>
      </c>
      <c r="X1863" s="59" t="inlineStr">
        <is>
          <t>AGUA MO1 1244736-6 - KEILA</t>
        </is>
      </c>
      <c r="Z1863" s="59">
        <f>IF($T1863="","",IFERROR(INDEX('Resumo Grupos'!$AC$3:$AC$200,MATCH($T1863,'Resumo Grupos'!$AB$3:$AB$200,0)),"n/d"))</f>
        <v/>
      </c>
      <c r="AA1863" s="59">
        <f>IF($T1863="","",IF(COUNTIF('Resumo Grupos'!$AE$3:$AE$40,$T1863)&gt;0,"NAO","SIM"))</f>
        <v/>
      </c>
    </row>
    <row r="1864" ht="12.75" customHeight="1" s="60">
      <c r="A1864" s="59" t="n">
        <v>1</v>
      </c>
      <c r="B1864" s="75" t="n">
        <v>46232</v>
      </c>
      <c r="C1864" s="75" t="n">
        <v>46244</v>
      </c>
      <c r="D1864" s="59" t="n">
        <v>514</v>
      </c>
      <c r="E1864" s="59" t="inlineStr">
        <is>
          <t>SANTANDER SA</t>
        </is>
      </c>
      <c r="F1864" s="59" t="n">
        <v>45</v>
      </c>
      <c r="G1864" s="59" t="inlineStr">
        <is>
          <t>Cartao Sant 1 Novo 4172 venc 10</t>
        </is>
      </c>
      <c r="H1864" s="59" t="n">
        <v>1110202</v>
      </c>
      <c r="I1864" s="59" t="inlineStr">
        <is>
          <t>BANCO ITAU Lj 01</t>
        </is>
      </c>
      <c r="J1864" s="59" t="n">
        <v>1469577</v>
      </c>
      <c r="L1864" s="59" t="n">
        <v>603909</v>
      </c>
      <c r="M1864" s="59" t="inlineStr">
        <is>
          <t>01</t>
        </is>
      </c>
      <c r="N1864" s="59" t="inlineStr">
        <is>
          <t>AVU</t>
        </is>
      </c>
      <c r="P1864" s="59" t="n">
        <v>101</v>
      </c>
      <c r="Q1864" s="59" t="inlineStr">
        <is>
          <t>KEILA LIMA</t>
        </is>
      </c>
      <c r="R1864" s="59" t="inlineStr">
        <is>
          <t>DESPESAS NAO OPERACIONAIS</t>
        </is>
      </c>
      <c r="S1864" s="59" t="n">
        <v>4220199</v>
      </c>
      <c r="T1864" s="59" t="inlineStr">
        <is>
          <t>PAGAMENTOS OUTROS NAO OPERACIONAIS</t>
        </is>
      </c>
      <c r="U1864" s="77" t="n">
        <v>383.13</v>
      </c>
      <c r="W1864" s="59" t="n">
        <v>0</v>
      </c>
      <c r="X1864" s="59" t="inlineStr">
        <is>
          <t>COBERTURA CONTA CARTAO SANT 1 NOVO 4172 -KEILA</t>
        </is>
      </c>
      <c r="Z1864" s="59">
        <f>IF($T1864="","",IFERROR(INDEX('Resumo Grupos'!$AC$3:$AC$200,MATCH($T1864,'Resumo Grupos'!$AB$3:$AB$200,0)),"n/d"))</f>
        <v/>
      </c>
      <c r="AA1864" s="59">
        <f>IF($T1864="","",IF(COUNTIF('Resumo Grupos'!$AE$3:$AE$40,$T1864)&gt;0,"NAO","SIM"))</f>
        <v/>
      </c>
    </row>
    <row r="1865" ht="12.75" customHeight="1" s="60">
      <c r="A1865" s="59" t="n">
        <v>1</v>
      </c>
      <c r="B1865" s="75" t="n">
        <v>46233</v>
      </c>
      <c r="C1865" s="75" t="n">
        <v>46244</v>
      </c>
      <c r="D1865" s="59" t="n">
        <v>1621</v>
      </c>
      <c r="E1865" s="59" t="inlineStr">
        <is>
          <t>CRBS S/A</t>
        </is>
      </c>
      <c r="F1865" s="59" t="n">
        <v>24</v>
      </c>
      <c r="G1865" s="59" t="inlineStr">
        <is>
          <t>Compra a Prazo - Boletos</t>
        </is>
      </c>
      <c r="H1865" s="59" t="n">
        <v>2110405</v>
      </c>
      <c r="I1865" s="59" t="inlineStr">
        <is>
          <t>CONTAS A PAGAR</t>
        </is>
      </c>
      <c r="J1865" s="59" t="n">
        <v>1474720</v>
      </c>
      <c r="L1865" s="59" t="n">
        <v>931981</v>
      </c>
      <c r="M1865" s="59" t="inlineStr">
        <is>
          <t>01</t>
        </is>
      </c>
      <c r="N1865" s="59" t="inlineStr">
        <is>
          <t>AVU</t>
        </is>
      </c>
      <c r="P1865" s="59" t="n">
        <v>103</v>
      </c>
      <c r="Q1865" s="59" t="inlineStr">
        <is>
          <t>MILKA FRANCIS</t>
        </is>
      </c>
      <c r="R1865" s="59" t="inlineStr">
        <is>
          <t>ESTOQUE DE MERCADORIAS</t>
        </is>
      </c>
      <c r="S1865" s="59" t="n">
        <v>1130101</v>
      </c>
      <c r="T1865" s="59" t="inlineStr">
        <is>
          <t>MERCADORIAS P/REVENDA</t>
        </is>
      </c>
      <c r="U1865" s="77" t="n">
        <v>4669.12</v>
      </c>
      <c r="W1865" s="59" t="n">
        <v>4669.12</v>
      </c>
      <c r="X1865" s="59" t="inlineStr">
        <is>
          <t>NF 931981 C/DESCONTO DE BONIFICACAO NA NF - MILKA</t>
        </is>
      </c>
      <c r="Z1865" s="59">
        <f>IF($T1865="","",IFERROR(INDEX('Resumo Grupos'!$AC$3:$AC$200,MATCH($T1865,'Resumo Grupos'!$AB$3:$AB$200,0)),"n/d"))</f>
        <v/>
      </c>
      <c r="AA1865" s="59">
        <f>IF($T1865="","",IF(COUNTIF('Resumo Grupos'!$AE$3:$AE$40,$T1865)&gt;0,"NAO","SIM"))</f>
        <v/>
      </c>
    </row>
    <row r="1866" ht="12.75" customHeight="1" s="60">
      <c r="A1866" s="59" t="n">
        <v>1</v>
      </c>
      <c r="B1866" s="75" t="n">
        <v>46233</v>
      </c>
      <c r="C1866" s="75" t="n">
        <v>46244</v>
      </c>
      <c r="D1866" s="59" t="n">
        <v>1621</v>
      </c>
      <c r="E1866" s="59" t="inlineStr">
        <is>
          <t>CRBS S/A</t>
        </is>
      </c>
      <c r="F1866" s="59" t="n">
        <v>24</v>
      </c>
      <c r="G1866" s="59" t="inlineStr">
        <is>
          <t>Compra a Prazo - Boletos</t>
        </is>
      </c>
      <c r="H1866" s="59" t="n">
        <v>2110405</v>
      </c>
      <c r="I1866" s="59" t="inlineStr">
        <is>
          <t>CONTAS A PAGAR</t>
        </is>
      </c>
      <c r="J1866" s="59" t="n">
        <v>1474734</v>
      </c>
      <c r="L1866" s="59" t="n">
        <v>931982</v>
      </c>
      <c r="M1866" s="59" t="inlineStr">
        <is>
          <t>01</t>
        </is>
      </c>
      <c r="N1866" s="59" t="inlineStr">
        <is>
          <t>AVU</t>
        </is>
      </c>
      <c r="P1866" s="59" t="n">
        <v>103</v>
      </c>
      <c r="Q1866" s="59" t="inlineStr">
        <is>
          <t>MILKA FRANCIS</t>
        </is>
      </c>
      <c r="R1866" s="59" t="inlineStr">
        <is>
          <t>ESTOQUE DE MERCADORIAS</t>
        </is>
      </c>
      <c r="S1866" s="59" t="n">
        <v>1130101</v>
      </c>
      <c r="T1866" s="59" t="inlineStr">
        <is>
          <t>MERCADORIAS P/REVENDA</t>
        </is>
      </c>
      <c r="U1866" s="77" t="n">
        <v>223.09</v>
      </c>
      <c r="W1866" s="59" t="n">
        <v>223.09</v>
      </c>
      <c r="X1866" s="59" t="inlineStr">
        <is>
          <t>NF 931982 AMBEV - MILKA</t>
        </is>
      </c>
      <c r="Z1866" s="59">
        <f>IF($T1866="","",IFERROR(INDEX('Resumo Grupos'!$AC$3:$AC$200,MATCH($T1866,'Resumo Grupos'!$AB$3:$AB$200,0)),"n/d"))</f>
        <v/>
      </c>
      <c r="AA1866" s="59">
        <f>IF($T1866="","",IF(COUNTIF('Resumo Grupos'!$AE$3:$AE$40,$T1866)&gt;0,"NAO","SIM"))</f>
        <v/>
      </c>
    </row>
    <row r="1867" ht="12.75" customHeight="1" s="60">
      <c r="A1867" s="59" t="n">
        <v>1</v>
      </c>
      <c r="B1867" s="75" t="n">
        <v>46233</v>
      </c>
      <c r="C1867" s="75" t="n">
        <v>46244</v>
      </c>
      <c r="D1867" s="59" t="n">
        <v>1621</v>
      </c>
      <c r="E1867" s="59" t="inlineStr">
        <is>
          <t>CRBS S/A</t>
        </is>
      </c>
      <c r="F1867" s="59" t="n">
        <v>24</v>
      </c>
      <c r="G1867" s="59" t="inlineStr">
        <is>
          <t>Compra a Prazo - Boletos</t>
        </is>
      </c>
      <c r="H1867" s="59" t="n">
        <v>2110405</v>
      </c>
      <c r="I1867" s="59" t="inlineStr">
        <is>
          <t>CONTAS A PAGAR</t>
        </is>
      </c>
      <c r="J1867" s="59" t="n">
        <v>1474752</v>
      </c>
      <c r="L1867" s="59" t="n">
        <v>931983</v>
      </c>
      <c r="M1867" s="59" t="inlineStr">
        <is>
          <t>01</t>
        </is>
      </c>
      <c r="N1867" s="59" t="inlineStr">
        <is>
          <t>AVU</t>
        </is>
      </c>
      <c r="P1867" s="59" t="n">
        <v>103</v>
      </c>
      <c r="Q1867" s="59" t="inlineStr">
        <is>
          <t>MILKA FRANCIS</t>
        </is>
      </c>
      <c r="R1867" s="59" t="inlineStr">
        <is>
          <t>ESTOQUE DE MERCADORIAS</t>
        </is>
      </c>
      <c r="S1867" s="59" t="n">
        <v>1130101</v>
      </c>
      <c r="T1867" s="59" t="inlineStr">
        <is>
          <t>MERCADORIAS P/REVENDA</t>
        </is>
      </c>
      <c r="U1867" s="77" t="n">
        <v>157.71</v>
      </c>
      <c r="W1867" s="59" t="n">
        <v>157.71</v>
      </c>
      <c r="X1867" s="59" t="inlineStr">
        <is>
          <t>NF 931983 AMBEV - MILKA</t>
        </is>
      </c>
      <c r="Z1867" s="59">
        <f>IF($T1867="","",IFERROR(INDEX('Resumo Grupos'!$AC$3:$AC$200,MATCH($T1867,'Resumo Grupos'!$AB$3:$AB$200,0)),"n/d"))</f>
        <v/>
      </c>
      <c r="AA1867" s="59">
        <f>IF($T1867="","",IF(COUNTIF('Resumo Grupos'!$AE$3:$AE$40,$T1867)&gt;0,"NAO","SIM"))</f>
        <v/>
      </c>
    </row>
    <row r="1868" ht="12.75" customHeight="1" s="60">
      <c r="A1868" s="59" t="n">
        <v>1</v>
      </c>
      <c r="B1868" s="75" t="n">
        <v>46234</v>
      </c>
      <c r="C1868" s="75" t="n">
        <v>46244</v>
      </c>
      <c r="D1868" s="59" t="n">
        <v>1723</v>
      </c>
      <c r="E1868" s="59" t="inlineStr">
        <is>
          <t>COMERCIO DE FRIOS MANAUS LTDA</t>
        </is>
      </c>
      <c r="F1868" s="59" t="n">
        <v>24</v>
      </c>
      <c r="G1868" s="59" t="inlineStr">
        <is>
          <t>Compra a Prazo - Boletos</t>
        </is>
      </c>
      <c r="H1868" s="59" t="n">
        <v>2110405</v>
      </c>
      <c r="I1868" s="59" t="inlineStr">
        <is>
          <t>CONTAS A PAGAR</t>
        </is>
      </c>
      <c r="J1868" s="59" t="n">
        <v>1478789</v>
      </c>
      <c r="L1868" s="59" t="n">
        <v>174095</v>
      </c>
      <c r="M1868" s="59" t="inlineStr">
        <is>
          <t>01</t>
        </is>
      </c>
      <c r="N1868" s="59" t="inlineStr">
        <is>
          <t>AVU</t>
        </is>
      </c>
      <c r="P1868" s="59" t="n">
        <v>103</v>
      </c>
      <c r="Q1868" s="59" t="inlineStr">
        <is>
          <t>MILKA FRANCIS</t>
        </is>
      </c>
      <c r="R1868" s="59" t="inlineStr">
        <is>
          <t>ESTOQUE DE MERCADORIAS</t>
        </is>
      </c>
      <c r="S1868" s="59" t="n">
        <v>1130101</v>
      </c>
      <c r="T1868" s="59" t="inlineStr">
        <is>
          <t>MERCADORIAS P/REVENDA</t>
        </is>
      </c>
      <c r="U1868" s="77" t="n">
        <v>3288.4</v>
      </c>
      <c r="W1868" s="59" t="n">
        <v>3288.4</v>
      </c>
      <c r="X1868" s="59" t="inlineStr">
        <is>
          <t>NF 174095 - MILKA</t>
        </is>
      </c>
      <c r="Z1868" s="59">
        <f>IF($T1868="","",IFERROR(INDEX('Resumo Grupos'!$AC$3:$AC$200,MATCH($T1868,'Resumo Grupos'!$AB$3:$AB$200,0)),"n/d"))</f>
        <v/>
      </c>
      <c r="AA1868" s="59">
        <f>IF($T1868="","",IF(COUNTIF('Resumo Grupos'!$AE$3:$AE$40,$T1868)&gt;0,"NAO","SIM"))</f>
        <v/>
      </c>
    </row>
    <row r="1869" ht="12.75" customHeight="1" s="60">
      <c r="A1869" s="59" t="n">
        <v>1</v>
      </c>
      <c r="B1869" s="75" t="n">
        <v>46234</v>
      </c>
      <c r="C1869" s="75" t="n">
        <v>46244</v>
      </c>
      <c r="D1869" s="59" t="n">
        <v>1621</v>
      </c>
      <c r="E1869" s="59" t="inlineStr">
        <is>
          <t>CRBS S/A</t>
        </is>
      </c>
      <c r="F1869" s="59" t="n">
        <v>24</v>
      </c>
      <c r="G1869" s="59" t="inlineStr">
        <is>
          <t>Compra a Prazo - Boletos</t>
        </is>
      </c>
      <c r="H1869" s="59" t="n">
        <v>2110405</v>
      </c>
      <c r="I1869" s="59" t="inlineStr">
        <is>
          <t>CONTAS A PAGAR</t>
        </is>
      </c>
      <c r="J1869" s="59" t="n">
        <v>1479582</v>
      </c>
      <c r="L1869" s="59" t="n">
        <v>933625</v>
      </c>
      <c r="M1869" s="59" t="inlineStr">
        <is>
          <t>01</t>
        </is>
      </c>
      <c r="N1869" s="59" t="inlineStr">
        <is>
          <t>AVU</t>
        </is>
      </c>
      <c r="P1869" s="59" t="n">
        <v>103</v>
      </c>
      <c r="Q1869" s="59" t="inlineStr">
        <is>
          <t>MILKA FRANCIS</t>
        </is>
      </c>
      <c r="R1869" s="59" t="inlineStr">
        <is>
          <t>ESTOQUE DE MERCADORIAS</t>
        </is>
      </c>
      <c r="S1869" s="59" t="n">
        <v>1130101</v>
      </c>
      <c r="T1869" s="59" t="inlineStr">
        <is>
          <t>MERCADORIAS P/REVENDA</t>
        </is>
      </c>
      <c r="U1869" s="77" t="n">
        <v>242.43</v>
      </c>
      <c r="W1869" s="59" t="n">
        <v>242.43</v>
      </c>
      <c r="X1869" s="59" t="inlineStr">
        <is>
          <t>NF 933625 AMBEV - MILKA</t>
        </is>
      </c>
      <c r="Z1869" s="59">
        <f>IF($T1869="","",IFERROR(INDEX('Resumo Grupos'!$AC$3:$AC$200,MATCH($T1869,'Resumo Grupos'!$AB$3:$AB$200,0)),"n/d"))</f>
        <v/>
      </c>
      <c r="AA1869" s="59">
        <f>IF($T1869="","",IF(COUNTIF('Resumo Grupos'!$AE$3:$AE$40,$T1869)&gt;0,"NAO","SIM"))</f>
        <v/>
      </c>
    </row>
    <row r="1870" ht="12.75" customHeight="1" s="60">
      <c r="A1870" s="59" t="n">
        <v>1</v>
      </c>
      <c r="B1870" s="75" t="n">
        <v>46234</v>
      </c>
      <c r="C1870" s="75" t="n">
        <v>46244</v>
      </c>
      <c r="D1870" s="59" t="n">
        <v>1621</v>
      </c>
      <c r="E1870" s="59" t="inlineStr">
        <is>
          <t>CRBS S/A</t>
        </is>
      </c>
      <c r="F1870" s="59" t="n">
        <v>24</v>
      </c>
      <c r="G1870" s="59" t="inlineStr">
        <is>
          <t>Compra a Prazo - Boletos</t>
        </is>
      </c>
      <c r="H1870" s="59" t="n">
        <v>1110202</v>
      </c>
      <c r="I1870" s="59" t="inlineStr">
        <is>
          <t>BANCO ITAU Lj 01</t>
        </is>
      </c>
      <c r="J1870" s="59" t="n">
        <v>1479622</v>
      </c>
      <c r="L1870" s="59" t="n">
        <v>933624</v>
      </c>
      <c r="M1870" s="59" t="inlineStr">
        <is>
          <t>01</t>
        </is>
      </c>
      <c r="N1870" s="59" t="inlineStr">
        <is>
          <t>AVU</t>
        </is>
      </c>
      <c r="P1870" s="59" t="n">
        <v>103</v>
      </c>
      <c r="Q1870" s="59" t="inlineStr">
        <is>
          <t>MILKA FRANCIS</t>
        </is>
      </c>
      <c r="R1870" s="59" t="inlineStr">
        <is>
          <t>ESTOQUE DE MERCADORIAS</t>
        </is>
      </c>
      <c r="S1870" s="59" t="n">
        <v>1130101</v>
      </c>
      <c r="T1870" s="59" t="inlineStr">
        <is>
          <t>MERCADORIAS P/REVENDA</t>
        </is>
      </c>
      <c r="U1870" s="77" t="n">
        <v>938.92</v>
      </c>
      <c r="W1870" s="59" t="n">
        <v>938.92</v>
      </c>
      <c r="X1870" s="59" t="inlineStr">
        <is>
          <t>NF 933624 -  MILKA</t>
        </is>
      </c>
      <c r="Z1870" s="59">
        <f>IF($T1870="","",IFERROR(INDEX('Resumo Grupos'!$AC$3:$AC$200,MATCH($T1870,'Resumo Grupos'!$AB$3:$AB$200,0)),"n/d"))</f>
        <v/>
      </c>
      <c r="AA1870" s="59">
        <f>IF($T1870="","",IF(COUNTIF('Resumo Grupos'!$AE$3:$AE$40,$T1870)&gt;0,"NAO","SIM"))</f>
        <v/>
      </c>
    </row>
    <row r="1871" ht="12.75" customHeight="1" s="60">
      <c r="A1871" s="59" t="n">
        <v>1</v>
      </c>
      <c r="B1871" s="75" t="n">
        <v>46237</v>
      </c>
      <c r="C1871" s="75" t="n">
        <v>46244</v>
      </c>
      <c r="D1871" s="59" t="n">
        <v>1631</v>
      </c>
      <c r="E1871" s="59" t="inlineStr">
        <is>
          <t>T. M. L. DA SILVA LTDA</t>
        </is>
      </c>
      <c r="F1871" s="59" t="n">
        <v>24</v>
      </c>
      <c r="G1871" s="59" t="inlineStr">
        <is>
          <t>Compra a Prazo - Boletos</t>
        </is>
      </c>
      <c r="H1871" s="59" t="n">
        <v>2110405</v>
      </c>
      <c r="I1871" s="59" t="inlineStr">
        <is>
          <t>CONTAS A PAGAR</t>
        </is>
      </c>
      <c r="J1871" s="59" t="n">
        <v>1495666</v>
      </c>
      <c r="L1871" s="59" t="n">
        <v>15204</v>
      </c>
      <c r="M1871" s="59" t="inlineStr">
        <is>
          <t>01</t>
        </is>
      </c>
      <c r="N1871" s="59" t="inlineStr">
        <is>
          <t>AVU</t>
        </is>
      </c>
      <c r="P1871" s="59" t="n">
        <v>103</v>
      </c>
      <c r="Q1871" s="59" t="inlineStr">
        <is>
          <t>MILKA FRANCIS</t>
        </is>
      </c>
      <c r="R1871" s="59" t="inlineStr">
        <is>
          <t>ESTOQUE DE MERCADORIAS</t>
        </is>
      </c>
      <c r="S1871" s="59" t="n">
        <v>1130101</v>
      </c>
      <c r="T1871" s="59" t="inlineStr">
        <is>
          <t>MERCADORIAS P/REVENDA</t>
        </is>
      </c>
      <c r="U1871" s="77" t="n">
        <v>659.7</v>
      </c>
      <c r="W1871" s="59" t="n">
        <v>659.7</v>
      </c>
      <c r="X1871" s="59" t="inlineStr">
        <is>
          <t>NF 15204 AMAZONGURT - MILKA</t>
        </is>
      </c>
      <c r="Z1871" s="59">
        <f>IF($T1871="","",IFERROR(INDEX('Resumo Grupos'!$AC$3:$AC$200,MATCH($T1871,'Resumo Grupos'!$AB$3:$AB$200,0)),"n/d"))</f>
        <v/>
      </c>
      <c r="AA1871" s="59">
        <f>IF($T1871="","",IF(COUNTIF('Resumo Grupos'!$AE$3:$AE$40,$T1871)&gt;0,"NAO","SIM"))</f>
        <v/>
      </c>
    </row>
    <row r="1872" ht="12.75" customHeight="1" s="60">
      <c r="A1872" s="59" t="n">
        <v>1</v>
      </c>
      <c r="B1872" s="75" t="n">
        <v>46237</v>
      </c>
      <c r="C1872" s="75" t="n">
        <v>46244</v>
      </c>
      <c r="D1872" s="59" t="n">
        <v>1292</v>
      </c>
      <c r="E1872" s="59" t="inlineStr">
        <is>
          <t>SAO JOSE COMERCIO DE LATICINIOS E FRIOS</t>
        </is>
      </c>
      <c r="F1872" s="59" t="n">
        <v>24</v>
      </c>
      <c r="G1872" s="59" t="inlineStr">
        <is>
          <t>Compra a Prazo - Boletos</t>
        </is>
      </c>
      <c r="H1872" s="59" t="n">
        <v>1110202</v>
      </c>
      <c r="I1872" s="59" t="inlineStr">
        <is>
          <t>BANCO ITAU Lj 01</t>
        </is>
      </c>
      <c r="J1872" s="59" t="n">
        <v>1495679</v>
      </c>
      <c r="L1872" s="59" t="n">
        <v>3752</v>
      </c>
      <c r="M1872" s="59" t="inlineStr">
        <is>
          <t>01</t>
        </is>
      </c>
      <c r="N1872" s="59" t="inlineStr">
        <is>
          <t>AVU</t>
        </is>
      </c>
      <c r="P1872" s="59" t="n">
        <v>103</v>
      </c>
      <c r="Q1872" s="59" t="inlineStr">
        <is>
          <t>MILKA FRANCIS</t>
        </is>
      </c>
      <c r="R1872" s="59" t="inlineStr">
        <is>
          <t>ESTOQUE DE MERCADORIAS</t>
        </is>
      </c>
      <c r="S1872" s="59" t="n">
        <v>1130101</v>
      </c>
      <c r="T1872" s="59" t="inlineStr">
        <is>
          <t>MERCADORIAS P/REVENDA</t>
        </is>
      </c>
      <c r="U1872" s="77" t="n">
        <v>965</v>
      </c>
      <c r="W1872" s="59" t="n">
        <v>965</v>
      </c>
      <c r="X1872" s="59" t="inlineStr">
        <is>
          <t>NF3752 SABORE - MILKA</t>
        </is>
      </c>
      <c r="Z1872" s="59">
        <f>IF($T1872="","",IFERROR(INDEX('Resumo Grupos'!$AC$3:$AC$200,MATCH($T1872,'Resumo Grupos'!$AB$3:$AB$200,0)),"n/d"))</f>
        <v/>
      </c>
      <c r="AA1872" s="59">
        <f>IF($T1872="","",IF(COUNTIF('Resumo Grupos'!$AE$3:$AE$40,$T1872)&gt;0,"NAO","SIM"))</f>
        <v/>
      </c>
    </row>
    <row r="1873" ht="12.75" customHeight="1" s="60">
      <c r="A1873" s="59" t="n">
        <v>1</v>
      </c>
      <c r="B1873" s="75" t="n">
        <v>46237</v>
      </c>
      <c r="C1873" s="75" t="n">
        <v>46244</v>
      </c>
      <c r="D1873" s="59" t="n">
        <v>581</v>
      </c>
      <c r="E1873" s="59" t="inlineStr">
        <is>
          <t>LIMA E BARANDA COMERCIO DE PRODUTOS REGI</t>
        </is>
      </c>
      <c r="F1873" s="59" t="n">
        <v>24</v>
      </c>
      <c r="G1873" s="59" t="inlineStr">
        <is>
          <t>Compra a Prazo - Boletos</t>
        </is>
      </c>
      <c r="H1873" s="59" t="n">
        <v>2110405</v>
      </c>
      <c r="I1873" s="59" t="inlineStr">
        <is>
          <t>CONTAS A PAGAR</t>
        </is>
      </c>
      <c r="J1873" s="59" t="n">
        <v>1495739</v>
      </c>
      <c r="L1873" s="59" t="n">
        <v>31724</v>
      </c>
      <c r="M1873" s="59" t="inlineStr">
        <is>
          <t>01</t>
        </is>
      </c>
      <c r="N1873" s="59" t="inlineStr">
        <is>
          <t>AVU</t>
        </is>
      </c>
      <c r="P1873" s="59" t="n">
        <v>103</v>
      </c>
      <c r="Q1873" s="59" t="inlineStr">
        <is>
          <t>MILKA FRANCIS</t>
        </is>
      </c>
      <c r="R1873" s="59" t="inlineStr">
        <is>
          <t>ESTOQUE DE MERCADORIAS</t>
        </is>
      </c>
      <c r="S1873" s="59" t="n">
        <v>1130101</v>
      </c>
      <c r="T1873" s="59" t="inlineStr">
        <is>
          <t>MERCADORIAS P/REVENDA</t>
        </is>
      </c>
      <c r="U1873" s="77" t="n">
        <v>363.5</v>
      </c>
      <c r="W1873" s="59" t="n">
        <v>363.5</v>
      </c>
      <c r="X1873" s="59" t="inlineStr">
        <is>
          <t>NF 31724 - MILKA</t>
        </is>
      </c>
      <c r="Z1873" s="59">
        <f>IF($T1873="","",IFERROR(INDEX('Resumo Grupos'!$AC$3:$AC$200,MATCH($T1873,'Resumo Grupos'!$AB$3:$AB$200,0)),"n/d"))</f>
        <v/>
      </c>
      <c r="AA1873" s="59">
        <f>IF($T1873="","",IF(COUNTIF('Resumo Grupos'!$AE$3:$AE$40,$T1873)&gt;0,"NAO","SIM"))</f>
        <v/>
      </c>
    </row>
    <row r="1874" ht="12.75" customHeight="1" s="60">
      <c r="A1874" s="59" t="n">
        <v>1</v>
      </c>
      <c r="B1874" s="75" t="n">
        <v>46238</v>
      </c>
      <c r="C1874" s="75" t="n">
        <v>46244</v>
      </c>
      <c r="D1874" s="59" t="n">
        <v>1645</v>
      </c>
      <c r="E1874" s="59" t="inlineStr">
        <is>
          <t>FABRICA RAINHA ISABEL LTDA</t>
        </is>
      </c>
      <c r="F1874" s="59" t="n">
        <v>24</v>
      </c>
      <c r="G1874" s="59" t="inlineStr">
        <is>
          <t>Compra a Prazo - Boletos</t>
        </is>
      </c>
      <c r="H1874" s="59" t="n">
        <v>2110405</v>
      </c>
      <c r="I1874" s="59" t="inlineStr">
        <is>
          <t>CONTAS A PAGAR</t>
        </is>
      </c>
      <c r="J1874" s="59" t="n">
        <v>1498727</v>
      </c>
      <c r="L1874" s="59" t="n">
        <v>142307</v>
      </c>
      <c r="M1874" s="59" t="inlineStr">
        <is>
          <t>01</t>
        </is>
      </c>
      <c r="N1874" s="59" t="inlineStr">
        <is>
          <t>AVU</t>
        </is>
      </c>
      <c r="P1874" s="59" t="n">
        <v>103</v>
      </c>
      <c r="Q1874" s="59" t="inlineStr">
        <is>
          <t>MILKA FRANCIS</t>
        </is>
      </c>
      <c r="R1874" s="59" t="inlineStr">
        <is>
          <t>ESTOQUE DE MERCADORIAS</t>
        </is>
      </c>
      <c r="S1874" s="59" t="n">
        <v>1130101</v>
      </c>
      <c r="T1874" s="59" t="inlineStr">
        <is>
          <t>MERCADORIAS P/REVENDA</t>
        </is>
      </c>
      <c r="U1874" s="77" t="n">
        <v>841.5</v>
      </c>
      <c r="W1874" s="59" t="n">
        <v>841.5</v>
      </c>
      <c r="X1874" s="59" t="inlineStr">
        <is>
          <t>NF 142307 - MILKA</t>
        </is>
      </c>
      <c r="Z1874" s="59">
        <f>IF($T1874="","",IFERROR(INDEX('Resumo Grupos'!$AC$3:$AC$200,MATCH($T1874,'Resumo Grupos'!$AB$3:$AB$200,0)),"n/d"))</f>
        <v/>
      </c>
      <c r="AA1874" s="59">
        <f>IF($T1874="","",IF(COUNTIF('Resumo Grupos'!$AE$3:$AE$40,$T1874)&gt;0,"NAO","SIM"))</f>
        <v/>
      </c>
    </row>
    <row r="1875" ht="12.75" customHeight="1" s="60">
      <c r="A1875" s="59" t="n">
        <v>1</v>
      </c>
      <c r="B1875" s="75" t="n">
        <v>46238</v>
      </c>
      <c r="C1875" s="75" t="n">
        <v>46244</v>
      </c>
      <c r="D1875" s="59" t="n">
        <v>1650</v>
      </c>
      <c r="E1875" s="59" t="inlineStr">
        <is>
          <t>FRUTAL INDUSTRIA E COMERCIO LTDA</t>
        </is>
      </c>
      <c r="F1875" s="59" t="n">
        <v>24</v>
      </c>
      <c r="G1875" s="59" t="inlineStr">
        <is>
          <t>Compra a Prazo - Boletos</t>
        </is>
      </c>
      <c r="H1875" s="59" t="n">
        <v>2110405</v>
      </c>
      <c r="I1875" s="59" t="inlineStr">
        <is>
          <t>CONTAS A PAGAR</t>
        </is>
      </c>
      <c r="J1875" s="59" t="n">
        <v>1498817</v>
      </c>
      <c r="L1875" s="59" t="n">
        <v>227628</v>
      </c>
      <c r="M1875" s="59" t="inlineStr">
        <is>
          <t>01</t>
        </is>
      </c>
      <c r="N1875" s="59" t="inlineStr">
        <is>
          <t>AVU</t>
        </is>
      </c>
      <c r="P1875" s="59" t="n">
        <v>103</v>
      </c>
      <c r="Q1875" s="59" t="inlineStr">
        <is>
          <t>MILKA FRANCIS</t>
        </is>
      </c>
      <c r="R1875" s="59" t="inlineStr">
        <is>
          <t>ESTOQUE DE MERCADORIAS</t>
        </is>
      </c>
      <c r="S1875" s="59" t="n">
        <v>1130101</v>
      </c>
      <c r="T1875" s="59" t="inlineStr">
        <is>
          <t>MERCADORIAS P/REVENDA</t>
        </is>
      </c>
      <c r="U1875" s="77" t="n">
        <v>592.01</v>
      </c>
      <c r="W1875" s="59" t="n">
        <v>592.01</v>
      </c>
      <c r="X1875" s="59" t="inlineStr">
        <is>
          <t>NF 227628 - MILKA</t>
        </is>
      </c>
      <c r="Z1875" s="59">
        <f>IF($T1875="","",IFERROR(INDEX('Resumo Grupos'!$AC$3:$AC$200,MATCH($T1875,'Resumo Grupos'!$AB$3:$AB$200,0)),"n/d"))</f>
        <v/>
      </c>
      <c r="AA1875" s="59">
        <f>IF($T1875="","",IF(COUNTIF('Resumo Grupos'!$AE$3:$AE$40,$T1875)&gt;0,"NAO","SIM"))</f>
        <v/>
      </c>
    </row>
    <row r="1876" ht="12.75" customHeight="1" s="60">
      <c r="A1876" s="59" t="n">
        <v>1</v>
      </c>
      <c r="B1876" s="75" t="n">
        <v>46238</v>
      </c>
      <c r="C1876" s="75" t="n">
        <v>46244</v>
      </c>
      <c r="D1876" s="59" t="n">
        <v>1363</v>
      </c>
      <c r="E1876" s="59" t="inlineStr">
        <is>
          <t>JAB COMERCIO DE PRODUTOS ALIMENTICIOS LT</t>
        </is>
      </c>
      <c r="F1876" s="59" t="n">
        <v>24</v>
      </c>
      <c r="G1876" s="59" t="inlineStr">
        <is>
          <t>Compra a Prazo - Boletos</t>
        </is>
      </c>
      <c r="H1876" s="59" t="n">
        <v>2110405</v>
      </c>
      <c r="I1876" s="59" t="inlineStr">
        <is>
          <t>CONTAS A PAGAR</t>
        </is>
      </c>
      <c r="J1876" s="59" t="n">
        <v>1498860</v>
      </c>
      <c r="L1876" s="59" t="n">
        <v>3658</v>
      </c>
      <c r="M1876" s="59" t="inlineStr">
        <is>
          <t>01</t>
        </is>
      </c>
      <c r="N1876" s="59" t="inlineStr">
        <is>
          <t>AVU</t>
        </is>
      </c>
      <c r="P1876" s="59" t="n">
        <v>103</v>
      </c>
      <c r="Q1876" s="59" t="inlineStr">
        <is>
          <t>MILKA FRANCIS</t>
        </is>
      </c>
      <c r="R1876" s="59" t="inlineStr">
        <is>
          <t>ESTOQUE DE MERCADORIAS</t>
        </is>
      </c>
      <c r="S1876" s="59" t="n">
        <v>1130101</v>
      </c>
      <c r="T1876" s="59" t="inlineStr">
        <is>
          <t>MERCADORIAS P/REVENDA</t>
        </is>
      </c>
      <c r="U1876" s="77" t="n">
        <v>370</v>
      </c>
      <c r="W1876" s="59" t="n">
        <v>370</v>
      </c>
      <c r="X1876" s="59" t="inlineStr">
        <is>
          <t>NF 3658 SANTO PAO - MILKA</t>
        </is>
      </c>
      <c r="Z1876" s="59">
        <f>IF($T1876="","",IFERROR(INDEX('Resumo Grupos'!$AC$3:$AC$200,MATCH($T1876,'Resumo Grupos'!$AB$3:$AB$200,0)),"n/d"))</f>
        <v/>
      </c>
      <c r="AA1876" s="59">
        <f>IF($T1876="","",IF(COUNTIF('Resumo Grupos'!$AE$3:$AE$40,$T1876)&gt;0,"NAO","SIM"))</f>
        <v/>
      </c>
    </row>
    <row r="1877" ht="12.75" customHeight="1" s="60">
      <c r="A1877" s="59" t="n">
        <v>1</v>
      </c>
      <c r="B1877" s="75" t="n">
        <v>46238</v>
      </c>
      <c r="C1877" s="75" t="n">
        <v>46244</v>
      </c>
      <c r="D1877" s="59" t="n">
        <v>560</v>
      </c>
      <c r="E1877" s="59" t="inlineStr">
        <is>
          <t>KAROLINY RODRIGUES SOUZA VENANCIO 915783</t>
        </is>
      </c>
      <c r="F1877" s="59" t="n">
        <v>24</v>
      </c>
      <c r="G1877" s="59" t="inlineStr">
        <is>
          <t>Compra a Prazo - Boletos</t>
        </is>
      </c>
      <c r="H1877" s="59" t="n">
        <v>2110405</v>
      </c>
      <c r="I1877" s="59" t="inlineStr">
        <is>
          <t>CONTAS A PAGAR</t>
        </is>
      </c>
      <c r="J1877" s="59" t="n">
        <v>1498883</v>
      </c>
      <c r="L1877" s="59" t="n">
        <v>1957</v>
      </c>
      <c r="M1877" s="59" t="inlineStr">
        <is>
          <t>01</t>
        </is>
      </c>
      <c r="N1877" s="59" t="inlineStr">
        <is>
          <t>AVU</t>
        </is>
      </c>
      <c r="P1877" s="59" t="n">
        <v>103</v>
      </c>
      <c r="Q1877" s="59" t="inlineStr">
        <is>
          <t>MILKA FRANCIS</t>
        </is>
      </c>
      <c r="R1877" s="59" t="inlineStr">
        <is>
          <t>ESTOQUE DE MERCADORIAS</t>
        </is>
      </c>
      <c r="S1877" s="59" t="n">
        <v>1130101</v>
      </c>
      <c r="T1877" s="59" t="inlineStr">
        <is>
          <t>MERCADORIAS P/REVENDA</t>
        </is>
      </c>
      <c r="U1877" s="77" t="n">
        <v>570</v>
      </c>
      <c r="W1877" s="59" t="n">
        <v>570</v>
      </c>
      <c r="X1877" s="59" t="inlineStr">
        <is>
          <t>NF 1957 BIS.DONA MARIA - MILKA</t>
        </is>
      </c>
      <c r="Z1877" s="59">
        <f>IF($T1877="","",IFERROR(INDEX('Resumo Grupos'!$AC$3:$AC$200,MATCH($T1877,'Resumo Grupos'!$AB$3:$AB$200,0)),"n/d"))</f>
        <v/>
      </c>
      <c r="AA1877" s="59">
        <f>IF($T1877="","",IF(COUNTIF('Resumo Grupos'!$AE$3:$AE$40,$T1877)&gt;0,"NAO","SIM"))</f>
        <v/>
      </c>
    </row>
    <row r="1878" ht="12.75" customHeight="1" s="60">
      <c r="A1878" s="59" t="n">
        <v>1</v>
      </c>
      <c r="B1878" s="75" t="n">
        <v>46238</v>
      </c>
      <c r="C1878" s="75" t="n">
        <v>46244</v>
      </c>
      <c r="D1878" s="59" t="n">
        <v>10065</v>
      </c>
      <c r="E1878" s="59" t="inlineStr">
        <is>
          <t>64.225.624 ROBERTO REIS AROUCHE</t>
        </is>
      </c>
      <c r="F1878" s="59" t="n">
        <v>24</v>
      </c>
      <c r="G1878" s="59" t="inlineStr">
        <is>
          <t>Compra a Prazo - Boletos</t>
        </is>
      </c>
      <c r="H1878" s="59" t="n">
        <v>2110405</v>
      </c>
      <c r="I1878" s="59" t="inlineStr">
        <is>
          <t>CONTAS A PAGAR</t>
        </is>
      </c>
      <c r="J1878" s="59" t="n">
        <v>1500404</v>
      </c>
      <c r="L1878" s="59" t="n">
        <v>78</v>
      </c>
      <c r="M1878" s="59" t="inlineStr">
        <is>
          <t>01</t>
        </is>
      </c>
      <c r="N1878" s="59" t="inlineStr">
        <is>
          <t>AVU</t>
        </is>
      </c>
      <c r="P1878" s="59" t="n">
        <v>103</v>
      </c>
      <c r="Q1878" s="59" t="inlineStr">
        <is>
          <t>MILKA FRANCIS</t>
        </is>
      </c>
      <c r="R1878" s="59" t="inlineStr">
        <is>
          <t>ESTOQUE DE MERCADORIAS</t>
        </is>
      </c>
      <c r="S1878" s="59" t="n">
        <v>1130101</v>
      </c>
      <c r="T1878" s="59" t="inlineStr">
        <is>
          <t>MERCADORIAS P/REVENDA</t>
        </is>
      </c>
      <c r="U1878" s="77" t="n">
        <v>288</v>
      </c>
      <c r="W1878" s="59" t="n">
        <v>288</v>
      </c>
      <c r="X1878" s="59" t="inlineStr">
        <is>
          <t>NF 78 - MILKA</t>
        </is>
      </c>
      <c r="Z1878" s="59">
        <f>IF($T1878="","",IFERROR(INDEX('Resumo Grupos'!$AC$3:$AC$200,MATCH($T1878,'Resumo Grupos'!$AB$3:$AB$200,0)),"n/d"))</f>
        <v/>
      </c>
      <c r="AA1878" s="59">
        <f>IF($T1878="","",IF(COUNTIF('Resumo Grupos'!$AE$3:$AE$40,$T1878)&gt;0,"NAO","SIM"))</f>
        <v/>
      </c>
    </row>
    <row r="1879" ht="12.75" customHeight="1" s="60">
      <c r="A1879" s="59" t="n">
        <v>1</v>
      </c>
      <c r="B1879" s="75" t="n">
        <v>46239</v>
      </c>
      <c r="C1879" s="75" t="n">
        <v>46244</v>
      </c>
      <c r="D1879" s="59" t="n">
        <v>686</v>
      </c>
      <c r="E1879" s="59" t="inlineStr">
        <is>
          <t>ESDRAS COMERCIO DE MATERIAIS ELETRICOS E</t>
        </is>
      </c>
      <c r="F1879" s="59" t="n">
        <v>34</v>
      </c>
      <c r="G1879" s="59" t="inlineStr">
        <is>
          <t>Transferencia Pix</t>
        </is>
      </c>
      <c r="H1879" s="59" t="n">
        <v>2110101</v>
      </c>
      <c r="I1879" s="59" t="inlineStr">
        <is>
          <t>FORNECEDORES DE MERCADORIA</t>
        </is>
      </c>
      <c r="J1879" s="59" t="n">
        <v>1504381</v>
      </c>
      <c r="L1879" s="59" t="n">
        <v>1399</v>
      </c>
      <c r="M1879" s="59" t="inlineStr">
        <is>
          <t>01</t>
        </is>
      </c>
      <c r="N1879" s="59" t="inlineStr">
        <is>
          <t>AVU</t>
        </is>
      </c>
      <c r="P1879" s="59" t="n">
        <v>103</v>
      </c>
      <c r="Q1879" s="59" t="inlineStr">
        <is>
          <t>MILKA FRANCIS</t>
        </is>
      </c>
      <c r="R1879" s="59" t="inlineStr">
        <is>
          <t>ESTOQUE DE MERCADORIAS</t>
        </is>
      </c>
      <c r="S1879" s="59" t="n">
        <v>1130101</v>
      </c>
      <c r="T1879" s="59" t="inlineStr">
        <is>
          <t>MERCADORIAS P/REVENDA</t>
        </is>
      </c>
      <c r="U1879" s="77" t="n">
        <v>280</v>
      </c>
      <c r="W1879" s="59" t="n">
        <v>280</v>
      </c>
      <c r="X1879" s="59" t="inlineStr">
        <is>
          <t>NF 1399 - MILKA</t>
        </is>
      </c>
      <c r="Z1879" s="59">
        <f>IF($T1879="","",IFERROR(INDEX('Resumo Grupos'!$AC$3:$AC$200,MATCH($T1879,'Resumo Grupos'!$AB$3:$AB$200,0)),"n/d"))</f>
        <v/>
      </c>
      <c r="AA1879" s="59">
        <f>IF($T1879="","",IF(COUNTIF('Resumo Grupos'!$AE$3:$AE$40,$T1879)&gt;0,"NAO","SIM"))</f>
        <v/>
      </c>
    </row>
    <row r="1880" ht="12.75" customHeight="1" s="60">
      <c r="A1880" s="59" t="n">
        <v>1</v>
      </c>
      <c r="B1880" s="75" t="n">
        <v>46240</v>
      </c>
      <c r="C1880" s="75" t="n">
        <v>46244</v>
      </c>
      <c r="D1880" s="59" t="n">
        <v>1899</v>
      </c>
      <c r="E1880" s="59" t="inlineStr">
        <is>
          <t>PANIFICADORA E CONFEITARIA REAL MADRI LTDA</t>
        </is>
      </c>
      <c r="F1880" s="59" t="n">
        <v>24</v>
      </c>
      <c r="G1880" s="59" t="inlineStr">
        <is>
          <t>Compra a Prazo - Boletos</t>
        </is>
      </c>
      <c r="H1880" s="59" t="n">
        <v>2110405</v>
      </c>
      <c r="I1880" s="59" t="inlineStr">
        <is>
          <t>CONTAS A PAGAR</t>
        </is>
      </c>
      <c r="J1880" s="59" t="n">
        <v>1508560</v>
      </c>
      <c r="L1880" s="59" t="n">
        <v>748</v>
      </c>
      <c r="M1880" s="59" t="inlineStr">
        <is>
          <t>01</t>
        </is>
      </c>
      <c r="N1880" s="59" t="inlineStr">
        <is>
          <t>AVU</t>
        </is>
      </c>
      <c r="P1880" s="59" t="n">
        <v>103</v>
      </c>
      <c r="Q1880" s="59" t="inlineStr">
        <is>
          <t>MILKA FRANCIS</t>
        </is>
      </c>
      <c r="R1880" s="59" t="inlineStr">
        <is>
          <t>ESTOQUE DE MERCADORIAS</t>
        </is>
      </c>
      <c r="S1880" s="59" t="n">
        <v>1130101</v>
      </c>
      <c r="T1880" s="59" t="inlineStr">
        <is>
          <t>MERCADORIAS P/REVENDA</t>
        </is>
      </c>
      <c r="U1880" s="77" t="n">
        <v>524.4</v>
      </c>
      <c r="W1880" s="59" t="n">
        <v>524.4</v>
      </c>
      <c r="X1880" s="59" t="inlineStr">
        <is>
          <t>NF  748 - MILKA</t>
        </is>
      </c>
      <c r="Z1880" s="59">
        <f>IF($T1880="","",IFERROR(INDEX('Resumo Grupos'!$AC$3:$AC$200,MATCH($T1880,'Resumo Grupos'!$AB$3:$AB$200,0)),"n/d"))</f>
        <v/>
      </c>
      <c r="AA1880" s="59">
        <f>IF($T1880="","",IF(COUNTIF('Resumo Grupos'!$AE$3:$AE$40,$T1880)&gt;0,"NAO","SIM"))</f>
        <v/>
      </c>
    </row>
    <row r="1881" ht="12.75" customHeight="1" s="60">
      <c r="A1881" s="59" t="n">
        <v>1</v>
      </c>
      <c r="B1881" s="75" t="n">
        <v>46240</v>
      </c>
      <c r="C1881" s="75" t="n">
        <v>46244</v>
      </c>
      <c r="D1881" s="59" t="n">
        <v>1899</v>
      </c>
      <c r="E1881" s="59" t="inlineStr">
        <is>
          <t>PANIFICADORA E CONFEITARIA REAL MADRI LTDA</t>
        </is>
      </c>
      <c r="F1881" s="59" t="n">
        <v>24</v>
      </c>
      <c r="G1881" s="59" t="inlineStr">
        <is>
          <t>Compra a Prazo - Boletos</t>
        </is>
      </c>
      <c r="H1881" s="59" t="n">
        <v>2110405</v>
      </c>
      <c r="I1881" s="59" t="inlineStr">
        <is>
          <t>CONTAS A PAGAR</t>
        </is>
      </c>
      <c r="J1881" s="59" t="n">
        <v>1508847</v>
      </c>
      <c r="L1881" s="59" t="n">
        <v>750</v>
      </c>
      <c r="M1881" s="59" t="inlineStr">
        <is>
          <t>01</t>
        </is>
      </c>
      <c r="N1881" s="59" t="inlineStr">
        <is>
          <t>AVU</t>
        </is>
      </c>
      <c r="P1881" s="59" t="n">
        <v>103</v>
      </c>
      <c r="Q1881" s="59" t="inlineStr">
        <is>
          <t>MILKA FRANCIS</t>
        </is>
      </c>
      <c r="R1881" s="59" t="inlineStr">
        <is>
          <t>ESTOQUE DE MERCADORIAS</t>
        </is>
      </c>
      <c r="S1881" s="59" t="n">
        <v>1130101</v>
      </c>
      <c r="T1881" s="59" t="inlineStr">
        <is>
          <t>MERCADORIAS P/REVENDA</t>
        </is>
      </c>
      <c r="U1881" s="77" t="n">
        <v>490</v>
      </c>
      <c r="W1881" s="59" t="n">
        <v>490</v>
      </c>
      <c r="X1881" s="59" t="inlineStr">
        <is>
          <t>NF 750 - MILKA</t>
        </is>
      </c>
      <c r="Z1881" s="59">
        <f>IF($T1881="","",IFERROR(INDEX('Resumo Grupos'!$AC$3:$AC$200,MATCH($T1881,'Resumo Grupos'!$AB$3:$AB$200,0)),"n/d"))</f>
        <v/>
      </c>
      <c r="AA1881" s="59">
        <f>IF($T1881="","",IF(COUNTIF('Resumo Grupos'!$AE$3:$AE$40,$T1881)&gt;0,"NAO","SIM"))</f>
        <v/>
      </c>
    </row>
    <row r="1882" ht="12.75" customHeight="1" s="60">
      <c r="A1882" s="59" t="n">
        <v>1</v>
      </c>
      <c r="B1882" s="75" t="n">
        <v>46240</v>
      </c>
      <c r="C1882" s="75" t="n">
        <v>46244</v>
      </c>
      <c r="D1882" s="59" t="n">
        <v>1899</v>
      </c>
      <c r="E1882" s="59" t="inlineStr">
        <is>
          <t>PANIFICADORA E CONFEITARIA REAL MADRI LTDA</t>
        </is>
      </c>
      <c r="F1882" s="59" t="n">
        <v>24</v>
      </c>
      <c r="G1882" s="59" t="inlineStr">
        <is>
          <t>Compra a Prazo - Boletos</t>
        </is>
      </c>
      <c r="H1882" s="59" t="n">
        <v>2110405</v>
      </c>
      <c r="I1882" s="59" t="inlineStr">
        <is>
          <t>CONTAS A PAGAR</t>
        </is>
      </c>
      <c r="J1882" s="59" t="n">
        <v>1508860</v>
      </c>
      <c r="L1882" s="59" t="n">
        <v>749</v>
      </c>
      <c r="M1882" s="59" t="inlineStr">
        <is>
          <t>01</t>
        </is>
      </c>
      <c r="N1882" s="59" t="inlineStr">
        <is>
          <t>AVU</t>
        </is>
      </c>
      <c r="P1882" s="59" t="n">
        <v>103</v>
      </c>
      <c r="Q1882" s="59" t="inlineStr">
        <is>
          <t>MILKA FRANCIS</t>
        </is>
      </c>
      <c r="R1882" s="59" t="inlineStr">
        <is>
          <t>ESTOQUE DE MERCADORIAS</t>
        </is>
      </c>
      <c r="S1882" s="59" t="n">
        <v>1130101</v>
      </c>
      <c r="T1882" s="59" t="inlineStr">
        <is>
          <t>MERCADORIAS P/REVENDA</t>
        </is>
      </c>
      <c r="U1882" s="77" t="n">
        <v>420</v>
      </c>
      <c r="W1882" s="59" t="n">
        <v>420</v>
      </c>
      <c r="X1882" s="59" t="inlineStr">
        <is>
          <t>NF 749 - MILKA</t>
        </is>
      </c>
      <c r="Z1882" s="59">
        <f>IF($T1882="","",IFERROR(INDEX('Resumo Grupos'!$AC$3:$AC$200,MATCH($T1882,'Resumo Grupos'!$AB$3:$AB$200,0)),"n/d"))</f>
        <v/>
      </c>
      <c r="AA1882" s="59">
        <f>IF($T1882="","",IF(COUNTIF('Resumo Grupos'!$AE$3:$AE$40,$T1882)&gt;0,"NAO","SIM"))</f>
        <v/>
      </c>
    </row>
    <row r="1883" ht="12.75" customHeight="1" s="60">
      <c r="A1883" s="59" t="n">
        <v>1</v>
      </c>
      <c r="B1883" s="75" t="n">
        <v>46240</v>
      </c>
      <c r="C1883" s="75" t="n">
        <v>46244</v>
      </c>
      <c r="D1883" s="59" t="n">
        <v>1614</v>
      </c>
      <c r="E1883" s="59" t="inlineStr">
        <is>
          <t>C. R. PARENTE ABREU</t>
        </is>
      </c>
      <c r="F1883" s="59" t="n">
        <v>24</v>
      </c>
      <c r="G1883" s="59" t="inlineStr">
        <is>
          <t>Compra a Prazo - Boletos</t>
        </is>
      </c>
      <c r="H1883" s="59" t="n">
        <v>2110405</v>
      </c>
      <c r="I1883" s="59" t="inlineStr">
        <is>
          <t>CONTAS A PAGAR</t>
        </is>
      </c>
      <c r="J1883" s="59" t="n">
        <v>1509557</v>
      </c>
      <c r="L1883" s="59" t="n">
        <v>11530</v>
      </c>
      <c r="M1883" s="59" t="inlineStr">
        <is>
          <t>01</t>
        </is>
      </c>
      <c r="N1883" s="59" t="inlineStr">
        <is>
          <t>AVU</t>
        </is>
      </c>
      <c r="P1883" s="59" t="n">
        <v>103</v>
      </c>
      <c r="Q1883" s="59" t="inlineStr">
        <is>
          <t>MILKA FRANCIS</t>
        </is>
      </c>
      <c r="R1883" s="59" t="inlineStr">
        <is>
          <t>ESTOQUE DE MERCADORIAS</t>
        </is>
      </c>
      <c r="S1883" s="59" t="n">
        <v>1130101</v>
      </c>
      <c r="T1883" s="59" t="inlineStr">
        <is>
          <t>MERCADORIAS P/REVENDA</t>
        </is>
      </c>
      <c r="U1883" s="77" t="n">
        <v>695.21</v>
      </c>
      <c r="W1883" s="59" t="n">
        <v>695.21</v>
      </c>
      <c r="X1883" s="59" t="inlineStr">
        <is>
          <t>NF 11530 -1 KARU - MILKA</t>
        </is>
      </c>
      <c r="Z1883" s="59">
        <f>IF($T1883="","",IFERROR(INDEX('Resumo Grupos'!$AC$3:$AC$200,MATCH($T1883,'Resumo Grupos'!$AB$3:$AB$200,0)),"n/d"))</f>
        <v/>
      </c>
      <c r="AA1883" s="59">
        <f>IF($T1883="","",IF(COUNTIF('Resumo Grupos'!$AE$3:$AE$40,$T1883)&gt;0,"NAO","SIM"))</f>
        <v/>
      </c>
    </row>
    <row r="1884" ht="12.75" customHeight="1" s="60">
      <c r="A1884" s="59" t="n">
        <v>1</v>
      </c>
      <c r="B1884" s="75" t="n">
        <v>46241</v>
      </c>
      <c r="C1884" s="75" t="n">
        <v>46244</v>
      </c>
      <c r="D1884" s="59" t="n">
        <v>17</v>
      </c>
      <c r="E1884" s="59" t="inlineStr">
        <is>
          <t>NEYLIANE SILVA DE OLIVEIRA</t>
        </is>
      </c>
      <c r="F1884" s="59" t="n">
        <v>34</v>
      </c>
      <c r="G1884" s="59" t="inlineStr">
        <is>
          <t>Transferencia Pix</t>
        </is>
      </c>
      <c r="H1884" s="59" t="n">
        <v>2110405</v>
      </c>
      <c r="I1884" s="59" t="inlineStr">
        <is>
          <t>CONTAS A PAGAR</t>
        </is>
      </c>
      <c r="J1884" s="59" t="n">
        <v>1512942</v>
      </c>
      <c r="L1884" s="59" t="n">
        <v>619809</v>
      </c>
      <c r="M1884" s="59" t="inlineStr">
        <is>
          <t>02</t>
        </is>
      </c>
      <c r="N1884" s="59" t="inlineStr">
        <is>
          <t>AVU</t>
        </is>
      </c>
      <c r="P1884" s="59" t="n">
        <v>101</v>
      </c>
      <c r="Q1884" s="59" t="inlineStr">
        <is>
          <t>KEILA LIMA</t>
        </is>
      </c>
      <c r="R1884" s="59" t="inlineStr">
        <is>
          <t>DESPESAS NAO OPERACIONAIS</t>
        </is>
      </c>
      <c r="S1884" s="59" t="n">
        <v>4220199</v>
      </c>
      <c r="T1884" s="59" t="inlineStr">
        <is>
          <t>PAGAMENTOS OUTROS NAO OPERACIONAIS</t>
        </is>
      </c>
      <c r="U1884" s="77" t="n">
        <v>150</v>
      </c>
      <c r="W1884" s="59" t="n">
        <v>150</v>
      </c>
      <c r="X1884" s="59" t="inlineStr">
        <is>
          <t>PL NEILA MENS CONTADOR KAMILLA - KEILA</t>
        </is>
      </c>
      <c r="Z1884" s="59">
        <f>IF($T1884="","",IFERROR(INDEX('Resumo Grupos'!$AC$3:$AC$200,MATCH($T1884,'Resumo Grupos'!$AB$3:$AB$200,0)),"n/d"))</f>
        <v/>
      </c>
      <c r="AA1884" s="59">
        <f>IF($T1884="","",IF(COUNTIF('Resumo Grupos'!$AE$3:$AE$40,$T1884)&gt;0,"NAO","SIM"))</f>
        <v/>
      </c>
    </row>
    <row r="1885" ht="12.75" customHeight="1" s="60">
      <c r="A1885" s="59" t="n">
        <v>1</v>
      </c>
      <c r="B1885" s="75" t="n">
        <v>46241</v>
      </c>
      <c r="C1885" s="75" t="n">
        <v>46244</v>
      </c>
      <c r="D1885" s="59" t="n">
        <v>10018</v>
      </c>
      <c r="E1885" s="59" t="inlineStr">
        <is>
          <t>ADRIANO FEITOSA OLIVEIRA LTDA</t>
        </is>
      </c>
      <c r="F1885" s="59" t="n">
        <v>34</v>
      </c>
      <c r="G1885" s="59" t="inlineStr">
        <is>
          <t>Transferencia Pix</t>
        </is>
      </c>
      <c r="H1885" s="59" t="n">
        <v>2110405</v>
      </c>
      <c r="I1885" s="59" t="inlineStr">
        <is>
          <t>CONTAS A PAGAR</t>
        </is>
      </c>
      <c r="J1885" s="59" t="n">
        <v>1513405</v>
      </c>
      <c r="L1885" s="59" t="n">
        <v>354</v>
      </c>
      <c r="M1885" s="59" t="inlineStr">
        <is>
          <t>01</t>
        </is>
      </c>
      <c r="N1885" s="59" t="inlineStr">
        <is>
          <t>AVU</t>
        </is>
      </c>
      <c r="P1885" s="59" t="n">
        <v>103</v>
      </c>
      <c r="Q1885" s="59" t="inlineStr">
        <is>
          <t>MILKA FRANCIS</t>
        </is>
      </c>
      <c r="R1885" s="59" t="inlineStr">
        <is>
          <t>ESTOQUE DE MERCADORIAS</t>
        </is>
      </c>
      <c r="S1885" s="59" t="n">
        <v>1130101</v>
      </c>
      <c r="T1885" s="59" t="inlineStr">
        <is>
          <t>MERCADORIAS P/REVENDA</t>
        </is>
      </c>
      <c r="U1885" s="77" t="n">
        <v>3354.4</v>
      </c>
      <c r="W1885" s="59" t="n">
        <v>3354.4</v>
      </c>
      <c r="X1885" s="59" t="inlineStr">
        <is>
          <t>NF 354 / PGTO DISTRIBUIDORA ADRIANO - MILKA</t>
        </is>
      </c>
      <c r="Z1885" s="59">
        <f>IF($T1885="","",IFERROR(INDEX('Resumo Grupos'!$AC$3:$AC$200,MATCH($T1885,'Resumo Grupos'!$AB$3:$AB$200,0)),"n/d"))</f>
        <v/>
      </c>
      <c r="AA1885" s="59">
        <f>IF($T1885="","",IF(COUNTIF('Resumo Grupos'!$AE$3:$AE$40,$T1885)&gt;0,"NAO","SIM"))</f>
        <v/>
      </c>
    </row>
    <row r="1886" ht="12.75" customHeight="1" s="60">
      <c r="A1886" s="59" t="n">
        <v>1</v>
      </c>
      <c r="B1886" s="75" t="n">
        <v>46242</v>
      </c>
      <c r="C1886" s="75" t="n">
        <v>46244</v>
      </c>
      <c r="D1886" s="59" t="n">
        <v>642</v>
      </c>
      <c r="E1886" s="59" t="inlineStr">
        <is>
          <t>ADICSO FABIAN GONZALEZ MONTILLA 70302186</t>
        </is>
      </c>
      <c r="F1886" s="59" t="n">
        <v>24</v>
      </c>
      <c r="G1886" s="59" t="inlineStr">
        <is>
          <t>Compra a Prazo - Boletos</t>
        </is>
      </c>
      <c r="H1886" s="59" t="n">
        <v>2110405</v>
      </c>
      <c r="I1886" s="59" t="inlineStr">
        <is>
          <t>CONTAS A PAGAR</t>
        </is>
      </c>
      <c r="J1886" s="59" t="n">
        <v>1517769</v>
      </c>
      <c r="L1886" s="59" t="n">
        <v>578</v>
      </c>
      <c r="M1886" s="59" t="inlineStr">
        <is>
          <t>01</t>
        </is>
      </c>
      <c r="N1886" s="59" t="inlineStr">
        <is>
          <t>AVU</t>
        </is>
      </c>
      <c r="P1886" s="59" t="n">
        <v>103</v>
      </c>
      <c r="Q1886" s="59" t="inlineStr">
        <is>
          <t>MILKA FRANCIS</t>
        </is>
      </c>
      <c r="R1886" s="59" t="inlineStr">
        <is>
          <t>ESTOQUE DE MERCADORIAS</t>
        </is>
      </c>
      <c r="S1886" s="59" t="n">
        <v>1130101</v>
      </c>
      <c r="T1886" s="59" t="inlineStr">
        <is>
          <t>MERCADORIAS P/REVENDA</t>
        </is>
      </c>
      <c r="U1886" s="77" t="n">
        <v>1152</v>
      </c>
      <c r="W1886" s="59" t="n">
        <v>1152</v>
      </c>
      <c r="X1886" s="59" t="inlineStr">
        <is>
          <t>NF 578 BLOOM - MILKA</t>
        </is>
      </c>
      <c r="Z1886" s="59">
        <f>IF($T1886="","",IFERROR(INDEX('Resumo Grupos'!$AC$3:$AC$200,MATCH($T1886,'Resumo Grupos'!$AB$3:$AB$200,0)),"n/d"))</f>
        <v/>
      </c>
      <c r="AA1886" s="59">
        <f>IF($T1886="","",IF(COUNTIF('Resumo Grupos'!$AE$3:$AE$40,$T1886)&gt;0,"NAO","SIM"))</f>
        <v/>
      </c>
    </row>
    <row r="1887" ht="12.75" customHeight="1" s="60">
      <c r="A1887" s="59" t="n">
        <v>1</v>
      </c>
      <c r="B1887" s="75" t="n">
        <v>46202</v>
      </c>
      <c r="C1887" s="75" t="n">
        <v>46244</v>
      </c>
      <c r="D1887" s="59" t="n">
        <v>1105</v>
      </c>
      <c r="E1887" s="59" t="inlineStr">
        <is>
          <t xml:space="preserve">LEO MOTO PECAS </t>
        </is>
      </c>
      <c r="F1887" s="59" t="n">
        <v>46</v>
      </c>
      <c r="G1887" s="59" t="inlineStr">
        <is>
          <t>Cartao Sant 1 Velho 9336 venc 10</t>
        </is>
      </c>
      <c r="H1887" s="59" t="n">
        <v>2110405</v>
      </c>
      <c r="I1887" s="59" t="inlineStr">
        <is>
          <t>CONTAS A PAGAR</t>
        </is>
      </c>
      <c r="J1887" s="59" t="n">
        <v>1518296</v>
      </c>
      <c r="L1887" s="59" t="n">
        <v>621646</v>
      </c>
      <c r="M1887" s="59" t="inlineStr">
        <is>
          <t>01</t>
        </is>
      </c>
      <c r="N1887" s="59" t="inlineStr">
        <is>
          <t>AVU</t>
        </is>
      </c>
      <c r="P1887" s="59" t="n">
        <v>101</v>
      </c>
      <c r="Q1887" s="59" t="inlineStr">
        <is>
          <t>KEILA LIMA</t>
        </is>
      </c>
      <c r="R1887" s="59" t="inlineStr">
        <is>
          <t>DESPESAS OPERACIONAIS</t>
        </is>
      </c>
      <c r="S1887" s="59" t="n">
        <v>4210208</v>
      </c>
      <c r="T1887" s="59" t="inlineStr">
        <is>
          <t>MANUTENCAO VEICULOS</t>
        </is>
      </c>
      <c r="U1887" s="77" t="n">
        <v>43</v>
      </c>
      <c r="W1887" s="59" t="n">
        <v>0</v>
      </c>
      <c r="X1887" s="59" t="inlineStr">
        <is>
          <t>MANUTENCAO MOTO DELIVERY MO1 CORRENTE - KEILA</t>
        </is>
      </c>
      <c r="Z1887" s="59">
        <f>IF($T1887="","",IFERROR(INDEX('Resumo Grupos'!$AC$3:$AC$200,MATCH($T1887,'Resumo Grupos'!$AB$3:$AB$200,0)),"n/d"))</f>
        <v/>
      </c>
      <c r="AA1887" s="59">
        <f>IF($T1887="","",IF(COUNTIF('Resumo Grupos'!$AE$3:$AE$40,$T1887)&gt;0,"NAO","SIM"))</f>
        <v/>
      </c>
    </row>
    <row r="1888" ht="12.75" customHeight="1" s="60">
      <c r="A1888" s="59" t="n">
        <v>1</v>
      </c>
      <c r="B1888" s="75" t="n">
        <v>46200</v>
      </c>
      <c r="C1888" s="75" t="n">
        <v>46244</v>
      </c>
      <c r="D1888" s="59" t="n">
        <v>1331</v>
      </c>
      <c r="E1888" s="59" t="inlineStr">
        <is>
          <t>POSTO TIRADENTES</t>
        </is>
      </c>
      <c r="F1888" s="59" t="n">
        <v>46</v>
      </c>
      <c r="G1888" s="59" t="inlineStr">
        <is>
          <t>Cartao Sant 1 Velho 9336 venc 10</t>
        </is>
      </c>
      <c r="H1888" s="59" t="n">
        <v>2110405</v>
      </c>
      <c r="I1888" s="59" t="inlineStr">
        <is>
          <t>CONTAS A PAGAR</t>
        </is>
      </c>
      <c r="J1888" s="59" t="n">
        <v>1518346</v>
      </c>
      <c r="L1888" s="59" t="n">
        <v>621657</v>
      </c>
      <c r="M1888" s="59" t="inlineStr">
        <is>
          <t>01</t>
        </is>
      </c>
      <c r="N1888" s="59" t="inlineStr">
        <is>
          <t>AVU</t>
        </is>
      </c>
      <c r="P1888" s="59" t="n">
        <v>101</v>
      </c>
      <c r="Q1888" s="59" t="inlineStr">
        <is>
          <t>KEILA LIMA</t>
        </is>
      </c>
      <c r="R1888" s="59" t="inlineStr">
        <is>
          <t>DESPESAS OPERACIONAIS</t>
        </is>
      </c>
      <c r="S1888" s="59" t="n">
        <v>4210209</v>
      </c>
      <c r="T1888" s="59" t="inlineStr">
        <is>
          <t>COMBUSTIVEIS</t>
        </is>
      </c>
      <c r="U1888" s="77" t="n">
        <v>197.14</v>
      </c>
      <c r="W1888" s="59" t="n">
        <v>0</v>
      </c>
      <c r="X1888" s="59" t="inlineStr">
        <is>
          <t xml:space="preserve">COMBUSTIVEL S10 RENATO MO1 - KEILA </t>
        </is>
      </c>
      <c r="Z1888" s="59">
        <f>IF($T1888="","",IFERROR(INDEX('Resumo Grupos'!$AC$3:$AC$200,MATCH($T1888,'Resumo Grupos'!$AB$3:$AB$200,0)),"n/d"))</f>
        <v/>
      </c>
      <c r="AA1888" s="59">
        <f>IF($T1888="","",IF(COUNTIF('Resumo Grupos'!$AE$3:$AE$40,$T1888)&gt;0,"NAO","SIM"))</f>
        <v/>
      </c>
    </row>
    <row r="1889" ht="12.75" customHeight="1" s="60">
      <c r="A1889" s="59" t="n">
        <v>1</v>
      </c>
      <c r="B1889" s="75" t="n">
        <v>46206</v>
      </c>
      <c r="C1889" s="75" t="n">
        <v>46244</v>
      </c>
      <c r="D1889" s="59" t="n">
        <v>1331</v>
      </c>
      <c r="E1889" s="59" t="inlineStr">
        <is>
          <t>POSTO TIRADENTES</t>
        </is>
      </c>
      <c r="F1889" s="59" t="n">
        <v>46</v>
      </c>
      <c r="G1889" s="59" t="inlineStr">
        <is>
          <t>Cartao Sant 1 Velho 9336 venc 10</t>
        </is>
      </c>
      <c r="H1889" s="59" t="n">
        <v>2110405</v>
      </c>
      <c r="I1889" s="59" t="inlineStr">
        <is>
          <t>CONTAS A PAGAR</t>
        </is>
      </c>
      <c r="J1889" s="59" t="n">
        <v>1518362</v>
      </c>
      <c r="L1889" s="59" t="n">
        <v>621658</v>
      </c>
      <c r="M1889" s="59" t="inlineStr">
        <is>
          <t>01</t>
        </is>
      </c>
      <c r="N1889" s="59" t="inlineStr">
        <is>
          <t>AVU</t>
        </is>
      </c>
      <c r="P1889" s="59" t="n">
        <v>101</v>
      </c>
      <c r="Q1889" s="59" t="inlineStr">
        <is>
          <t>KEILA LIMA</t>
        </is>
      </c>
      <c r="R1889" s="59" t="inlineStr">
        <is>
          <t>DESPESAS OPERACIONAIS</t>
        </is>
      </c>
      <c r="S1889" s="59" t="n">
        <v>4210209</v>
      </c>
      <c r="T1889" s="59" t="inlineStr">
        <is>
          <t>COMBUSTIVEIS</t>
        </is>
      </c>
      <c r="U1889" s="77" t="n">
        <v>73.03</v>
      </c>
      <c r="W1889" s="59" t="n">
        <v>0</v>
      </c>
      <c r="X1889" s="59" t="inlineStr">
        <is>
          <t>COMBUSTIVEL MOTO DELIVERY - KEILA</t>
        </is>
      </c>
      <c r="Z1889" s="59">
        <f>IF($T1889="","",IFERROR(INDEX('Resumo Grupos'!$AC$3:$AC$200,MATCH($T1889,'Resumo Grupos'!$AB$3:$AB$200,0)),"n/d"))</f>
        <v/>
      </c>
      <c r="AA1889" s="59">
        <f>IF($T1889="","",IF(COUNTIF('Resumo Grupos'!$AE$3:$AE$40,$T1889)&gt;0,"NAO","SIM"))</f>
        <v/>
      </c>
    </row>
    <row r="1890" ht="12.75" customHeight="1" s="60">
      <c r="A1890" s="59" t="n">
        <v>1</v>
      </c>
      <c r="B1890" s="75" t="n">
        <v>46242</v>
      </c>
      <c r="C1890" s="75" t="n">
        <v>46244</v>
      </c>
      <c r="D1890" s="59" t="n">
        <v>1259</v>
      </c>
      <c r="E1890" s="59" t="inlineStr">
        <is>
          <t>AUTO POSTO AMAZON</t>
        </is>
      </c>
      <c r="F1890" s="59" t="n">
        <v>46</v>
      </c>
      <c r="G1890" s="59" t="inlineStr">
        <is>
          <t>Cartao Sant 1 Velho 9336 venc 10</t>
        </is>
      </c>
      <c r="H1890" s="59" t="n">
        <v>2110405</v>
      </c>
      <c r="I1890" s="59" t="inlineStr">
        <is>
          <t>CONTAS A PAGAR</t>
        </is>
      </c>
      <c r="J1890" s="59" t="n">
        <v>1518395</v>
      </c>
      <c r="L1890" s="59" t="n">
        <v>621666</v>
      </c>
      <c r="M1890" s="59" t="inlineStr">
        <is>
          <t>01</t>
        </is>
      </c>
      <c r="N1890" s="59" t="inlineStr">
        <is>
          <t>AVU</t>
        </is>
      </c>
      <c r="P1890" s="59" t="n">
        <v>101</v>
      </c>
      <c r="Q1890" s="59" t="inlineStr">
        <is>
          <t>KEILA LIMA</t>
        </is>
      </c>
      <c r="R1890" s="59" t="inlineStr">
        <is>
          <t>DESPESAS OPERACIONAIS</t>
        </is>
      </c>
      <c r="S1890" s="59" t="n">
        <v>4210209</v>
      </c>
      <c r="T1890" s="59" t="inlineStr">
        <is>
          <t>COMBUSTIVEIS</t>
        </is>
      </c>
      <c r="U1890" s="77" t="n">
        <v>70</v>
      </c>
      <c r="W1890" s="59" t="n">
        <v>0</v>
      </c>
      <c r="X1890" s="59" t="inlineStr">
        <is>
          <t>COMBUSTIVEL MOTO DELIVERY - KEILA</t>
        </is>
      </c>
      <c r="Z1890" s="59">
        <f>IF($T1890="","",IFERROR(INDEX('Resumo Grupos'!$AC$3:$AC$200,MATCH($T1890,'Resumo Grupos'!$AB$3:$AB$200,0)),"n/d"))</f>
        <v/>
      </c>
      <c r="AA1890" s="59">
        <f>IF($T1890="","",IF(COUNTIF('Resumo Grupos'!$AE$3:$AE$40,$T1890)&gt;0,"NAO","SIM"))</f>
        <v/>
      </c>
    </row>
    <row r="1891" ht="12.75" customHeight="1" s="60">
      <c r="A1891" s="59" t="n">
        <v>1</v>
      </c>
      <c r="B1891" s="75" t="n">
        <v>46216</v>
      </c>
      <c r="C1891" s="75" t="n">
        <v>46244</v>
      </c>
      <c r="D1891" s="59" t="n">
        <v>1331</v>
      </c>
      <c r="E1891" s="59" t="inlineStr">
        <is>
          <t>POSTO TIRADENTES</t>
        </is>
      </c>
      <c r="F1891" s="59" t="n">
        <v>46</v>
      </c>
      <c r="G1891" s="59" t="inlineStr">
        <is>
          <t>Cartao Sant 1 Velho 9336 venc 10</t>
        </is>
      </c>
      <c r="H1891" s="59" t="n">
        <v>2110405</v>
      </c>
      <c r="I1891" s="59" t="inlineStr">
        <is>
          <t>CONTAS A PAGAR</t>
        </is>
      </c>
      <c r="J1891" s="59" t="n">
        <v>1518424</v>
      </c>
      <c r="L1891" s="59" t="n">
        <v>621678</v>
      </c>
      <c r="M1891" s="59" t="inlineStr">
        <is>
          <t>01</t>
        </is>
      </c>
      <c r="N1891" s="59" t="inlineStr">
        <is>
          <t>AVU</t>
        </is>
      </c>
      <c r="P1891" s="59" t="n">
        <v>101</v>
      </c>
      <c r="Q1891" s="59" t="inlineStr">
        <is>
          <t>KEILA LIMA</t>
        </is>
      </c>
      <c r="R1891" s="59" t="inlineStr">
        <is>
          <t>DESPESAS OPERACIONAIS</t>
        </is>
      </c>
      <c r="S1891" s="59" t="n">
        <v>4210209</v>
      </c>
      <c r="T1891" s="59" t="inlineStr">
        <is>
          <t>COMBUSTIVEIS</t>
        </is>
      </c>
      <c r="U1891" s="77" t="n">
        <v>83.86</v>
      </c>
      <c r="W1891" s="59" t="n">
        <v>0</v>
      </c>
      <c r="X1891" s="59" t="inlineStr">
        <is>
          <t>COMBUSTIVEL MO1 MOTO DELIVERY - KEILA</t>
        </is>
      </c>
      <c r="Z1891" s="59">
        <f>IF($T1891="","",IFERROR(INDEX('Resumo Grupos'!$AC$3:$AC$200,MATCH($T1891,'Resumo Grupos'!$AB$3:$AB$200,0)),"n/d"))</f>
        <v/>
      </c>
      <c r="AA1891" s="59">
        <f>IF($T1891="","",IF(COUNTIF('Resumo Grupos'!$AE$3:$AE$40,$T1891)&gt;0,"NAO","SIM"))</f>
        <v/>
      </c>
    </row>
    <row r="1892" ht="12.75" customHeight="1" s="60">
      <c r="A1892" s="59" t="n">
        <v>1</v>
      </c>
      <c r="B1892" s="75" t="n">
        <v>46220</v>
      </c>
      <c r="C1892" s="75" t="n">
        <v>46244</v>
      </c>
      <c r="D1892" s="59" t="n">
        <v>1331</v>
      </c>
      <c r="E1892" s="59" t="inlineStr">
        <is>
          <t>POSTO TIRADENTES</t>
        </is>
      </c>
      <c r="F1892" s="59" t="n">
        <v>46</v>
      </c>
      <c r="G1892" s="59" t="inlineStr">
        <is>
          <t>Cartao Sant 1 Velho 9336 venc 10</t>
        </is>
      </c>
      <c r="H1892" s="59" t="n">
        <v>2110405</v>
      </c>
      <c r="I1892" s="59" t="inlineStr">
        <is>
          <t>CONTAS A PAGAR</t>
        </is>
      </c>
      <c r="J1892" s="59" t="n">
        <v>1518430</v>
      </c>
      <c r="L1892" s="59" t="n">
        <v>621685</v>
      </c>
      <c r="M1892" s="59" t="inlineStr">
        <is>
          <t>01</t>
        </is>
      </c>
      <c r="N1892" s="59" t="inlineStr">
        <is>
          <t>AVU</t>
        </is>
      </c>
      <c r="P1892" s="59" t="n">
        <v>101</v>
      </c>
      <c r="Q1892" s="59" t="inlineStr">
        <is>
          <t>KEILA LIMA</t>
        </is>
      </c>
      <c r="R1892" s="59" t="inlineStr">
        <is>
          <t>DESPESAS OPERACIONAIS</t>
        </is>
      </c>
      <c r="S1892" s="59" t="n">
        <v>4210209</v>
      </c>
      <c r="T1892" s="59" t="inlineStr">
        <is>
          <t>COMBUSTIVEIS</t>
        </is>
      </c>
      <c r="U1892" s="77" t="n">
        <v>443.99</v>
      </c>
      <c r="W1892" s="59" t="n">
        <v>0</v>
      </c>
      <c r="X1892" s="59" t="inlineStr">
        <is>
          <t>COMBUSTIVEL MO1 MOTO - KEILA</t>
        </is>
      </c>
      <c r="Z1892" s="59">
        <f>IF($T1892="","",IFERROR(INDEX('Resumo Grupos'!$AC$3:$AC$200,MATCH($T1892,'Resumo Grupos'!$AB$3:$AB$200,0)),"n/d"))</f>
        <v/>
      </c>
      <c r="AA1892" s="59">
        <f>IF($T1892="","",IF(COUNTIF('Resumo Grupos'!$AE$3:$AE$40,$T1892)&gt;0,"NAO","SIM"))</f>
        <v/>
      </c>
    </row>
    <row r="1893" ht="12.75" customHeight="1" s="60">
      <c r="A1893" s="59" t="n">
        <v>1</v>
      </c>
      <c r="B1893" s="75" t="n">
        <v>46223</v>
      </c>
      <c r="C1893" s="75" t="n">
        <v>46244</v>
      </c>
      <c r="D1893" s="59" t="n">
        <v>1331</v>
      </c>
      <c r="E1893" s="59" t="inlineStr">
        <is>
          <t>POSTO TIRADENTES</t>
        </is>
      </c>
      <c r="F1893" s="59" t="n">
        <v>46</v>
      </c>
      <c r="G1893" s="59" t="inlineStr">
        <is>
          <t>Cartao Sant 1 Velho 9336 venc 10</t>
        </is>
      </c>
      <c r="H1893" s="59" t="n">
        <v>2110405</v>
      </c>
      <c r="I1893" s="59" t="inlineStr">
        <is>
          <t>CONTAS A PAGAR</t>
        </is>
      </c>
      <c r="J1893" s="59" t="n">
        <v>1518437</v>
      </c>
      <c r="L1893" s="59" t="n">
        <v>621688</v>
      </c>
      <c r="M1893" s="59" t="inlineStr">
        <is>
          <t>01</t>
        </is>
      </c>
      <c r="N1893" s="59" t="inlineStr">
        <is>
          <t>AVU</t>
        </is>
      </c>
      <c r="P1893" s="59" t="n">
        <v>101</v>
      </c>
      <c r="Q1893" s="59" t="inlineStr">
        <is>
          <t>KEILA LIMA</t>
        </is>
      </c>
      <c r="R1893" s="59" t="inlineStr">
        <is>
          <t>DESPESAS OPERACIONAIS</t>
        </is>
      </c>
      <c r="S1893" s="59" t="n">
        <v>4210209</v>
      </c>
      <c r="T1893" s="59" t="inlineStr">
        <is>
          <t>COMBUSTIVEIS</t>
        </is>
      </c>
      <c r="U1893" s="77" t="n">
        <v>64.52</v>
      </c>
      <c r="W1893" s="59" t="n">
        <v>0</v>
      </c>
      <c r="X1893" s="59" t="inlineStr">
        <is>
          <t>COMBUSTIVEL MOTO MO1- KEILA</t>
        </is>
      </c>
      <c r="Z1893" s="59">
        <f>IF($T1893="","",IFERROR(INDEX('Resumo Grupos'!$AC$3:$AC$200,MATCH($T1893,'Resumo Grupos'!$AB$3:$AB$200,0)),"n/d"))</f>
        <v/>
      </c>
      <c r="AA1893" s="59">
        <f>IF($T1893="","",IF(COUNTIF('Resumo Grupos'!$AE$3:$AE$40,$T1893)&gt;0,"NAO","SIM"))</f>
        <v/>
      </c>
    </row>
    <row r="1894" ht="12.75" customHeight="1" s="60">
      <c r="A1894" s="59" t="n">
        <v>1</v>
      </c>
      <c r="B1894" s="75" t="n">
        <v>46244</v>
      </c>
      <c r="C1894" s="75" t="n">
        <v>46244</v>
      </c>
      <c r="D1894" s="59" t="n">
        <v>33</v>
      </c>
      <c r="E1894" s="59" t="inlineStr">
        <is>
          <t>RENATO DE O AZEVEDO E CIA LTDA - EPP</t>
        </is>
      </c>
      <c r="F1894" s="59" t="n">
        <v>13</v>
      </c>
      <c r="G1894" s="59" t="inlineStr">
        <is>
          <t>Compra a Vista</t>
        </is>
      </c>
      <c r="H1894" s="59" t="n">
        <v>2110101</v>
      </c>
      <c r="I1894" s="59" t="inlineStr">
        <is>
          <t>FORNECEDORES DE MERCADORIA</t>
        </is>
      </c>
      <c r="J1894" s="59" t="n">
        <v>1528419</v>
      </c>
      <c r="L1894" s="59" t="n">
        <v>5457</v>
      </c>
      <c r="M1894" s="59" t="inlineStr">
        <is>
          <t>01</t>
        </is>
      </c>
      <c r="N1894" s="59" t="inlineStr">
        <is>
          <t>NFE</t>
        </is>
      </c>
      <c r="P1894" s="59" t="n">
        <v>104</v>
      </c>
      <c r="Q1894" s="59" t="inlineStr">
        <is>
          <t>DEBORA COSTA</t>
        </is>
      </c>
      <c r="R1894" s="59" t="inlineStr">
        <is>
          <t>ESTOQUE DE MERCADORIAS</t>
        </is>
      </c>
      <c r="S1894" s="59" t="n">
        <v>1130101</v>
      </c>
      <c r="T1894" s="59" t="inlineStr">
        <is>
          <t>MERCADORIAS P/REVENDA</t>
        </is>
      </c>
      <c r="U1894" s="77" t="n">
        <v>300</v>
      </c>
      <c r="W1894" s="59" t="n">
        <v>300</v>
      </c>
      <c r="X1894" s="59" t="inlineStr">
        <is>
          <t>ACAI DE ANORI - DEBORA 06/08</t>
        </is>
      </c>
      <c r="Z1894" s="59">
        <f>IF($T1894="","",IFERROR(INDEX('Resumo Grupos'!$AC$3:$AC$200,MATCH($T1894,'Resumo Grupos'!$AB$3:$AB$200,0)),"n/d"))</f>
        <v/>
      </c>
      <c r="AA1894" s="59">
        <f>IF($T1894="","",IF(COUNTIF('Resumo Grupos'!$AE$3:$AE$40,$T1894)&gt;0,"NAO","SIM"))</f>
        <v/>
      </c>
    </row>
    <row r="1895" ht="12.75" customHeight="1" s="60">
      <c r="A1895" s="59" t="n">
        <v>1</v>
      </c>
      <c r="B1895" s="75" t="n">
        <v>46244</v>
      </c>
      <c r="C1895" s="75" t="n">
        <v>46244</v>
      </c>
      <c r="D1895" s="59" t="n">
        <v>33</v>
      </c>
      <c r="E1895" s="59" t="inlineStr">
        <is>
          <t>RENATO DE O AZEVEDO E CIA LTDA - EPP</t>
        </is>
      </c>
      <c r="F1895" s="59" t="n">
        <v>13</v>
      </c>
      <c r="G1895" s="59" t="inlineStr">
        <is>
          <t>Compra a Vista</t>
        </is>
      </c>
      <c r="H1895" s="59" t="n">
        <v>2110101</v>
      </c>
      <c r="I1895" s="59" t="inlineStr">
        <is>
          <t>FORNECEDORES DE MERCADORIA</t>
        </is>
      </c>
      <c r="J1895" s="59" t="n">
        <v>1528628</v>
      </c>
      <c r="L1895" s="59" t="n">
        <v>5458</v>
      </c>
      <c r="M1895" s="59" t="inlineStr">
        <is>
          <t>01</t>
        </is>
      </c>
      <c r="N1895" s="59" t="inlineStr">
        <is>
          <t>NFE</t>
        </is>
      </c>
      <c r="P1895" s="59" t="n">
        <v>104</v>
      </c>
      <c r="Q1895" s="59" t="inlineStr">
        <is>
          <t>DEBORA COSTA</t>
        </is>
      </c>
      <c r="R1895" s="59" t="inlineStr">
        <is>
          <t>ESTOQUE DE MERCADORIAS</t>
        </is>
      </c>
      <c r="S1895" s="59" t="n">
        <v>1130101</v>
      </c>
      <c r="T1895" s="59" t="inlineStr">
        <is>
          <t>MERCADORIAS P/REVENDA</t>
        </is>
      </c>
      <c r="U1895" s="77" t="n">
        <v>525</v>
      </c>
      <c r="W1895" s="59" t="n">
        <v>525</v>
      </c>
      <c r="X1895" s="59" t="inlineStr">
        <is>
          <t>ACAI DE ANORI - DEBORA 08/08</t>
        </is>
      </c>
      <c r="Z1895" s="59">
        <f>IF($T1895="","",IFERROR(INDEX('Resumo Grupos'!$AC$3:$AC$200,MATCH($T1895,'Resumo Grupos'!$AB$3:$AB$200,0)),"n/d"))</f>
        <v/>
      </c>
      <c r="AA1895" s="59">
        <f>IF($T1895="","",IF(COUNTIF('Resumo Grupos'!$AE$3:$AE$40,$T1895)&gt;0,"NAO","SIM"))</f>
        <v/>
      </c>
    </row>
    <row r="1896" ht="12.75" customHeight="1" s="60">
      <c r="A1896" s="59" t="n">
        <v>1</v>
      </c>
      <c r="B1896" s="75" t="n">
        <v>46244</v>
      </c>
      <c r="C1896" s="75" t="n">
        <v>46244</v>
      </c>
      <c r="D1896" s="59" t="n">
        <v>33</v>
      </c>
      <c r="E1896" s="59" t="inlineStr">
        <is>
          <t>RENATO DE O AZEVEDO E CIA LTDA - EPP</t>
        </is>
      </c>
      <c r="F1896" s="59" t="n">
        <v>13</v>
      </c>
      <c r="G1896" s="59" t="inlineStr">
        <is>
          <t>Compra a Vista</t>
        </is>
      </c>
      <c r="H1896" s="59" t="n">
        <v>2110101</v>
      </c>
      <c r="I1896" s="59" t="inlineStr">
        <is>
          <t>FORNECEDORES DE MERCADORIA</t>
        </is>
      </c>
      <c r="J1896" s="59" t="n">
        <v>1528663</v>
      </c>
      <c r="L1896" s="59" t="n">
        <v>5459</v>
      </c>
      <c r="M1896" s="59" t="inlineStr">
        <is>
          <t>01</t>
        </is>
      </c>
      <c r="N1896" s="59" t="inlineStr">
        <is>
          <t>NFE</t>
        </is>
      </c>
      <c r="P1896" s="59" t="n">
        <v>104</v>
      </c>
      <c r="Q1896" s="59" t="inlineStr">
        <is>
          <t>DEBORA COSTA</t>
        </is>
      </c>
      <c r="R1896" s="59" t="inlineStr">
        <is>
          <t>ESTOQUE DE MERCADORIAS</t>
        </is>
      </c>
      <c r="S1896" s="59" t="n">
        <v>1130101</v>
      </c>
      <c r="T1896" s="59" t="inlineStr">
        <is>
          <t>MERCADORIAS P/REVENDA</t>
        </is>
      </c>
      <c r="U1896" s="77" t="n">
        <v>300</v>
      </c>
      <c r="W1896" s="59" t="n">
        <v>300</v>
      </c>
      <c r="X1896" s="59" t="inlineStr">
        <is>
          <t>ACAI DE ANORI - DEBORA 07/08</t>
        </is>
      </c>
      <c r="Z1896" s="59">
        <f>IF($T1896="","",IFERROR(INDEX('Resumo Grupos'!$AC$3:$AC$200,MATCH($T1896,'Resumo Grupos'!$AB$3:$AB$200,0)),"n/d"))</f>
        <v/>
      </c>
      <c r="AA1896" s="59">
        <f>IF($T1896="","",IF(COUNTIF('Resumo Grupos'!$AE$3:$AE$40,$T1896)&gt;0,"NAO","SIM"))</f>
        <v/>
      </c>
    </row>
    <row r="1897" ht="12.75" customHeight="1" s="60">
      <c r="A1897" s="59" t="n">
        <v>1</v>
      </c>
      <c r="B1897" s="75" t="n">
        <v>46225</v>
      </c>
      <c r="C1897" s="75" t="n">
        <v>46244</v>
      </c>
      <c r="D1897" s="59" t="n">
        <v>105</v>
      </c>
      <c r="E1897" s="59" t="inlineStr">
        <is>
          <t>ANDERSON SILVA - BOY</t>
        </is>
      </c>
      <c r="F1897" s="59" t="n">
        <v>46</v>
      </c>
      <c r="G1897" s="59" t="inlineStr">
        <is>
          <t>Cartao Sant 1 Velho 9336 venc 10</t>
        </is>
      </c>
      <c r="H1897" s="59" t="n">
        <v>2110405</v>
      </c>
      <c r="I1897" s="59" t="inlineStr">
        <is>
          <t>CONTAS A PAGAR</t>
        </is>
      </c>
      <c r="J1897" s="59" t="n">
        <v>1528808</v>
      </c>
      <c r="L1897" s="59" t="n">
        <v>625710</v>
      </c>
      <c r="M1897" s="59" t="inlineStr">
        <is>
          <t>01</t>
        </is>
      </c>
      <c r="N1897" s="59" t="inlineStr">
        <is>
          <t>AVU</t>
        </is>
      </c>
      <c r="P1897" s="59" t="n">
        <v>101</v>
      </c>
      <c r="Q1897" s="59" t="inlineStr">
        <is>
          <t>KEILA LIMA</t>
        </is>
      </c>
      <c r="R1897" s="59" t="inlineStr">
        <is>
          <t>DESPESAS NAO OPERACIONAIS</t>
        </is>
      </c>
      <c r="S1897" s="59" t="n">
        <v>4220199</v>
      </c>
      <c r="T1897" s="59" t="inlineStr">
        <is>
          <t>PAGAMENTOS OUTROS NAO OPERACIONAIS</t>
        </is>
      </c>
      <c r="U1897" s="77" t="n">
        <v>560</v>
      </c>
      <c r="W1897" s="59" t="n">
        <v>0</v>
      </c>
      <c r="X1897" s="59" t="inlineStr">
        <is>
          <t>OUTROS - PARC ANDERSON CARTAO MO1 LANCADO - KEIL</t>
        </is>
      </c>
      <c r="Z1897" s="59">
        <f>IF($T1897="","",IFERROR(INDEX('Resumo Grupos'!$AC$3:$AC$200,MATCH($T1897,'Resumo Grupos'!$AB$3:$AB$200,0)),"n/d"))</f>
        <v/>
      </c>
      <c r="AA1897" s="59">
        <f>IF($T1897="","",IF(COUNTIF('Resumo Grupos'!$AE$3:$AE$40,$T1897)&gt;0,"NAO","SIM"))</f>
        <v/>
      </c>
    </row>
    <row r="1898" ht="12.75" customHeight="1" s="60">
      <c r="A1898" s="59" t="n">
        <v>1</v>
      </c>
      <c r="B1898" s="75" t="n">
        <v>46199</v>
      </c>
      <c r="C1898" s="75" t="n">
        <v>46244</v>
      </c>
      <c r="D1898" s="59" t="n">
        <v>1242</v>
      </c>
      <c r="E1898" s="59" t="inlineStr">
        <is>
          <t>GLG COMERCIO E INDUSTRIA DO VESTUARIO LTDA</t>
        </is>
      </c>
      <c r="F1898" s="59" t="n">
        <v>46</v>
      </c>
      <c r="G1898" s="59" t="inlineStr">
        <is>
          <t>Cartao Sant 1 Velho 9336 venc 10</t>
        </is>
      </c>
      <c r="H1898" s="59" t="n">
        <v>2110405</v>
      </c>
      <c r="I1898" s="59" t="inlineStr">
        <is>
          <t>CONTAS A PAGAR</t>
        </is>
      </c>
      <c r="J1898" s="59" t="n">
        <v>1529016</v>
      </c>
      <c r="L1898" s="59" t="n">
        <v>625769</v>
      </c>
      <c r="M1898" s="59" t="inlineStr">
        <is>
          <t>01</t>
        </is>
      </c>
      <c r="N1898" s="59" t="inlineStr">
        <is>
          <t>AVU</t>
        </is>
      </c>
      <c r="P1898" s="59" t="n">
        <v>101</v>
      </c>
      <c r="Q1898" s="59" t="inlineStr">
        <is>
          <t>KEILA LIMA</t>
        </is>
      </c>
      <c r="R1898" s="59" t="inlineStr">
        <is>
          <t>DESPESAS NAO OPERACIONAIS</t>
        </is>
      </c>
      <c r="S1898" s="59" t="n">
        <v>4220199</v>
      </c>
      <c r="T1898" s="59" t="inlineStr">
        <is>
          <t>PAGAMENTOS OUTROS NAO OPERACIONAIS</t>
        </is>
      </c>
      <c r="U1898" s="77" t="n">
        <v>160</v>
      </c>
      <c r="W1898" s="59" t="n">
        <v>0</v>
      </c>
      <c r="X1898" s="59" t="inlineStr">
        <is>
          <t xml:space="preserve">OUTROS - RATEIO MO1 E MO2  JA COBRADO CARTAO SAN  </t>
        </is>
      </c>
      <c r="Z1898" s="59">
        <f>IF($T1898="","",IFERROR(INDEX('Resumo Grupos'!$AC$3:$AC$200,MATCH($T1898,'Resumo Grupos'!$AB$3:$AB$200,0)),"n/d"))</f>
        <v/>
      </c>
      <c r="AA1898" s="59">
        <f>IF($T1898="","",IF(COUNTIF('Resumo Grupos'!$AE$3:$AE$40,$T1898)&gt;0,"NAO","SIM"))</f>
        <v/>
      </c>
    </row>
    <row r="1899" ht="12.75" customHeight="1" s="60">
      <c r="A1899" s="59" t="n">
        <v>1</v>
      </c>
      <c r="B1899" s="75" t="n">
        <v>46244</v>
      </c>
      <c r="C1899" s="75" t="n">
        <v>46244</v>
      </c>
      <c r="D1899" s="59" t="n">
        <v>1936</v>
      </c>
      <c r="E1899" s="59" t="inlineStr">
        <is>
          <t>RV TECNOLOGIA E SISTEMAS S.A</t>
        </is>
      </c>
      <c r="F1899" s="59" t="n">
        <v>24</v>
      </c>
      <c r="G1899" s="59" t="inlineStr">
        <is>
          <t>Compra a Prazo - Boletos</t>
        </is>
      </c>
      <c r="H1899" s="59" t="n">
        <v>2110405</v>
      </c>
      <c r="I1899" s="59" t="inlineStr">
        <is>
          <t>CONTAS A PAGAR</t>
        </is>
      </c>
      <c r="J1899" s="59" t="n">
        <v>1530560</v>
      </c>
      <c r="L1899" s="59" t="n">
        <v>626216</v>
      </c>
      <c r="M1899" s="59" t="inlineStr">
        <is>
          <t>01</t>
        </is>
      </c>
      <c r="N1899" s="59" t="inlineStr">
        <is>
          <t>AVU</t>
        </is>
      </c>
      <c r="P1899" s="59" t="n">
        <v>102</v>
      </c>
      <c r="Q1899" s="59" t="inlineStr">
        <is>
          <t>ANDREZA ANDRADE</t>
        </is>
      </c>
      <c r="R1899" s="59" t="inlineStr">
        <is>
          <t>ESTOQUE DE MERCADORIAS</t>
        </is>
      </c>
      <c r="S1899" s="59" t="n">
        <v>1130101</v>
      </c>
      <c r="T1899" s="59" t="inlineStr">
        <is>
          <t>MERCADORIAS P/REVENDA</t>
        </is>
      </c>
      <c r="U1899" s="77" t="n">
        <v>700</v>
      </c>
      <c r="W1899" s="59" t="n">
        <v>700</v>
      </c>
      <c r="X1899" s="59" t="inlineStr">
        <is>
          <t>rv chip/ recarga celular-andreza</t>
        </is>
      </c>
      <c r="Z1899" s="59">
        <f>IF($T1899="","",IFERROR(INDEX('Resumo Grupos'!$AC$3:$AC$200,MATCH($T1899,'Resumo Grupos'!$AB$3:$AB$200,0)),"n/d"))</f>
        <v/>
      </c>
      <c r="AA1899" s="59">
        <f>IF($T1899="","",IF(COUNTIF('Resumo Grupos'!$AE$3:$AE$40,$T1899)&gt;0,"NAO","SIM"))</f>
        <v/>
      </c>
    </row>
    <row r="1900" ht="12.75" customHeight="1" s="60">
      <c r="A1900" s="59" t="n">
        <v>1</v>
      </c>
      <c r="B1900" s="75" t="n">
        <v>46244</v>
      </c>
      <c r="C1900" s="75" t="n">
        <v>46244</v>
      </c>
      <c r="D1900" s="59" t="n">
        <v>1000001</v>
      </c>
      <c r="E1900" s="59" t="inlineStr">
        <is>
          <t>CISS CONSULTORIA EM INFORMATICA, SERVICOS E SOFTWARE S/A</t>
        </is>
      </c>
      <c r="F1900" s="59" t="n">
        <v>24</v>
      </c>
      <c r="G1900" s="59" t="inlineStr">
        <is>
          <t>Compra a Prazo - Boletos</t>
        </is>
      </c>
      <c r="H1900" s="59" t="n">
        <v>2110405</v>
      </c>
      <c r="I1900" s="59" t="inlineStr">
        <is>
          <t>CONTAS A PAGAR</t>
        </is>
      </c>
      <c r="J1900" s="59" t="n">
        <v>1530576</v>
      </c>
      <c r="L1900" s="59" t="n">
        <v>626217</v>
      </c>
      <c r="M1900" s="59" t="inlineStr">
        <is>
          <t>01</t>
        </is>
      </c>
      <c r="N1900" s="59" t="inlineStr">
        <is>
          <t>AVU</t>
        </is>
      </c>
      <c r="P1900" s="59" t="n">
        <v>102</v>
      </c>
      <c r="Q1900" s="59" t="inlineStr">
        <is>
          <t>ANDREZA ANDRADE</t>
        </is>
      </c>
      <c r="R1900" s="59" t="inlineStr">
        <is>
          <t>DESPESAS NAO OPERACIONAIS</t>
        </is>
      </c>
      <c r="S1900" s="59" t="n">
        <v>4220199</v>
      </c>
      <c r="T1900" s="59" t="inlineStr">
        <is>
          <t>PAGAMENTOS OUTROS NAO OPERACIONAIS</t>
        </is>
      </c>
      <c r="U1900" s="77" t="n">
        <v>1068.8</v>
      </c>
      <c r="W1900" s="59" t="n">
        <v>1068.8</v>
      </c>
      <c r="X1900" s="59" t="inlineStr">
        <is>
          <t>mensalidade sistema ciss lojas-andreza</t>
        </is>
      </c>
      <c r="Z1900" s="59">
        <f>IF($T1900="","",IFERROR(INDEX('Resumo Grupos'!$AC$3:$AC$200,MATCH($T1900,'Resumo Grupos'!$AB$3:$AB$200,0)),"n/d"))</f>
        <v/>
      </c>
      <c r="AA1900" s="59">
        <f>IF($T1900="","",IF(COUNTIF('Resumo Grupos'!$AE$3:$AE$40,$T1900)&gt;0,"NAO","SIM"))</f>
        <v/>
      </c>
    </row>
    <row r="1901" ht="12.75" customHeight="1" s="60">
      <c r="A1901" s="59" t="n">
        <v>1</v>
      </c>
      <c r="B1901" s="75" t="n">
        <v>46244</v>
      </c>
      <c r="C1901" s="75" t="n">
        <v>46244</v>
      </c>
      <c r="D1901" s="59" t="n">
        <v>1000001</v>
      </c>
      <c r="E1901" s="59" t="inlineStr">
        <is>
          <t>CISS CONSULTORIA EM INFORMATICA, SERVICOS E SOFTWARE S/A</t>
        </is>
      </c>
      <c r="F1901" s="59" t="n">
        <v>24</v>
      </c>
      <c r="G1901" s="59" t="inlineStr">
        <is>
          <t>Compra a Prazo - Boletos</t>
        </is>
      </c>
      <c r="H1901" s="59" t="n">
        <v>2110101</v>
      </c>
      <c r="I1901" s="59" t="inlineStr">
        <is>
          <t>FORNECEDORES DE MERCADORIA</t>
        </is>
      </c>
      <c r="J1901" s="59" t="n">
        <v>1530584</v>
      </c>
      <c r="L1901" s="59" t="n">
        <v>626223</v>
      </c>
      <c r="M1901" s="59" t="inlineStr">
        <is>
          <t>01</t>
        </is>
      </c>
      <c r="N1901" s="59" t="inlineStr">
        <is>
          <t>AVU</t>
        </is>
      </c>
      <c r="P1901" s="59" t="n">
        <v>102</v>
      </c>
      <c r="Q1901" s="59" t="inlineStr">
        <is>
          <t>ANDREZA ANDRADE</t>
        </is>
      </c>
      <c r="R1901" s="59" t="inlineStr">
        <is>
          <t>DESPESAS NAO OPERACIONAIS</t>
        </is>
      </c>
      <c r="S1901" s="59" t="n">
        <v>4220199</v>
      </c>
      <c r="T1901" s="59" t="inlineStr">
        <is>
          <t>PAGAMENTOS OUTROS NAO OPERACIONAIS</t>
        </is>
      </c>
      <c r="U1901" s="77" t="n">
        <v>3752.9</v>
      </c>
      <c r="W1901" s="59" t="n">
        <v>3752.9</v>
      </c>
      <c r="X1901" s="59" t="inlineStr">
        <is>
          <t>mensalidade sistema ciss lojas-andreza</t>
        </is>
      </c>
      <c r="Z1901" s="59">
        <f>IF($T1901="","",IFERROR(INDEX('Resumo Grupos'!$AC$3:$AC$200,MATCH($T1901,'Resumo Grupos'!$AB$3:$AB$200,0)),"n/d"))</f>
        <v/>
      </c>
      <c r="AA1901" s="59">
        <f>IF($T1901="","",IF(COUNTIF('Resumo Grupos'!$AE$3:$AE$40,$T1901)&gt;0,"NAO","SIM"))</f>
        <v/>
      </c>
    </row>
    <row r="1902" ht="12.75" customHeight="1" s="60">
      <c r="A1902" s="59" t="n">
        <v>1</v>
      </c>
      <c r="B1902" s="75" t="n">
        <v>46244</v>
      </c>
      <c r="C1902" s="75" t="n">
        <v>46244</v>
      </c>
      <c r="D1902" s="59" t="n">
        <v>514</v>
      </c>
      <c r="E1902" s="59" t="inlineStr">
        <is>
          <t>SANTANDER SA</t>
        </is>
      </c>
      <c r="F1902" s="59" t="n">
        <v>34</v>
      </c>
      <c r="G1902" s="59" t="inlineStr">
        <is>
          <t>Transferencia Pix</t>
        </is>
      </c>
      <c r="H1902" s="59" t="n">
        <v>2110405</v>
      </c>
      <c r="I1902" s="59" t="inlineStr">
        <is>
          <t>CONTAS A PAGAR</t>
        </is>
      </c>
      <c r="J1902" s="59" t="n">
        <v>1530589</v>
      </c>
      <c r="L1902" s="59" t="n">
        <v>626224</v>
      </c>
      <c r="M1902" s="59" t="inlineStr">
        <is>
          <t>01</t>
        </is>
      </c>
      <c r="N1902" s="59" t="inlineStr">
        <is>
          <t>AVU</t>
        </is>
      </c>
      <c r="P1902" s="59" t="n">
        <v>102</v>
      </c>
      <c r="Q1902" s="59" t="inlineStr">
        <is>
          <t>ANDREZA ANDRADE</t>
        </is>
      </c>
      <c r="R1902" s="59" t="inlineStr">
        <is>
          <t>DESPESAS NAO OPERACIONAIS</t>
        </is>
      </c>
      <c r="S1902" s="59" t="n">
        <v>4220199</v>
      </c>
      <c r="T1902" s="59" t="inlineStr">
        <is>
          <t>PAGAMENTOS OUTROS NAO OPERACIONAIS</t>
        </is>
      </c>
      <c r="U1902" s="77" t="n">
        <v>100</v>
      </c>
      <c r="W1902" s="59" t="n">
        <v>100</v>
      </c>
      <c r="X1902" s="59" t="inlineStr">
        <is>
          <t>cobertura de conta bco santander1 nv-andreza</t>
        </is>
      </c>
      <c r="Z1902" s="59">
        <f>IF($T1902="","",IFERROR(INDEX('Resumo Grupos'!$AC$3:$AC$200,MATCH($T1902,'Resumo Grupos'!$AB$3:$AB$200,0)),"n/d"))</f>
        <v/>
      </c>
      <c r="AA1902" s="59">
        <f>IF($T1902="","",IF(COUNTIF('Resumo Grupos'!$AE$3:$AE$40,$T1902)&gt;0,"NAO","SIM"))</f>
        <v/>
      </c>
    </row>
    <row r="1903" ht="12.75" customHeight="1" s="60">
      <c r="A1903" s="59" t="n">
        <v>1</v>
      </c>
      <c r="B1903" s="75" t="n">
        <v>46244</v>
      </c>
      <c r="C1903" s="75" t="n">
        <v>46244</v>
      </c>
      <c r="D1903" s="59" t="n">
        <v>1779</v>
      </c>
      <c r="E1903" s="59" t="inlineStr">
        <is>
          <t>BANCO DO BRASIL SA</t>
        </is>
      </c>
      <c r="F1903" s="59" t="n">
        <v>34</v>
      </c>
      <c r="G1903" s="59" t="inlineStr">
        <is>
          <t>Transferencia Pix</t>
        </is>
      </c>
      <c r="H1903" s="59" t="n">
        <v>2110405</v>
      </c>
      <c r="I1903" s="59" t="inlineStr">
        <is>
          <t>CONTAS A PAGAR</t>
        </is>
      </c>
      <c r="J1903" s="59" t="n">
        <v>1535093</v>
      </c>
      <c r="L1903" s="59" t="n">
        <v>627179</v>
      </c>
      <c r="M1903" s="59" t="inlineStr">
        <is>
          <t>01</t>
        </is>
      </c>
      <c r="N1903" s="59" t="inlineStr">
        <is>
          <t>AVU</t>
        </is>
      </c>
      <c r="P1903" s="59" t="n">
        <v>102</v>
      </c>
      <c r="Q1903" s="59" t="inlineStr">
        <is>
          <t>ANDREZA ANDRADE</t>
        </is>
      </c>
      <c r="R1903" s="59" t="inlineStr">
        <is>
          <t>DESPESAS NAO OPERACIONAIS</t>
        </is>
      </c>
      <c r="S1903" s="59" t="n">
        <v>4220199</v>
      </c>
      <c r="T1903" s="59" t="inlineStr">
        <is>
          <t>PAGAMENTOS OUTROS NAO OPERACIONAIS</t>
        </is>
      </c>
      <c r="U1903" s="77" t="n">
        <v>169</v>
      </c>
      <c r="W1903" s="59" t="n">
        <v>169</v>
      </c>
      <c r="X1903" s="59" t="inlineStr">
        <is>
          <t>cobertura de conta bb1 velho-andreza</t>
        </is>
      </c>
      <c r="Z1903" s="59">
        <f>IF($T1903="","",IFERROR(INDEX('Resumo Grupos'!$AC$3:$AC$200,MATCH($T1903,'Resumo Grupos'!$AB$3:$AB$200,0)),"n/d"))</f>
        <v/>
      </c>
      <c r="AA1903" s="59">
        <f>IF($T1903="","",IF(COUNTIF('Resumo Grupos'!$AE$3:$AE$40,$T1903)&gt;0,"NAO","SIM"))</f>
        <v/>
      </c>
    </row>
    <row r="1904" ht="12.75" customHeight="1" s="60">
      <c r="A1904" s="59" t="n">
        <v>1</v>
      </c>
      <c r="B1904" s="75" t="n">
        <v>46244</v>
      </c>
      <c r="C1904" s="75" t="n">
        <v>46244</v>
      </c>
      <c r="D1904" s="59" t="n">
        <v>515</v>
      </c>
      <c r="E1904" s="59" t="inlineStr">
        <is>
          <t>ITAU SA</t>
        </is>
      </c>
      <c r="F1904" s="59" t="n">
        <v>34</v>
      </c>
      <c r="G1904" s="59" t="inlineStr">
        <is>
          <t>Transferencia Pix</t>
        </is>
      </c>
      <c r="H1904" s="59" t="n">
        <v>2110405</v>
      </c>
      <c r="I1904" s="59" t="inlineStr">
        <is>
          <t>CONTAS A PAGAR</t>
        </is>
      </c>
      <c r="J1904" s="59" t="n">
        <v>1535122</v>
      </c>
      <c r="L1904" s="59" t="n">
        <v>627187</v>
      </c>
      <c r="M1904" s="59" t="inlineStr">
        <is>
          <t>01</t>
        </is>
      </c>
      <c r="N1904" s="59" t="inlineStr">
        <is>
          <t>AVU</t>
        </is>
      </c>
      <c r="P1904" s="59" t="n">
        <v>102</v>
      </c>
      <c r="Q1904" s="59" t="inlineStr">
        <is>
          <t>ANDREZA ANDRADE</t>
        </is>
      </c>
      <c r="R1904" s="59" t="inlineStr">
        <is>
          <t>DESPESAS FINANCEIRAS</t>
        </is>
      </c>
      <c r="S1904" s="59" t="n">
        <v>4210502</v>
      </c>
      <c r="T1904" s="59" t="inlineStr">
        <is>
          <t>JUROS S/ EMPRESTIMOS</t>
        </is>
      </c>
      <c r="U1904" s="77" t="n">
        <v>10036.2</v>
      </c>
      <c r="W1904" s="59" t="n">
        <v>10036.2</v>
      </c>
      <c r="X1904" s="59" t="inlineStr">
        <is>
          <t>JUROSLIMITE DA CONTA ITAU1NV-ANDREZA</t>
        </is>
      </c>
      <c r="Z1904" s="59">
        <f>IF($T1904="","",IFERROR(INDEX('Resumo Grupos'!$AC$3:$AC$200,MATCH($T1904,'Resumo Grupos'!$AB$3:$AB$200,0)),"n/d"))</f>
        <v/>
      </c>
      <c r="AA1904" s="59">
        <f>IF($T1904="","",IF(COUNTIF('Resumo Grupos'!$AE$3:$AE$40,$T1904)&gt;0,"NAO","SIM"))</f>
        <v/>
      </c>
    </row>
    <row r="1905" ht="12.75" customHeight="1" s="60">
      <c r="A1905" s="59" t="n">
        <v>1</v>
      </c>
      <c r="B1905" s="75" t="n">
        <v>46244</v>
      </c>
      <c r="C1905" s="75" t="n">
        <v>46244</v>
      </c>
      <c r="D1905" s="59" t="n">
        <v>4</v>
      </c>
      <c r="E1905" s="59" t="inlineStr">
        <is>
          <t>KEILA CRISTINA DE LIMA</t>
        </is>
      </c>
      <c r="F1905" s="59" t="n">
        <v>34</v>
      </c>
      <c r="G1905" s="59" t="inlineStr">
        <is>
          <t>Transferencia Pix</t>
        </is>
      </c>
      <c r="H1905" s="59" t="n">
        <v>2110405</v>
      </c>
      <c r="I1905" s="59" t="inlineStr">
        <is>
          <t>CONTAS A PAGAR</t>
        </is>
      </c>
      <c r="J1905" s="59" t="n">
        <v>1535374</v>
      </c>
      <c r="L1905" s="59" t="n">
        <v>627254</v>
      </c>
      <c r="M1905" s="59" t="inlineStr">
        <is>
          <t>01</t>
        </is>
      </c>
      <c r="N1905" s="59" t="inlineStr">
        <is>
          <t>AVU</t>
        </is>
      </c>
      <c r="P1905" s="59" t="n">
        <v>102</v>
      </c>
      <c r="Q1905" s="59" t="inlineStr">
        <is>
          <t>ANDREZA ANDRADE</t>
        </is>
      </c>
      <c r="R1905" s="59" t="inlineStr">
        <is>
          <t>DESPESAS COM PESSOAL</t>
        </is>
      </c>
      <c r="S1905" s="59" t="n">
        <v>4210301</v>
      </c>
      <c r="T1905" s="59" t="inlineStr">
        <is>
          <t>SALARIOS</t>
        </is>
      </c>
      <c r="U1905" s="77" t="n">
        <v>1300</v>
      </c>
      <c r="W1905" s="59" t="n">
        <v>1300</v>
      </c>
      <c r="X1905" s="59" t="inlineStr">
        <is>
          <t>ADIANTAMENTO SALARIO  08/26-ANDREZA</t>
        </is>
      </c>
      <c r="Z1905" s="59">
        <f>IF($T1905="","",IFERROR(INDEX('Resumo Grupos'!$AC$3:$AC$200,MATCH($T1905,'Resumo Grupos'!$AB$3:$AB$200,0)),"n/d"))</f>
        <v/>
      </c>
      <c r="AA1905" s="59">
        <f>IF($T1905="","",IF(COUNTIF('Resumo Grupos'!$AE$3:$AE$40,$T1905)&gt;0,"NAO","SIM"))</f>
        <v/>
      </c>
    </row>
    <row r="1906" ht="12.75" customHeight="1" s="60">
      <c r="A1906" s="59" t="n">
        <v>1</v>
      </c>
      <c r="B1906" s="75" t="n">
        <v>46244</v>
      </c>
      <c r="C1906" s="75" t="n">
        <v>46244</v>
      </c>
      <c r="D1906" s="59" t="n">
        <v>514</v>
      </c>
      <c r="E1906" s="59" t="inlineStr">
        <is>
          <t>SANTANDER SA</t>
        </is>
      </c>
      <c r="F1906" s="59" t="n">
        <v>34</v>
      </c>
      <c r="G1906" s="59" t="inlineStr">
        <is>
          <t>Transferencia Pix</t>
        </is>
      </c>
      <c r="H1906" s="59" t="n">
        <v>2110405</v>
      </c>
      <c r="I1906" s="59" t="inlineStr">
        <is>
          <t>CONTAS A PAGAR</t>
        </is>
      </c>
      <c r="J1906" s="59" t="n">
        <v>1535387</v>
      </c>
      <c r="L1906" s="59" t="n">
        <v>627263</v>
      </c>
      <c r="M1906" s="59" t="inlineStr">
        <is>
          <t>01</t>
        </is>
      </c>
      <c r="N1906" s="59" t="inlineStr">
        <is>
          <t>AVU</t>
        </is>
      </c>
      <c r="P1906" s="59" t="n">
        <v>102</v>
      </c>
      <c r="Q1906" s="59" t="inlineStr">
        <is>
          <t>ANDREZA ANDRADE</t>
        </is>
      </c>
      <c r="R1906" s="59" t="inlineStr">
        <is>
          <t>DESPESAS NAO OPERACIONAIS</t>
        </is>
      </c>
      <c r="S1906" s="59" t="n">
        <v>4220199</v>
      </c>
      <c r="T1906" s="59" t="inlineStr">
        <is>
          <t>PAGAMENTOS OUTROS NAO OPERACIONAIS</t>
        </is>
      </c>
      <c r="U1906" s="77" t="n">
        <v>9183.610000000001</v>
      </c>
      <c r="W1906" s="59" t="n">
        <v>9183.610000000001</v>
      </c>
      <c r="X1906" s="59" t="inlineStr">
        <is>
          <t>COBERTURA DE CONTA BANCO SANTANDER 1 VELHO-ANDREZA</t>
        </is>
      </c>
      <c r="Z1906" s="59">
        <f>IF($T1906="","",IFERROR(INDEX('Resumo Grupos'!$AC$3:$AC$200,MATCH($T1906,'Resumo Grupos'!$AB$3:$AB$200,0)),"n/d"))</f>
        <v/>
      </c>
      <c r="AA1906" s="59">
        <f>IF($T1906="","",IF(COUNTIF('Resumo Grupos'!$AE$3:$AE$40,$T1906)&gt;0,"NAO","SIM"))</f>
        <v/>
      </c>
    </row>
    <row r="1907" ht="12.75" customHeight="1" s="60">
      <c r="A1907" s="59" t="n">
        <v>1</v>
      </c>
      <c r="B1907" s="75" t="n">
        <v>46244</v>
      </c>
      <c r="C1907" s="75" t="n">
        <v>46244</v>
      </c>
      <c r="D1907" s="59" t="n">
        <v>978</v>
      </c>
      <c r="E1907" s="59" t="inlineStr">
        <is>
          <t>GELO DANGELO FABRICACAO DE GELO LTDA</t>
        </is>
      </c>
      <c r="F1907" s="59" t="n">
        <v>13</v>
      </c>
      <c r="G1907" s="59" t="inlineStr">
        <is>
          <t>Compra a Vista</t>
        </is>
      </c>
      <c r="H1907" s="59" t="n">
        <v>2110101</v>
      </c>
      <c r="I1907" s="59" t="inlineStr">
        <is>
          <t>FORNECEDORES DE MERCADORIA</t>
        </is>
      </c>
      <c r="J1907" s="59" t="n">
        <v>1536219</v>
      </c>
      <c r="L1907" s="59" t="n">
        <v>458</v>
      </c>
      <c r="M1907" s="59" t="inlineStr">
        <is>
          <t>01</t>
        </is>
      </c>
      <c r="N1907" s="59" t="inlineStr">
        <is>
          <t>NFE</t>
        </is>
      </c>
      <c r="P1907" s="59" t="n">
        <v>104</v>
      </c>
      <c r="Q1907" s="59" t="inlineStr">
        <is>
          <t>DEBORA COSTA</t>
        </is>
      </c>
      <c r="R1907" s="59" t="inlineStr">
        <is>
          <t>ESTOQUE DE MERCADORIAS</t>
        </is>
      </c>
      <c r="S1907" s="59" t="n">
        <v>1130101</v>
      </c>
      <c r="T1907" s="59" t="inlineStr">
        <is>
          <t>MERCADORIAS P/REVENDA</t>
        </is>
      </c>
      <c r="U1907" s="77" t="n">
        <v>448</v>
      </c>
      <c r="W1907" s="59" t="n">
        <v>0</v>
      </c>
      <c r="X1907" s="59" t="inlineStr">
        <is>
          <t>NF 458 - DEBORA</t>
        </is>
      </c>
      <c r="Z1907" s="59">
        <f>IF($T1907="","",IFERROR(INDEX('Resumo Grupos'!$AC$3:$AC$200,MATCH($T1907,'Resumo Grupos'!$AB$3:$AB$200,0)),"n/d"))</f>
        <v/>
      </c>
      <c r="AA1907" s="59">
        <f>IF($T1907="","",IF(COUNTIF('Resumo Grupos'!$AE$3:$AE$40,$T1907)&gt;0,"NAO","SIM"))</f>
        <v/>
      </c>
    </row>
    <row r="1908" ht="12.75" customHeight="1" s="60">
      <c r="A1908" s="59" t="n">
        <v>1</v>
      </c>
      <c r="B1908" s="75" t="n">
        <v>46244</v>
      </c>
      <c r="C1908" s="75" t="n">
        <v>46244</v>
      </c>
      <c r="D1908" s="59" t="n">
        <v>1779</v>
      </c>
      <c r="E1908" s="59" t="inlineStr">
        <is>
          <t>BANCO DO BRASIL SA</t>
        </is>
      </c>
      <c r="F1908" s="59" t="n">
        <v>37</v>
      </c>
      <c r="G1908" s="59" t="inlineStr">
        <is>
          <t>Cartao BB Novo 1088 Venc 10</t>
        </is>
      </c>
      <c r="H1908" s="59" t="n">
        <v>2110405</v>
      </c>
      <c r="I1908" s="59" t="inlineStr">
        <is>
          <t>CONTAS A PAGAR</t>
        </is>
      </c>
      <c r="J1908" s="59" t="n">
        <v>1542611</v>
      </c>
      <c r="L1908" s="59" t="n">
        <v>631075</v>
      </c>
      <c r="M1908" s="59" t="inlineStr">
        <is>
          <t>01</t>
        </is>
      </c>
      <c r="N1908" s="59" t="inlineStr">
        <is>
          <t>AVU</t>
        </is>
      </c>
      <c r="P1908" s="59" t="n">
        <v>101</v>
      </c>
      <c r="Q1908" s="59" t="inlineStr">
        <is>
          <t>KEILA LIMA</t>
        </is>
      </c>
      <c r="R1908" s="59" t="inlineStr">
        <is>
          <t>DESPESAS A APROPRIAR</t>
        </is>
      </c>
      <c r="S1908" s="59" t="n">
        <v>1140104</v>
      </c>
      <c r="T1908" s="59" t="inlineStr">
        <is>
          <t>CARTAO DE CREDITO - ANUIDADE</t>
        </is>
      </c>
      <c r="U1908" s="77" t="n">
        <v>16.83</v>
      </c>
      <c r="W1908" s="59" t="n">
        <v>0</v>
      </c>
      <c r="X1908" s="59" t="inlineStr">
        <is>
          <t>CARTAO DE CREDITO ANUIDADE CARTAO BB NOVO 5752 - I</t>
        </is>
      </c>
      <c r="Z1908" s="59">
        <f>IF($T1908="","",IFERROR(INDEX('Resumo Grupos'!$AC$3:$AC$200,MATCH($T1908,'Resumo Grupos'!$AB$3:$AB$200,0)),"n/d"))</f>
        <v/>
      </c>
      <c r="AA1908" s="59">
        <f>IF($T1908="","",IF(COUNTIF('Resumo Grupos'!$AE$3:$AE$40,$T1908)&gt;0,"NAO","SIM"))</f>
        <v/>
      </c>
    </row>
    <row r="1909" ht="12.75" customHeight="1" s="60">
      <c r="A1909" s="59" t="n">
        <v>1</v>
      </c>
      <c r="B1909" s="75" t="n">
        <v>46164</v>
      </c>
      <c r="C1909" s="75" t="n">
        <v>46245</v>
      </c>
      <c r="D1909" s="59" t="n">
        <v>515</v>
      </c>
      <c r="E1909" s="59" t="inlineStr">
        <is>
          <t>ITAU SA</t>
        </is>
      </c>
      <c r="F1909" s="59" t="n">
        <v>34</v>
      </c>
      <c r="G1909" s="59" t="inlineStr">
        <is>
          <t>Transferencia Pix</t>
        </is>
      </c>
      <c r="H1909" s="59" t="n">
        <v>2110405</v>
      </c>
      <c r="I1909" s="59" t="inlineStr">
        <is>
          <t>CONTAS A PAGAR</t>
        </is>
      </c>
      <c r="J1909" s="59" t="n">
        <v>1137849</v>
      </c>
      <c r="L1909" s="59" t="n">
        <v>474941</v>
      </c>
      <c r="M1909" s="59" t="inlineStr">
        <is>
          <t>03</t>
        </is>
      </c>
      <c r="N1909" s="59" t="inlineStr">
        <is>
          <t>AVU</t>
        </is>
      </c>
      <c r="P1909" s="59" t="n">
        <v>101</v>
      </c>
      <c r="Q1909" s="59" t="inlineStr">
        <is>
          <t>KEILA LIMA</t>
        </is>
      </c>
      <c r="R1909" s="59" t="inlineStr">
        <is>
          <t>EMPRESTIMOS BANCARIOS</t>
        </is>
      </c>
      <c r="S1909" s="59" t="n">
        <v>2110901</v>
      </c>
      <c r="T1909" s="59" t="inlineStr">
        <is>
          <t>EMPRESTIMOS BANCARIOS A PAGAR</t>
        </is>
      </c>
      <c r="U1909" s="77" t="n">
        <v>15770.14</v>
      </c>
      <c r="W1909" s="59" t="n">
        <v>15770.14</v>
      </c>
      <c r="X1909" s="59" t="inlineStr">
        <is>
          <t>PARC 10/48 PARC GIRO MO1 - KEILA</t>
        </is>
      </c>
      <c r="Z1909" s="59">
        <f>IF($T1909="","",IFERROR(INDEX('Resumo Grupos'!$AC$3:$AC$200,MATCH($T1909,'Resumo Grupos'!$AB$3:$AB$200,0)),"n/d"))</f>
        <v/>
      </c>
      <c r="AA1909" s="59">
        <f>IF($T1909="","",IF(COUNTIF('Resumo Grupos'!$AE$3:$AE$40,$T1909)&gt;0,"NAO","SIM"))</f>
        <v/>
      </c>
    </row>
    <row r="1910" ht="12.75" customHeight="1" s="60">
      <c r="A1910" s="59" t="n">
        <v>1</v>
      </c>
      <c r="B1910" s="75" t="n">
        <v>46216</v>
      </c>
      <c r="C1910" s="75" t="n">
        <v>46245</v>
      </c>
      <c r="D1910" s="59" t="n">
        <v>1624</v>
      </c>
      <c r="E1910" s="59" t="inlineStr">
        <is>
          <t>RISADINHA LTDA</t>
        </is>
      </c>
      <c r="F1910" s="59" t="n">
        <v>24</v>
      </c>
      <c r="G1910" s="59" t="inlineStr">
        <is>
          <t>Compra a Prazo - Boletos</t>
        </is>
      </c>
      <c r="H1910" s="59" t="n">
        <v>2110405</v>
      </c>
      <c r="I1910" s="59" t="inlineStr">
        <is>
          <t>CONTAS A PAGAR</t>
        </is>
      </c>
      <c r="J1910" s="59" t="n">
        <v>1393007</v>
      </c>
      <c r="L1910" s="59" t="n">
        <v>662479</v>
      </c>
      <c r="M1910" s="59" t="inlineStr">
        <is>
          <t>02</t>
        </is>
      </c>
      <c r="N1910" s="59" t="inlineStr">
        <is>
          <t>AVU</t>
        </is>
      </c>
      <c r="P1910" s="59" t="n">
        <v>103</v>
      </c>
      <c r="Q1910" s="59" t="inlineStr">
        <is>
          <t>MILKA FRANCIS</t>
        </is>
      </c>
      <c r="R1910" s="59" t="inlineStr">
        <is>
          <t>ESTOQUE DE MERCADORIAS</t>
        </is>
      </c>
      <c r="S1910" s="59" t="n">
        <v>1130101</v>
      </c>
      <c r="T1910" s="59" t="inlineStr">
        <is>
          <t>MERCADORIAS P/REVENDA</t>
        </is>
      </c>
      <c r="U1910" s="77" t="n">
        <v>823.62</v>
      </c>
      <c r="W1910" s="59" t="n">
        <v>823.62</v>
      </c>
      <c r="X1910" s="59" t="inlineStr">
        <is>
          <t>NF 662479-02 MILKA</t>
        </is>
      </c>
      <c r="Z1910" s="59">
        <f>IF($T1910="","",IFERROR(INDEX('Resumo Grupos'!$AC$3:$AC$200,MATCH($T1910,'Resumo Grupos'!$AB$3:$AB$200,0)),"n/d"))</f>
        <v/>
      </c>
      <c r="AA1910" s="59">
        <f>IF($T1910="","",IF(COUNTIF('Resumo Grupos'!$AE$3:$AE$40,$T1910)&gt;0,"NAO","SIM"))</f>
        <v/>
      </c>
    </row>
    <row r="1911" ht="12.75" customHeight="1" s="60">
      <c r="A1911" s="59" t="n">
        <v>1</v>
      </c>
      <c r="B1911" s="75" t="n">
        <v>46219</v>
      </c>
      <c r="C1911" s="75" t="n">
        <v>46245</v>
      </c>
      <c r="D1911" s="59" t="n">
        <v>1637</v>
      </c>
      <c r="E1911" s="59" t="inlineStr">
        <is>
          <t>ATACADAO S.A.</t>
        </is>
      </c>
      <c r="F1911" s="59" t="n">
        <v>24</v>
      </c>
      <c r="G1911" s="59" t="inlineStr">
        <is>
          <t>Compra a Prazo - Boletos</t>
        </is>
      </c>
      <c r="H1911" s="59" t="n">
        <v>2110405</v>
      </c>
      <c r="I1911" s="59" t="inlineStr">
        <is>
          <t>CONTAS A PAGAR</t>
        </is>
      </c>
      <c r="J1911" s="59" t="n">
        <v>1406479</v>
      </c>
      <c r="L1911" s="59" t="n">
        <v>1905835</v>
      </c>
      <c r="M1911" s="59" t="inlineStr">
        <is>
          <t>01</t>
        </is>
      </c>
      <c r="N1911" s="59" t="inlineStr">
        <is>
          <t>AVU</t>
        </is>
      </c>
      <c r="P1911" s="59" t="n">
        <v>103</v>
      </c>
      <c r="Q1911" s="59" t="inlineStr">
        <is>
          <t>MILKA FRANCIS</t>
        </is>
      </c>
      <c r="R1911" s="59" t="inlineStr">
        <is>
          <t>ESTOQUE DE MERCADORIAS</t>
        </is>
      </c>
      <c r="S1911" s="59" t="n">
        <v>1130101</v>
      </c>
      <c r="T1911" s="59" t="inlineStr">
        <is>
          <t>MERCADORIAS P/REVENDA</t>
        </is>
      </c>
      <c r="U1911" s="77" t="n">
        <v>639.52</v>
      </c>
      <c r="W1911" s="59" t="n">
        <v>639.52</v>
      </c>
      <c r="X1911" s="59" t="inlineStr">
        <is>
          <t>NF 1905835 MILKA</t>
        </is>
      </c>
      <c r="Z1911" s="59">
        <f>IF($T1911="","",IFERROR(INDEX('Resumo Grupos'!$AC$3:$AC$200,MATCH($T1911,'Resumo Grupos'!$AB$3:$AB$200,0)),"n/d"))</f>
        <v/>
      </c>
      <c r="AA1911" s="59">
        <f>IF($T1911="","",IF(COUNTIF('Resumo Grupos'!$AE$3:$AE$40,$T1911)&gt;0,"NAO","SIM"))</f>
        <v/>
      </c>
    </row>
    <row r="1912" ht="12.75" customHeight="1" s="60">
      <c r="A1912" s="59" t="n">
        <v>1</v>
      </c>
      <c r="B1912" s="75" t="n">
        <v>46223</v>
      </c>
      <c r="C1912" s="75" t="n">
        <v>46245</v>
      </c>
      <c r="D1912" s="59" t="n">
        <v>1671</v>
      </c>
      <c r="E1912" s="59" t="inlineStr">
        <is>
          <t>TAPAJOS COM DE PERFUMARIA COSMETICOS E G</t>
        </is>
      </c>
      <c r="F1912" s="59" t="n">
        <v>24</v>
      </c>
      <c r="G1912" s="59" t="inlineStr">
        <is>
          <t>Compra a Prazo - Boletos</t>
        </is>
      </c>
      <c r="H1912" s="59" t="n">
        <v>2110405</v>
      </c>
      <c r="I1912" s="59" t="inlineStr">
        <is>
          <t>CONTAS A PAGAR</t>
        </is>
      </c>
      <c r="J1912" s="59" t="n">
        <v>1424628</v>
      </c>
      <c r="L1912" s="59" t="n">
        <v>581015</v>
      </c>
      <c r="M1912" s="59" t="inlineStr">
        <is>
          <t>01</t>
        </is>
      </c>
      <c r="N1912" s="59" t="inlineStr">
        <is>
          <t>AVU</t>
        </is>
      </c>
      <c r="P1912" s="59" t="n">
        <v>103</v>
      </c>
      <c r="Q1912" s="59" t="inlineStr">
        <is>
          <t>MILKA FRANCIS</t>
        </is>
      </c>
      <c r="R1912" s="59" t="inlineStr">
        <is>
          <t>ESTOQUE DE MERCADORIAS</t>
        </is>
      </c>
      <c r="S1912" s="59" t="n">
        <v>1130101</v>
      </c>
      <c r="T1912" s="59" t="inlineStr">
        <is>
          <t>MERCADORIAS P/REVENDA</t>
        </is>
      </c>
      <c r="U1912" s="77" t="n">
        <v>612.71</v>
      </c>
      <c r="W1912" s="59" t="n">
        <v>612.71</v>
      </c>
      <c r="X1912" s="59" t="inlineStr">
        <is>
          <t>NF 581015 -1 MILKA</t>
        </is>
      </c>
      <c r="Z1912" s="59">
        <f>IF($T1912="","",IFERROR(INDEX('Resumo Grupos'!$AC$3:$AC$200,MATCH($T1912,'Resumo Grupos'!$AB$3:$AB$200,0)),"n/d"))</f>
        <v/>
      </c>
      <c r="AA1912" s="59">
        <f>IF($T1912="","",IF(COUNTIF('Resumo Grupos'!$AE$3:$AE$40,$T1912)&gt;0,"NAO","SIM"))</f>
        <v/>
      </c>
    </row>
    <row r="1913" ht="12.75" customHeight="1" s="60">
      <c r="A1913" s="59" t="n">
        <v>1</v>
      </c>
      <c r="B1913" s="75" t="n">
        <v>46226</v>
      </c>
      <c r="C1913" s="75" t="n">
        <v>46245</v>
      </c>
      <c r="D1913" s="59" t="n">
        <v>1612</v>
      </c>
      <c r="E1913" s="59" t="inlineStr">
        <is>
          <t>EMPRESA BRASILEIRA DE DISTRIBUICAO LTDA</t>
        </is>
      </c>
      <c r="F1913" s="59" t="n">
        <v>24</v>
      </c>
      <c r="G1913" s="59" t="inlineStr">
        <is>
          <t>Compra a Prazo - Boletos</t>
        </is>
      </c>
      <c r="H1913" s="59" t="n">
        <v>2110405</v>
      </c>
      <c r="I1913" s="59" t="inlineStr">
        <is>
          <t>CONTAS A PAGAR</t>
        </is>
      </c>
      <c r="J1913" s="59" t="n">
        <v>1439513</v>
      </c>
      <c r="L1913" s="59" t="n">
        <v>592437</v>
      </c>
      <c r="M1913" s="59" t="inlineStr">
        <is>
          <t>01</t>
        </is>
      </c>
      <c r="N1913" s="59" t="inlineStr">
        <is>
          <t>AVU</t>
        </is>
      </c>
      <c r="P1913" s="59" t="n">
        <v>104</v>
      </c>
      <c r="Q1913" s="59" t="inlineStr">
        <is>
          <t>DEBORA COSTA</t>
        </is>
      </c>
      <c r="R1913" s="59" t="inlineStr">
        <is>
          <t>ESTOQUE DE MERCADORIAS</t>
        </is>
      </c>
      <c r="S1913" s="59" t="n">
        <v>1130101</v>
      </c>
      <c r="T1913" s="59" t="inlineStr">
        <is>
          <t>MERCADORIAS P/REVENDA</t>
        </is>
      </c>
      <c r="U1913" s="77" t="n">
        <v>683.04</v>
      </c>
      <c r="W1913" s="59" t="n">
        <v>683.04</v>
      </c>
      <c r="X1913" s="59" t="inlineStr">
        <is>
          <t>NF 2302521 - DEBORA</t>
        </is>
      </c>
      <c r="Z1913" s="59">
        <f>IF($T1913="","",IFERROR(INDEX('Resumo Grupos'!$AC$3:$AC$200,MATCH($T1913,'Resumo Grupos'!$AB$3:$AB$200,0)),"n/d"))</f>
        <v/>
      </c>
      <c r="AA1913" s="59">
        <f>IF($T1913="","",IF(COUNTIF('Resumo Grupos'!$AE$3:$AE$40,$T1913)&gt;0,"NAO","SIM"))</f>
        <v/>
      </c>
    </row>
    <row r="1914" ht="12.75" customHeight="1" s="60">
      <c r="A1914" s="59" t="n">
        <v>1</v>
      </c>
      <c r="B1914" s="75" t="n">
        <v>46226</v>
      </c>
      <c r="C1914" s="75" t="n">
        <v>46245</v>
      </c>
      <c r="D1914" s="59" t="n">
        <v>1668</v>
      </c>
      <c r="E1914" s="59" t="inlineStr">
        <is>
          <t>NATUREZA COMERCIO DE DESCARTAVEIS LTDA</t>
        </is>
      </c>
      <c r="F1914" s="59" t="n">
        <v>24</v>
      </c>
      <c r="G1914" s="59" t="inlineStr">
        <is>
          <t>Compra a Prazo - Boletos</t>
        </is>
      </c>
      <c r="H1914" s="59" t="n">
        <v>2110405</v>
      </c>
      <c r="I1914" s="59" t="inlineStr">
        <is>
          <t>CONTAS A PAGAR</t>
        </is>
      </c>
      <c r="J1914" s="59" t="n">
        <v>1439648</v>
      </c>
      <c r="L1914" s="59" t="n">
        <v>740924</v>
      </c>
      <c r="M1914" s="59" t="inlineStr">
        <is>
          <t>01</t>
        </is>
      </c>
      <c r="N1914" s="59" t="inlineStr">
        <is>
          <t>AVU</t>
        </is>
      </c>
      <c r="P1914" s="59" t="n">
        <v>103</v>
      </c>
      <c r="Q1914" s="59" t="inlineStr">
        <is>
          <t>MILKA FRANCIS</t>
        </is>
      </c>
      <c r="R1914" s="59" t="inlineStr">
        <is>
          <t>DESPESAS OPERACIONAIS</t>
        </is>
      </c>
      <c r="S1914" s="59" t="n">
        <v>4210299</v>
      </c>
      <c r="T1914" s="59" t="inlineStr">
        <is>
          <t>DESPESA DE VENDA</t>
        </is>
      </c>
      <c r="U1914" s="77" t="n">
        <v>1662.92</v>
      </c>
      <c r="W1914" s="59" t="n">
        <v>1662.92</v>
      </c>
      <c r="X1914" s="59" t="inlineStr">
        <is>
          <t>NF740924 USO E CONSUMO VENDA/ SACO PAPEL/COPO PLAST/TPA COPO 300ML - MILKA</t>
        </is>
      </c>
      <c r="Z1914" s="59">
        <f>IF($T1914="","",IFERROR(INDEX('Resumo Grupos'!$AC$3:$AC$200,MATCH($T1914,'Resumo Grupos'!$AB$3:$AB$200,0)),"n/d"))</f>
        <v/>
      </c>
      <c r="AA1914" s="59">
        <f>IF($T1914="","",IF(COUNTIF('Resumo Grupos'!$AE$3:$AE$40,$T1914)&gt;0,"NAO","SIM"))</f>
        <v/>
      </c>
    </row>
    <row r="1915" ht="12.75" customHeight="1" s="60">
      <c r="A1915" s="59" t="n">
        <v>1</v>
      </c>
      <c r="B1915" s="75" t="n">
        <v>46226</v>
      </c>
      <c r="C1915" s="75" t="n">
        <v>46245</v>
      </c>
      <c r="D1915" s="59" t="n">
        <v>1668</v>
      </c>
      <c r="E1915" s="59" t="inlineStr">
        <is>
          <t>NATUREZA COMERCIO DE DESCARTAVEIS LTDA</t>
        </is>
      </c>
      <c r="F1915" s="59" t="n">
        <v>24</v>
      </c>
      <c r="G1915" s="59" t="inlineStr">
        <is>
          <t>Compra a Prazo - Boletos</t>
        </is>
      </c>
      <c r="H1915" s="59" t="n">
        <v>2110405</v>
      </c>
      <c r="I1915" s="59" t="inlineStr">
        <is>
          <t>CONTAS A PAGAR</t>
        </is>
      </c>
      <c r="J1915" s="59" t="n">
        <v>1439664</v>
      </c>
      <c r="L1915" s="59" t="n">
        <v>740926</v>
      </c>
      <c r="M1915" s="59" t="inlineStr">
        <is>
          <t>01</t>
        </is>
      </c>
      <c r="N1915" s="59" t="inlineStr">
        <is>
          <t>AVU</t>
        </is>
      </c>
      <c r="P1915" s="59" t="n">
        <v>103</v>
      </c>
      <c r="Q1915" s="59" t="inlineStr">
        <is>
          <t>MILKA FRANCIS</t>
        </is>
      </c>
      <c r="R1915" s="59" t="inlineStr">
        <is>
          <t>DESPESAS OPERACIONAIS</t>
        </is>
      </c>
      <c r="S1915" s="59" t="n">
        <v>4210299</v>
      </c>
      <c r="T1915" s="59" t="inlineStr">
        <is>
          <t>DESPESA DE VENDA</t>
        </is>
      </c>
      <c r="U1915" s="77" t="n">
        <v>451.39</v>
      </c>
      <c r="W1915" s="59" t="n">
        <v>451.39</v>
      </c>
      <c r="X1915" s="59" t="inlineStr">
        <is>
          <t>NF740926 USO E CONSUMO LOJA/ BANDEJAS B1/B2 - MILKA</t>
        </is>
      </c>
      <c r="Z1915" s="59">
        <f>IF($T1915="","",IFERROR(INDEX('Resumo Grupos'!$AC$3:$AC$200,MATCH($T1915,'Resumo Grupos'!$AB$3:$AB$200,0)),"n/d"))</f>
        <v/>
      </c>
      <c r="AA1915" s="59">
        <f>IF($T1915="","",IF(COUNTIF('Resumo Grupos'!$AE$3:$AE$40,$T1915)&gt;0,"NAO","SIM"))</f>
        <v/>
      </c>
    </row>
    <row r="1916" ht="12.75" customHeight="1" s="60">
      <c r="A1916" s="59" t="n">
        <v>1</v>
      </c>
      <c r="B1916" s="75" t="n">
        <v>46232</v>
      </c>
      <c r="C1916" s="75" t="n">
        <v>46245</v>
      </c>
      <c r="D1916" s="59" t="n">
        <v>630</v>
      </c>
      <c r="E1916" s="59" t="inlineStr">
        <is>
          <t>PORTO SEGURO SEGURO SAUDE S/A</t>
        </is>
      </c>
      <c r="F1916" s="59" t="n">
        <v>24</v>
      </c>
      <c r="G1916" s="59" t="inlineStr">
        <is>
          <t>Compra a Prazo - Boletos</t>
        </is>
      </c>
      <c r="H1916" s="59" t="n">
        <v>2110405</v>
      </c>
      <c r="I1916" s="59" t="inlineStr">
        <is>
          <t>CONTAS A PAGAR</t>
        </is>
      </c>
      <c r="J1916" s="59" t="n">
        <v>1469203</v>
      </c>
      <c r="L1916" s="59" t="n">
        <v>603817</v>
      </c>
      <c r="M1916" s="59" t="inlineStr">
        <is>
          <t>01</t>
        </is>
      </c>
      <c r="N1916" s="59" t="inlineStr">
        <is>
          <t>AVU</t>
        </is>
      </c>
      <c r="P1916" s="59" t="n">
        <v>101</v>
      </c>
      <c r="Q1916" s="59" t="inlineStr">
        <is>
          <t>KEILA LIMA</t>
        </is>
      </c>
      <c r="R1916" s="59" t="inlineStr">
        <is>
          <t>DESPESAS COM PESSOAL</t>
        </is>
      </c>
      <c r="S1916" s="59" t="n">
        <v>4210311</v>
      </c>
      <c r="T1916" s="59" t="inlineStr">
        <is>
          <t>PLANOS DE SAUDE</t>
        </is>
      </c>
      <c r="U1916" s="77" t="n">
        <v>130.84</v>
      </c>
      <c r="W1916" s="59" t="n">
        <v>130.84</v>
      </c>
      <c r="X1916" s="59" t="inlineStr">
        <is>
          <t xml:space="preserve">PLANO ODONTOLOGICO KEILA,HELIO, THAII, DAVID E ELIAN </t>
        </is>
      </c>
      <c r="Z1916" s="59">
        <f>IF($T1916="","",IFERROR(INDEX('Resumo Grupos'!$AC$3:$AC$200,MATCH($T1916,'Resumo Grupos'!$AB$3:$AB$200,0)),"n/d"))</f>
        <v/>
      </c>
      <c r="AA1916" s="59">
        <f>IF($T1916="","",IF(COUNTIF('Resumo Grupos'!$AE$3:$AE$40,$T1916)&gt;0,"NAO","SIM"))</f>
        <v/>
      </c>
    </row>
    <row r="1917" ht="12.75" customHeight="1" s="60">
      <c r="A1917" s="59" t="n">
        <v>1</v>
      </c>
      <c r="B1917" s="75" t="n">
        <v>46232</v>
      </c>
      <c r="C1917" s="75" t="n">
        <v>46245</v>
      </c>
      <c r="D1917" s="59" t="n">
        <v>1114</v>
      </c>
      <c r="E1917" s="59" t="inlineStr">
        <is>
          <t>NT INDUSTRIA E COMERCIO DE PANIFICACAO L</t>
        </is>
      </c>
      <c r="F1917" s="59" t="n">
        <v>24</v>
      </c>
      <c r="G1917" s="59" t="inlineStr">
        <is>
          <t>Compra a Prazo - Boletos</t>
        </is>
      </c>
      <c r="H1917" s="59" t="n">
        <v>2110405</v>
      </c>
      <c r="I1917" s="59" t="inlineStr">
        <is>
          <t>CONTAS A PAGAR</t>
        </is>
      </c>
      <c r="J1917" s="59" t="n">
        <v>1469780</v>
      </c>
      <c r="L1917" s="59" t="n">
        <v>42217</v>
      </c>
      <c r="M1917" s="59" t="inlineStr">
        <is>
          <t>01</t>
        </is>
      </c>
      <c r="N1917" s="59" t="inlineStr">
        <is>
          <t>AVU</t>
        </is>
      </c>
      <c r="P1917" s="59" t="n">
        <v>103</v>
      </c>
      <c r="Q1917" s="59" t="inlineStr">
        <is>
          <t>MILKA FRANCIS</t>
        </is>
      </c>
      <c r="R1917" s="59" t="inlineStr">
        <is>
          <t>ESTOQUE DE MERCADORIAS</t>
        </is>
      </c>
      <c r="S1917" s="59" t="n">
        <v>1130101</v>
      </c>
      <c r="T1917" s="59" t="inlineStr">
        <is>
          <t>MERCADORIAS P/REVENDA</t>
        </is>
      </c>
      <c r="U1917" s="77" t="n">
        <v>3523.17</v>
      </c>
      <c r="W1917" s="59" t="n">
        <v>3523.17</v>
      </c>
      <c r="X1917" s="59" t="inlineStr">
        <is>
          <t>NF 42217- MILKA</t>
        </is>
      </c>
      <c r="Z1917" s="59">
        <f>IF($T1917="","",IFERROR(INDEX('Resumo Grupos'!$AC$3:$AC$200,MATCH($T1917,'Resumo Grupos'!$AB$3:$AB$200,0)),"n/d"))</f>
        <v/>
      </c>
      <c r="AA1917" s="59">
        <f>IF($T1917="","",IF(COUNTIF('Resumo Grupos'!$AE$3:$AE$40,$T1917)&gt;0,"NAO","SIM"))</f>
        <v/>
      </c>
    </row>
    <row r="1918" ht="12.75" customHeight="1" s="60">
      <c r="A1918" s="59" t="n">
        <v>1</v>
      </c>
      <c r="B1918" s="75" t="n">
        <v>46238</v>
      </c>
      <c r="C1918" s="75" t="n">
        <v>46245</v>
      </c>
      <c r="D1918" s="59" t="n">
        <v>1286</v>
      </c>
      <c r="E1918" s="59" t="inlineStr">
        <is>
          <t>VITAPAN COMERCIO VAREJISTA DE PRODUTOS ALIMENTICIOS LTDA</t>
        </is>
      </c>
      <c r="F1918" s="59" t="n">
        <v>24</v>
      </c>
      <c r="G1918" s="59" t="inlineStr">
        <is>
          <t>Compra a Prazo - Boletos</t>
        </is>
      </c>
      <c r="H1918" s="59" t="n">
        <v>2110405</v>
      </c>
      <c r="I1918" s="59" t="inlineStr">
        <is>
          <t>CONTAS A PAGAR</t>
        </is>
      </c>
      <c r="J1918" s="59" t="n">
        <v>1500876</v>
      </c>
      <c r="L1918" s="59" t="n">
        <v>10468</v>
      </c>
      <c r="M1918" s="59" t="inlineStr">
        <is>
          <t>01</t>
        </is>
      </c>
      <c r="N1918" s="59" t="inlineStr">
        <is>
          <t>AVU</t>
        </is>
      </c>
      <c r="P1918" s="59" t="n">
        <v>103</v>
      </c>
      <c r="Q1918" s="59" t="inlineStr">
        <is>
          <t>MILKA FRANCIS</t>
        </is>
      </c>
      <c r="R1918" s="59" t="inlineStr">
        <is>
          <t>ESTOQUE DE MERCADORIAS</t>
        </is>
      </c>
      <c r="S1918" s="59" t="n">
        <v>1130101</v>
      </c>
      <c r="T1918" s="59" t="inlineStr">
        <is>
          <t>MERCADORIAS P/REVENDA</t>
        </is>
      </c>
      <c r="U1918" s="77" t="n">
        <v>648</v>
      </c>
      <c r="W1918" s="59" t="n">
        <v>648</v>
      </c>
      <c r="X1918" s="59" t="inlineStr">
        <is>
          <t>NF 10468 - MILKA</t>
        </is>
      </c>
      <c r="Z1918" s="59">
        <f>IF($T1918="","",IFERROR(INDEX('Resumo Grupos'!$AC$3:$AC$200,MATCH($T1918,'Resumo Grupos'!$AB$3:$AB$200,0)),"n/d"))</f>
        <v/>
      </c>
      <c r="AA1918" s="59">
        <f>IF($T1918="","",IF(COUNTIF('Resumo Grupos'!$AE$3:$AE$40,$T1918)&gt;0,"NAO","SIM"))</f>
        <v/>
      </c>
    </row>
    <row r="1919" ht="12.75" customHeight="1" s="60">
      <c r="A1919" s="59" t="n">
        <v>1</v>
      </c>
      <c r="B1919" s="75" t="n">
        <v>46238</v>
      </c>
      <c r="C1919" s="75" t="n">
        <v>46245</v>
      </c>
      <c r="D1919" s="59" t="n">
        <v>1642</v>
      </c>
      <c r="E1919" s="59" t="inlineStr">
        <is>
          <t>BROTHERS  INDUSTRIA DE ALIMENTOS LTDA</t>
        </is>
      </c>
      <c r="F1919" s="59" t="n">
        <v>24</v>
      </c>
      <c r="G1919" s="59" t="inlineStr">
        <is>
          <t>Compra a Prazo - Boletos</t>
        </is>
      </c>
      <c r="H1919" s="59" t="n">
        <v>2110405</v>
      </c>
      <c r="I1919" s="59" t="inlineStr">
        <is>
          <t>CONTAS A PAGAR</t>
        </is>
      </c>
      <c r="J1919" s="59" t="n">
        <v>1500899</v>
      </c>
      <c r="L1919" s="59" t="n">
        <v>1035089</v>
      </c>
      <c r="M1919" s="59" t="inlineStr">
        <is>
          <t>01</t>
        </is>
      </c>
      <c r="N1919" s="59" t="inlineStr">
        <is>
          <t>AVU</t>
        </is>
      </c>
      <c r="P1919" s="59" t="n">
        <v>103</v>
      </c>
      <c r="Q1919" s="59" t="inlineStr">
        <is>
          <t>MILKA FRANCIS</t>
        </is>
      </c>
      <c r="R1919" s="59" t="inlineStr">
        <is>
          <t>ESTOQUE DE MERCADORIAS</t>
        </is>
      </c>
      <c r="S1919" s="59" t="n">
        <v>1130101</v>
      </c>
      <c r="T1919" s="59" t="inlineStr">
        <is>
          <t>MERCADORIAS P/REVENDA</t>
        </is>
      </c>
      <c r="U1919" s="77" t="n">
        <v>706.95</v>
      </c>
      <c r="W1919" s="59" t="n">
        <v>706.95</v>
      </c>
      <c r="X1919" s="59" t="inlineStr">
        <is>
          <t>NF 1035089 - MILKA</t>
        </is>
      </c>
      <c r="Z1919" s="59">
        <f>IF($T1919="","",IFERROR(INDEX('Resumo Grupos'!$AC$3:$AC$200,MATCH($T1919,'Resumo Grupos'!$AB$3:$AB$200,0)),"n/d"))</f>
        <v/>
      </c>
      <c r="AA1919" s="59">
        <f>IF($T1919="","",IF(COUNTIF('Resumo Grupos'!$AE$3:$AE$40,$T1919)&gt;0,"NAO","SIM"))</f>
        <v/>
      </c>
    </row>
    <row r="1920" ht="12.75" customHeight="1" s="60">
      <c r="A1920" s="59" t="n">
        <v>1</v>
      </c>
      <c r="B1920" s="75" t="n">
        <v>46244</v>
      </c>
      <c r="C1920" s="75" t="n">
        <v>46245</v>
      </c>
      <c r="D1920" s="59" t="n">
        <v>1899</v>
      </c>
      <c r="E1920" s="59" t="inlineStr">
        <is>
          <t>PANIFICADORA E CONFEITARIA REAL MADRI LTDA</t>
        </is>
      </c>
      <c r="F1920" s="59" t="n">
        <v>24</v>
      </c>
      <c r="G1920" s="59" t="inlineStr">
        <is>
          <t>Compra a Prazo - Boletos</t>
        </is>
      </c>
      <c r="H1920" s="59" t="n">
        <v>2110405</v>
      </c>
      <c r="I1920" s="59" t="inlineStr">
        <is>
          <t>CONTAS A PAGAR</t>
        </is>
      </c>
      <c r="J1920" s="59" t="n">
        <v>1528675</v>
      </c>
      <c r="L1920" s="59" t="n">
        <v>753</v>
      </c>
      <c r="M1920" s="59" t="inlineStr">
        <is>
          <t>01</t>
        </is>
      </c>
      <c r="N1920" s="59" t="inlineStr">
        <is>
          <t>AVU</t>
        </is>
      </c>
      <c r="P1920" s="59" t="n">
        <v>103</v>
      </c>
      <c r="Q1920" s="59" t="inlineStr">
        <is>
          <t>MILKA FRANCIS</t>
        </is>
      </c>
      <c r="R1920" s="59" t="inlineStr">
        <is>
          <t>ESTOQUE DE MERCADORIAS</t>
        </is>
      </c>
      <c r="S1920" s="59" t="n">
        <v>1130101</v>
      </c>
      <c r="T1920" s="59" t="inlineStr">
        <is>
          <t>MERCADORIAS P/REVENDA</t>
        </is>
      </c>
      <c r="U1920" s="77" t="n">
        <v>519.78</v>
      </c>
      <c r="W1920" s="59" t="n">
        <v>519.78</v>
      </c>
      <c r="X1920" s="59" t="inlineStr">
        <is>
          <t>NF 753 - MILKA</t>
        </is>
      </c>
      <c r="Z1920" s="59">
        <f>IF($T1920="","",IFERROR(INDEX('Resumo Grupos'!$AC$3:$AC$200,MATCH($T1920,'Resumo Grupos'!$AB$3:$AB$200,0)),"n/d"))</f>
        <v/>
      </c>
      <c r="AA1920" s="59">
        <f>IF($T1920="","",IF(COUNTIF('Resumo Grupos'!$AE$3:$AE$40,$T1920)&gt;0,"NAO","SIM"))</f>
        <v/>
      </c>
    </row>
    <row r="1921" ht="12.75" customHeight="1" s="60">
      <c r="A1921" s="59" t="n">
        <v>1</v>
      </c>
      <c r="B1921" s="75" t="n">
        <v>46244</v>
      </c>
      <c r="C1921" s="75" t="n">
        <v>46245</v>
      </c>
      <c r="D1921" s="59" t="n">
        <v>1061</v>
      </c>
      <c r="E1921" s="59" t="inlineStr">
        <is>
          <t xml:space="preserve">ELIANA SILVA DE OLIVEIRA </t>
        </is>
      </c>
      <c r="F1921" s="59" t="n">
        <v>34</v>
      </c>
      <c r="G1921" s="59" t="inlineStr">
        <is>
          <t>Transferencia Pix</t>
        </is>
      </c>
      <c r="H1921" s="59" t="n">
        <v>2110405</v>
      </c>
      <c r="I1921" s="59" t="inlineStr">
        <is>
          <t>CONTAS A PAGAR</t>
        </is>
      </c>
      <c r="J1921" s="59" t="n">
        <v>1448819</v>
      </c>
      <c r="L1921" s="59" t="n">
        <v>596052</v>
      </c>
      <c r="M1921" s="59" t="inlineStr">
        <is>
          <t>02</t>
        </is>
      </c>
      <c r="N1921" s="59" t="inlineStr">
        <is>
          <t>AVU</t>
        </is>
      </c>
      <c r="P1921" s="59" t="n">
        <v>101</v>
      </c>
      <c r="Q1921" s="59" t="inlineStr">
        <is>
          <t>KEILA LIMA</t>
        </is>
      </c>
      <c r="R1921" s="59" t="inlineStr">
        <is>
          <t>DESPESAS COM PESSOAL</t>
        </is>
      </c>
      <c r="S1921" s="59" t="n">
        <v>4210301</v>
      </c>
      <c r="T1921" s="59" t="inlineStr">
        <is>
          <t>SALARIOS</t>
        </is>
      </c>
      <c r="U1921" s="77" t="n">
        <v>750.97</v>
      </c>
      <c r="W1921" s="59" t="n">
        <v>0</v>
      </c>
      <c r="X1921" s="59" t="inlineStr">
        <is>
          <t>PAG SALARIO MO1 PARTE 07/26 - KEILA</t>
        </is>
      </c>
      <c r="Z1921" s="59">
        <f>IF($T1921="","",IFERROR(INDEX('Resumo Grupos'!$AC$3:$AC$200,MATCH($T1921,'Resumo Grupos'!$AB$3:$AB$200,0)),"n/d"))</f>
        <v/>
      </c>
      <c r="AA1921" s="59">
        <f>IF($T1921="","",IF(COUNTIF('Resumo Grupos'!$AE$3:$AE$40,$T1921)&gt;0,"NAO","SIM"))</f>
        <v/>
      </c>
    </row>
    <row r="1922" ht="12.75" customHeight="1" s="60">
      <c r="A1922" s="59" t="n">
        <v>1</v>
      </c>
      <c r="B1922" s="75" t="n">
        <v>46238</v>
      </c>
      <c r="C1922" s="75" t="n">
        <v>46245</v>
      </c>
      <c r="D1922" s="59" t="n">
        <v>754</v>
      </c>
      <c r="E1922" s="59" t="inlineStr">
        <is>
          <t>SILVA E SANTOS FRIGORIFICO LTDA</t>
        </is>
      </c>
      <c r="F1922" s="59" t="n">
        <v>24</v>
      </c>
      <c r="G1922" s="59" t="inlineStr">
        <is>
          <t>Compra a Prazo - Boletos</t>
        </is>
      </c>
      <c r="H1922" s="59" t="n">
        <v>2110405</v>
      </c>
      <c r="I1922" s="59" t="inlineStr">
        <is>
          <t>CONTAS A PAGAR</t>
        </is>
      </c>
      <c r="J1922" s="59" t="n">
        <v>1532609</v>
      </c>
      <c r="L1922" s="59" t="n">
        <v>32221</v>
      </c>
      <c r="M1922" s="59" t="inlineStr">
        <is>
          <t>01</t>
        </is>
      </c>
      <c r="N1922" s="59" t="inlineStr">
        <is>
          <t>AVU</t>
        </is>
      </c>
      <c r="P1922" s="59" t="n">
        <v>103</v>
      </c>
      <c r="Q1922" s="59" t="inlineStr">
        <is>
          <t>MILKA FRANCIS</t>
        </is>
      </c>
      <c r="R1922" s="59" t="inlineStr">
        <is>
          <t>ESTOQUE DE MERCADORIAS</t>
        </is>
      </c>
      <c r="S1922" s="59" t="n">
        <v>1130101</v>
      </c>
      <c r="T1922" s="59" t="inlineStr">
        <is>
          <t>MERCADORIAS P/REVENDA</t>
        </is>
      </c>
      <c r="U1922" s="77" t="n">
        <v>3157.5</v>
      </c>
      <c r="W1922" s="59" t="n">
        <v>3157.5</v>
      </c>
      <c r="X1922" s="59" t="inlineStr">
        <is>
          <t>NF 32221 - MILKA</t>
        </is>
      </c>
      <c r="Z1922" s="59">
        <f>IF($T1922="","",IFERROR(INDEX('Resumo Grupos'!$AC$3:$AC$200,MATCH($T1922,'Resumo Grupos'!$AB$3:$AB$200,0)),"n/d"))</f>
        <v/>
      </c>
      <c r="AA1922" s="59">
        <f>IF($T1922="","",IF(COUNTIF('Resumo Grupos'!$AE$3:$AE$40,$T1922)&gt;0,"NAO","SIM"))</f>
        <v/>
      </c>
    </row>
    <row r="1923" ht="12.75" customHeight="1" s="60">
      <c r="A1923" s="59" t="n">
        <v>1</v>
      </c>
      <c r="B1923" s="75" t="n">
        <v>46245</v>
      </c>
      <c r="C1923" s="75" t="n">
        <v>46245</v>
      </c>
      <c r="D1923" s="59" t="n">
        <v>33</v>
      </c>
      <c r="E1923" s="59" t="inlineStr">
        <is>
          <t>RENATO DE O AZEVEDO E CIA LTDA - EPP</t>
        </is>
      </c>
      <c r="F1923" s="59" t="n">
        <v>34</v>
      </c>
      <c r="G1923" s="59" t="inlineStr">
        <is>
          <t>Transferencia Pix</t>
        </is>
      </c>
      <c r="H1923" s="59" t="n">
        <v>2110101</v>
      </c>
      <c r="I1923" s="59" t="inlineStr">
        <is>
          <t>FORNECEDORES DE MERCADORIA</t>
        </is>
      </c>
      <c r="J1923" s="59" t="n">
        <v>1533001</v>
      </c>
      <c r="L1923" s="59" t="n">
        <v>5469</v>
      </c>
      <c r="M1923" s="59" t="inlineStr">
        <is>
          <t>01</t>
        </is>
      </c>
      <c r="N1923" s="59" t="inlineStr">
        <is>
          <t>NFE</t>
        </is>
      </c>
      <c r="P1923" s="59" t="n">
        <v>104</v>
      </c>
      <c r="Q1923" s="59" t="inlineStr">
        <is>
          <t>DEBORA COSTA</t>
        </is>
      </c>
      <c r="R1923" s="59" t="inlineStr">
        <is>
          <t>ESTOQUE DE MERCADORIAS</t>
        </is>
      </c>
      <c r="S1923" s="59" t="n">
        <v>1130101</v>
      </c>
      <c r="T1923" s="59" t="inlineStr">
        <is>
          <t>MERCADORIAS P/REVENDA</t>
        </is>
      </c>
      <c r="U1923" s="77" t="n">
        <v>2580</v>
      </c>
      <c r="W1923" s="59" t="n">
        <v>2580</v>
      </c>
      <c r="X1923" s="59" t="inlineStr">
        <is>
          <t>FEIRA SR RENATO - C6 BANK -  DEBORA</t>
        </is>
      </c>
      <c r="Z1923" s="59">
        <f>IF($T1923="","",IFERROR(INDEX('Resumo Grupos'!$AC$3:$AC$200,MATCH($T1923,'Resumo Grupos'!$AB$3:$AB$200,0)),"n/d"))</f>
        <v/>
      </c>
      <c r="AA1923" s="59">
        <f>IF($T1923="","",IF(COUNTIF('Resumo Grupos'!$AE$3:$AE$40,$T1923)&gt;0,"NAO","SIM"))</f>
        <v/>
      </c>
    </row>
    <row r="1924" ht="12.75" customHeight="1" s="60">
      <c r="A1924" s="59" t="n">
        <v>1</v>
      </c>
      <c r="B1924" s="75" t="n">
        <v>46245</v>
      </c>
      <c r="C1924" s="75" t="n">
        <v>46245</v>
      </c>
      <c r="D1924" s="59" t="n">
        <v>33</v>
      </c>
      <c r="E1924" s="59" t="inlineStr">
        <is>
          <t>RENATO DE O AZEVEDO E CIA LTDA - EPP</t>
        </is>
      </c>
      <c r="F1924" s="59" t="n">
        <v>34</v>
      </c>
      <c r="G1924" s="59" t="inlineStr">
        <is>
          <t>Transferencia Pix</t>
        </is>
      </c>
      <c r="H1924" s="59" t="n">
        <v>2110101</v>
      </c>
      <c r="I1924" s="59" t="inlineStr">
        <is>
          <t>FORNECEDORES DE MERCADORIA</t>
        </is>
      </c>
      <c r="J1924" s="59" t="n">
        <v>1533251</v>
      </c>
      <c r="L1924" s="59" t="n">
        <v>5474</v>
      </c>
      <c r="M1924" s="59" t="inlineStr">
        <is>
          <t>01</t>
        </is>
      </c>
      <c r="N1924" s="59" t="inlineStr">
        <is>
          <t>NFE</t>
        </is>
      </c>
      <c r="P1924" s="59" t="n">
        <v>104</v>
      </c>
      <c r="Q1924" s="59" t="inlineStr">
        <is>
          <t>DEBORA COSTA</t>
        </is>
      </c>
      <c r="R1924" s="59" t="inlineStr">
        <is>
          <t>ESTOQUE DE MERCADORIAS</t>
        </is>
      </c>
      <c r="S1924" s="59" t="n">
        <v>1130101</v>
      </c>
      <c r="T1924" s="59" t="inlineStr">
        <is>
          <t>MERCADORIAS P/REVENDA</t>
        </is>
      </c>
      <c r="U1924" s="77" t="n">
        <v>1100</v>
      </c>
      <c r="W1924" s="59" t="n">
        <v>1100</v>
      </c>
      <c r="X1924" s="59" t="inlineStr">
        <is>
          <t>FEIRA SR RENATO - MM COMERCIO ATACADISTA DE FRUTAS LTDA - DEBORA</t>
        </is>
      </c>
      <c r="Z1924" s="59">
        <f>IF($T1924="","",IFERROR(INDEX('Resumo Grupos'!$AC$3:$AC$200,MATCH($T1924,'Resumo Grupos'!$AB$3:$AB$200,0)),"n/d"))</f>
        <v/>
      </c>
      <c r="AA1924" s="59">
        <f>IF($T1924="","",IF(COUNTIF('Resumo Grupos'!$AE$3:$AE$40,$T1924)&gt;0,"NAO","SIM"))</f>
        <v/>
      </c>
    </row>
    <row r="1925" ht="12.75" customHeight="1" s="60">
      <c r="A1925" s="59" t="n">
        <v>1</v>
      </c>
      <c r="B1925" s="75" t="n">
        <v>46245</v>
      </c>
      <c r="C1925" s="75" t="n">
        <v>46245</v>
      </c>
      <c r="D1925" s="59" t="n">
        <v>1779</v>
      </c>
      <c r="E1925" s="59" t="inlineStr">
        <is>
          <t>BANCO DO BRASIL SA</t>
        </is>
      </c>
      <c r="F1925" s="59" t="n">
        <v>34</v>
      </c>
      <c r="G1925" s="59" t="inlineStr">
        <is>
          <t>Transferencia Pix</t>
        </is>
      </c>
      <c r="H1925" s="59" t="n">
        <v>2110101</v>
      </c>
      <c r="I1925" s="59" t="inlineStr">
        <is>
          <t>FORNECEDORES DE MERCADORIA</t>
        </is>
      </c>
      <c r="J1925" s="59" t="n">
        <v>1535127</v>
      </c>
      <c r="L1925" s="59" t="n">
        <v>627188</v>
      </c>
      <c r="M1925" s="59" t="inlineStr">
        <is>
          <t>01</t>
        </is>
      </c>
      <c r="N1925" s="59" t="inlineStr">
        <is>
          <t>AVU</t>
        </is>
      </c>
      <c r="P1925" s="59" t="n">
        <v>101</v>
      </c>
      <c r="Q1925" s="59" t="inlineStr">
        <is>
          <t>KEILA LIMA</t>
        </is>
      </c>
      <c r="R1925" s="59" t="inlineStr">
        <is>
          <t>EMPRESTIMOS BANCARIOS</t>
        </is>
      </c>
      <c r="S1925" s="59" t="n">
        <v>2110901</v>
      </c>
      <c r="T1925" s="59" t="inlineStr">
        <is>
          <t>EMPRESTIMOS BANCARIOS A PAGAR</t>
        </is>
      </c>
      <c r="U1925" s="77" t="n">
        <v>4095.48</v>
      </c>
      <c r="W1925" s="59" t="n">
        <v>4095.48</v>
      </c>
      <c r="X1925" s="59" t="inlineStr">
        <is>
          <t>PARCELA JUROS GARANTIDA  BB 1 NOVO - KEILA</t>
        </is>
      </c>
      <c r="Z1925" s="59">
        <f>IF($T1925="","",IFERROR(INDEX('Resumo Grupos'!$AC$3:$AC$200,MATCH($T1925,'Resumo Grupos'!$AB$3:$AB$200,0)),"n/d"))</f>
        <v/>
      </c>
      <c r="AA1925" s="59">
        <f>IF($T1925="","",IF(COUNTIF('Resumo Grupos'!$AE$3:$AE$40,$T1925)&gt;0,"NAO","SIM"))</f>
        <v/>
      </c>
    </row>
    <row r="1926" ht="12.75" customHeight="1" s="60">
      <c r="A1926" s="59" t="n">
        <v>1</v>
      </c>
      <c r="B1926" s="75" t="n">
        <v>46245</v>
      </c>
      <c r="C1926" s="75" t="n">
        <v>46245</v>
      </c>
      <c r="D1926" s="59" t="n">
        <v>10096</v>
      </c>
      <c r="E1926" s="59" t="inlineStr">
        <is>
          <t>H L M PADARIA E CONFEITARIA LTDA</t>
        </is>
      </c>
      <c r="F1926" s="59" t="n">
        <v>13</v>
      </c>
      <c r="G1926" s="59" t="inlineStr">
        <is>
          <t>Compra a Vista</t>
        </is>
      </c>
      <c r="H1926" s="59" t="n">
        <v>2110101</v>
      </c>
      <c r="I1926" s="59" t="inlineStr">
        <is>
          <t>FORNECEDORES DE MERCADORIA</t>
        </is>
      </c>
      <c r="J1926" s="59" t="n">
        <v>1536254</v>
      </c>
      <c r="L1926" s="59" t="n">
        <v>150</v>
      </c>
      <c r="M1926" s="59" t="inlineStr">
        <is>
          <t>01</t>
        </is>
      </c>
      <c r="N1926" s="59" t="inlineStr">
        <is>
          <t>NFE</t>
        </is>
      </c>
      <c r="P1926" s="59" t="n">
        <v>104</v>
      </c>
      <c r="Q1926" s="59" t="inlineStr">
        <is>
          <t>DEBORA COSTA</t>
        </is>
      </c>
      <c r="R1926" s="59" t="inlineStr">
        <is>
          <t>ESTOQUE DE MERCADORIAS</t>
        </is>
      </c>
      <c r="S1926" s="59" t="n">
        <v>1130101</v>
      </c>
      <c r="T1926" s="59" t="inlineStr">
        <is>
          <t>MERCADORIAS P/REVENDA</t>
        </is>
      </c>
      <c r="U1926" s="77" t="n">
        <v>280</v>
      </c>
      <c r="W1926" s="59" t="n">
        <v>0</v>
      </c>
      <c r="X1926" s="59" t="inlineStr">
        <is>
          <t>NF 150 - DEBORA</t>
        </is>
      </c>
      <c r="Z1926" s="59">
        <f>IF($T1926="","",IFERROR(INDEX('Resumo Grupos'!$AC$3:$AC$200,MATCH($T1926,'Resumo Grupos'!$AB$3:$AB$200,0)),"n/d"))</f>
        <v/>
      </c>
      <c r="AA1926" s="59">
        <f>IF($T1926="","",IF(COUNTIF('Resumo Grupos'!$AE$3:$AE$40,$T1926)&gt;0,"NAO","SIM"))</f>
        <v/>
      </c>
    </row>
    <row r="1927" ht="12.75" customHeight="1" s="60">
      <c r="A1927" s="59" t="n">
        <v>1</v>
      </c>
      <c r="B1927" s="75" t="n">
        <v>46192</v>
      </c>
      <c r="C1927" s="75" t="n">
        <v>46246</v>
      </c>
      <c r="D1927" s="59" t="n">
        <v>957</v>
      </c>
      <c r="E1927" s="59" t="inlineStr">
        <is>
          <t>FUNNY PET DISTRIBUIDORA DE ALIMENTOS PAR</t>
        </is>
      </c>
      <c r="F1927" s="59" t="n">
        <v>24</v>
      </c>
      <c r="G1927" s="59" t="inlineStr">
        <is>
          <t>Compra a Prazo - Boletos</t>
        </is>
      </c>
      <c r="H1927" s="59" t="n">
        <v>2110101</v>
      </c>
      <c r="I1927" s="59" t="inlineStr">
        <is>
          <t>FORNECEDORES DE MERCADORIA</t>
        </is>
      </c>
      <c r="J1927" s="59" t="n">
        <v>1273051</v>
      </c>
      <c r="L1927" s="59" t="n">
        <v>20498</v>
      </c>
      <c r="M1927" s="59" t="inlineStr">
        <is>
          <t>02</t>
        </is>
      </c>
      <c r="N1927" s="59" t="inlineStr">
        <is>
          <t>NFE</t>
        </is>
      </c>
      <c r="P1927" s="59" t="n">
        <v>103</v>
      </c>
      <c r="Q1927" s="59" t="inlineStr">
        <is>
          <t>MILKA FRANCIS</t>
        </is>
      </c>
      <c r="R1927" s="59" t="inlineStr">
        <is>
          <t>ESTOQUE DE MERCADORIAS</t>
        </is>
      </c>
      <c r="S1927" s="59" t="n">
        <v>1130101</v>
      </c>
      <c r="T1927" s="59" t="inlineStr">
        <is>
          <t>MERCADORIAS P/REVENDA</t>
        </is>
      </c>
      <c r="U1927" s="77" t="n">
        <v>8427.07</v>
      </c>
      <c r="W1927" s="59" t="n">
        <v>8427.07</v>
      </c>
      <c r="X1927" s="59" t="inlineStr">
        <is>
          <t>NF 20498-2 MILKA</t>
        </is>
      </c>
      <c r="Z1927" s="59">
        <f>IF($T1927="","",IFERROR(INDEX('Resumo Grupos'!$AC$3:$AC$200,MATCH($T1927,'Resumo Grupos'!$AB$3:$AB$200,0)),"n/d"))</f>
        <v/>
      </c>
      <c r="AA1927" s="59">
        <f>IF($T1927="","",IF(COUNTIF('Resumo Grupos'!$AE$3:$AE$40,$T1927)&gt;0,"NAO","SIM"))</f>
        <v/>
      </c>
    </row>
    <row r="1928" ht="12.75" customHeight="1" s="60">
      <c r="A1928" s="59" t="n">
        <v>1</v>
      </c>
      <c r="B1928" s="75" t="n">
        <v>46218</v>
      </c>
      <c r="C1928" s="75" t="n">
        <v>46246</v>
      </c>
      <c r="D1928" s="59" t="n">
        <v>1390</v>
      </c>
      <c r="E1928" s="59" t="inlineStr">
        <is>
          <t>SMV COMERCIO DE PRODUTOS ALIMENTICIOS LT</t>
        </is>
      </c>
      <c r="F1928" s="59" t="n">
        <v>24</v>
      </c>
      <c r="G1928" s="59" t="inlineStr">
        <is>
          <t>Compra a Prazo - Boletos</t>
        </is>
      </c>
      <c r="H1928" s="59" t="n">
        <v>2110405</v>
      </c>
      <c r="I1928" s="59" t="inlineStr">
        <is>
          <t>CONTAS A PAGAR</t>
        </is>
      </c>
      <c r="J1928" s="59" t="n">
        <v>1401827</v>
      </c>
      <c r="L1928" s="59" t="n">
        <v>6933</v>
      </c>
      <c r="M1928" s="59" t="inlineStr">
        <is>
          <t>01</t>
        </is>
      </c>
      <c r="N1928" s="59" t="inlineStr">
        <is>
          <t>AVU</t>
        </is>
      </c>
      <c r="P1928" s="59" t="n">
        <v>103</v>
      </c>
      <c r="Q1928" s="59" t="inlineStr">
        <is>
          <t>MILKA FRANCIS</t>
        </is>
      </c>
      <c r="R1928" s="59" t="inlineStr">
        <is>
          <t>ESTOQUE DE MERCADORIAS</t>
        </is>
      </c>
      <c r="S1928" s="59" t="n">
        <v>1130101</v>
      </c>
      <c r="T1928" s="59" t="inlineStr">
        <is>
          <t>MERCADORIAS P/REVENDA</t>
        </is>
      </c>
      <c r="U1928" s="77" t="n">
        <v>548.9400000000001</v>
      </c>
      <c r="W1928" s="59" t="n">
        <v>548.9400000000001</v>
      </c>
      <c r="X1928" s="59" t="inlineStr">
        <is>
          <t>7226-1/2  NF6933 - MILKA</t>
        </is>
      </c>
      <c r="Z1928" s="59">
        <f>IF($T1928="","",IFERROR(INDEX('Resumo Grupos'!$AC$3:$AC$200,MATCH($T1928,'Resumo Grupos'!$AB$3:$AB$200,0)),"n/d"))</f>
        <v/>
      </c>
      <c r="AA1928" s="59">
        <f>IF($T1928="","",IF(COUNTIF('Resumo Grupos'!$AE$3:$AE$40,$T1928)&gt;0,"NAO","SIM"))</f>
        <v/>
      </c>
    </row>
    <row r="1929" ht="12.75" customHeight="1" s="60">
      <c r="A1929" s="59" t="n">
        <v>1</v>
      </c>
      <c r="B1929" s="75" t="n">
        <v>46223</v>
      </c>
      <c r="C1929" s="75" t="n">
        <v>46246</v>
      </c>
      <c r="D1929" s="59" t="n">
        <v>1637</v>
      </c>
      <c r="E1929" s="59" t="inlineStr">
        <is>
          <t>ATACADAO S.A.</t>
        </is>
      </c>
      <c r="F1929" s="59" t="n">
        <v>24</v>
      </c>
      <c r="G1929" s="59" t="inlineStr">
        <is>
          <t>Compra a Prazo - Boletos</t>
        </is>
      </c>
      <c r="H1929" s="59" t="n">
        <v>2110405</v>
      </c>
      <c r="I1929" s="59" t="inlineStr">
        <is>
          <t>CONTAS A PAGAR</t>
        </is>
      </c>
      <c r="J1929" s="59" t="n">
        <v>1424145</v>
      </c>
      <c r="L1929" s="59" t="n">
        <v>1906317</v>
      </c>
      <c r="M1929" s="59" t="inlineStr">
        <is>
          <t>01</t>
        </is>
      </c>
      <c r="N1929" s="59" t="inlineStr">
        <is>
          <t>AVU</t>
        </is>
      </c>
      <c r="P1929" s="59" t="n">
        <v>103</v>
      </c>
      <c r="Q1929" s="59" t="inlineStr">
        <is>
          <t>MILKA FRANCIS</t>
        </is>
      </c>
      <c r="R1929" s="59" t="inlineStr">
        <is>
          <t>ESTOQUE DE MERCADORIAS</t>
        </is>
      </c>
      <c r="S1929" s="59" t="n">
        <v>1130101</v>
      </c>
      <c r="T1929" s="59" t="inlineStr">
        <is>
          <t>MERCADORIAS P/REVENDA</t>
        </is>
      </c>
      <c r="U1929" s="77" t="n">
        <v>958.5</v>
      </c>
      <c r="W1929" s="59" t="n">
        <v>958.5</v>
      </c>
      <c r="X1929" s="59" t="inlineStr">
        <is>
          <t>NF 1906317 - MILKA</t>
        </is>
      </c>
      <c r="Z1929" s="59">
        <f>IF($T1929="","",IFERROR(INDEX('Resumo Grupos'!$AC$3:$AC$200,MATCH($T1929,'Resumo Grupos'!$AB$3:$AB$200,0)),"n/d"))</f>
        <v/>
      </c>
      <c r="AA1929" s="59">
        <f>IF($T1929="","",IF(COUNTIF('Resumo Grupos'!$AE$3:$AE$40,$T1929)&gt;0,"NAO","SIM"))</f>
        <v/>
      </c>
    </row>
    <row r="1930" ht="12.75" customHeight="1" s="60">
      <c r="A1930" s="59" t="n">
        <v>1</v>
      </c>
      <c r="B1930" s="75" t="n">
        <v>46225</v>
      </c>
      <c r="C1930" s="75" t="n">
        <v>46246</v>
      </c>
      <c r="D1930" s="59" t="n">
        <v>10011</v>
      </c>
      <c r="E1930" s="59" t="inlineStr">
        <is>
          <t>OPPORTUNITY ALIMENTOS PARA ANIMAIS LTDA</t>
        </is>
      </c>
      <c r="F1930" s="59" t="n">
        <v>24</v>
      </c>
      <c r="G1930" s="59" t="inlineStr">
        <is>
          <t>Compra a Prazo - Boletos</t>
        </is>
      </c>
      <c r="H1930" s="59" t="n">
        <v>2110405</v>
      </c>
      <c r="I1930" s="59" t="inlineStr">
        <is>
          <t>CONTAS A PAGAR</t>
        </is>
      </c>
      <c r="J1930" s="59" t="n">
        <v>1435119</v>
      </c>
      <c r="L1930" s="59" t="n">
        <v>34737</v>
      </c>
      <c r="M1930" s="59" t="inlineStr">
        <is>
          <t>01</t>
        </is>
      </c>
      <c r="N1930" s="59" t="inlineStr">
        <is>
          <t>AVU</t>
        </is>
      </c>
      <c r="P1930" s="59" t="n">
        <v>103</v>
      </c>
      <c r="Q1930" s="59" t="inlineStr">
        <is>
          <t>MILKA FRANCIS</t>
        </is>
      </c>
      <c r="R1930" s="59" t="inlineStr">
        <is>
          <t>ESTOQUE DE MERCADORIAS</t>
        </is>
      </c>
      <c r="S1930" s="59" t="n">
        <v>1130101</v>
      </c>
      <c r="T1930" s="59" t="inlineStr">
        <is>
          <t>MERCADORIAS P/REVENDA</t>
        </is>
      </c>
      <c r="U1930" s="77" t="n">
        <v>807.05</v>
      </c>
      <c r="W1930" s="59" t="n">
        <v>807.05</v>
      </c>
      <c r="X1930" s="59" t="inlineStr">
        <is>
          <t>NF 34737-1 MILKA</t>
        </is>
      </c>
      <c r="Z1930" s="59">
        <f>IF($T1930="","",IFERROR(INDEX('Resumo Grupos'!$AC$3:$AC$200,MATCH($T1930,'Resumo Grupos'!$AB$3:$AB$200,0)),"n/d"))</f>
        <v/>
      </c>
      <c r="AA1930" s="59">
        <f>IF($T1930="","",IF(COUNTIF('Resumo Grupos'!$AE$3:$AE$40,$T1930)&gt;0,"NAO","SIM"))</f>
        <v/>
      </c>
    </row>
    <row r="1931" ht="12.75" customHeight="1" s="60">
      <c r="A1931" s="59" t="n">
        <v>1</v>
      </c>
      <c r="B1931" s="75" t="n">
        <v>46225</v>
      </c>
      <c r="C1931" s="75" t="n">
        <v>46246</v>
      </c>
      <c r="D1931" s="59" t="n">
        <v>1659</v>
      </c>
      <c r="E1931" s="59" t="inlineStr">
        <is>
          <t>ADRIANA DISTRIBUIDORA DE PRODUTOS ALIMEN</t>
        </is>
      </c>
      <c r="F1931" s="59" t="n">
        <v>24</v>
      </c>
      <c r="G1931" s="59" t="inlineStr">
        <is>
          <t>Compra a Prazo - Boletos</t>
        </is>
      </c>
      <c r="H1931" s="59" t="n">
        <v>2110405</v>
      </c>
      <c r="I1931" s="59" t="inlineStr">
        <is>
          <t>CONTAS A PAGAR</t>
        </is>
      </c>
      <c r="J1931" s="59" t="n">
        <v>1435386</v>
      </c>
      <c r="L1931" s="59" t="n">
        <v>886068</v>
      </c>
      <c r="M1931" s="59" t="inlineStr">
        <is>
          <t>02</t>
        </is>
      </c>
      <c r="N1931" s="59" t="inlineStr">
        <is>
          <t>AVU</t>
        </is>
      </c>
      <c r="P1931" s="59" t="n">
        <v>103</v>
      </c>
      <c r="Q1931" s="59" t="inlineStr">
        <is>
          <t>MILKA FRANCIS</t>
        </is>
      </c>
      <c r="R1931" s="59" t="inlineStr">
        <is>
          <t>ESTOQUE DE MERCADORIAS</t>
        </is>
      </c>
      <c r="S1931" s="59" t="n">
        <v>1130101</v>
      </c>
      <c r="T1931" s="59" t="inlineStr">
        <is>
          <t>MERCADORIAS P/REVENDA</t>
        </is>
      </c>
      <c r="U1931" s="77" t="n">
        <v>1420.58</v>
      </c>
      <c r="W1931" s="59" t="n">
        <v>1420.58</v>
      </c>
      <c r="X1931" s="59" t="inlineStr">
        <is>
          <t>NF 886068-2 MILKA</t>
        </is>
      </c>
      <c r="Z1931" s="59">
        <f>IF($T1931="","",IFERROR(INDEX('Resumo Grupos'!$AC$3:$AC$200,MATCH($T1931,'Resumo Grupos'!$AB$3:$AB$200,0)),"n/d"))</f>
        <v/>
      </c>
      <c r="AA1931" s="59">
        <f>IF($T1931="","",IF(COUNTIF('Resumo Grupos'!$AE$3:$AE$40,$T1931)&gt;0,"NAO","SIM"))</f>
        <v/>
      </c>
    </row>
    <row r="1932" ht="12.75" customHeight="1" s="60">
      <c r="A1932" s="59" t="n">
        <v>1</v>
      </c>
      <c r="B1932" s="75" t="n">
        <v>46226</v>
      </c>
      <c r="C1932" s="75" t="n">
        <v>46246</v>
      </c>
      <c r="D1932" s="59" t="n">
        <v>1671</v>
      </c>
      <c r="E1932" s="59" t="inlineStr">
        <is>
          <t>TAPAJOS COM DE PERFUMARIA COSMETICOS E G</t>
        </is>
      </c>
      <c r="F1932" s="59" t="n">
        <v>24</v>
      </c>
      <c r="G1932" s="59" t="inlineStr">
        <is>
          <t>Compra a Prazo - Boletos</t>
        </is>
      </c>
      <c r="H1932" s="59" t="n">
        <v>2110405</v>
      </c>
      <c r="I1932" s="59" t="inlineStr">
        <is>
          <t>CONTAS A PAGAR</t>
        </is>
      </c>
      <c r="J1932" s="59" t="n">
        <v>1439103</v>
      </c>
      <c r="L1932" s="59" t="n">
        <v>592343</v>
      </c>
      <c r="M1932" s="59" t="inlineStr">
        <is>
          <t>02</t>
        </is>
      </c>
      <c r="N1932" s="59" t="inlineStr">
        <is>
          <t>AVU</t>
        </is>
      </c>
      <c r="P1932" s="59" t="n">
        <v>104</v>
      </c>
      <c r="Q1932" s="59" t="inlineStr">
        <is>
          <t>DEBORA COSTA</t>
        </is>
      </c>
      <c r="R1932" s="59" t="inlineStr">
        <is>
          <t>ESTOQUE DE MERCADORIAS</t>
        </is>
      </c>
      <c r="S1932" s="59" t="n">
        <v>1130101</v>
      </c>
      <c r="T1932" s="59" t="inlineStr">
        <is>
          <t>MERCADORIAS P/REVENDA</t>
        </is>
      </c>
      <c r="U1932" s="77" t="n">
        <v>1473.38</v>
      </c>
      <c r="W1932" s="59" t="n">
        <v>1473.38</v>
      </c>
      <c r="X1932" s="59" t="inlineStr">
        <is>
          <t>NF 581288 - COM TAXA - DEBORA</t>
        </is>
      </c>
      <c r="Z1932" s="59">
        <f>IF($T1932="","",IFERROR(INDEX('Resumo Grupos'!$AC$3:$AC$200,MATCH($T1932,'Resumo Grupos'!$AB$3:$AB$200,0)),"n/d"))</f>
        <v/>
      </c>
      <c r="AA1932" s="59">
        <f>IF($T1932="","",IF(COUNTIF('Resumo Grupos'!$AE$3:$AE$40,$T1932)&gt;0,"NAO","SIM"))</f>
        <v/>
      </c>
    </row>
    <row r="1933" ht="12.75" customHeight="1" s="60">
      <c r="A1933" s="59" t="n">
        <v>1</v>
      </c>
      <c r="B1933" s="75" t="n">
        <v>46226</v>
      </c>
      <c r="C1933" s="75" t="n">
        <v>46246</v>
      </c>
      <c r="D1933" s="59" t="n">
        <v>957</v>
      </c>
      <c r="E1933" s="59" t="inlineStr">
        <is>
          <t>FUNNY PET DISTRIBUIDORA DE ALIMENTOS PAR</t>
        </is>
      </c>
      <c r="F1933" s="59" t="n">
        <v>24</v>
      </c>
      <c r="G1933" s="59" t="inlineStr">
        <is>
          <t>Compra a Prazo - Boletos</t>
        </is>
      </c>
      <c r="H1933" s="59" t="n">
        <v>2110405</v>
      </c>
      <c r="I1933" s="59" t="inlineStr">
        <is>
          <t>CONTAS A PAGAR</t>
        </is>
      </c>
      <c r="J1933" s="59" t="n">
        <v>1439137</v>
      </c>
      <c r="L1933" s="59" t="n">
        <v>21188</v>
      </c>
      <c r="M1933" s="59" t="inlineStr">
        <is>
          <t>01</t>
        </is>
      </c>
      <c r="N1933" s="59" t="inlineStr">
        <is>
          <t>AVU</t>
        </is>
      </c>
      <c r="P1933" s="59" t="n">
        <v>103</v>
      </c>
      <c r="Q1933" s="59" t="inlineStr">
        <is>
          <t>MILKA FRANCIS</t>
        </is>
      </c>
      <c r="R1933" s="59" t="inlineStr">
        <is>
          <t>ESTOQUE DE MERCADORIAS</t>
        </is>
      </c>
      <c r="S1933" s="59" t="n">
        <v>1130101</v>
      </c>
      <c r="T1933" s="59" t="inlineStr">
        <is>
          <t>MERCADORIAS P/REVENDA</t>
        </is>
      </c>
      <c r="U1933" s="77" t="n">
        <v>3458.9</v>
      </c>
      <c r="W1933" s="59" t="n">
        <v>3458.9</v>
      </c>
      <c r="X1933" s="59" t="inlineStr">
        <is>
          <t>NF 21188 -1 MILKA</t>
        </is>
      </c>
      <c r="Z1933" s="59">
        <f>IF($T1933="","",IFERROR(INDEX('Resumo Grupos'!$AC$3:$AC$200,MATCH($T1933,'Resumo Grupos'!$AB$3:$AB$200,0)),"n/d"))</f>
        <v/>
      </c>
      <c r="AA1933" s="59">
        <f>IF($T1933="","",IF(COUNTIF('Resumo Grupos'!$AE$3:$AE$40,$T1933)&gt;0,"NAO","SIM"))</f>
        <v/>
      </c>
    </row>
    <row r="1934" ht="12.75" customHeight="1" s="60">
      <c r="A1934" s="59" t="n">
        <v>1</v>
      </c>
      <c r="B1934" s="75" t="n">
        <v>46226</v>
      </c>
      <c r="C1934" s="75" t="n">
        <v>46246</v>
      </c>
      <c r="D1934" s="59" t="n">
        <v>1749</v>
      </c>
      <c r="E1934" s="59" t="inlineStr">
        <is>
          <t>ORIENTE COM. ATACADISTA E REPRES. LTDA</t>
        </is>
      </c>
      <c r="F1934" s="59" t="n">
        <v>24</v>
      </c>
      <c r="G1934" s="59" t="inlineStr">
        <is>
          <t>Compra a Prazo - Boletos</t>
        </is>
      </c>
      <c r="H1934" s="59" t="n">
        <v>2110405</v>
      </c>
      <c r="I1934" s="59" t="inlineStr">
        <is>
          <t>CONTAS A PAGAR</t>
        </is>
      </c>
      <c r="J1934" s="59" t="n">
        <v>1439282</v>
      </c>
      <c r="L1934" s="59" t="n">
        <v>2785</v>
      </c>
      <c r="M1934" s="59" t="inlineStr">
        <is>
          <t>02</t>
        </is>
      </c>
      <c r="N1934" s="59" t="inlineStr">
        <is>
          <t>AVU</t>
        </is>
      </c>
      <c r="P1934" s="59" t="n">
        <v>103</v>
      </c>
      <c r="Q1934" s="59" t="inlineStr">
        <is>
          <t>MILKA FRANCIS</t>
        </is>
      </c>
      <c r="R1934" s="59" t="inlineStr">
        <is>
          <t>ESTOQUE DE MERCADORIAS</t>
        </is>
      </c>
      <c r="S1934" s="59" t="n">
        <v>1130101</v>
      </c>
      <c r="T1934" s="59" t="inlineStr">
        <is>
          <t>MERCADORIAS P/REVENDA</t>
        </is>
      </c>
      <c r="U1934" s="77" t="n">
        <v>2195.6</v>
      </c>
      <c r="W1934" s="59" t="n">
        <v>2195.6</v>
      </c>
      <c r="X1934" s="59" t="inlineStr">
        <is>
          <t>3344/2  NF2785 - MILKA</t>
        </is>
      </c>
      <c r="Z1934" s="59">
        <f>IF($T1934="","",IFERROR(INDEX('Resumo Grupos'!$AC$3:$AC$200,MATCH($T1934,'Resumo Grupos'!$AB$3:$AB$200,0)),"n/d"))</f>
        <v/>
      </c>
      <c r="AA1934" s="59">
        <f>IF($T1934="","",IF(COUNTIF('Resumo Grupos'!$AE$3:$AE$40,$T1934)&gt;0,"NAO","SIM"))</f>
        <v/>
      </c>
    </row>
    <row r="1935" ht="12.75" customHeight="1" s="60">
      <c r="A1935" s="59" t="n">
        <v>1</v>
      </c>
      <c r="B1935" s="75" t="n">
        <v>46226</v>
      </c>
      <c r="C1935" s="75" t="n">
        <v>46246</v>
      </c>
      <c r="D1935" s="59" t="n">
        <v>1608</v>
      </c>
      <c r="E1935" s="59" t="inlineStr">
        <is>
          <t>DISTRIBUIDORA LOPES LTDA</t>
        </is>
      </c>
      <c r="F1935" s="59" t="n">
        <v>24</v>
      </c>
      <c r="G1935" s="59" t="inlineStr">
        <is>
          <t>Compra a Prazo - Boletos</t>
        </is>
      </c>
      <c r="H1935" s="59" t="n">
        <v>2110405</v>
      </c>
      <c r="I1935" s="59" t="inlineStr">
        <is>
          <t>CONTAS A PAGAR</t>
        </is>
      </c>
      <c r="J1935" s="59" t="n">
        <v>1439448</v>
      </c>
      <c r="L1935" s="59" t="n">
        <v>592413</v>
      </c>
      <c r="M1935" s="59" t="inlineStr">
        <is>
          <t>02</t>
        </is>
      </c>
      <c r="N1935" s="59" t="inlineStr">
        <is>
          <t>AVU</t>
        </is>
      </c>
      <c r="P1935" s="59" t="n">
        <v>104</v>
      </c>
      <c r="Q1935" s="59" t="inlineStr">
        <is>
          <t>DEBORA COSTA</t>
        </is>
      </c>
      <c r="R1935" s="59" t="inlineStr">
        <is>
          <t>ESTOQUE DE MERCADORIAS</t>
        </is>
      </c>
      <c r="S1935" s="59" t="n">
        <v>1130101</v>
      </c>
      <c r="T1935" s="59" t="inlineStr">
        <is>
          <t>MERCADORIAS P/REVENDA</t>
        </is>
      </c>
      <c r="U1935" s="77" t="n">
        <v>1790.11</v>
      </c>
      <c r="W1935" s="59" t="n">
        <v>1790.11</v>
      </c>
      <c r="X1935" s="59" t="inlineStr">
        <is>
          <t>NF 1696462 C/DESCONTO NO BOLETO - DEBORA</t>
        </is>
      </c>
      <c r="Z1935" s="59">
        <f>IF($T1935="","",IFERROR(INDEX('Resumo Grupos'!$AC$3:$AC$200,MATCH($T1935,'Resumo Grupos'!$AB$3:$AB$200,0)),"n/d"))</f>
        <v/>
      </c>
      <c r="AA1935" s="59">
        <f>IF($T1935="","",IF(COUNTIF('Resumo Grupos'!$AE$3:$AE$40,$T1935)&gt;0,"NAO","SIM"))</f>
        <v/>
      </c>
    </row>
    <row r="1936" ht="12.75" customHeight="1" s="60">
      <c r="A1936" s="59" t="n">
        <v>1</v>
      </c>
      <c r="B1936" s="75" t="n">
        <v>46226</v>
      </c>
      <c r="C1936" s="75" t="n">
        <v>46246</v>
      </c>
      <c r="D1936" s="59" t="n">
        <v>1402</v>
      </c>
      <c r="E1936" s="59" t="inlineStr">
        <is>
          <t>TRIPLASTIK COMERCIAL</t>
        </is>
      </c>
      <c r="F1936" s="59" t="n">
        <v>24</v>
      </c>
      <c r="G1936" s="59" t="inlineStr">
        <is>
          <t>Compra a Prazo - Boletos</t>
        </is>
      </c>
      <c r="H1936" s="59" t="n">
        <v>2110405</v>
      </c>
      <c r="I1936" s="59" t="inlineStr">
        <is>
          <t>CONTAS A PAGAR</t>
        </is>
      </c>
      <c r="J1936" s="59" t="n">
        <v>1439699</v>
      </c>
      <c r="L1936" s="59" t="n">
        <v>3899</v>
      </c>
      <c r="M1936" s="59" t="inlineStr">
        <is>
          <t>01</t>
        </is>
      </c>
      <c r="N1936" s="59" t="inlineStr">
        <is>
          <t>AVU</t>
        </is>
      </c>
      <c r="P1936" s="59" t="n">
        <v>103</v>
      </c>
      <c r="Q1936" s="59" t="inlineStr">
        <is>
          <t>MILKA FRANCIS</t>
        </is>
      </c>
      <c r="R1936" s="59" t="inlineStr">
        <is>
          <t>DESPESAS OPERACIONAIS</t>
        </is>
      </c>
      <c r="S1936" s="59" t="n">
        <v>4210299</v>
      </c>
      <c r="T1936" s="59" t="inlineStr">
        <is>
          <t>DESPESA DE VENDA</t>
        </is>
      </c>
      <c r="U1936" s="77" t="n">
        <v>1478.5</v>
      </c>
      <c r="W1936" s="59" t="n">
        <v>1478.5</v>
      </c>
      <c r="X1936" s="59" t="inlineStr">
        <is>
          <t xml:space="preserve">NF3899 USO E CONSUMO VENDA/ SACO PAPEL/SACOLA PLASTICA - MILKA </t>
        </is>
      </c>
      <c r="Z1936" s="59">
        <f>IF($T1936="","",IFERROR(INDEX('Resumo Grupos'!$AC$3:$AC$200,MATCH($T1936,'Resumo Grupos'!$AB$3:$AB$200,0)),"n/d"))</f>
        <v/>
      </c>
      <c r="AA1936" s="59">
        <f>IF($T1936="","",IF(COUNTIF('Resumo Grupos'!$AE$3:$AE$40,$T1936)&gt;0,"NAO","SIM"))</f>
        <v/>
      </c>
    </row>
    <row r="1937" ht="12.75" customHeight="1" s="60">
      <c r="A1937" s="59" t="n">
        <v>1</v>
      </c>
      <c r="B1937" s="75" t="n">
        <v>46226</v>
      </c>
      <c r="C1937" s="75" t="n">
        <v>46246</v>
      </c>
      <c r="D1937" s="59" t="n">
        <v>1745</v>
      </c>
      <c r="E1937" s="59" t="inlineStr">
        <is>
          <t>TRES CORACOES ALIMENTOS S.A.</t>
        </is>
      </c>
      <c r="F1937" s="59" t="n">
        <v>24</v>
      </c>
      <c r="G1937" s="59" t="inlineStr">
        <is>
          <t>Compra a Prazo - Boletos</t>
        </is>
      </c>
      <c r="H1937" s="59" t="n">
        <v>2110405</v>
      </c>
      <c r="I1937" s="59" t="inlineStr">
        <is>
          <t>CONTAS A PAGAR</t>
        </is>
      </c>
      <c r="J1937" s="59" t="n">
        <v>1440158</v>
      </c>
      <c r="L1937" s="59" t="n">
        <v>353326</v>
      </c>
      <c r="M1937" s="59" t="inlineStr">
        <is>
          <t>02</t>
        </is>
      </c>
      <c r="N1937" s="59" t="inlineStr">
        <is>
          <t>AVU</t>
        </is>
      </c>
      <c r="P1937" s="59" t="n">
        <v>103</v>
      </c>
      <c r="Q1937" s="59" t="inlineStr">
        <is>
          <t>MILKA FRANCIS</t>
        </is>
      </c>
      <c r="R1937" s="59" t="inlineStr">
        <is>
          <t>ESTOQUE DE MERCADORIAS</t>
        </is>
      </c>
      <c r="S1937" s="59" t="n">
        <v>1130101</v>
      </c>
      <c r="T1937" s="59" t="inlineStr">
        <is>
          <t>MERCADORIAS P/REVENDA</t>
        </is>
      </c>
      <c r="U1937" s="77" t="n">
        <v>2063.42</v>
      </c>
      <c r="W1937" s="59" t="n">
        <v>2063.42</v>
      </c>
      <c r="X1937" s="59" t="inlineStr">
        <is>
          <t>NF353326-02 MILKA</t>
        </is>
      </c>
      <c r="Z1937" s="59">
        <f>IF($T1937="","",IFERROR(INDEX('Resumo Grupos'!$AC$3:$AC$200,MATCH($T1937,'Resumo Grupos'!$AB$3:$AB$200,0)),"n/d"))</f>
        <v/>
      </c>
      <c r="AA1937" s="59">
        <f>IF($T1937="","",IF(COUNTIF('Resumo Grupos'!$AE$3:$AE$40,$T1937)&gt;0,"NAO","SIM"))</f>
        <v/>
      </c>
    </row>
    <row r="1938" ht="12.75" customHeight="1" s="60">
      <c r="A1938" s="59" t="n">
        <v>1</v>
      </c>
      <c r="B1938" s="75" t="n">
        <v>46227</v>
      </c>
      <c r="C1938" s="75" t="n">
        <v>46246</v>
      </c>
      <c r="D1938" s="59" t="n">
        <v>1624</v>
      </c>
      <c r="E1938" s="59" t="inlineStr">
        <is>
          <t>RISADINHA LTDA</t>
        </is>
      </c>
      <c r="F1938" s="59" t="n">
        <v>24</v>
      </c>
      <c r="G1938" s="59" t="inlineStr">
        <is>
          <t>Compra a Prazo - Boletos</t>
        </is>
      </c>
      <c r="H1938" s="59" t="n">
        <v>2110405</v>
      </c>
      <c r="I1938" s="59" t="inlineStr">
        <is>
          <t>CONTAS A PAGAR</t>
        </is>
      </c>
      <c r="J1938" s="59" t="n">
        <v>1443647</v>
      </c>
      <c r="L1938" s="59" t="n">
        <v>665164</v>
      </c>
      <c r="M1938" s="59" t="inlineStr">
        <is>
          <t>01</t>
        </is>
      </c>
      <c r="N1938" s="59" t="inlineStr">
        <is>
          <t>AVU</t>
        </is>
      </c>
      <c r="P1938" s="59" t="n">
        <v>103</v>
      </c>
      <c r="Q1938" s="59" t="inlineStr">
        <is>
          <t>MILKA FRANCIS</t>
        </is>
      </c>
      <c r="R1938" s="59" t="inlineStr">
        <is>
          <t>ESTOQUE DE MERCADORIAS</t>
        </is>
      </c>
      <c r="S1938" s="59" t="n">
        <v>1130101</v>
      </c>
      <c r="T1938" s="59" t="inlineStr">
        <is>
          <t>MERCADORIAS P/REVENDA</t>
        </is>
      </c>
      <c r="U1938" s="77" t="n">
        <v>853.9</v>
      </c>
      <c r="W1938" s="59" t="n">
        <v>853.9</v>
      </c>
      <c r="X1938" s="59" t="inlineStr">
        <is>
          <t>NF 665164 -1 MILKA</t>
        </is>
      </c>
      <c r="Z1938" s="59">
        <f>IF($T1938="","",IFERROR(INDEX('Resumo Grupos'!$AC$3:$AC$200,MATCH($T1938,'Resumo Grupos'!$AB$3:$AB$200,0)),"n/d"))</f>
        <v/>
      </c>
      <c r="AA1938" s="59">
        <f>IF($T1938="","",IF(COUNTIF('Resumo Grupos'!$AE$3:$AE$40,$T1938)&gt;0,"NAO","SIM"))</f>
        <v/>
      </c>
    </row>
    <row r="1939" ht="12.75" customHeight="1" s="60">
      <c r="A1939" s="59" t="n">
        <v>1</v>
      </c>
      <c r="B1939" s="75" t="n">
        <v>46227</v>
      </c>
      <c r="C1939" s="75" t="n">
        <v>46246</v>
      </c>
      <c r="D1939" s="59" t="n">
        <v>1613</v>
      </c>
      <c r="E1939" s="59" t="inlineStr">
        <is>
          <t>BRF S A</t>
        </is>
      </c>
      <c r="F1939" s="59" t="n">
        <v>24</v>
      </c>
      <c r="G1939" s="59" t="inlineStr">
        <is>
          <t>Compra a Prazo - Boletos</t>
        </is>
      </c>
      <c r="H1939" s="59" t="n">
        <v>2110405</v>
      </c>
      <c r="I1939" s="59" t="inlineStr">
        <is>
          <t>CONTAS A PAGAR</t>
        </is>
      </c>
      <c r="J1939" s="59" t="n">
        <v>1443677</v>
      </c>
      <c r="L1939" s="59" t="n">
        <v>1611343</v>
      </c>
      <c r="M1939" s="59" t="inlineStr">
        <is>
          <t>02</t>
        </is>
      </c>
      <c r="N1939" s="59" t="inlineStr">
        <is>
          <t>AVU</t>
        </is>
      </c>
      <c r="P1939" s="59" t="n">
        <v>103</v>
      </c>
      <c r="Q1939" s="59" t="inlineStr">
        <is>
          <t>MILKA FRANCIS</t>
        </is>
      </c>
      <c r="R1939" s="59" t="inlineStr">
        <is>
          <t>ESTOQUE DE MERCADORIAS</t>
        </is>
      </c>
      <c r="S1939" s="59" t="n">
        <v>1130101</v>
      </c>
      <c r="T1939" s="59" t="inlineStr">
        <is>
          <t>MERCADORIAS P/REVENDA</t>
        </is>
      </c>
      <c r="U1939" s="77" t="n">
        <v>447.25</v>
      </c>
      <c r="W1939" s="59" t="n">
        <v>447.25</v>
      </c>
      <c r="X1939" s="59" t="inlineStr">
        <is>
          <t>NF 1611343-02/02 MILKA</t>
        </is>
      </c>
      <c r="Z1939" s="59">
        <f>IF($T1939="","",IFERROR(INDEX('Resumo Grupos'!$AC$3:$AC$200,MATCH($T1939,'Resumo Grupos'!$AB$3:$AB$200,0)),"n/d"))</f>
        <v/>
      </c>
      <c r="AA1939" s="59">
        <f>IF($T1939="","",IF(COUNTIF('Resumo Grupos'!$AE$3:$AE$40,$T1939)&gt;0,"NAO","SIM"))</f>
        <v/>
      </c>
    </row>
    <row r="1940" ht="12.75" customHeight="1" s="60">
      <c r="A1940" s="59" t="n">
        <v>1</v>
      </c>
      <c r="B1940" s="75" t="n">
        <v>46228</v>
      </c>
      <c r="C1940" s="75" t="n">
        <v>46246</v>
      </c>
      <c r="D1940" s="59" t="n">
        <v>1636</v>
      </c>
      <c r="E1940" s="59" t="inlineStr">
        <is>
          <t>DUNORTE DISTRIBUIDORA DE PRODUTOS DE CONSUMO LTDA</t>
        </is>
      </c>
      <c r="F1940" s="59" t="n">
        <v>24</v>
      </c>
      <c r="G1940" s="59" t="inlineStr">
        <is>
          <t>Compra a Prazo - Boletos</t>
        </is>
      </c>
      <c r="H1940" s="59" t="n">
        <v>2110405</v>
      </c>
      <c r="I1940" s="59" t="inlineStr">
        <is>
          <t>CONTAS A PAGAR</t>
        </is>
      </c>
      <c r="J1940" s="59" t="n">
        <v>1449938</v>
      </c>
      <c r="L1940" s="59" t="n">
        <v>3223292</v>
      </c>
      <c r="M1940" s="59" t="inlineStr">
        <is>
          <t>01</t>
        </is>
      </c>
      <c r="N1940" s="59" t="inlineStr">
        <is>
          <t>AVU</t>
        </is>
      </c>
      <c r="P1940" s="59" t="n">
        <v>103</v>
      </c>
      <c r="Q1940" s="59" t="inlineStr">
        <is>
          <t>MILKA FRANCIS</t>
        </is>
      </c>
      <c r="R1940" s="59" t="inlineStr">
        <is>
          <t>ESTOQUE DE MERCADORIAS</t>
        </is>
      </c>
      <c r="S1940" s="59" t="n">
        <v>1130101</v>
      </c>
      <c r="T1940" s="59" t="inlineStr">
        <is>
          <t>MERCADORIAS P/REVENDA</t>
        </is>
      </c>
      <c r="U1940" s="77" t="n">
        <v>1641.4</v>
      </c>
      <c r="W1940" s="59" t="n">
        <v>1641.4</v>
      </c>
      <c r="X1940" s="59" t="inlineStr">
        <is>
          <t>NF 3223292-1 MILKA</t>
        </is>
      </c>
      <c r="Z1940" s="59">
        <f>IF($T1940="","",IFERROR(INDEX('Resumo Grupos'!$AC$3:$AC$200,MATCH($T1940,'Resumo Grupos'!$AB$3:$AB$200,0)),"n/d"))</f>
        <v/>
      </c>
      <c r="AA1940" s="59">
        <f>IF($T1940="","",IF(COUNTIF('Resumo Grupos'!$AE$3:$AE$40,$T1940)&gt;0,"NAO","SIM"))</f>
        <v/>
      </c>
    </row>
    <row r="1941" ht="12.75" customHeight="1" s="60">
      <c r="A1941" s="59" t="n">
        <v>1</v>
      </c>
      <c r="B1941" s="75" t="n">
        <v>46235</v>
      </c>
      <c r="C1941" s="75" t="n">
        <v>46246</v>
      </c>
      <c r="D1941" s="59" t="n">
        <v>1613</v>
      </c>
      <c r="E1941" s="59" t="inlineStr">
        <is>
          <t>BRF S A</t>
        </is>
      </c>
      <c r="F1941" s="59" t="n">
        <v>24</v>
      </c>
      <c r="G1941" s="59" t="inlineStr">
        <is>
          <t>Compra a Prazo - Boletos</t>
        </is>
      </c>
      <c r="H1941" s="59" t="n">
        <v>2110405</v>
      </c>
      <c r="I1941" s="59" t="inlineStr">
        <is>
          <t>CONTAS A PAGAR</t>
        </is>
      </c>
      <c r="J1941" s="59" t="n">
        <v>1482290</v>
      </c>
      <c r="L1941" s="59" t="n">
        <v>1614419</v>
      </c>
      <c r="M1941" s="59" t="inlineStr">
        <is>
          <t>01</t>
        </is>
      </c>
      <c r="N1941" s="59" t="inlineStr">
        <is>
          <t>AVU</t>
        </is>
      </c>
      <c r="P1941" s="59" t="n">
        <v>103</v>
      </c>
      <c r="Q1941" s="59" t="inlineStr">
        <is>
          <t>MILKA FRANCIS</t>
        </is>
      </c>
      <c r="R1941" s="59" t="inlineStr">
        <is>
          <t>ESTOQUE DE MERCADORIAS</t>
        </is>
      </c>
      <c r="S1941" s="59" t="n">
        <v>1130101</v>
      </c>
      <c r="T1941" s="59" t="inlineStr">
        <is>
          <t>MERCADORIAS P/REVENDA</t>
        </is>
      </c>
      <c r="U1941" s="77" t="n">
        <v>1798.15</v>
      </c>
      <c r="W1941" s="59" t="n">
        <v>1798.15</v>
      </c>
      <c r="X1941" s="59" t="inlineStr">
        <is>
          <t>NF 1614419-1 DESCONTO NO BOLETO - MILKA</t>
        </is>
      </c>
      <c r="Z1941" s="59">
        <f>IF($T1941="","",IFERROR(INDEX('Resumo Grupos'!$AC$3:$AC$200,MATCH($T1941,'Resumo Grupos'!$AB$3:$AB$200,0)),"n/d"))</f>
        <v/>
      </c>
      <c r="AA1941" s="59">
        <f>IF($T1941="","",IF(COUNTIF('Resumo Grupos'!$AE$3:$AE$40,$T1941)&gt;0,"NAO","SIM"))</f>
        <v/>
      </c>
    </row>
    <row r="1942" ht="12.75" customHeight="1" s="60">
      <c r="A1942" s="59" t="n">
        <v>1</v>
      </c>
      <c r="B1942" s="75" t="n">
        <v>46240</v>
      </c>
      <c r="C1942" s="75" t="n">
        <v>46246</v>
      </c>
      <c r="D1942" s="59" t="n">
        <v>1123</v>
      </c>
      <c r="E1942" s="59" t="inlineStr">
        <is>
          <t>NORTELAC DISTRIBUIDORA DE FRIOS LTDA</t>
        </is>
      </c>
      <c r="F1942" s="59" t="n">
        <v>24</v>
      </c>
      <c r="G1942" s="59" t="inlineStr">
        <is>
          <t>Compra a Prazo - Boletos</t>
        </is>
      </c>
      <c r="H1942" s="59" t="n">
        <v>2110405</v>
      </c>
      <c r="I1942" s="59" t="inlineStr">
        <is>
          <t>CONTAS A PAGAR</t>
        </is>
      </c>
      <c r="J1942" s="59" t="n">
        <v>1508498</v>
      </c>
      <c r="L1942" s="59" t="n">
        <v>45442</v>
      </c>
      <c r="M1942" s="59" t="inlineStr">
        <is>
          <t>01</t>
        </is>
      </c>
      <c r="N1942" s="59" t="inlineStr">
        <is>
          <t>AVU</t>
        </is>
      </c>
      <c r="P1942" s="59" t="n">
        <v>103</v>
      </c>
      <c r="Q1942" s="59" t="inlineStr">
        <is>
          <t>MILKA FRANCIS</t>
        </is>
      </c>
      <c r="R1942" s="59" t="inlineStr">
        <is>
          <t>ESTOQUE DE MERCADORIAS</t>
        </is>
      </c>
      <c r="S1942" s="59" t="n">
        <v>1130101</v>
      </c>
      <c r="T1942" s="59" t="inlineStr">
        <is>
          <t>MERCADORIAS P/REVENDA</t>
        </is>
      </c>
      <c r="U1942" s="77" t="n">
        <v>1380</v>
      </c>
      <c r="W1942" s="59" t="n">
        <v>1380</v>
      </c>
      <c r="X1942" s="59" t="inlineStr">
        <is>
          <t>NF 45442 - MILKA</t>
        </is>
      </c>
      <c r="Z1942" s="59">
        <f>IF($T1942="","",IFERROR(INDEX('Resumo Grupos'!$AC$3:$AC$200,MATCH($T1942,'Resumo Grupos'!$AB$3:$AB$200,0)),"n/d"))</f>
        <v/>
      </c>
      <c r="AA1942" s="59">
        <f>IF($T1942="","",IF(COUNTIF('Resumo Grupos'!$AE$3:$AE$40,$T1942)&gt;0,"NAO","SIM"))</f>
        <v/>
      </c>
    </row>
    <row r="1943" ht="12.75" customHeight="1" s="60">
      <c r="A1943" s="59" t="n">
        <v>1</v>
      </c>
      <c r="B1943" s="75" t="n">
        <v>46240</v>
      </c>
      <c r="C1943" s="75" t="n">
        <v>46246</v>
      </c>
      <c r="D1943" s="59" t="n">
        <v>1024</v>
      </c>
      <c r="E1943" s="59" t="inlineStr">
        <is>
          <t>REAL BEBIDAS DA AMAZONIA LTDA</t>
        </is>
      </c>
      <c r="F1943" s="59" t="n">
        <v>24</v>
      </c>
      <c r="G1943" s="59" t="inlineStr">
        <is>
          <t>Compra a Prazo - Boletos</t>
        </is>
      </c>
      <c r="H1943" s="59" t="n">
        <v>2110405</v>
      </c>
      <c r="I1943" s="59" t="inlineStr">
        <is>
          <t>CONTAS A PAGAR</t>
        </is>
      </c>
      <c r="J1943" s="59" t="n">
        <v>1508619</v>
      </c>
      <c r="L1943" s="59" t="n">
        <v>615120</v>
      </c>
      <c r="M1943" s="59" t="inlineStr">
        <is>
          <t>01</t>
        </is>
      </c>
      <c r="N1943" s="59" t="inlineStr">
        <is>
          <t>AVU</t>
        </is>
      </c>
      <c r="P1943" s="59" t="n">
        <v>103</v>
      </c>
      <c r="Q1943" s="59" t="inlineStr">
        <is>
          <t>MILKA FRANCIS</t>
        </is>
      </c>
      <c r="R1943" s="59" t="inlineStr">
        <is>
          <t>ESTOQUE DE MERCADORIAS</t>
        </is>
      </c>
      <c r="S1943" s="59" t="n">
        <v>1130101</v>
      </c>
      <c r="T1943" s="59" t="inlineStr">
        <is>
          <t>MERCADORIAS P/REVENDA</t>
        </is>
      </c>
      <c r="U1943" s="77" t="n">
        <v>630</v>
      </c>
      <c r="W1943" s="59" t="n">
        <v>630</v>
      </c>
      <c r="X1943" s="59" t="inlineStr">
        <is>
          <t>NF 615120 - MILKA</t>
        </is>
      </c>
      <c r="Z1943" s="59">
        <f>IF($T1943="","",IFERROR(INDEX('Resumo Grupos'!$AC$3:$AC$200,MATCH($T1943,'Resumo Grupos'!$AB$3:$AB$200,0)),"n/d"))</f>
        <v/>
      </c>
      <c r="AA1943" s="59">
        <f>IF($T1943="","",IF(COUNTIF('Resumo Grupos'!$AE$3:$AE$40,$T1943)&gt;0,"NAO","SIM"))</f>
        <v/>
      </c>
    </row>
    <row r="1944" ht="12.75" customHeight="1" s="60">
      <c r="A1944" s="59" t="n">
        <v>1</v>
      </c>
      <c r="B1944" s="75" t="n">
        <v>46240</v>
      </c>
      <c r="C1944" s="75" t="n">
        <v>46246</v>
      </c>
      <c r="D1944" s="59" t="n">
        <v>33</v>
      </c>
      <c r="E1944" s="59" t="inlineStr">
        <is>
          <t>RENATO DE O AZEVEDO E CIA LTDA - EPP</t>
        </is>
      </c>
      <c r="F1944" s="59" t="n">
        <v>34</v>
      </c>
      <c r="G1944" s="59" t="inlineStr">
        <is>
          <t>Transferencia Pix</t>
        </is>
      </c>
      <c r="H1944" s="59" t="n">
        <v>2110101</v>
      </c>
      <c r="I1944" s="59" t="inlineStr">
        <is>
          <t>FORNECEDORES DE MERCADORIA</t>
        </is>
      </c>
      <c r="J1944" s="59" t="n">
        <v>1509125</v>
      </c>
      <c r="L1944" s="59" t="n">
        <v>5441</v>
      </c>
      <c r="M1944" s="59" t="inlineStr">
        <is>
          <t>01</t>
        </is>
      </c>
      <c r="N1944" s="59" t="inlineStr">
        <is>
          <t>NFE</t>
        </is>
      </c>
      <c r="P1944" s="59" t="n">
        <v>103</v>
      </c>
      <c r="Q1944" s="59" t="inlineStr">
        <is>
          <t>MILKA FRANCIS</t>
        </is>
      </c>
      <c r="R1944" s="59" t="inlineStr">
        <is>
          <t>ESTOQUE DE MERCADORIAS</t>
        </is>
      </c>
      <c r="S1944" s="59" t="n">
        <v>1130101</v>
      </c>
      <c r="T1944" s="59" t="inlineStr">
        <is>
          <t>MERCADORIAS P/REVENDA</t>
        </is>
      </c>
      <c r="U1944" s="77" t="n">
        <v>1800</v>
      </c>
      <c r="W1944" s="59" t="n">
        <v>1800</v>
      </c>
      <c r="X1944" s="59" t="inlineStr">
        <is>
          <t>PGTO P/ JULIETE / 92985524785 SANTANDER - MILKA</t>
        </is>
      </c>
      <c r="Z1944" s="59">
        <f>IF($T1944="","",IFERROR(INDEX('Resumo Grupos'!$AC$3:$AC$200,MATCH($T1944,'Resumo Grupos'!$AB$3:$AB$200,0)),"n/d"))</f>
        <v/>
      </c>
      <c r="AA1944" s="59">
        <f>IF($T1944="","",IF(COUNTIF('Resumo Grupos'!$AE$3:$AE$40,$T1944)&gt;0,"NAO","SIM"))</f>
        <v/>
      </c>
    </row>
    <row r="1945" ht="12.75" customHeight="1" s="60">
      <c r="A1945" s="59" t="n">
        <v>1</v>
      </c>
      <c r="B1945" s="75" t="n">
        <v>46241</v>
      </c>
      <c r="C1945" s="75" t="n">
        <v>46246</v>
      </c>
      <c r="D1945" s="59" t="n">
        <v>887</v>
      </c>
      <c r="E1945" s="59" t="inlineStr">
        <is>
          <t>INTLINK TECNOLOGIA LTDA</t>
        </is>
      </c>
      <c r="F1945" s="59" t="n">
        <v>24</v>
      </c>
      <c r="G1945" s="59" t="inlineStr">
        <is>
          <t>Compra a Prazo - Boletos</t>
        </is>
      </c>
      <c r="H1945" s="59" t="n">
        <v>2110405</v>
      </c>
      <c r="I1945" s="59" t="inlineStr">
        <is>
          <t>CONTAS A PAGAR</t>
        </is>
      </c>
      <c r="J1945" s="59" t="n">
        <v>1514434</v>
      </c>
      <c r="L1945" s="59" t="n">
        <v>620151</v>
      </c>
      <c r="M1945" s="59" t="inlineStr">
        <is>
          <t>01</t>
        </is>
      </c>
      <c r="N1945" s="59" t="inlineStr">
        <is>
          <t>AVU</t>
        </is>
      </c>
      <c r="P1945" s="59" t="n">
        <v>101</v>
      </c>
      <c r="Q1945" s="59" t="inlineStr">
        <is>
          <t>KEILA LIMA</t>
        </is>
      </c>
      <c r="R1945" s="59" t="inlineStr">
        <is>
          <t>DESPESAS COM PESSOAL</t>
        </is>
      </c>
      <c r="S1945" s="59" t="n">
        <v>4210315</v>
      </c>
      <c r="T1945" s="59" t="inlineStr">
        <is>
          <t>INTERNET</t>
        </is>
      </c>
      <c r="U1945" s="77" t="n">
        <v>199.8</v>
      </c>
      <c r="W1945" s="59" t="n">
        <v>199.8</v>
      </c>
      <c r="X1945" s="59" t="inlineStr">
        <is>
          <t>MENSALIDADE INTERNET MO1 - KEILA</t>
        </is>
      </c>
      <c r="Z1945" s="59">
        <f>IF($T1945="","",IFERROR(INDEX('Resumo Grupos'!$AC$3:$AC$200,MATCH($T1945,'Resumo Grupos'!$AB$3:$AB$200,0)),"n/d"))</f>
        <v/>
      </c>
      <c r="AA1945" s="59">
        <f>IF($T1945="","",IF(COUNTIF('Resumo Grupos'!$AE$3:$AE$40,$T1945)&gt;0,"NAO","SIM"))</f>
        <v/>
      </c>
    </row>
    <row r="1946" ht="12.75" customHeight="1" s="60">
      <c r="A1946" s="59" t="n">
        <v>1</v>
      </c>
      <c r="B1946" s="75" t="n">
        <v>46245</v>
      </c>
      <c r="C1946" s="75" t="n">
        <v>46246</v>
      </c>
      <c r="D1946" s="59" t="n">
        <v>33</v>
      </c>
      <c r="E1946" s="59" t="inlineStr">
        <is>
          <t>RENATO DE O AZEVEDO E CIA LTDA - EPP</t>
        </is>
      </c>
      <c r="F1946" s="59" t="n">
        <v>34</v>
      </c>
      <c r="G1946" s="59" t="inlineStr">
        <is>
          <t>Transferencia Pix</t>
        </is>
      </c>
      <c r="H1946" s="59" t="n">
        <v>2110101</v>
      </c>
      <c r="I1946" s="59" t="inlineStr">
        <is>
          <t>FORNECEDORES DE MERCADORIA</t>
        </is>
      </c>
      <c r="J1946" s="59" t="n">
        <v>1532676</v>
      </c>
      <c r="L1946" s="59" t="n">
        <v>5466</v>
      </c>
      <c r="M1946" s="59" t="inlineStr">
        <is>
          <t>01</t>
        </is>
      </c>
      <c r="N1946" s="59" t="inlineStr">
        <is>
          <t>NFE</t>
        </is>
      </c>
      <c r="P1946" s="59" t="n">
        <v>104</v>
      </c>
      <c r="Q1946" s="59" t="inlineStr">
        <is>
          <t>DEBORA COSTA</t>
        </is>
      </c>
      <c r="R1946" s="59" t="inlineStr">
        <is>
          <t>ESTOQUE DE MERCADORIAS</t>
        </is>
      </c>
      <c r="S1946" s="59" t="n">
        <v>1130101</v>
      </c>
      <c r="T1946" s="59" t="inlineStr">
        <is>
          <t>MERCADORIAS P/REVENDA</t>
        </is>
      </c>
      <c r="U1946" s="77" t="n">
        <v>695</v>
      </c>
      <c r="W1946" s="59" t="n">
        <v>695</v>
      </c>
      <c r="X1946" s="59" t="inlineStr">
        <is>
          <t>FEIRA CARLOS - DEBORA</t>
        </is>
      </c>
      <c r="Z1946" s="59">
        <f>IF($T1946="","",IFERROR(INDEX('Resumo Grupos'!$AC$3:$AC$200,MATCH($T1946,'Resumo Grupos'!$AB$3:$AB$200,0)),"n/d"))</f>
        <v/>
      </c>
      <c r="AA1946" s="59">
        <f>IF($T1946="","",IF(COUNTIF('Resumo Grupos'!$AE$3:$AE$40,$T1946)&gt;0,"NAO","SIM"))</f>
        <v/>
      </c>
    </row>
    <row r="1947" ht="12.75" customHeight="1" s="60">
      <c r="A1947" s="59" t="n">
        <v>1</v>
      </c>
      <c r="B1947" s="75" t="n">
        <v>46245</v>
      </c>
      <c r="C1947" s="75" t="n">
        <v>46246</v>
      </c>
      <c r="D1947" s="59" t="n">
        <v>33</v>
      </c>
      <c r="E1947" s="59" t="inlineStr">
        <is>
          <t>RENATO DE O AZEVEDO E CIA LTDA - EPP</t>
        </is>
      </c>
      <c r="F1947" s="59" t="n">
        <v>34</v>
      </c>
      <c r="G1947" s="59" t="inlineStr">
        <is>
          <t>Transferencia Pix</t>
        </is>
      </c>
      <c r="H1947" s="59" t="n">
        <v>2110405</v>
      </c>
      <c r="I1947" s="59" t="inlineStr">
        <is>
          <t>CONTAS A PAGAR</t>
        </is>
      </c>
      <c r="J1947" s="59" t="n">
        <v>1532715</v>
      </c>
      <c r="L1947" s="59" t="n">
        <v>626515</v>
      </c>
      <c r="M1947" s="59" t="inlineStr">
        <is>
          <t>01</t>
        </is>
      </c>
      <c r="N1947" s="59" t="inlineStr">
        <is>
          <t>AVU</t>
        </is>
      </c>
      <c r="P1947" s="59" t="n">
        <v>104</v>
      </c>
      <c r="Q1947" s="59" t="inlineStr">
        <is>
          <t>DEBORA COSTA</t>
        </is>
      </c>
      <c r="R1947" s="59" t="inlineStr">
        <is>
          <t>ESTOQUE DE MERCADORIAS</t>
        </is>
      </c>
      <c r="S1947" s="59" t="n">
        <v>1130101</v>
      </c>
      <c r="T1947" s="59" t="inlineStr">
        <is>
          <t>MERCADORIAS P/REVENDA</t>
        </is>
      </c>
      <c r="U1947" s="77" t="n">
        <v>160</v>
      </c>
      <c r="W1947" s="59" t="n">
        <v>160</v>
      </c>
      <c r="X1947" s="59" t="inlineStr">
        <is>
          <t>FEIRA CARLOS - CAMARAO COM E SEM CASCA - DEBORA</t>
        </is>
      </c>
      <c r="Z1947" s="59">
        <f>IF($T1947="","",IFERROR(INDEX('Resumo Grupos'!$AC$3:$AC$200,MATCH($T1947,'Resumo Grupos'!$AB$3:$AB$200,0)),"n/d"))</f>
        <v/>
      </c>
      <c r="AA1947" s="59">
        <f>IF($T1947="","",IF(COUNTIF('Resumo Grupos'!$AE$3:$AE$40,$T1947)&gt;0,"NAO","SIM"))</f>
        <v/>
      </c>
    </row>
    <row r="1948" ht="12.75" customHeight="1" s="60">
      <c r="A1948" s="59" t="n">
        <v>1</v>
      </c>
      <c r="B1948" s="75" t="n">
        <v>46245</v>
      </c>
      <c r="C1948" s="75" t="n">
        <v>46246</v>
      </c>
      <c r="D1948" s="59" t="n">
        <v>1615</v>
      </c>
      <c r="E1948" s="59" t="inlineStr">
        <is>
          <t>COMERCIO E TRANSPORTE BRANDAO LTDA</t>
        </is>
      </c>
      <c r="F1948" s="59" t="n">
        <v>34</v>
      </c>
      <c r="G1948" s="59" t="inlineStr">
        <is>
          <t>Transferencia Pix</t>
        </is>
      </c>
      <c r="H1948" s="59" t="n">
        <v>2110101</v>
      </c>
      <c r="I1948" s="59" t="inlineStr">
        <is>
          <t>FORNECEDORES DE MERCADORIA</t>
        </is>
      </c>
      <c r="J1948" s="59" t="n">
        <v>1532725</v>
      </c>
      <c r="L1948" s="59" t="n">
        <v>15076</v>
      </c>
      <c r="M1948" s="59" t="inlineStr">
        <is>
          <t>01</t>
        </is>
      </c>
      <c r="N1948" s="59" t="inlineStr">
        <is>
          <t>NFE</t>
        </is>
      </c>
      <c r="P1948" s="59" t="n">
        <v>104</v>
      </c>
      <c r="Q1948" s="59" t="inlineStr">
        <is>
          <t>DEBORA COSTA</t>
        </is>
      </c>
      <c r="R1948" s="59" t="inlineStr">
        <is>
          <t>ESTOQUE DE MERCADORIAS</t>
        </is>
      </c>
      <c r="S1948" s="59" t="n">
        <v>1130101</v>
      </c>
      <c r="T1948" s="59" t="inlineStr">
        <is>
          <t>MERCADORIAS P/REVENDA</t>
        </is>
      </c>
      <c r="U1948" s="77" t="n">
        <v>470</v>
      </c>
      <c r="W1948" s="59" t="n">
        <v>470</v>
      </c>
      <c r="X1948" s="59" t="inlineStr">
        <is>
          <t>NF 15076 - DEBORA</t>
        </is>
      </c>
      <c r="Z1948" s="59">
        <f>IF($T1948="","",IFERROR(INDEX('Resumo Grupos'!$AC$3:$AC$200,MATCH($T1948,'Resumo Grupos'!$AB$3:$AB$200,0)),"n/d"))</f>
        <v/>
      </c>
      <c r="AA1948" s="59">
        <f>IF($T1948="","",IF(COUNTIF('Resumo Grupos'!$AE$3:$AE$40,$T1948)&gt;0,"NAO","SIM"))</f>
        <v/>
      </c>
    </row>
    <row r="1949" ht="12.75" customHeight="1" s="60">
      <c r="A1949" s="59" t="n">
        <v>1</v>
      </c>
      <c r="B1949" s="75" t="n">
        <v>46246</v>
      </c>
      <c r="C1949" s="75" t="n">
        <v>46246</v>
      </c>
      <c r="D1949" s="59" t="n">
        <v>10003</v>
      </c>
      <c r="E1949" s="59" t="inlineStr">
        <is>
          <t>CARTAO DE TODOS ADMINISTRADORA DE CARTAO LTDA</t>
        </is>
      </c>
      <c r="F1949" s="59" t="n">
        <v>34</v>
      </c>
      <c r="G1949" s="59" t="inlineStr">
        <is>
          <t>Transferencia Pix</t>
        </is>
      </c>
      <c r="H1949" s="59" t="n">
        <v>2110405</v>
      </c>
      <c r="I1949" s="59" t="inlineStr">
        <is>
          <t>CONTAS A PAGAR</t>
        </is>
      </c>
      <c r="J1949" s="59" t="n">
        <v>1534374</v>
      </c>
      <c r="L1949" s="59" t="n">
        <v>626909</v>
      </c>
      <c r="M1949" s="59" t="inlineStr">
        <is>
          <t>01</t>
        </is>
      </c>
      <c r="N1949" s="59" t="inlineStr">
        <is>
          <t>AVU</t>
        </is>
      </c>
      <c r="P1949" s="59" t="n">
        <v>101</v>
      </c>
      <c r="Q1949" s="59" t="inlineStr">
        <is>
          <t>KEILA LIMA</t>
        </is>
      </c>
      <c r="R1949" s="59" t="inlineStr">
        <is>
          <t>DESPESAS OPERACIONAIS</t>
        </is>
      </c>
      <c r="S1949" s="59" t="n">
        <v>4210299</v>
      </c>
      <c r="T1949" s="59" t="inlineStr">
        <is>
          <t>DESPESA DE VENDA</t>
        </is>
      </c>
      <c r="U1949" s="77" t="n">
        <v>99</v>
      </c>
      <c r="W1949" s="59" t="n">
        <v>99</v>
      </c>
      <c r="X1949" s="59" t="inlineStr">
        <is>
          <t>MENSALIDADE CASH BACK CARTAO DE TODOS - KEILA</t>
        </is>
      </c>
      <c r="Z1949" s="59">
        <f>IF($T1949="","",IFERROR(INDEX('Resumo Grupos'!$AC$3:$AC$200,MATCH($T1949,'Resumo Grupos'!$AB$3:$AB$200,0)),"n/d"))</f>
        <v/>
      </c>
      <c r="AA1949" s="59">
        <f>IF($T1949="","",IF(COUNTIF('Resumo Grupos'!$AE$3:$AE$40,$T1949)&gt;0,"NAO","SIM"))</f>
        <v/>
      </c>
    </row>
    <row r="1950" ht="12.75" customHeight="1" s="60">
      <c r="A1950" s="59" t="n">
        <v>1</v>
      </c>
      <c r="B1950" s="75" t="n">
        <v>46246</v>
      </c>
      <c r="C1950" s="75" t="n">
        <v>46246</v>
      </c>
      <c r="D1950" s="59" t="n">
        <v>17</v>
      </c>
      <c r="E1950" s="59" t="inlineStr">
        <is>
          <t>NEYLIANE SILVA DE OLIVEIRA</t>
        </is>
      </c>
      <c r="F1950" s="59" t="n">
        <v>24</v>
      </c>
      <c r="G1950" s="59" t="inlineStr">
        <is>
          <t>Compra a Prazo - Boletos</t>
        </is>
      </c>
      <c r="H1950" s="59" t="n">
        <v>2110405</v>
      </c>
      <c r="I1950" s="59" t="inlineStr">
        <is>
          <t>CONTAS A PAGAR</t>
        </is>
      </c>
      <c r="J1950" s="59" t="n">
        <v>1323809</v>
      </c>
      <c r="L1950" s="59" t="n">
        <v>548260</v>
      </c>
      <c r="M1950" s="59" t="inlineStr">
        <is>
          <t>02</t>
        </is>
      </c>
      <c r="N1950" s="59" t="inlineStr">
        <is>
          <t>AVU</t>
        </is>
      </c>
      <c r="P1950" s="59" t="n">
        <v>101</v>
      </c>
      <c r="Q1950" s="59" t="inlineStr">
        <is>
          <t>KEILA LIMA</t>
        </is>
      </c>
      <c r="R1950" s="59" t="inlineStr">
        <is>
          <t>DESPESAS NAO OPERACIONAIS</t>
        </is>
      </c>
      <c r="S1950" s="59" t="n">
        <v>4220199</v>
      </c>
      <c r="T1950" s="59" t="inlineStr">
        <is>
          <t>PAGAMENTOS OUTROS NAO OPERACIONAIS</t>
        </is>
      </c>
      <c r="U1950" s="77" t="n">
        <v>870.0599999999999</v>
      </c>
      <c r="W1950" s="59" t="n">
        <v>870.0599999999999</v>
      </c>
      <c r="X1950" s="59" t="inlineStr">
        <is>
          <t>PL NEILA ENERGIA - KEILA</t>
        </is>
      </c>
      <c r="Z1950" s="59">
        <f>IF($T1950="","",IFERROR(INDEX('Resumo Grupos'!$AC$3:$AC$200,MATCH($T1950,'Resumo Grupos'!$AB$3:$AB$200,0)),"n/d"))</f>
        <v/>
      </c>
      <c r="AA1950" s="59">
        <f>IF($T1950="","",IF(COUNTIF('Resumo Grupos'!$AE$3:$AE$40,$T1950)&gt;0,"NAO","SIM"))</f>
        <v/>
      </c>
    </row>
    <row r="1951" ht="12.75" customHeight="1" s="60">
      <c r="A1951" s="59" t="n">
        <v>1</v>
      </c>
      <c r="B1951" s="75" t="n">
        <v>46246</v>
      </c>
      <c r="C1951" s="75" t="n">
        <v>46246</v>
      </c>
      <c r="D1951" s="59" t="n">
        <v>514</v>
      </c>
      <c r="E1951" s="59" t="inlineStr">
        <is>
          <t>SANTANDER SA</t>
        </is>
      </c>
      <c r="F1951" s="59" t="n">
        <v>34</v>
      </c>
      <c r="G1951" s="59" t="inlineStr">
        <is>
          <t>Transferencia Pix</t>
        </is>
      </c>
      <c r="H1951" s="59" t="n">
        <v>2110405</v>
      </c>
      <c r="I1951" s="59" t="inlineStr">
        <is>
          <t>CONTAS A PAGAR</t>
        </is>
      </c>
      <c r="J1951" s="59" t="n">
        <v>1535102</v>
      </c>
      <c r="L1951" s="59" t="n">
        <v>627182</v>
      </c>
      <c r="M1951" s="59" t="inlineStr">
        <is>
          <t>01</t>
        </is>
      </c>
      <c r="N1951" s="59" t="inlineStr">
        <is>
          <t>AVU</t>
        </is>
      </c>
      <c r="P1951" s="59" t="n">
        <v>102</v>
      </c>
      <c r="Q1951" s="59" t="inlineStr">
        <is>
          <t>ANDREZA ANDRADE</t>
        </is>
      </c>
      <c r="R1951" s="59" t="inlineStr">
        <is>
          <t>DESPESAS FINANCEIRAS</t>
        </is>
      </c>
      <c r="S1951" s="59" t="n">
        <v>4210504</v>
      </c>
      <c r="T1951" s="59" t="inlineStr">
        <is>
          <t>DESPESAS BANCARIAS</t>
        </is>
      </c>
      <c r="U1951" s="77" t="n">
        <v>422</v>
      </c>
      <c r="W1951" s="59" t="n">
        <v>0</v>
      </c>
      <c r="X1951" s="59" t="inlineStr">
        <is>
          <t>tarifa mensalidade pacote serviços santander 1velho-andreza</t>
        </is>
      </c>
      <c r="Z1951" s="59">
        <f>IF($T1951="","",IFERROR(INDEX('Resumo Grupos'!$AC$3:$AC$200,MATCH($T1951,'Resumo Grupos'!$AB$3:$AB$200,0)),"n/d"))</f>
        <v/>
      </c>
      <c r="AA1951" s="59">
        <f>IF($T1951="","",IF(COUNTIF('Resumo Grupos'!$AE$3:$AE$40,$T1951)&gt;0,"NAO","SIM"))</f>
        <v/>
      </c>
    </row>
    <row r="1952" ht="12.75" customHeight="1" s="60">
      <c r="A1952" s="59" t="n">
        <v>1</v>
      </c>
      <c r="B1952" s="75" t="n">
        <v>46246</v>
      </c>
      <c r="C1952" s="75" t="n">
        <v>46246</v>
      </c>
      <c r="D1952" s="59" t="n">
        <v>514</v>
      </c>
      <c r="E1952" s="59" t="inlineStr">
        <is>
          <t>SANTANDER SA</t>
        </is>
      </c>
      <c r="F1952" s="59" t="n">
        <v>34</v>
      </c>
      <c r="G1952" s="59" t="inlineStr">
        <is>
          <t>Transferencia Pix</t>
        </is>
      </c>
      <c r="H1952" s="59" t="n">
        <v>2110405</v>
      </c>
      <c r="I1952" s="59" t="inlineStr">
        <is>
          <t>CONTAS A PAGAR</t>
        </is>
      </c>
      <c r="J1952" s="59" t="n">
        <v>1535103</v>
      </c>
      <c r="L1952" s="59" t="n">
        <v>627183</v>
      </c>
      <c r="M1952" s="59" t="inlineStr">
        <is>
          <t>01</t>
        </is>
      </c>
      <c r="N1952" s="59" t="inlineStr">
        <is>
          <t>AVU</t>
        </is>
      </c>
      <c r="P1952" s="59" t="n">
        <v>102</v>
      </c>
      <c r="Q1952" s="59" t="inlineStr">
        <is>
          <t>ANDREZA ANDRADE</t>
        </is>
      </c>
      <c r="R1952" s="59" t="inlineStr">
        <is>
          <t>DESPESAS NAO OPERACIONAIS</t>
        </is>
      </c>
      <c r="S1952" s="59" t="n">
        <v>4220199</v>
      </c>
      <c r="T1952" s="59" t="inlineStr">
        <is>
          <t>PAGAMENTOS OUTROS NAO OPERACIONAIS</t>
        </is>
      </c>
      <c r="U1952" s="77" t="n">
        <v>400</v>
      </c>
      <c r="W1952" s="59" t="n">
        <v>400</v>
      </c>
      <c r="X1952" s="59" t="inlineStr">
        <is>
          <t>cobertura de conta santander 1 velho-andreza</t>
        </is>
      </c>
      <c r="Z1952" s="59">
        <f>IF($T1952="","",IFERROR(INDEX('Resumo Grupos'!$AC$3:$AC$200,MATCH($T1952,'Resumo Grupos'!$AB$3:$AB$200,0)),"n/d"))</f>
        <v/>
      </c>
      <c r="AA1952" s="59">
        <f>IF($T1952="","",IF(COUNTIF('Resumo Grupos'!$AE$3:$AE$40,$T1952)&gt;0,"NAO","SIM"))</f>
        <v/>
      </c>
    </row>
    <row r="1953" ht="12.75" customHeight="1" s="60">
      <c r="A1953" s="59" t="n">
        <v>1</v>
      </c>
      <c r="B1953" s="75" t="n">
        <v>46246</v>
      </c>
      <c r="C1953" s="75" t="n">
        <v>46246</v>
      </c>
      <c r="D1953" s="59" t="n">
        <v>515</v>
      </c>
      <c r="E1953" s="59" t="inlineStr">
        <is>
          <t>ITAU SA</t>
        </is>
      </c>
      <c r="F1953" s="59" t="n">
        <v>34</v>
      </c>
      <c r="G1953" s="59" t="inlineStr">
        <is>
          <t>Transferencia Pix</t>
        </is>
      </c>
      <c r="H1953" s="59" t="n">
        <v>2110405</v>
      </c>
      <c r="I1953" s="59" t="inlineStr">
        <is>
          <t>CONTAS A PAGAR</t>
        </is>
      </c>
      <c r="J1953" s="59" t="n">
        <v>1535203</v>
      </c>
      <c r="L1953" s="59" t="n">
        <v>627190</v>
      </c>
      <c r="M1953" s="59" t="inlineStr">
        <is>
          <t>01</t>
        </is>
      </c>
      <c r="N1953" s="59" t="inlineStr">
        <is>
          <t>AVU</t>
        </is>
      </c>
      <c r="P1953" s="59" t="n">
        <v>102</v>
      </c>
      <c r="Q1953" s="59" t="inlineStr">
        <is>
          <t>ANDREZA ANDRADE</t>
        </is>
      </c>
      <c r="R1953" s="59" t="inlineStr">
        <is>
          <t>DESPESAS NAO OPERACIONAIS</t>
        </is>
      </c>
      <c r="S1953" s="59" t="n">
        <v>4220199</v>
      </c>
      <c r="T1953" s="59" t="inlineStr">
        <is>
          <t>PAGAMENTOS OUTROS NAO OPERACIONAIS</t>
        </is>
      </c>
      <c r="U1953" s="77" t="n">
        <v>507</v>
      </c>
      <c r="W1953" s="59" t="n">
        <v>507</v>
      </c>
      <c r="X1953" s="59" t="inlineStr">
        <is>
          <t>COBERTURA DE CONTA BANCO ITAU 1 VELHO-ANDREZA</t>
        </is>
      </c>
      <c r="Z1953" s="59">
        <f>IF($T1953="","",IFERROR(INDEX('Resumo Grupos'!$AC$3:$AC$200,MATCH($T1953,'Resumo Grupos'!$AB$3:$AB$200,0)),"n/d"))</f>
        <v/>
      </c>
      <c r="AA1953" s="59">
        <f>IF($T1953="","",IF(COUNTIF('Resumo Grupos'!$AE$3:$AE$40,$T1953)&gt;0,"NAO","SIM"))</f>
        <v/>
      </c>
    </row>
    <row r="1954" ht="12.75" customHeight="1" s="60">
      <c r="A1954" s="59" t="n">
        <v>1</v>
      </c>
      <c r="B1954" s="75" t="n">
        <v>46246</v>
      </c>
      <c r="C1954" s="75" t="n">
        <v>46246</v>
      </c>
      <c r="D1954" s="59" t="n">
        <v>33</v>
      </c>
      <c r="E1954" s="59" t="inlineStr">
        <is>
          <t>RENATO DE O AZEVEDO E CIA LTDA - EPP</t>
        </is>
      </c>
      <c r="F1954" s="59" t="n">
        <v>13</v>
      </c>
      <c r="G1954" s="59" t="inlineStr">
        <is>
          <t>Compra a Vista</t>
        </is>
      </c>
      <c r="H1954" s="59" t="n">
        <v>2110101</v>
      </c>
      <c r="I1954" s="59" t="inlineStr">
        <is>
          <t>FORNECEDORES DE MERCADORIA</t>
        </is>
      </c>
      <c r="J1954" s="59" t="n">
        <v>1535362</v>
      </c>
      <c r="L1954" s="59" t="n">
        <v>5475</v>
      </c>
      <c r="M1954" s="59" t="inlineStr">
        <is>
          <t>01</t>
        </is>
      </c>
      <c r="N1954" s="59" t="inlineStr">
        <is>
          <t>NFE</t>
        </is>
      </c>
      <c r="P1954" s="59" t="n">
        <v>104</v>
      </c>
      <c r="Q1954" s="59" t="inlineStr">
        <is>
          <t>DEBORA COSTA</t>
        </is>
      </c>
      <c r="R1954" s="59" t="inlineStr">
        <is>
          <t>ESTOQUE DE MERCADORIAS</t>
        </is>
      </c>
      <c r="S1954" s="59" t="n">
        <v>1130101</v>
      </c>
      <c r="T1954" s="59" t="inlineStr">
        <is>
          <t>MERCADORIAS P/REVENDA</t>
        </is>
      </c>
      <c r="U1954" s="77" t="n">
        <v>375</v>
      </c>
      <c r="W1954" s="59" t="n">
        <v>375</v>
      </c>
      <c r="X1954" s="59" t="inlineStr">
        <is>
          <t>ACAI DE ANORI - DEBORA 10/08</t>
        </is>
      </c>
      <c r="Z1954" s="59">
        <f>IF($T1954="","",IFERROR(INDEX('Resumo Grupos'!$AC$3:$AC$200,MATCH($T1954,'Resumo Grupos'!$AB$3:$AB$200,0)),"n/d"))</f>
        <v/>
      </c>
      <c r="AA1954" s="59">
        <f>IF($T1954="","",IF(COUNTIF('Resumo Grupos'!$AE$3:$AE$40,$T1954)&gt;0,"NAO","SIM"))</f>
        <v/>
      </c>
    </row>
    <row r="1955" ht="12.75" customHeight="1" s="60">
      <c r="A1955" s="59" t="n">
        <v>1</v>
      </c>
      <c r="B1955" s="75" t="n">
        <v>46246</v>
      </c>
      <c r="C1955" s="75" t="n">
        <v>46246</v>
      </c>
      <c r="D1955" s="59" t="n">
        <v>33</v>
      </c>
      <c r="E1955" s="59" t="inlineStr">
        <is>
          <t>RENATO DE O AZEVEDO E CIA LTDA - EPP</t>
        </is>
      </c>
      <c r="F1955" s="59" t="n">
        <v>13</v>
      </c>
      <c r="G1955" s="59" t="inlineStr">
        <is>
          <t>Compra a Vista</t>
        </is>
      </c>
      <c r="H1955" s="59" t="n">
        <v>2110101</v>
      </c>
      <c r="I1955" s="59" t="inlineStr">
        <is>
          <t>FORNECEDORES DE MERCADORIA</t>
        </is>
      </c>
      <c r="J1955" s="59" t="n">
        <v>1535485</v>
      </c>
      <c r="L1955" s="59" t="n">
        <v>5476</v>
      </c>
      <c r="M1955" s="59" t="inlineStr">
        <is>
          <t>01</t>
        </is>
      </c>
      <c r="N1955" s="59" t="inlineStr">
        <is>
          <t>NFE</t>
        </is>
      </c>
      <c r="P1955" s="59" t="n">
        <v>104</v>
      </c>
      <c r="Q1955" s="59" t="inlineStr">
        <is>
          <t>DEBORA COSTA</t>
        </is>
      </c>
      <c r="R1955" s="59" t="inlineStr">
        <is>
          <t>ESTOQUE DE MERCADORIAS</t>
        </is>
      </c>
      <c r="S1955" s="59" t="n">
        <v>1130101</v>
      </c>
      <c r="T1955" s="59" t="inlineStr">
        <is>
          <t>MERCADORIAS P/REVENDA</t>
        </is>
      </c>
      <c r="U1955" s="77" t="n">
        <v>300</v>
      </c>
      <c r="W1955" s="59" t="n">
        <v>300</v>
      </c>
      <c r="X1955" s="59" t="inlineStr">
        <is>
          <t>ACAI DE ANORI - DEBORA 11/08</t>
        </is>
      </c>
      <c r="Z1955" s="59">
        <f>IF($T1955="","",IFERROR(INDEX('Resumo Grupos'!$AC$3:$AC$200,MATCH($T1955,'Resumo Grupos'!$AB$3:$AB$200,0)),"n/d"))</f>
        <v/>
      </c>
      <c r="AA1955" s="59">
        <f>IF($T1955="","",IF(COUNTIF('Resumo Grupos'!$AE$3:$AE$40,$T1955)&gt;0,"NAO","SIM"))</f>
        <v/>
      </c>
    </row>
    <row r="1956" ht="12.75" customHeight="1" s="60">
      <c r="A1956" s="59" t="n">
        <v>1</v>
      </c>
      <c r="B1956" s="75" t="n">
        <v>46246</v>
      </c>
      <c r="C1956" s="75" t="n">
        <v>46246</v>
      </c>
      <c r="D1956" s="59" t="n">
        <v>905</v>
      </c>
      <c r="E1956" s="59" t="inlineStr">
        <is>
          <t>ELISMAR(OBRA)</t>
        </is>
      </c>
      <c r="F1956" s="59" t="n">
        <v>34</v>
      </c>
      <c r="G1956" s="59" t="inlineStr">
        <is>
          <t>Transferencia Pix</t>
        </is>
      </c>
      <c r="H1956" s="59" t="n">
        <v>2110405</v>
      </c>
      <c r="I1956" s="59" t="inlineStr">
        <is>
          <t>CONTAS A PAGAR</t>
        </is>
      </c>
      <c r="J1956" s="59" t="n">
        <v>1537351</v>
      </c>
      <c r="L1956" s="59" t="n">
        <v>628347</v>
      </c>
      <c r="M1956" s="59" t="inlineStr">
        <is>
          <t>01</t>
        </is>
      </c>
      <c r="N1956" s="59" t="inlineStr">
        <is>
          <t>AVU</t>
        </is>
      </c>
      <c r="P1956" s="59" t="n">
        <v>101</v>
      </c>
      <c r="Q1956" s="59" t="inlineStr">
        <is>
          <t>KEILA LIMA</t>
        </is>
      </c>
      <c r="R1956" s="59" t="inlineStr">
        <is>
          <t>DESPESAS OPERACIONAIS</t>
        </is>
      </c>
      <c r="S1956" s="59" t="n">
        <v>4210227</v>
      </c>
      <c r="T1956" s="59" t="inlineStr">
        <is>
          <t>DESPESAS LOJA</t>
        </is>
      </c>
      <c r="U1956" s="77" t="n">
        <v>200</v>
      </c>
      <c r="W1956" s="59" t="n">
        <v>200</v>
      </c>
      <c r="X1956" s="59" t="inlineStr">
        <is>
          <t xml:space="preserve">TROCA DE DUCHAS E TROCA DE ALIMENTADOR DO ACOUG  </t>
        </is>
      </c>
      <c r="Z1956" s="59">
        <f>IF($T1956="","",IFERROR(INDEX('Resumo Grupos'!$AC$3:$AC$200,MATCH($T1956,'Resumo Grupos'!$AB$3:$AB$200,0)),"n/d"))</f>
        <v/>
      </c>
      <c r="AA1956" s="59">
        <f>IF($T1956="","",IF(COUNTIF('Resumo Grupos'!$AE$3:$AE$40,$T1956)&gt;0,"NAO","SIM"))</f>
        <v/>
      </c>
    </row>
    <row r="1957" ht="12.75" customHeight="1" s="60">
      <c r="A1957" s="59" t="n">
        <v>1</v>
      </c>
      <c r="B1957" s="75" t="n">
        <v>46246</v>
      </c>
      <c r="C1957" s="75" t="n">
        <v>46246</v>
      </c>
      <c r="D1957" s="59" t="n">
        <v>10096</v>
      </c>
      <c r="E1957" s="59" t="inlineStr">
        <is>
          <t>H L M PADARIA E CONFEITARIA LTDA</t>
        </is>
      </c>
      <c r="F1957" s="59" t="n">
        <v>13</v>
      </c>
      <c r="G1957" s="59" t="inlineStr">
        <is>
          <t>Compra a Vista</t>
        </is>
      </c>
      <c r="H1957" s="59" t="n">
        <v>2110101</v>
      </c>
      <c r="I1957" s="59" t="inlineStr">
        <is>
          <t>FORNECEDORES DE MERCADORIA</t>
        </is>
      </c>
      <c r="J1957" s="59" t="n">
        <v>1545850</v>
      </c>
      <c r="L1957" s="59" t="n">
        <v>152</v>
      </c>
      <c r="M1957" s="59" t="inlineStr">
        <is>
          <t>01</t>
        </is>
      </c>
      <c r="N1957" s="59" t="inlineStr">
        <is>
          <t>NFE</t>
        </is>
      </c>
      <c r="P1957" s="59" t="n">
        <v>104</v>
      </c>
      <c r="Q1957" s="59" t="inlineStr">
        <is>
          <t>DEBORA COSTA</t>
        </is>
      </c>
      <c r="R1957" s="59" t="inlineStr">
        <is>
          <t>ESTOQUE DE MERCADORIAS</t>
        </is>
      </c>
      <c r="S1957" s="59" t="n">
        <v>1130101</v>
      </c>
      <c r="T1957" s="59" t="inlineStr">
        <is>
          <t>MERCADORIAS P/REVENDA</t>
        </is>
      </c>
      <c r="U1957" s="77" t="n">
        <v>280</v>
      </c>
      <c r="W1957" s="59" t="n">
        <v>0</v>
      </c>
      <c r="X1957" s="59" t="inlineStr">
        <is>
          <t>NF 152 - DEBORA</t>
        </is>
      </c>
      <c r="Z1957" s="59">
        <f>IF($T1957="","",IFERROR(INDEX('Resumo Grupos'!$AC$3:$AC$200,MATCH($T1957,'Resumo Grupos'!$AB$3:$AB$200,0)),"n/d"))</f>
        <v/>
      </c>
      <c r="AA1957" s="59">
        <f>IF($T1957="","",IF(COUNTIF('Resumo Grupos'!$AE$3:$AE$40,$T1957)&gt;0,"NAO","SIM"))</f>
        <v/>
      </c>
    </row>
    <row r="1958" ht="12.75" customHeight="1" s="60">
      <c r="A1958" s="59" t="n">
        <v>1</v>
      </c>
      <c r="B1958" s="75" t="n">
        <v>46105</v>
      </c>
      <c r="C1958" s="75" t="n">
        <v>46247</v>
      </c>
      <c r="D1958" s="59" t="n">
        <v>10056</v>
      </c>
      <c r="E1958" s="59" t="inlineStr">
        <is>
          <t>BOLT CARD</t>
        </is>
      </c>
      <c r="F1958" s="59" t="n">
        <v>42</v>
      </c>
      <c r="G1958" s="59" t="inlineStr">
        <is>
          <t>Cartao Itau Novo 4620 Venc 13</t>
        </is>
      </c>
      <c r="H1958" s="59" t="n">
        <v>2110405</v>
      </c>
      <c r="I1958" s="59" t="inlineStr">
        <is>
          <t>CONTAS A PAGAR</t>
        </is>
      </c>
      <c r="J1958" s="59" t="n">
        <v>848843</v>
      </c>
      <c r="L1958" s="59" t="n">
        <v>363960</v>
      </c>
      <c r="M1958" s="59" t="inlineStr">
        <is>
          <t>05</t>
        </is>
      </c>
      <c r="N1958" s="59" t="inlineStr">
        <is>
          <t>AVU</t>
        </is>
      </c>
      <c r="P1958" s="59" t="n">
        <v>101</v>
      </c>
      <c r="Q1958" s="59" t="inlineStr">
        <is>
          <t>KEILA LIMA</t>
        </is>
      </c>
      <c r="R1958" s="59" t="inlineStr">
        <is>
          <t>DESPESAS NAO OPERACIONAIS</t>
        </is>
      </c>
      <c r="S1958" s="59" t="n">
        <v>4220199</v>
      </c>
      <c r="T1958" s="59" t="inlineStr">
        <is>
          <t>PAGAMENTOS OUTROS NAO OPERACIONAIS</t>
        </is>
      </c>
      <c r="U1958" s="77" t="n">
        <v>333.33</v>
      </c>
      <c r="W1958" s="59" t="n">
        <v>0</v>
      </c>
      <c r="X1958" s="59" t="inlineStr">
        <is>
          <t>DESPESA - CARTAO BRASIL CARD BOLT LOJAS - KEILA</t>
        </is>
      </c>
      <c r="Z1958" s="59">
        <f>IF($T1958="","",IFERROR(INDEX('Resumo Grupos'!$AC$3:$AC$200,MATCH($T1958,'Resumo Grupos'!$AB$3:$AB$200,0)),"n/d"))</f>
        <v/>
      </c>
      <c r="AA1958" s="59">
        <f>IF($T1958="","",IF(COUNTIF('Resumo Grupos'!$AE$3:$AE$40,$T1958)&gt;0,"NAO","SIM"))</f>
        <v/>
      </c>
    </row>
    <row r="1959" ht="12.75" customHeight="1" s="60">
      <c r="A1959" s="59" t="n">
        <v>1</v>
      </c>
      <c r="B1959" s="75" t="n">
        <v>46219</v>
      </c>
      <c r="C1959" s="75" t="n">
        <v>46247</v>
      </c>
      <c r="D1959" s="59" t="n">
        <v>1601</v>
      </c>
      <c r="E1959" s="59" t="inlineStr">
        <is>
          <t>CB COMERCIO E DISTRIBUIDORA DE ALIMENTOS</t>
        </is>
      </c>
      <c r="F1959" s="59" t="n">
        <v>24</v>
      </c>
      <c r="G1959" s="59" t="inlineStr">
        <is>
          <t>Compra a Prazo - Boletos</t>
        </is>
      </c>
      <c r="H1959" s="59" t="n">
        <v>2110405</v>
      </c>
      <c r="I1959" s="59" t="inlineStr">
        <is>
          <t>CONTAS A PAGAR</t>
        </is>
      </c>
      <c r="J1959" s="59" t="n">
        <v>1407452</v>
      </c>
      <c r="L1959" s="59" t="n">
        <v>854275</v>
      </c>
      <c r="M1959" s="59" t="inlineStr">
        <is>
          <t>03</t>
        </is>
      </c>
      <c r="N1959" s="59" t="inlineStr">
        <is>
          <t>AVU</t>
        </is>
      </c>
      <c r="P1959" s="59" t="n">
        <v>103</v>
      </c>
      <c r="Q1959" s="59" t="inlineStr">
        <is>
          <t>MILKA FRANCIS</t>
        </is>
      </c>
      <c r="R1959" s="59" t="inlineStr">
        <is>
          <t>ESTOQUE DE MERCADORIAS</t>
        </is>
      </c>
      <c r="S1959" s="59" t="n">
        <v>1130101</v>
      </c>
      <c r="T1959" s="59" t="inlineStr">
        <is>
          <t>MERCADORIAS P/REVENDA</t>
        </is>
      </c>
      <c r="U1959" s="77" t="n">
        <v>748.6900000000001</v>
      </c>
      <c r="W1959" s="59" t="n">
        <v>748.6900000000001</v>
      </c>
      <c r="X1959" s="59" t="inlineStr">
        <is>
          <t>952611-C/C  NF854275 - MILKA</t>
        </is>
      </c>
      <c r="Z1959" s="59">
        <f>IF($T1959="","",IFERROR(INDEX('Resumo Grupos'!$AC$3:$AC$200,MATCH($T1959,'Resumo Grupos'!$AB$3:$AB$200,0)),"n/d"))</f>
        <v/>
      </c>
      <c r="AA1959" s="59">
        <f>IF($T1959="","",IF(COUNTIF('Resumo Grupos'!$AE$3:$AE$40,$T1959)&gt;0,"NAO","SIM"))</f>
        <v/>
      </c>
    </row>
    <row r="1960" ht="12.75" customHeight="1" s="60">
      <c r="A1960" s="59" t="n">
        <v>1</v>
      </c>
      <c r="B1960" s="75" t="n">
        <v>46220</v>
      </c>
      <c r="C1960" s="75" t="n">
        <v>46247</v>
      </c>
      <c r="D1960" s="59" t="n">
        <v>10012</v>
      </c>
      <c r="E1960" s="59" t="inlineStr">
        <is>
          <t>SB COMERCIO LTDA</t>
        </is>
      </c>
      <c r="F1960" s="59" t="n">
        <v>24</v>
      </c>
      <c r="G1960" s="59" t="inlineStr">
        <is>
          <t>Compra a Prazo - Boletos</t>
        </is>
      </c>
      <c r="H1960" s="59" t="n">
        <v>2110405</v>
      </c>
      <c r="I1960" s="59" t="inlineStr">
        <is>
          <t>CONTAS A PAGAR</t>
        </is>
      </c>
      <c r="J1960" s="59" t="n">
        <v>1411310</v>
      </c>
      <c r="L1960" s="59" t="n">
        <v>1964147</v>
      </c>
      <c r="M1960" s="59" t="inlineStr">
        <is>
          <t>01</t>
        </is>
      </c>
      <c r="N1960" s="59" t="inlineStr">
        <is>
          <t>AVU</t>
        </is>
      </c>
      <c r="P1960" s="59" t="n">
        <v>103</v>
      </c>
      <c r="Q1960" s="59" t="inlineStr">
        <is>
          <t>MILKA FRANCIS</t>
        </is>
      </c>
      <c r="R1960" s="59" t="inlineStr">
        <is>
          <t>ESTOQUE DE MERCADORIAS</t>
        </is>
      </c>
      <c r="S1960" s="59" t="n">
        <v>1130101</v>
      </c>
      <c r="T1960" s="59" t="inlineStr">
        <is>
          <t>MERCADORIAS P/REVENDA</t>
        </is>
      </c>
      <c r="U1960" s="77" t="n">
        <v>1129.22</v>
      </c>
      <c r="W1960" s="59" t="n">
        <v>1129.22</v>
      </c>
      <c r="X1960" s="59" t="inlineStr">
        <is>
          <t>NF 1964147-1 MILKA</t>
        </is>
      </c>
      <c r="Z1960" s="59">
        <f>IF($T1960="","",IFERROR(INDEX('Resumo Grupos'!$AC$3:$AC$200,MATCH($T1960,'Resumo Grupos'!$AB$3:$AB$200,0)),"n/d"))</f>
        <v/>
      </c>
      <c r="AA1960" s="59">
        <f>IF($T1960="","",IF(COUNTIF('Resumo Grupos'!$AE$3:$AE$40,$T1960)&gt;0,"NAO","SIM"))</f>
        <v/>
      </c>
    </row>
    <row r="1961" ht="12.75" customHeight="1" s="60">
      <c r="A1961" s="59" t="n">
        <v>1</v>
      </c>
      <c r="B1961" s="75" t="n">
        <v>46221</v>
      </c>
      <c r="C1961" s="75" t="n">
        <v>46247</v>
      </c>
      <c r="D1961" s="59" t="n">
        <v>1675</v>
      </c>
      <c r="E1961" s="59" t="inlineStr">
        <is>
          <t>MARQUES &amp; MELO LTDA - FILIAL</t>
        </is>
      </c>
      <c r="F1961" s="59" t="n">
        <v>24</v>
      </c>
      <c r="G1961" s="59" t="inlineStr">
        <is>
          <t>Compra a Prazo - Boletos</t>
        </is>
      </c>
      <c r="H1961" s="59" t="n">
        <v>2110405</v>
      </c>
      <c r="I1961" s="59" t="inlineStr">
        <is>
          <t>CONTAS A PAGAR</t>
        </is>
      </c>
      <c r="J1961" s="59" t="n">
        <v>1415719</v>
      </c>
      <c r="L1961" s="59" t="n">
        <v>502189</v>
      </c>
      <c r="M1961" s="59" t="inlineStr">
        <is>
          <t>02</t>
        </is>
      </c>
      <c r="N1961" s="59" t="inlineStr">
        <is>
          <t>AVU</t>
        </is>
      </c>
      <c r="P1961" s="59" t="n">
        <v>103</v>
      </c>
      <c r="Q1961" s="59" t="inlineStr">
        <is>
          <t>MILKA FRANCIS</t>
        </is>
      </c>
      <c r="R1961" s="59" t="inlineStr">
        <is>
          <t>ESTOQUE DE MERCADORIAS</t>
        </is>
      </c>
      <c r="S1961" s="59" t="n">
        <v>1130101</v>
      </c>
      <c r="T1961" s="59" t="inlineStr">
        <is>
          <t>MERCADORIAS P/REVENDA</t>
        </is>
      </c>
      <c r="U1961" s="77" t="n">
        <v>1181.96</v>
      </c>
      <c r="W1961" s="59" t="n">
        <v>1181.96</v>
      </c>
      <c r="X1961" s="59" t="inlineStr">
        <is>
          <t>NF 502189 -02 DISMELO -  MILKA</t>
        </is>
      </c>
      <c r="Z1961" s="59">
        <f>IF($T1961="","",IFERROR(INDEX('Resumo Grupos'!$AC$3:$AC$200,MATCH($T1961,'Resumo Grupos'!$AB$3:$AB$200,0)),"n/d"))</f>
        <v/>
      </c>
      <c r="AA1961" s="59">
        <f>IF($T1961="","",IF(COUNTIF('Resumo Grupos'!$AE$3:$AE$40,$T1961)&gt;0,"NAO","SIM"))</f>
        <v/>
      </c>
    </row>
    <row r="1962" ht="12.75" customHeight="1" s="60">
      <c r="A1962" s="59" t="n">
        <v>1</v>
      </c>
      <c r="B1962" s="75" t="n">
        <v>46226</v>
      </c>
      <c r="C1962" s="75" t="n">
        <v>46247</v>
      </c>
      <c r="D1962" s="59" t="n">
        <v>1608</v>
      </c>
      <c r="E1962" s="59" t="inlineStr">
        <is>
          <t>DISTRIBUIDORA LOPES LTDA</t>
        </is>
      </c>
      <c r="F1962" s="59" t="n">
        <v>24</v>
      </c>
      <c r="G1962" s="59" t="inlineStr">
        <is>
          <t>Compra a Prazo - Boletos</t>
        </is>
      </c>
      <c r="H1962" s="59" t="n">
        <v>2110405</v>
      </c>
      <c r="I1962" s="59" t="inlineStr">
        <is>
          <t>CONTAS A PAGAR</t>
        </is>
      </c>
      <c r="J1962" s="59" t="n">
        <v>1440285</v>
      </c>
      <c r="L1962" s="59" t="n">
        <v>1697798</v>
      </c>
      <c r="M1962" s="59" t="inlineStr">
        <is>
          <t>01</t>
        </is>
      </c>
      <c r="N1962" s="59" t="inlineStr">
        <is>
          <t>AVU</t>
        </is>
      </c>
      <c r="P1962" s="59" t="n">
        <v>103</v>
      </c>
      <c r="Q1962" s="59" t="inlineStr">
        <is>
          <t>MILKA FRANCIS</t>
        </is>
      </c>
      <c r="R1962" s="59" t="inlineStr">
        <is>
          <t>DESPESAS OPERACIONAIS</t>
        </is>
      </c>
      <c r="S1962" s="59" t="n">
        <v>4210228</v>
      </c>
      <c r="T1962" s="59" t="inlineStr">
        <is>
          <t>DESPESAS PADARIA</t>
        </is>
      </c>
      <c r="U1962" s="77" t="n">
        <v>1571.92</v>
      </c>
      <c r="W1962" s="59" t="n">
        <v>1571.92</v>
      </c>
      <c r="X1962" s="59" t="inlineStr">
        <is>
          <t>NF1697798 USO E CONSUMO VENDA / PADARIA/ CABECA DE TOURO 5KG - MILKA</t>
        </is>
      </c>
      <c r="Z1962" s="59">
        <f>IF($T1962="","",IFERROR(INDEX('Resumo Grupos'!$AC$3:$AC$200,MATCH($T1962,'Resumo Grupos'!$AB$3:$AB$200,0)),"n/d"))</f>
        <v/>
      </c>
      <c r="AA1962" s="59">
        <f>IF($T1962="","",IF(COUNTIF('Resumo Grupos'!$AE$3:$AE$40,$T1962)&gt;0,"NAO","SIM"))</f>
        <v/>
      </c>
    </row>
    <row r="1963" ht="12.75" customHeight="1" s="60">
      <c r="A1963" s="59" t="n">
        <v>1</v>
      </c>
      <c r="B1963" s="75" t="n">
        <v>46225</v>
      </c>
      <c r="C1963" s="75" t="n">
        <v>46247</v>
      </c>
      <c r="D1963" s="59" t="n">
        <v>794</v>
      </c>
      <c r="E1963" s="59" t="inlineStr">
        <is>
          <t>EDMARA COMERCIO DE HIGIENE PESSOAL LTDA</t>
        </is>
      </c>
      <c r="F1963" s="59" t="n">
        <v>24</v>
      </c>
      <c r="G1963" s="59" t="inlineStr">
        <is>
          <t>Compra a Prazo - Boletos</t>
        </is>
      </c>
      <c r="H1963" s="59" t="n">
        <v>2110405</v>
      </c>
      <c r="I1963" s="59" t="inlineStr">
        <is>
          <t>CONTAS A PAGAR</t>
        </is>
      </c>
      <c r="J1963" s="59" t="n">
        <v>1435872</v>
      </c>
      <c r="L1963" s="59" t="n">
        <v>8403</v>
      </c>
      <c r="M1963" s="59" t="inlineStr">
        <is>
          <t>02</t>
        </is>
      </c>
      <c r="N1963" s="59" t="inlineStr">
        <is>
          <t>AVU</t>
        </is>
      </c>
      <c r="P1963" s="59" t="n">
        <v>103</v>
      </c>
      <c r="Q1963" s="59" t="inlineStr">
        <is>
          <t>MILKA FRANCIS</t>
        </is>
      </c>
      <c r="R1963" s="59" t="inlineStr">
        <is>
          <t>ESTOQUE DE MERCADORIAS</t>
        </is>
      </c>
      <c r="S1963" s="59" t="n">
        <v>1130101</v>
      </c>
      <c r="T1963" s="59" t="inlineStr">
        <is>
          <t>MERCADORIAS P/REVENDA</t>
        </is>
      </c>
      <c r="U1963" s="77" t="n">
        <v>2621.74</v>
      </c>
      <c r="W1963" s="59" t="n">
        <v>2621.74</v>
      </c>
      <c r="X1963" s="59" t="inlineStr">
        <is>
          <t>5431-B/D  NF8403 - MILKA</t>
        </is>
      </c>
      <c r="Z1963" s="59">
        <f>IF($T1963="","",IFERROR(INDEX('Resumo Grupos'!$AC$3:$AC$200,MATCH($T1963,'Resumo Grupos'!$AB$3:$AB$200,0)),"n/d"))</f>
        <v/>
      </c>
      <c r="AA1963" s="59">
        <f>IF($T1963="","",IF(COUNTIF('Resumo Grupos'!$AE$3:$AE$40,$T1963)&gt;0,"NAO","SIM"))</f>
        <v/>
      </c>
    </row>
    <row r="1964" ht="12.75" customHeight="1" s="60">
      <c r="A1964" s="59" t="n">
        <v>1</v>
      </c>
      <c r="B1964" s="75" t="n">
        <v>46225</v>
      </c>
      <c r="C1964" s="75" t="n">
        <v>46247</v>
      </c>
      <c r="D1964" s="59" t="n">
        <v>1740</v>
      </c>
      <c r="E1964" s="59" t="inlineStr">
        <is>
          <t>OCIDENTAL COMERCIO DE FRIOS LTDA</t>
        </is>
      </c>
      <c r="F1964" s="59" t="n">
        <v>24</v>
      </c>
      <c r="G1964" s="59" t="inlineStr">
        <is>
          <t>Compra a Prazo - Boletos</t>
        </is>
      </c>
      <c r="H1964" s="59" t="n">
        <v>2110405</v>
      </c>
      <c r="I1964" s="59" t="inlineStr">
        <is>
          <t>CONTAS A PAGAR</t>
        </is>
      </c>
      <c r="J1964" s="59" t="n">
        <v>1435938</v>
      </c>
      <c r="L1964" s="59" t="n">
        <v>1248470</v>
      </c>
      <c r="M1964" s="59" t="inlineStr">
        <is>
          <t>02</t>
        </is>
      </c>
      <c r="N1964" s="59" t="inlineStr">
        <is>
          <t>AVU</t>
        </is>
      </c>
      <c r="P1964" s="59" t="n">
        <v>103</v>
      </c>
      <c r="Q1964" s="59" t="inlineStr">
        <is>
          <t>MILKA FRANCIS</t>
        </is>
      </c>
      <c r="R1964" s="59" t="inlineStr">
        <is>
          <t>ESTOQUE DE MERCADORIAS</t>
        </is>
      </c>
      <c r="S1964" s="59" t="n">
        <v>1130101</v>
      </c>
      <c r="T1964" s="59" t="inlineStr">
        <is>
          <t>MERCADORIAS P/REVENDA</t>
        </is>
      </c>
      <c r="U1964" s="77" t="n">
        <v>662.72</v>
      </c>
      <c r="W1964" s="59" t="n">
        <v>662.72</v>
      </c>
      <c r="X1964" s="59" t="inlineStr">
        <is>
          <t>NF 1248470-02 MILKA</t>
        </is>
      </c>
      <c r="Z1964" s="59">
        <f>IF($T1964="","",IFERROR(INDEX('Resumo Grupos'!$AC$3:$AC$200,MATCH($T1964,'Resumo Grupos'!$AB$3:$AB$200,0)),"n/d"))</f>
        <v/>
      </c>
      <c r="AA1964" s="59">
        <f>IF($T1964="","",IF(COUNTIF('Resumo Grupos'!$AE$3:$AE$40,$T1964)&gt;0,"NAO","SIM"))</f>
        <v/>
      </c>
    </row>
    <row r="1965" ht="12.75" customHeight="1" s="60">
      <c r="A1965" s="59" t="n">
        <v>1</v>
      </c>
      <c r="B1965" s="75" t="n">
        <v>46226</v>
      </c>
      <c r="C1965" s="75" t="n">
        <v>46247</v>
      </c>
      <c r="D1965" s="59" t="n">
        <v>1668</v>
      </c>
      <c r="E1965" s="59" t="inlineStr">
        <is>
          <t>NATUREZA COMERCIO DE DESCARTAVEIS LTDA</t>
        </is>
      </c>
      <c r="F1965" s="59" t="n">
        <v>24</v>
      </c>
      <c r="G1965" s="59" t="inlineStr">
        <is>
          <t>Compra a Prazo - Boletos</t>
        </is>
      </c>
      <c r="H1965" s="59" t="n">
        <v>2110405</v>
      </c>
      <c r="I1965" s="59" t="inlineStr">
        <is>
          <t>CONTAS A PAGAR</t>
        </is>
      </c>
      <c r="J1965" s="59" t="n">
        <v>1439478</v>
      </c>
      <c r="L1965" s="59" t="n">
        <v>739551</v>
      </c>
      <c r="M1965" s="59" t="inlineStr">
        <is>
          <t>01</t>
        </is>
      </c>
      <c r="N1965" s="59" t="inlineStr">
        <is>
          <t>AVU</t>
        </is>
      </c>
      <c r="P1965" s="59" t="n">
        <v>103</v>
      </c>
      <c r="Q1965" s="59" t="inlineStr">
        <is>
          <t>MILKA FRANCIS</t>
        </is>
      </c>
      <c r="R1965" s="59" t="inlineStr">
        <is>
          <t>DESPESAS OPERACIONAIS</t>
        </is>
      </c>
      <c r="S1965" s="59" t="n">
        <v>4210299</v>
      </c>
      <c r="T1965" s="59" t="inlineStr">
        <is>
          <t>DESPESA DE VENDA</t>
        </is>
      </c>
      <c r="U1965" s="77" t="n">
        <v>544.02</v>
      </c>
      <c r="W1965" s="59" t="n">
        <v>544.02</v>
      </c>
      <c r="X1965" s="59" t="inlineStr">
        <is>
          <t>NF 739551 USO E CONSUMO LUVA/BANDEJAS B1/B2 - MILKA</t>
        </is>
      </c>
      <c r="Z1965" s="59">
        <f>IF($T1965="","",IFERROR(INDEX('Resumo Grupos'!$AC$3:$AC$200,MATCH($T1965,'Resumo Grupos'!$AB$3:$AB$200,0)),"n/d"))</f>
        <v/>
      </c>
      <c r="AA1965" s="59">
        <f>IF($T1965="","",IF(COUNTIF('Resumo Grupos'!$AE$3:$AE$40,$T1965)&gt;0,"NAO","SIM"))</f>
        <v/>
      </c>
    </row>
    <row r="1966" ht="12.75" customHeight="1" s="60">
      <c r="A1966" s="59" t="n">
        <v>1</v>
      </c>
      <c r="B1966" s="75" t="n">
        <v>46226</v>
      </c>
      <c r="C1966" s="75" t="n">
        <v>46247</v>
      </c>
      <c r="D1966" s="59" t="n">
        <v>1616</v>
      </c>
      <c r="E1966" s="59" t="inlineStr">
        <is>
          <t>DURAES DISTRIBUIDORA DE ESTIVAS LTDA</t>
        </is>
      </c>
      <c r="F1966" s="59" t="n">
        <v>24</v>
      </c>
      <c r="G1966" s="59" t="inlineStr">
        <is>
          <t>Compra a Prazo - Boletos</t>
        </is>
      </c>
      <c r="H1966" s="59" t="n">
        <v>2110405</v>
      </c>
      <c r="I1966" s="59" t="inlineStr">
        <is>
          <t>CONTAS A PAGAR</t>
        </is>
      </c>
      <c r="J1966" s="59" t="n">
        <v>1440106</v>
      </c>
      <c r="L1966" s="59" t="n">
        <v>592593</v>
      </c>
      <c r="M1966" s="59" t="inlineStr">
        <is>
          <t>02</t>
        </is>
      </c>
      <c r="N1966" s="59" t="inlineStr">
        <is>
          <t>AVU</t>
        </is>
      </c>
      <c r="P1966" s="59" t="n">
        <v>104</v>
      </c>
      <c r="Q1966" s="59" t="inlineStr">
        <is>
          <t>DEBORA COSTA</t>
        </is>
      </c>
      <c r="R1966" s="59" t="inlineStr">
        <is>
          <t>ESTOQUE DE MERCADORIAS</t>
        </is>
      </c>
      <c r="S1966" s="59" t="n">
        <v>1130101</v>
      </c>
      <c r="T1966" s="59" t="inlineStr">
        <is>
          <t>MERCADORIAS P/REVENDA</t>
        </is>
      </c>
      <c r="U1966" s="77" t="n">
        <v>605.9299999999999</v>
      </c>
      <c r="W1966" s="59" t="n">
        <v>605.9299999999999</v>
      </c>
      <c r="X1966" s="59" t="inlineStr">
        <is>
          <t>NF 651360 -2 DEBORA</t>
        </is>
      </c>
      <c r="Z1966" s="59">
        <f>IF($T1966="","",IFERROR(INDEX('Resumo Grupos'!$AC$3:$AC$200,MATCH($T1966,'Resumo Grupos'!$AB$3:$AB$200,0)),"n/d"))</f>
        <v/>
      </c>
      <c r="AA1966" s="59">
        <f>IF($T1966="","",IF(COUNTIF('Resumo Grupos'!$AE$3:$AE$40,$T1966)&gt;0,"NAO","SIM"))</f>
        <v/>
      </c>
    </row>
    <row r="1967" ht="12.75" customHeight="1" s="60">
      <c r="A1967" s="59" t="n">
        <v>1</v>
      </c>
      <c r="B1967" s="75" t="n">
        <v>46226</v>
      </c>
      <c r="C1967" s="75" t="n">
        <v>46247</v>
      </c>
      <c r="D1967" s="59" t="n">
        <v>10021</v>
      </c>
      <c r="E1967" s="59" t="inlineStr">
        <is>
          <t>DISTRIBUIDORA PRIME LTDA</t>
        </is>
      </c>
      <c r="F1967" s="59" t="n">
        <v>24</v>
      </c>
      <c r="G1967" s="59" t="inlineStr">
        <is>
          <t>Compra a Prazo - Boletos</t>
        </is>
      </c>
      <c r="H1967" s="59" t="n">
        <v>2110405</v>
      </c>
      <c r="I1967" s="59" t="inlineStr">
        <is>
          <t>CONTAS A PAGAR</t>
        </is>
      </c>
      <c r="J1967" s="59" t="n">
        <v>1440166</v>
      </c>
      <c r="L1967" s="59" t="n">
        <v>134703</v>
      </c>
      <c r="M1967" s="59" t="inlineStr">
        <is>
          <t>01</t>
        </is>
      </c>
      <c r="N1967" s="59" t="inlineStr">
        <is>
          <t>AVU</t>
        </is>
      </c>
      <c r="P1967" s="59" t="n">
        <v>103</v>
      </c>
      <c r="Q1967" s="59" t="inlineStr">
        <is>
          <t>MILKA FRANCIS</t>
        </is>
      </c>
      <c r="R1967" s="59" t="inlineStr">
        <is>
          <t>ESTOQUE DE MERCADORIAS</t>
        </is>
      </c>
      <c r="S1967" s="59" t="n">
        <v>1130101</v>
      </c>
      <c r="T1967" s="59" t="inlineStr">
        <is>
          <t>MERCADORIAS P/REVENDA</t>
        </is>
      </c>
      <c r="U1967" s="77" t="n">
        <v>774.49</v>
      </c>
      <c r="W1967" s="59" t="n">
        <v>774.49</v>
      </c>
      <c r="X1967" s="59" t="inlineStr">
        <is>
          <t>NF 134703-1 MILKA</t>
        </is>
      </c>
      <c r="Z1967" s="59">
        <f>IF($T1967="","",IFERROR(INDEX('Resumo Grupos'!$AC$3:$AC$200,MATCH($T1967,'Resumo Grupos'!$AB$3:$AB$200,0)),"n/d"))</f>
        <v/>
      </c>
      <c r="AA1967" s="59">
        <f>IF($T1967="","",IF(COUNTIF('Resumo Grupos'!$AE$3:$AE$40,$T1967)&gt;0,"NAO","SIM"))</f>
        <v/>
      </c>
    </row>
    <row r="1968" ht="12.75" customHeight="1" s="60">
      <c r="A1968" s="59" t="n">
        <v>1</v>
      </c>
      <c r="B1968" s="75" t="n">
        <v>46226</v>
      </c>
      <c r="C1968" s="75" t="n">
        <v>46247</v>
      </c>
      <c r="D1968" s="59" t="n">
        <v>1616</v>
      </c>
      <c r="E1968" s="59" t="inlineStr">
        <is>
          <t>DURAES DISTRIBUIDORA DE ESTIVAS LTDA</t>
        </is>
      </c>
      <c r="F1968" s="59" t="n">
        <v>24</v>
      </c>
      <c r="G1968" s="59" t="inlineStr">
        <is>
          <t>Compra a Prazo - Boletos</t>
        </is>
      </c>
      <c r="H1968" s="59" t="n">
        <v>2110405</v>
      </c>
      <c r="I1968" s="59" t="inlineStr">
        <is>
          <t>CONTAS A PAGAR</t>
        </is>
      </c>
      <c r="J1968" s="59" t="n">
        <v>1440186</v>
      </c>
      <c r="L1968" s="59" t="n">
        <v>592618</v>
      </c>
      <c r="M1968" s="59" t="inlineStr">
        <is>
          <t>02</t>
        </is>
      </c>
      <c r="N1968" s="59" t="inlineStr">
        <is>
          <t>AVU</t>
        </is>
      </c>
      <c r="P1968" s="59" t="n">
        <v>104</v>
      </c>
      <c r="Q1968" s="59" t="inlineStr">
        <is>
          <t>DEBORA COSTA</t>
        </is>
      </c>
      <c r="R1968" s="59" t="inlineStr">
        <is>
          <t>ESTOQUE DE MERCADORIAS</t>
        </is>
      </c>
      <c r="S1968" s="59" t="n">
        <v>1130101</v>
      </c>
      <c r="T1968" s="59" t="inlineStr">
        <is>
          <t>MERCADORIAS P/REVENDA</t>
        </is>
      </c>
      <c r="U1968" s="77" t="n">
        <v>434.06</v>
      </c>
      <c r="W1968" s="59" t="n">
        <v>434.06</v>
      </c>
      <c r="X1968" s="59" t="inlineStr">
        <is>
          <t>NF 651362 - DEBORA</t>
        </is>
      </c>
      <c r="Z1968" s="59">
        <f>IF($T1968="","",IFERROR(INDEX('Resumo Grupos'!$AC$3:$AC$200,MATCH($T1968,'Resumo Grupos'!$AB$3:$AB$200,0)),"n/d"))</f>
        <v/>
      </c>
      <c r="AA1968" s="59">
        <f>IF($T1968="","",IF(COUNTIF('Resumo Grupos'!$AE$3:$AE$40,$T1968)&gt;0,"NAO","SIM"))</f>
        <v/>
      </c>
    </row>
    <row r="1969" ht="12.75" customHeight="1" s="60">
      <c r="A1969" s="59" t="n">
        <v>1</v>
      </c>
      <c r="B1969" s="75" t="n">
        <v>46226</v>
      </c>
      <c r="C1969" s="75" t="n">
        <v>46247</v>
      </c>
      <c r="D1969" s="59" t="n">
        <v>1626</v>
      </c>
      <c r="E1969" s="59" t="inlineStr">
        <is>
          <t>FENNIX BRASIL DISTRIBUIDORA DE PRODUTOS</t>
        </is>
      </c>
      <c r="F1969" s="59" t="n">
        <v>24</v>
      </c>
      <c r="G1969" s="59" t="inlineStr">
        <is>
          <t>Compra a Prazo - Boletos</t>
        </is>
      </c>
      <c r="H1969" s="59" t="n">
        <v>2110405</v>
      </c>
      <c r="I1969" s="59" t="inlineStr">
        <is>
          <t>CONTAS A PAGAR</t>
        </is>
      </c>
      <c r="J1969" s="59" t="n">
        <v>1440328</v>
      </c>
      <c r="L1969" s="59" t="n">
        <v>592650</v>
      </c>
      <c r="M1969" s="59" t="inlineStr">
        <is>
          <t>02</t>
        </is>
      </c>
      <c r="N1969" s="59" t="inlineStr">
        <is>
          <t>AVU</t>
        </is>
      </c>
      <c r="P1969" s="59" t="n">
        <v>104</v>
      </c>
      <c r="Q1969" s="59" t="inlineStr">
        <is>
          <t>DEBORA COSTA</t>
        </is>
      </c>
      <c r="R1969" s="59" t="inlineStr">
        <is>
          <t>ESTOQUE DE MERCADORIAS</t>
        </is>
      </c>
      <c r="S1969" s="59" t="n">
        <v>1130101</v>
      </c>
      <c r="T1969" s="59" t="inlineStr">
        <is>
          <t>MERCADORIAS P/REVENDA</t>
        </is>
      </c>
      <c r="U1969" s="77" t="n">
        <v>907.88</v>
      </c>
      <c r="W1969" s="59" t="n">
        <v>907.88</v>
      </c>
      <c r="X1969" s="59" t="inlineStr">
        <is>
          <t>NF 314382 - COM TARIFA - DEBORA</t>
        </is>
      </c>
      <c r="Z1969" s="59">
        <f>IF($T1969="","",IFERROR(INDEX('Resumo Grupos'!$AC$3:$AC$200,MATCH($T1969,'Resumo Grupos'!$AB$3:$AB$200,0)),"n/d"))</f>
        <v/>
      </c>
      <c r="AA1969" s="59">
        <f>IF($T1969="","",IF(COUNTIF('Resumo Grupos'!$AE$3:$AE$40,$T1969)&gt;0,"NAO","SIM"))</f>
        <v/>
      </c>
    </row>
    <row r="1970" ht="12.75" customHeight="1" s="60">
      <c r="A1970" s="59" t="n">
        <v>1</v>
      </c>
      <c r="B1970" s="75" t="n">
        <v>46226</v>
      </c>
      <c r="C1970" s="75" t="n">
        <v>46247</v>
      </c>
      <c r="D1970" s="59" t="n">
        <v>10099</v>
      </c>
      <c r="E1970" s="59" t="inlineStr">
        <is>
          <t>G P FERESIN LTDA</t>
        </is>
      </c>
      <c r="F1970" s="59" t="n">
        <v>42</v>
      </c>
      <c r="G1970" s="59" t="inlineStr">
        <is>
          <t>Cartao Itau Novo 4620 Venc 13</t>
        </is>
      </c>
      <c r="H1970" s="59" t="n">
        <v>2110405</v>
      </c>
      <c r="I1970" s="59" t="inlineStr">
        <is>
          <t>CONTAS A PAGAR</t>
        </is>
      </c>
      <c r="J1970" s="59" t="n">
        <v>1441040</v>
      </c>
      <c r="L1970" s="59" t="n">
        <v>19144</v>
      </c>
      <c r="M1970" s="59" t="inlineStr">
        <is>
          <t>01</t>
        </is>
      </c>
      <c r="N1970" s="59" t="inlineStr">
        <is>
          <t>AVU</t>
        </is>
      </c>
      <c r="P1970" s="59" t="n">
        <v>101</v>
      </c>
      <c r="Q1970" s="59" t="inlineStr">
        <is>
          <t>KEILA LIMA</t>
        </is>
      </c>
      <c r="R1970" s="59" t="inlineStr">
        <is>
          <t>ESTOQUE DE MERCADORIAS</t>
        </is>
      </c>
      <c r="S1970" s="59" t="n">
        <v>1130101</v>
      </c>
      <c r="T1970" s="59" t="inlineStr">
        <is>
          <t>MERCADORIAS P/REVENDA</t>
        </is>
      </c>
      <c r="U1970" s="77" t="n">
        <v>518.41</v>
      </c>
      <c r="W1970" s="59" t="n">
        <v>518.41</v>
      </c>
      <c r="X1970" s="59" t="inlineStr">
        <is>
          <t>NF 19144 RACAO MO1 - KEILA</t>
        </is>
      </c>
      <c r="Z1970" s="59">
        <f>IF($T1970="","",IFERROR(INDEX('Resumo Grupos'!$AC$3:$AC$200,MATCH($T1970,'Resumo Grupos'!$AB$3:$AB$200,0)),"n/d"))</f>
        <v/>
      </c>
      <c r="AA1970" s="59">
        <f>IF($T1970="","",IF(COUNTIF('Resumo Grupos'!$AE$3:$AE$40,$T1970)&gt;0,"NAO","SIM"))</f>
        <v/>
      </c>
    </row>
    <row r="1971" ht="12.75" customHeight="1" s="60">
      <c r="A1971" s="59" t="n">
        <v>1</v>
      </c>
      <c r="B1971" s="75" t="n">
        <v>46227</v>
      </c>
      <c r="C1971" s="75" t="n">
        <v>46247</v>
      </c>
      <c r="D1971" s="59" t="n">
        <v>1740</v>
      </c>
      <c r="E1971" s="59" t="inlineStr">
        <is>
          <t>OCIDENTAL COMERCIO DE FRIOS LTDA</t>
        </is>
      </c>
      <c r="F1971" s="59" t="n">
        <v>24</v>
      </c>
      <c r="G1971" s="59" t="inlineStr">
        <is>
          <t>Compra a Prazo - Boletos</t>
        </is>
      </c>
      <c r="H1971" s="59" t="n">
        <v>2110405</v>
      </c>
      <c r="I1971" s="59" t="inlineStr">
        <is>
          <t>CONTAS A PAGAR</t>
        </is>
      </c>
      <c r="J1971" s="59" t="n">
        <v>1443664</v>
      </c>
      <c r="L1971" s="59" t="n">
        <v>1250798</v>
      </c>
      <c r="M1971" s="59" t="inlineStr">
        <is>
          <t>01</t>
        </is>
      </c>
      <c r="N1971" s="59" t="inlineStr">
        <is>
          <t>AVU</t>
        </is>
      </c>
      <c r="P1971" s="59" t="n">
        <v>103</v>
      </c>
      <c r="Q1971" s="59" t="inlineStr">
        <is>
          <t>MILKA FRANCIS</t>
        </is>
      </c>
      <c r="R1971" s="59" t="inlineStr">
        <is>
          <t>ESTOQUE DE MERCADORIAS</t>
        </is>
      </c>
      <c r="S1971" s="59" t="n">
        <v>1130101</v>
      </c>
      <c r="T1971" s="59" t="inlineStr">
        <is>
          <t>MERCADORIAS P/REVENDA</t>
        </is>
      </c>
      <c r="U1971" s="77" t="n">
        <v>762.96</v>
      </c>
      <c r="W1971" s="59" t="n">
        <v>762.96</v>
      </c>
      <c r="X1971" s="59" t="inlineStr">
        <is>
          <t>NF 1250798 - MILKA</t>
        </is>
      </c>
      <c r="Z1971" s="59">
        <f>IF($T1971="","",IFERROR(INDEX('Resumo Grupos'!$AC$3:$AC$200,MATCH($T1971,'Resumo Grupos'!$AB$3:$AB$200,0)),"n/d"))</f>
        <v/>
      </c>
      <c r="AA1971" s="59">
        <f>IF($T1971="","",IF(COUNTIF('Resumo Grupos'!$AE$3:$AE$40,$T1971)&gt;0,"NAO","SIM"))</f>
        <v/>
      </c>
    </row>
    <row r="1972" ht="12.75" customHeight="1" s="60">
      <c r="A1972" s="59" t="n">
        <v>1</v>
      </c>
      <c r="B1972" s="75" t="n">
        <v>46228</v>
      </c>
      <c r="C1972" s="75" t="n">
        <v>46247</v>
      </c>
      <c r="D1972" s="59" t="n">
        <v>10009</v>
      </c>
      <c r="E1972" s="59" t="inlineStr">
        <is>
          <t>NESTLÉ BRASIL LTDA.</t>
        </is>
      </c>
      <c r="F1972" s="59" t="n">
        <v>24</v>
      </c>
      <c r="G1972" s="59" t="inlineStr">
        <is>
          <t>Compra a Prazo - Boletos</t>
        </is>
      </c>
      <c r="H1972" s="59" t="n">
        <v>2110405</v>
      </c>
      <c r="I1972" s="59" t="inlineStr">
        <is>
          <t>CONTAS A PAGAR</t>
        </is>
      </c>
      <c r="J1972" s="59" t="n">
        <v>1449995</v>
      </c>
      <c r="L1972" s="59" t="n">
        <v>1431708</v>
      </c>
      <c r="M1972" s="59" t="inlineStr">
        <is>
          <t>03</t>
        </is>
      </c>
      <c r="N1972" s="59" t="inlineStr">
        <is>
          <t>AVU</t>
        </is>
      </c>
      <c r="P1972" s="59" t="n">
        <v>103</v>
      </c>
      <c r="Q1972" s="59" t="inlineStr">
        <is>
          <t>MILKA FRANCIS</t>
        </is>
      </c>
      <c r="R1972" s="59" t="inlineStr">
        <is>
          <t>ESTOQUE DE MERCADORIAS</t>
        </is>
      </c>
      <c r="S1972" s="59" t="n">
        <v>1130101</v>
      </c>
      <c r="T1972" s="59" t="inlineStr">
        <is>
          <t>MERCADORIAS P/REVENDA</t>
        </is>
      </c>
      <c r="U1972" s="77" t="n">
        <v>1721.47</v>
      </c>
      <c r="W1972" s="59" t="n">
        <v>1721.47</v>
      </c>
      <c r="X1972" s="59" t="inlineStr">
        <is>
          <t>NF 1431708-03/03 MILKA</t>
        </is>
      </c>
      <c r="Z1972" s="59">
        <f>IF($T1972="","",IFERROR(INDEX('Resumo Grupos'!$AC$3:$AC$200,MATCH($T1972,'Resumo Grupos'!$AB$3:$AB$200,0)),"n/d"))</f>
        <v/>
      </c>
      <c r="AA1972" s="59">
        <f>IF($T1972="","",IF(COUNTIF('Resumo Grupos'!$AE$3:$AE$40,$T1972)&gt;0,"NAO","SIM"))</f>
        <v/>
      </c>
    </row>
    <row r="1973" ht="12.75" customHeight="1" s="60">
      <c r="A1973" s="59" t="n">
        <v>1</v>
      </c>
      <c r="B1973" s="75" t="n">
        <v>46228</v>
      </c>
      <c r="C1973" s="75" t="n">
        <v>46247</v>
      </c>
      <c r="D1973" s="59" t="n">
        <v>10009</v>
      </c>
      <c r="E1973" s="59" t="inlineStr">
        <is>
          <t>NESTLÉ BRASIL LTDA.</t>
        </is>
      </c>
      <c r="F1973" s="59" t="n">
        <v>24</v>
      </c>
      <c r="G1973" s="59" t="inlineStr">
        <is>
          <t>Compra a Prazo - Boletos</t>
        </is>
      </c>
      <c r="H1973" s="59" t="n">
        <v>2110405</v>
      </c>
      <c r="I1973" s="59" t="inlineStr">
        <is>
          <t>CONTAS A PAGAR</t>
        </is>
      </c>
      <c r="J1973" s="59" t="n">
        <v>1450017</v>
      </c>
      <c r="L1973" s="59" t="n">
        <v>1431398</v>
      </c>
      <c r="M1973" s="59" t="inlineStr">
        <is>
          <t>01</t>
        </is>
      </c>
      <c r="N1973" s="59" t="inlineStr">
        <is>
          <t>AVU</t>
        </is>
      </c>
      <c r="P1973" s="59" t="n">
        <v>103</v>
      </c>
      <c r="Q1973" s="59" t="inlineStr">
        <is>
          <t>MILKA FRANCIS</t>
        </is>
      </c>
      <c r="R1973" s="59" t="inlineStr">
        <is>
          <t>ESTOQUE DE MERCADORIAS</t>
        </is>
      </c>
      <c r="S1973" s="59" t="n">
        <v>1130101</v>
      </c>
      <c r="T1973" s="59" t="inlineStr">
        <is>
          <t>MERCADORIAS P/REVENDA</t>
        </is>
      </c>
      <c r="U1973" s="77" t="n">
        <v>637.5</v>
      </c>
      <c r="W1973" s="59" t="n">
        <v>637.5</v>
      </c>
      <c r="X1973" s="59" t="inlineStr">
        <is>
          <t>NF 1431398 - MILKA</t>
        </is>
      </c>
      <c r="Z1973" s="59">
        <f>IF($T1973="","",IFERROR(INDEX('Resumo Grupos'!$AC$3:$AC$200,MATCH($T1973,'Resumo Grupos'!$AB$3:$AB$200,0)),"n/d"))</f>
        <v/>
      </c>
      <c r="AA1973" s="59">
        <f>IF($T1973="","",IF(COUNTIF('Resumo Grupos'!$AE$3:$AE$40,$T1973)&gt;0,"NAO","SIM"))</f>
        <v/>
      </c>
    </row>
    <row r="1974" ht="12.75" customHeight="1" s="60">
      <c r="A1974" s="59" t="n">
        <v>1</v>
      </c>
      <c r="B1974" s="75" t="n">
        <v>46228</v>
      </c>
      <c r="C1974" s="75" t="n">
        <v>46247</v>
      </c>
      <c r="D1974" s="59" t="n">
        <v>1637</v>
      </c>
      <c r="E1974" s="59" t="inlineStr">
        <is>
          <t>ATACADAO S.A.</t>
        </is>
      </c>
      <c r="F1974" s="59" t="n">
        <v>24</v>
      </c>
      <c r="G1974" s="59" t="inlineStr">
        <is>
          <t>Compra a Prazo - Boletos</t>
        </is>
      </c>
      <c r="H1974" s="59" t="n">
        <v>2110405</v>
      </c>
      <c r="I1974" s="59" t="inlineStr">
        <is>
          <t>CONTAS A PAGAR</t>
        </is>
      </c>
      <c r="J1974" s="59" t="n">
        <v>1450076</v>
      </c>
      <c r="L1974" s="59" t="n">
        <v>1910465</v>
      </c>
      <c r="M1974" s="59" t="inlineStr">
        <is>
          <t>01</t>
        </is>
      </c>
      <c r="N1974" s="59" t="inlineStr">
        <is>
          <t>AVU</t>
        </is>
      </c>
      <c r="P1974" s="59" t="n">
        <v>103</v>
      </c>
      <c r="Q1974" s="59" t="inlineStr">
        <is>
          <t>MILKA FRANCIS</t>
        </is>
      </c>
      <c r="R1974" s="59" t="inlineStr">
        <is>
          <t>ESTOQUE DE MERCADORIAS</t>
        </is>
      </c>
      <c r="S1974" s="59" t="n">
        <v>1130101</v>
      </c>
      <c r="T1974" s="59" t="inlineStr">
        <is>
          <t>MERCADORIAS P/REVENDA</t>
        </is>
      </c>
      <c r="U1974" s="77" t="n">
        <v>1009.05</v>
      </c>
      <c r="W1974" s="59" t="n">
        <v>1009.05</v>
      </c>
      <c r="X1974" s="59" t="inlineStr">
        <is>
          <t>NF 1910465 - MILKA</t>
        </is>
      </c>
      <c r="Z1974" s="59">
        <f>IF($T1974="","",IFERROR(INDEX('Resumo Grupos'!$AC$3:$AC$200,MATCH($T1974,'Resumo Grupos'!$AB$3:$AB$200,0)),"n/d"))</f>
        <v/>
      </c>
      <c r="AA1974" s="59">
        <f>IF($T1974="","",IF(COUNTIF('Resumo Grupos'!$AE$3:$AE$40,$T1974)&gt;0,"NAO","SIM"))</f>
        <v/>
      </c>
    </row>
    <row r="1975" ht="12.75" customHeight="1" s="60">
      <c r="A1975" s="59" t="n">
        <v>1</v>
      </c>
      <c r="B1975" s="75" t="n">
        <v>46231</v>
      </c>
      <c r="C1975" s="75" t="n">
        <v>46247</v>
      </c>
      <c r="D1975" s="59" t="n">
        <v>1611</v>
      </c>
      <c r="E1975" s="59" t="inlineStr">
        <is>
          <t>MARTINS COM SERV DISTR SA</t>
        </is>
      </c>
      <c r="F1975" s="59" t="n">
        <v>24</v>
      </c>
      <c r="G1975" s="59" t="inlineStr">
        <is>
          <t>Compra a Prazo - Boletos</t>
        </is>
      </c>
      <c r="H1975" s="59" t="n">
        <v>2110405</v>
      </c>
      <c r="I1975" s="59" t="inlineStr">
        <is>
          <t>CONTAS A PAGAR</t>
        </is>
      </c>
      <c r="J1975" s="59" t="n">
        <v>1462932</v>
      </c>
      <c r="L1975" s="59" t="n">
        <v>1784397</v>
      </c>
      <c r="M1975" s="59" t="inlineStr">
        <is>
          <t>01</t>
        </is>
      </c>
      <c r="N1975" s="59" t="inlineStr">
        <is>
          <t>AVU</t>
        </is>
      </c>
      <c r="P1975" s="59" t="n">
        <v>103</v>
      </c>
      <c r="Q1975" s="59" t="inlineStr">
        <is>
          <t>MILKA FRANCIS</t>
        </is>
      </c>
      <c r="R1975" s="59" t="inlineStr">
        <is>
          <t>ESTOQUE DE MERCADORIAS</t>
        </is>
      </c>
      <c r="S1975" s="59" t="n">
        <v>1130101</v>
      </c>
      <c r="T1975" s="59" t="inlineStr">
        <is>
          <t>MERCADORIAS P/REVENDA</t>
        </is>
      </c>
      <c r="U1975" s="77" t="n">
        <v>955.52</v>
      </c>
      <c r="W1975" s="59" t="n">
        <v>955.52</v>
      </c>
      <c r="X1975" s="59" t="inlineStr">
        <is>
          <t>NF1784397 / NF1784398 C/TARIFA INCLUSA - MILKA</t>
        </is>
      </c>
      <c r="Z1975" s="59">
        <f>IF($T1975="","",IFERROR(INDEX('Resumo Grupos'!$AC$3:$AC$200,MATCH($T1975,'Resumo Grupos'!$AB$3:$AB$200,0)),"n/d"))</f>
        <v/>
      </c>
      <c r="AA1975" s="59">
        <f>IF($T1975="","",IF(COUNTIF('Resumo Grupos'!$AE$3:$AE$40,$T1975)&gt;0,"NAO","SIM"))</f>
        <v/>
      </c>
    </row>
    <row r="1976" ht="12.75" customHeight="1" s="60">
      <c r="A1976" s="59" t="n">
        <v>1</v>
      </c>
      <c r="B1976" s="75" t="n">
        <v>46232</v>
      </c>
      <c r="C1976" s="75" t="n">
        <v>46247</v>
      </c>
      <c r="D1976" s="59" t="n">
        <v>1664</v>
      </c>
      <c r="E1976" s="59" t="inlineStr">
        <is>
          <t>AMERICANA DISTRIBUIDORA DE BEBIDAS E MERCADORIAS LTDA</t>
        </is>
      </c>
      <c r="F1976" s="59" t="n">
        <v>24</v>
      </c>
      <c r="G1976" s="59" t="inlineStr">
        <is>
          <t>Compra a Prazo - Boletos</t>
        </is>
      </c>
      <c r="H1976" s="59" t="n">
        <v>2110405</v>
      </c>
      <c r="I1976" s="59" t="inlineStr">
        <is>
          <t>CONTAS A PAGAR</t>
        </is>
      </c>
      <c r="J1976" s="59" t="n">
        <v>1469025</v>
      </c>
      <c r="L1976" s="59" t="n">
        <v>79231</v>
      </c>
      <c r="M1976" s="59" t="inlineStr">
        <is>
          <t>01</t>
        </is>
      </c>
      <c r="N1976" s="59" t="inlineStr">
        <is>
          <t>AVU</t>
        </is>
      </c>
      <c r="P1976" s="59" t="n">
        <v>103</v>
      </c>
      <c r="Q1976" s="59" t="inlineStr">
        <is>
          <t>MILKA FRANCIS</t>
        </is>
      </c>
      <c r="R1976" s="59" t="inlineStr">
        <is>
          <t>ESTOQUE DE MERCADORIAS</t>
        </is>
      </c>
      <c r="S1976" s="59" t="n">
        <v>1130101</v>
      </c>
      <c r="T1976" s="59" t="inlineStr">
        <is>
          <t>MERCADORIAS P/REVENDA</t>
        </is>
      </c>
      <c r="U1976" s="77" t="n">
        <v>3261.6</v>
      </c>
      <c r="W1976" s="59" t="n">
        <v>3261.6</v>
      </c>
      <c r="X1976" s="59" t="inlineStr">
        <is>
          <t>NF 79231 BALY C/ NF(79232) DE BONIFICACAO - MILKA</t>
        </is>
      </c>
      <c r="Z1976" s="59">
        <f>IF($T1976="","",IFERROR(INDEX('Resumo Grupos'!$AC$3:$AC$200,MATCH($T1976,'Resumo Grupos'!$AB$3:$AB$200,0)),"n/d"))</f>
        <v/>
      </c>
      <c r="AA1976" s="59">
        <f>IF($T1976="","",IF(COUNTIF('Resumo Grupos'!$AE$3:$AE$40,$T1976)&gt;0,"NAO","SIM"))</f>
        <v/>
      </c>
    </row>
    <row r="1977" ht="12.75" customHeight="1" s="60">
      <c r="A1977" s="59" t="n">
        <v>1</v>
      </c>
      <c r="B1977" s="75" t="n">
        <v>46233</v>
      </c>
      <c r="C1977" s="75" t="n">
        <v>46247</v>
      </c>
      <c r="D1977" s="59" t="n">
        <v>1705</v>
      </c>
      <c r="E1977" s="59" t="inlineStr">
        <is>
          <t>BRASIL NORTE BEBIDAS S/A</t>
        </is>
      </c>
      <c r="F1977" s="59" t="n">
        <v>24</v>
      </c>
      <c r="G1977" s="59" t="inlineStr">
        <is>
          <t>Compra a Prazo - Boletos</t>
        </is>
      </c>
      <c r="H1977" s="59" t="n">
        <v>2110405</v>
      </c>
      <c r="I1977" s="59" t="inlineStr">
        <is>
          <t>CONTAS A PAGAR</t>
        </is>
      </c>
      <c r="J1977" s="59" t="n">
        <v>1472670</v>
      </c>
      <c r="L1977" s="59" t="n">
        <v>1224519</v>
      </c>
      <c r="M1977" s="59" t="inlineStr">
        <is>
          <t>01</t>
        </is>
      </c>
      <c r="N1977" s="59" t="inlineStr">
        <is>
          <t>AVU</t>
        </is>
      </c>
      <c r="P1977" s="59" t="n">
        <v>103</v>
      </c>
      <c r="Q1977" s="59" t="inlineStr">
        <is>
          <t>MILKA FRANCIS</t>
        </is>
      </c>
      <c r="R1977" s="59" t="inlineStr">
        <is>
          <t>ESTOQUE DE MERCADORIAS</t>
        </is>
      </c>
      <c r="S1977" s="59" t="n">
        <v>1130101</v>
      </c>
      <c r="T1977" s="59" t="inlineStr">
        <is>
          <t>MERCADORIAS P/REVENDA</t>
        </is>
      </c>
      <c r="U1977" s="77" t="n">
        <v>291.66</v>
      </c>
      <c r="W1977" s="59" t="n">
        <v>291.66</v>
      </c>
      <c r="X1977" s="59" t="inlineStr">
        <is>
          <t>NF 1224519 COCA - MILKA</t>
        </is>
      </c>
      <c r="Z1977" s="59">
        <f>IF($T1977="","",IFERROR(INDEX('Resumo Grupos'!$AC$3:$AC$200,MATCH($T1977,'Resumo Grupos'!$AB$3:$AB$200,0)),"n/d"))</f>
        <v/>
      </c>
      <c r="AA1977" s="59">
        <f>IF($T1977="","",IF(COUNTIF('Resumo Grupos'!$AE$3:$AE$40,$T1977)&gt;0,"NAO","SIM"))</f>
        <v/>
      </c>
    </row>
    <row r="1978" ht="12.75" customHeight="1" s="60">
      <c r="A1978" s="59" t="n">
        <v>1</v>
      </c>
      <c r="B1978" s="75" t="n">
        <v>46233</v>
      </c>
      <c r="C1978" s="75" t="n">
        <v>46247</v>
      </c>
      <c r="D1978" s="59" t="n">
        <v>1705</v>
      </c>
      <c r="E1978" s="59" t="inlineStr">
        <is>
          <t>BRASIL NORTE BEBIDAS S/A</t>
        </is>
      </c>
      <c r="F1978" s="59" t="n">
        <v>24</v>
      </c>
      <c r="G1978" s="59" t="inlineStr">
        <is>
          <t>Compra a Prazo - Boletos</t>
        </is>
      </c>
      <c r="H1978" s="59" t="n">
        <v>2110405</v>
      </c>
      <c r="I1978" s="59" t="inlineStr">
        <is>
          <t>CONTAS A PAGAR</t>
        </is>
      </c>
      <c r="J1978" s="59" t="n">
        <v>1472741</v>
      </c>
      <c r="L1978" s="59" t="n">
        <v>1225932</v>
      </c>
      <c r="M1978" s="59" t="inlineStr">
        <is>
          <t>01</t>
        </is>
      </c>
      <c r="N1978" s="59" t="inlineStr">
        <is>
          <t>AVU</t>
        </is>
      </c>
      <c r="P1978" s="59" t="n">
        <v>103</v>
      </c>
      <c r="Q1978" s="59" t="inlineStr">
        <is>
          <t>MILKA FRANCIS</t>
        </is>
      </c>
      <c r="R1978" s="59" t="inlineStr">
        <is>
          <t>ESTOQUE DE MERCADORIAS</t>
        </is>
      </c>
      <c r="S1978" s="59" t="n">
        <v>1130101</v>
      </c>
      <c r="T1978" s="59" t="inlineStr">
        <is>
          <t>MERCADORIAS P/REVENDA</t>
        </is>
      </c>
      <c r="U1978" s="77" t="n">
        <v>2841.78</v>
      </c>
      <c r="W1978" s="59" t="n">
        <v>2841.78</v>
      </c>
      <c r="X1978" s="59" t="inlineStr">
        <is>
          <t>NF 1225932 COCA - MILKA</t>
        </is>
      </c>
      <c r="Z1978" s="59">
        <f>IF($T1978="","",IFERROR(INDEX('Resumo Grupos'!$AC$3:$AC$200,MATCH($T1978,'Resumo Grupos'!$AB$3:$AB$200,0)),"n/d"))</f>
        <v/>
      </c>
      <c r="AA1978" s="59">
        <f>IF($T1978="","",IF(COUNTIF('Resumo Grupos'!$AE$3:$AE$40,$T1978)&gt;0,"NAO","SIM"))</f>
        <v/>
      </c>
    </row>
    <row r="1979" ht="12.75" customHeight="1" s="60">
      <c r="A1979" s="59" t="n">
        <v>1</v>
      </c>
      <c r="B1979" s="75" t="n">
        <v>46233</v>
      </c>
      <c r="C1979" s="75" t="n">
        <v>46247</v>
      </c>
      <c r="D1979" s="59" t="n">
        <v>1705</v>
      </c>
      <c r="E1979" s="59" t="inlineStr">
        <is>
          <t>BRASIL NORTE BEBIDAS S/A</t>
        </is>
      </c>
      <c r="F1979" s="59" t="n">
        <v>24</v>
      </c>
      <c r="G1979" s="59" t="inlineStr">
        <is>
          <t>Compra a Prazo - Boletos</t>
        </is>
      </c>
      <c r="H1979" s="59" t="n">
        <v>2110405</v>
      </c>
      <c r="I1979" s="59" t="inlineStr">
        <is>
          <t>CONTAS A PAGAR</t>
        </is>
      </c>
      <c r="J1979" s="59" t="n">
        <v>1472992</v>
      </c>
      <c r="L1979" s="59" t="n">
        <v>1959703</v>
      </c>
      <c r="M1979" s="59" t="inlineStr">
        <is>
          <t>01</t>
        </is>
      </c>
      <c r="N1979" s="59" t="inlineStr">
        <is>
          <t>AVU</t>
        </is>
      </c>
      <c r="P1979" s="59" t="n">
        <v>103</v>
      </c>
      <c r="Q1979" s="59" t="inlineStr">
        <is>
          <t>MILKA FRANCIS</t>
        </is>
      </c>
      <c r="R1979" s="59" t="inlineStr">
        <is>
          <t>ESTOQUE DE MERCADORIAS</t>
        </is>
      </c>
      <c r="S1979" s="59" t="n">
        <v>1130101</v>
      </c>
      <c r="T1979" s="59" t="inlineStr">
        <is>
          <t>MERCADORIAS P/REVENDA</t>
        </is>
      </c>
      <c r="U1979" s="77" t="n">
        <v>7097.53</v>
      </c>
      <c r="W1979" s="59" t="n">
        <v>7097.53</v>
      </c>
      <c r="X1979" s="59" t="inlineStr">
        <is>
          <t>NF 1959703 COCA - MILKA</t>
        </is>
      </c>
      <c r="Z1979" s="59">
        <f>IF($T1979="","",IFERROR(INDEX('Resumo Grupos'!$AC$3:$AC$200,MATCH($T1979,'Resumo Grupos'!$AB$3:$AB$200,0)),"n/d"))</f>
        <v/>
      </c>
      <c r="AA1979" s="59">
        <f>IF($T1979="","",IF(COUNTIF('Resumo Grupos'!$AE$3:$AE$40,$T1979)&gt;0,"NAO","SIM"))</f>
        <v/>
      </c>
    </row>
    <row r="1980" ht="12.75" customHeight="1" s="60">
      <c r="A1980" s="59" t="n">
        <v>1</v>
      </c>
      <c r="B1980" s="75" t="n">
        <v>46238</v>
      </c>
      <c r="C1980" s="75" t="n">
        <v>46247</v>
      </c>
      <c r="D1980" s="59" t="n">
        <v>1723</v>
      </c>
      <c r="E1980" s="59" t="inlineStr">
        <is>
          <t>COMERCIO DE FRIOS MANAUS LTDA</t>
        </is>
      </c>
      <c r="F1980" s="59" t="n">
        <v>24</v>
      </c>
      <c r="G1980" s="59" t="inlineStr">
        <is>
          <t>Compra a Prazo - Boletos</t>
        </is>
      </c>
      <c r="H1980" s="59" t="n">
        <v>2110405</v>
      </c>
      <c r="I1980" s="59" t="inlineStr">
        <is>
          <t>CONTAS A PAGAR</t>
        </is>
      </c>
      <c r="J1980" s="59" t="n">
        <v>1500543</v>
      </c>
      <c r="L1980" s="59" t="n">
        <v>174223</v>
      </c>
      <c r="M1980" s="59" t="inlineStr">
        <is>
          <t>01</t>
        </is>
      </c>
      <c r="N1980" s="59" t="inlineStr">
        <is>
          <t>AVU</t>
        </is>
      </c>
      <c r="P1980" s="59" t="n">
        <v>103</v>
      </c>
      <c r="Q1980" s="59" t="inlineStr">
        <is>
          <t>MILKA FRANCIS</t>
        </is>
      </c>
      <c r="R1980" s="59" t="inlineStr">
        <is>
          <t>ESTOQUE DE MERCADORIAS</t>
        </is>
      </c>
      <c r="S1980" s="59" t="n">
        <v>1130101</v>
      </c>
      <c r="T1980" s="59" t="inlineStr">
        <is>
          <t>MERCADORIAS P/REVENDA</t>
        </is>
      </c>
      <c r="U1980" s="77" t="n">
        <v>5869.6</v>
      </c>
      <c r="W1980" s="59" t="n">
        <v>5869.6</v>
      </c>
      <c r="X1980" s="59" t="inlineStr">
        <is>
          <t>NF174223 - MILKA</t>
        </is>
      </c>
      <c r="Z1980" s="59">
        <f>IF($T1980="","",IFERROR(INDEX('Resumo Grupos'!$AC$3:$AC$200,MATCH($T1980,'Resumo Grupos'!$AB$3:$AB$200,0)),"n/d"))</f>
        <v/>
      </c>
      <c r="AA1980" s="59">
        <f>IF($T1980="","",IF(COUNTIF('Resumo Grupos'!$AE$3:$AE$40,$T1980)&gt;0,"NAO","SIM"))</f>
        <v/>
      </c>
    </row>
    <row r="1981" ht="12.75" customHeight="1" s="60">
      <c r="A1981" s="59" t="n">
        <v>1</v>
      </c>
      <c r="B1981" s="75" t="n">
        <v>46240</v>
      </c>
      <c r="C1981" s="75" t="n">
        <v>46247</v>
      </c>
      <c r="D1981" s="59" t="n">
        <v>754</v>
      </c>
      <c r="E1981" s="59" t="inlineStr">
        <is>
          <t>SILVA E SANTOS FRIGORIFICO LTDA</t>
        </is>
      </c>
      <c r="F1981" s="59" t="n">
        <v>24</v>
      </c>
      <c r="G1981" s="59" t="inlineStr">
        <is>
          <t>Compra a Prazo - Boletos</t>
        </is>
      </c>
      <c r="H1981" s="59" t="n">
        <v>2110405</v>
      </c>
      <c r="I1981" s="59" t="inlineStr">
        <is>
          <t>CONTAS A PAGAR</t>
        </is>
      </c>
      <c r="J1981" s="59" t="n">
        <v>1509268</v>
      </c>
      <c r="L1981" s="59" t="n">
        <v>32272</v>
      </c>
      <c r="M1981" s="59" t="inlineStr">
        <is>
          <t>01</t>
        </is>
      </c>
      <c r="N1981" s="59" t="inlineStr">
        <is>
          <t>AVU</t>
        </is>
      </c>
      <c r="P1981" s="59" t="n">
        <v>103</v>
      </c>
      <c r="Q1981" s="59" t="inlineStr">
        <is>
          <t>MILKA FRANCIS</t>
        </is>
      </c>
      <c r="R1981" s="59" t="inlineStr">
        <is>
          <t>ESTOQUE DE MERCADORIAS</t>
        </is>
      </c>
      <c r="S1981" s="59" t="n">
        <v>1130101</v>
      </c>
      <c r="T1981" s="59" t="inlineStr">
        <is>
          <t>MERCADORIAS P/REVENDA</t>
        </is>
      </c>
      <c r="U1981" s="77" t="n">
        <v>1968.7</v>
      </c>
      <c r="W1981" s="59" t="n">
        <v>1968.7</v>
      </c>
      <c r="X1981" s="59" t="inlineStr">
        <is>
          <t>NF 32272 - MILKA</t>
        </is>
      </c>
      <c r="Z1981" s="59">
        <f>IF($T1981="","",IFERROR(INDEX('Resumo Grupos'!$AC$3:$AC$200,MATCH($T1981,'Resumo Grupos'!$AB$3:$AB$200,0)),"n/d"))</f>
        <v/>
      </c>
      <c r="AA1981" s="59">
        <f>IF($T1981="","",IF(COUNTIF('Resumo Grupos'!$AE$3:$AE$40,$T1981)&gt;0,"NAO","SIM"))</f>
        <v/>
      </c>
    </row>
    <row r="1982" ht="12.75" customHeight="1" s="60">
      <c r="A1982" s="59" t="n">
        <v>1</v>
      </c>
      <c r="B1982" s="75" t="n">
        <v>46240</v>
      </c>
      <c r="C1982" s="75" t="n">
        <v>46247</v>
      </c>
      <c r="D1982" s="59" t="n">
        <v>1625</v>
      </c>
      <c r="E1982" s="59" t="inlineStr">
        <is>
          <t>MAXFRI DISTRIUIDORA LTDA</t>
        </is>
      </c>
      <c r="F1982" s="59" t="n">
        <v>24</v>
      </c>
      <c r="G1982" s="59" t="inlineStr">
        <is>
          <t>Compra a Prazo - Boletos</t>
        </is>
      </c>
      <c r="H1982" s="59" t="n">
        <v>2110405</v>
      </c>
      <c r="I1982" s="59" t="inlineStr">
        <is>
          <t>CONTAS A PAGAR</t>
        </is>
      </c>
      <c r="J1982" s="59" t="n">
        <v>1509472</v>
      </c>
      <c r="L1982" s="59" t="n">
        <v>14959</v>
      </c>
      <c r="M1982" s="59" t="inlineStr">
        <is>
          <t>01</t>
        </is>
      </c>
      <c r="N1982" s="59" t="inlineStr">
        <is>
          <t>AVU</t>
        </is>
      </c>
      <c r="P1982" s="59" t="n">
        <v>103</v>
      </c>
      <c r="Q1982" s="59" t="inlineStr">
        <is>
          <t>MILKA FRANCIS</t>
        </is>
      </c>
      <c r="R1982" s="59" t="inlineStr">
        <is>
          <t>ESTOQUE DE MERCADORIAS</t>
        </is>
      </c>
      <c r="S1982" s="59" t="n">
        <v>1130101</v>
      </c>
      <c r="T1982" s="59" t="inlineStr">
        <is>
          <t>MERCADORIAS P/REVENDA</t>
        </is>
      </c>
      <c r="U1982" s="77" t="n">
        <v>3860.7</v>
      </c>
      <c r="W1982" s="59" t="n">
        <v>3860.7</v>
      </c>
      <c r="X1982" s="59" t="inlineStr">
        <is>
          <t>NF 14959 - MILKA</t>
        </is>
      </c>
      <c r="Z1982" s="59">
        <f>IF($T1982="","",IFERROR(INDEX('Resumo Grupos'!$AC$3:$AC$200,MATCH($T1982,'Resumo Grupos'!$AB$3:$AB$200,0)),"n/d"))</f>
        <v/>
      </c>
      <c r="AA1982" s="59">
        <f>IF($T1982="","",IF(COUNTIF('Resumo Grupos'!$AE$3:$AE$40,$T1982)&gt;0,"NAO","SIM"))</f>
        <v/>
      </c>
    </row>
    <row r="1983" ht="12.75" customHeight="1" s="60">
      <c r="A1983" s="59" t="n">
        <v>1</v>
      </c>
      <c r="B1983" s="75" t="n">
        <v>46240</v>
      </c>
      <c r="C1983" s="75" t="n">
        <v>46247</v>
      </c>
      <c r="D1983" s="59" t="n">
        <v>1614</v>
      </c>
      <c r="E1983" s="59" t="inlineStr">
        <is>
          <t>C. R. PARENTE ABREU</t>
        </is>
      </c>
      <c r="F1983" s="59" t="n">
        <v>24</v>
      </c>
      <c r="G1983" s="59" t="inlineStr">
        <is>
          <t>Compra a Prazo - Boletos</t>
        </is>
      </c>
      <c r="H1983" s="59" t="n">
        <v>2110405</v>
      </c>
      <c r="I1983" s="59" t="inlineStr">
        <is>
          <t>CONTAS A PAGAR</t>
        </is>
      </c>
      <c r="J1983" s="59" t="n">
        <v>1509557</v>
      </c>
      <c r="L1983" s="59" t="n">
        <v>11530</v>
      </c>
      <c r="M1983" s="59" t="inlineStr">
        <is>
          <t>02</t>
        </is>
      </c>
      <c r="N1983" s="59" t="inlineStr">
        <is>
          <t>AVU</t>
        </is>
      </c>
      <c r="P1983" s="59" t="n">
        <v>103</v>
      </c>
      <c r="Q1983" s="59" t="inlineStr">
        <is>
          <t>MILKA FRANCIS</t>
        </is>
      </c>
      <c r="R1983" s="59" t="inlineStr">
        <is>
          <t>ESTOQUE DE MERCADORIAS</t>
        </is>
      </c>
      <c r="S1983" s="59" t="n">
        <v>1130101</v>
      </c>
      <c r="T1983" s="59" t="inlineStr">
        <is>
          <t>MERCADORIAS P/REVENDA</t>
        </is>
      </c>
      <c r="U1983" s="77" t="n">
        <v>695.21</v>
      </c>
      <c r="W1983" s="59" t="n">
        <v>695.21</v>
      </c>
      <c r="X1983" s="59" t="inlineStr">
        <is>
          <t>NF 11530 -2 KARU - MILKA</t>
        </is>
      </c>
      <c r="Z1983" s="59">
        <f>IF($T1983="","",IFERROR(INDEX('Resumo Grupos'!$AC$3:$AC$200,MATCH($T1983,'Resumo Grupos'!$AB$3:$AB$200,0)),"n/d"))</f>
        <v/>
      </c>
      <c r="AA1983" s="59">
        <f>IF($T1983="","",IF(COUNTIF('Resumo Grupos'!$AE$3:$AE$40,$T1983)&gt;0,"NAO","SIM"))</f>
        <v/>
      </c>
    </row>
    <row r="1984" ht="12.75" customHeight="1" s="60">
      <c r="A1984" s="59" t="n">
        <v>1</v>
      </c>
      <c r="B1984" s="75" t="n">
        <v>46105</v>
      </c>
      <c r="C1984" s="75" t="n">
        <v>46247</v>
      </c>
      <c r="D1984" s="59" t="n">
        <v>10056</v>
      </c>
      <c r="E1984" s="59" t="inlineStr">
        <is>
          <t>BOLT CARD</t>
        </is>
      </c>
      <c r="F1984" s="59" t="n">
        <v>42</v>
      </c>
      <c r="G1984" s="59" t="inlineStr">
        <is>
          <t>Cartao Itau Novo 4620 Venc 13</t>
        </is>
      </c>
      <c r="H1984" s="59" t="n">
        <v>2110405</v>
      </c>
      <c r="I1984" s="59" t="inlineStr">
        <is>
          <t>CONTAS A PAGAR</t>
        </is>
      </c>
      <c r="J1984" s="59" t="n">
        <v>1514486</v>
      </c>
      <c r="L1984" s="59" t="n">
        <v>620165</v>
      </c>
      <c r="M1984" s="59" t="inlineStr">
        <is>
          <t>01</t>
        </is>
      </c>
      <c r="N1984" s="59" t="inlineStr">
        <is>
          <t>AVU</t>
        </is>
      </c>
      <c r="P1984" s="59" t="n">
        <v>101</v>
      </c>
      <c r="Q1984" s="59" t="inlineStr">
        <is>
          <t>KEILA LIMA</t>
        </is>
      </c>
      <c r="R1984" s="59" t="inlineStr">
        <is>
          <t>DESPESAS NAO OPERACIONAIS</t>
        </is>
      </c>
      <c r="S1984" s="59" t="n">
        <v>4220199</v>
      </c>
      <c r="T1984" s="59" t="inlineStr">
        <is>
          <t>PAGAMENTOS OUTROS NAO OPERACIONAIS</t>
        </is>
      </c>
      <c r="U1984" s="77" t="n">
        <v>233.35</v>
      </c>
      <c r="W1984" s="59" t="n">
        <v>233.35</v>
      </c>
      <c r="X1984" s="59" t="inlineStr">
        <is>
          <t>NAO SOMAR RATEIO LOJAS BOLTCARD</t>
        </is>
      </c>
      <c r="Z1984" s="59">
        <f>IF($T1984="","",IFERROR(INDEX('Resumo Grupos'!$AC$3:$AC$200,MATCH($T1984,'Resumo Grupos'!$AB$3:$AB$200,0)),"n/d"))</f>
        <v/>
      </c>
      <c r="AA1984" s="59">
        <f>IF($T1984="","",IF(COUNTIF('Resumo Grupos'!$AE$3:$AE$40,$T1984)&gt;0,"NAO","SIM"))</f>
        <v/>
      </c>
    </row>
    <row r="1985" ht="12.75" customHeight="1" s="60">
      <c r="A1985" s="59" t="n">
        <v>1</v>
      </c>
      <c r="B1985" s="75" t="n">
        <v>46241</v>
      </c>
      <c r="C1985" s="75" t="n">
        <v>46247</v>
      </c>
      <c r="D1985" s="59" t="n">
        <v>1789</v>
      </c>
      <c r="E1985" s="59" t="inlineStr">
        <is>
          <t>AMAZONAS ENERGIA S/A</t>
        </is>
      </c>
      <c r="F1985" s="59" t="n">
        <v>24</v>
      </c>
      <c r="G1985" s="59" t="inlineStr">
        <is>
          <t>Compra a Prazo - Boletos</t>
        </is>
      </c>
      <c r="H1985" s="59" t="n">
        <v>2110405</v>
      </c>
      <c r="I1985" s="59" t="inlineStr">
        <is>
          <t>CONTAS A PAGAR</t>
        </is>
      </c>
      <c r="J1985" s="59" t="n">
        <v>1514497</v>
      </c>
      <c r="L1985" s="59" t="n">
        <v>119441429</v>
      </c>
      <c r="M1985" s="59" t="inlineStr">
        <is>
          <t>01</t>
        </is>
      </c>
      <c r="N1985" s="59" t="inlineStr">
        <is>
          <t>AVU</t>
        </is>
      </c>
      <c r="P1985" s="59" t="n">
        <v>101</v>
      </c>
      <c r="Q1985" s="59" t="inlineStr">
        <is>
          <t>KEILA LIMA</t>
        </is>
      </c>
      <c r="R1985" s="59" t="inlineStr">
        <is>
          <t>DESPESAS COMERCIAIS</t>
        </is>
      </c>
      <c r="S1985" s="59" t="n">
        <v>4210112</v>
      </c>
      <c r="T1985" s="59" t="inlineStr">
        <is>
          <t>ENERGIA ELETRICA</t>
        </is>
      </c>
      <c r="U1985" s="77" t="n">
        <v>18429.49</v>
      </c>
      <c r="W1985" s="59" t="n">
        <v>18429.49</v>
      </c>
      <c r="X1985" s="59" t="inlineStr">
        <is>
          <t>ENERGIA MO1 LOJA UC 552193002-71 - KEILA</t>
        </is>
      </c>
      <c r="Z1985" s="59">
        <f>IF($T1985="","",IFERROR(INDEX('Resumo Grupos'!$AC$3:$AC$200,MATCH($T1985,'Resumo Grupos'!$AB$3:$AB$200,0)),"n/d"))</f>
        <v/>
      </c>
      <c r="AA1985" s="59">
        <f>IF($T1985="","",IF(COUNTIF('Resumo Grupos'!$AE$3:$AE$40,$T1985)&gt;0,"NAO","SIM"))</f>
        <v/>
      </c>
    </row>
    <row r="1986" ht="12.75" customHeight="1" s="60">
      <c r="A1986" s="59" t="n">
        <v>1</v>
      </c>
      <c r="B1986" s="75" t="n">
        <v>46242</v>
      </c>
      <c r="C1986" s="75" t="n">
        <v>46247</v>
      </c>
      <c r="D1986" s="59" t="n">
        <v>10019</v>
      </c>
      <c r="E1986" s="59" t="inlineStr">
        <is>
          <t>FALCAO INDUSTRIA DE ALIMENTOS LTDA</t>
        </is>
      </c>
      <c r="F1986" s="59" t="n">
        <v>24</v>
      </c>
      <c r="G1986" s="59" t="inlineStr">
        <is>
          <t>Compra a Prazo - Boletos</t>
        </is>
      </c>
      <c r="H1986" s="59" t="n">
        <v>2110405</v>
      </c>
      <c r="I1986" s="59" t="inlineStr">
        <is>
          <t>CONTAS A PAGAR</t>
        </is>
      </c>
      <c r="J1986" s="59" t="n">
        <v>1517889</v>
      </c>
      <c r="L1986" s="59" t="n">
        <v>32287</v>
      </c>
      <c r="M1986" s="59" t="inlineStr">
        <is>
          <t>01</t>
        </is>
      </c>
      <c r="N1986" s="59" t="inlineStr">
        <is>
          <t>AVU</t>
        </is>
      </c>
      <c r="P1986" s="59" t="n">
        <v>103</v>
      </c>
      <c r="Q1986" s="59" t="inlineStr">
        <is>
          <t>MILKA FRANCIS</t>
        </is>
      </c>
      <c r="R1986" s="59" t="inlineStr">
        <is>
          <t>ESTOQUE DE MERCADORIAS</t>
        </is>
      </c>
      <c r="S1986" s="59" t="n">
        <v>1130101</v>
      </c>
      <c r="T1986" s="59" t="inlineStr">
        <is>
          <t>MERCADORIAS P/REVENDA</t>
        </is>
      </c>
      <c r="U1986" s="77" t="n">
        <v>4154.08</v>
      </c>
      <c r="W1986" s="59" t="n">
        <v>4154.08</v>
      </c>
      <c r="X1986" s="59" t="inlineStr">
        <is>
          <t>80802/1  NF32287 - MILKA</t>
        </is>
      </c>
      <c r="Z1986" s="59">
        <f>IF($T1986="","",IFERROR(INDEX('Resumo Grupos'!$AC$3:$AC$200,MATCH($T1986,'Resumo Grupos'!$AB$3:$AB$200,0)),"n/d"))</f>
        <v/>
      </c>
      <c r="AA1986" s="59">
        <f>IF($T1986="","",IF(COUNTIF('Resumo Grupos'!$AE$3:$AE$40,$T1986)&gt;0,"NAO","SIM"))</f>
        <v/>
      </c>
    </row>
    <row r="1987" ht="12.75" customHeight="1" s="60">
      <c r="A1987" s="59" t="n">
        <v>1</v>
      </c>
      <c r="B1987" s="75" t="n">
        <v>46244</v>
      </c>
      <c r="C1987" s="75" t="n">
        <v>46247</v>
      </c>
      <c r="D1987" s="59" t="n">
        <v>1363</v>
      </c>
      <c r="E1987" s="59" t="inlineStr">
        <is>
          <t>JAB COMERCIO DE PRODUTOS ALIMENTICIOS LT</t>
        </is>
      </c>
      <c r="F1987" s="59" t="n">
        <v>24</v>
      </c>
      <c r="G1987" s="59" t="inlineStr">
        <is>
          <t>Compra a Prazo - Boletos</t>
        </is>
      </c>
      <c r="H1987" s="59" t="n">
        <v>2110405</v>
      </c>
      <c r="I1987" s="59" t="inlineStr">
        <is>
          <t>CONTAS A PAGAR</t>
        </is>
      </c>
      <c r="J1987" s="59" t="n">
        <v>1528654</v>
      </c>
      <c r="L1987" s="59" t="n">
        <v>3683</v>
      </c>
      <c r="M1987" s="59" t="inlineStr">
        <is>
          <t>01</t>
        </is>
      </c>
      <c r="N1987" s="59" t="inlineStr">
        <is>
          <t>AVU</t>
        </is>
      </c>
      <c r="P1987" s="59" t="n">
        <v>103</v>
      </c>
      <c r="Q1987" s="59" t="inlineStr">
        <is>
          <t>MILKA FRANCIS</t>
        </is>
      </c>
      <c r="R1987" s="59" t="inlineStr">
        <is>
          <t>ESTOQUE DE MERCADORIAS</t>
        </is>
      </c>
      <c r="S1987" s="59" t="n">
        <v>1130101</v>
      </c>
      <c r="T1987" s="59" t="inlineStr">
        <is>
          <t>MERCADORIAS P/REVENDA</t>
        </is>
      </c>
      <c r="U1987" s="77" t="n">
        <v>426</v>
      </c>
      <c r="W1987" s="59" t="n">
        <v>426</v>
      </c>
      <c r="X1987" s="59" t="inlineStr">
        <is>
          <t>NF3683 SANTO PAO - MILKA</t>
        </is>
      </c>
      <c r="Z1987" s="59">
        <f>IF($T1987="","",IFERROR(INDEX('Resumo Grupos'!$AC$3:$AC$200,MATCH($T1987,'Resumo Grupos'!$AB$3:$AB$200,0)),"n/d"))</f>
        <v/>
      </c>
      <c r="AA1987" s="59">
        <f>IF($T1987="","",IF(COUNTIF('Resumo Grupos'!$AE$3:$AE$40,$T1987)&gt;0,"NAO","SIM"))</f>
        <v/>
      </c>
    </row>
    <row r="1988" ht="12.75" customHeight="1" s="60">
      <c r="A1988" s="59" t="n">
        <v>1</v>
      </c>
      <c r="B1988" s="75" t="n">
        <v>46244</v>
      </c>
      <c r="C1988" s="75" t="n">
        <v>46247</v>
      </c>
      <c r="D1988" s="59" t="n">
        <v>1328</v>
      </c>
      <c r="E1988" s="59" t="inlineStr">
        <is>
          <t>NOVA FRIOS COMERCIO ATACADISTA DE LATICINIOS LTDA</t>
        </is>
      </c>
      <c r="F1988" s="59" t="n">
        <v>24</v>
      </c>
      <c r="G1988" s="59" t="inlineStr">
        <is>
          <t>Compra a Prazo - Boletos</t>
        </is>
      </c>
      <c r="H1988" s="59" t="n">
        <v>2110405</v>
      </c>
      <c r="I1988" s="59" t="inlineStr">
        <is>
          <t>CONTAS A PAGAR</t>
        </is>
      </c>
      <c r="J1988" s="59" t="n">
        <v>1528680</v>
      </c>
      <c r="L1988" s="59" t="n">
        <v>4312</v>
      </c>
      <c r="M1988" s="59" t="inlineStr">
        <is>
          <t>01</t>
        </is>
      </c>
      <c r="N1988" s="59" t="inlineStr">
        <is>
          <t>AVU</t>
        </is>
      </c>
      <c r="P1988" s="59" t="n">
        <v>103</v>
      </c>
      <c r="Q1988" s="59" t="inlineStr">
        <is>
          <t>MILKA FRANCIS</t>
        </is>
      </c>
      <c r="R1988" s="59" t="inlineStr">
        <is>
          <t>ESTOQUE DE MERCADORIAS</t>
        </is>
      </c>
      <c r="S1988" s="59" t="n">
        <v>1130101</v>
      </c>
      <c r="T1988" s="59" t="inlineStr">
        <is>
          <t>MERCADORIAS P/REVENDA</t>
        </is>
      </c>
      <c r="U1988" s="77" t="n">
        <v>290</v>
      </c>
      <c r="W1988" s="59" t="n">
        <v>290</v>
      </c>
      <c r="X1988" s="59" t="inlineStr">
        <is>
          <t>NF 4312 BODEGA DO PAO - MILKA</t>
        </is>
      </c>
      <c r="Z1988" s="59">
        <f>IF($T1988="","",IFERROR(INDEX('Resumo Grupos'!$AC$3:$AC$200,MATCH($T1988,'Resumo Grupos'!$AB$3:$AB$200,0)),"n/d"))</f>
        <v/>
      </c>
      <c r="AA1988" s="59">
        <f>IF($T1988="","",IF(COUNTIF('Resumo Grupos'!$AE$3:$AE$40,$T1988)&gt;0,"NAO","SIM"))</f>
        <v/>
      </c>
    </row>
    <row r="1989" ht="12.75" customHeight="1" s="60">
      <c r="A1989" s="59" t="n">
        <v>1</v>
      </c>
      <c r="B1989" s="75" t="n">
        <v>46244</v>
      </c>
      <c r="C1989" s="75" t="n">
        <v>46247</v>
      </c>
      <c r="D1989" s="59" t="n">
        <v>1276</v>
      </c>
      <c r="E1989" s="59" t="inlineStr">
        <is>
          <t>PRIMICIA DISTRIBUIDORA DE FRIOS LTDA</t>
        </is>
      </c>
      <c r="F1989" s="59" t="n">
        <v>24</v>
      </c>
      <c r="G1989" s="59" t="inlineStr">
        <is>
          <t>Compra a Prazo - Boletos</t>
        </is>
      </c>
      <c r="H1989" s="59" t="n">
        <v>2110405</v>
      </c>
      <c r="I1989" s="59" t="inlineStr">
        <is>
          <t>CONTAS A PAGAR</t>
        </is>
      </c>
      <c r="J1989" s="59" t="n">
        <v>1528689</v>
      </c>
      <c r="L1989" s="59" t="n">
        <v>3146</v>
      </c>
      <c r="M1989" s="59" t="inlineStr">
        <is>
          <t>01</t>
        </is>
      </c>
      <c r="N1989" s="59" t="inlineStr">
        <is>
          <t>AVU</t>
        </is>
      </c>
      <c r="P1989" s="59" t="n">
        <v>103</v>
      </c>
      <c r="Q1989" s="59" t="inlineStr">
        <is>
          <t>MILKA FRANCIS</t>
        </is>
      </c>
      <c r="R1989" s="59" t="inlineStr">
        <is>
          <t>ESTOQUE DE MERCADORIAS</t>
        </is>
      </c>
      <c r="S1989" s="59" t="n">
        <v>1130101</v>
      </c>
      <c r="T1989" s="59" t="inlineStr">
        <is>
          <t>MERCADORIAS P/REVENDA</t>
        </is>
      </c>
      <c r="U1989" s="77" t="n">
        <v>1254</v>
      </c>
      <c r="W1989" s="59" t="n">
        <v>1254</v>
      </c>
      <c r="X1989" s="59" t="inlineStr">
        <is>
          <t>NF 3146 - MILKA</t>
        </is>
      </c>
      <c r="Z1989" s="59">
        <f>IF($T1989="","",IFERROR(INDEX('Resumo Grupos'!$AC$3:$AC$200,MATCH($T1989,'Resumo Grupos'!$AB$3:$AB$200,0)),"n/d"))</f>
        <v/>
      </c>
      <c r="AA1989" s="59">
        <f>IF($T1989="","",IF(COUNTIF('Resumo Grupos'!$AE$3:$AE$40,$T1989)&gt;0,"NAO","SIM"))</f>
        <v/>
      </c>
    </row>
    <row r="1990" ht="12.75" customHeight="1" s="60">
      <c r="A1990" s="59" t="n">
        <v>1</v>
      </c>
      <c r="B1990" s="75" t="n">
        <v>46244</v>
      </c>
      <c r="C1990" s="75" t="n">
        <v>46247</v>
      </c>
      <c r="D1990" s="59" t="n">
        <v>1276</v>
      </c>
      <c r="E1990" s="59" t="inlineStr">
        <is>
          <t>PRIMICIA DISTRIBUIDORA DE FRIOS LTDA</t>
        </is>
      </c>
      <c r="F1990" s="59" t="n">
        <v>24</v>
      </c>
      <c r="G1990" s="59" t="inlineStr">
        <is>
          <t>Compra a Prazo - Boletos</t>
        </is>
      </c>
      <c r="H1990" s="59" t="n">
        <v>2110405</v>
      </c>
      <c r="I1990" s="59" t="inlineStr">
        <is>
          <t>CONTAS A PAGAR</t>
        </is>
      </c>
      <c r="J1990" s="59" t="n">
        <v>1528712</v>
      </c>
      <c r="L1990" s="59" t="n">
        <v>3145</v>
      </c>
      <c r="M1990" s="59" t="inlineStr">
        <is>
          <t>01</t>
        </is>
      </c>
      <c r="N1990" s="59" t="inlineStr">
        <is>
          <t>AVU</t>
        </is>
      </c>
      <c r="P1990" s="59" t="n">
        <v>103</v>
      </c>
      <c r="Q1990" s="59" t="inlineStr">
        <is>
          <t>MILKA FRANCIS</t>
        </is>
      </c>
      <c r="R1990" s="59" t="inlineStr">
        <is>
          <t>DESPESAS OPERACIONAIS</t>
        </is>
      </c>
      <c r="S1990" s="59" t="n">
        <v>4210228</v>
      </c>
      <c r="T1990" s="59" t="inlineStr">
        <is>
          <t>DESPESAS PADARIA</t>
        </is>
      </c>
      <c r="U1990" s="77" t="n">
        <v>743.5</v>
      </c>
      <c r="W1990" s="59" t="n">
        <v>743.5</v>
      </c>
      <c r="X1990" s="59" t="inlineStr">
        <is>
          <t>NF 3145 QUEIJO/PRESUNTO /USO E CONSUMO PADARIA - MILKA</t>
        </is>
      </c>
      <c r="Z1990" s="59">
        <f>IF($T1990="","",IFERROR(INDEX('Resumo Grupos'!$AC$3:$AC$200,MATCH($T1990,'Resumo Grupos'!$AB$3:$AB$200,0)),"n/d"))</f>
        <v/>
      </c>
      <c r="AA1990" s="59">
        <f>IF($T1990="","",IF(COUNTIF('Resumo Grupos'!$AE$3:$AE$40,$T1990)&gt;0,"NAO","SIM"))</f>
        <v/>
      </c>
    </row>
    <row r="1991" ht="12.75" customHeight="1" s="60">
      <c r="A1991" s="59" t="n">
        <v>1</v>
      </c>
      <c r="B1991" s="75" t="n">
        <v>46244</v>
      </c>
      <c r="C1991" s="75" t="n">
        <v>46247</v>
      </c>
      <c r="D1991" s="59" t="n">
        <v>1024</v>
      </c>
      <c r="E1991" s="59" t="inlineStr">
        <is>
          <t>REAL BEBIDAS DA AMAZONIA LTDA</t>
        </is>
      </c>
      <c r="F1991" s="59" t="n">
        <v>24</v>
      </c>
      <c r="G1991" s="59" t="inlineStr">
        <is>
          <t>Compra a Prazo - Boletos</t>
        </is>
      </c>
      <c r="H1991" s="59" t="n">
        <v>2110405</v>
      </c>
      <c r="I1991" s="59" t="inlineStr">
        <is>
          <t>CONTAS A PAGAR</t>
        </is>
      </c>
      <c r="J1991" s="59" t="n">
        <v>1528729</v>
      </c>
      <c r="L1991" s="59" t="n">
        <v>616331</v>
      </c>
      <c r="M1991" s="59" t="inlineStr">
        <is>
          <t>01</t>
        </is>
      </c>
      <c r="N1991" s="59" t="inlineStr">
        <is>
          <t>AVU</t>
        </is>
      </c>
      <c r="P1991" s="59" t="n">
        <v>103</v>
      </c>
      <c r="Q1991" s="59" t="inlineStr">
        <is>
          <t>MILKA FRANCIS</t>
        </is>
      </c>
      <c r="R1991" s="59" t="inlineStr">
        <is>
          <t>ESTOQUE DE MERCADORIAS</t>
        </is>
      </c>
      <c r="S1991" s="59" t="n">
        <v>1130101</v>
      </c>
      <c r="T1991" s="59" t="inlineStr">
        <is>
          <t>MERCADORIAS P/REVENDA</t>
        </is>
      </c>
      <c r="U1991" s="77" t="n">
        <v>855</v>
      </c>
      <c r="W1991" s="59" t="n">
        <v>855</v>
      </c>
      <c r="X1991" s="59" t="inlineStr">
        <is>
          <t>NF 616331 - MILKA</t>
        </is>
      </c>
      <c r="Z1991" s="59">
        <f>IF($T1991="","",IFERROR(INDEX('Resumo Grupos'!$AC$3:$AC$200,MATCH($T1991,'Resumo Grupos'!$AB$3:$AB$200,0)),"n/d"))</f>
        <v/>
      </c>
      <c r="AA1991" s="59">
        <f>IF($T1991="","",IF(COUNTIF('Resumo Grupos'!$AE$3:$AE$40,$T1991)&gt;0,"NAO","SIM"))</f>
        <v/>
      </c>
    </row>
    <row r="1992" ht="12.75" customHeight="1" s="60">
      <c r="A1992" s="59" t="n">
        <v>1</v>
      </c>
      <c r="B1992" s="75" t="n">
        <v>46244</v>
      </c>
      <c r="C1992" s="75" t="n">
        <v>46247</v>
      </c>
      <c r="D1992" s="59" t="n">
        <v>1899</v>
      </c>
      <c r="E1992" s="59" t="inlineStr">
        <is>
          <t>PANIFICADORA E CONFEITARIA REAL MADRI LTDA</t>
        </is>
      </c>
      <c r="F1992" s="59" t="n">
        <v>24</v>
      </c>
      <c r="G1992" s="59" t="inlineStr">
        <is>
          <t>Compra a Prazo - Boletos</t>
        </is>
      </c>
      <c r="H1992" s="59" t="n">
        <v>2110405</v>
      </c>
      <c r="I1992" s="59" t="inlineStr">
        <is>
          <t>CONTAS A PAGAR</t>
        </is>
      </c>
      <c r="J1992" s="59" t="n">
        <v>1528754</v>
      </c>
      <c r="L1992" s="59" t="n">
        <v>754</v>
      </c>
      <c r="M1992" s="59" t="inlineStr">
        <is>
          <t>01</t>
        </is>
      </c>
      <c r="N1992" s="59" t="inlineStr">
        <is>
          <t>AVU</t>
        </is>
      </c>
      <c r="P1992" s="59" t="n">
        <v>103</v>
      </c>
      <c r="Q1992" s="59" t="inlineStr">
        <is>
          <t>MILKA FRANCIS</t>
        </is>
      </c>
      <c r="R1992" s="59" t="inlineStr">
        <is>
          <t>ESTOQUE DE MERCADORIAS</t>
        </is>
      </c>
      <c r="S1992" s="59" t="n">
        <v>1130101</v>
      </c>
      <c r="T1992" s="59" t="inlineStr">
        <is>
          <t>MERCADORIAS P/REVENDA</t>
        </is>
      </c>
      <c r="U1992" s="77" t="n">
        <v>770</v>
      </c>
      <c r="W1992" s="59" t="n">
        <v>770</v>
      </c>
      <c r="X1992" s="59" t="inlineStr">
        <is>
          <t>NF 754 - MILKA</t>
        </is>
      </c>
      <c r="Z1992" s="59">
        <f>IF($T1992="","",IFERROR(INDEX('Resumo Grupos'!$AC$3:$AC$200,MATCH($T1992,'Resumo Grupos'!$AB$3:$AB$200,0)),"n/d"))</f>
        <v/>
      </c>
      <c r="AA1992" s="59">
        <f>IF($T1992="","",IF(COUNTIF('Resumo Grupos'!$AE$3:$AE$40,$T1992)&gt;0,"NAO","SIM"))</f>
        <v/>
      </c>
    </row>
    <row r="1993" ht="12.75" customHeight="1" s="60">
      <c r="A1993" s="59" t="n">
        <v>1</v>
      </c>
      <c r="B1993" s="75" t="n">
        <v>46244</v>
      </c>
      <c r="C1993" s="75" t="n">
        <v>46247</v>
      </c>
      <c r="D1993" s="59" t="n">
        <v>1614</v>
      </c>
      <c r="E1993" s="59" t="inlineStr">
        <is>
          <t>C. R. PARENTE ABREU</t>
        </is>
      </c>
      <c r="F1993" s="59" t="n">
        <v>24</v>
      </c>
      <c r="G1993" s="59" t="inlineStr">
        <is>
          <t>Compra a Prazo - Boletos</t>
        </is>
      </c>
      <c r="H1993" s="59" t="n">
        <v>2110405</v>
      </c>
      <c r="I1993" s="59" t="inlineStr">
        <is>
          <t>CONTAS A PAGAR</t>
        </is>
      </c>
      <c r="J1993" s="59" t="n">
        <v>1529852</v>
      </c>
      <c r="L1993" s="59" t="n">
        <v>11542</v>
      </c>
      <c r="M1993" s="59" t="inlineStr">
        <is>
          <t>01</t>
        </is>
      </c>
      <c r="N1993" s="59" t="inlineStr">
        <is>
          <t>AVU</t>
        </is>
      </c>
      <c r="P1993" s="59" t="n">
        <v>103</v>
      </c>
      <c r="Q1993" s="59" t="inlineStr">
        <is>
          <t>MILKA FRANCIS</t>
        </is>
      </c>
      <c r="R1993" s="59" t="inlineStr">
        <is>
          <t>ESTOQUE DE MERCADORIAS</t>
        </is>
      </c>
      <c r="S1993" s="59" t="n">
        <v>1130101</v>
      </c>
      <c r="T1993" s="59" t="inlineStr">
        <is>
          <t>MERCADORIAS P/REVENDA</t>
        </is>
      </c>
      <c r="U1993" s="77" t="n">
        <v>472.44</v>
      </c>
      <c r="W1993" s="59" t="n">
        <v>472.44</v>
      </c>
      <c r="X1993" s="59" t="inlineStr">
        <is>
          <t>NF 11542-1 KARU - MILKA</t>
        </is>
      </c>
      <c r="Z1993" s="59">
        <f>IF($T1993="","",IFERROR(INDEX('Resumo Grupos'!$AC$3:$AC$200,MATCH($T1993,'Resumo Grupos'!$AB$3:$AB$200,0)),"n/d"))</f>
        <v/>
      </c>
      <c r="AA1993" s="59">
        <f>IF($T1993="","",IF(COUNTIF('Resumo Grupos'!$AE$3:$AE$40,$T1993)&gt;0,"NAO","SIM"))</f>
        <v/>
      </c>
    </row>
    <row r="1994" ht="12.75" customHeight="1" s="60">
      <c r="A1994" s="59" t="n">
        <v>1</v>
      </c>
      <c r="B1994" s="75" t="n">
        <v>46245</v>
      </c>
      <c r="C1994" s="75" t="n">
        <v>46247</v>
      </c>
      <c r="D1994" s="59" t="n">
        <v>642</v>
      </c>
      <c r="E1994" s="59" t="inlineStr">
        <is>
          <t>ADICSO FABIAN GONZALEZ MONTILLA 70302186</t>
        </is>
      </c>
      <c r="F1994" s="59" t="n">
        <v>24</v>
      </c>
      <c r="G1994" s="59" t="inlineStr">
        <is>
          <t>Compra a Prazo - Boletos</t>
        </is>
      </c>
      <c r="H1994" s="59" t="n">
        <v>2110405</v>
      </c>
      <c r="I1994" s="59" t="inlineStr">
        <is>
          <t>CONTAS A PAGAR</t>
        </is>
      </c>
      <c r="J1994" s="59" t="n">
        <v>1533211</v>
      </c>
      <c r="L1994" s="59" t="n">
        <v>595</v>
      </c>
      <c r="M1994" s="59" t="inlineStr">
        <is>
          <t>01</t>
        </is>
      </c>
      <c r="N1994" s="59" t="inlineStr">
        <is>
          <t>AVU</t>
        </is>
      </c>
      <c r="P1994" s="59" t="n">
        <v>103</v>
      </c>
      <c r="Q1994" s="59" t="inlineStr">
        <is>
          <t>MILKA FRANCIS</t>
        </is>
      </c>
      <c r="R1994" s="59" t="inlineStr">
        <is>
          <t>ESTOQUE DE MERCADORIAS</t>
        </is>
      </c>
      <c r="S1994" s="59" t="n">
        <v>1130101</v>
      </c>
      <c r="T1994" s="59" t="inlineStr">
        <is>
          <t>MERCADORIAS P/REVENDA</t>
        </is>
      </c>
      <c r="U1994" s="77" t="n">
        <v>240</v>
      </c>
      <c r="W1994" s="59" t="n">
        <v>240</v>
      </c>
      <c r="X1994" s="59" t="inlineStr">
        <is>
          <t>NF 595 BLOOM - MILKA</t>
        </is>
      </c>
      <c r="Z1994" s="59">
        <f>IF($T1994="","",IFERROR(INDEX('Resumo Grupos'!$AC$3:$AC$200,MATCH($T1994,'Resumo Grupos'!$AB$3:$AB$200,0)),"n/d"))</f>
        <v/>
      </c>
      <c r="AA1994" s="59">
        <f>IF($T1994="","",IF(COUNTIF('Resumo Grupos'!$AE$3:$AE$40,$T1994)&gt;0,"NAO","SIM"))</f>
        <v/>
      </c>
    </row>
    <row r="1995" ht="12.75" customHeight="1" s="60">
      <c r="A1995" s="59" t="n">
        <v>1</v>
      </c>
      <c r="B1995" s="75" t="n">
        <v>46246</v>
      </c>
      <c r="C1995" s="75" t="n">
        <v>46247</v>
      </c>
      <c r="D1995" s="59" t="n">
        <v>10009</v>
      </c>
      <c r="E1995" s="59" t="inlineStr">
        <is>
          <t>NESTLÉ BRASIL LTDA.</t>
        </is>
      </c>
      <c r="F1995" s="59" t="n">
        <v>24</v>
      </c>
      <c r="G1995" s="59" t="inlineStr">
        <is>
          <t>Compra a Prazo - Boletos</t>
        </is>
      </c>
      <c r="H1995" s="59" t="n">
        <v>2110405</v>
      </c>
      <c r="I1995" s="59" t="inlineStr">
        <is>
          <t>CONTAS A PAGAR</t>
        </is>
      </c>
      <c r="J1995" s="59" t="n">
        <v>1537273</v>
      </c>
      <c r="L1995" s="59" t="n">
        <v>1436399</v>
      </c>
      <c r="M1995" s="59" t="inlineStr">
        <is>
          <t>01</t>
        </is>
      </c>
      <c r="N1995" s="59" t="inlineStr">
        <is>
          <t>AVU</t>
        </is>
      </c>
      <c r="P1995" s="59" t="n">
        <v>103</v>
      </c>
      <c r="Q1995" s="59" t="inlineStr">
        <is>
          <t>MILKA FRANCIS</t>
        </is>
      </c>
      <c r="R1995" s="59" t="inlineStr">
        <is>
          <t>ESTOQUE DE MERCADORIAS</t>
        </is>
      </c>
      <c r="S1995" s="59" t="n">
        <v>1130101</v>
      </c>
      <c r="T1995" s="59" t="inlineStr">
        <is>
          <t>MERCADORIAS P/REVENDA</t>
        </is>
      </c>
      <c r="U1995" s="77" t="n">
        <v>1032.24</v>
      </c>
      <c r="W1995" s="59" t="n">
        <v>1032.24</v>
      </c>
      <c r="X1995" s="59" t="inlineStr">
        <is>
          <t>NF 1436399 -01/03 MILKA</t>
        </is>
      </c>
      <c r="Z1995" s="59">
        <f>IF($T1995="","",IFERROR(INDEX('Resumo Grupos'!$AC$3:$AC$200,MATCH($T1995,'Resumo Grupos'!$AB$3:$AB$200,0)),"n/d"))</f>
        <v/>
      </c>
      <c r="AA1995" s="59">
        <f>IF($T1995="","",IF(COUNTIF('Resumo Grupos'!$AE$3:$AE$40,$T1995)&gt;0,"NAO","SIM"))</f>
        <v/>
      </c>
    </row>
    <row r="1996" ht="12.75" customHeight="1" s="60">
      <c r="A1996" s="59" t="n">
        <v>1</v>
      </c>
      <c r="B1996" s="75" t="n">
        <v>46247</v>
      </c>
      <c r="C1996" s="75" t="n">
        <v>46247</v>
      </c>
      <c r="D1996" s="59" t="n">
        <v>10003</v>
      </c>
      <c r="E1996" s="59" t="inlineStr">
        <is>
          <t>CARTAO DE TODOS ADMINISTRADORA DE CARTAO LTDA</t>
        </is>
      </c>
      <c r="F1996" s="59" t="n">
        <v>34</v>
      </c>
      <c r="G1996" s="59" t="inlineStr">
        <is>
          <t>Transferencia Pix</t>
        </is>
      </c>
      <c r="H1996" s="59" t="n">
        <v>2110405</v>
      </c>
      <c r="I1996" s="59" t="inlineStr">
        <is>
          <t>CONTAS A PAGAR</t>
        </is>
      </c>
      <c r="J1996" s="59" t="n">
        <v>1540734</v>
      </c>
      <c r="L1996" s="59" t="n">
        <v>630172</v>
      </c>
      <c r="M1996" s="59" t="inlineStr">
        <is>
          <t>01</t>
        </is>
      </c>
      <c r="N1996" s="59" t="inlineStr">
        <is>
          <t>AVU</t>
        </is>
      </c>
      <c r="P1996" s="59" t="n">
        <v>101</v>
      </c>
      <c r="Q1996" s="59" t="inlineStr">
        <is>
          <t>KEILA LIMA</t>
        </is>
      </c>
      <c r="R1996" s="59" t="inlineStr">
        <is>
          <t>DESPESAS OPERACIONAIS</t>
        </is>
      </c>
      <c r="S1996" s="59" t="n">
        <v>4210299</v>
      </c>
      <c r="T1996" s="59" t="inlineStr">
        <is>
          <t>DESPESA DE VENDA</t>
        </is>
      </c>
      <c r="U1996" s="77" t="n">
        <v>150.13</v>
      </c>
      <c r="W1996" s="59" t="n">
        <v>150.13</v>
      </c>
      <c r="X1996" s="59" t="inlineStr">
        <is>
          <t>DESPESA- RECARGA CASHBACK NO APP PARA VENDAS NA LOJA</t>
        </is>
      </c>
      <c r="Z1996" s="59">
        <f>IF($T1996="","",IFERROR(INDEX('Resumo Grupos'!$AC$3:$AC$200,MATCH($T1996,'Resumo Grupos'!$AB$3:$AB$200,0)),"n/d"))</f>
        <v/>
      </c>
      <c r="AA1996" s="59">
        <f>IF($T1996="","",IF(COUNTIF('Resumo Grupos'!$AE$3:$AE$40,$T1996)&gt;0,"NAO","SIM"))</f>
        <v/>
      </c>
    </row>
    <row r="1997" ht="12.75" customHeight="1" s="60">
      <c r="A1997" s="59" t="n">
        <v>1</v>
      </c>
      <c r="B1997" s="75" t="n">
        <v>46247</v>
      </c>
      <c r="C1997" s="75" t="n">
        <v>46247</v>
      </c>
      <c r="D1997" s="59" t="n">
        <v>1936</v>
      </c>
      <c r="E1997" s="59" t="inlineStr">
        <is>
          <t>RV TECNOLOGIA E SISTEMAS S.A</t>
        </is>
      </c>
      <c r="F1997" s="59" t="n">
        <v>24</v>
      </c>
      <c r="G1997" s="59" t="inlineStr">
        <is>
          <t>Compra a Prazo - Boletos</t>
        </is>
      </c>
      <c r="H1997" s="59" t="n">
        <v>2110405</v>
      </c>
      <c r="I1997" s="59" t="inlineStr">
        <is>
          <t>CONTAS A PAGAR</t>
        </is>
      </c>
      <c r="J1997" s="59" t="n">
        <v>1540870</v>
      </c>
      <c r="L1997" s="59" t="n">
        <v>630173</v>
      </c>
      <c r="M1997" s="59" t="inlineStr">
        <is>
          <t>01</t>
        </is>
      </c>
      <c r="N1997" s="59" t="inlineStr">
        <is>
          <t>AVU</t>
        </is>
      </c>
      <c r="P1997" s="59" t="n">
        <v>102</v>
      </c>
      <c r="Q1997" s="59" t="inlineStr">
        <is>
          <t>ANDREZA ANDRADE</t>
        </is>
      </c>
      <c r="R1997" s="59" t="inlineStr">
        <is>
          <t>ESTOQUE DE MERCADORIAS</t>
        </is>
      </c>
      <c r="S1997" s="59" t="n">
        <v>1130101</v>
      </c>
      <c r="T1997" s="59" t="inlineStr">
        <is>
          <t>MERCADORIAS P/REVENDA</t>
        </is>
      </c>
      <c r="U1997" s="77" t="n">
        <v>115.35</v>
      </c>
      <c r="W1997" s="59" t="n">
        <v>115.35</v>
      </c>
      <c r="X1997" s="59" t="inlineStr">
        <is>
          <t>rv recarga celular-andreza</t>
        </is>
      </c>
      <c r="Z1997" s="59">
        <f>IF($T1997="","",IFERROR(INDEX('Resumo Grupos'!$AC$3:$AC$200,MATCH($T1997,'Resumo Grupos'!$AB$3:$AB$200,0)),"n/d"))</f>
        <v/>
      </c>
      <c r="AA1997" s="59">
        <f>IF($T1997="","",IF(COUNTIF('Resumo Grupos'!$AE$3:$AE$40,$T1997)&gt;0,"NAO","SIM"))</f>
        <v/>
      </c>
    </row>
    <row r="1998" ht="12.75" customHeight="1" s="60">
      <c r="A1998" s="59" t="n">
        <v>1</v>
      </c>
      <c r="B1998" s="75" t="n">
        <v>46247</v>
      </c>
      <c r="C1998" s="75" t="n">
        <v>46247</v>
      </c>
      <c r="D1998" s="59" t="n">
        <v>515</v>
      </c>
      <c r="E1998" s="59" t="inlineStr">
        <is>
          <t>ITAU SA</t>
        </is>
      </c>
      <c r="F1998" s="59" t="n">
        <v>42</v>
      </c>
      <c r="G1998" s="59" t="inlineStr">
        <is>
          <t>Cartao Itau Novo 4620 Venc 13</t>
        </is>
      </c>
      <c r="H1998" s="59" t="n">
        <v>2110405</v>
      </c>
      <c r="I1998" s="59" t="inlineStr">
        <is>
          <t>CONTAS A PAGAR</t>
        </is>
      </c>
      <c r="J1998" s="59" t="n">
        <v>1540890</v>
      </c>
      <c r="L1998" s="59" t="n">
        <v>630174</v>
      </c>
      <c r="M1998" s="59" t="inlineStr">
        <is>
          <t>01</t>
        </is>
      </c>
      <c r="N1998" s="59" t="inlineStr">
        <is>
          <t>AVU</t>
        </is>
      </c>
      <c r="P1998" s="59" t="n">
        <v>102</v>
      </c>
      <c r="Q1998" s="59" t="inlineStr">
        <is>
          <t>ANDREZA ANDRADE</t>
        </is>
      </c>
      <c r="R1998" s="59" t="inlineStr">
        <is>
          <t>DESPESAS A APROPRIAR</t>
        </is>
      </c>
      <c r="S1998" s="59" t="n">
        <v>1140104</v>
      </c>
      <c r="T1998" s="59" t="inlineStr">
        <is>
          <t>CARTAO DE CREDITO - ANUIDADE</t>
        </is>
      </c>
      <c r="U1998" s="77" t="n">
        <v>18.75</v>
      </c>
      <c r="W1998" s="59" t="n">
        <v>18.75</v>
      </c>
      <c r="X1998" s="59" t="inlineStr">
        <is>
          <t>anuidade itau 1 8/12-andreza</t>
        </is>
      </c>
      <c r="Z1998" s="59">
        <f>IF($T1998="","",IFERROR(INDEX('Resumo Grupos'!$AC$3:$AC$200,MATCH($T1998,'Resumo Grupos'!$AB$3:$AB$200,0)),"n/d"))</f>
        <v/>
      </c>
      <c r="AA1998" s="59">
        <f>IF($T1998="","",IF(COUNTIF('Resumo Grupos'!$AE$3:$AE$40,$T1998)&gt;0,"NAO","SIM"))</f>
        <v/>
      </c>
    </row>
    <row r="1999" ht="12.75" customHeight="1" s="60">
      <c r="A1999" s="59" t="n">
        <v>1</v>
      </c>
      <c r="B1999" s="75" t="n">
        <v>46247</v>
      </c>
      <c r="C1999" s="75" t="n">
        <v>46247</v>
      </c>
      <c r="D1999" s="59" t="n">
        <v>33</v>
      </c>
      <c r="E1999" s="59" t="inlineStr">
        <is>
          <t>RENATO DE O AZEVEDO E CIA LTDA - EPP</t>
        </is>
      </c>
      <c r="F1999" s="59" t="n">
        <v>13</v>
      </c>
      <c r="G1999" s="59" t="inlineStr">
        <is>
          <t>Compra a Vista</t>
        </is>
      </c>
      <c r="H1999" s="59" t="n">
        <v>2110101</v>
      </c>
      <c r="I1999" s="59" t="inlineStr">
        <is>
          <t>FORNECEDORES DE MERCADORIA</t>
        </is>
      </c>
      <c r="J1999" s="59" t="n">
        <v>1541317</v>
      </c>
      <c r="L1999" s="59" t="n">
        <v>5477</v>
      </c>
      <c r="M1999" s="59" t="inlineStr">
        <is>
          <t>01</t>
        </is>
      </c>
      <c r="N1999" s="59" t="inlineStr">
        <is>
          <t>NFE</t>
        </is>
      </c>
      <c r="P1999" s="59" t="n">
        <v>104</v>
      </c>
      <c r="Q1999" s="59" t="inlineStr">
        <is>
          <t>DEBORA COSTA</t>
        </is>
      </c>
      <c r="R1999" s="59" t="inlineStr">
        <is>
          <t>ESTOQUE DE MERCADORIAS</t>
        </is>
      </c>
      <c r="S1999" s="59" t="n">
        <v>1130101</v>
      </c>
      <c r="T1999" s="59" t="inlineStr">
        <is>
          <t>MERCADORIAS P/REVENDA</t>
        </is>
      </c>
      <c r="U1999" s="77" t="n">
        <v>375</v>
      </c>
      <c r="W1999" s="59" t="n">
        <v>375</v>
      </c>
      <c r="X1999" s="59" t="inlineStr">
        <is>
          <t>ACAI DE ANORI - DEBORA 12/08</t>
        </is>
      </c>
      <c r="Z1999" s="59">
        <f>IF($T1999="","",IFERROR(INDEX('Resumo Grupos'!$AC$3:$AC$200,MATCH($T1999,'Resumo Grupos'!$AB$3:$AB$200,0)),"n/d"))</f>
        <v/>
      </c>
      <c r="AA1999" s="59">
        <f>IF($T1999="","",IF(COUNTIF('Resumo Grupos'!$AE$3:$AE$40,$T1999)&gt;0,"NAO","SIM"))</f>
        <v/>
      </c>
    </row>
    <row r="2000" ht="12.75" customHeight="1" s="60">
      <c r="A2000" s="59" t="n">
        <v>1</v>
      </c>
      <c r="B2000" s="75" t="n">
        <v>46247</v>
      </c>
      <c r="C2000" s="75" t="n">
        <v>46247</v>
      </c>
      <c r="D2000" s="59" t="n">
        <v>17</v>
      </c>
      <c r="E2000" s="59" t="inlineStr">
        <is>
          <t>NEYLIANE SILVA DE OLIVEIRA</t>
        </is>
      </c>
      <c r="F2000" s="59" t="n">
        <v>34</v>
      </c>
      <c r="G2000" s="59" t="inlineStr">
        <is>
          <t>Transferencia Pix</t>
        </is>
      </c>
      <c r="H2000" s="59" t="n">
        <v>2110405</v>
      </c>
      <c r="I2000" s="59" t="inlineStr">
        <is>
          <t>CONTAS A PAGAR</t>
        </is>
      </c>
      <c r="J2000" s="59" t="n">
        <v>1542423</v>
      </c>
      <c r="L2000" s="59" t="n">
        <v>630978</v>
      </c>
      <c r="M2000" s="59" t="inlineStr">
        <is>
          <t>01</t>
        </is>
      </c>
      <c r="N2000" s="59" t="inlineStr">
        <is>
          <t>AVU</t>
        </is>
      </c>
      <c r="P2000" s="59" t="n">
        <v>101</v>
      </c>
      <c r="Q2000" s="59" t="inlineStr">
        <is>
          <t>KEILA LIMA</t>
        </is>
      </c>
      <c r="R2000" s="59" t="inlineStr">
        <is>
          <t>DESPESAS NAO OPERACIONAIS</t>
        </is>
      </c>
      <c r="S2000" s="59" t="n">
        <v>4220199</v>
      </c>
      <c r="T2000" s="59" t="inlineStr">
        <is>
          <t>PAGAMENTOS OUTROS NAO OPERACIONAIS</t>
        </is>
      </c>
      <c r="U2000" s="77" t="n">
        <v>253.57</v>
      </c>
      <c r="W2000" s="59" t="n">
        <v>253.57</v>
      </c>
      <c r="X2000" s="59" t="inlineStr">
        <is>
          <t>PL NEILA protesto no cpf de NEYLIANE SILVA DE OLIVEIRA</t>
        </is>
      </c>
      <c r="Z2000" s="59">
        <f>IF($T2000="","",IFERROR(INDEX('Resumo Grupos'!$AC$3:$AC$200,MATCH($T2000,'Resumo Grupos'!$AB$3:$AB$200,0)),"n/d"))</f>
        <v/>
      </c>
      <c r="AA2000" s="59">
        <f>IF($T2000="","",IF(COUNTIF('Resumo Grupos'!$AE$3:$AE$40,$T2000)&gt;0,"NAO","SIM"))</f>
        <v/>
      </c>
    </row>
    <row r="2001" ht="12.75" customHeight="1" s="60">
      <c r="A2001" s="59" t="n">
        <v>1</v>
      </c>
      <c r="B2001" s="75" t="n">
        <v>46247</v>
      </c>
      <c r="C2001" s="75" t="n">
        <v>46247</v>
      </c>
      <c r="D2001" s="59" t="n">
        <v>33</v>
      </c>
      <c r="E2001" s="59" t="inlineStr">
        <is>
          <t>RENATO DE O AZEVEDO E CIA LTDA - EPP</t>
        </is>
      </c>
      <c r="F2001" s="59" t="n">
        <v>13</v>
      </c>
      <c r="G2001" s="59" t="inlineStr">
        <is>
          <t>Compra a Vista</t>
        </is>
      </c>
      <c r="H2001" s="59" t="n">
        <v>2110101</v>
      </c>
      <c r="I2001" s="59" t="inlineStr">
        <is>
          <t>FORNECEDORES DE MERCADORIA</t>
        </is>
      </c>
      <c r="J2001" s="59" t="n">
        <v>1543506</v>
      </c>
      <c r="L2001" s="59" t="n">
        <v>5478</v>
      </c>
      <c r="M2001" s="59" t="inlineStr">
        <is>
          <t>01</t>
        </is>
      </c>
      <c r="N2001" s="59" t="inlineStr">
        <is>
          <t>NFE</t>
        </is>
      </c>
      <c r="P2001" s="59" t="n">
        <v>104</v>
      </c>
      <c r="Q2001" s="59" t="inlineStr">
        <is>
          <t>DEBORA COSTA</t>
        </is>
      </c>
      <c r="R2001" s="59" t="inlineStr">
        <is>
          <t>ESTOQUE DE MERCADORIAS</t>
        </is>
      </c>
      <c r="S2001" s="59" t="n">
        <v>1130101</v>
      </c>
      <c r="T2001" s="59" t="inlineStr">
        <is>
          <t>MERCADORIAS P/REVENDA</t>
        </is>
      </c>
      <c r="U2001" s="77" t="n">
        <v>300</v>
      </c>
      <c r="W2001" s="59" t="n">
        <v>0</v>
      </c>
      <c r="X2001" s="59" t="inlineStr">
        <is>
          <t xml:space="preserve">ACAI DE ANORI - DEBORA </t>
        </is>
      </c>
      <c r="Z2001" s="59">
        <f>IF($T2001="","",IFERROR(INDEX('Resumo Grupos'!$AC$3:$AC$200,MATCH($T2001,'Resumo Grupos'!$AB$3:$AB$200,0)),"n/d"))</f>
        <v/>
      </c>
      <c r="AA2001" s="59">
        <f>IF($T2001="","",IF(COUNTIF('Resumo Grupos'!$AE$3:$AE$40,$T2001)&gt;0,"NAO","SIM"))</f>
        <v/>
      </c>
    </row>
    <row r="2002" ht="12.75" customHeight="1" s="60">
      <c r="A2002" s="59" t="n">
        <v>1</v>
      </c>
      <c r="B2002" s="75" t="n">
        <v>46247</v>
      </c>
      <c r="C2002" s="75" t="n">
        <v>46247</v>
      </c>
      <c r="D2002" s="59" t="n">
        <v>10096</v>
      </c>
      <c r="E2002" s="59" t="inlineStr">
        <is>
          <t>H L M PADARIA E CONFEITARIA LTDA</t>
        </is>
      </c>
      <c r="F2002" s="59" t="n">
        <v>13</v>
      </c>
      <c r="G2002" s="59" t="inlineStr">
        <is>
          <t>Compra a Vista</t>
        </is>
      </c>
      <c r="H2002" s="59" t="n">
        <v>2110101</v>
      </c>
      <c r="I2002" s="59" t="inlineStr">
        <is>
          <t>FORNECEDORES DE MERCADORIA</t>
        </is>
      </c>
      <c r="J2002" s="59" t="n">
        <v>1545809</v>
      </c>
      <c r="L2002" s="59" t="n">
        <v>157</v>
      </c>
      <c r="M2002" s="59" t="inlineStr">
        <is>
          <t>01</t>
        </is>
      </c>
      <c r="N2002" s="59" t="inlineStr">
        <is>
          <t>NFE</t>
        </is>
      </c>
      <c r="P2002" s="59" t="n">
        <v>104</v>
      </c>
      <c r="Q2002" s="59" t="inlineStr">
        <is>
          <t>DEBORA COSTA</t>
        </is>
      </c>
      <c r="R2002" s="59" t="inlineStr">
        <is>
          <t>ESTOQUE DE MERCADORIAS</t>
        </is>
      </c>
      <c r="S2002" s="59" t="n">
        <v>1130101</v>
      </c>
      <c r="T2002" s="59" t="inlineStr">
        <is>
          <t>MERCADORIAS P/REVENDA</t>
        </is>
      </c>
      <c r="U2002" s="77" t="n">
        <v>316</v>
      </c>
      <c r="W2002" s="59" t="n">
        <v>0</v>
      </c>
      <c r="X2002" s="59" t="inlineStr">
        <is>
          <t>NF 157 - DEBORA</t>
        </is>
      </c>
      <c r="Z2002" s="59">
        <f>IF($T2002="","",IFERROR(INDEX('Resumo Grupos'!$AC$3:$AC$200,MATCH($T2002,'Resumo Grupos'!$AB$3:$AB$200,0)),"n/d"))</f>
        <v/>
      </c>
      <c r="AA2002" s="59">
        <f>IF($T2002="","",IF(COUNTIF('Resumo Grupos'!$AE$3:$AE$40,$T2002)&gt;0,"NAO","SIM"))</f>
        <v/>
      </c>
    </row>
    <row r="2003" ht="12.75" customHeight="1" s="60">
      <c r="A2003" s="59" t="n">
        <v>1</v>
      </c>
      <c r="B2003" s="75" t="n">
        <v>46247</v>
      </c>
      <c r="C2003" s="75" t="n">
        <v>46247</v>
      </c>
      <c r="D2003" s="59" t="n">
        <v>978</v>
      </c>
      <c r="E2003" s="59" t="inlineStr">
        <is>
          <t>GELO DANGELO FABRICACAO DE GELO LTDA</t>
        </is>
      </c>
      <c r="F2003" s="59" t="n">
        <v>13</v>
      </c>
      <c r="G2003" s="59" t="inlineStr">
        <is>
          <t>Compra a Vista</t>
        </is>
      </c>
      <c r="H2003" s="59" t="n">
        <v>2110101</v>
      </c>
      <c r="I2003" s="59" t="inlineStr">
        <is>
          <t>FORNECEDORES DE MERCADORIA</t>
        </is>
      </c>
      <c r="J2003" s="59" t="n">
        <v>1545903</v>
      </c>
      <c r="L2003" s="59" t="n">
        <v>479</v>
      </c>
      <c r="M2003" s="59" t="inlineStr">
        <is>
          <t>01</t>
        </is>
      </c>
      <c r="N2003" s="59" t="inlineStr">
        <is>
          <t>NFE</t>
        </is>
      </c>
      <c r="P2003" s="59" t="n">
        <v>104</v>
      </c>
      <c r="Q2003" s="59" t="inlineStr">
        <is>
          <t>DEBORA COSTA</t>
        </is>
      </c>
      <c r="R2003" s="59" t="inlineStr">
        <is>
          <t>ESTOQUE DE MERCADORIAS</t>
        </is>
      </c>
      <c r="S2003" s="59" t="n">
        <v>1130101</v>
      </c>
      <c r="T2003" s="59" t="inlineStr">
        <is>
          <t>MERCADORIAS P/REVENDA</t>
        </is>
      </c>
      <c r="U2003" s="77" t="n">
        <v>480</v>
      </c>
      <c r="W2003" s="59" t="n">
        <v>0</v>
      </c>
      <c r="X2003" s="59" t="inlineStr">
        <is>
          <t>NF 479 - DEBORA</t>
        </is>
      </c>
      <c r="Z2003" s="59">
        <f>IF($T2003="","",IFERROR(INDEX('Resumo Grupos'!$AC$3:$AC$200,MATCH($T2003,'Resumo Grupos'!$AB$3:$AB$200,0)),"n/d"))</f>
        <v/>
      </c>
      <c r="AA2003" s="59">
        <f>IF($T2003="","",IF(COUNTIF('Resumo Grupos'!$AE$3:$AE$40,$T2003)&gt;0,"NAO","SIM"))</f>
        <v/>
      </c>
    </row>
    <row r="2004" ht="12.75" customHeight="1" s="60">
      <c r="A2004" s="59" t="n">
        <v>1</v>
      </c>
      <c r="B2004" s="75" t="n">
        <v>46247</v>
      </c>
      <c r="C2004" s="75" t="n">
        <v>46247</v>
      </c>
      <c r="D2004" s="59" t="n">
        <v>1391</v>
      </c>
      <c r="E2004" s="59" t="inlineStr">
        <is>
          <t>D N COMERCIO ATACADISTA DE EMBALAGENS E</t>
        </is>
      </c>
      <c r="F2004" s="59" t="n">
        <v>13</v>
      </c>
      <c r="G2004" s="59" t="inlineStr">
        <is>
          <t>Compra a Vista</t>
        </is>
      </c>
      <c r="H2004" s="59" t="n">
        <v>2110101</v>
      </c>
      <c r="I2004" s="59" t="inlineStr">
        <is>
          <t>FORNECEDORES DE MERCADORIA</t>
        </is>
      </c>
      <c r="J2004" s="59" t="n">
        <v>1546221</v>
      </c>
      <c r="L2004" s="59" t="n">
        <v>415</v>
      </c>
      <c r="M2004" s="59" t="inlineStr">
        <is>
          <t>01</t>
        </is>
      </c>
      <c r="N2004" s="59" t="inlineStr">
        <is>
          <t>NFE</t>
        </is>
      </c>
      <c r="P2004" s="59" t="n">
        <v>104</v>
      </c>
      <c r="Q2004" s="59" t="inlineStr">
        <is>
          <t>DEBORA COSTA</t>
        </is>
      </c>
      <c r="R2004" s="59" t="inlineStr">
        <is>
          <t>ESTOQUE DE MERCADORIAS</t>
        </is>
      </c>
      <c r="S2004" s="59" t="n">
        <v>1130101</v>
      </c>
      <c r="T2004" s="59" t="inlineStr">
        <is>
          <t>MERCADORIAS P/REVENDA</t>
        </is>
      </c>
      <c r="U2004" s="77" t="n">
        <v>108</v>
      </c>
      <c r="W2004" s="59" t="n">
        <v>0</v>
      </c>
      <c r="X2004" s="59" t="inlineStr">
        <is>
          <t>NF 415 - DEBORA</t>
        </is>
      </c>
      <c r="Z2004" s="59">
        <f>IF($T2004="","",IFERROR(INDEX('Resumo Grupos'!$AC$3:$AC$200,MATCH($T2004,'Resumo Grupos'!$AB$3:$AB$200,0)),"n/d"))</f>
        <v/>
      </c>
      <c r="AA2004" s="59">
        <f>IF($T2004="","",IF(COUNTIF('Resumo Grupos'!$AE$3:$AE$40,$T2004)&gt;0,"NAO","SIM"))</f>
        <v/>
      </c>
    </row>
    <row r="2005" ht="12.75" customHeight="1" s="60">
      <c r="A2005" s="59" t="n">
        <v>1</v>
      </c>
      <c r="B2005" s="75" t="n">
        <v>46247</v>
      </c>
      <c r="C2005" s="75" t="n">
        <v>46247</v>
      </c>
      <c r="D2005" s="59" t="n">
        <v>48</v>
      </c>
      <c r="E2005" s="59" t="inlineStr">
        <is>
          <t>NEYLIANE S DE OLIVEIRA &amp; CIA LTDA</t>
        </is>
      </c>
      <c r="F2005" s="59" t="n">
        <v>34</v>
      </c>
      <c r="G2005" s="59" t="inlineStr">
        <is>
          <t>Transferencia Pix</t>
        </is>
      </c>
      <c r="H2005" s="59" t="n">
        <v>2110405</v>
      </c>
      <c r="I2005" s="59" t="inlineStr">
        <is>
          <t>CONTAS A PAGAR</t>
        </is>
      </c>
      <c r="J2005" s="59" t="n">
        <v>1563602</v>
      </c>
      <c r="L2005" s="59" t="n">
        <v>639348</v>
      </c>
      <c r="M2005" s="59" t="inlineStr">
        <is>
          <t>01</t>
        </is>
      </c>
      <c r="N2005" s="59" t="inlineStr">
        <is>
          <t>AVU</t>
        </is>
      </c>
      <c r="P2005" s="59" t="n">
        <v>102</v>
      </c>
      <c r="Q2005" s="59" t="inlineStr">
        <is>
          <t>ANDREZA ANDRADE</t>
        </is>
      </c>
      <c r="R2005" s="59" t="inlineStr">
        <is>
          <t>DESPESAS OPERACIONAIS</t>
        </is>
      </c>
      <c r="S2005" s="59" t="n">
        <v>4210227</v>
      </c>
      <c r="T2005" s="59" t="inlineStr">
        <is>
          <t>DESPESAS LOJA</t>
        </is>
      </c>
      <c r="U2005" s="77" t="n">
        <v>51.94</v>
      </c>
      <c r="W2005" s="59" t="n">
        <v>51.94</v>
      </c>
      <c r="X2005" s="59" t="inlineStr">
        <is>
          <t xml:space="preserve">DESPESA NFCE 72035 DISCO DE CORTE E TINTA P-MO1 OBRA </t>
        </is>
      </c>
      <c r="Z2005" s="59">
        <f>IF($T2005="","",IFERROR(INDEX('Resumo Grupos'!$AC$3:$AC$200,MATCH($T2005,'Resumo Grupos'!$AB$3:$AB$200,0)),"n/d"))</f>
        <v/>
      </c>
      <c r="AA2005" s="59">
        <f>IF($T2005="","",IF(COUNTIF('Resumo Grupos'!$AE$3:$AE$40,$T2005)&gt;0,"NAO","SIM"))</f>
        <v/>
      </c>
    </row>
    <row r="2006" ht="12.75" customHeight="1" s="60">
      <c r="A2006" s="59" t="n">
        <v>1</v>
      </c>
      <c r="B2006" s="75" t="n">
        <v>46204</v>
      </c>
      <c r="C2006" s="75" t="n">
        <v>46248</v>
      </c>
      <c r="D2006" s="59" t="n">
        <v>607</v>
      </c>
      <c r="E2006" s="59" t="inlineStr">
        <is>
          <t>PRIME PET DISTRIBUIDORA LTDA</t>
        </is>
      </c>
      <c r="F2006" s="59" t="n">
        <v>24</v>
      </c>
      <c r="G2006" s="59" t="inlineStr">
        <is>
          <t>Compra a Prazo - Boletos</t>
        </is>
      </c>
      <c r="H2006" s="59" t="n">
        <v>2110101</v>
      </c>
      <c r="I2006" s="59" t="inlineStr">
        <is>
          <t>FORNECEDORES DE MERCADORIA</t>
        </is>
      </c>
      <c r="J2006" s="59" t="n">
        <v>1335231</v>
      </c>
      <c r="L2006" s="59" t="n">
        <v>11002</v>
      </c>
      <c r="M2006" s="59" t="inlineStr">
        <is>
          <t>03</t>
        </is>
      </c>
      <c r="N2006" s="59" t="inlineStr">
        <is>
          <t>NFE</t>
        </is>
      </c>
      <c r="P2006" s="59" t="n">
        <v>103</v>
      </c>
      <c r="Q2006" s="59" t="inlineStr">
        <is>
          <t>MILKA FRANCIS</t>
        </is>
      </c>
      <c r="R2006" s="59" t="inlineStr">
        <is>
          <t>ESTOQUE DE MERCADORIAS</t>
        </is>
      </c>
      <c r="S2006" s="59" t="n">
        <v>1130101</v>
      </c>
      <c r="T2006" s="59" t="inlineStr">
        <is>
          <t>MERCADORIAS P/REVENDA</t>
        </is>
      </c>
      <c r="U2006" s="77" t="n">
        <v>1849.57</v>
      </c>
      <c r="W2006" s="59" t="n">
        <v>1849.57</v>
      </c>
      <c r="X2006" s="59" t="inlineStr">
        <is>
          <t xml:space="preserve">NF 11002-03/07 MILKA </t>
        </is>
      </c>
      <c r="Z2006" s="59">
        <f>IF($T2006="","",IFERROR(INDEX('Resumo Grupos'!$AC$3:$AC$200,MATCH($T2006,'Resumo Grupos'!$AB$3:$AB$200,0)),"n/d"))</f>
        <v/>
      </c>
      <c r="AA2006" s="59">
        <f>IF($T2006="","",IF(COUNTIF('Resumo Grupos'!$AE$3:$AE$40,$T2006)&gt;0,"NAO","SIM"))</f>
        <v/>
      </c>
    </row>
    <row r="2007" ht="12.75" customHeight="1" s="60">
      <c r="A2007" s="59" t="n">
        <v>1</v>
      </c>
      <c r="B2007" s="75" t="n">
        <v>46214</v>
      </c>
      <c r="C2007" s="75" t="n">
        <v>46248</v>
      </c>
      <c r="D2007" s="59" t="n">
        <v>794</v>
      </c>
      <c r="E2007" s="59" t="inlineStr">
        <is>
          <t>EDMARA COMERCIO DE HIGIENE PESSOAL LTDA</t>
        </is>
      </c>
      <c r="F2007" s="59" t="n">
        <v>24</v>
      </c>
      <c r="G2007" s="59" t="inlineStr">
        <is>
          <t>Compra a Prazo - Boletos</t>
        </is>
      </c>
      <c r="H2007" s="59" t="n">
        <v>2110405</v>
      </c>
      <c r="I2007" s="59" t="inlineStr">
        <is>
          <t>CONTAS A PAGAR</t>
        </is>
      </c>
      <c r="J2007" s="59" t="n">
        <v>1381993</v>
      </c>
      <c r="L2007" s="59" t="n">
        <v>8364</v>
      </c>
      <c r="M2007" s="59" t="inlineStr">
        <is>
          <t>03</t>
        </is>
      </c>
      <c r="N2007" s="59" t="inlineStr">
        <is>
          <t>AVU</t>
        </is>
      </c>
      <c r="P2007" s="59" t="n">
        <v>103</v>
      </c>
      <c r="Q2007" s="59" t="inlineStr">
        <is>
          <t>MILKA FRANCIS</t>
        </is>
      </c>
      <c r="R2007" s="59" t="inlineStr">
        <is>
          <t>ESTOQUE DE MERCADORIAS</t>
        </is>
      </c>
      <c r="S2007" s="59" t="n">
        <v>1130101</v>
      </c>
      <c r="T2007" s="59" t="inlineStr">
        <is>
          <t>MERCADORIAS P/REVENDA</t>
        </is>
      </c>
      <c r="U2007" s="77" t="n">
        <v>523.66</v>
      </c>
      <c r="W2007" s="59" t="n">
        <v>523.66</v>
      </c>
      <c r="X2007" s="59" t="inlineStr">
        <is>
          <t>5350-C/C  NF8364 - MILKA</t>
        </is>
      </c>
      <c r="Z2007" s="59">
        <f>IF($T2007="","",IFERROR(INDEX('Resumo Grupos'!$AC$3:$AC$200,MATCH($T2007,'Resumo Grupos'!$AB$3:$AB$200,0)),"n/d"))</f>
        <v/>
      </c>
      <c r="AA2007" s="59">
        <f>IF($T2007="","",IF(COUNTIF('Resumo Grupos'!$AE$3:$AE$40,$T2007)&gt;0,"NAO","SIM"))</f>
        <v/>
      </c>
    </row>
    <row r="2008" ht="12.75" customHeight="1" s="60">
      <c r="A2008" s="59" t="n">
        <v>1</v>
      </c>
      <c r="B2008" s="75" t="n">
        <v>46225</v>
      </c>
      <c r="C2008" s="75" t="n">
        <v>46248</v>
      </c>
      <c r="D2008" s="59" t="n">
        <v>10012</v>
      </c>
      <c r="E2008" s="59" t="inlineStr">
        <is>
          <t>SB COMERCIO LTDA</t>
        </is>
      </c>
      <c r="F2008" s="59" t="n">
        <v>24</v>
      </c>
      <c r="G2008" s="59" t="inlineStr">
        <is>
          <t>Compra a Prazo - Boletos</t>
        </is>
      </c>
      <c r="H2008" s="59" t="n">
        <v>2110405</v>
      </c>
      <c r="I2008" s="59" t="inlineStr">
        <is>
          <t>CONTAS A PAGAR</t>
        </is>
      </c>
      <c r="J2008" s="59" t="n">
        <v>1434176</v>
      </c>
      <c r="L2008" s="59" t="n">
        <v>1964247</v>
      </c>
      <c r="M2008" s="59" t="inlineStr">
        <is>
          <t>01</t>
        </is>
      </c>
      <c r="N2008" s="59" t="inlineStr">
        <is>
          <t>AVU</t>
        </is>
      </c>
      <c r="P2008" s="59" t="n">
        <v>103</v>
      </c>
      <c r="Q2008" s="59" t="inlineStr">
        <is>
          <t>MILKA FRANCIS</t>
        </is>
      </c>
      <c r="R2008" s="59" t="inlineStr">
        <is>
          <t>ESTOQUE DE MERCADORIAS</t>
        </is>
      </c>
      <c r="S2008" s="59" t="n">
        <v>1130101</v>
      </c>
      <c r="T2008" s="59" t="inlineStr">
        <is>
          <t>MERCADORIAS P/REVENDA</t>
        </is>
      </c>
      <c r="U2008" s="77" t="n">
        <v>945.12</v>
      </c>
      <c r="W2008" s="59" t="n">
        <v>945.12</v>
      </c>
      <c r="X2008" s="59" t="inlineStr">
        <is>
          <t>NF 1964247 - MILKA</t>
        </is>
      </c>
      <c r="Z2008" s="59">
        <f>IF($T2008="","",IFERROR(INDEX('Resumo Grupos'!$AC$3:$AC$200,MATCH($T2008,'Resumo Grupos'!$AB$3:$AB$200,0)),"n/d"))</f>
        <v/>
      </c>
      <c r="AA2008" s="59">
        <f>IF($T2008="","",IF(COUNTIF('Resumo Grupos'!$AE$3:$AE$40,$T2008)&gt;0,"NAO","SIM"))</f>
        <v/>
      </c>
    </row>
    <row r="2009" ht="12.75" customHeight="1" s="60">
      <c r="A2009" s="59" t="n">
        <v>1</v>
      </c>
      <c r="B2009" s="75" t="n">
        <v>46226</v>
      </c>
      <c r="C2009" s="75" t="n">
        <v>46248</v>
      </c>
      <c r="D2009" s="59" t="n">
        <v>1608</v>
      </c>
      <c r="E2009" s="59" t="inlineStr">
        <is>
          <t>DISTRIBUIDORA LOPES LTDA</t>
        </is>
      </c>
      <c r="F2009" s="59" t="n">
        <v>24</v>
      </c>
      <c r="G2009" s="59" t="inlineStr">
        <is>
          <t>Compra a Prazo - Boletos</t>
        </is>
      </c>
      <c r="H2009" s="59" t="n">
        <v>2110405</v>
      </c>
      <c r="I2009" s="59" t="inlineStr">
        <is>
          <t>CONTAS A PAGAR</t>
        </is>
      </c>
      <c r="J2009" s="59" t="n">
        <v>1439247</v>
      </c>
      <c r="L2009" s="59" t="n">
        <v>1698036</v>
      </c>
      <c r="M2009" s="59" t="inlineStr">
        <is>
          <t>01</t>
        </is>
      </c>
      <c r="N2009" s="59" t="inlineStr">
        <is>
          <t>AVU</t>
        </is>
      </c>
      <c r="P2009" s="59" t="n">
        <v>103</v>
      </c>
      <c r="Q2009" s="59" t="inlineStr">
        <is>
          <t>MILKA FRANCIS</t>
        </is>
      </c>
      <c r="R2009" s="59" t="inlineStr">
        <is>
          <t>ESTOQUE DE MERCADORIAS</t>
        </is>
      </c>
      <c r="S2009" s="59" t="n">
        <v>1130101</v>
      </c>
      <c r="T2009" s="59" t="inlineStr">
        <is>
          <t>MERCADORIAS P/REVENDA</t>
        </is>
      </c>
      <c r="U2009" s="77" t="n">
        <v>2010.78</v>
      </c>
      <c r="W2009" s="59" t="n">
        <v>2010.78</v>
      </c>
      <c r="X2009" s="59" t="inlineStr">
        <is>
          <t>NF 1698036 C/ DESC. NO BOLETO - MILKA</t>
        </is>
      </c>
      <c r="Z2009" s="59">
        <f>IF($T2009="","",IFERROR(INDEX('Resumo Grupos'!$AC$3:$AC$200,MATCH($T2009,'Resumo Grupos'!$AB$3:$AB$200,0)),"n/d"))</f>
        <v/>
      </c>
      <c r="AA2009" s="59">
        <f>IF($T2009="","",IF(COUNTIF('Resumo Grupos'!$AE$3:$AE$40,$T2009)&gt;0,"NAO","SIM"))</f>
        <v/>
      </c>
    </row>
    <row r="2010" ht="12.75" customHeight="1" s="60">
      <c r="A2010" s="59" t="n">
        <v>1</v>
      </c>
      <c r="B2010" s="75" t="n">
        <v>46226</v>
      </c>
      <c r="C2010" s="75" t="n">
        <v>46248</v>
      </c>
      <c r="D2010" s="59" t="n">
        <v>1666</v>
      </c>
      <c r="E2010" s="59" t="inlineStr">
        <is>
          <t>SOUZA CRUZ LTDA.</t>
        </is>
      </c>
      <c r="F2010" s="59" t="n">
        <v>24</v>
      </c>
      <c r="G2010" s="59" t="inlineStr">
        <is>
          <t>Compra a Prazo - Boletos</t>
        </is>
      </c>
      <c r="H2010" s="59" t="n">
        <v>2110405</v>
      </c>
      <c r="I2010" s="59" t="inlineStr">
        <is>
          <t>CONTAS A PAGAR</t>
        </is>
      </c>
      <c r="J2010" s="59" t="n">
        <v>1440189</v>
      </c>
      <c r="L2010" s="59" t="n">
        <v>568312</v>
      </c>
      <c r="M2010" s="59" t="inlineStr">
        <is>
          <t>03</t>
        </is>
      </c>
      <c r="N2010" s="59" t="inlineStr">
        <is>
          <t>AVU</t>
        </is>
      </c>
      <c r="P2010" s="59" t="n">
        <v>103</v>
      </c>
      <c r="Q2010" s="59" t="inlineStr">
        <is>
          <t>MILKA FRANCIS</t>
        </is>
      </c>
      <c r="R2010" s="59" t="inlineStr">
        <is>
          <t>ESTOQUE DE MERCADORIAS</t>
        </is>
      </c>
      <c r="S2010" s="59" t="n">
        <v>1130101</v>
      </c>
      <c r="T2010" s="59" t="inlineStr">
        <is>
          <t>MERCADORIAS P/REVENDA</t>
        </is>
      </c>
      <c r="U2010" s="77" t="n">
        <v>7866.8</v>
      </c>
      <c r="W2010" s="59" t="n">
        <v>7866.8</v>
      </c>
      <c r="X2010" s="59" t="inlineStr">
        <is>
          <t>NF 568312-3 MILKA</t>
        </is>
      </c>
      <c r="Z2010" s="59">
        <f>IF($T2010="","",IFERROR(INDEX('Resumo Grupos'!$AC$3:$AC$200,MATCH($T2010,'Resumo Grupos'!$AB$3:$AB$200,0)),"n/d"))</f>
        <v/>
      </c>
      <c r="AA2010" s="59">
        <f>IF($T2010="","",IF(COUNTIF('Resumo Grupos'!$AE$3:$AE$40,$T2010)&gt;0,"NAO","SIM"))</f>
        <v/>
      </c>
    </row>
    <row r="2011" ht="12.75" customHeight="1" s="60">
      <c r="A2011" s="59" t="n">
        <v>1</v>
      </c>
      <c r="B2011" s="75" t="n">
        <v>46226</v>
      </c>
      <c r="C2011" s="75" t="n">
        <v>46248</v>
      </c>
      <c r="D2011" s="59" t="n">
        <v>10017</v>
      </c>
      <c r="E2011" s="59" t="inlineStr">
        <is>
          <t>PIARARA COMERCIO, IMPORTACAO E EXPORTACAO LTDA</t>
        </is>
      </c>
      <c r="F2011" s="59" t="n">
        <v>24</v>
      </c>
      <c r="G2011" s="59" t="inlineStr">
        <is>
          <t>Compra a Prazo - Boletos</t>
        </is>
      </c>
      <c r="H2011" s="59" t="n">
        <v>2110405</v>
      </c>
      <c r="I2011" s="59" t="inlineStr">
        <is>
          <t>CONTAS A PAGAR</t>
        </is>
      </c>
      <c r="J2011" s="59" t="n">
        <v>1440211</v>
      </c>
      <c r="L2011" s="59" t="n">
        <v>592622</v>
      </c>
      <c r="M2011" s="59" t="inlineStr">
        <is>
          <t>02</t>
        </is>
      </c>
      <c r="N2011" s="59" t="inlineStr">
        <is>
          <t>AVU</t>
        </is>
      </c>
      <c r="P2011" s="59" t="n">
        <v>104</v>
      </c>
      <c r="Q2011" s="59" t="inlineStr">
        <is>
          <t>DEBORA COSTA</t>
        </is>
      </c>
      <c r="R2011" s="59" t="inlineStr">
        <is>
          <t>ESTOQUE DE MERCADORIAS</t>
        </is>
      </c>
      <c r="S2011" s="59" t="n">
        <v>1130101</v>
      </c>
      <c r="T2011" s="59" t="inlineStr">
        <is>
          <t>MERCADORIAS P/REVENDA</t>
        </is>
      </c>
      <c r="U2011" s="77" t="n">
        <v>868.36</v>
      </c>
      <c r="W2011" s="59" t="n">
        <v>868.36</v>
      </c>
      <c r="X2011" s="59" t="inlineStr">
        <is>
          <t>NF 194785 - DEBORA</t>
        </is>
      </c>
      <c r="Z2011" s="59">
        <f>IF($T2011="","",IFERROR(INDEX('Resumo Grupos'!$AC$3:$AC$200,MATCH($T2011,'Resumo Grupos'!$AB$3:$AB$200,0)),"n/d"))</f>
        <v/>
      </c>
      <c r="AA2011" s="59">
        <f>IF($T2011="","",IF(COUNTIF('Resumo Grupos'!$AE$3:$AE$40,$T2011)&gt;0,"NAO","SIM"))</f>
        <v/>
      </c>
    </row>
    <row r="2012" ht="12.75" customHeight="1" s="60">
      <c r="A2012" s="59" t="n">
        <v>1</v>
      </c>
      <c r="B2012" s="75" t="n">
        <v>46228</v>
      </c>
      <c r="C2012" s="75" t="n">
        <v>46248</v>
      </c>
      <c r="D2012" s="59" t="n">
        <v>1657</v>
      </c>
      <c r="E2012" s="59" t="inlineStr">
        <is>
          <t>IRMÃOS LIMA  ATACADO  DE ALIMENTOS LTDA</t>
        </is>
      </c>
      <c r="F2012" s="59" t="n">
        <v>24</v>
      </c>
      <c r="G2012" s="59" t="inlineStr">
        <is>
          <t>Compra a Prazo - Boletos</t>
        </is>
      </c>
      <c r="H2012" s="59" t="n">
        <v>2110405</v>
      </c>
      <c r="I2012" s="59" t="inlineStr">
        <is>
          <t>CONTAS A PAGAR</t>
        </is>
      </c>
      <c r="J2012" s="59" t="n">
        <v>1450043</v>
      </c>
      <c r="L2012" s="59" t="n">
        <v>296100</v>
      </c>
      <c r="M2012" s="59" t="inlineStr">
        <is>
          <t>02</t>
        </is>
      </c>
      <c r="N2012" s="59" t="inlineStr">
        <is>
          <t>AVU</t>
        </is>
      </c>
      <c r="P2012" s="59" t="n">
        <v>103</v>
      </c>
      <c r="Q2012" s="59" t="inlineStr">
        <is>
          <t>MILKA FRANCIS</t>
        </is>
      </c>
      <c r="R2012" s="59" t="inlineStr">
        <is>
          <t>ESTOQUE DE MERCADORIAS</t>
        </is>
      </c>
      <c r="S2012" s="59" t="n">
        <v>1130101</v>
      </c>
      <c r="T2012" s="59" t="inlineStr">
        <is>
          <t>MERCADORIAS P/REVENDA</t>
        </is>
      </c>
      <c r="U2012" s="77" t="n">
        <v>925.97</v>
      </c>
      <c r="W2012" s="59" t="n">
        <v>925.97</v>
      </c>
      <c r="X2012" s="59" t="inlineStr">
        <is>
          <t>377101 -B/C  NF296100 - MILKA</t>
        </is>
      </c>
      <c r="Z2012" s="59">
        <f>IF($T2012="","",IFERROR(INDEX('Resumo Grupos'!$AC$3:$AC$200,MATCH($T2012,'Resumo Grupos'!$AB$3:$AB$200,0)),"n/d"))</f>
        <v/>
      </c>
      <c r="AA2012" s="59">
        <f>IF($T2012="","",IF(COUNTIF('Resumo Grupos'!$AE$3:$AE$40,$T2012)&gt;0,"NAO","SIM"))</f>
        <v/>
      </c>
    </row>
    <row r="2013" ht="12.75" customHeight="1" s="60">
      <c r="A2013" s="59" t="n">
        <v>1</v>
      </c>
      <c r="B2013" s="75" t="n">
        <v>46230</v>
      </c>
      <c r="C2013" s="75" t="n">
        <v>46248</v>
      </c>
      <c r="D2013" s="59" t="n">
        <v>1613</v>
      </c>
      <c r="E2013" s="59" t="inlineStr">
        <is>
          <t>BRF S A</t>
        </is>
      </c>
      <c r="F2013" s="59" t="n">
        <v>24</v>
      </c>
      <c r="G2013" s="59" t="inlineStr">
        <is>
          <t>Compra a Prazo - Boletos</t>
        </is>
      </c>
      <c r="H2013" s="59" t="n">
        <v>2110405</v>
      </c>
      <c r="I2013" s="59" t="inlineStr">
        <is>
          <t>CONTAS A PAGAR</t>
        </is>
      </c>
      <c r="J2013" s="59" t="n">
        <v>1460199</v>
      </c>
      <c r="L2013" s="59" t="n">
        <v>1611963</v>
      </c>
      <c r="M2013" s="59" t="inlineStr">
        <is>
          <t>02</t>
        </is>
      </c>
      <c r="N2013" s="59" t="inlineStr">
        <is>
          <t>AVU</t>
        </is>
      </c>
      <c r="P2013" s="59" t="n">
        <v>103</v>
      </c>
      <c r="Q2013" s="59" t="inlineStr">
        <is>
          <t>MILKA FRANCIS</t>
        </is>
      </c>
      <c r="R2013" s="59" t="inlineStr">
        <is>
          <t>ESTOQUE DE MERCADORIAS</t>
        </is>
      </c>
      <c r="S2013" s="59" t="n">
        <v>1130101</v>
      </c>
      <c r="T2013" s="59" t="inlineStr">
        <is>
          <t>MERCADORIAS P/REVENDA</t>
        </is>
      </c>
      <c r="U2013" s="77" t="n">
        <v>676.2</v>
      </c>
      <c r="W2013" s="59" t="n">
        <v>676.2</v>
      </c>
      <c r="X2013" s="59" t="inlineStr">
        <is>
          <t>NF 1611963 -02/02  MILKA</t>
        </is>
      </c>
      <c r="Z2013" s="59">
        <f>IF($T2013="","",IFERROR(INDEX('Resumo Grupos'!$AC$3:$AC$200,MATCH($T2013,'Resumo Grupos'!$AB$3:$AB$200,0)),"n/d"))</f>
        <v/>
      </c>
      <c r="AA2013" s="59">
        <f>IF($T2013="","",IF(COUNTIF('Resumo Grupos'!$AE$3:$AE$40,$T2013)&gt;0,"NAO","SIM"))</f>
        <v/>
      </c>
    </row>
    <row r="2014" ht="12.75" customHeight="1" s="60">
      <c r="A2014" s="59" t="n">
        <v>1</v>
      </c>
      <c r="B2014" s="75" t="n">
        <v>46234</v>
      </c>
      <c r="C2014" s="75" t="n">
        <v>46248</v>
      </c>
      <c r="D2014" s="59" t="n">
        <v>1270</v>
      </c>
      <c r="E2014" s="59" t="inlineStr">
        <is>
          <t>J. S. MOREIRA ALVES LTDA</t>
        </is>
      </c>
      <c r="F2014" s="59" t="n">
        <v>24</v>
      </c>
      <c r="G2014" s="59" t="inlineStr">
        <is>
          <t>Compra a Prazo - Boletos</t>
        </is>
      </c>
      <c r="H2014" s="59" t="n">
        <v>2110405</v>
      </c>
      <c r="I2014" s="59" t="inlineStr">
        <is>
          <t>CONTAS A PAGAR</t>
        </is>
      </c>
      <c r="J2014" s="59" t="n">
        <v>1478225</v>
      </c>
      <c r="L2014" s="59" t="n">
        <v>2736</v>
      </c>
      <c r="M2014" s="59" t="inlineStr">
        <is>
          <t>01</t>
        </is>
      </c>
      <c r="N2014" s="59" t="inlineStr">
        <is>
          <t>AVU</t>
        </is>
      </c>
      <c r="P2014" s="59" t="n">
        <v>103</v>
      </c>
      <c r="Q2014" s="59" t="inlineStr">
        <is>
          <t>MILKA FRANCIS</t>
        </is>
      </c>
      <c r="R2014" s="59" t="inlineStr">
        <is>
          <t>ESTOQUE DE MERCADORIAS</t>
        </is>
      </c>
      <c r="S2014" s="59" t="n">
        <v>1130101</v>
      </c>
      <c r="T2014" s="59" t="inlineStr">
        <is>
          <t>MERCADORIAS P/REVENDA</t>
        </is>
      </c>
      <c r="U2014" s="77" t="n">
        <v>555</v>
      </c>
      <c r="W2014" s="59" t="n">
        <v>555</v>
      </c>
      <c r="X2014" s="59" t="inlineStr">
        <is>
          <t>NF 2736 MESA FARTA - MILKA</t>
        </is>
      </c>
      <c r="Z2014" s="59">
        <f>IF($T2014="","",IFERROR(INDEX('Resumo Grupos'!$AC$3:$AC$200,MATCH($T2014,'Resumo Grupos'!$AB$3:$AB$200,0)),"n/d"))</f>
        <v/>
      </c>
      <c r="AA2014" s="59">
        <f>IF($T2014="","",IF(COUNTIF('Resumo Grupos'!$AE$3:$AE$40,$T2014)&gt;0,"NAO","SIM"))</f>
        <v/>
      </c>
    </row>
    <row r="2015" ht="12.75" customHeight="1" s="60">
      <c r="A2015" s="59" t="n">
        <v>1</v>
      </c>
      <c r="B2015" s="75" t="n">
        <v>46235</v>
      </c>
      <c r="C2015" s="75" t="n">
        <v>46248</v>
      </c>
      <c r="D2015" s="59" t="n">
        <v>1114</v>
      </c>
      <c r="E2015" s="59" t="inlineStr">
        <is>
          <t>NT INDUSTRIA E COMERCIO DE PANIFICACAO L</t>
        </is>
      </c>
      <c r="F2015" s="59" t="n">
        <v>24</v>
      </c>
      <c r="G2015" s="59" t="inlineStr">
        <is>
          <t>Compra a Prazo - Boletos</t>
        </is>
      </c>
      <c r="H2015" s="59" t="n">
        <v>2110405</v>
      </c>
      <c r="I2015" s="59" t="inlineStr">
        <is>
          <t>CONTAS A PAGAR</t>
        </is>
      </c>
      <c r="J2015" s="59" t="n">
        <v>1482214</v>
      </c>
      <c r="L2015" s="59" t="n">
        <v>42703</v>
      </c>
      <c r="M2015" s="59" t="inlineStr">
        <is>
          <t>01</t>
        </is>
      </c>
      <c r="N2015" s="59" t="inlineStr">
        <is>
          <t>AVU</t>
        </is>
      </c>
      <c r="P2015" s="59" t="n">
        <v>103</v>
      </c>
      <c r="Q2015" s="59" t="inlineStr">
        <is>
          <t>MILKA FRANCIS</t>
        </is>
      </c>
      <c r="R2015" s="59" t="inlineStr">
        <is>
          <t>ESTOQUE DE MERCADORIAS</t>
        </is>
      </c>
      <c r="S2015" s="59" t="n">
        <v>1130101</v>
      </c>
      <c r="T2015" s="59" t="inlineStr">
        <is>
          <t>MERCADORIAS P/REVENDA</t>
        </is>
      </c>
      <c r="U2015" s="77" t="n">
        <v>4614.83</v>
      </c>
      <c r="W2015" s="59" t="n">
        <v>4614.83</v>
      </c>
      <c r="X2015" s="59" t="inlineStr">
        <is>
          <t>NF 42703 - MILKA</t>
        </is>
      </c>
      <c r="Z2015" s="59">
        <f>IF($T2015="","",IFERROR(INDEX('Resumo Grupos'!$AC$3:$AC$200,MATCH($T2015,'Resumo Grupos'!$AB$3:$AB$200,0)),"n/d"))</f>
        <v/>
      </c>
      <c r="AA2015" s="59">
        <f>IF($T2015="","",IF(COUNTIF('Resumo Grupos'!$AE$3:$AE$40,$T2015)&gt;0,"NAO","SIM"))</f>
        <v/>
      </c>
    </row>
    <row r="2016" ht="12.75" customHeight="1" s="60">
      <c r="A2016" s="59" t="n">
        <v>1</v>
      </c>
      <c r="B2016" s="75" t="n">
        <v>46235</v>
      </c>
      <c r="C2016" s="75" t="n">
        <v>46248</v>
      </c>
      <c r="D2016" s="59" t="n">
        <v>1815</v>
      </c>
      <c r="E2016" s="59" t="inlineStr">
        <is>
          <t>J G COMERCIO DE PRODUTOS ALIMENTICIOS LTDA</t>
        </is>
      </c>
      <c r="F2016" s="59" t="n">
        <v>24</v>
      </c>
      <c r="G2016" s="59" t="inlineStr">
        <is>
          <t>Compra a Prazo - Boletos</t>
        </is>
      </c>
      <c r="H2016" s="59" t="n">
        <v>2110405</v>
      </c>
      <c r="I2016" s="59" t="inlineStr">
        <is>
          <t>CONTAS A PAGAR</t>
        </is>
      </c>
      <c r="J2016" s="59" t="n">
        <v>1482383</v>
      </c>
      <c r="L2016" s="59" t="n">
        <v>395526</v>
      </c>
      <c r="M2016" s="59" t="inlineStr">
        <is>
          <t>01</t>
        </is>
      </c>
      <c r="N2016" s="59" t="inlineStr">
        <is>
          <t>AVU</t>
        </is>
      </c>
      <c r="P2016" s="59" t="n">
        <v>103</v>
      </c>
      <c r="Q2016" s="59" t="inlineStr">
        <is>
          <t>MILKA FRANCIS</t>
        </is>
      </c>
      <c r="R2016" s="59" t="inlineStr">
        <is>
          <t>ESTOQUE DE MERCADORIAS</t>
        </is>
      </c>
      <c r="S2016" s="59" t="n">
        <v>1130101</v>
      </c>
      <c r="T2016" s="59" t="inlineStr">
        <is>
          <t>MERCADORIAS P/REVENDA</t>
        </is>
      </c>
      <c r="U2016" s="77" t="n">
        <v>1143.83</v>
      </c>
      <c r="W2016" s="59" t="n">
        <v>1143.83</v>
      </c>
      <c r="X2016" s="59" t="inlineStr">
        <is>
          <t>459602-A/B  NF395526 - MILKA</t>
        </is>
      </c>
      <c r="Z2016" s="59">
        <f>IF($T2016="","",IFERROR(INDEX('Resumo Grupos'!$AC$3:$AC$200,MATCH($T2016,'Resumo Grupos'!$AB$3:$AB$200,0)),"n/d"))</f>
        <v/>
      </c>
      <c r="AA2016" s="59">
        <f>IF($T2016="","",IF(COUNTIF('Resumo Grupos'!$AE$3:$AE$40,$T2016)&gt;0,"NAO","SIM"))</f>
        <v/>
      </c>
    </row>
    <row r="2017" ht="12.75" customHeight="1" s="60">
      <c r="A2017" s="59" t="n">
        <v>1</v>
      </c>
      <c r="B2017" s="75" t="n">
        <v>46238</v>
      </c>
      <c r="C2017" s="75" t="n">
        <v>46248</v>
      </c>
      <c r="D2017" s="59" t="n">
        <v>1723</v>
      </c>
      <c r="E2017" s="59" t="inlineStr">
        <is>
          <t>COMERCIO DE FRIOS MANAUS LTDA</t>
        </is>
      </c>
      <c r="F2017" s="59" t="n">
        <v>24</v>
      </c>
      <c r="G2017" s="59" t="inlineStr">
        <is>
          <t>Compra a Prazo - Boletos</t>
        </is>
      </c>
      <c r="H2017" s="59" t="n">
        <v>2110405</v>
      </c>
      <c r="I2017" s="59" t="inlineStr">
        <is>
          <t>CONTAS A PAGAR</t>
        </is>
      </c>
      <c r="J2017" s="59" t="n">
        <v>1500804</v>
      </c>
      <c r="L2017" s="59" t="n">
        <v>174276</v>
      </c>
      <c r="M2017" s="59" t="inlineStr">
        <is>
          <t>01</t>
        </is>
      </c>
      <c r="N2017" s="59" t="inlineStr">
        <is>
          <t>AVU</t>
        </is>
      </c>
      <c r="P2017" s="59" t="n">
        <v>103</v>
      </c>
      <c r="Q2017" s="59" t="inlineStr">
        <is>
          <t>MILKA FRANCIS</t>
        </is>
      </c>
      <c r="R2017" s="59" t="inlineStr">
        <is>
          <t>ESTOQUE DE MERCADORIAS</t>
        </is>
      </c>
      <c r="S2017" s="59" t="n">
        <v>1130101</v>
      </c>
      <c r="T2017" s="59" t="inlineStr">
        <is>
          <t>MERCADORIAS P/REVENDA</t>
        </is>
      </c>
      <c r="U2017" s="77" t="n">
        <v>2334.4</v>
      </c>
      <c r="W2017" s="59" t="n">
        <v>2334.4</v>
      </c>
      <c r="X2017" s="59" t="inlineStr">
        <is>
          <t>NF174276 - MILKA</t>
        </is>
      </c>
      <c r="Z2017" s="59">
        <f>IF($T2017="","",IFERROR(INDEX('Resumo Grupos'!$AC$3:$AC$200,MATCH($T2017,'Resumo Grupos'!$AB$3:$AB$200,0)),"n/d"))</f>
        <v/>
      </c>
      <c r="AA2017" s="59">
        <f>IF($T2017="","",IF(COUNTIF('Resumo Grupos'!$AE$3:$AE$40,$T2017)&gt;0,"NAO","SIM"))</f>
        <v/>
      </c>
    </row>
    <row r="2018" ht="12.75" customHeight="1" s="60">
      <c r="A2018" s="59" t="n">
        <v>1</v>
      </c>
      <c r="B2018" s="75" t="n">
        <v>46241</v>
      </c>
      <c r="C2018" s="75" t="n">
        <v>46248</v>
      </c>
      <c r="D2018" s="59" t="n">
        <v>1650</v>
      </c>
      <c r="E2018" s="59" t="inlineStr">
        <is>
          <t>FRUTAL INDUSTRIA E COMERCIO LTDA</t>
        </is>
      </c>
      <c r="F2018" s="59" t="n">
        <v>24</v>
      </c>
      <c r="G2018" s="59" t="inlineStr">
        <is>
          <t>Compra a Prazo - Boletos</t>
        </is>
      </c>
      <c r="H2018" s="59" t="n">
        <v>2110405</v>
      </c>
      <c r="I2018" s="59" t="inlineStr">
        <is>
          <t>CONTAS A PAGAR</t>
        </is>
      </c>
      <c r="J2018" s="59" t="n">
        <v>1515395</v>
      </c>
      <c r="L2018" s="59" t="n">
        <v>228213</v>
      </c>
      <c r="M2018" s="59" t="inlineStr">
        <is>
          <t>01</t>
        </is>
      </c>
      <c r="N2018" s="59" t="inlineStr">
        <is>
          <t>AVU</t>
        </is>
      </c>
      <c r="P2018" s="59" t="n">
        <v>103</v>
      </c>
      <c r="Q2018" s="59" t="inlineStr">
        <is>
          <t>MILKA FRANCIS</t>
        </is>
      </c>
      <c r="R2018" s="59" t="inlineStr">
        <is>
          <t>ESTOQUE DE MERCADORIAS</t>
        </is>
      </c>
      <c r="S2018" s="59" t="n">
        <v>1130101</v>
      </c>
      <c r="T2018" s="59" t="inlineStr">
        <is>
          <t>MERCADORIAS P/REVENDA</t>
        </is>
      </c>
      <c r="U2018" s="77" t="n">
        <v>205.32</v>
      </c>
      <c r="W2018" s="59" t="n">
        <v>205.32</v>
      </c>
      <c r="X2018" s="59" t="inlineStr">
        <is>
          <t>NF 228213 - MILKA</t>
        </is>
      </c>
      <c r="Z2018" s="59">
        <f>IF($T2018="","",IFERROR(INDEX('Resumo Grupos'!$AC$3:$AC$200,MATCH($T2018,'Resumo Grupos'!$AB$3:$AB$200,0)),"n/d"))</f>
        <v/>
      </c>
      <c r="AA2018" s="59">
        <f>IF($T2018="","",IF(COUNTIF('Resumo Grupos'!$AE$3:$AE$40,$T2018)&gt;0,"NAO","SIM"))</f>
        <v/>
      </c>
    </row>
    <row r="2019" ht="12.75" customHeight="1" s="60">
      <c r="A2019" s="59" t="n">
        <v>1</v>
      </c>
      <c r="B2019" s="75" t="n">
        <v>46242</v>
      </c>
      <c r="C2019" s="75" t="n">
        <v>46248</v>
      </c>
      <c r="D2019" s="59" t="n">
        <v>1815</v>
      </c>
      <c r="E2019" s="59" t="inlineStr">
        <is>
          <t>J G COMERCIO DE PRODUTOS ALIMENTICIOS LTDA</t>
        </is>
      </c>
      <c r="F2019" s="59" t="n">
        <v>24</v>
      </c>
      <c r="G2019" s="59" t="inlineStr">
        <is>
          <t>Compra a Prazo - Boletos</t>
        </is>
      </c>
      <c r="H2019" s="59" t="n">
        <v>2110405</v>
      </c>
      <c r="I2019" s="59" t="inlineStr">
        <is>
          <t>CONTAS A PAGAR</t>
        </is>
      </c>
      <c r="J2019" s="59" t="n">
        <v>1517855</v>
      </c>
      <c r="L2019" s="59" t="n">
        <v>396666</v>
      </c>
      <c r="M2019" s="59" t="inlineStr">
        <is>
          <t>01</t>
        </is>
      </c>
      <c r="N2019" s="59" t="inlineStr">
        <is>
          <t>AVU</t>
        </is>
      </c>
      <c r="P2019" s="59" t="n">
        <v>103</v>
      </c>
      <c r="Q2019" s="59" t="inlineStr">
        <is>
          <t>MILKA FRANCIS</t>
        </is>
      </c>
      <c r="R2019" s="59" t="inlineStr">
        <is>
          <t>ESTOQUE DE MERCADORIAS</t>
        </is>
      </c>
      <c r="S2019" s="59" t="n">
        <v>1130101</v>
      </c>
      <c r="T2019" s="59" t="inlineStr">
        <is>
          <t>MERCADORIAS P/REVENDA</t>
        </is>
      </c>
      <c r="U2019" s="77" t="n">
        <v>1052.37</v>
      </c>
      <c r="W2019" s="59" t="n">
        <v>1052.37</v>
      </c>
      <c r="X2019" s="59" t="inlineStr">
        <is>
          <t>460966-A/C  NF396666 - MILKA</t>
        </is>
      </c>
      <c r="Z2019" s="59">
        <f>IF($T2019="","",IFERROR(INDEX('Resumo Grupos'!$AC$3:$AC$200,MATCH($T2019,'Resumo Grupos'!$AB$3:$AB$200,0)),"n/d"))</f>
        <v/>
      </c>
      <c r="AA2019" s="59">
        <f>IF($T2019="","",IF(COUNTIF('Resumo Grupos'!$AE$3:$AE$40,$T2019)&gt;0,"NAO","SIM"))</f>
        <v/>
      </c>
    </row>
    <row r="2020" ht="12.75" customHeight="1" s="60">
      <c r="A2020" s="59" t="n">
        <v>1</v>
      </c>
      <c r="B2020" s="75" t="n">
        <v>46240</v>
      </c>
      <c r="C2020" s="75" t="n">
        <v>46248</v>
      </c>
      <c r="D2020" s="59" t="n">
        <v>1683</v>
      </c>
      <c r="E2020" s="59" t="inlineStr">
        <is>
          <t>EDSON AGUIAR DE SOUZA</t>
        </is>
      </c>
      <c r="F2020" s="59" t="n">
        <v>34</v>
      </c>
      <c r="G2020" s="59" t="inlineStr">
        <is>
          <t>Transferencia Pix</t>
        </is>
      </c>
      <c r="H2020" s="59" t="n">
        <v>2110101</v>
      </c>
      <c r="I2020" s="59" t="inlineStr">
        <is>
          <t>FORNECEDORES DE MERCADORIA</t>
        </is>
      </c>
      <c r="J2020" s="59" t="n">
        <v>1528694</v>
      </c>
      <c r="L2020" s="59" t="n">
        <v>1659689</v>
      </c>
      <c r="M2020" s="59" t="inlineStr">
        <is>
          <t>01</t>
        </is>
      </c>
      <c r="N2020" s="59" t="inlineStr">
        <is>
          <t>NFE</t>
        </is>
      </c>
      <c r="P2020" s="59" t="n">
        <v>104</v>
      </c>
      <c r="Q2020" s="59" t="inlineStr">
        <is>
          <t>DEBORA COSTA</t>
        </is>
      </c>
      <c r="R2020" s="59" t="inlineStr">
        <is>
          <t>ESTOQUE DE MERCADORIAS</t>
        </is>
      </c>
      <c r="S2020" s="59" t="n">
        <v>1130101</v>
      </c>
      <c r="T2020" s="59" t="inlineStr">
        <is>
          <t>MERCADORIAS P/REVENDA</t>
        </is>
      </c>
      <c r="U2020" s="77" t="n">
        <v>225</v>
      </c>
      <c r="W2020" s="59" t="n">
        <v>225</v>
      </c>
      <c r="X2020" s="59" t="inlineStr">
        <is>
          <t>NF 1659689 - DEBORA</t>
        </is>
      </c>
      <c r="Z2020" s="59">
        <f>IF($T2020="","",IFERROR(INDEX('Resumo Grupos'!$AC$3:$AC$200,MATCH($T2020,'Resumo Grupos'!$AB$3:$AB$200,0)),"n/d"))</f>
        <v/>
      </c>
      <c r="AA2020" s="59">
        <f>IF($T2020="","",IF(COUNTIF('Resumo Grupos'!$AE$3:$AE$40,$T2020)&gt;0,"NAO","SIM"))</f>
        <v/>
      </c>
    </row>
    <row r="2021" ht="12.75" customHeight="1" s="60">
      <c r="A2021" s="59" t="n">
        <v>1</v>
      </c>
      <c r="B2021" s="75" t="n">
        <v>46240</v>
      </c>
      <c r="C2021" s="75" t="n">
        <v>46248</v>
      </c>
      <c r="D2021" s="59" t="n">
        <v>1683</v>
      </c>
      <c r="E2021" s="59" t="inlineStr">
        <is>
          <t>EDSON AGUIAR DE SOUZA</t>
        </is>
      </c>
      <c r="F2021" s="59" t="n">
        <v>34</v>
      </c>
      <c r="G2021" s="59" t="inlineStr">
        <is>
          <t>Transferencia Pix</t>
        </is>
      </c>
      <c r="H2021" s="59" t="n">
        <v>2110101</v>
      </c>
      <c r="I2021" s="59" t="inlineStr">
        <is>
          <t>FORNECEDORES DE MERCADORIA</t>
        </is>
      </c>
      <c r="J2021" s="59" t="n">
        <v>1528716</v>
      </c>
      <c r="L2021" s="59" t="n">
        <v>1659694</v>
      </c>
      <c r="M2021" s="59" t="inlineStr">
        <is>
          <t>01</t>
        </is>
      </c>
      <c r="N2021" s="59" t="inlineStr">
        <is>
          <t>NFE</t>
        </is>
      </c>
      <c r="P2021" s="59" t="n">
        <v>104</v>
      </c>
      <c r="Q2021" s="59" t="inlineStr">
        <is>
          <t>DEBORA COSTA</t>
        </is>
      </c>
      <c r="R2021" s="59" t="inlineStr">
        <is>
          <t>ESTOQUE DE MERCADORIAS</t>
        </is>
      </c>
      <c r="S2021" s="59" t="n">
        <v>1130101</v>
      </c>
      <c r="T2021" s="59" t="inlineStr">
        <is>
          <t>MERCADORIAS P/REVENDA</t>
        </is>
      </c>
      <c r="U2021" s="77" t="n">
        <v>217.5</v>
      </c>
      <c r="W2021" s="59" t="n">
        <v>217.5</v>
      </c>
      <c r="X2021" s="59" t="inlineStr">
        <is>
          <t>NF 1659694 - DEBORA</t>
        </is>
      </c>
      <c r="Z2021" s="59">
        <f>IF($T2021="","",IFERROR(INDEX('Resumo Grupos'!$AC$3:$AC$200,MATCH($T2021,'Resumo Grupos'!$AB$3:$AB$200,0)),"n/d"))</f>
        <v/>
      </c>
      <c r="AA2021" s="59">
        <f>IF($T2021="","",IF(COUNTIF('Resumo Grupos'!$AE$3:$AE$40,$T2021)&gt;0,"NAO","SIM"))</f>
        <v/>
      </c>
    </row>
    <row r="2022" ht="12.75" customHeight="1" s="60">
      <c r="A2022" s="59" t="n">
        <v>1</v>
      </c>
      <c r="B2022" s="75" t="n">
        <v>46240</v>
      </c>
      <c r="C2022" s="75" t="n">
        <v>46248</v>
      </c>
      <c r="D2022" s="59" t="n">
        <v>1683</v>
      </c>
      <c r="E2022" s="59" t="inlineStr">
        <is>
          <t>EDSON AGUIAR DE SOUZA</t>
        </is>
      </c>
      <c r="F2022" s="59" t="n">
        <v>34</v>
      </c>
      <c r="G2022" s="59" t="inlineStr">
        <is>
          <t>Transferencia Pix</t>
        </is>
      </c>
      <c r="H2022" s="59" t="n">
        <v>2110101</v>
      </c>
      <c r="I2022" s="59" t="inlineStr">
        <is>
          <t>FORNECEDORES DE MERCADORIA</t>
        </is>
      </c>
      <c r="J2022" s="59" t="n">
        <v>1528746</v>
      </c>
      <c r="L2022" s="59" t="n">
        <v>1659706</v>
      </c>
      <c r="M2022" s="59" t="inlineStr">
        <is>
          <t>01</t>
        </is>
      </c>
      <c r="N2022" s="59" t="inlineStr">
        <is>
          <t>NFE</t>
        </is>
      </c>
      <c r="P2022" s="59" t="n">
        <v>104</v>
      </c>
      <c r="Q2022" s="59" t="inlineStr">
        <is>
          <t>DEBORA COSTA</t>
        </is>
      </c>
      <c r="R2022" s="59" t="inlineStr">
        <is>
          <t>ESTOQUE DE MERCADORIAS</t>
        </is>
      </c>
      <c r="S2022" s="59" t="n">
        <v>1130101</v>
      </c>
      <c r="T2022" s="59" t="inlineStr">
        <is>
          <t>MERCADORIAS P/REVENDA</t>
        </is>
      </c>
      <c r="U2022" s="77" t="n">
        <v>171</v>
      </c>
      <c r="W2022" s="59" t="n">
        <v>171</v>
      </c>
      <c r="X2022" s="59" t="inlineStr">
        <is>
          <t>NF 1659706 - DEBORA</t>
        </is>
      </c>
      <c r="Z2022" s="59">
        <f>IF($T2022="","",IFERROR(INDEX('Resumo Grupos'!$AC$3:$AC$200,MATCH($T2022,'Resumo Grupos'!$AB$3:$AB$200,0)),"n/d"))</f>
        <v/>
      </c>
      <c r="AA2022" s="59">
        <f>IF($T2022="","",IF(COUNTIF('Resumo Grupos'!$AE$3:$AE$40,$T2022)&gt;0,"NAO","SIM"))</f>
        <v/>
      </c>
    </row>
    <row r="2023" ht="12.75" customHeight="1" s="60">
      <c r="A2023" s="59" t="n">
        <v>1</v>
      </c>
      <c r="B2023" s="75" t="n">
        <v>46242</v>
      </c>
      <c r="C2023" s="75" t="n">
        <v>46248</v>
      </c>
      <c r="D2023" s="59" t="n">
        <v>1683</v>
      </c>
      <c r="E2023" s="59" t="inlineStr">
        <is>
          <t>EDSON AGUIAR DE SOUZA</t>
        </is>
      </c>
      <c r="F2023" s="59" t="n">
        <v>34</v>
      </c>
      <c r="G2023" s="59" t="inlineStr">
        <is>
          <t>Transferencia Pix</t>
        </is>
      </c>
      <c r="H2023" s="59" t="n">
        <v>2110101</v>
      </c>
      <c r="I2023" s="59" t="inlineStr">
        <is>
          <t>FORNECEDORES DE MERCADORIA</t>
        </is>
      </c>
      <c r="J2023" s="59" t="n">
        <v>1528766</v>
      </c>
      <c r="L2023" s="59" t="n">
        <v>1660615</v>
      </c>
      <c r="M2023" s="59" t="inlineStr">
        <is>
          <t>01</t>
        </is>
      </c>
      <c r="N2023" s="59" t="inlineStr">
        <is>
          <t>NFE</t>
        </is>
      </c>
      <c r="P2023" s="59" t="n">
        <v>104</v>
      </c>
      <c r="Q2023" s="59" t="inlineStr">
        <is>
          <t>DEBORA COSTA</t>
        </is>
      </c>
      <c r="R2023" s="59" t="inlineStr">
        <is>
          <t>ESTOQUE DE MERCADORIAS</t>
        </is>
      </c>
      <c r="S2023" s="59" t="n">
        <v>1130101</v>
      </c>
      <c r="T2023" s="59" t="inlineStr">
        <is>
          <t>MERCADORIAS P/REVENDA</t>
        </is>
      </c>
      <c r="U2023" s="77" t="n">
        <v>261</v>
      </c>
      <c r="W2023" s="59" t="n">
        <v>261</v>
      </c>
      <c r="X2023" s="59" t="inlineStr">
        <is>
          <t>NF 1660615 - DEBORA</t>
        </is>
      </c>
      <c r="Z2023" s="59">
        <f>IF($T2023="","",IFERROR(INDEX('Resumo Grupos'!$AC$3:$AC$200,MATCH($T2023,'Resumo Grupos'!$AB$3:$AB$200,0)),"n/d"))</f>
        <v/>
      </c>
      <c r="AA2023" s="59">
        <f>IF($T2023="","",IF(COUNTIF('Resumo Grupos'!$AE$3:$AE$40,$T2023)&gt;0,"NAO","SIM"))</f>
        <v/>
      </c>
    </row>
    <row r="2024" ht="12.75" customHeight="1" s="60">
      <c r="A2024" s="59" t="n">
        <v>1</v>
      </c>
      <c r="B2024" s="75" t="n">
        <v>46244</v>
      </c>
      <c r="C2024" s="75" t="n">
        <v>46248</v>
      </c>
      <c r="D2024" s="59" t="n">
        <v>1286</v>
      </c>
      <c r="E2024" s="59" t="inlineStr">
        <is>
          <t>VITAPAN COMERCIO VAREJISTA DE PRODUTOS ALIMENTICIOS LTDA</t>
        </is>
      </c>
      <c r="F2024" s="59" t="n">
        <v>24</v>
      </c>
      <c r="G2024" s="59" t="inlineStr">
        <is>
          <t>Compra a Prazo - Boletos</t>
        </is>
      </c>
      <c r="H2024" s="59" t="n">
        <v>2110405</v>
      </c>
      <c r="I2024" s="59" t="inlineStr">
        <is>
          <t>CONTAS A PAGAR</t>
        </is>
      </c>
      <c r="J2024" s="59" t="n">
        <v>1528779</v>
      </c>
      <c r="L2024" s="59" t="n">
        <v>10502</v>
      </c>
      <c r="M2024" s="59" t="inlineStr">
        <is>
          <t>01</t>
        </is>
      </c>
      <c r="N2024" s="59" t="inlineStr">
        <is>
          <t>AVU</t>
        </is>
      </c>
      <c r="P2024" s="59" t="n">
        <v>103</v>
      </c>
      <c r="Q2024" s="59" t="inlineStr">
        <is>
          <t>MILKA FRANCIS</t>
        </is>
      </c>
      <c r="R2024" s="59" t="inlineStr">
        <is>
          <t>ESTOQUE DE MERCADORIAS</t>
        </is>
      </c>
      <c r="S2024" s="59" t="n">
        <v>1130101</v>
      </c>
      <c r="T2024" s="59" t="inlineStr">
        <is>
          <t>MERCADORIAS P/REVENDA</t>
        </is>
      </c>
      <c r="U2024" s="77" t="n">
        <v>1350</v>
      </c>
      <c r="W2024" s="59" t="n">
        <v>1350</v>
      </c>
      <c r="X2024" s="59" t="inlineStr">
        <is>
          <t>NF 10502 - MILKA</t>
        </is>
      </c>
      <c r="Z2024" s="59">
        <f>IF($T2024="","",IFERROR(INDEX('Resumo Grupos'!$AC$3:$AC$200,MATCH($T2024,'Resumo Grupos'!$AB$3:$AB$200,0)),"n/d"))</f>
        <v/>
      </c>
      <c r="AA2024" s="59">
        <f>IF($T2024="","",IF(COUNTIF('Resumo Grupos'!$AE$3:$AE$40,$T2024)&gt;0,"NAO","SIM"))</f>
        <v/>
      </c>
    </row>
    <row r="2025" ht="12.75" customHeight="1" s="60">
      <c r="A2025" s="59" t="n">
        <v>1</v>
      </c>
      <c r="B2025" s="75" t="n">
        <v>46242</v>
      </c>
      <c r="C2025" s="75" t="n">
        <v>46248</v>
      </c>
      <c r="D2025" s="59" t="n">
        <v>1683</v>
      </c>
      <c r="E2025" s="59" t="inlineStr">
        <is>
          <t>EDSON AGUIAR DE SOUZA</t>
        </is>
      </c>
      <c r="F2025" s="59" t="n">
        <v>34</v>
      </c>
      <c r="G2025" s="59" t="inlineStr">
        <is>
          <t>Transferencia Pix</t>
        </is>
      </c>
      <c r="H2025" s="59" t="n">
        <v>2110101</v>
      </c>
      <c r="I2025" s="59" t="inlineStr">
        <is>
          <t>FORNECEDORES DE MERCADORIA</t>
        </is>
      </c>
      <c r="J2025" s="59" t="n">
        <v>1528788</v>
      </c>
      <c r="L2025" s="59" t="n">
        <v>1660616</v>
      </c>
      <c r="M2025" s="59" t="inlineStr">
        <is>
          <t>01</t>
        </is>
      </c>
      <c r="N2025" s="59" t="inlineStr">
        <is>
          <t>NFE</t>
        </is>
      </c>
      <c r="P2025" s="59" t="n">
        <v>104</v>
      </c>
      <c r="Q2025" s="59" t="inlineStr">
        <is>
          <t>DEBORA COSTA</t>
        </is>
      </c>
      <c r="R2025" s="59" t="inlineStr">
        <is>
          <t>ESTOQUE DE MERCADORIAS</t>
        </is>
      </c>
      <c r="S2025" s="59" t="n">
        <v>1130101</v>
      </c>
      <c r="T2025" s="59" t="inlineStr">
        <is>
          <t>MERCADORIAS P/REVENDA</t>
        </is>
      </c>
      <c r="U2025" s="77" t="n">
        <v>180</v>
      </c>
      <c r="W2025" s="59" t="n">
        <v>180</v>
      </c>
      <c r="X2025" s="59" t="inlineStr">
        <is>
          <t>NF 1660616 - DEBORA</t>
        </is>
      </c>
      <c r="Z2025" s="59">
        <f>IF($T2025="","",IFERROR(INDEX('Resumo Grupos'!$AC$3:$AC$200,MATCH($T2025,'Resumo Grupos'!$AB$3:$AB$200,0)),"n/d"))</f>
        <v/>
      </c>
      <c r="AA2025" s="59">
        <f>IF($T2025="","",IF(COUNTIF('Resumo Grupos'!$AE$3:$AE$40,$T2025)&gt;0,"NAO","SIM"))</f>
        <v/>
      </c>
    </row>
    <row r="2026" ht="12.75" customHeight="1" s="60">
      <c r="A2026" s="59" t="n">
        <v>1</v>
      </c>
      <c r="B2026" s="75" t="n">
        <v>46244</v>
      </c>
      <c r="C2026" s="75" t="n">
        <v>46248</v>
      </c>
      <c r="D2026" s="59" t="n">
        <v>581</v>
      </c>
      <c r="E2026" s="59" t="inlineStr">
        <is>
          <t>LIMA E BARANDA COMERCIO DE PRODUTOS REGI</t>
        </is>
      </c>
      <c r="F2026" s="59" t="n">
        <v>24</v>
      </c>
      <c r="G2026" s="59" t="inlineStr">
        <is>
          <t>Compra a Prazo - Boletos</t>
        </is>
      </c>
      <c r="H2026" s="59" t="n">
        <v>2110405</v>
      </c>
      <c r="I2026" s="59" t="inlineStr">
        <is>
          <t>CONTAS A PAGAR</t>
        </is>
      </c>
      <c r="J2026" s="59" t="n">
        <v>1528794</v>
      </c>
      <c r="L2026" s="59" t="n">
        <v>31383</v>
      </c>
      <c r="M2026" s="59" t="inlineStr">
        <is>
          <t>01</t>
        </is>
      </c>
      <c r="N2026" s="59" t="inlineStr">
        <is>
          <t>AVU</t>
        </is>
      </c>
      <c r="P2026" s="59" t="n">
        <v>103</v>
      </c>
      <c r="Q2026" s="59" t="inlineStr">
        <is>
          <t>MILKA FRANCIS</t>
        </is>
      </c>
      <c r="R2026" s="59" t="inlineStr">
        <is>
          <t>ESTOQUE DE MERCADORIAS</t>
        </is>
      </c>
      <c r="S2026" s="59" t="n">
        <v>1130101</v>
      </c>
      <c r="T2026" s="59" t="inlineStr">
        <is>
          <t>MERCADORIAS P/REVENDA</t>
        </is>
      </c>
      <c r="U2026" s="77" t="n">
        <v>363.5</v>
      </c>
      <c r="W2026" s="59" t="n">
        <v>363.5</v>
      </c>
      <c r="X2026" s="59" t="inlineStr">
        <is>
          <t>NF 31383 - MILKA</t>
        </is>
      </c>
      <c r="Z2026" s="59">
        <f>IF($T2026="","",IFERROR(INDEX('Resumo Grupos'!$AC$3:$AC$200,MATCH($T2026,'Resumo Grupos'!$AB$3:$AB$200,0)),"n/d"))</f>
        <v/>
      </c>
      <c r="AA2026" s="59">
        <f>IF($T2026="","",IF(COUNTIF('Resumo Grupos'!$AE$3:$AE$40,$T2026)&gt;0,"NAO","SIM"))</f>
        <v/>
      </c>
    </row>
    <row r="2027" ht="12.75" customHeight="1" s="60">
      <c r="A2027" s="59" t="n">
        <v>1</v>
      </c>
      <c r="B2027" s="75" t="n">
        <v>46244</v>
      </c>
      <c r="C2027" s="75" t="n">
        <v>46248</v>
      </c>
      <c r="D2027" s="59" t="n">
        <v>1819</v>
      </c>
      <c r="E2027" s="59" t="inlineStr">
        <is>
          <t>LELE FABRICACAO DE MASSAS LTDA</t>
        </is>
      </c>
      <c r="F2027" s="59" t="n">
        <v>24</v>
      </c>
      <c r="G2027" s="59" t="inlineStr">
        <is>
          <t>Compra a Prazo - Boletos</t>
        </is>
      </c>
      <c r="H2027" s="59" t="n">
        <v>2110405</v>
      </c>
      <c r="I2027" s="59" t="inlineStr">
        <is>
          <t>CONTAS A PAGAR</t>
        </is>
      </c>
      <c r="J2027" s="59" t="n">
        <v>1528823</v>
      </c>
      <c r="L2027" s="59" t="n">
        <v>17015</v>
      </c>
      <c r="M2027" s="59" t="inlineStr">
        <is>
          <t>01</t>
        </is>
      </c>
      <c r="N2027" s="59" t="inlineStr">
        <is>
          <t>AVU</t>
        </is>
      </c>
      <c r="P2027" s="59" t="n">
        <v>103</v>
      </c>
      <c r="Q2027" s="59" t="inlineStr">
        <is>
          <t>MILKA FRANCIS</t>
        </is>
      </c>
      <c r="R2027" s="59" t="inlineStr">
        <is>
          <t>ESTOQUE DE MERCADORIAS</t>
        </is>
      </c>
      <c r="S2027" s="59" t="n">
        <v>1130101</v>
      </c>
      <c r="T2027" s="59" t="inlineStr">
        <is>
          <t>MERCADORIAS P/REVENDA</t>
        </is>
      </c>
      <c r="U2027" s="77" t="n">
        <v>250</v>
      </c>
      <c r="W2027" s="59" t="n">
        <v>250</v>
      </c>
      <c r="X2027" s="59" t="inlineStr">
        <is>
          <t>NF 17015 - MILKA</t>
        </is>
      </c>
      <c r="Z2027" s="59">
        <f>IF($T2027="","",IFERROR(INDEX('Resumo Grupos'!$AC$3:$AC$200,MATCH($T2027,'Resumo Grupos'!$AB$3:$AB$200,0)),"n/d"))</f>
        <v/>
      </c>
      <c r="AA2027" s="59">
        <f>IF($T2027="","",IF(COUNTIF('Resumo Grupos'!$AE$3:$AE$40,$T2027)&gt;0,"NAO","SIM"))</f>
        <v/>
      </c>
    </row>
    <row r="2028" ht="12.75" customHeight="1" s="60">
      <c r="A2028" s="59" t="n">
        <v>1</v>
      </c>
      <c r="B2028" s="75" t="n">
        <v>46244</v>
      </c>
      <c r="C2028" s="75" t="n">
        <v>46248</v>
      </c>
      <c r="D2028" s="59" t="n">
        <v>1642</v>
      </c>
      <c r="E2028" s="59" t="inlineStr">
        <is>
          <t>BROTHERS  INDUSTRIA DE ALIMENTOS LTDA</t>
        </is>
      </c>
      <c r="F2028" s="59" t="n">
        <v>24</v>
      </c>
      <c r="G2028" s="59" t="inlineStr">
        <is>
          <t>Compra a Prazo - Boletos</t>
        </is>
      </c>
      <c r="H2028" s="59" t="n">
        <v>2110405</v>
      </c>
      <c r="I2028" s="59" t="inlineStr">
        <is>
          <t>CONTAS A PAGAR</t>
        </is>
      </c>
      <c r="J2028" s="59" t="n">
        <v>1529365</v>
      </c>
      <c r="L2028" s="59" t="n">
        <v>1035724</v>
      </c>
      <c r="M2028" s="59" t="inlineStr">
        <is>
          <t>01</t>
        </is>
      </c>
      <c r="N2028" s="59" t="inlineStr">
        <is>
          <t>AVU</t>
        </is>
      </c>
      <c r="P2028" s="59" t="n">
        <v>103</v>
      </c>
      <c r="Q2028" s="59" t="inlineStr">
        <is>
          <t>MILKA FRANCIS</t>
        </is>
      </c>
      <c r="R2028" s="59" t="inlineStr">
        <is>
          <t>ESTOQUE DE MERCADORIAS</t>
        </is>
      </c>
      <c r="S2028" s="59" t="n">
        <v>1130101</v>
      </c>
      <c r="T2028" s="59" t="inlineStr">
        <is>
          <t>MERCADORIAS P/REVENDA</t>
        </is>
      </c>
      <c r="U2028" s="77" t="n">
        <v>949.6799999999999</v>
      </c>
      <c r="W2028" s="59" t="n">
        <v>949.6799999999999</v>
      </c>
      <c r="X2028" s="59" t="inlineStr">
        <is>
          <t>NF 1035724 - MILKA</t>
        </is>
      </c>
      <c r="Z2028" s="59">
        <f>IF($T2028="","",IFERROR(INDEX('Resumo Grupos'!$AC$3:$AC$200,MATCH($T2028,'Resumo Grupos'!$AB$3:$AB$200,0)),"n/d"))</f>
        <v/>
      </c>
      <c r="AA2028" s="59">
        <f>IF($T2028="","",IF(COUNTIF('Resumo Grupos'!$AE$3:$AE$40,$T2028)&gt;0,"NAO","SIM"))</f>
        <v/>
      </c>
    </row>
    <row r="2029" ht="12.75" customHeight="1" s="60">
      <c r="A2029" s="59" t="n">
        <v>1</v>
      </c>
      <c r="B2029" s="75" t="n">
        <v>46244</v>
      </c>
      <c r="C2029" s="75" t="n">
        <v>46248</v>
      </c>
      <c r="D2029" s="59" t="n">
        <v>1625</v>
      </c>
      <c r="E2029" s="59" t="inlineStr">
        <is>
          <t>MAXFRI DISTRIUIDORA LTDA</t>
        </is>
      </c>
      <c r="F2029" s="59" t="n">
        <v>24</v>
      </c>
      <c r="G2029" s="59" t="inlineStr">
        <is>
          <t>Compra a Prazo - Boletos</t>
        </is>
      </c>
      <c r="H2029" s="59" t="n">
        <v>2110405</v>
      </c>
      <c r="I2029" s="59" t="inlineStr">
        <is>
          <t>CONTAS A PAGAR</t>
        </is>
      </c>
      <c r="J2029" s="59" t="n">
        <v>1529966</v>
      </c>
      <c r="L2029" s="59" t="n">
        <v>14969</v>
      </c>
      <c r="M2029" s="59" t="inlineStr">
        <is>
          <t>01</t>
        </is>
      </c>
      <c r="N2029" s="59" t="inlineStr">
        <is>
          <t>AVU</t>
        </is>
      </c>
      <c r="P2029" s="59" t="n">
        <v>103</v>
      </c>
      <c r="Q2029" s="59" t="inlineStr">
        <is>
          <t>MILKA FRANCIS</t>
        </is>
      </c>
      <c r="R2029" s="59" t="inlineStr">
        <is>
          <t>ESTOQUE DE MERCADORIAS</t>
        </is>
      </c>
      <c r="S2029" s="59" t="n">
        <v>1130101</v>
      </c>
      <c r="T2029" s="59" t="inlineStr">
        <is>
          <t>MERCADORIAS P/REVENDA</t>
        </is>
      </c>
      <c r="U2029" s="77" t="n">
        <v>6688</v>
      </c>
      <c r="W2029" s="59" t="n">
        <v>6688</v>
      </c>
      <c r="X2029" s="59" t="inlineStr">
        <is>
          <t>NF 14969 - MILKA</t>
        </is>
      </c>
      <c r="Z2029" s="59">
        <f>IF($T2029="","",IFERROR(INDEX('Resumo Grupos'!$AC$3:$AC$200,MATCH($T2029,'Resumo Grupos'!$AB$3:$AB$200,0)),"n/d"))</f>
        <v/>
      </c>
      <c r="AA2029" s="59">
        <f>IF($T2029="","",IF(COUNTIF('Resumo Grupos'!$AE$3:$AE$40,$T2029)&gt;0,"NAO","SIM"))</f>
        <v/>
      </c>
    </row>
    <row r="2030" ht="12.75" customHeight="1" s="60">
      <c r="A2030" s="59" t="n">
        <v>1</v>
      </c>
      <c r="B2030" s="75" t="n">
        <v>46244</v>
      </c>
      <c r="C2030" s="75" t="n">
        <v>46248</v>
      </c>
      <c r="D2030" s="59" t="n">
        <v>1683</v>
      </c>
      <c r="E2030" s="59" t="inlineStr">
        <is>
          <t>EDSON AGUIAR DE SOUZA</t>
        </is>
      </c>
      <c r="F2030" s="59" t="n">
        <v>34</v>
      </c>
      <c r="G2030" s="59" t="inlineStr">
        <is>
          <t>Transferencia Pix</t>
        </is>
      </c>
      <c r="H2030" s="59" t="n">
        <v>2110101</v>
      </c>
      <c r="I2030" s="59" t="inlineStr">
        <is>
          <t>FORNECEDORES DE MERCADORIA</t>
        </is>
      </c>
      <c r="J2030" s="59" t="n">
        <v>1530153</v>
      </c>
      <c r="L2030" s="59" t="n">
        <v>1661046</v>
      </c>
      <c r="M2030" s="59" t="inlineStr">
        <is>
          <t>01</t>
        </is>
      </c>
      <c r="N2030" s="59" t="inlineStr">
        <is>
          <t>NFE</t>
        </is>
      </c>
      <c r="P2030" s="59" t="n">
        <v>104</v>
      </c>
      <c r="Q2030" s="59" t="inlineStr">
        <is>
          <t>DEBORA COSTA</t>
        </is>
      </c>
      <c r="R2030" s="59" t="inlineStr">
        <is>
          <t>ESTOQUE DE MERCADORIAS</t>
        </is>
      </c>
      <c r="S2030" s="59" t="n">
        <v>1130101</v>
      </c>
      <c r="T2030" s="59" t="inlineStr">
        <is>
          <t>MERCADORIAS P/REVENDA</t>
        </is>
      </c>
      <c r="U2030" s="77" t="n">
        <v>210</v>
      </c>
      <c r="W2030" s="59" t="n">
        <v>210</v>
      </c>
      <c r="X2030" s="59" t="inlineStr">
        <is>
          <t>NF 1661046 - DEBORA</t>
        </is>
      </c>
      <c r="Z2030" s="59">
        <f>IF($T2030="","",IFERROR(INDEX('Resumo Grupos'!$AC$3:$AC$200,MATCH($T2030,'Resumo Grupos'!$AB$3:$AB$200,0)),"n/d"))</f>
        <v/>
      </c>
      <c r="AA2030" s="59">
        <f>IF($T2030="","",IF(COUNTIF('Resumo Grupos'!$AE$3:$AE$40,$T2030)&gt;0,"NAO","SIM"))</f>
        <v/>
      </c>
    </row>
    <row r="2031" ht="12.75" customHeight="1" s="60">
      <c r="A2031" s="59" t="n">
        <v>1</v>
      </c>
      <c r="B2031" s="75" t="n">
        <v>46245</v>
      </c>
      <c r="C2031" s="75" t="n">
        <v>46248</v>
      </c>
      <c r="D2031" s="59" t="n">
        <v>1899</v>
      </c>
      <c r="E2031" s="59" t="inlineStr">
        <is>
          <t>PANIFICADORA E CONFEITARIA REAL MADRI LTDA</t>
        </is>
      </c>
      <c r="F2031" s="59" t="n">
        <v>24</v>
      </c>
      <c r="G2031" s="59" t="inlineStr">
        <is>
          <t>Compra a Prazo - Boletos</t>
        </is>
      </c>
      <c r="H2031" s="59" t="n">
        <v>2110405</v>
      </c>
      <c r="I2031" s="59" t="inlineStr">
        <is>
          <t>CONTAS A PAGAR</t>
        </is>
      </c>
      <c r="J2031" s="59" t="n">
        <v>1533257</v>
      </c>
      <c r="L2031" s="59" t="n">
        <v>756</v>
      </c>
      <c r="M2031" s="59" t="inlineStr">
        <is>
          <t>01</t>
        </is>
      </c>
      <c r="N2031" s="59" t="inlineStr">
        <is>
          <t>AVU</t>
        </is>
      </c>
      <c r="P2031" s="59" t="n">
        <v>103</v>
      </c>
      <c r="Q2031" s="59" t="inlineStr">
        <is>
          <t>MILKA FRANCIS</t>
        </is>
      </c>
      <c r="R2031" s="59" t="inlineStr">
        <is>
          <t>ESTOQUE DE MERCADORIAS</t>
        </is>
      </c>
      <c r="S2031" s="59" t="n">
        <v>1130101</v>
      </c>
      <c r="T2031" s="59" t="inlineStr">
        <is>
          <t>MERCADORIAS P/REVENDA</t>
        </is>
      </c>
      <c r="U2031" s="77" t="n">
        <v>700</v>
      </c>
      <c r="W2031" s="59" t="n">
        <v>700</v>
      </c>
      <c r="X2031" s="59" t="inlineStr">
        <is>
          <t>NF 756 - MILKA</t>
        </is>
      </c>
      <c r="Z2031" s="59">
        <f>IF($T2031="","",IFERROR(INDEX('Resumo Grupos'!$AC$3:$AC$200,MATCH($T2031,'Resumo Grupos'!$AB$3:$AB$200,0)),"n/d"))</f>
        <v/>
      </c>
      <c r="AA2031" s="59">
        <f>IF($T2031="","",IF(COUNTIF('Resumo Grupos'!$AE$3:$AE$40,$T2031)&gt;0,"NAO","SIM"))</f>
        <v/>
      </c>
    </row>
    <row r="2032" ht="12.75" customHeight="1" s="60">
      <c r="A2032" s="59" t="n">
        <v>1</v>
      </c>
      <c r="B2032" s="75" t="n">
        <v>46248</v>
      </c>
      <c r="C2032" s="75" t="n">
        <v>46248</v>
      </c>
      <c r="D2032" s="59" t="n">
        <v>956</v>
      </c>
      <c r="E2032" s="59" t="inlineStr">
        <is>
          <t>ORIGENES C FREITAS</t>
        </is>
      </c>
      <c r="F2032" s="59" t="n">
        <v>34</v>
      </c>
      <c r="G2032" s="59" t="inlineStr">
        <is>
          <t>Transferencia Pix</t>
        </is>
      </c>
      <c r="H2032" s="59" t="n">
        <v>2110405</v>
      </c>
      <c r="I2032" s="59" t="inlineStr">
        <is>
          <t>CONTAS A PAGAR</t>
        </is>
      </c>
      <c r="J2032" s="59" t="n">
        <v>1545667</v>
      </c>
      <c r="L2032" s="59" t="n">
        <v>631545</v>
      </c>
      <c r="M2032" s="59" t="inlineStr">
        <is>
          <t>01</t>
        </is>
      </c>
      <c r="N2032" s="59" t="inlineStr">
        <is>
          <t>AVU</t>
        </is>
      </c>
      <c r="P2032" s="59" t="n">
        <v>101</v>
      </c>
      <c r="Q2032" s="59" t="inlineStr">
        <is>
          <t>KEILA LIMA</t>
        </is>
      </c>
      <c r="R2032" s="59" t="inlineStr">
        <is>
          <t>DESPESAS COMERCIAIS</t>
        </is>
      </c>
      <c r="S2032" s="59" t="n">
        <v>4210111</v>
      </c>
      <c r="T2032" s="59" t="inlineStr">
        <is>
          <t>ALUGUEIS PAGOS A PF</t>
        </is>
      </c>
      <c r="U2032" s="77" t="n">
        <v>500</v>
      </c>
      <c r="W2032" s="59" t="n">
        <v>500</v>
      </c>
      <c r="X2032" s="59" t="inlineStr">
        <is>
          <t>OUTROS ADIANT DE ALUGUEL PADARIA MO1 - KEILA</t>
        </is>
      </c>
      <c r="Z2032" s="59">
        <f>IF($T2032="","",IFERROR(INDEX('Resumo Grupos'!$AC$3:$AC$200,MATCH($T2032,'Resumo Grupos'!$AB$3:$AB$200,0)),"n/d"))</f>
        <v/>
      </c>
      <c r="AA2032" s="59">
        <f>IF($T2032="","",IF(COUNTIF('Resumo Grupos'!$AE$3:$AE$40,$T2032)&gt;0,"NAO","SIM"))</f>
        <v/>
      </c>
    </row>
    <row r="2033" ht="12.75" customHeight="1" s="60">
      <c r="A2033" s="59" t="n">
        <v>1</v>
      </c>
      <c r="B2033" s="75" t="n">
        <v>46246</v>
      </c>
      <c r="C2033" s="75" t="n">
        <v>46248</v>
      </c>
      <c r="D2033" s="59" t="n">
        <v>1683</v>
      </c>
      <c r="E2033" s="59" t="inlineStr">
        <is>
          <t>EDSON AGUIAR DE SOUZA</t>
        </is>
      </c>
      <c r="F2033" s="59" t="n">
        <v>34</v>
      </c>
      <c r="G2033" s="59" t="inlineStr">
        <is>
          <t>Transferencia Pix</t>
        </is>
      </c>
      <c r="H2033" s="59" t="n">
        <v>2110101</v>
      </c>
      <c r="I2033" s="59" t="inlineStr">
        <is>
          <t>FORNECEDORES DE MERCADORIA</t>
        </is>
      </c>
      <c r="J2033" s="59" t="n">
        <v>1543738</v>
      </c>
      <c r="L2033" s="59" t="n">
        <v>1662615</v>
      </c>
      <c r="M2033" s="59" t="inlineStr">
        <is>
          <t>01</t>
        </is>
      </c>
      <c r="N2033" s="59" t="inlineStr">
        <is>
          <t>NFE</t>
        </is>
      </c>
      <c r="P2033" s="59" t="n">
        <v>104</v>
      </c>
      <c r="Q2033" s="59" t="inlineStr">
        <is>
          <t>DEBORA COSTA</t>
        </is>
      </c>
      <c r="R2033" s="59" t="inlineStr">
        <is>
          <t>ESTOQUE DE MERCADORIAS</t>
        </is>
      </c>
      <c r="S2033" s="59" t="n">
        <v>1130101</v>
      </c>
      <c r="T2033" s="59" t="inlineStr">
        <is>
          <t>MERCADORIAS P/REVENDA</t>
        </is>
      </c>
      <c r="U2033" s="77" t="n">
        <v>225</v>
      </c>
      <c r="W2033" s="59" t="n">
        <v>225</v>
      </c>
      <c r="X2033" s="59" t="inlineStr">
        <is>
          <t>NF 1662615 - DEBORA</t>
        </is>
      </c>
      <c r="Z2033" s="59">
        <f>IF($T2033="","",IFERROR(INDEX('Resumo Grupos'!$AC$3:$AC$200,MATCH($T2033,'Resumo Grupos'!$AB$3:$AB$200,0)),"n/d"))</f>
        <v/>
      </c>
      <c r="AA2033" s="59">
        <f>IF($T2033="","",IF(COUNTIF('Resumo Grupos'!$AE$3:$AE$40,$T2033)&gt;0,"NAO","SIM"))</f>
        <v/>
      </c>
    </row>
    <row r="2034" ht="12.75" customHeight="1" s="60">
      <c r="A2034" s="59" t="n">
        <v>1</v>
      </c>
      <c r="B2034" s="75" t="n">
        <v>46248</v>
      </c>
      <c r="C2034" s="75" t="n">
        <v>46248</v>
      </c>
      <c r="D2034" s="59" t="n">
        <v>33</v>
      </c>
      <c r="E2034" s="59" t="inlineStr">
        <is>
          <t>RENATO DE O AZEVEDO E CIA LTDA - EPP</t>
        </is>
      </c>
      <c r="F2034" s="59" t="n">
        <v>34</v>
      </c>
      <c r="G2034" s="59" t="inlineStr">
        <is>
          <t>Transferencia Pix</t>
        </is>
      </c>
      <c r="H2034" s="59" t="n">
        <v>2110101</v>
      </c>
      <c r="I2034" s="59" t="inlineStr">
        <is>
          <t>FORNECEDORES DE MERCADORIA</t>
        </is>
      </c>
      <c r="J2034" s="59" t="n">
        <v>1545728</v>
      </c>
      <c r="L2034" s="59" t="n">
        <v>5487</v>
      </c>
      <c r="M2034" s="59" t="inlineStr">
        <is>
          <t>01</t>
        </is>
      </c>
      <c r="N2034" s="59" t="inlineStr">
        <is>
          <t>NFE</t>
        </is>
      </c>
      <c r="P2034" s="59" t="n">
        <v>104</v>
      </c>
      <c r="Q2034" s="59" t="inlineStr">
        <is>
          <t>DEBORA COSTA</t>
        </is>
      </c>
      <c r="R2034" s="59" t="inlineStr">
        <is>
          <t>ESTOQUE DE MERCADORIAS</t>
        </is>
      </c>
      <c r="S2034" s="59" t="n">
        <v>1130101</v>
      </c>
      <c r="T2034" s="59" t="inlineStr">
        <is>
          <t>MERCADORIAS P/REVENDA</t>
        </is>
      </c>
      <c r="U2034" s="77" t="n">
        <v>690</v>
      </c>
      <c r="W2034" s="59" t="n">
        <v>690</v>
      </c>
      <c r="X2034" s="59" t="inlineStr">
        <is>
          <t>FEIRA SR RENATO - BANANA PACOVAN JF HORTIFRUTI - DEBORA</t>
        </is>
      </c>
      <c r="Z2034" s="59">
        <f>IF($T2034="","",IFERROR(INDEX('Resumo Grupos'!$AC$3:$AC$200,MATCH($T2034,'Resumo Grupos'!$AB$3:$AB$200,0)),"n/d"))</f>
        <v/>
      </c>
      <c r="AA2034" s="59">
        <f>IF($T2034="","",IF(COUNTIF('Resumo Grupos'!$AE$3:$AE$40,$T2034)&gt;0,"NAO","SIM"))</f>
        <v/>
      </c>
    </row>
    <row r="2035" ht="12.75" customHeight="1" s="60">
      <c r="A2035" s="59" t="n">
        <v>1</v>
      </c>
      <c r="B2035" s="75" t="n">
        <v>46248</v>
      </c>
      <c r="C2035" s="75" t="n">
        <v>46248</v>
      </c>
      <c r="D2035" s="59" t="n">
        <v>33</v>
      </c>
      <c r="E2035" s="59" t="inlineStr">
        <is>
          <t>RENATO DE O AZEVEDO E CIA LTDA - EPP</t>
        </is>
      </c>
      <c r="F2035" s="59" t="n">
        <v>34</v>
      </c>
      <c r="G2035" s="59" t="inlineStr">
        <is>
          <t>Transferencia Pix</t>
        </is>
      </c>
      <c r="H2035" s="59" t="n">
        <v>2110101</v>
      </c>
      <c r="I2035" s="59" t="inlineStr">
        <is>
          <t>FORNECEDORES DE MERCADORIA</t>
        </is>
      </c>
      <c r="J2035" s="59" t="n">
        <v>1546819</v>
      </c>
      <c r="L2035" s="59" t="n">
        <v>5488</v>
      </c>
      <c r="M2035" s="59" t="inlineStr">
        <is>
          <t>01</t>
        </is>
      </c>
      <c r="N2035" s="59" t="inlineStr">
        <is>
          <t>NFE</t>
        </is>
      </c>
      <c r="P2035" s="59" t="n">
        <v>104</v>
      </c>
      <c r="Q2035" s="59" t="inlineStr">
        <is>
          <t>DEBORA COSTA</t>
        </is>
      </c>
      <c r="R2035" s="59" t="inlineStr">
        <is>
          <t>ESTOQUE DE MERCADORIAS</t>
        </is>
      </c>
      <c r="S2035" s="59" t="n">
        <v>1130101</v>
      </c>
      <c r="T2035" s="59" t="inlineStr">
        <is>
          <t>MERCADORIAS P/REVENDA</t>
        </is>
      </c>
      <c r="U2035" s="77" t="n">
        <v>3247.75</v>
      </c>
      <c r="W2035" s="59" t="n">
        <v>3247.75</v>
      </c>
      <c r="X2035" s="59" t="inlineStr">
        <is>
          <t>FEIRA SR RENATO - PGTO C6 BANK P/ RENATO - DEBORA</t>
        </is>
      </c>
      <c r="Z2035" s="59">
        <f>IF($T2035="","",IFERROR(INDEX('Resumo Grupos'!$AC$3:$AC$200,MATCH($T2035,'Resumo Grupos'!$AB$3:$AB$200,0)),"n/d"))</f>
        <v/>
      </c>
      <c r="AA2035" s="59">
        <f>IF($T2035="","",IF(COUNTIF('Resumo Grupos'!$AE$3:$AE$40,$T2035)&gt;0,"NAO","SIM"))</f>
        <v/>
      </c>
    </row>
    <row r="2036" ht="12.75" customHeight="1" s="60">
      <c r="A2036" s="59" t="n">
        <v>1</v>
      </c>
      <c r="B2036" s="75" t="n">
        <v>46248</v>
      </c>
      <c r="C2036" s="75" t="n">
        <v>46248</v>
      </c>
      <c r="D2036" s="59" t="n">
        <v>33</v>
      </c>
      <c r="E2036" s="59" t="inlineStr">
        <is>
          <t>RENATO DE O AZEVEDO E CIA LTDA - EPP</t>
        </is>
      </c>
      <c r="F2036" s="59" t="n">
        <v>34</v>
      </c>
      <c r="G2036" s="59" t="inlineStr">
        <is>
          <t>Transferencia Pix</t>
        </is>
      </c>
      <c r="H2036" s="59" t="n">
        <v>2110101</v>
      </c>
      <c r="I2036" s="59" t="inlineStr">
        <is>
          <t>FORNECEDORES DE MERCADORIA</t>
        </is>
      </c>
      <c r="J2036" s="59" t="n">
        <v>1547189</v>
      </c>
      <c r="L2036" s="59" t="n">
        <v>5489</v>
      </c>
      <c r="M2036" s="59" t="inlineStr">
        <is>
          <t>01</t>
        </is>
      </c>
      <c r="N2036" s="59" t="inlineStr">
        <is>
          <t>NFE</t>
        </is>
      </c>
      <c r="P2036" s="59" t="n">
        <v>104</v>
      </c>
      <c r="Q2036" s="59" t="inlineStr">
        <is>
          <t>DEBORA COSTA</t>
        </is>
      </c>
      <c r="R2036" s="59" t="inlineStr">
        <is>
          <t>ESTOQUE DE MERCADORIAS</t>
        </is>
      </c>
      <c r="S2036" s="59" t="n">
        <v>1130101</v>
      </c>
      <c r="T2036" s="59" t="inlineStr">
        <is>
          <t>MERCADORIAS P/REVENDA</t>
        </is>
      </c>
      <c r="U2036" s="77" t="n">
        <v>3089</v>
      </c>
      <c r="W2036" s="59" t="n">
        <v>3089</v>
      </c>
      <c r="X2036" s="59" t="inlineStr">
        <is>
          <t>FEIRA CARLOS - DEBORA</t>
        </is>
      </c>
      <c r="Z2036" s="59">
        <f>IF($T2036="","",IFERROR(INDEX('Resumo Grupos'!$AC$3:$AC$200,MATCH($T2036,'Resumo Grupos'!$AB$3:$AB$200,0)),"n/d"))</f>
        <v/>
      </c>
      <c r="AA2036" s="59">
        <f>IF($T2036="","",IF(COUNTIF('Resumo Grupos'!$AE$3:$AE$40,$T2036)&gt;0,"NAO","SIM"))</f>
        <v/>
      </c>
    </row>
    <row r="2037" ht="12.75" customHeight="1" s="60">
      <c r="A2037" s="59" t="n">
        <v>1</v>
      </c>
      <c r="B2037" s="75" t="n">
        <v>46248</v>
      </c>
      <c r="C2037" s="75" t="n">
        <v>46248</v>
      </c>
      <c r="D2037" s="59" t="n">
        <v>33</v>
      </c>
      <c r="E2037" s="59" t="inlineStr">
        <is>
          <t>RENATO DE O AZEVEDO E CIA LTDA - EPP</t>
        </is>
      </c>
      <c r="F2037" s="59" t="n">
        <v>34</v>
      </c>
      <c r="G2037" s="59" t="inlineStr">
        <is>
          <t>Transferencia Pix</t>
        </is>
      </c>
      <c r="H2037" s="59" t="n">
        <v>2110405</v>
      </c>
      <c r="I2037" s="59" t="inlineStr">
        <is>
          <t>CONTAS A PAGAR</t>
        </is>
      </c>
      <c r="J2037" s="59" t="n">
        <v>1547232</v>
      </c>
      <c r="L2037" s="59" t="n">
        <v>632152</v>
      </c>
      <c r="M2037" s="59" t="inlineStr">
        <is>
          <t>01</t>
        </is>
      </c>
      <c r="N2037" s="59" t="inlineStr">
        <is>
          <t>AVU</t>
        </is>
      </c>
      <c r="P2037" s="59" t="n">
        <v>104</v>
      </c>
      <c r="Q2037" s="59" t="inlineStr">
        <is>
          <t>DEBORA COSTA</t>
        </is>
      </c>
      <c r="R2037" s="59" t="inlineStr">
        <is>
          <t>ESTOQUE DE MERCADORIAS</t>
        </is>
      </c>
      <c r="S2037" s="59" t="n">
        <v>1130101</v>
      </c>
      <c r="T2037" s="59" t="inlineStr">
        <is>
          <t>MERCADORIAS P/REVENDA</t>
        </is>
      </c>
      <c r="U2037" s="77" t="n">
        <v>140</v>
      </c>
      <c r="W2037" s="59" t="n">
        <v>140</v>
      </c>
      <c r="X2037" s="59" t="inlineStr">
        <is>
          <t>FEIRA CARLOS - 70,00 CAMARAO COM CASCA E 70,00 UVAS PASSAS - DEBORA</t>
        </is>
      </c>
      <c r="Z2037" s="59">
        <f>IF($T2037="","",IFERROR(INDEX('Resumo Grupos'!$AC$3:$AC$200,MATCH($T2037,'Resumo Grupos'!$AB$3:$AB$200,0)),"n/d"))</f>
        <v/>
      </c>
      <c r="AA2037" s="59">
        <f>IF($T2037="","",IF(COUNTIF('Resumo Grupos'!$AE$3:$AE$40,$T2037)&gt;0,"NAO","SIM"))</f>
        <v/>
      </c>
    </row>
    <row r="2038" ht="12.75" customHeight="1" s="60">
      <c r="A2038" s="59" t="n">
        <v>1</v>
      </c>
      <c r="B2038" s="75" t="n">
        <v>46248</v>
      </c>
      <c r="C2038" s="75" t="n">
        <v>46248</v>
      </c>
      <c r="D2038" s="59" t="n">
        <v>1137</v>
      </c>
      <c r="E2038" s="59" t="inlineStr">
        <is>
          <t xml:space="preserve">FOLHA DE PAGAMENTO </t>
        </is>
      </c>
      <c r="F2038" s="59" t="n">
        <v>34</v>
      </c>
      <c r="G2038" s="59" t="inlineStr">
        <is>
          <t>Transferencia Pix</t>
        </is>
      </c>
      <c r="H2038" s="59" t="n">
        <v>2110405</v>
      </c>
      <c r="I2038" s="59" t="inlineStr">
        <is>
          <t>CONTAS A PAGAR</t>
        </is>
      </c>
      <c r="J2038" s="59" t="n">
        <v>1548271</v>
      </c>
      <c r="L2038" s="59" t="n">
        <v>632796</v>
      </c>
      <c r="M2038" s="59" t="inlineStr">
        <is>
          <t>01</t>
        </is>
      </c>
      <c r="N2038" s="59" t="inlineStr">
        <is>
          <t>AVU</t>
        </is>
      </c>
      <c r="P2038" s="59" t="n">
        <v>101</v>
      </c>
      <c r="Q2038" s="59" t="inlineStr">
        <is>
          <t>KEILA LIMA</t>
        </is>
      </c>
      <c r="R2038" s="59" t="inlineStr">
        <is>
          <t>DESPESAS COM PESSOAL</t>
        </is>
      </c>
      <c r="S2038" s="59" t="n">
        <v>4210301</v>
      </c>
      <c r="T2038" s="59" t="inlineStr">
        <is>
          <t>SALARIOS</t>
        </is>
      </c>
      <c r="U2038" s="77" t="n">
        <v>2300</v>
      </c>
      <c r="W2038" s="59" t="n">
        <v>2300</v>
      </c>
      <c r="X2038" s="59" t="inlineStr">
        <is>
          <t>PAG ADIANTAMENTO SALARIO ESCRITORIO 08/26 - KEILA</t>
        </is>
      </c>
      <c r="Z2038" s="59">
        <f>IF($T2038="","",IFERROR(INDEX('Resumo Grupos'!$AC$3:$AC$200,MATCH($T2038,'Resumo Grupos'!$AB$3:$AB$200,0)),"n/d"))</f>
        <v/>
      </c>
      <c r="AA2038" s="59">
        <f>IF($T2038="","",IF(COUNTIF('Resumo Grupos'!$AE$3:$AE$40,$T2038)&gt;0,"NAO","SIM"))</f>
        <v/>
      </c>
    </row>
    <row r="2039" ht="12.75" customHeight="1" s="60">
      <c r="A2039" s="59" t="n">
        <v>1</v>
      </c>
      <c r="B2039" s="75" t="n">
        <v>46248</v>
      </c>
      <c r="C2039" s="75" t="n">
        <v>46248</v>
      </c>
      <c r="D2039" s="59" t="n">
        <v>1137</v>
      </c>
      <c r="E2039" s="59" t="inlineStr">
        <is>
          <t xml:space="preserve">FOLHA DE PAGAMENTO </t>
        </is>
      </c>
      <c r="F2039" s="59" t="n">
        <v>34</v>
      </c>
      <c r="G2039" s="59" t="inlineStr">
        <is>
          <t>Transferencia Pix</t>
        </is>
      </c>
      <c r="H2039" s="59" t="n">
        <v>2110405</v>
      </c>
      <c r="I2039" s="59" t="inlineStr">
        <is>
          <t>CONTAS A PAGAR</t>
        </is>
      </c>
      <c r="J2039" s="59" t="n">
        <v>1548279</v>
      </c>
      <c r="L2039" s="59" t="n">
        <v>632803</v>
      </c>
      <c r="M2039" s="59" t="inlineStr">
        <is>
          <t>01</t>
        </is>
      </c>
      <c r="N2039" s="59" t="inlineStr">
        <is>
          <t>AVU</t>
        </is>
      </c>
      <c r="P2039" s="59" t="n">
        <v>101</v>
      </c>
      <c r="Q2039" s="59" t="inlineStr">
        <is>
          <t>KEILA LIMA</t>
        </is>
      </c>
      <c r="R2039" s="59" t="inlineStr">
        <is>
          <t>DESPESAS COM PESSOAL</t>
        </is>
      </c>
      <c r="S2039" s="59" t="n">
        <v>4210301</v>
      </c>
      <c r="T2039" s="59" t="inlineStr">
        <is>
          <t>SALARIOS</t>
        </is>
      </c>
      <c r="U2039" s="77" t="n">
        <v>7000</v>
      </c>
      <c r="W2039" s="59" t="n">
        <v>7000</v>
      </c>
      <c r="X2039" s="59" t="inlineStr">
        <is>
          <t>PAG ADIANTAMENTO SALARIO MO1 08/26 - KEILA</t>
        </is>
      </c>
      <c r="Z2039" s="59">
        <f>IF($T2039="","",IFERROR(INDEX('Resumo Grupos'!$AC$3:$AC$200,MATCH($T2039,'Resumo Grupos'!$AB$3:$AB$200,0)),"n/d"))</f>
        <v/>
      </c>
      <c r="AA2039" s="59">
        <f>IF($T2039="","",IF(COUNTIF('Resumo Grupos'!$AE$3:$AE$40,$T2039)&gt;0,"NAO","SIM"))</f>
        <v/>
      </c>
    </row>
    <row r="2040" ht="12.75" customHeight="1" s="60">
      <c r="A2040" s="59" t="n">
        <v>1</v>
      </c>
      <c r="B2040" s="75" t="n">
        <v>46248</v>
      </c>
      <c r="C2040" s="75" t="n">
        <v>46248</v>
      </c>
      <c r="D2040" s="59" t="n">
        <v>1615</v>
      </c>
      <c r="E2040" s="59" t="inlineStr">
        <is>
          <t>COMERCIO E TRANSPORTE BRANDAO LTDA</t>
        </is>
      </c>
      <c r="F2040" s="59" t="n">
        <v>34</v>
      </c>
      <c r="G2040" s="59" t="inlineStr">
        <is>
          <t>Transferencia Pix</t>
        </is>
      </c>
      <c r="H2040" s="59" t="n">
        <v>2110101</v>
      </c>
      <c r="I2040" s="59" t="inlineStr">
        <is>
          <t>FORNECEDORES DE MERCADORIA</t>
        </is>
      </c>
      <c r="J2040" s="59" t="n">
        <v>1551275</v>
      </c>
      <c r="L2040" s="59" t="n">
        <v>15114</v>
      </c>
      <c r="M2040" s="59" t="inlineStr">
        <is>
          <t>01</t>
        </is>
      </c>
      <c r="N2040" s="59" t="inlineStr">
        <is>
          <t>NFE</t>
        </is>
      </c>
      <c r="P2040" s="59" t="n">
        <v>104</v>
      </c>
      <c r="Q2040" s="59" t="inlineStr">
        <is>
          <t>DEBORA COSTA</t>
        </is>
      </c>
      <c r="R2040" s="59" t="inlineStr">
        <is>
          <t>ESTOQUE DE MERCADORIAS</t>
        </is>
      </c>
      <c r="S2040" s="59" t="n">
        <v>1130101</v>
      </c>
      <c r="T2040" s="59" t="inlineStr">
        <is>
          <t>MERCADORIAS P/REVENDA</t>
        </is>
      </c>
      <c r="U2040" s="77" t="n">
        <v>1440</v>
      </c>
      <c r="W2040" s="59" t="n">
        <v>1440</v>
      </c>
      <c r="X2040" s="59" t="inlineStr">
        <is>
          <t>NF 15114 - DEBORA</t>
        </is>
      </c>
      <c r="Z2040" s="59">
        <f>IF($T2040="","",IFERROR(INDEX('Resumo Grupos'!$AC$3:$AC$200,MATCH($T2040,'Resumo Grupos'!$AB$3:$AB$200,0)),"n/d"))</f>
        <v/>
      </c>
      <c r="AA2040" s="59">
        <f>IF($T2040="","",IF(COUNTIF('Resumo Grupos'!$AE$3:$AE$40,$T2040)&gt;0,"NAO","SIM"))</f>
        <v/>
      </c>
    </row>
    <row r="2041" ht="12.75" customHeight="1" s="60">
      <c r="A2041" s="59" t="n">
        <v>1</v>
      </c>
      <c r="B2041" s="75" t="n">
        <v>46248</v>
      </c>
      <c r="C2041" s="75" t="n">
        <v>46248</v>
      </c>
      <c r="D2041" s="59" t="n">
        <v>10096</v>
      </c>
      <c r="E2041" s="59" t="inlineStr">
        <is>
          <t>H L M PADARIA E CONFEITARIA LTDA</t>
        </is>
      </c>
      <c r="F2041" s="59" t="n">
        <v>13</v>
      </c>
      <c r="G2041" s="59" t="inlineStr">
        <is>
          <t>Compra a Vista</t>
        </is>
      </c>
      <c r="H2041" s="59" t="n">
        <v>2110101</v>
      </c>
      <c r="I2041" s="59" t="inlineStr">
        <is>
          <t>FORNECEDORES DE MERCADORIA</t>
        </is>
      </c>
      <c r="J2041" s="59" t="n">
        <v>1551640</v>
      </c>
      <c r="L2041" s="59" t="n">
        <v>163</v>
      </c>
      <c r="M2041" s="59" t="inlineStr">
        <is>
          <t>01</t>
        </is>
      </c>
      <c r="N2041" s="59" t="inlineStr">
        <is>
          <t>NFE</t>
        </is>
      </c>
      <c r="P2041" s="59" t="n">
        <v>104</v>
      </c>
      <c r="Q2041" s="59" t="inlineStr">
        <is>
          <t>DEBORA COSTA</t>
        </is>
      </c>
      <c r="R2041" s="59" t="inlineStr">
        <is>
          <t>ESTOQUE DE MERCADORIAS</t>
        </is>
      </c>
      <c r="S2041" s="59" t="n">
        <v>1130101</v>
      </c>
      <c r="T2041" s="59" t="inlineStr">
        <is>
          <t>MERCADORIAS P/REVENDA</t>
        </is>
      </c>
      <c r="U2041" s="77" t="n">
        <v>408</v>
      </c>
      <c r="W2041" s="59" t="n">
        <v>0</v>
      </c>
      <c r="X2041" s="59" t="inlineStr">
        <is>
          <t>NF 163 - DEBORA</t>
        </is>
      </c>
      <c r="Z2041" s="59">
        <f>IF($T2041="","",IFERROR(INDEX('Resumo Grupos'!$AC$3:$AC$200,MATCH($T2041,'Resumo Grupos'!$AB$3:$AB$200,0)),"n/d"))</f>
        <v/>
      </c>
      <c r="AA2041" s="59">
        <f>IF($T2041="","",IF(COUNTIF('Resumo Grupos'!$AE$3:$AE$40,$T2041)&gt;0,"NAO","SIM"))</f>
        <v/>
      </c>
    </row>
    <row r="2042" ht="12.75" customHeight="1" s="60">
      <c r="A2042" s="59" t="n">
        <v>1</v>
      </c>
      <c r="B2042" s="75" t="n">
        <v>46248</v>
      </c>
      <c r="C2042" s="75" t="n">
        <v>46248</v>
      </c>
      <c r="D2042" s="59" t="n">
        <v>1683</v>
      </c>
      <c r="E2042" s="59" t="inlineStr">
        <is>
          <t>EDSON AGUIAR DE SOUZA</t>
        </is>
      </c>
      <c r="F2042" s="59" t="n">
        <v>34</v>
      </c>
      <c r="G2042" s="59" t="inlineStr">
        <is>
          <t>Transferencia Pix</t>
        </is>
      </c>
      <c r="H2042" s="59" t="n">
        <v>2110101</v>
      </c>
      <c r="I2042" s="59" t="inlineStr">
        <is>
          <t>FORNECEDORES DE MERCADORIA</t>
        </is>
      </c>
      <c r="J2042" s="59" t="n">
        <v>1551760</v>
      </c>
      <c r="L2042" s="59" t="n">
        <v>1664299</v>
      </c>
      <c r="M2042" s="59" t="inlineStr">
        <is>
          <t>01</t>
        </is>
      </c>
      <c r="N2042" s="59" t="inlineStr">
        <is>
          <t>NFE</t>
        </is>
      </c>
      <c r="P2042" s="59" t="n">
        <v>104</v>
      </c>
      <c r="Q2042" s="59" t="inlineStr">
        <is>
          <t>DEBORA COSTA</t>
        </is>
      </c>
      <c r="R2042" s="59" t="inlineStr">
        <is>
          <t>ESTOQUE DE MERCADORIAS</t>
        </is>
      </c>
      <c r="S2042" s="59" t="n">
        <v>1130101</v>
      </c>
      <c r="T2042" s="59" t="inlineStr">
        <is>
          <t>MERCADORIAS P/REVENDA</t>
        </is>
      </c>
      <c r="U2042" s="77" t="n">
        <v>135</v>
      </c>
      <c r="W2042" s="59" t="n">
        <v>135</v>
      </c>
      <c r="X2042" s="59" t="inlineStr">
        <is>
          <t>NF 1664299 - DEBORA</t>
        </is>
      </c>
      <c r="Z2042" s="59">
        <f>IF($T2042="","",IFERROR(INDEX('Resumo Grupos'!$AC$3:$AC$200,MATCH($T2042,'Resumo Grupos'!$AB$3:$AB$200,0)),"n/d"))</f>
        <v/>
      </c>
      <c r="AA2042" s="59">
        <f>IF($T2042="","",IF(COUNTIF('Resumo Grupos'!$AE$3:$AE$40,$T2042)&gt;0,"NAO","SIM"))</f>
        <v/>
      </c>
    </row>
    <row r="2043" ht="12.75" customHeight="1" s="60">
      <c r="A2043" s="59" t="n">
        <v>1</v>
      </c>
      <c r="B2043" s="75" t="n">
        <v>46248</v>
      </c>
      <c r="C2043" s="75" t="n">
        <v>46248</v>
      </c>
      <c r="D2043" s="59" t="n">
        <v>10035</v>
      </c>
      <c r="E2043" s="59" t="inlineStr">
        <is>
          <t>J W N DOS SANTOS</t>
        </is>
      </c>
      <c r="F2043" s="59" t="n">
        <v>13</v>
      </c>
      <c r="G2043" s="59" t="inlineStr">
        <is>
          <t>Compra a Vista</t>
        </is>
      </c>
      <c r="H2043" s="59" t="n">
        <v>2110101</v>
      </c>
      <c r="I2043" s="59" t="inlineStr">
        <is>
          <t>FORNECEDORES DE MERCADORIA</t>
        </is>
      </c>
      <c r="J2043" s="59" t="n">
        <v>1567959</v>
      </c>
      <c r="L2043" s="59" t="n">
        <v>404</v>
      </c>
      <c r="M2043" s="59" t="inlineStr">
        <is>
          <t>01</t>
        </is>
      </c>
      <c r="N2043" s="59" t="inlineStr">
        <is>
          <t>NFE</t>
        </is>
      </c>
      <c r="P2043" s="59" t="n">
        <v>104</v>
      </c>
      <c r="Q2043" s="59" t="inlineStr">
        <is>
          <t>DEBORA COSTA</t>
        </is>
      </c>
      <c r="R2043" s="59" t="inlineStr">
        <is>
          <t>ESTOQUE DE MERCADORIAS</t>
        </is>
      </c>
      <c r="S2043" s="59" t="n">
        <v>1130101</v>
      </c>
      <c r="T2043" s="59" t="inlineStr">
        <is>
          <t>MERCADORIAS P/REVENDA</t>
        </is>
      </c>
      <c r="U2043" s="77" t="n">
        <v>614</v>
      </c>
      <c r="W2043" s="59" t="n">
        <v>0</v>
      </c>
      <c r="X2043" s="59" t="inlineStr">
        <is>
          <t>NF 404 - DEBORA</t>
        </is>
      </c>
      <c r="Z2043" s="59">
        <f>IF($T2043="","",IFERROR(INDEX('Resumo Grupos'!$AC$3:$AC$200,MATCH($T2043,'Resumo Grupos'!$AB$3:$AB$200,0)),"n/d"))</f>
        <v/>
      </c>
      <c r="AA2043" s="59">
        <f>IF($T2043="","",IF(COUNTIF('Resumo Grupos'!$AE$3:$AE$40,$T2043)&gt;0,"NAO","SIM"))</f>
        <v/>
      </c>
    </row>
    <row r="2044" ht="12.75" customHeight="1" s="60">
      <c r="A2044" s="59" t="n">
        <v>1</v>
      </c>
      <c r="B2044" s="75" t="n">
        <v>46097</v>
      </c>
      <c r="C2044" s="75" t="n">
        <v>46249</v>
      </c>
      <c r="D2044" s="59" t="n">
        <v>1867</v>
      </c>
      <c r="E2044" s="59" t="inlineStr">
        <is>
          <t>PREFEITURA MUNICIPAL DE MANAUS - IPTU</t>
        </is>
      </c>
      <c r="F2044" s="59" t="n">
        <v>24</v>
      </c>
      <c r="G2044" s="59" t="inlineStr">
        <is>
          <t>Compra a Prazo - Boletos</t>
        </is>
      </c>
      <c r="H2044" s="59" t="n">
        <v>2110405</v>
      </c>
      <c r="I2044" s="59" t="inlineStr">
        <is>
          <t>CONTAS A PAGAR</t>
        </is>
      </c>
      <c r="J2044" s="59" t="n">
        <v>809298</v>
      </c>
      <c r="L2044" s="59" t="n">
        <v>100914</v>
      </c>
      <c r="M2044" s="59" t="inlineStr">
        <is>
          <t>06</t>
        </is>
      </c>
      <c r="N2044" s="59" t="inlineStr">
        <is>
          <t>AVU</t>
        </is>
      </c>
      <c r="P2044" s="59" t="n">
        <v>101</v>
      </c>
      <c r="Q2044" s="59" t="inlineStr">
        <is>
          <t>KEILA LIMA</t>
        </is>
      </c>
      <c r="R2044" s="59" t="inlineStr">
        <is>
          <t>DESPESAS TRIBUTARIAS</t>
        </is>
      </c>
      <c r="S2044" s="59" t="n">
        <v>4210401</v>
      </c>
      <c r="T2044" s="59" t="inlineStr">
        <is>
          <t>IPTU</t>
        </is>
      </c>
      <c r="U2044" s="77" t="n">
        <v>134.55</v>
      </c>
      <c r="W2044" s="59" t="n">
        <v>134.55</v>
      </c>
      <c r="X2044" s="59" t="inlineStr">
        <is>
          <t>PARC 06/10 IPTU PADARIA MO1 - KEILA</t>
        </is>
      </c>
      <c r="Z2044" s="59">
        <f>IF($T2044="","",IFERROR(INDEX('Resumo Grupos'!$AC$3:$AC$200,MATCH($T2044,'Resumo Grupos'!$AB$3:$AB$200,0)),"n/d"))</f>
        <v/>
      </c>
      <c r="AA2044" s="59">
        <f>IF($T2044="","",IF(COUNTIF('Resumo Grupos'!$AE$3:$AE$40,$T2044)&gt;0,"NAO","SIM"))</f>
        <v/>
      </c>
    </row>
    <row r="2045" ht="12.75" customHeight="1" s="60">
      <c r="A2045" s="59" t="n">
        <v>1</v>
      </c>
      <c r="B2045" s="75" t="n">
        <v>46097</v>
      </c>
      <c r="C2045" s="75" t="n">
        <v>46249</v>
      </c>
      <c r="D2045" s="59" t="n">
        <v>1867</v>
      </c>
      <c r="E2045" s="59" t="inlineStr">
        <is>
          <t>PREFEITURA MUNICIPAL DE MANAUS - IPTU</t>
        </is>
      </c>
      <c r="F2045" s="59" t="n">
        <v>24</v>
      </c>
      <c r="G2045" s="59" t="inlineStr">
        <is>
          <t>Compra a Prazo - Boletos</t>
        </is>
      </c>
      <c r="H2045" s="59" t="n">
        <v>2110405</v>
      </c>
      <c r="I2045" s="59" t="inlineStr">
        <is>
          <t>CONTAS A PAGAR</t>
        </is>
      </c>
      <c r="J2045" s="59" t="n">
        <v>809315</v>
      </c>
      <c r="L2045" s="59" t="n">
        <v>100910</v>
      </c>
      <c r="M2045" s="59" t="inlineStr">
        <is>
          <t>06</t>
        </is>
      </c>
      <c r="N2045" s="59" t="inlineStr">
        <is>
          <t>AVU</t>
        </is>
      </c>
      <c r="P2045" s="59" t="n">
        <v>101</v>
      </c>
      <c r="Q2045" s="59" t="inlineStr">
        <is>
          <t>KEILA LIMA</t>
        </is>
      </c>
      <c r="R2045" s="59" t="inlineStr">
        <is>
          <t>DESPESAS TRIBUTARIAS</t>
        </is>
      </c>
      <c r="S2045" s="59" t="n">
        <v>4210401</v>
      </c>
      <c r="T2045" s="59" t="inlineStr">
        <is>
          <t>IPTU</t>
        </is>
      </c>
      <c r="U2045" s="77" t="n">
        <v>185.89</v>
      </c>
      <c r="W2045" s="59" t="n">
        <v>185.89</v>
      </c>
      <c r="X2045" s="59" t="inlineStr">
        <is>
          <t>PAR 06/10 IPTU MO1 100910 - KEILA</t>
        </is>
      </c>
      <c r="Z2045" s="59">
        <f>IF($T2045="","",IFERROR(INDEX('Resumo Grupos'!$AC$3:$AC$200,MATCH($T2045,'Resumo Grupos'!$AB$3:$AB$200,0)),"n/d"))</f>
        <v/>
      </c>
      <c r="AA2045" s="59">
        <f>IF($T2045="","",IF(COUNTIF('Resumo Grupos'!$AE$3:$AE$40,$T2045)&gt;0,"NAO","SIM"))</f>
        <v/>
      </c>
    </row>
    <row r="2046" ht="12.75" customHeight="1" s="60">
      <c r="A2046" s="59" t="n">
        <v>1</v>
      </c>
      <c r="B2046" s="75" t="n">
        <v>46097</v>
      </c>
      <c r="C2046" s="75" t="n">
        <v>46249</v>
      </c>
      <c r="D2046" s="59" t="n">
        <v>17</v>
      </c>
      <c r="E2046" s="59" t="inlineStr">
        <is>
          <t>NEYLIANE SILVA DE OLIVEIRA</t>
        </is>
      </c>
      <c r="F2046" s="59" t="n">
        <v>24</v>
      </c>
      <c r="G2046" s="59" t="inlineStr">
        <is>
          <t>Compra a Prazo - Boletos</t>
        </is>
      </c>
      <c r="H2046" s="59" t="n">
        <v>2110405</v>
      </c>
      <c r="I2046" s="59" t="inlineStr">
        <is>
          <t>CONTAS A PAGAR</t>
        </is>
      </c>
      <c r="J2046" s="59" t="n">
        <v>809413</v>
      </c>
      <c r="L2046" s="59" t="n">
        <v>2115476</v>
      </c>
      <c r="M2046" s="59" t="inlineStr">
        <is>
          <t>06</t>
        </is>
      </c>
      <c r="N2046" s="59" t="inlineStr">
        <is>
          <t>AVU</t>
        </is>
      </c>
      <c r="P2046" s="59" t="n">
        <v>101</v>
      </c>
      <c r="Q2046" s="59" t="inlineStr">
        <is>
          <t>KEILA LIMA</t>
        </is>
      </c>
      <c r="R2046" s="59" t="inlineStr">
        <is>
          <t>DESPESAS NAO OPERACIONAIS</t>
        </is>
      </c>
      <c r="S2046" s="59" t="n">
        <v>4220199</v>
      </c>
      <c r="T2046" s="59" t="inlineStr">
        <is>
          <t>PAGAMENTOS OUTROS NAO OPERACIONAIS</t>
        </is>
      </c>
      <c r="U2046" s="77" t="n">
        <v>102.14</v>
      </c>
      <c r="W2046" s="59" t="n">
        <v>102.14</v>
      </c>
      <c r="X2046" s="59" t="inlineStr">
        <is>
          <t>PL NEILA IPTU MAE - KEILA</t>
        </is>
      </c>
      <c r="Z2046" s="59">
        <f>IF($T2046="","",IFERROR(INDEX('Resumo Grupos'!$AC$3:$AC$200,MATCH($T2046,'Resumo Grupos'!$AB$3:$AB$200,0)),"n/d"))</f>
        <v/>
      </c>
      <c r="AA2046" s="59">
        <f>IF($T2046="","",IF(COUNTIF('Resumo Grupos'!$AE$3:$AE$40,$T2046)&gt;0,"NAO","SIM"))</f>
        <v/>
      </c>
    </row>
    <row r="2047" ht="12.75" customHeight="1" s="60">
      <c r="A2047" s="59" t="n">
        <v>1</v>
      </c>
      <c r="B2047" s="75" t="n">
        <v>46142</v>
      </c>
      <c r="C2047" s="75" t="n">
        <v>46249</v>
      </c>
      <c r="D2047" s="59" t="n">
        <v>607</v>
      </c>
      <c r="E2047" s="59" t="inlineStr">
        <is>
          <t>PRIME PET DISTRIBUIDORA LTDA</t>
        </is>
      </c>
      <c r="F2047" s="59" t="n">
        <v>24</v>
      </c>
      <c r="G2047" s="59" t="inlineStr">
        <is>
          <t>Compra a Prazo - Boletos</t>
        </is>
      </c>
      <c r="H2047" s="59" t="n">
        <v>2110101</v>
      </c>
      <c r="I2047" s="59" t="inlineStr">
        <is>
          <t>FORNECEDORES DE MERCADORIA</t>
        </is>
      </c>
      <c r="J2047" s="59" t="n">
        <v>1028242</v>
      </c>
      <c r="L2047" s="59" t="n">
        <v>10262</v>
      </c>
      <c r="M2047" s="59" t="inlineStr">
        <is>
          <t>09</t>
        </is>
      </c>
      <c r="N2047" s="59" t="inlineStr">
        <is>
          <t>NFE</t>
        </is>
      </c>
      <c r="P2047" s="59" t="n">
        <v>103</v>
      </c>
      <c r="Q2047" s="59" t="inlineStr">
        <is>
          <t>MILKA FRANCIS</t>
        </is>
      </c>
      <c r="R2047" s="59" t="inlineStr">
        <is>
          <t>ESTOQUE DE MERCADORIAS</t>
        </is>
      </c>
      <c r="S2047" s="59" t="n">
        <v>1130101</v>
      </c>
      <c r="T2047" s="59" t="inlineStr">
        <is>
          <t>MERCADORIAS P/REVENDA</t>
        </is>
      </c>
      <c r="U2047" s="77" t="n">
        <v>1488.41</v>
      </c>
      <c r="W2047" s="59" t="n">
        <v>1488.41</v>
      </c>
      <c r="X2047" s="59" t="inlineStr">
        <is>
          <t>NF 10262 -09/09 MILKA</t>
        </is>
      </c>
      <c r="Z2047" s="59">
        <f>IF($T2047="","",IFERROR(INDEX('Resumo Grupos'!$AC$3:$AC$200,MATCH($T2047,'Resumo Grupos'!$AB$3:$AB$200,0)),"n/d"))</f>
        <v/>
      </c>
      <c r="AA2047" s="59">
        <f>IF($T2047="","",IF(COUNTIF('Resumo Grupos'!$AE$3:$AE$40,$T2047)&gt;0,"NAO","SIM"))</f>
        <v/>
      </c>
    </row>
    <row r="2048" ht="12.75" customHeight="1" s="60">
      <c r="A2048" s="59" t="n">
        <v>1</v>
      </c>
      <c r="B2048" s="75" t="n">
        <v>46218</v>
      </c>
      <c r="C2048" s="75" t="n">
        <v>46249</v>
      </c>
      <c r="D2048" s="59" t="n">
        <v>957</v>
      </c>
      <c r="E2048" s="59" t="inlineStr">
        <is>
          <t>FUNNY PET DISTRIBUIDORA DE ALIMENTOS PAR</t>
        </is>
      </c>
      <c r="F2048" s="59" t="n">
        <v>24</v>
      </c>
      <c r="G2048" s="59" t="inlineStr">
        <is>
          <t>Compra a Prazo - Boletos</t>
        </is>
      </c>
      <c r="H2048" s="59" t="n">
        <v>2110405</v>
      </c>
      <c r="I2048" s="59" t="inlineStr">
        <is>
          <t>CONTAS A PAGAR</t>
        </is>
      </c>
      <c r="J2048" s="59" t="n">
        <v>1402587</v>
      </c>
      <c r="L2048" s="59" t="n">
        <v>21048</v>
      </c>
      <c r="M2048" s="59" t="inlineStr">
        <is>
          <t>02</t>
        </is>
      </c>
      <c r="N2048" s="59" t="inlineStr">
        <is>
          <t>AVU</t>
        </is>
      </c>
      <c r="P2048" s="59" t="n">
        <v>103</v>
      </c>
      <c r="Q2048" s="59" t="inlineStr">
        <is>
          <t>MILKA FRANCIS</t>
        </is>
      </c>
      <c r="R2048" s="59" t="inlineStr">
        <is>
          <t>ESTOQUE DE MERCADORIAS</t>
        </is>
      </c>
      <c r="S2048" s="59" t="n">
        <v>1130101</v>
      </c>
      <c r="T2048" s="59" t="inlineStr">
        <is>
          <t>MERCADORIAS P/REVENDA</t>
        </is>
      </c>
      <c r="U2048" s="77" t="n">
        <v>1475.42</v>
      </c>
      <c r="W2048" s="59" t="n">
        <v>1475.42</v>
      </c>
      <c r="X2048" s="59" t="inlineStr">
        <is>
          <t>NF 21048-2 MILKA</t>
        </is>
      </c>
      <c r="Z2048" s="59">
        <f>IF($T2048="","",IFERROR(INDEX('Resumo Grupos'!$AC$3:$AC$200,MATCH($T2048,'Resumo Grupos'!$AB$3:$AB$200,0)),"n/d"))</f>
        <v/>
      </c>
      <c r="AA2048" s="59">
        <f>IF($T2048="","",IF(COUNTIF('Resumo Grupos'!$AE$3:$AE$40,$T2048)&gt;0,"NAO","SIM"))</f>
        <v/>
      </c>
    </row>
    <row r="2049" ht="12.75" customHeight="1" s="60">
      <c r="A2049" s="59" t="n">
        <v>1</v>
      </c>
      <c r="B2049" s="75" t="n">
        <v>46234</v>
      </c>
      <c r="C2049" s="75" t="n">
        <v>46249</v>
      </c>
      <c r="D2049" s="59" t="n">
        <v>513</v>
      </c>
      <c r="E2049" s="59" t="inlineStr">
        <is>
          <t>NET CLARO</t>
        </is>
      </c>
      <c r="F2049" s="59" t="n">
        <v>24</v>
      </c>
      <c r="G2049" s="59" t="inlineStr">
        <is>
          <t>Compra a Prazo - Boletos</t>
        </is>
      </c>
      <c r="H2049" s="59" t="n">
        <v>2110405</v>
      </c>
      <c r="I2049" s="59" t="inlineStr">
        <is>
          <t>CONTAS A PAGAR</t>
        </is>
      </c>
      <c r="J2049" s="59" t="n">
        <v>1478026</v>
      </c>
      <c r="L2049" s="59" t="n">
        <v>607111</v>
      </c>
      <c r="M2049" s="59" t="inlineStr">
        <is>
          <t>01</t>
        </is>
      </c>
      <c r="N2049" s="59" t="inlineStr">
        <is>
          <t>AVU</t>
        </is>
      </c>
      <c r="P2049" s="59" t="n">
        <v>101</v>
      </c>
      <c r="Q2049" s="59" t="inlineStr">
        <is>
          <t>KEILA LIMA</t>
        </is>
      </c>
      <c r="R2049" s="59" t="inlineStr">
        <is>
          <t>DESPESAS COM PESSOAL</t>
        </is>
      </c>
      <c r="S2049" s="59" t="n">
        <v>4210315</v>
      </c>
      <c r="T2049" s="59" t="inlineStr">
        <is>
          <t>INTERNET</t>
        </is>
      </c>
      <c r="U2049" s="77" t="n">
        <v>179.32</v>
      </c>
      <c r="W2049" s="59" t="n">
        <v>179.32</v>
      </c>
      <c r="X2049" s="59" t="inlineStr">
        <is>
          <t>MENS INTERNET MO1 CLARO - KEILA</t>
        </is>
      </c>
      <c r="Z2049" s="59">
        <f>IF($T2049="","",IFERROR(INDEX('Resumo Grupos'!$AC$3:$AC$200,MATCH($T2049,'Resumo Grupos'!$AB$3:$AB$200,0)),"n/d"))</f>
        <v/>
      </c>
      <c r="AA2049" s="59">
        <f>IF($T2049="","",IF(COUNTIF('Resumo Grupos'!$AE$3:$AE$40,$T2049)&gt;0,"NAO","SIM"))</f>
        <v/>
      </c>
    </row>
    <row r="2050" ht="12.75" customHeight="1" s="60">
      <c r="A2050" s="59" t="n">
        <v>1</v>
      </c>
      <c r="B2050" s="75" t="n">
        <v>46237</v>
      </c>
      <c r="C2050" s="75" t="n">
        <v>46249</v>
      </c>
      <c r="D2050" s="59" t="n">
        <v>1672</v>
      </c>
      <c r="E2050" s="59" t="inlineStr">
        <is>
          <t>MARE DISTRIBUIDORA DE BEBIDAS E DE PRODUTOS ALIMENTICIOS LTDA</t>
        </is>
      </c>
      <c r="F2050" s="59" t="n">
        <v>24</v>
      </c>
      <c r="G2050" s="59" t="inlineStr">
        <is>
          <t>Compra a Prazo - Boletos</t>
        </is>
      </c>
      <c r="H2050" s="59" t="n">
        <v>2110405</v>
      </c>
      <c r="I2050" s="59" t="inlineStr">
        <is>
          <t>CONTAS A PAGAR</t>
        </is>
      </c>
      <c r="J2050" s="59" t="n">
        <v>1495575</v>
      </c>
      <c r="L2050" s="59" t="n">
        <v>1408028</v>
      </c>
      <c r="M2050" s="59" t="inlineStr">
        <is>
          <t>01</t>
        </is>
      </c>
      <c r="N2050" s="59" t="inlineStr">
        <is>
          <t>AVU</t>
        </is>
      </c>
      <c r="P2050" s="59" t="n">
        <v>103</v>
      </c>
      <c r="Q2050" s="59" t="inlineStr">
        <is>
          <t>MILKA FRANCIS</t>
        </is>
      </c>
      <c r="R2050" s="59" t="inlineStr">
        <is>
          <t>ESTOQUE DE MERCADORIAS</t>
        </is>
      </c>
      <c r="S2050" s="59" t="n">
        <v>1130101</v>
      </c>
      <c r="T2050" s="59" t="inlineStr">
        <is>
          <t>MERCADORIAS P/REVENDA</t>
        </is>
      </c>
      <c r="U2050" s="77" t="n">
        <v>2781.8</v>
      </c>
      <c r="W2050" s="59" t="n">
        <v>2781.8</v>
      </c>
      <c r="X2050" s="59" t="inlineStr">
        <is>
          <t>NF 1408028 MAGISTRAL - MILKA</t>
        </is>
      </c>
      <c r="Z2050" s="59">
        <f>IF($T2050="","",IFERROR(INDEX('Resumo Grupos'!$AC$3:$AC$200,MATCH($T2050,'Resumo Grupos'!$AB$3:$AB$200,0)),"n/d"))</f>
        <v/>
      </c>
      <c r="AA2050" s="59">
        <f>IF($T2050="","",IF(COUNTIF('Resumo Grupos'!$AE$3:$AE$40,$T2050)&gt;0,"NAO","SIM"))</f>
        <v/>
      </c>
    </row>
    <row r="2051" ht="12.75" customHeight="1" s="60">
      <c r="A2051" s="59" t="n">
        <v>1</v>
      </c>
      <c r="B2051" s="75" t="n">
        <v>46240</v>
      </c>
      <c r="C2051" s="75" t="n">
        <v>46249</v>
      </c>
      <c r="D2051" s="59" t="n">
        <v>1723</v>
      </c>
      <c r="E2051" s="59" t="inlineStr">
        <is>
          <t>COMERCIO DE FRIOS MANAUS LTDA</t>
        </is>
      </c>
      <c r="F2051" s="59" t="n">
        <v>24</v>
      </c>
      <c r="G2051" s="59" t="inlineStr">
        <is>
          <t>Compra a Prazo - Boletos</t>
        </is>
      </c>
      <c r="H2051" s="59" t="n">
        <v>2110405</v>
      </c>
      <c r="I2051" s="59" t="inlineStr">
        <is>
          <t>CONTAS A PAGAR</t>
        </is>
      </c>
      <c r="J2051" s="59" t="n">
        <v>1509339</v>
      </c>
      <c r="L2051" s="59" t="n">
        <v>174356</v>
      </c>
      <c r="M2051" s="59" t="inlineStr">
        <is>
          <t>01</t>
        </is>
      </c>
      <c r="N2051" s="59" t="inlineStr">
        <is>
          <t>AVU</t>
        </is>
      </c>
      <c r="P2051" s="59" t="n">
        <v>103</v>
      </c>
      <c r="Q2051" s="59" t="inlineStr">
        <is>
          <t>MILKA FRANCIS</t>
        </is>
      </c>
      <c r="R2051" s="59" t="inlineStr">
        <is>
          <t>ESTOQUE DE MERCADORIAS</t>
        </is>
      </c>
      <c r="S2051" s="59" t="n">
        <v>1130101</v>
      </c>
      <c r="T2051" s="59" t="inlineStr">
        <is>
          <t>MERCADORIAS P/REVENDA</t>
        </is>
      </c>
      <c r="U2051" s="77" t="n">
        <v>3322.1</v>
      </c>
      <c r="W2051" s="59" t="n">
        <v>3322.1</v>
      </c>
      <c r="X2051" s="59" t="inlineStr">
        <is>
          <t>NF 174356 - MILKA</t>
        </is>
      </c>
      <c r="Z2051" s="59">
        <f>IF($T2051="","",IFERROR(INDEX('Resumo Grupos'!$AC$3:$AC$200,MATCH($T2051,'Resumo Grupos'!$AB$3:$AB$200,0)),"n/d"))</f>
        <v/>
      </c>
      <c r="AA2051" s="59">
        <f>IF($T2051="","",IF(COUNTIF('Resumo Grupos'!$AE$3:$AE$40,$T2051)&gt;0,"NAO","SIM"))</f>
        <v/>
      </c>
    </row>
    <row r="2052" ht="12.75" customHeight="1" s="60">
      <c r="A2052" s="59" t="n">
        <v>1</v>
      </c>
      <c r="B2052" s="75" t="n">
        <v>46244</v>
      </c>
      <c r="C2052" s="75" t="n">
        <v>46249</v>
      </c>
      <c r="D2052" s="59" t="n">
        <v>1455</v>
      </c>
      <c r="E2052" s="59" t="inlineStr">
        <is>
          <t>J. R. L. NASCIMENTO PANIFICADORA</t>
        </is>
      </c>
      <c r="F2052" s="59" t="n">
        <v>24</v>
      </c>
      <c r="G2052" s="59" t="inlineStr">
        <is>
          <t>Compra a Prazo - Boletos</t>
        </is>
      </c>
      <c r="H2052" s="59" t="n">
        <v>2110405</v>
      </c>
      <c r="I2052" s="59" t="inlineStr">
        <is>
          <t>CONTAS A PAGAR</t>
        </is>
      </c>
      <c r="J2052" s="59" t="n">
        <v>1528423</v>
      </c>
      <c r="L2052" s="59" t="n">
        <v>1300</v>
      </c>
      <c r="M2052" s="59" t="inlineStr">
        <is>
          <t>01</t>
        </is>
      </c>
      <c r="N2052" s="59" t="inlineStr">
        <is>
          <t>AVU</t>
        </is>
      </c>
      <c r="P2052" s="59" t="n">
        <v>103</v>
      </c>
      <c r="Q2052" s="59" t="inlineStr">
        <is>
          <t>MILKA FRANCIS</t>
        </is>
      </c>
      <c r="R2052" s="59" t="inlineStr">
        <is>
          <t>ESTOQUE DE MERCADORIAS</t>
        </is>
      </c>
      <c r="S2052" s="59" t="n">
        <v>1130101</v>
      </c>
      <c r="T2052" s="59" t="inlineStr">
        <is>
          <t>MERCADORIAS P/REVENDA</t>
        </is>
      </c>
      <c r="U2052" s="77" t="n">
        <v>1050</v>
      </c>
      <c r="W2052" s="59" t="n">
        <v>1050</v>
      </c>
      <c r="X2052" s="59" t="inlineStr">
        <is>
          <t>NF 1300 CASA ITALIA - MILKA</t>
        </is>
      </c>
      <c r="Z2052" s="59">
        <f>IF($T2052="","",IFERROR(INDEX('Resumo Grupos'!$AC$3:$AC$200,MATCH($T2052,'Resumo Grupos'!$AB$3:$AB$200,0)),"n/d"))</f>
        <v/>
      </c>
      <c r="AA2052" s="59">
        <f>IF($T2052="","",IF(COUNTIF('Resumo Grupos'!$AE$3:$AE$40,$T2052)&gt;0,"NAO","SIM"))</f>
        <v/>
      </c>
    </row>
    <row r="2053" ht="12.75" customHeight="1" s="60">
      <c r="A2053" s="59" t="n">
        <v>1</v>
      </c>
      <c r="B2053" s="75" t="n">
        <v>46244</v>
      </c>
      <c r="C2053" s="75" t="n">
        <v>46249</v>
      </c>
      <c r="D2053" s="59" t="n">
        <v>754</v>
      </c>
      <c r="E2053" s="59" t="inlineStr">
        <is>
          <t>SILVA E SANTOS FRIGORIFICO LTDA</t>
        </is>
      </c>
      <c r="F2053" s="59" t="n">
        <v>24</v>
      </c>
      <c r="G2053" s="59" t="inlineStr">
        <is>
          <t>Compra a Prazo - Boletos</t>
        </is>
      </c>
      <c r="H2053" s="59" t="n">
        <v>2110405</v>
      </c>
      <c r="I2053" s="59" t="inlineStr">
        <is>
          <t>CONTAS A PAGAR</t>
        </is>
      </c>
      <c r="J2053" s="59" t="n">
        <v>1529960</v>
      </c>
      <c r="L2053" s="59" t="n">
        <v>32338</v>
      </c>
      <c r="M2053" s="59" t="inlineStr">
        <is>
          <t>01</t>
        </is>
      </c>
      <c r="N2053" s="59" t="inlineStr">
        <is>
          <t>AVU</t>
        </is>
      </c>
      <c r="P2053" s="59" t="n">
        <v>103</v>
      </c>
      <c r="Q2053" s="59" t="inlineStr">
        <is>
          <t>MILKA FRANCIS</t>
        </is>
      </c>
      <c r="R2053" s="59" t="inlineStr">
        <is>
          <t>ESTOQUE DE MERCADORIAS</t>
        </is>
      </c>
      <c r="S2053" s="59" t="n">
        <v>1130101</v>
      </c>
      <c r="T2053" s="59" t="inlineStr">
        <is>
          <t>MERCADORIAS P/REVENDA</t>
        </is>
      </c>
      <c r="U2053" s="77" t="n">
        <v>1760</v>
      </c>
      <c r="W2053" s="59" t="n">
        <v>1760</v>
      </c>
      <c r="X2053" s="59" t="inlineStr">
        <is>
          <t>NF 32338 - MILKA</t>
        </is>
      </c>
      <c r="Z2053" s="59">
        <f>IF($T2053="","",IFERROR(INDEX('Resumo Grupos'!$AC$3:$AC$200,MATCH($T2053,'Resumo Grupos'!$AB$3:$AB$200,0)),"n/d"))</f>
        <v/>
      </c>
      <c r="AA2053" s="59">
        <f>IF($T2053="","",IF(COUNTIF('Resumo Grupos'!$AE$3:$AE$40,$T2053)&gt;0,"NAO","SIM"))</f>
        <v/>
      </c>
    </row>
    <row r="2054" ht="12.75" customHeight="1" s="60">
      <c r="A2054" s="59" t="n">
        <v>1</v>
      </c>
      <c r="B2054" s="75" t="n">
        <v>46244</v>
      </c>
      <c r="C2054" s="75" t="n">
        <v>46249</v>
      </c>
      <c r="D2054" s="59" t="n">
        <v>1625</v>
      </c>
      <c r="E2054" s="59" t="inlineStr">
        <is>
          <t>MAXFRI DISTRIUIDORA LTDA</t>
        </is>
      </c>
      <c r="F2054" s="59" t="n">
        <v>24</v>
      </c>
      <c r="G2054" s="59" t="inlineStr">
        <is>
          <t>Compra a Prazo - Boletos</t>
        </is>
      </c>
      <c r="H2054" s="59" t="n">
        <v>2110405</v>
      </c>
      <c r="I2054" s="59" t="inlineStr">
        <is>
          <t>CONTAS A PAGAR</t>
        </is>
      </c>
      <c r="J2054" s="59" t="n">
        <v>1530094</v>
      </c>
      <c r="L2054" s="59" t="n">
        <v>15000</v>
      </c>
      <c r="M2054" s="59" t="inlineStr">
        <is>
          <t>01</t>
        </is>
      </c>
      <c r="N2054" s="59" t="inlineStr">
        <is>
          <t>AVU</t>
        </is>
      </c>
      <c r="P2054" s="59" t="n">
        <v>103</v>
      </c>
      <c r="Q2054" s="59" t="inlineStr">
        <is>
          <t>MILKA FRANCIS</t>
        </is>
      </c>
      <c r="R2054" s="59" t="inlineStr">
        <is>
          <t>ESTOQUE DE MERCADORIAS</t>
        </is>
      </c>
      <c r="S2054" s="59" t="n">
        <v>1130101</v>
      </c>
      <c r="T2054" s="59" t="inlineStr">
        <is>
          <t>MERCADORIAS P/REVENDA</t>
        </is>
      </c>
      <c r="U2054" s="77" t="n">
        <v>2412.8</v>
      </c>
      <c r="W2054" s="59" t="n">
        <v>2412.8</v>
      </c>
      <c r="X2054" s="59" t="inlineStr">
        <is>
          <t>NF 15000 - MILKA</t>
        </is>
      </c>
      <c r="Z2054" s="59">
        <f>IF($T2054="","",IFERROR(INDEX('Resumo Grupos'!$AC$3:$AC$200,MATCH($T2054,'Resumo Grupos'!$AB$3:$AB$200,0)),"n/d"))</f>
        <v/>
      </c>
      <c r="AA2054" s="59">
        <f>IF($T2054="","",IF(COUNTIF('Resumo Grupos'!$AE$3:$AE$40,$T2054)&gt;0,"NAO","SIM"))</f>
        <v/>
      </c>
    </row>
    <row r="2055" ht="12.75" customHeight="1" s="60">
      <c r="A2055" s="59" t="n">
        <v>1</v>
      </c>
      <c r="B2055" s="75" t="n">
        <v>46244</v>
      </c>
      <c r="C2055" s="75" t="n">
        <v>46249</v>
      </c>
      <c r="D2055" s="59" t="n">
        <v>1625</v>
      </c>
      <c r="E2055" s="59" t="inlineStr">
        <is>
          <t>MAXFRI DISTRIUIDORA LTDA</t>
        </is>
      </c>
      <c r="F2055" s="59" t="n">
        <v>24</v>
      </c>
      <c r="G2055" s="59" t="inlineStr">
        <is>
          <t>Compra a Prazo - Boletos</t>
        </is>
      </c>
      <c r="H2055" s="59" t="n">
        <v>2110405</v>
      </c>
      <c r="I2055" s="59" t="inlineStr">
        <is>
          <t>CONTAS A PAGAR</t>
        </is>
      </c>
      <c r="J2055" s="59" t="n">
        <v>1530156</v>
      </c>
      <c r="L2055" s="59" t="n">
        <v>14992</v>
      </c>
      <c r="M2055" s="59" t="inlineStr">
        <is>
          <t>01</t>
        </is>
      </c>
      <c r="N2055" s="59" t="inlineStr">
        <is>
          <t>AVU</t>
        </is>
      </c>
      <c r="P2055" s="59" t="n">
        <v>103</v>
      </c>
      <c r="Q2055" s="59" t="inlineStr">
        <is>
          <t>MILKA FRANCIS</t>
        </is>
      </c>
      <c r="R2055" s="59" t="inlineStr">
        <is>
          <t>ESTOQUE DE MERCADORIAS</t>
        </is>
      </c>
      <c r="S2055" s="59" t="n">
        <v>1130101</v>
      </c>
      <c r="T2055" s="59" t="inlineStr">
        <is>
          <t>MERCADORIAS P/REVENDA</t>
        </is>
      </c>
      <c r="U2055" s="77" t="n">
        <v>4403.2</v>
      </c>
      <c r="W2055" s="59" t="n">
        <v>4403.2</v>
      </c>
      <c r="X2055" s="59" t="inlineStr">
        <is>
          <t>NF 14992 - MILKA</t>
        </is>
      </c>
      <c r="Z2055" s="59">
        <f>IF($T2055="","",IFERROR(INDEX('Resumo Grupos'!$AC$3:$AC$200,MATCH($T2055,'Resumo Grupos'!$AB$3:$AB$200,0)),"n/d"))</f>
        <v/>
      </c>
      <c r="AA2055" s="59">
        <f>IF($T2055="","",IF(COUNTIF('Resumo Grupos'!$AE$3:$AE$40,$T2055)&gt;0,"NAO","SIM"))</f>
        <v/>
      </c>
    </row>
    <row r="2056" ht="12.75" customHeight="1" s="60">
      <c r="A2056" s="59" t="n">
        <v>1</v>
      </c>
      <c r="B2056" s="75" t="n">
        <v>46249</v>
      </c>
      <c r="C2056" s="75" t="n">
        <v>46249</v>
      </c>
      <c r="D2056" s="59" t="n">
        <v>862</v>
      </c>
      <c r="E2056" s="59" t="inlineStr">
        <is>
          <t>ACL REPARACAO E TECNOLOGIA DA INFORMACAO LTDA</t>
        </is>
      </c>
      <c r="F2056" s="59" t="n">
        <v>34</v>
      </c>
      <c r="G2056" s="59" t="inlineStr">
        <is>
          <t>Transferencia Pix</t>
        </is>
      </c>
      <c r="H2056" s="59" t="n">
        <v>2110405</v>
      </c>
      <c r="I2056" s="59" t="inlineStr">
        <is>
          <t>CONTAS A PAGAR</t>
        </is>
      </c>
      <c r="J2056" s="59" t="n">
        <v>1552264</v>
      </c>
      <c r="L2056" s="59" t="n">
        <v>634699</v>
      </c>
      <c r="M2056" s="59" t="inlineStr">
        <is>
          <t>01</t>
        </is>
      </c>
      <c r="N2056" s="59" t="inlineStr">
        <is>
          <t>AVU</t>
        </is>
      </c>
      <c r="P2056" s="59" t="n">
        <v>101</v>
      </c>
      <c r="Q2056" s="59" t="inlineStr">
        <is>
          <t>KEILA LIMA</t>
        </is>
      </c>
      <c r="R2056" s="59" t="inlineStr">
        <is>
          <t>DESPESAS OPERACIONAIS</t>
        </is>
      </c>
      <c r="S2056" s="59" t="n">
        <v>4210232</v>
      </c>
      <c r="T2056" s="59" t="inlineStr">
        <is>
          <t>MANUTENÇÃO EQUIPAMENTOS DE INFORMATICA</t>
        </is>
      </c>
      <c r="U2056" s="77" t="n">
        <v>800</v>
      </c>
      <c r="W2056" s="59" t="n">
        <v>800</v>
      </c>
      <c r="X2056" s="59" t="inlineStr">
        <is>
          <t>DESPESA MEMORIA RAM SERVIDOR CISS INFO MO1 - KEILA</t>
        </is>
      </c>
      <c r="Z2056" s="59">
        <f>IF($T2056="","",IFERROR(INDEX('Resumo Grupos'!$AC$3:$AC$200,MATCH($T2056,'Resumo Grupos'!$AB$3:$AB$200,0)),"n/d"))</f>
        <v/>
      </c>
      <c r="AA2056" s="59">
        <f>IF($T2056="","",IF(COUNTIF('Resumo Grupos'!$AE$3:$AE$40,$T2056)&gt;0,"NAO","SIM"))</f>
        <v/>
      </c>
    </row>
    <row r="2057" ht="12.75" customHeight="1" s="60">
      <c r="A2057" s="59" t="n">
        <v>1</v>
      </c>
      <c r="B2057" s="75" t="n">
        <v>46249</v>
      </c>
      <c r="C2057" s="75" t="n">
        <v>46249</v>
      </c>
      <c r="D2057" s="59" t="n">
        <v>10096</v>
      </c>
      <c r="E2057" s="59" t="inlineStr">
        <is>
          <t>H L M PADARIA E CONFEITARIA LTDA</t>
        </is>
      </c>
      <c r="F2057" s="59" t="n">
        <v>13</v>
      </c>
      <c r="G2057" s="59" t="inlineStr">
        <is>
          <t>Compra a Vista</t>
        </is>
      </c>
      <c r="H2057" s="59" t="n">
        <v>2110101</v>
      </c>
      <c r="I2057" s="59" t="inlineStr">
        <is>
          <t>FORNECEDORES DE MERCADORIA</t>
        </is>
      </c>
      <c r="J2057" s="59" t="n">
        <v>1560879</v>
      </c>
      <c r="L2057" s="59" t="n">
        <v>173</v>
      </c>
      <c r="M2057" s="59" t="inlineStr">
        <is>
          <t>01</t>
        </is>
      </c>
      <c r="N2057" s="59" t="inlineStr">
        <is>
          <t>NFE</t>
        </is>
      </c>
      <c r="P2057" s="59" t="n">
        <v>104</v>
      </c>
      <c r="Q2057" s="59" t="inlineStr">
        <is>
          <t>DEBORA COSTA</t>
        </is>
      </c>
      <c r="R2057" s="59" t="inlineStr">
        <is>
          <t>ESTOQUE DE MERCADORIAS</t>
        </is>
      </c>
      <c r="S2057" s="59" t="n">
        <v>1130101</v>
      </c>
      <c r="T2057" s="59" t="inlineStr">
        <is>
          <t>MERCADORIAS P/REVENDA</t>
        </is>
      </c>
      <c r="U2057" s="77" t="n">
        <v>680</v>
      </c>
      <c r="W2057" s="59" t="n">
        <v>0</v>
      </c>
      <c r="X2057" s="59" t="inlineStr">
        <is>
          <t>NF 173 - DEBORA</t>
        </is>
      </c>
      <c r="Z2057" s="59">
        <f>IF($T2057="","",IFERROR(INDEX('Resumo Grupos'!$AC$3:$AC$200,MATCH($T2057,'Resumo Grupos'!$AB$3:$AB$200,0)),"n/d"))</f>
        <v/>
      </c>
      <c r="AA2057" s="59">
        <f>IF($T2057="","",IF(COUNTIF('Resumo Grupos'!$AE$3:$AE$40,$T2057)&gt;0,"NAO","SIM"))</f>
        <v/>
      </c>
    </row>
    <row r="2058" ht="12.75" customHeight="1" s="60">
      <c r="A2058" s="59" t="n">
        <v>1</v>
      </c>
      <c r="B2058" s="75" t="n">
        <v>46249</v>
      </c>
      <c r="C2058" s="75" t="n">
        <v>46249</v>
      </c>
      <c r="D2058" s="59" t="n">
        <v>978</v>
      </c>
      <c r="E2058" s="59" t="inlineStr">
        <is>
          <t>GELO DANGELO FABRICACAO DE GELO LTDA</t>
        </is>
      </c>
      <c r="F2058" s="59" t="n">
        <v>13</v>
      </c>
      <c r="G2058" s="59" t="inlineStr">
        <is>
          <t>Compra a Vista</t>
        </is>
      </c>
      <c r="H2058" s="59" t="n">
        <v>2110101</v>
      </c>
      <c r="I2058" s="59" t="inlineStr">
        <is>
          <t>FORNECEDORES DE MERCADORIA</t>
        </is>
      </c>
      <c r="J2058" s="59" t="n">
        <v>1560886</v>
      </c>
      <c r="L2058" s="59" t="n">
        <v>487</v>
      </c>
      <c r="M2058" s="59" t="inlineStr">
        <is>
          <t>01</t>
        </is>
      </c>
      <c r="N2058" s="59" t="inlineStr">
        <is>
          <t>NFE</t>
        </is>
      </c>
      <c r="P2058" s="59" t="n">
        <v>104</v>
      </c>
      <c r="Q2058" s="59" t="inlineStr">
        <is>
          <t>DEBORA COSTA</t>
        </is>
      </c>
      <c r="R2058" s="59" t="inlineStr">
        <is>
          <t>ESTOQUE DE MERCADORIAS</t>
        </is>
      </c>
      <c r="S2058" s="59" t="n">
        <v>1130101</v>
      </c>
      <c r="T2058" s="59" t="inlineStr">
        <is>
          <t>MERCADORIAS P/REVENDA</t>
        </is>
      </c>
      <c r="U2058" s="77" t="n">
        <v>359.5</v>
      </c>
      <c r="W2058" s="59" t="n">
        <v>0</v>
      </c>
      <c r="X2058" s="59" t="inlineStr">
        <is>
          <t>NF 487 - DEBORA</t>
        </is>
      </c>
      <c r="Z2058" s="59">
        <f>IF($T2058="","",IFERROR(INDEX('Resumo Grupos'!$AC$3:$AC$200,MATCH($T2058,'Resumo Grupos'!$AB$3:$AB$200,0)),"n/d"))</f>
        <v/>
      </c>
      <c r="AA2058" s="59">
        <f>IF($T2058="","",IF(COUNTIF('Resumo Grupos'!$AE$3:$AE$40,$T2058)&gt;0,"NAO","SIM"))</f>
        <v/>
      </c>
    </row>
    <row r="2059" ht="12.75" customHeight="1" s="60">
      <c r="A2059" s="59" t="n">
        <v>1</v>
      </c>
      <c r="B2059" s="75" t="n">
        <v>46196</v>
      </c>
      <c r="C2059" s="75" t="n">
        <v>46250</v>
      </c>
      <c r="D2059" s="59" t="n">
        <v>1611</v>
      </c>
      <c r="E2059" s="59" t="inlineStr">
        <is>
          <t>MARTINS COM SERV DISTR SA</t>
        </is>
      </c>
      <c r="F2059" s="59" t="n">
        <v>24</v>
      </c>
      <c r="G2059" s="59" t="inlineStr">
        <is>
          <t>Compra a Prazo - Boletos</t>
        </is>
      </c>
      <c r="H2059" s="59" t="n">
        <v>2110101</v>
      </c>
      <c r="I2059" s="59" t="inlineStr">
        <is>
          <t>FORNECEDORES DE MERCADORIA</t>
        </is>
      </c>
      <c r="J2059" s="59" t="n">
        <v>1294640</v>
      </c>
      <c r="L2059" s="59" t="n">
        <v>536311</v>
      </c>
      <c r="M2059" s="59" t="inlineStr">
        <is>
          <t>03</t>
        </is>
      </c>
      <c r="N2059" s="59" t="inlineStr">
        <is>
          <t>AVU</t>
        </is>
      </c>
      <c r="P2059" s="59" t="n">
        <v>103</v>
      </c>
      <c r="Q2059" s="59" t="inlineStr">
        <is>
          <t>MILKA FRANCIS</t>
        </is>
      </c>
      <c r="R2059" s="59" t="inlineStr">
        <is>
          <t>ESTOQUE DE MERCADORIAS</t>
        </is>
      </c>
      <c r="S2059" s="59" t="n">
        <v>1130101</v>
      </c>
      <c r="T2059" s="59" t="inlineStr">
        <is>
          <t>MERCADORIAS P/REVENDA</t>
        </is>
      </c>
      <c r="U2059" s="77" t="n">
        <v>3224.65</v>
      </c>
      <c r="W2059" s="59" t="n">
        <v>3224.65</v>
      </c>
      <c r="X2059" s="59" t="inlineStr">
        <is>
          <t>NF 1773396/ NF 1773397 -03 MILKA</t>
        </is>
      </c>
      <c r="Z2059" s="59">
        <f>IF($T2059="","",IFERROR(INDEX('Resumo Grupos'!$AC$3:$AC$200,MATCH($T2059,'Resumo Grupos'!$AB$3:$AB$200,0)),"n/d"))</f>
        <v/>
      </c>
      <c r="AA2059" s="59">
        <f>IF($T2059="","",IF(COUNTIF('Resumo Grupos'!$AE$3:$AE$40,$T2059)&gt;0,"NAO","SIM"))</f>
        <v/>
      </c>
    </row>
    <row r="2060" ht="12.75" customHeight="1" s="60">
      <c r="A2060" s="59" t="n">
        <v>1</v>
      </c>
      <c r="B2060" s="75" t="n">
        <v>46226</v>
      </c>
      <c r="C2060" s="75" t="n">
        <v>46250</v>
      </c>
      <c r="D2060" s="59" t="n">
        <v>10011</v>
      </c>
      <c r="E2060" s="59" t="inlineStr">
        <is>
          <t>OPPORTUNITY ALIMENTOS PARA ANIMAIS LTDA</t>
        </is>
      </c>
      <c r="F2060" s="59" t="n">
        <v>24</v>
      </c>
      <c r="G2060" s="59" t="inlineStr">
        <is>
          <t>Compra a Prazo - Boletos</t>
        </is>
      </c>
      <c r="H2060" s="59" t="n">
        <v>2110405</v>
      </c>
      <c r="I2060" s="59" t="inlineStr">
        <is>
          <t>CONTAS A PAGAR</t>
        </is>
      </c>
      <c r="J2060" s="59" t="n">
        <v>1440273</v>
      </c>
      <c r="L2060" s="59" t="n">
        <v>592643</v>
      </c>
      <c r="M2060" s="59" t="inlineStr">
        <is>
          <t>01</t>
        </is>
      </c>
      <c r="N2060" s="59" t="inlineStr">
        <is>
          <t>AVU</t>
        </is>
      </c>
      <c r="P2060" s="59" t="n">
        <v>104</v>
      </c>
      <c r="Q2060" s="59" t="inlineStr">
        <is>
          <t>DEBORA COSTA</t>
        </is>
      </c>
      <c r="R2060" s="59" t="inlineStr">
        <is>
          <t>ESTOQUE DE MERCADORIAS</t>
        </is>
      </c>
      <c r="S2060" s="59" t="n">
        <v>1130101</v>
      </c>
      <c r="T2060" s="59" t="inlineStr">
        <is>
          <t>MERCADORIAS P/REVENDA</t>
        </is>
      </c>
      <c r="U2060" s="77" t="n">
        <v>562.9400000000001</v>
      </c>
      <c r="W2060" s="59" t="n">
        <v>562.9400000000001</v>
      </c>
      <c r="X2060" s="59" t="inlineStr">
        <is>
          <t>NF 34780 - DEBORA</t>
        </is>
      </c>
      <c r="Z2060" s="59">
        <f>IF($T2060="","",IFERROR(INDEX('Resumo Grupos'!$AC$3:$AC$200,MATCH($T2060,'Resumo Grupos'!$AB$3:$AB$200,0)),"n/d"))</f>
        <v/>
      </c>
      <c r="AA2060" s="59">
        <f>IF($T2060="","",IF(COUNTIF('Resumo Grupos'!$AE$3:$AE$40,$T2060)&gt;0,"NAO","SIM"))</f>
        <v/>
      </c>
    </row>
    <row r="2061" ht="12.75" customHeight="1" s="60">
      <c r="A2061" s="59" t="n">
        <v>1</v>
      </c>
      <c r="B2061" s="75" t="n">
        <v>46230</v>
      </c>
      <c r="C2061" s="75" t="n">
        <v>46251</v>
      </c>
      <c r="D2061" s="59" t="n">
        <v>1634</v>
      </c>
      <c r="E2061" s="59" t="inlineStr">
        <is>
          <t>FH DISTRIBUIDORA DE ALIM. E BEBIDAS LTDA</t>
        </is>
      </c>
      <c r="F2061" s="59" t="n">
        <v>24</v>
      </c>
      <c r="G2061" s="59" t="inlineStr">
        <is>
          <t>Compra a Prazo - Boletos</t>
        </is>
      </c>
      <c r="H2061" s="59" t="n">
        <v>2110405</v>
      </c>
      <c r="I2061" s="59" t="inlineStr">
        <is>
          <t>CONTAS A PAGAR</t>
        </is>
      </c>
      <c r="J2061" s="59" t="n">
        <v>1460028</v>
      </c>
      <c r="L2061" s="59" t="n">
        <v>329028</v>
      </c>
      <c r="M2061" s="59" t="inlineStr">
        <is>
          <t>01</t>
        </is>
      </c>
      <c r="N2061" s="59" t="inlineStr">
        <is>
          <t>AVU</t>
        </is>
      </c>
      <c r="P2061" s="59" t="n">
        <v>103</v>
      </c>
      <c r="Q2061" s="59" t="inlineStr">
        <is>
          <t>MILKA FRANCIS</t>
        </is>
      </c>
      <c r="R2061" s="59" t="inlineStr">
        <is>
          <t>ESTOQUE DE MERCADORIAS</t>
        </is>
      </c>
      <c r="S2061" s="59" t="n">
        <v>1130101</v>
      </c>
      <c r="T2061" s="59" t="inlineStr">
        <is>
          <t>MERCADORIAS P/REVENDA</t>
        </is>
      </c>
      <c r="U2061" s="77" t="n">
        <v>810.35</v>
      </c>
      <c r="W2061" s="59" t="n">
        <v>810.35</v>
      </c>
      <c r="X2061" s="59" t="inlineStr">
        <is>
          <t>NF 329028-1 MILKA</t>
        </is>
      </c>
      <c r="Z2061" s="59">
        <f>IF($T2061="","",IFERROR(INDEX('Resumo Grupos'!$AC$3:$AC$200,MATCH($T2061,'Resumo Grupos'!$AB$3:$AB$200,0)),"n/d"))</f>
        <v/>
      </c>
      <c r="AA2061" s="59">
        <f>IF($T2061="","",IF(COUNTIF('Resumo Grupos'!$AE$3:$AE$40,$T2061)&gt;0,"NAO","SIM"))</f>
        <v/>
      </c>
    </row>
    <row r="2062" ht="12.75" customHeight="1" s="60">
      <c r="A2062" s="59" t="n">
        <v>1</v>
      </c>
      <c r="B2062" s="75" t="n">
        <v>46216</v>
      </c>
      <c r="C2062" s="75" t="n">
        <v>46251</v>
      </c>
      <c r="D2062" s="59" t="n">
        <v>16</v>
      </c>
      <c r="E2062" s="59" t="inlineStr">
        <is>
          <t>RENATO DE OLIVEIRA AZEVEDO</t>
        </is>
      </c>
      <c r="F2062" s="59" t="n">
        <v>34</v>
      </c>
      <c r="G2062" s="59" t="inlineStr">
        <is>
          <t>Transferencia Pix</t>
        </is>
      </c>
      <c r="H2062" s="59" t="n">
        <v>2110405</v>
      </c>
      <c r="I2062" s="59" t="inlineStr">
        <is>
          <t>CONTAS A PAGAR</t>
        </is>
      </c>
      <c r="J2062" s="59" t="n">
        <v>784488</v>
      </c>
      <c r="L2062" s="59" t="n">
        <v>338625</v>
      </c>
      <c r="M2062" s="59" t="inlineStr">
        <is>
          <t>04</t>
        </is>
      </c>
      <c r="N2062" s="59" t="inlineStr">
        <is>
          <t>AVU</t>
        </is>
      </c>
      <c r="P2062" s="59" t="n">
        <v>102</v>
      </c>
      <c r="Q2062" s="59" t="inlineStr">
        <is>
          <t>ANDREZA ANDRADE</t>
        </is>
      </c>
      <c r="R2062" s="59" t="inlineStr">
        <is>
          <t>DESPESAS NAO OPERACIONAIS</t>
        </is>
      </c>
      <c r="S2062" s="59" t="n">
        <v>4220199</v>
      </c>
      <c r="T2062" s="59" t="inlineStr">
        <is>
          <t>PAGAMENTOS OUTROS NAO OPERACIONAIS</t>
        </is>
      </c>
      <c r="U2062" s="77" t="n">
        <v>8000</v>
      </c>
      <c r="W2062" s="59" t="n">
        <v>8000</v>
      </c>
      <c r="X2062" s="59" t="inlineStr">
        <is>
          <t xml:space="preserve">PL RENATO MO1 - KEILA </t>
        </is>
      </c>
      <c r="Z2062" s="59">
        <f>IF($T2062="","",IFERROR(INDEX('Resumo Grupos'!$AC$3:$AC$200,MATCH($T2062,'Resumo Grupos'!$AB$3:$AB$200,0)),"n/d"))</f>
        <v/>
      </c>
      <c r="AA2062" s="59">
        <f>IF($T2062="","",IF(COUNTIF('Resumo Grupos'!$AE$3:$AE$40,$T2062)&gt;0,"NAO","SIM"))</f>
        <v/>
      </c>
    </row>
    <row r="2063" ht="12.75" customHeight="1" s="60">
      <c r="A2063" s="59" t="n">
        <v>1</v>
      </c>
      <c r="B2063" s="75" t="n">
        <v>46218</v>
      </c>
      <c r="C2063" s="75" t="n">
        <v>46251</v>
      </c>
      <c r="D2063" s="59" t="n">
        <v>10011</v>
      </c>
      <c r="E2063" s="59" t="inlineStr">
        <is>
          <t>OPPORTUNITY ALIMENTOS PARA ANIMAIS LTDA</t>
        </is>
      </c>
      <c r="F2063" s="59" t="n">
        <v>24</v>
      </c>
      <c r="G2063" s="59" t="inlineStr">
        <is>
          <t>Compra a Prazo - Boletos</t>
        </is>
      </c>
      <c r="H2063" s="59" t="n">
        <v>2110405</v>
      </c>
      <c r="I2063" s="59" t="inlineStr">
        <is>
          <t>CONTAS A PAGAR</t>
        </is>
      </c>
      <c r="J2063" s="59" t="n">
        <v>1401989</v>
      </c>
      <c r="L2063" s="59" t="n">
        <v>34663</v>
      </c>
      <c r="M2063" s="59" t="inlineStr">
        <is>
          <t>02</t>
        </is>
      </c>
      <c r="N2063" s="59" t="inlineStr">
        <is>
          <t>AVU</t>
        </is>
      </c>
      <c r="P2063" s="59" t="n">
        <v>103</v>
      </c>
      <c r="Q2063" s="59" t="inlineStr">
        <is>
          <t>MILKA FRANCIS</t>
        </is>
      </c>
      <c r="R2063" s="59" t="inlineStr">
        <is>
          <t>ESTOQUE DE MERCADORIAS</t>
        </is>
      </c>
      <c r="S2063" s="59" t="n">
        <v>1130101</v>
      </c>
      <c r="T2063" s="59" t="inlineStr">
        <is>
          <t>MERCADORIAS P/REVENDA</t>
        </is>
      </c>
      <c r="U2063" s="77" t="n">
        <v>2006</v>
      </c>
      <c r="W2063" s="59" t="n">
        <v>2006</v>
      </c>
      <c r="X2063" s="59" t="inlineStr">
        <is>
          <t>NF 34663-1 MILKA</t>
        </is>
      </c>
      <c r="Z2063" s="59">
        <f>IF($T2063="","",IFERROR(INDEX('Resumo Grupos'!$AC$3:$AC$200,MATCH($T2063,'Resumo Grupos'!$AB$3:$AB$200,0)),"n/d"))</f>
        <v/>
      </c>
      <c r="AA2063" s="59">
        <f>IF($T2063="","",IF(COUNTIF('Resumo Grupos'!$AE$3:$AE$40,$T2063)&gt;0,"NAO","SIM"))</f>
        <v/>
      </c>
    </row>
    <row r="2064" ht="12.75" customHeight="1" s="60">
      <c r="A2064" s="59" t="n">
        <v>1</v>
      </c>
      <c r="B2064" s="75" t="n">
        <v>46224</v>
      </c>
      <c r="C2064" s="75" t="n">
        <v>46251</v>
      </c>
      <c r="D2064" s="59" t="n">
        <v>607</v>
      </c>
      <c r="E2064" s="59" t="inlineStr">
        <is>
          <t>PRIME PET DISTRIBUIDORA LTDA</t>
        </is>
      </c>
      <c r="F2064" s="59" t="n">
        <v>24</v>
      </c>
      <c r="G2064" s="59" t="inlineStr">
        <is>
          <t>Compra a Prazo - Boletos</t>
        </is>
      </c>
      <c r="H2064" s="59" t="n">
        <v>2110405</v>
      </c>
      <c r="I2064" s="59" t="inlineStr">
        <is>
          <t>CONTAS A PAGAR</t>
        </is>
      </c>
      <c r="J2064" s="59" t="n">
        <v>1429152</v>
      </c>
      <c r="L2064" s="59" t="n">
        <v>11134</v>
      </c>
      <c r="M2064" s="59" t="inlineStr">
        <is>
          <t>01</t>
        </is>
      </c>
      <c r="N2064" s="59" t="inlineStr">
        <is>
          <t>AVU</t>
        </is>
      </c>
      <c r="P2064" s="59" t="n">
        <v>103</v>
      </c>
      <c r="Q2064" s="59" t="inlineStr">
        <is>
          <t>MILKA FRANCIS</t>
        </is>
      </c>
      <c r="R2064" s="59" t="inlineStr">
        <is>
          <t>ESTOQUE DE MERCADORIAS</t>
        </is>
      </c>
      <c r="S2064" s="59" t="n">
        <v>1130101</v>
      </c>
      <c r="T2064" s="59" t="inlineStr">
        <is>
          <t>MERCADORIAS P/REVENDA</t>
        </is>
      </c>
      <c r="U2064" s="77" t="n">
        <v>911.85</v>
      </c>
      <c r="W2064" s="59" t="n">
        <v>911.85</v>
      </c>
      <c r="X2064" s="59" t="inlineStr">
        <is>
          <t>NF 11134 -01/06  MILKA</t>
        </is>
      </c>
      <c r="Z2064" s="59">
        <f>IF($T2064="","",IFERROR(INDEX('Resumo Grupos'!$AC$3:$AC$200,MATCH($T2064,'Resumo Grupos'!$AB$3:$AB$200,0)),"n/d"))</f>
        <v/>
      </c>
      <c r="AA2064" s="59">
        <f>IF($T2064="","",IF(COUNTIF('Resumo Grupos'!$AE$3:$AE$40,$T2064)&gt;0,"NAO","SIM"))</f>
        <v/>
      </c>
    </row>
    <row r="2065" ht="12.75" customHeight="1" s="60">
      <c r="A2065" s="59" t="n">
        <v>1</v>
      </c>
      <c r="B2065" s="75" t="n">
        <v>46224</v>
      </c>
      <c r="C2065" s="75" t="n">
        <v>46251</v>
      </c>
      <c r="D2065" s="59" t="n">
        <v>1740</v>
      </c>
      <c r="E2065" s="59" t="inlineStr">
        <is>
          <t>OCIDENTAL COMERCIO DE FRIOS LTDA</t>
        </is>
      </c>
      <c r="F2065" s="59" t="n">
        <v>24</v>
      </c>
      <c r="G2065" s="59" t="inlineStr">
        <is>
          <t>Compra a Prazo - Boletos</t>
        </is>
      </c>
      <c r="H2065" s="59" t="n">
        <v>2110405</v>
      </c>
      <c r="I2065" s="59" t="inlineStr">
        <is>
          <t>CONTAS A PAGAR</t>
        </is>
      </c>
      <c r="J2065" s="59" t="n">
        <v>1431693</v>
      </c>
      <c r="L2065" s="59" t="n">
        <v>1249231</v>
      </c>
      <c r="M2065" s="59" t="inlineStr">
        <is>
          <t>03</t>
        </is>
      </c>
      <c r="N2065" s="59" t="inlineStr">
        <is>
          <t>AVU</t>
        </is>
      </c>
      <c r="P2065" s="59" t="n">
        <v>103</v>
      </c>
      <c r="Q2065" s="59" t="inlineStr">
        <is>
          <t>MILKA FRANCIS</t>
        </is>
      </c>
      <c r="R2065" s="59" t="inlineStr">
        <is>
          <t>ESTOQUE DE MERCADORIAS</t>
        </is>
      </c>
      <c r="S2065" s="59" t="n">
        <v>1130101</v>
      </c>
      <c r="T2065" s="59" t="inlineStr">
        <is>
          <t>MERCADORIAS P/REVENDA</t>
        </is>
      </c>
      <c r="U2065" s="77" t="n">
        <v>2044.89</v>
      </c>
      <c r="W2065" s="59" t="n">
        <v>2044.89</v>
      </c>
      <c r="X2065" s="59" t="inlineStr">
        <is>
          <t>NF 1249231-3/3 MILKA</t>
        </is>
      </c>
      <c r="Z2065" s="59">
        <f>IF($T2065="","",IFERROR(INDEX('Resumo Grupos'!$AC$3:$AC$200,MATCH($T2065,'Resumo Grupos'!$AB$3:$AB$200,0)),"n/d"))</f>
        <v/>
      </c>
      <c r="AA2065" s="59">
        <f>IF($T2065="","",IF(COUNTIF('Resumo Grupos'!$AE$3:$AE$40,$T2065)&gt;0,"NAO","SIM"))</f>
        <v/>
      </c>
    </row>
    <row r="2066" ht="12.75" customHeight="1" s="60">
      <c r="A2066" s="59" t="n">
        <v>1</v>
      </c>
      <c r="B2066" s="75" t="n">
        <v>46232</v>
      </c>
      <c r="C2066" s="75" t="n">
        <v>46251</v>
      </c>
      <c r="D2066" s="59" t="n">
        <v>1810</v>
      </c>
      <c r="E2066" s="59" t="inlineStr">
        <is>
          <t>NJF INDUSTRIA E COMERCIO LTDA</t>
        </is>
      </c>
      <c r="F2066" s="59" t="n">
        <v>24</v>
      </c>
      <c r="G2066" s="59" t="inlineStr">
        <is>
          <t>Compra a Prazo - Boletos</t>
        </is>
      </c>
      <c r="H2066" s="59" t="n">
        <v>2110405</v>
      </c>
      <c r="I2066" s="59" t="inlineStr">
        <is>
          <t>CONTAS A PAGAR</t>
        </is>
      </c>
      <c r="J2066" s="59" t="n">
        <v>1469179</v>
      </c>
      <c r="L2066" s="59" t="n">
        <v>85346</v>
      </c>
      <c r="M2066" s="59" t="inlineStr">
        <is>
          <t>02</t>
        </is>
      </c>
      <c r="N2066" s="59" t="inlineStr">
        <is>
          <t>AVU</t>
        </is>
      </c>
      <c r="P2066" s="59" t="n">
        <v>103</v>
      </c>
      <c r="Q2066" s="59" t="inlineStr">
        <is>
          <t>MILKA FRANCIS</t>
        </is>
      </c>
      <c r="R2066" s="59" t="inlineStr">
        <is>
          <t>ESTOQUE DE MERCADORIAS</t>
        </is>
      </c>
      <c r="S2066" s="59" t="n">
        <v>1130101</v>
      </c>
      <c r="T2066" s="59" t="inlineStr">
        <is>
          <t>MERCADORIAS P/REVENDA</t>
        </is>
      </c>
      <c r="U2066" s="77" t="n">
        <v>1164.5</v>
      </c>
      <c r="W2066" s="59" t="n">
        <v>1164.5</v>
      </c>
      <c r="X2066" s="59" t="inlineStr">
        <is>
          <t>NF 85346 -2 MILKA</t>
        </is>
      </c>
      <c r="Z2066" s="59">
        <f>IF($T2066="","",IFERROR(INDEX('Resumo Grupos'!$AC$3:$AC$200,MATCH($T2066,'Resumo Grupos'!$AB$3:$AB$200,0)),"n/d"))</f>
        <v/>
      </c>
      <c r="AA2066" s="59">
        <f>IF($T2066="","",IF(COUNTIF('Resumo Grupos'!$AE$3:$AE$40,$T2066)&gt;0,"NAO","SIM"))</f>
        <v/>
      </c>
    </row>
    <row r="2067" ht="12.75" customHeight="1" s="60">
      <c r="A2067" s="59" t="n">
        <v>1</v>
      </c>
      <c r="B2067" s="75" t="n">
        <v>46234</v>
      </c>
      <c r="C2067" s="75" t="n">
        <v>46251</v>
      </c>
      <c r="D2067" s="59" t="n">
        <v>1699</v>
      </c>
      <c r="E2067" s="59" t="inlineStr">
        <is>
          <t>L S M COMERCIO DE ALIMENTOS E NAVEGACAO</t>
        </is>
      </c>
      <c r="F2067" s="59" t="n">
        <v>24</v>
      </c>
      <c r="G2067" s="59" t="inlineStr">
        <is>
          <t>Compra a Prazo - Boletos</t>
        </is>
      </c>
      <c r="H2067" s="59" t="n">
        <v>2110405</v>
      </c>
      <c r="I2067" s="59" t="inlineStr">
        <is>
          <t>CONTAS A PAGAR</t>
        </is>
      </c>
      <c r="J2067" s="59" t="n">
        <v>1478171</v>
      </c>
      <c r="L2067" s="59" t="n">
        <v>309642</v>
      </c>
      <c r="M2067" s="59" t="inlineStr">
        <is>
          <t>01</t>
        </is>
      </c>
      <c r="N2067" s="59" t="inlineStr">
        <is>
          <t>AVU</t>
        </is>
      </c>
      <c r="P2067" s="59" t="n">
        <v>103</v>
      </c>
      <c r="Q2067" s="59" t="inlineStr">
        <is>
          <t>MILKA FRANCIS</t>
        </is>
      </c>
      <c r="R2067" s="59" t="inlineStr">
        <is>
          <t>ESTOQUE DE MERCADORIAS</t>
        </is>
      </c>
      <c r="S2067" s="59" t="n">
        <v>1130101</v>
      </c>
      <c r="T2067" s="59" t="inlineStr">
        <is>
          <t>MERCADORIAS P/REVENDA</t>
        </is>
      </c>
      <c r="U2067" s="77" t="n">
        <v>1633.1</v>
      </c>
      <c r="W2067" s="59" t="n">
        <v>1633.1</v>
      </c>
      <c r="X2067" s="59" t="inlineStr">
        <is>
          <t>NF 309642-1 MILKA</t>
        </is>
      </c>
      <c r="Z2067" s="59">
        <f>IF($T2067="","",IFERROR(INDEX('Resumo Grupos'!$AC$3:$AC$200,MATCH($T2067,'Resumo Grupos'!$AB$3:$AB$200,0)),"n/d"))</f>
        <v/>
      </c>
      <c r="AA2067" s="59">
        <f>IF($T2067="","",IF(COUNTIF('Resumo Grupos'!$AE$3:$AE$40,$T2067)&gt;0,"NAO","SIM"))</f>
        <v/>
      </c>
    </row>
    <row r="2068" ht="12.75" customHeight="1" s="60">
      <c r="A2068" s="59" t="n">
        <v>1</v>
      </c>
      <c r="B2068" s="75" t="n">
        <v>46237</v>
      </c>
      <c r="C2068" s="75" t="n">
        <v>46251</v>
      </c>
      <c r="D2068" s="59" t="n">
        <v>815</v>
      </c>
      <c r="E2068" s="59" t="inlineStr">
        <is>
          <t xml:space="preserve">ROBSON - ROBINHO </t>
        </is>
      </c>
      <c r="F2068" s="59" t="n">
        <v>34</v>
      </c>
      <c r="G2068" s="59" t="inlineStr">
        <is>
          <t>Transferencia Pix</t>
        </is>
      </c>
      <c r="H2068" s="59" t="n">
        <v>2110405</v>
      </c>
      <c r="I2068" s="59" t="inlineStr">
        <is>
          <t>CONTAS A PAGAR</t>
        </is>
      </c>
      <c r="J2068" s="59" t="n">
        <v>1493520</v>
      </c>
      <c r="L2068" s="59" t="n">
        <v>612910</v>
      </c>
      <c r="M2068" s="59" t="inlineStr">
        <is>
          <t>01</t>
        </is>
      </c>
      <c r="N2068" s="59" t="inlineStr">
        <is>
          <t>AVU</t>
        </is>
      </c>
      <c r="P2068" s="59" t="n">
        <v>101</v>
      </c>
      <c r="Q2068" s="59" t="inlineStr">
        <is>
          <t>KEILA LIMA</t>
        </is>
      </c>
      <c r="R2068" s="59" t="inlineStr">
        <is>
          <t>EMPRESTIMOS TERCEIROS</t>
        </is>
      </c>
      <c r="S2068" s="59" t="n">
        <v>2210202</v>
      </c>
      <c r="T2068" s="59" t="inlineStr">
        <is>
          <t>EMPRESTIMOS TERCEIROS</t>
        </is>
      </c>
      <c r="U2068" s="77" t="n">
        <v>6000</v>
      </c>
      <c r="W2068" s="59" t="n">
        <v>6000</v>
      </c>
      <c r="X2068" s="59" t="inlineStr">
        <is>
          <t>JUROS DO EMPRESTIMO C/ ROBINHO 200MIL MO1 -KEILA</t>
        </is>
      </c>
      <c r="Z2068" s="59">
        <f>IF($T2068="","",IFERROR(INDEX('Resumo Grupos'!$AC$3:$AC$200,MATCH($T2068,'Resumo Grupos'!$AB$3:$AB$200,0)),"n/d"))</f>
        <v/>
      </c>
      <c r="AA2068" s="59">
        <f>IF($T2068="","",IF(COUNTIF('Resumo Grupos'!$AE$3:$AE$40,$T2068)&gt;0,"NAO","SIM"))</f>
        <v/>
      </c>
    </row>
    <row r="2069" ht="12.75" customHeight="1" s="60">
      <c r="A2069" s="59" t="n">
        <v>1</v>
      </c>
      <c r="B2069" s="75" t="n">
        <v>46237</v>
      </c>
      <c r="C2069" s="75" t="n">
        <v>46251</v>
      </c>
      <c r="D2069" s="59" t="n">
        <v>1699</v>
      </c>
      <c r="E2069" s="59" t="inlineStr">
        <is>
          <t>L S M COMERCIO DE ALIMENTOS E NAVEGACAO</t>
        </is>
      </c>
      <c r="F2069" s="59" t="n">
        <v>24</v>
      </c>
      <c r="G2069" s="59" t="inlineStr">
        <is>
          <t>Compra a Prazo - Boletos</t>
        </is>
      </c>
      <c r="H2069" s="59" t="n">
        <v>2110405</v>
      </c>
      <c r="I2069" s="59" t="inlineStr">
        <is>
          <t>CONTAS A PAGAR</t>
        </is>
      </c>
      <c r="J2069" s="59" t="n">
        <v>1495640</v>
      </c>
      <c r="L2069" s="59" t="n">
        <v>309757</v>
      </c>
      <c r="M2069" s="59" t="inlineStr">
        <is>
          <t>01</t>
        </is>
      </c>
      <c r="N2069" s="59" t="inlineStr">
        <is>
          <t>AVU</t>
        </is>
      </c>
      <c r="P2069" s="59" t="n">
        <v>103</v>
      </c>
      <c r="Q2069" s="59" t="inlineStr">
        <is>
          <t>MILKA FRANCIS</t>
        </is>
      </c>
      <c r="R2069" s="59" t="inlineStr">
        <is>
          <t>ESTOQUE DE MERCADORIAS</t>
        </is>
      </c>
      <c r="S2069" s="59" t="n">
        <v>1130101</v>
      </c>
      <c r="T2069" s="59" t="inlineStr">
        <is>
          <t>MERCADORIAS P/REVENDA</t>
        </is>
      </c>
      <c r="U2069" s="77" t="n">
        <v>403.5</v>
      </c>
      <c r="W2069" s="59" t="n">
        <v>403.5</v>
      </c>
      <c r="X2069" s="59" t="inlineStr">
        <is>
          <t>NF 309757-1 MILKA</t>
        </is>
      </c>
      <c r="Z2069" s="59">
        <f>IF($T2069="","",IFERROR(INDEX('Resumo Grupos'!$AC$3:$AC$200,MATCH($T2069,'Resumo Grupos'!$AB$3:$AB$200,0)),"n/d"))</f>
        <v/>
      </c>
      <c r="AA2069" s="59">
        <f>IF($T2069="","",IF(COUNTIF('Resumo Grupos'!$AE$3:$AE$40,$T2069)&gt;0,"NAO","SIM"))</f>
        <v/>
      </c>
    </row>
    <row r="2070" ht="12.75" customHeight="1" s="60">
      <c r="A2070" s="59" t="n">
        <v>1</v>
      </c>
      <c r="B2070" s="75" t="n">
        <v>46241</v>
      </c>
      <c r="C2070" s="75" t="n">
        <v>46251</v>
      </c>
      <c r="D2070" s="59" t="n">
        <v>513</v>
      </c>
      <c r="E2070" s="59" t="inlineStr">
        <is>
          <t>NET CLARO</t>
        </is>
      </c>
      <c r="F2070" s="59" t="n">
        <v>24</v>
      </c>
      <c r="G2070" s="59" t="inlineStr">
        <is>
          <t>Compra a Prazo - Boletos</t>
        </is>
      </c>
      <c r="H2070" s="59" t="n">
        <v>2110405</v>
      </c>
      <c r="I2070" s="59" t="inlineStr">
        <is>
          <t>CONTAS A PAGAR</t>
        </is>
      </c>
      <c r="J2070" s="59" t="n">
        <v>1514449</v>
      </c>
      <c r="L2070" s="59" t="n">
        <v>620154</v>
      </c>
      <c r="M2070" s="59" t="inlineStr">
        <is>
          <t>01</t>
        </is>
      </c>
      <c r="N2070" s="59" t="inlineStr">
        <is>
          <t>AVU</t>
        </is>
      </c>
      <c r="P2070" s="59" t="n">
        <v>101</v>
      </c>
      <c r="Q2070" s="59" t="inlineStr">
        <is>
          <t>KEILA LIMA</t>
        </is>
      </c>
      <c r="R2070" s="59" t="inlineStr">
        <is>
          <t>DESPESAS OPERACIONAIS</t>
        </is>
      </c>
      <c r="S2070" s="59" t="n">
        <v>4210206</v>
      </c>
      <c r="T2070" s="59" t="inlineStr">
        <is>
          <t>TELEFONE</t>
        </is>
      </c>
      <c r="U2070" s="77" t="n">
        <v>28.09</v>
      </c>
      <c r="W2070" s="59" t="n">
        <v>28.09</v>
      </c>
      <c r="X2070" s="59" t="inlineStr">
        <is>
          <t>TELEFONE DISK MO1 LOJA - KEILA</t>
        </is>
      </c>
      <c r="Z2070" s="59">
        <f>IF($T2070="","",IFERROR(INDEX('Resumo Grupos'!$AC$3:$AC$200,MATCH($T2070,'Resumo Grupos'!$AB$3:$AB$200,0)),"n/d"))</f>
        <v/>
      </c>
      <c r="AA2070" s="59">
        <f>IF($T2070="","",IF(COUNTIF('Resumo Grupos'!$AE$3:$AE$40,$T2070)&gt;0,"NAO","SIM"))</f>
        <v/>
      </c>
    </row>
    <row r="2071" ht="12.75" customHeight="1" s="60">
      <c r="A2071" s="59" t="n">
        <v>1</v>
      </c>
      <c r="B2071" s="75" t="n">
        <v>46242</v>
      </c>
      <c r="C2071" s="75" t="n">
        <v>46251</v>
      </c>
      <c r="D2071" s="59" t="n">
        <v>1621</v>
      </c>
      <c r="E2071" s="59" t="inlineStr">
        <is>
          <t>CRBS S/A</t>
        </is>
      </c>
      <c r="F2071" s="59" t="n">
        <v>24</v>
      </c>
      <c r="G2071" s="59" t="inlineStr">
        <is>
          <t>Compra a Prazo - Boletos</t>
        </is>
      </c>
      <c r="H2071" s="59" t="n">
        <v>2110405</v>
      </c>
      <c r="I2071" s="59" t="inlineStr">
        <is>
          <t>CONTAS A PAGAR</t>
        </is>
      </c>
      <c r="J2071" s="59" t="n">
        <v>1517510</v>
      </c>
      <c r="L2071" s="59" t="n">
        <v>942898</v>
      </c>
      <c r="M2071" s="59" t="inlineStr">
        <is>
          <t>01</t>
        </is>
      </c>
      <c r="N2071" s="59" t="inlineStr">
        <is>
          <t>AVU</t>
        </is>
      </c>
      <c r="P2071" s="59" t="n">
        <v>103</v>
      </c>
      <c r="Q2071" s="59" t="inlineStr">
        <is>
          <t>MILKA FRANCIS</t>
        </is>
      </c>
      <c r="R2071" s="59" t="inlineStr">
        <is>
          <t>ESTOQUE DE MERCADORIAS</t>
        </is>
      </c>
      <c r="S2071" s="59" t="n">
        <v>1130101</v>
      </c>
      <c r="T2071" s="59" t="inlineStr">
        <is>
          <t>MERCADORIAS P/REVENDA</t>
        </is>
      </c>
      <c r="U2071" s="77" t="n">
        <v>4870.45</v>
      </c>
      <c r="W2071" s="59" t="n">
        <v>4870.45</v>
      </c>
      <c r="X2071" s="59" t="inlineStr">
        <is>
          <t>NF 942898 C/ BONIFICACAO - MILKA</t>
        </is>
      </c>
      <c r="Z2071" s="59">
        <f>IF($T2071="","",IFERROR(INDEX('Resumo Grupos'!$AC$3:$AC$200,MATCH($T2071,'Resumo Grupos'!$AB$3:$AB$200,0)),"n/d"))</f>
        <v/>
      </c>
      <c r="AA2071" s="59">
        <f>IF($T2071="","",IF(COUNTIF('Resumo Grupos'!$AE$3:$AE$40,$T2071)&gt;0,"NAO","SIM"))</f>
        <v/>
      </c>
    </row>
    <row r="2072" ht="12.75" customHeight="1" s="60">
      <c r="A2072" s="59" t="n">
        <v>1</v>
      </c>
      <c r="B2072" s="75" t="n">
        <v>46242</v>
      </c>
      <c r="C2072" s="75" t="n">
        <v>46251</v>
      </c>
      <c r="D2072" s="59" t="n">
        <v>1621</v>
      </c>
      <c r="E2072" s="59" t="inlineStr">
        <is>
          <t>CRBS S/A</t>
        </is>
      </c>
      <c r="F2072" s="59" t="n">
        <v>24</v>
      </c>
      <c r="G2072" s="59" t="inlineStr">
        <is>
          <t>Compra a Prazo - Boletos</t>
        </is>
      </c>
      <c r="H2072" s="59" t="n">
        <v>2110405</v>
      </c>
      <c r="I2072" s="59" t="inlineStr">
        <is>
          <t>CONTAS A PAGAR</t>
        </is>
      </c>
      <c r="J2072" s="59" t="n">
        <v>1517528</v>
      </c>
      <c r="L2072" s="59" t="n">
        <v>942899</v>
      </c>
      <c r="M2072" s="59" t="inlineStr">
        <is>
          <t>01</t>
        </is>
      </c>
      <c r="N2072" s="59" t="inlineStr">
        <is>
          <t>AVU</t>
        </is>
      </c>
      <c r="P2072" s="59" t="n">
        <v>103</v>
      </c>
      <c r="Q2072" s="59" t="inlineStr">
        <is>
          <t>MILKA FRANCIS</t>
        </is>
      </c>
      <c r="R2072" s="59" t="inlineStr">
        <is>
          <t>ESTOQUE DE MERCADORIAS</t>
        </is>
      </c>
      <c r="S2072" s="59" t="n">
        <v>1130101</v>
      </c>
      <c r="T2072" s="59" t="inlineStr">
        <is>
          <t>MERCADORIAS P/REVENDA</t>
        </is>
      </c>
      <c r="U2072" s="77" t="n">
        <v>424.55</v>
      </c>
      <c r="W2072" s="59" t="n">
        <v>424.55</v>
      </c>
      <c r="X2072" s="59" t="inlineStr">
        <is>
          <t>NF 942899 AMBEV - MILKA</t>
        </is>
      </c>
      <c r="Z2072" s="59">
        <f>IF($T2072="","",IFERROR(INDEX('Resumo Grupos'!$AC$3:$AC$200,MATCH($T2072,'Resumo Grupos'!$AB$3:$AB$200,0)),"n/d"))</f>
        <v/>
      </c>
      <c r="AA2072" s="59">
        <f>IF($T2072="","",IF(COUNTIF('Resumo Grupos'!$AE$3:$AE$40,$T2072)&gt;0,"NAO","SIM"))</f>
        <v/>
      </c>
    </row>
    <row r="2073" ht="12.75" customHeight="1" s="60">
      <c r="A2073" s="59" t="n">
        <v>1</v>
      </c>
      <c r="B2073" s="75" t="n">
        <v>46244</v>
      </c>
      <c r="C2073" s="75" t="n">
        <v>46251</v>
      </c>
      <c r="D2073" s="59" t="n">
        <v>1614</v>
      </c>
      <c r="E2073" s="59" t="inlineStr">
        <is>
          <t>C. R. PARENTE ABREU</t>
        </is>
      </c>
      <c r="F2073" s="59" t="n">
        <v>24</v>
      </c>
      <c r="G2073" s="59" t="inlineStr">
        <is>
          <t>Compra a Prazo - Boletos</t>
        </is>
      </c>
      <c r="H2073" s="59" t="n">
        <v>2110405</v>
      </c>
      <c r="I2073" s="59" t="inlineStr">
        <is>
          <t>CONTAS A PAGAR</t>
        </is>
      </c>
      <c r="J2073" s="59" t="n">
        <v>1529852</v>
      </c>
      <c r="L2073" s="59" t="n">
        <v>11542</v>
      </c>
      <c r="M2073" s="59" t="inlineStr">
        <is>
          <t>02</t>
        </is>
      </c>
      <c r="N2073" s="59" t="inlineStr">
        <is>
          <t>AVU</t>
        </is>
      </c>
      <c r="P2073" s="59" t="n">
        <v>103</v>
      </c>
      <c r="Q2073" s="59" t="inlineStr">
        <is>
          <t>MILKA FRANCIS</t>
        </is>
      </c>
      <c r="R2073" s="59" t="inlineStr">
        <is>
          <t>ESTOQUE DE MERCADORIAS</t>
        </is>
      </c>
      <c r="S2073" s="59" t="n">
        <v>1130101</v>
      </c>
      <c r="T2073" s="59" t="inlineStr">
        <is>
          <t>MERCADORIAS P/REVENDA</t>
        </is>
      </c>
      <c r="U2073" s="77" t="n">
        <v>472.45</v>
      </c>
      <c r="W2073" s="59" t="n">
        <v>472.45</v>
      </c>
      <c r="X2073" s="59" t="inlineStr">
        <is>
          <t>NF 11542-2 KARU - MILKA</t>
        </is>
      </c>
      <c r="Z2073" s="59">
        <f>IF($T2073="","",IFERROR(INDEX('Resumo Grupos'!$AC$3:$AC$200,MATCH($T2073,'Resumo Grupos'!$AB$3:$AB$200,0)),"n/d"))</f>
        <v/>
      </c>
      <c r="AA2073" s="59">
        <f>IF($T2073="","",IF(COUNTIF('Resumo Grupos'!$AE$3:$AE$40,$T2073)&gt;0,"NAO","SIM"))</f>
        <v/>
      </c>
    </row>
    <row r="2074" ht="12.75" customHeight="1" s="60">
      <c r="A2074" s="59" t="n">
        <v>1</v>
      </c>
      <c r="B2074" s="75" t="n">
        <v>46244</v>
      </c>
      <c r="C2074" s="75" t="n">
        <v>46251</v>
      </c>
      <c r="D2074" s="59" t="n">
        <v>754</v>
      </c>
      <c r="E2074" s="59" t="inlineStr">
        <is>
          <t>SILVA E SANTOS FRIGORIFICO LTDA</t>
        </is>
      </c>
      <c r="F2074" s="59" t="n">
        <v>24</v>
      </c>
      <c r="G2074" s="59" t="inlineStr">
        <is>
          <t>Compra a Prazo - Boletos</t>
        </is>
      </c>
      <c r="H2074" s="59" t="n">
        <v>2110405</v>
      </c>
      <c r="I2074" s="59" t="inlineStr">
        <is>
          <t>CONTAS A PAGAR</t>
        </is>
      </c>
      <c r="J2074" s="59" t="n">
        <v>1530278</v>
      </c>
      <c r="L2074" s="59" t="n">
        <v>32360</v>
      </c>
      <c r="M2074" s="59" t="inlineStr">
        <is>
          <t>01</t>
        </is>
      </c>
      <c r="N2074" s="59" t="inlineStr">
        <is>
          <t>AVU</t>
        </is>
      </c>
      <c r="P2074" s="59" t="n">
        <v>103</v>
      </c>
      <c r="Q2074" s="59" t="inlineStr">
        <is>
          <t>MILKA FRANCIS</t>
        </is>
      </c>
      <c r="R2074" s="59" t="inlineStr">
        <is>
          <t>ESTOQUE DE MERCADORIAS</t>
        </is>
      </c>
      <c r="S2074" s="59" t="n">
        <v>1130101</v>
      </c>
      <c r="T2074" s="59" t="inlineStr">
        <is>
          <t>MERCADORIAS P/REVENDA</t>
        </is>
      </c>
      <c r="U2074" s="77" t="n">
        <v>3325</v>
      </c>
      <c r="W2074" s="59" t="n">
        <v>3325</v>
      </c>
      <c r="X2074" s="59" t="inlineStr">
        <is>
          <t>NF 32360 - MILKA</t>
        </is>
      </c>
      <c r="Z2074" s="59">
        <f>IF($T2074="","",IFERROR(INDEX('Resumo Grupos'!$AC$3:$AC$200,MATCH($T2074,'Resumo Grupos'!$AB$3:$AB$200,0)),"n/d"))</f>
        <v/>
      </c>
      <c r="AA2074" s="59">
        <f>IF($T2074="","",IF(COUNTIF('Resumo Grupos'!$AE$3:$AE$40,$T2074)&gt;0,"NAO","SIM"))</f>
        <v/>
      </c>
    </row>
    <row r="2075" ht="12.75" customHeight="1" s="60">
      <c r="A2075" s="59" t="n">
        <v>1</v>
      </c>
      <c r="B2075" s="75" t="n">
        <v>46244</v>
      </c>
      <c r="C2075" s="75" t="n">
        <v>46251</v>
      </c>
      <c r="D2075" s="59" t="n">
        <v>1631</v>
      </c>
      <c r="E2075" s="59" t="inlineStr">
        <is>
          <t>T. M. L. DA SILVA LTDA</t>
        </is>
      </c>
      <c r="F2075" s="59" t="n">
        <v>24</v>
      </c>
      <c r="G2075" s="59" t="inlineStr">
        <is>
          <t>Compra a Prazo - Boletos</t>
        </is>
      </c>
      <c r="H2075" s="59" t="n">
        <v>2110405</v>
      </c>
      <c r="I2075" s="59" t="inlineStr">
        <is>
          <t>CONTAS A PAGAR</t>
        </is>
      </c>
      <c r="J2075" s="59" t="n">
        <v>1530311</v>
      </c>
      <c r="L2075" s="59" t="n">
        <v>15235</v>
      </c>
      <c r="M2075" s="59" t="inlineStr">
        <is>
          <t>01</t>
        </is>
      </c>
      <c r="N2075" s="59" t="inlineStr">
        <is>
          <t>AVU</t>
        </is>
      </c>
      <c r="P2075" s="59" t="n">
        <v>103</v>
      </c>
      <c r="Q2075" s="59" t="inlineStr">
        <is>
          <t>MILKA FRANCIS</t>
        </is>
      </c>
      <c r="R2075" s="59" t="inlineStr">
        <is>
          <t>ESTOQUE DE MERCADORIAS</t>
        </is>
      </c>
      <c r="S2075" s="59" t="n">
        <v>1130101</v>
      </c>
      <c r="T2075" s="59" t="inlineStr">
        <is>
          <t>MERCADORIAS P/REVENDA</t>
        </is>
      </c>
      <c r="U2075" s="77" t="n">
        <v>721.74</v>
      </c>
      <c r="W2075" s="59" t="n">
        <v>721.74</v>
      </c>
      <c r="X2075" s="59" t="inlineStr">
        <is>
          <t>NF 15235 AMAZONGURT - MILKA</t>
        </is>
      </c>
      <c r="Z2075" s="59">
        <f>IF($T2075="","",IFERROR(INDEX('Resumo Grupos'!$AC$3:$AC$200,MATCH($T2075,'Resumo Grupos'!$AB$3:$AB$200,0)),"n/d"))</f>
        <v/>
      </c>
      <c r="AA2075" s="59">
        <f>IF($T2075="","",IF(COUNTIF('Resumo Grupos'!$AE$3:$AE$40,$T2075)&gt;0,"NAO","SIM"))</f>
        <v/>
      </c>
    </row>
    <row r="2076" ht="12.75" customHeight="1" s="60">
      <c r="A2076" s="59" t="n">
        <v>1</v>
      </c>
      <c r="B2076" s="75" t="n">
        <v>46244</v>
      </c>
      <c r="C2076" s="75" t="n">
        <v>46251</v>
      </c>
      <c r="D2076" s="59" t="n">
        <v>1292</v>
      </c>
      <c r="E2076" s="59" t="inlineStr">
        <is>
          <t>SAO JOSE COMERCIO DE LATICINIOS E FRIOS</t>
        </is>
      </c>
      <c r="F2076" s="59" t="n">
        <v>24</v>
      </c>
      <c r="G2076" s="59" t="inlineStr">
        <is>
          <t>Compra a Prazo - Boletos</t>
        </is>
      </c>
      <c r="H2076" s="59" t="n">
        <v>2110405</v>
      </c>
      <c r="I2076" s="59" t="inlineStr">
        <is>
          <t>CONTAS A PAGAR</t>
        </is>
      </c>
      <c r="J2076" s="59" t="n">
        <v>1530320</v>
      </c>
      <c r="L2076" s="59" t="n">
        <v>3798</v>
      </c>
      <c r="M2076" s="59" t="inlineStr">
        <is>
          <t>01</t>
        </is>
      </c>
      <c r="N2076" s="59" t="inlineStr">
        <is>
          <t>AVU</t>
        </is>
      </c>
      <c r="P2076" s="59" t="n">
        <v>103</v>
      </c>
      <c r="Q2076" s="59" t="inlineStr">
        <is>
          <t>MILKA FRANCIS</t>
        </is>
      </c>
      <c r="R2076" s="59" t="inlineStr">
        <is>
          <t>ESTOQUE DE MERCADORIAS</t>
        </is>
      </c>
      <c r="S2076" s="59" t="n">
        <v>1130101</v>
      </c>
      <c r="T2076" s="59" t="inlineStr">
        <is>
          <t>MERCADORIAS P/REVENDA</t>
        </is>
      </c>
      <c r="U2076" s="77" t="n">
        <v>2313.5</v>
      </c>
      <c r="W2076" s="59" t="n">
        <v>2313.5</v>
      </c>
      <c r="X2076" s="59" t="inlineStr">
        <is>
          <t>NF 3798 SABORE - MILKA</t>
        </is>
      </c>
      <c r="Z2076" s="59">
        <f>IF($T2076="","",IFERROR(INDEX('Resumo Grupos'!$AC$3:$AC$200,MATCH($T2076,'Resumo Grupos'!$AB$3:$AB$200,0)),"n/d"))</f>
        <v/>
      </c>
      <c r="AA2076" s="59">
        <f>IF($T2076="","",IF(COUNTIF('Resumo Grupos'!$AE$3:$AE$40,$T2076)&gt;0,"NAO","SIM"))</f>
        <v/>
      </c>
    </row>
    <row r="2077" ht="12.75" customHeight="1" s="60">
      <c r="A2077" s="59" t="n">
        <v>1</v>
      </c>
      <c r="B2077" s="75" t="n">
        <v>46245</v>
      </c>
      <c r="C2077" s="75" t="n">
        <v>46251</v>
      </c>
      <c r="D2077" s="59" t="n">
        <v>1328</v>
      </c>
      <c r="E2077" s="59" t="inlineStr">
        <is>
          <t>NOVA FRIOS COMERCIO ATACADISTA DE LATICINIOS LTDA</t>
        </is>
      </c>
      <c r="F2077" s="59" t="n">
        <v>24</v>
      </c>
      <c r="G2077" s="59" t="inlineStr">
        <is>
          <t>Compra a Prazo - Boletos</t>
        </is>
      </c>
      <c r="H2077" s="59" t="n">
        <v>2110405</v>
      </c>
      <c r="I2077" s="59" t="inlineStr">
        <is>
          <t>CONTAS A PAGAR</t>
        </is>
      </c>
      <c r="J2077" s="59" t="n">
        <v>1533237</v>
      </c>
      <c r="L2077" s="59" t="n">
        <v>4335</v>
      </c>
      <c r="M2077" s="59" t="inlineStr">
        <is>
          <t>01</t>
        </is>
      </c>
      <c r="N2077" s="59" t="inlineStr">
        <is>
          <t>AVU</t>
        </is>
      </c>
      <c r="P2077" s="59" t="n">
        <v>103</v>
      </c>
      <c r="Q2077" s="59" t="inlineStr">
        <is>
          <t>MILKA FRANCIS</t>
        </is>
      </c>
      <c r="R2077" s="59" t="inlineStr">
        <is>
          <t>ESTOQUE DE MERCADORIAS</t>
        </is>
      </c>
      <c r="S2077" s="59" t="n">
        <v>1130101</v>
      </c>
      <c r="T2077" s="59" t="inlineStr">
        <is>
          <t>MERCADORIAS P/REVENDA</t>
        </is>
      </c>
      <c r="U2077" s="77" t="n">
        <v>255</v>
      </c>
      <c r="W2077" s="59" t="n">
        <v>255</v>
      </c>
      <c r="X2077" s="59" t="inlineStr">
        <is>
          <t>NF 43493 BODEGA DO PAO - MILKA</t>
        </is>
      </c>
      <c r="Z2077" s="59">
        <f>IF($T2077="","",IFERROR(INDEX('Resumo Grupos'!$AC$3:$AC$200,MATCH($T2077,'Resumo Grupos'!$AB$3:$AB$200,0)),"n/d"))</f>
        <v/>
      </c>
      <c r="AA2077" s="59">
        <f>IF($T2077="","",IF(COUNTIF('Resumo Grupos'!$AE$3:$AE$40,$T2077)&gt;0,"NAO","SIM"))</f>
        <v/>
      </c>
    </row>
    <row r="2078" ht="12.75" customHeight="1" s="60">
      <c r="A2078" s="59" t="n">
        <v>1</v>
      </c>
      <c r="B2078" s="75" t="n">
        <v>46245</v>
      </c>
      <c r="C2078" s="75" t="n">
        <v>46251</v>
      </c>
      <c r="D2078" s="59" t="n">
        <v>1650</v>
      </c>
      <c r="E2078" s="59" t="inlineStr">
        <is>
          <t>FRUTAL INDUSTRIA E COMERCIO LTDA</t>
        </is>
      </c>
      <c r="F2078" s="59" t="n">
        <v>24</v>
      </c>
      <c r="G2078" s="59" t="inlineStr">
        <is>
          <t>Compra a Prazo - Boletos</t>
        </is>
      </c>
      <c r="H2078" s="59" t="n">
        <v>2110405</v>
      </c>
      <c r="I2078" s="59" t="inlineStr">
        <is>
          <t>CONTAS A PAGAR</t>
        </is>
      </c>
      <c r="J2078" s="59" t="n">
        <v>1533253</v>
      </c>
      <c r="L2078" s="59" t="n">
        <v>228288</v>
      </c>
      <c r="M2078" s="59" t="inlineStr">
        <is>
          <t>01</t>
        </is>
      </c>
      <c r="N2078" s="59" t="inlineStr">
        <is>
          <t>AVU</t>
        </is>
      </c>
      <c r="P2078" s="59" t="n">
        <v>103</v>
      </c>
      <c r="Q2078" s="59" t="inlineStr">
        <is>
          <t>MILKA FRANCIS</t>
        </is>
      </c>
      <c r="R2078" s="59" t="inlineStr">
        <is>
          <t>ESTOQUE DE MERCADORIAS</t>
        </is>
      </c>
      <c r="S2078" s="59" t="n">
        <v>1130101</v>
      </c>
      <c r="T2078" s="59" t="inlineStr">
        <is>
          <t>MERCADORIAS P/REVENDA</t>
        </is>
      </c>
      <c r="U2078" s="77" t="n">
        <v>661.21</v>
      </c>
      <c r="W2078" s="59" t="n">
        <v>661.21</v>
      </c>
      <c r="X2078" s="59" t="inlineStr">
        <is>
          <t>NF 228288 - MILKA</t>
        </is>
      </c>
      <c r="Z2078" s="59">
        <f>IF($T2078="","",IFERROR(INDEX('Resumo Grupos'!$AC$3:$AC$200,MATCH($T2078,'Resumo Grupos'!$AB$3:$AB$200,0)),"n/d"))</f>
        <v/>
      </c>
      <c r="AA2078" s="59">
        <f>IF($T2078="","",IF(COUNTIF('Resumo Grupos'!$AE$3:$AE$40,$T2078)&gt;0,"NAO","SIM"))</f>
        <v/>
      </c>
    </row>
    <row r="2079" ht="12.75" customHeight="1" s="60">
      <c r="A2079" s="59" t="n">
        <v>1</v>
      </c>
      <c r="B2079" s="75" t="n">
        <v>46246</v>
      </c>
      <c r="C2079" s="75" t="n">
        <v>46251</v>
      </c>
      <c r="D2079" s="59" t="n">
        <v>1357</v>
      </c>
      <c r="E2079" s="59" t="inlineStr">
        <is>
          <t>DISPPAN DISTRIBUIDORA DE PRODUTOS PARA PANIFICACAO LTDA</t>
        </is>
      </c>
      <c r="F2079" s="59" t="n">
        <v>24</v>
      </c>
      <c r="G2079" s="59" t="inlineStr">
        <is>
          <t>Compra a Prazo - Boletos</t>
        </is>
      </c>
      <c r="H2079" s="59" t="n">
        <v>2110405</v>
      </c>
      <c r="I2079" s="59" t="inlineStr">
        <is>
          <t>CONTAS A PAGAR</t>
        </is>
      </c>
      <c r="J2079" s="59" t="n">
        <v>1537717</v>
      </c>
      <c r="L2079" s="59" t="n">
        <v>282949</v>
      </c>
      <c r="M2079" s="59" t="inlineStr">
        <is>
          <t>01</t>
        </is>
      </c>
      <c r="N2079" s="59" t="inlineStr">
        <is>
          <t>AVU</t>
        </is>
      </c>
      <c r="P2079" s="59" t="n">
        <v>103</v>
      </c>
      <c r="Q2079" s="59" t="inlineStr">
        <is>
          <t>MILKA FRANCIS</t>
        </is>
      </c>
      <c r="R2079" s="59" t="inlineStr">
        <is>
          <t>CUSTOS DE PRODUCAO</t>
        </is>
      </c>
      <c r="S2079" s="59" t="n">
        <v>4110102</v>
      </c>
      <c r="T2079" s="59" t="inlineStr">
        <is>
          <t>MATERIA PRIMA</t>
        </is>
      </c>
      <c r="U2079" s="77" t="n">
        <v>465.35</v>
      </c>
      <c r="W2079" s="59" t="n">
        <v>465.35</v>
      </c>
      <c r="X2079" s="59" t="inlineStr">
        <is>
          <t>NF 282949-1 CREME DE CONF./COCO RALADO EM FLOCOS/MARGARINA - MILKA</t>
        </is>
      </c>
      <c r="Z2079" s="59">
        <f>IF($T2079="","",IFERROR(INDEX('Resumo Grupos'!$AC$3:$AC$200,MATCH($T2079,'Resumo Grupos'!$AB$3:$AB$200,0)),"n/d"))</f>
        <v/>
      </c>
      <c r="AA2079" s="59">
        <f>IF($T2079="","",IF(COUNTIF('Resumo Grupos'!$AE$3:$AE$40,$T2079)&gt;0,"NAO","SIM"))</f>
        <v/>
      </c>
    </row>
    <row r="2080" ht="12.75" customHeight="1" s="60">
      <c r="A2080" s="59" t="n">
        <v>1</v>
      </c>
      <c r="B2080" s="75" t="n">
        <v>46246</v>
      </c>
      <c r="C2080" s="75" t="n">
        <v>46251</v>
      </c>
      <c r="D2080" s="59" t="n">
        <v>1899</v>
      </c>
      <c r="E2080" s="59" t="inlineStr">
        <is>
          <t>PANIFICADORA E CONFEITARIA REAL MADRI LTDA</t>
        </is>
      </c>
      <c r="F2080" s="59" t="n">
        <v>24</v>
      </c>
      <c r="G2080" s="59" t="inlineStr">
        <is>
          <t>Compra a Prazo - Boletos</t>
        </is>
      </c>
      <c r="H2080" s="59" t="n">
        <v>2110405</v>
      </c>
      <c r="I2080" s="59" t="inlineStr">
        <is>
          <t>CONTAS A PAGAR</t>
        </is>
      </c>
      <c r="J2080" s="59" t="n">
        <v>1537759</v>
      </c>
      <c r="L2080" s="59" t="n">
        <v>758</v>
      </c>
      <c r="M2080" s="59" t="inlineStr">
        <is>
          <t>01</t>
        </is>
      </c>
      <c r="N2080" s="59" t="inlineStr">
        <is>
          <t>AVU</t>
        </is>
      </c>
      <c r="P2080" s="59" t="n">
        <v>103</v>
      </c>
      <c r="Q2080" s="59" t="inlineStr">
        <is>
          <t>MILKA FRANCIS</t>
        </is>
      </c>
      <c r="R2080" s="59" t="inlineStr">
        <is>
          <t>ESTOQUE DE MERCADORIAS</t>
        </is>
      </c>
      <c r="S2080" s="59" t="n">
        <v>1130101</v>
      </c>
      <c r="T2080" s="59" t="inlineStr">
        <is>
          <t>MERCADORIAS P/REVENDA</t>
        </is>
      </c>
      <c r="U2080" s="77" t="n">
        <v>452</v>
      </c>
      <c r="W2080" s="59" t="n">
        <v>452</v>
      </c>
      <c r="X2080" s="59" t="inlineStr">
        <is>
          <t>NF 758 - MILKA</t>
        </is>
      </c>
      <c r="Z2080" s="59">
        <f>IF($T2080="","",IFERROR(INDEX('Resumo Grupos'!$AC$3:$AC$200,MATCH($T2080,'Resumo Grupos'!$AB$3:$AB$200,0)),"n/d"))</f>
        <v/>
      </c>
      <c r="AA2080" s="59">
        <f>IF($T2080="","",IF(COUNTIF('Resumo Grupos'!$AE$3:$AE$40,$T2080)&gt;0,"NAO","SIM"))</f>
        <v/>
      </c>
    </row>
    <row r="2081" ht="12.75" customHeight="1" s="60">
      <c r="A2081" s="59" t="n">
        <v>1</v>
      </c>
      <c r="B2081" s="75" t="n">
        <v>46248</v>
      </c>
      <c r="C2081" s="75" t="n">
        <v>46251</v>
      </c>
      <c r="D2081" s="59" t="n">
        <v>1899</v>
      </c>
      <c r="E2081" s="59" t="inlineStr">
        <is>
          <t>PANIFICADORA E CONFEITARIA REAL MADRI LTDA</t>
        </is>
      </c>
      <c r="F2081" s="59" t="n">
        <v>24</v>
      </c>
      <c r="G2081" s="59" t="inlineStr">
        <is>
          <t>Compra a Prazo - Boletos</t>
        </is>
      </c>
      <c r="H2081" s="59" t="n">
        <v>2110405</v>
      </c>
      <c r="I2081" s="59" t="inlineStr">
        <is>
          <t>CONTAS A PAGAR</t>
        </is>
      </c>
      <c r="J2081" s="59" t="n">
        <v>1547106</v>
      </c>
      <c r="L2081" s="59" t="n">
        <v>759</v>
      </c>
      <c r="M2081" s="59" t="inlineStr">
        <is>
          <t>01</t>
        </is>
      </c>
      <c r="N2081" s="59" t="inlineStr">
        <is>
          <t>AVU</t>
        </is>
      </c>
      <c r="P2081" s="59" t="n">
        <v>103</v>
      </c>
      <c r="Q2081" s="59" t="inlineStr">
        <is>
          <t>MILKA FRANCIS</t>
        </is>
      </c>
      <c r="R2081" s="59" t="inlineStr">
        <is>
          <t>ESTOQUE DE MERCADORIAS</t>
        </is>
      </c>
      <c r="S2081" s="59" t="n">
        <v>1130101</v>
      </c>
      <c r="T2081" s="59" t="inlineStr">
        <is>
          <t>MERCADORIAS P/REVENDA</t>
        </is>
      </c>
      <c r="U2081" s="77" t="n">
        <v>840</v>
      </c>
      <c r="W2081" s="59" t="n">
        <v>840</v>
      </c>
      <c r="X2081" s="59" t="inlineStr">
        <is>
          <t>NF 759 - MILKA</t>
        </is>
      </c>
      <c r="Z2081" s="59">
        <f>IF($T2081="","",IFERROR(INDEX('Resumo Grupos'!$AC$3:$AC$200,MATCH($T2081,'Resumo Grupos'!$AB$3:$AB$200,0)),"n/d"))</f>
        <v/>
      </c>
      <c r="AA2081" s="59">
        <f>IF($T2081="","",IF(COUNTIF('Resumo Grupos'!$AE$3:$AE$40,$T2081)&gt;0,"NAO","SIM"))</f>
        <v/>
      </c>
    </row>
    <row r="2082" ht="12.75" customHeight="1" s="60">
      <c r="A2082" s="59" t="n">
        <v>1</v>
      </c>
      <c r="B2082" s="75" t="n">
        <v>46251</v>
      </c>
      <c r="C2082" s="75" t="n">
        <v>46251</v>
      </c>
      <c r="D2082" s="59" t="n">
        <v>33</v>
      </c>
      <c r="E2082" s="59" t="inlineStr">
        <is>
          <t>RENATO DE O AZEVEDO E CIA LTDA - EPP</t>
        </is>
      </c>
      <c r="F2082" s="59" t="n">
        <v>13</v>
      </c>
      <c r="G2082" s="59" t="inlineStr">
        <is>
          <t>Compra a Vista</t>
        </is>
      </c>
      <c r="H2082" s="59" t="n">
        <v>2110101</v>
      </c>
      <c r="I2082" s="59" t="inlineStr">
        <is>
          <t>FORNECEDORES DE MERCADORIA</t>
        </is>
      </c>
      <c r="J2082" s="59" t="n">
        <v>1560904</v>
      </c>
      <c r="L2082" s="59" t="n">
        <v>5498</v>
      </c>
      <c r="M2082" s="59" t="inlineStr">
        <is>
          <t>01</t>
        </is>
      </c>
      <c r="N2082" s="59" t="inlineStr">
        <is>
          <t>NFE</t>
        </is>
      </c>
      <c r="P2082" s="59" t="n">
        <v>104</v>
      </c>
      <c r="Q2082" s="59" t="inlineStr">
        <is>
          <t>DEBORA COSTA</t>
        </is>
      </c>
      <c r="R2082" s="59" t="inlineStr">
        <is>
          <t>ESTOQUE DE MERCADORIAS</t>
        </is>
      </c>
      <c r="S2082" s="59" t="n">
        <v>1130101</v>
      </c>
      <c r="T2082" s="59" t="inlineStr">
        <is>
          <t>MERCADORIAS P/REVENDA</t>
        </is>
      </c>
      <c r="U2082" s="77" t="n">
        <v>510</v>
      </c>
      <c r="W2082" s="59" t="n">
        <v>510</v>
      </c>
      <c r="X2082" s="59" t="inlineStr">
        <is>
          <t>ACAI DE ANORI - DEBORA 15/08</t>
        </is>
      </c>
      <c r="Z2082" s="59">
        <f>IF($T2082="","",IFERROR(INDEX('Resumo Grupos'!$AC$3:$AC$200,MATCH($T2082,'Resumo Grupos'!$AB$3:$AB$200,0)),"n/d"))</f>
        <v/>
      </c>
      <c r="AA2082" s="59">
        <f>IF($T2082="","",IF(COUNTIF('Resumo Grupos'!$AE$3:$AE$40,$T2082)&gt;0,"NAO","SIM"))</f>
        <v/>
      </c>
    </row>
    <row r="2083" ht="12.75" customHeight="1" s="60">
      <c r="A2083" s="59" t="n">
        <v>1</v>
      </c>
      <c r="B2083" s="75" t="n">
        <v>46251</v>
      </c>
      <c r="C2083" s="75" t="n">
        <v>46251</v>
      </c>
      <c r="D2083" s="59" t="n">
        <v>514</v>
      </c>
      <c r="E2083" s="59" t="inlineStr">
        <is>
          <t>SANTANDER SA</t>
        </is>
      </c>
      <c r="F2083" s="59" t="n">
        <v>34</v>
      </c>
      <c r="G2083" s="59" t="inlineStr">
        <is>
          <t>Transferencia Pix</t>
        </is>
      </c>
      <c r="H2083" s="59" t="n">
        <v>2110405</v>
      </c>
      <c r="I2083" s="59" t="inlineStr">
        <is>
          <t>CONTAS A PAGAR</t>
        </is>
      </c>
      <c r="J2083" s="59" t="n">
        <v>1562164</v>
      </c>
      <c r="L2083" s="59" t="n">
        <v>638897</v>
      </c>
      <c r="M2083" s="59" t="inlineStr">
        <is>
          <t>01</t>
        </is>
      </c>
      <c r="N2083" s="59" t="inlineStr">
        <is>
          <t>AVU</t>
        </is>
      </c>
      <c r="P2083" s="59" t="n">
        <v>102</v>
      </c>
      <c r="Q2083" s="59" t="inlineStr">
        <is>
          <t>ANDREZA ANDRADE</t>
        </is>
      </c>
      <c r="R2083" s="59" t="inlineStr">
        <is>
          <t>DESPESAS OPERACIONAIS</t>
        </is>
      </c>
      <c r="S2083" s="59" t="n">
        <v>4210210</v>
      </c>
      <c r="T2083" s="59" t="inlineStr">
        <is>
          <t>SEGUROS</t>
        </is>
      </c>
      <c r="U2083" s="77" t="n">
        <v>709.67</v>
      </c>
      <c r="W2083" s="59" t="n">
        <v>0</v>
      </c>
      <c r="X2083" s="59" t="inlineStr">
        <is>
          <t xml:space="preserve">mensalidade de seguro santander 1velho 02/12 </t>
        </is>
      </c>
      <c r="Z2083" s="59">
        <f>IF($T2083="","",IFERROR(INDEX('Resumo Grupos'!$AC$3:$AC$200,MATCH($T2083,'Resumo Grupos'!$AB$3:$AB$200,0)),"n/d"))</f>
        <v/>
      </c>
      <c r="AA2083" s="59">
        <f>IF($T2083="","",IF(COUNTIF('Resumo Grupos'!$AE$3:$AE$40,$T2083)&gt;0,"NAO","SIM"))</f>
        <v/>
      </c>
    </row>
    <row r="2084" ht="12.75" customHeight="1" s="60">
      <c r="A2084" s="59" t="n">
        <v>1</v>
      </c>
      <c r="B2084" s="75" t="n">
        <v>46251</v>
      </c>
      <c r="C2084" s="75" t="n">
        <v>46251</v>
      </c>
      <c r="D2084" s="59" t="n">
        <v>515</v>
      </c>
      <c r="E2084" s="59" t="inlineStr">
        <is>
          <t>ITAU SA</t>
        </is>
      </c>
      <c r="F2084" s="59" t="n">
        <v>34</v>
      </c>
      <c r="G2084" s="59" t="inlineStr">
        <is>
          <t>Transferencia Pix</t>
        </is>
      </c>
      <c r="H2084" s="59" t="n">
        <v>2110405</v>
      </c>
      <c r="I2084" s="59" t="inlineStr">
        <is>
          <t>CONTAS A PAGAR</t>
        </is>
      </c>
      <c r="J2084" s="59" t="n">
        <v>1562169</v>
      </c>
      <c r="L2084" s="59" t="n">
        <v>638899</v>
      </c>
      <c r="M2084" s="59" t="inlineStr">
        <is>
          <t>01</t>
        </is>
      </c>
      <c r="N2084" s="59" t="inlineStr">
        <is>
          <t>AVU</t>
        </is>
      </c>
      <c r="P2084" s="59" t="n">
        <v>102</v>
      </c>
      <c r="Q2084" s="59" t="inlineStr">
        <is>
          <t>ANDREZA ANDRADE</t>
        </is>
      </c>
      <c r="R2084" s="59" t="inlineStr">
        <is>
          <t>DESPESAS NAO OPERACIONAIS</t>
        </is>
      </c>
      <c r="S2084" s="59" t="n">
        <v>4220199</v>
      </c>
      <c r="T2084" s="59" t="inlineStr">
        <is>
          <t>PAGAMENTOS OUTROS NAO OPERACIONAIS</t>
        </is>
      </c>
      <c r="U2084" s="77" t="n">
        <v>700</v>
      </c>
      <c r="W2084" s="59" t="n">
        <v>700</v>
      </c>
      <c r="X2084" s="59" t="inlineStr">
        <is>
          <t>cobertura bco santander 1 velho-andreza</t>
        </is>
      </c>
      <c r="Z2084" s="59">
        <f>IF($T2084="","",IFERROR(INDEX('Resumo Grupos'!$AC$3:$AC$200,MATCH($T2084,'Resumo Grupos'!$AB$3:$AB$200,0)),"n/d"))</f>
        <v/>
      </c>
      <c r="AA2084" s="59">
        <f>IF($T2084="","",IF(COUNTIF('Resumo Grupos'!$AE$3:$AE$40,$T2084)&gt;0,"NAO","SIM"))</f>
        <v/>
      </c>
    </row>
    <row r="2085" ht="12.75" customHeight="1" s="60">
      <c r="A2085" s="59" t="n">
        <v>1</v>
      </c>
      <c r="B2085" s="75" t="n">
        <v>46251</v>
      </c>
      <c r="C2085" s="75" t="n">
        <v>46251</v>
      </c>
      <c r="D2085" s="59" t="n">
        <v>17</v>
      </c>
      <c r="E2085" s="59" t="inlineStr">
        <is>
          <t>NEYLIANE SILVA DE OLIVEIRA</t>
        </is>
      </c>
      <c r="F2085" s="59" t="n">
        <v>34</v>
      </c>
      <c r="G2085" s="59" t="inlineStr">
        <is>
          <t>Transferencia Pix</t>
        </is>
      </c>
      <c r="H2085" s="59" t="n">
        <v>2110405</v>
      </c>
      <c r="I2085" s="59" t="inlineStr">
        <is>
          <t>CONTAS A PAGAR</t>
        </is>
      </c>
      <c r="J2085" s="59" t="n">
        <v>1563284</v>
      </c>
      <c r="L2085" s="59" t="n">
        <v>639233</v>
      </c>
      <c r="M2085" s="59" t="inlineStr">
        <is>
          <t>01</t>
        </is>
      </c>
      <c r="N2085" s="59" t="inlineStr">
        <is>
          <t>AVU</t>
        </is>
      </c>
      <c r="P2085" s="59" t="n">
        <v>101</v>
      </c>
      <c r="Q2085" s="59" t="inlineStr">
        <is>
          <t>KEILA LIMA</t>
        </is>
      </c>
      <c r="R2085" s="59" t="inlineStr">
        <is>
          <t>DESPESAS NAO OPERACIONAIS</t>
        </is>
      </c>
      <c r="S2085" s="59" t="n">
        <v>4220199</v>
      </c>
      <c r="T2085" s="59" t="inlineStr">
        <is>
          <t>PAGAMENTOS OUTROS NAO OPERACIONAIS</t>
        </is>
      </c>
      <c r="U2085" s="77" t="n">
        <v>10000</v>
      </c>
      <c r="W2085" s="59" t="n">
        <v>10000</v>
      </c>
      <c r="X2085" s="59" t="inlineStr">
        <is>
          <t>PL NEILA - CARTAO - KEILA</t>
        </is>
      </c>
      <c r="Z2085" s="59">
        <f>IF($T2085="","",IFERROR(INDEX('Resumo Grupos'!$AC$3:$AC$200,MATCH($T2085,'Resumo Grupos'!$AB$3:$AB$200,0)),"n/d"))</f>
        <v/>
      </c>
      <c r="AA2085" s="59">
        <f>IF($T2085="","",IF(COUNTIF('Resumo Grupos'!$AE$3:$AE$40,$T2085)&gt;0,"NAO","SIM"))</f>
        <v/>
      </c>
    </row>
    <row r="2086" ht="12.75" customHeight="1" s="60">
      <c r="A2086" s="59" t="n">
        <v>1</v>
      </c>
      <c r="B2086" s="75" t="n">
        <v>46251</v>
      </c>
      <c r="C2086" s="75" t="n">
        <v>46251</v>
      </c>
      <c r="D2086" s="59" t="n">
        <v>10104</v>
      </c>
      <c r="E2086" s="59" t="inlineStr">
        <is>
          <t>BANCO DA AMAZONIA</t>
        </is>
      </c>
      <c r="F2086" s="59" t="n">
        <v>34</v>
      </c>
      <c r="G2086" s="59" t="inlineStr">
        <is>
          <t>Transferencia Pix</t>
        </is>
      </c>
      <c r="H2086" s="59" t="n">
        <v>2110405</v>
      </c>
      <c r="I2086" s="59" t="inlineStr">
        <is>
          <t>CONTAS A PAGAR</t>
        </is>
      </c>
      <c r="J2086" s="59" t="n">
        <v>1563382</v>
      </c>
      <c r="L2086" s="59" t="n">
        <v>639271</v>
      </c>
      <c r="M2086" s="59" t="inlineStr">
        <is>
          <t>01</t>
        </is>
      </c>
      <c r="N2086" s="59" t="inlineStr">
        <is>
          <t>AVU</t>
        </is>
      </c>
      <c r="P2086" s="59" t="n">
        <v>101</v>
      </c>
      <c r="Q2086" s="59" t="inlineStr">
        <is>
          <t>KEILA LIMA</t>
        </is>
      </c>
      <c r="R2086" s="59" t="inlineStr">
        <is>
          <t>DESPESAS NAO OPERACIONAIS</t>
        </is>
      </c>
      <c r="S2086" s="59" t="n">
        <v>4220199</v>
      </c>
      <c r="T2086" s="59" t="inlineStr">
        <is>
          <t>PAGAMENTOS OUTROS NAO OPERACIONAIS</t>
        </is>
      </c>
      <c r="U2086" s="77" t="n">
        <v>1000</v>
      </c>
      <c r="W2086" s="59" t="n">
        <v>1000</v>
      </c>
      <c r="X2086" s="59" t="inlineStr">
        <is>
          <t>COBERTURA DE CONTA - BASA MO1 - KEILA</t>
        </is>
      </c>
      <c r="Z2086" s="59">
        <f>IF($T2086="","",IFERROR(INDEX('Resumo Grupos'!$AC$3:$AC$200,MATCH($T2086,'Resumo Grupos'!$AB$3:$AB$200,0)),"n/d"))</f>
        <v/>
      </c>
      <c r="AA2086" s="59">
        <f>IF($T2086="","",IF(COUNTIF('Resumo Grupos'!$AE$3:$AE$40,$T2086)&gt;0,"NAO","SIM"))</f>
        <v/>
      </c>
    </row>
    <row r="2087" ht="12.75" customHeight="1" s="60">
      <c r="A2087" s="59" t="n">
        <v>1</v>
      </c>
      <c r="B2087" s="75" t="n">
        <v>46251</v>
      </c>
      <c r="C2087" s="75" t="n">
        <v>46251</v>
      </c>
      <c r="D2087" s="59" t="n">
        <v>1936</v>
      </c>
      <c r="E2087" s="59" t="inlineStr">
        <is>
          <t>RV TECNOLOGIA E SISTEMAS S.A</t>
        </is>
      </c>
      <c r="F2087" s="59" t="n">
        <v>24</v>
      </c>
      <c r="G2087" s="59" t="inlineStr">
        <is>
          <t>Compra a Prazo - Boletos</t>
        </is>
      </c>
      <c r="H2087" s="59" t="n">
        <v>2110405</v>
      </c>
      <c r="I2087" s="59" t="inlineStr">
        <is>
          <t>CONTAS A PAGAR</t>
        </is>
      </c>
      <c r="J2087" s="59" t="n">
        <v>1567434</v>
      </c>
      <c r="L2087" s="59" t="n">
        <v>640743</v>
      </c>
      <c r="M2087" s="59" t="inlineStr">
        <is>
          <t>01</t>
        </is>
      </c>
      <c r="N2087" s="59" t="inlineStr">
        <is>
          <t>AVU</t>
        </is>
      </c>
      <c r="P2087" s="59" t="n">
        <v>102</v>
      </c>
      <c r="Q2087" s="59" t="inlineStr">
        <is>
          <t>ANDREZA ANDRADE</t>
        </is>
      </c>
      <c r="R2087" s="59" t="inlineStr">
        <is>
          <t>ESTOQUE DE MERCADORIAS</t>
        </is>
      </c>
      <c r="S2087" s="59" t="n">
        <v>1130101</v>
      </c>
      <c r="T2087" s="59" t="inlineStr">
        <is>
          <t>MERCADORIAS P/REVENDA</t>
        </is>
      </c>
      <c r="U2087" s="77" t="n">
        <v>1375.95</v>
      </c>
      <c r="W2087" s="59" t="n">
        <v>1375.95</v>
      </c>
      <c r="X2087" s="59" t="inlineStr">
        <is>
          <t>rv recarga celular -andreza</t>
        </is>
      </c>
      <c r="Z2087" s="59">
        <f>IF($T2087="","",IFERROR(INDEX('Resumo Grupos'!$AC$3:$AC$200,MATCH($T2087,'Resumo Grupos'!$AB$3:$AB$200,0)),"n/d"))</f>
        <v/>
      </c>
      <c r="AA2087" s="59">
        <f>IF($T2087="","",IF(COUNTIF('Resumo Grupos'!$AE$3:$AE$40,$T2087)&gt;0,"NAO","SIM"))</f>
        <v/>
      </c>
    </row>
    <row r="2088" ht="12.75" customHeight="1" s="60">
      <c r="A2088" s="59" t="n">
        <v>1</v>
      </c>
      <c r="B2088" s="75" t="n">
        <v>46251</v>
      </c>
      <c r="C2088" s="75" t="n">
        <v>46251</v>
      </c>
      <c r="D2088" s="59" t="n">
        <v>978</v>
      </c>
      <c r="E2088" s="59" t="inlineStr">
        <is>
          <t>GELO DANGELO FABRICACAO DE GELO LTDA</t>
        </is>
      </c>
      <c r="F2088" s="59" t="n">
        <v>13</v>
      </c>
      <c r="G2088" s="59" t="inlineStr">
        <is>
          <t>Compra a Vista</t>
        </is>
      </c>
      <c r="H2088" s="59" t="n">
        <v>2110101</v>
      </c>
      <c r="I2088" s="59" t="inlineStr">
        <is>
          <t>FORNECEDORES DE MERCADORIA</t>
        </is>
      </c>
      <c r="J2088" s="59" t="n">
        <v>1573209</v>
      </c>
      <c r="L2088" s="59" t="n">
        <v>491</v>
      </c>
      <c r="M2088" s="59" t="inlineStr">
        <is>
          <t>01</t>
        </is>
      </c>
      <c r="N2088" s="59" t="inlineStr">
        <is>
          <t>NFE</t>
        </is>
      </c>
      <c r="P2088" s="59" t="n">
        <v>104</v>
      </c>
      <c r="Q2088" s="59" t="inlineStr">
        <is>
          <t>DEBORA COSTA</t>
        </is>
      </c>
      <c r="R2088" s="59" t="inlineStr">
        <is>
          <t>ESTOQUE DE MERCADORIAS</t>
        </is>
      </c>
      <c r="S2088" s="59" t="n">
        <v>1130101</v>
      </c>
      <c r="T2088" s="59" t="inlineStr">
        <is>
          <t>MERCADORIAS P/REVENDA</t>
        </is>
      </c>
      <c r="U2088" s="77" t="n">
        <v>324.5</v>
      </c>
      <c r="W2088" s="59" t="n">
        <v>0</v>
      </c>
      <c r="X2088" s="59" t="inlineStr">
        <is>
          <t>NF 491 - DEBORA</t>
        </is>
      </c>
      <c r="Z2088" s="59">
        <f>IF($T2088="","",IFERROR(INDEX('Resumo Grupos'!$AC$3:$AC$200,MATCH($T2088,'Resumo Grupos'!$AB$3:$AB$200,0)),"n/d"))</f>
        <v/>
      </c>
      <c r="AA2088" s="59">
        <f>IF($T2088="","",IF(COUNTIF('Resumo Grupos'!$AE$3:$AE$40,$T2088)&gt;0,"NAO","SIM"))</f>
        <v/>
      </c>
    </row>
    <row r="2089" ht="12.75" customHeight="1" s="60">
      <c r="A2089" s="59" t="n">
        <v>1</v>
      </c>
      <c r="B2089" s="75" t="n">
        <v>46251</v>
      </c>
      <c r="C2089" s="75" t="n">
        <v>46251</v>
      </c>
      <c r="D2089" s="59" t="n">
        <v>10096</v>
      </c>
      <c r="E2089" s="59" t="inlineStr">
        <is>
          <t>H L M PADARIA E CONFEITARIA LTDA</t>
        </is>
      </c>
      <c r="F2089" s="59" t="n">
        <v>13</v>
      </c>
      <c r="G2089" s="59" t="inlineStr">
        <is>
          <t>Compra a Vista</t>
        </is>
      </c>
      <c r="H2089" s="59" t="n">
        <v>2110101</v>
      </c>
      <c r="I2089" s="59" t="inlineStr">
        <is>
          <t>FORNECEDORES DE MERCADORIA</t>
        </is>
      </c>
      <c r="J2089" s="59" t="n">
        <v>1573224</v>
      </c>
      <c r="L2089" s="59" t="n">
        <v>177</v>
      </c>
      <c r="M2089" s="59" t="inlineStr">
        <is>
          <t>01</t>
        </is>
      </c>
      <c r="N2089" s="59" t="inlineStr">
        <is>
          <t>NFE</t>
        </is>
      </c>
      <c r="P2089" s="59" t="n">
        <v>104</v>
      </c>
      <c r="Q2089" s="59" t="inlineStr">
        <is>
          <t>DEBORA COSTA</t>
        </is>
      </c>
      <c r="R2089" s="59" t="inlineStr">
        <is>
          <t>ESTOQUE DE MERCADORIAS</t>
        </is>
      </c>
      <c r="S2089" s="59" t="n">
        <v>1130101</v>
      </c>
      <c r="T2089" s="59" t="inlineStr">
        <is>
          <t>MERCADORIAS P/REVENDA</t>
        </is>
      </c>
      <c r="U2089" s="77" t="n">
        <v>240</v>
      </c>
      <c r="W2089" s="59" t="n">
        <v>0</v>
      </c>
      <c r="X2089" s="59" t="inlineStr">
        <is>
          <t>NF 177 - DEBORA</t>
        </is>
      </c>
      <c r="Z2089" s="59">
        <f>IF($T2089="","",IFERROR(INDEX('Resumo Grupos'!$AC$3:$AC$200,MATCH($T2089,'Resumo Grupos'!$AB$3:$AB$200,0)),"n/d"))</f>
        <v/>
      </c>
      <c r="AA2089" s="59">
        <f>IF($T2089="","",IF(COUNTIF('Resumo Grupos'!$AE$3:$AE$40,$T2089)&gt;0,"NAO","SIM"))</f>
        <v/>
      </c>
    </row>
    <row r="2090" ht="12.75" customHeight="1" s="60">
      <c r="A2090" s="59" t="n">
        <v>1</v>
      </c>
      <c r="B2090" s="75" t="n">
        <v>46191</v>
      </c>
      <c r="C2090" s="75" t="n">
        <v>46252</v>
      </c>
      <c r="D2090" s="59" t="n">
        <v>514</v>
      </c>
      <c r="E2090" s="59" t="inlineStr">
        <is>
          <t>SANTANDER SA</t>
        </is>
      </c>
      <c r="F2090" s="59" t="n">
        <v>34</v>
      </c>
      <c r="G2090" s="59" t="inlineStr">
        <is>
          <t>Transferencia Pix</t>
        </is>
      </c>
      <c r="H2090" s="59" t="n">
        <v>2110405</v>
      </c>
      <c r="I2090" s="59" t="inlineStr">
        <is>
          <t>CONTAS A PAGAR</t>
        </is>
      </c>
      <c r="J2090" s="59" t="n">
        <v>1309516</v>
      </c>
      <c r="L2090" s="59" t="n">
        <v>541968</v>
      </c>
      <c r="M2090" s="59" t="inlineStr">
        <is>
          <t>03</t>
        </is>
      </c>
      <c r="N2090" s="59" t="inlineStr">
        <is>
          <t>AVU</t>
        </is>
      </c>
      <c r="P2090" s="59" t="n">
        <v>101</v>
      </c>
      <c r="Q2090" s="59" t="inlineStr">
        <is>
          <t>KEILA LIMA</t>
        </is>
      </c>
      <c r="R2090" s="59" t="inlineStr">
        <is>
          <t>EMPRESTIMOS BANCARIOS</t>
        </is>
      </c>
      <c r="S2090" s="59" t="n">
        <v>2110901</v>
      </c>
      <c r="T2090" s="59" t="inlineStr">
        <is>
          <t>EMPRESTIMOS BANCARIOS A PAGAR</t>
        </is>
      </c>
      <c r="U2090" s="77" t="n">
        <v>3370.37</v>
      </c>
      <c r="W2090" s="59" t="n">
        <v>3370.37</v>
      </c>
      <c r="X2090" s="59" t="inlineStr">
        <is>
          <t>EMPRESTIMO AYMORE ENERGIA SOLAR SANT 1 VELHO - KE</t>
        </is>
      </c>
      <c r="Z2090" s="59">
        <f>IF($T2090="","",IFERROR(INDEX('Resumo Grupos'!$AC$3:$AC$200,MATCH($T2090,'Resumo Grupos'!$AB$3:$AB$200,0)),"n/d"))</f>
        <v/>
      </c>
      <c r="AA2090" s="59">
        <f>IF($T2090="","",IF(COUNTIF('Resumo Grupos'!$AE$3:$AE$40,$T2090)&gt;0,"NAO","SIM"))</f>
        <v/>
      </c>
    </row>
    <row r="2091" ht="12.75" customHeight="1" s="60">
      <c r="A2091" s="59" t="n">
        <v>1</v>
      </c>
      <c r="B2091" s="75" t="n">
        <v>46206</v>
      </c>
      <c r="C2091" s="75" t="n">
        <v>46252</v>
      </c>
      <c r="D2091" s="59" t="n">
        <v>804</v>
      </c>
      <c r="E2091" s="59" t="inlineStr">
        <is>
          <t>PIMENTEL SOCIEDADE INDIVIDUAL DE ADVOGAC</t>
        </is>
      </c>
      <c r="F2091" s="59" t="n">
        <v>34</v>
      </c>
      <c r="G2091" s="59" t="inlineStr">
        <is>
          <t>Transferencia Pix</t>
        </is>
      </c>
      <c r="H2091" s="59" t="n">
        <v>1110202</v>
      </c>
      <c r="I2091" s="59" t="inlineStr">
        <is>
          <t>BANCO ITAU Lj 01</t>
        </is>
      </c>
      <c r="J2091" s="59" t="n">
        <v>1345479</v>
      </c>
      <c r="L2091" s="59" t="n">
        <v>555726</v>
      </c>
      <c r="M2091" s="59" t="inlineStr">
        <is>
          <t>02</t>
        </is>
      </c>
      <c r="N2091" s="59" t="inlineStr">
        <is>
          <t>AVU</t>
        </is>
      </c>
      <c r="P2091" s="59" t="n">
        <v>101</v>
      </c>
      <c r="Q2091" s="59" t="inlineStr">
        <is>
          <t>KEILA LIMA</t>
        </is>
      </c>
      <c r="R2091" s="59" t="inlineStr">
        <is>
          <t>DESPESAS OPERACIONAIS</t>
        </is>
      </c>
      <c r="S2091" s="59" t="n">
        <v>4210203</v>
      </c>
      <c r="T2091" s="59" t="inlineStr">
        <is>
          <t>HONORARIOS JURIDICOS</t>
        </is>
      </c>
      <c r="U2091" s="77" t="n">
        <v>764.4299999999999</v>
      </c>
      <c r="W2091" s="59" t="n">
        <v>0</v>
      </c>
      <c r="X2091" s="59" t="inlineStr">
        <is>
          <t>MENSALIDADE ADVOGADO MO1 MES - KEILA</t>
        </is>
      </c>
      <c r="Z2091" s="59">
        <f>IF($T2091="","",IFERROR(INDEX('Resumo Grupos'!$AC$3:$AC$200,MATCH($T2091,'Resumo Grupos'!$AB$3:$AB$200,0)),"n/d"))</f>
        <v/>
      </c>
      <c r="AA2091" s="59">
        <f>IF($T2091="","",IF(COUNTIF('Resumo Grupos'!$AE$3:$AE$40,$T2091)&gt;0,"NAO","SIM"))</f>
        <v/>
      </c>
    </row>
    <row r="2092" ht="12.75" customHeight="1" s="60">
      <c r="A2092" s="59" t="n">
        <v>1</v>
      </c>
      <c r="B2092" s="75" t="n">
        <v>46206</v>
      </c>
      <c r="C2092" s="75" t="n">
        <v>46252</v>
      </c>
      <c r="D2092" s="59" t="n">
        <v>804</v>
      </c>
      <c r="E2092" s="59" t="inlineStr">
        <is>
          <t>PIMENTEL SOCIEDADE INDIVIDUAL DE ADVOGAC</t>
        </is>
      </c>
      <c r="F2092" s="59" t="n">
        <v>34</v>
      </c>
      <c r="G2092" s="59" t="inlineStr">
        <is>
          <t>Transferencia Pix</t>
        </is>
      </c>
      <c r="H2092" s="59" t="n">
        <v>1110202</v>
      </c>
      <c r="I2092" s="59" t="inlineStr">
        <is>
          <t>BANCO ITAU Lj 01</t>
        </is>
      </c>
      <c r="J2092" s="59" t="n">
        <v>1345494</v>
      </c>
      <c r="L2092" s="59" t="n">
        <v>555731</v>
      </c>
      <c r="M2092" s="59" t="inlineStr">
        <is>
          <t>02</t>
        </is>
      </c>
      <c r="N2092" s="59" t="inlineStr">
        <is>
          <t>AVU</t>
        </is>
      </c>
      <c r="P2092" s="59" t="n">
        <v>101</v>
      </c>
      <c r="Q2092" s="59" t="inlineStr">
        <is>
          <t>KEILA LIMA</t>
        </is>
      </c>
      <c r="R2092" s="59" t="inlineStr">
        <is>
          <t>DESPESAS NAO OPERACIONAIS</t>
        </is>
      </c>
      <c r="S2092" s="59" t="n">
        <v>4220199</v>
      </c>
      <c r="T2092" s="59" t="inlineStr">
        <is>
          <t>PAGAMENTOS OUTROS NAO OPERACIONAIS</t>
        </is>
      </c>
      <c r="U2092" s="77" t="n">
        <v>1621</v>
      </c>
      <c r="W2092" s="59" t="n">
        <v>1621</v>
      </c>
      <c r="X2092" s="59" t="inlineStr">
        <is>
          <t>MENSALIDADE ADVOGADO LOJAS RATEIO  DO MES - KEILA</t>
        </is>
      </c>
      <c r="Z2092" s="59">
        <f>IF($T2092="","",IFERROR(INDEX('Resumo Grupos'!$AC$3:$AC$200,MATCH($T2092,'Resumo Grupos'!$AB$3:$AB$200,0)),"n/d"))</f>
        <v/>
      </c>
      <c r="AA2092" s="59">
        <f>IF($T2092="","",IF(COUNTIF('Resumo Grupos'!$AE$3:$AE$40,$T2092)&gt;0,"NAO","SIM"))</f>
        <v/>
      </c>
    </row>
    <row r="2093" ht="12.75" customHeight="1" s="60">
      <c r="A2093" s="59" t="n">
        <v>1</v>
      </c>
      <c r="B2093" s="75" t="n">
        <v>46216</v>
      </c>
      <c r="C2093" s="75" t="n">
        <v>46252</v>
      </c>
      <c r="D2093" s="59" t="n">
        <v>1624</v>
      </c>
      <c r="E2093" s="59" t="inlineStr">
        <is>
          <t>RISADINHA LTDA</t>
        </is>
      </c>
      <c r="F2093" s="59" t="n">
        <v>24</v>
      </c>
      <c r="G2093" s="59" t="inlineStr">
        <is>
          <t>Compra a Prazo - Boletos</t>
        </is>
      </c>
      <c r="H2093" s="59" t="n">
        <v>2110405</v>
      </c>
      <c r="I2093" s="59" t="inlineStr">
        <is>
          <t>CONTAS A PAGAR</t>
        </is>
      </c>
      <c r="J2093" s="59" t="n">
        <v>1393007</v>
      </c>
      <c r="L2093" s="59" t="n">
        <v>662479</v>
      </c>
      <c r="M2093" s="59" t="inlineStr">
        <is>
          <t>03</t>
        </is>
      </c>
      <c r="N2093" s="59" t="inlineStr">
        <is>
          <t>AVU</t>
        </is>
      </c>
      <c r="P2093" s="59" t="n">
        <v>103</v>
      </c>
      <c r="Q2093" s="59" t="inlineStr">
        <is>
          <t>MILKA FRANCIS</t>
        </is>
      </c>
      <c r="R2093" s="59" t="inlineStr">
        <is>
          <t>ESTOQUE DE MERCADORIAS</t>
        </is>
      </c>
      <c r="S2093" s="59" t="n">
        <v>1130101</v>
      </c>
      <c r="T2093" s="59" t="inlineStr">
        <is>
          <t>MERCADORIAS P/REVENDA</t>
        </is>
      </c>
      <c r="U2093" s="77" t="n">
        <v>823.62</v>
      </c>
      <c r="W2093" s="59" t="n">
        <v>823.62</v>
      </c>
      <c r="X2093" s="59" t="inlineStr">
        <is>
          <t>NF 662479-03 MILKA</t>
        </is>
      </c>
      <c r="Z2093" s="59">
        <f>IF($T2093="","",IFERROR(INDEX('Resumo Grupos'!$AC$3:$AC$200,MATCH($T2093,'Resumo Grupos'!$AB$3:$AB$200,0)),"n/d"))</f>
        <v/>
      </c>
      <c r="AA2093" s="59">
        <f>IF($T2093="","",IF(COUNTIF('Resumo Grupos'!$AE$3:$AE$40,$T2093)&gt;0,"NAO","SIM"))</f>
        <v/>
      </c>
    </row>
    <row r="2094" ht="12.75" customHeight="1" s="60">
      <c r="A2094" s="59" t="n">
        <v>1</v>
      </c>
      <c r="B2094" s="75" t="n">
        <v>46219</v>
      </c>
      <c r="C2094" s="75" t="n">
        <v>46252</v>
      </c>
      <c r="D2094" s="59" t="n">
        <v>1637</v>
      </c>
      <c r="E2094" s="59" t="inlineStr">
        <is>
          <t>ATACADAO S.A.</t>
        </is>
      </c>
      <c r="F2094" s="59" t="n">
        <v>24</v>
      </c>
      <c r="G2094" s="59" t="inlineStr">
        <is>
          <t>Compra a Prazo - Boletos</t>
        </is>
      </c>
      <c r="H2094" s="59" t="n">
        <v>1110202</v>
      </c>
      <c r="I2094" s="59" t="inlineStr">
        <is>
          <t>BANCO ITAU Lj 01</t>
        </is>
      </c>
      <c r="J2094" s="59" t="n">
        <v>1406521</v>
      </c>
      <c r="L2094" s="59" t="n">
        <v>1905836</v>
      </c>
      <c r="M2094" s="59" t="inlineStr">
        <is>
          <t>01</t>
        </is>
      </c>
      <c r="N2094" s="59" t="inlineStr">
        <is>
          <t>AVU</t>
        </is>
      </c>
      <c r="P2094" s="59" t="n">
        <v>103</v>
      </c>
      <c r="Q2094" s="59" t="inlineStr">
        <is>
          <t>MILKA FRANCIS</t>
        </is>
      </c>
      <c r="R2094" s="59" t="inlineStr">
        <is>
          <t>ESTOQUE DE MERCADORIAS</t>
        </is>
      </c>
      <c r="S2094" s="59" t="n">
        <v>1130101</v>
      </c>
      <c r="T2094" s="59" t="inlineStr">
        <is>
          <t>MERCADORIAS P/REVENDA</t>
        </is>
      </c>
      <c r="U2094" s="77" t="n">
        <v>479.64</v>
      </c>
      <c r="W2094" s="59" t="n">
        <v>479.64</v>
      </c>
      <c r="X2094" s="59" t="inlineStr">
        <is>
          <t>NF 1905836 - MILKA</t>
        </is>
      </c>
      <c r="Z2094" s="59">
        <f>IF($T2094="","",IFERROR(INDEX('Resumo Grupos'!$AC$3:$AC$200,MATCH($T2094,'Resumo Grupos'!$AB$3:$AB$200,0)),"n/d"))</f>
        <v/>
      </c>
      <c r="AA2094" s="59">
        <f>IF($T2094="","",IF(COUNTIF('Resumo Grupos'!$AE$3:$AE$40,$T2094)&gt;0,"NAO","SIM"))</f>
        <v/>
      </c>
    </row>
    <row r="2095" ht="12.75" customHeight="1" s="60">
      <c r="A2095" s="59" t="n">
        <v>1</v>
      </c>
      <c r="B2095" s="75" t="n">
        <v>46223</v>
      </c>
      <c r="C2095" s="75" t="n">
        <v>46252</v>
      </c>
      <c r="D2095" s="59" t="n">
        <v>1671</v>
      </c>
      <c r="E2095" s="59" t="inlineStr">
        <is>
          <t>TAPAJOS COM DE PERFUMARIA COSMETICOS E G</t>
        </is>
      </c>
      <c r="F2095" s="59" t="n">
        <v>24</v>
      </c>
      <c r="G2095" s="59" t="inlineStr">
        <is>
          <t>Compra a Prazo - Boletos</t>
        </is>
      </c>
      <c r="H2095" s="59" t="n">
        <v>2110405</v>
      </c>
      <c r="I2095" s="59" t="inlineStr">
        <is>
          <t>CONTAS A PAGAR</t>
        </is>
      </c>
      <c r="J2095" s="59" t="n">
        <v>1424628</v>
      </c>
      <c r="L2095" s="59" t="n">
        <v>581015</v>
      </c>
      <c r="M2095" s="59" t="inlineStr">
        <is>
          <t>02</t>
        </is>
      </c>
      <c r="N2095" s="59" t="inlineStr">
        <is>
          <t>AVU</t>
        </is>
      </c>
      <c r="P2095" s="59" t="n">
        <v>103</v>
      </c>
      <c r="Q2095" s="59" t="inlineStr">
        <is>
          <t>MILKA FRANCIS</t>
        </is>
      </c>
      <c r="R2095" s="59" t="inlineStr">
        <is>
          <t>ESTOQUE DE MERCADORIAS</t>
        </is>
      </c>
      <c r="S2095" s="59" t="n">
        <v>1130101</v>
      </c>
      <c r="T2095" s="59" t="inlineStr">
        <is>
          <t>MERCADORIAS P/REVENDA</t>
        </is>
      </c>
      <c r="U2095" s="77" t="n">
        <v>614.72</v>
      </c>
      <c r="W2095" s="59" t="n">
        <v>614.72</v>
      </c>
      <c r="X2095" s="59" t="inlineStr">
        <is>
          <t>NF 581015 -2 C/TAXA - MILKA</t>
        </is>
      </c>
      <c r="Z2095" s="59">
        <f>IF($T2095="","",IFERROR(INDEX('Resumo Grupos'!$AC$3:$AC$200,MATCH($T2095,'Resumo Grupos'!$AB$3:$AB$200,0)),"n/d"))</f>
        <v/>
      </c>
      <c r="AA2095" s="59">
        <f>IF($T2095="","",IF(COUNTIF('Resumo Grupos'!$AE$3:$AE$40,$T2095)&gt;0,"NAO","SIM"))</f>
        <v/>
      </c>
    </row>
    <row r="2096" ht="12.75" customHeight="1" s="60">
      <c r="A2096" s="59" t="n">
        <v>1</v>
      </c>
      <c r="B2096" s="75" t="n">
        <v>46225</v>
      </c>
      <c r="C2096" s="75" t="n">
        <v>46252</v>
      </c>
      <c r="D2096" s="59" t="n">
        <v>1671</v>
      </c>
      <c r="E2096" s="59" t="inlineStr">
        <is>
          <t>TAPAJOS COM DE PERFUMARIA COSMETICOS E G</t>
        </is>
      </c>
      <c r="F2096" s="59" t="n">
        <v>24</v>
      </c>
      <c r="G2096" s="59" t="inlineStr">
        <is>
          <t>Compra a Prazo - Boletos</t>
        </is>
      </c>
      <c r="H2096" s="59" t="n">
        <v>2110405</v>
      </c>
      <c r="I2096" s="59" t="inlineStr">
        <is>
          <t>CONTAS A PAGAR</t>
        </is>
      </c>
      <c r="J2096" s="59" t="n">
        <v>1433691</v>
      </c>
      <c r="L2096" s="59" t="n">
        <v>581016</v>
      </c>
      <c r="M2096" s="59" t="inlineStr">
        <is>
          <t>02</t>
        </is>
      </c>
      <c r="N2096" s="59" t="inlineStr">
        <is>
          <t>AVU</t>
        </is>
      </c>
      <c r="P2096" s="59" t="n">
        <v>103</v>
      </c>
      <c r="Q2096" s="59" t="inlineStr">
        <is>
          <t>MILKA FRANCIS</t>
        </is>
      </c>
      <c r="R2096" s="59" t="inlineStr">
        <is>
          <t>ESTOQUE DE MERCADORIAS</t>
        </is>
      </c>
      <c r="S2096" s="59" t="n">
        <v>1130101</v>
      </c>
      <c r="T2096" s="59" t="inlineStr">
        <is>
          <t>MERCADORIAS P/REVENDA</t>
        </is>
      </c>
      <c r="U2096" s="77" t="n">
        <v>623.0700000000001</v>
      </c>
      <c r="W2096" s="59" t="n">
        <v>623.0700000000001</v>
      </c>
      <c r="X2096" s="59" t="inlineStr">
        <is>
          <t>NF 581016-2 C/ TAXA - MILKA</t>
        </is>
      </c>
      <c r="Z2096" s="59">
        <f>IF($T2096="","",IFERROR(INDEX('Resumo Grupos'!$AC$3:$AC$200,MATCH($T2096,'Resumo Grupos'!$AB$3:$AB$200,0)),"n/d"))</f>
        <v/>
      </c>
      <c r="AA2096" s="59">
        <f>IF($T2096="","",IF(COUNTIF('Resumo Grupos'!$AE$3:$AE$40,$T2096)&gt;0,"NAO","SIM"))</f>
        <v/>
      </c>
    </row>
    <row r="2097" ht="12.75" customHeight="1" s="60">
      <c r="A2097" s="59" t="n">
        <v>1</v>
      </c>
      <c r="B2097" s="75" t="n">
        <v>46226</v>
      </c>
      <c r="C2097" s="75" t="n">
        <v>46252</v>
      </c>
      <c r="D2097" s="59" t="n">
        <v>1078</v>
      </c>
      <c r="E2097" s="59" t="inlineStr">
        <is>
          <t>NATUREZA COMERCIO DE DESCARTAVEIS LTDA</t>
        </is>
      </c>
      <c r="F2097" s="59" t="n">
        <v>24</v>
      </c>
      <c r="G2097" s="59" t="inlineStr">
        <is>
          <t>Compra a Prazo - Boletos</t>
        </is>
      </c>
      <c r="H2097" s="59" t="n">
        <v>1110202</v>
      </c>
      <c r="I2097" s="59" t="inlineStr">
        <is>
          <t>BANCO ITAU Lj 01</t>
        </is>
      </c>
      <c r="J2097" s="59" t="n">
        <v>1439355</v>
      </c>
      <c r="L2097" s="59" t="n">
        <v>29536</v>
      </c>
      <c r="M2097" s="59" t="inlineStr">
        <is>
          <t>01</t>
        </is>
      </c>
      <c r="N2097" s="59" t="inlineStr">
        <is>
          <t>AVU</t>
        </is>
      </c>
      <c r="P2097" s="59" t="n">
        <v>103</v>
      </c>
      <c r="Q2097" s="59" t="inlineStr">
        <is>
          <t>MILKA FRANCIS</t>
        </is>
      </c>
      <c r="R2097" s="59" t="inlineStr">
        <is>
          <t>ESTOQUE DE MERCADORIAS</t>
        </is>
      </c>
      <c r="S2097" s="59" t="n">
        <v>1130101</v>
      </c>
      <c r="T2097" s="59" t="inlineStr">
        <is>
          <t>MERCADORIAS P/REVENDA</t>
        </is>
      </c>
      <c r="U2097" s="77" t="n">
        <v>425.94</v>
      </c>
      <c r="W2097" s="59" t="n">
        <v>425.94</v>
      </c>
      <c r="X2097" s="59" t="inlineStr">
        <is>
          <t>NF 29536 QUEIROZ - MILKA</t>
        </is>
      </c>
      <c r="Z2097" s="59">
        <f>IF($T2097="","",IFERROR(INDEX('Resumo Grupos'!$AC$3:$AC$200,MATCH($T2097,'Resumo Grupos'!$AB$3:$AB$200,0)),"n/d"))</f>
        <v/>
      </c>
      <c r="AA2097" s="59">
        <f>IF($T2097="","",IF(COUNTIF('Resumo Grupos'!$AE$3:$AE$40,$T2097)&gt;0,"NAO","SIM"))</f>
        <v/>
      </c>
    </row>
    <row r="2098" ht="12.75" customHeight="1" s="60">
      <c r="A2098" s="59" t="n">
        <v>1</v>
      </c>
      <c r="B2098" s="75" t="n">
        <v>46226</v>
      </c>
      <c r="C2098" s="75" t="n">
        <v>46252</v>
      </c>
      <c r="D2098" s="59" t="n">
        <v>1608</v>
      </c>
      <c r="E2098" s="59" t="inlineStr">
        <is>
          <t>DISTRIBUIDORA LOPES LTDA</t>
        </is>
      </c>
      <c r="F2098" s="59" t="n">
        <v>24</v>
      </c>
      <c r="G2098" s="59" t="inlineStr">
        <is>
          <t>Compra a Prazo - Boletos</t>
        </is>
      </c>
      <c r="H2098" s="59" t="n">
        <v>1110202</v>
      </c>
      <c r="I2098" s="59" t="inlineStr">
        <is>
          <t>BANCO ITAU Lj 01</t>
        </is>
      </c>
      <c r="J2098" s="59" t="n">
        <v>1439646</v>
      </c>
      <c r="L2098" s="59" t="n">
        <v>592474</v>
      </c>
      <c r="M2098" s="59" t="inlineStr">
        <is>
          <t>01</t>
        </is>
      </c>
      <c r="N2098" s="59" t="inlineStr">
        <is>
          <t>AVU</t>
        </is>
      </c>
      <c r="P2098" s="59" t="n">
        <v>104</v>
      </c>
      <c r="Q2098" s="59" t="inlineStr">
        <is>
          <t>DEBORA COSTA</t>
        </is>
      </c>
      <c r="R2098" s="59" t="inlineStr">
        <is>
          <t>ESTOQUE DE MERCADORIAS</t>
        </is>
      </c>
      <c r="S2098" s="59" t="n">
        <v>1130101</v>
      </c>
      <c r="T2098" s="59" t="inlineStr">
        <is>
          <t>MERCADORIAS P/REVENDA</t>
        </is>
      </c>
      <c r="U2098" s="77" t="n">
        <v>1610.06</v>
      </c>
      <c r="W2098" s="59" t="n">
        <v>1610.06</v>
      </c>
      <c r="X2098" s="59" t="inlineStr">
        <is>
          <t>NF 1696209 C/ DESCONTO NO BOLETO  - MILKA</t>
        </is>
      </c>
      <c r="Z2098" s="59">
        <f>IF($T2098="","",IFERROR(INDEX('Resumo Grupos'!$AC$3:$AC$200,MATCH($T2098,'Resumo Grupos'!$AB$3:$AB$200,0)),"n/d"))</f>
        <v/>
      </c>
      <c r="AA2098" s="59">
        <f>IF($T2098="","",IF(COUNTIF('Resumo Grupos'!$AE$3:$AE$40,$T2098)&gt;0,"NAO","SIM"))</f>
        <v/>
      </c>
    </row>
    <row r="2099" ht="12.75" customHeight="1" s="60">
      <c r="A2099" s="59" t="n">
        <v>1</v>
      </c>
      <c r="B2099" s="75" t="n">
        <v>46226</v>
      </c>
      <c r="C2099" s="75" t="n">
        <v>46252</v>
      </c>
      <c r="D2099" s="59" t="n">
        <v>1668</v>
      </c>
      <c r="E2099" s="59" t="inlineStr">
        <is>
          <t>NATUREZA COMERCIO DE DESCARTAVEIS LTDA</t>
        </is>
      </c>
      <c r="F2099" s="59" t="n">
        <v>24</v>
      </c>
      <c r="G2099" s="59" t="inlineStr">
        <is>
          <t>Compra a Prazo - Boletos</t>
        </is>
      </c>
      <c r="H2099" s="59" t="n">
        <v>1110202</v>
      </c>
      <c r="I2099" s="59" t="inlineStr">
        <is>
          <t>BANCO ITAU Lj 01</t>
        </is>
      </c>
      <c r="J2099" s="59" t="n">
        <v>1440125</v>
      </c>
      <c r="L2099" s="59" t="n">
        <v>740923</v>
      </c>
      <c r="M2099" s="59" t="inlineStr">
        <is>
          <t>01</t>
        </is>
      </c>
      <c r="N2099" s="59" t="inlineStr">
        <is>
          <t>AVU</t>
        </is>
      </c>
      <c r="P2099" s="59" t="n">
        <v>103</v>
      </c>
      <c r="Q2099" s="59" t="inlineStr">
        <is>
          <t>MILKA FRANCIS</t>
        </is>
      </c>
      <c r="R2099" s="59" t="inlineStr">
        <is>
          <t>ESTOQUE DE MERCADORIAS</t>
        </is>
      </c>
      <c r="S2099" s="59" t="n">
        <v>1130101</v>
      </c>
      <c r="T2099" s="59" t="inlineStr">
        <is>
          <t>MERCADORIAS P/REVENDA</t>
        </is>
      </c>
      <c r="U2099" s="77" t="n">
        <v>1437.93</v>
      </c>
      <c r="W2099" s="59" t="n">
        <v>1437.93</v>
      </c>
      <c r="X2099" s="59" t="inlineStr">
        <is>
          <t>NF 740923 - MILKA</t>
        </is>
      </c>
      <c r="Z2099" s="59">
        <f>IF($T2099="","",IFERROR(INDEX('Resumo Grupos'!$AC$3:$AC$200,MATCH($T2099,'Resumo Grupos'!$AB$3:$AB$200,0)),"n/d"))</f>
        <v/>
      </c>
      <c r="AA2099" s="59">
        <f>IF($T2099="","",IF(COUNTIF('Resumo Grupos'!$AE$3:$AE$40,$T2099)&gt;0,"NAO","SIM"))</f>
        <v/>
      </c>
    </row>
    <row r="2100" ht="12.75" customHeight="1" s="60">
      <c r="A2100" s="59" t="n">
        <v>1</v>
      </c>
      <c r="B2100" s="75" t="n">
        <v>46232</v>
      </c>
      <c r="C2100" s="75" t="n">
        <v>46252</v>
      </c>
      <c r="D2100" s="59" t="n">
        <v>1636</v>
      </c>
      <c r="E2100" s="59" t="inlineStr">
        <is>
          <t>DUNORTE DISTRIBUIDORA DE PRODUTOS DE CONSUMO LTDA</t>
        </is>
      </c>
      <c r="F2100" s="59" t="n">
        <v>24</v>
      </c>
      <c r="G2100" s="59" t="inlineStr">
        <is>
          <t>Compra a Prazo - Boletos</t>
        </is>
      </c>
      <c r="H2100" s="59" t="n">
        <v>1110202</v>
      </c>
      <c r="I2100" s="59" t="inlineStr">
        <is>
          <t>BANCO ITAU Lj 01</t>
        </is>
      </c>
      <c r="J2100" s="59" t="n">
        <v>1469726</v>
      </c>
      <c r="L2100" s="59" t="n">
        <v>3226195</v>
      </c>
      <c r="M2100" s="59" t="inlineStr">
        <is>
          <t>01</t>
        </is>
      </c>
      <c r="N2100" s="59" t="inlineStr">
        <is>
          <t>AVU</t>
        </is>
      </c>
      <c r="P2100" s="59" t="n">
        <v>103</v>
      </c>
      <c r="Q2100" s="59" t="inlineStr">
        <is>
          <t>MILKA FRANCIS</t>
        </is>
      </c>
      <c r="R2100" s="59" t="inlineStr">
        <is>
          <t>ESTOQUE DE MERCADORIAS</t>
        </is>
      </c>
      <c r="S2100" s="59" t="n">
        <v>1130101</v>
      </c>
      <c r="T2100" s="59" t="inlineStr">
        <is>
          <t>MERCADORIAS P/REVENDA</t>
        </is>
      </c>
      <c r="U2100" s="77" t="n">
        <v>1399.98</v>
      </c>
      <c r="W2100" s="59" t="n">
        <v>1399.98</v>
      </c>
      <c r="X2100" s="59" t="inlineStr">
        <is>
          <t>NF 3226195 - MILKA</t>
        </is>
      </c>
      <c r="Z2100" s="59">
        <f>IF($T2100="","",IFERROR(INDEX('Resumo Grupos'!$AC$3:$AC$200,MATCH($T2100,'Resumo Grupos'!$AB$3:$AB$200,0)),"n/d"))</f>
        <v/>
      </c>
      <c r="AA2100" s="59">
        <f>IF($T2100="","",IF(COUNTIF('Resumo Grupos'!$AE$3:$AE$40,$T2100)&gt;0,"NAO","SIM"))</f>
        <v/>
      </c>
    </row>
    <row r="2101" ht="12.75" customHeight="1" s="60">
      <c r="A2101" s="59" t="n">
        <v>1</v>
      </c>
      <c r="B2101" s="75" t="n">
        <v>46232</v>
      </c>
      <c r="C2101" s="75" t="n">
        <v>46252</v>
      </c>
      <c r="D2101" s="59" t="n">
        <v>1402</v>
      </c>
      <c r="E2101" s="59" t="inlineStr">
        <is>
          <t>TRIPLASTIK COMERCIAL</t>
        </is>
      </c>
      <c r="F2101" s="59" t="n">
        <v>24</v>
      </c>
      <c r="G2101" s="59" t="inlineStr">
        <is>
          <t>Compra a Prazo - Boletos</t>
        </is>
      </c>
      <c r="H2101" s="59" t="n">
        <v>1110202</v>
      </c>
      <c r="I2101" s="59" t="inlineStr">
        <is>
          <t>BANCO ITAU Lj 01</t>
        </is>
      </c>
      <c r="J2101" s="59" t="n">
        <v>1470133</v>
      </c>
      <c r="L2101" s="59" t="n">
        <v>4014</v>
      </c>
      <c r="M2101" s="59" t="inlineStr">
        <is>
          <t>01</t>
        </is>
      </c>
      <c r="N2101" s="59" t="inlineStr">
        <is>
          <t>AVU</t>
        </is>
      </c>
      <c r="P2101" s="59" t="n">
        <v>103</v>
      </c>
      <c r="Q2101" s="59" t="inlineStr">
        <is>
          <t>MILKA FRANCIS</t>
        </is>
      </c>
      <c r="R2101" s="59" t="inlineStr">
        <is>
          <t>DESPESAS OPERACIONAIS</t>
        </is>
      </c>
      <c r="S2101" s="59" t="n">
        <v>4210299</v>
      </c>
      <c r="T2101" s="59" t="inlineStr">
        <is>
          <t>DESPESA DE VENDA</t>
        </is>
      </c>
      <c r="U2101" s="77" t="n">
        <v>1178.62</v>
      </c>
      <c r="W2101" s="59" t="n">
        <v>1178.62</v>
      </c>
      <c r="X2101" s="59" t="inlineStr">
        <is>
          <t>NF4014 USO E CONSUMO VENDA /BOBINA E SACOLA - MILKA</t>
        </is>
      </c>
      <c r="Z2101" s="59">
        <f>IF($T2101="","",IFERROR(INDEX('Resumo Grupos'!$AC$3:$AC$200,MATCH($T2101,'Resumo Grupos'!$AB$3:$AB$200,0)),"n/d"))</f>
        <v/>
      </c>
      <c r="AA2101" s="59">
        <f>IF($T2101="","",IF(COUNTIF('Resumo Grupos'!$AE$3:$AE$40,$T2101)&gt;0,"NAO","SIM"))</f>
        <v/>
      </c>
    </row>
    <row r="2102" ht="12.75" customHeight="1" s="60">
      <c r="A2102" s="59" t="n">
        <v>1</v>
      </c>
      <c r="B2102" s="75" t="n">
        <v>46237</v>
      </c>
      <c r="C2102" s="75" t="n">
        <v>46252</v>
      </c>
      <c r="D2102" s="59" t="n">
        <v>1705</v>
      </c>
      <c r="E2102" s="59" t="inlineStr">
        <is>
          <t>BRASIL NORTE BEBIDAS S/A</t>
        </is>
      </c>
      <c r="F2102" s="59" t="n">
        <v>24</v>
      </c>
      <c r="G2102" s="59" t="inlineStr">
        <is>
          <t>Compra a Prazo - Boletos</t>
        </is>
      </c>
      <c r="H2102" s="59" t="n">
        <v>1110202</v>
      </c>
      <c r="I2102" s="59" t="inlineStr">
        <is>
          <t>BANCO ITAU Lj 01</t>
        </is>
      </c>
      <c r="J2102" s="59" t="n">
        <v>1495590</v>
      </c>
      <c r="L2102" s="59" t="n">
        <v>1966628</v>
      </c>
      <c r="M2102" s="59" t="inlineStr">
        <is>
          <t>01</t>
        </is>
      </c>
      <c r="N2102" s="59" t="inlineStr">
        <is>
          <t>AVU</t>
        </is>
      </c>
      <c r="P2102" s="59" t="n">
        <v>103</v>
      </c>
      <c r="Q2102" s="59" t="inlineStr">
        <is>
          <t>MILKA FRANCIS</t>
        </is>
      </c>
      <c r="R2102" s="59" t="inlineStr">
        <is>
          <t>ESTOQUE DE MERCADORIAS</t>
        </is>
      </c>
      <c r="S2102" s="59" t="n">
        <v>1130101</v>
      </c>
      <c r="T2102" s="59" t="inlineStr">
        <is>
          <t>MERCADORIAS P/REVENDA</t>
        </is>
      </c>
      <c r="U2102" s="77" t="n">
        <v>4547.54</v>
      </c>
      <c r="W2102" s="59" t="n">
        <v>4547.54</v>
      </c>
      <c r="X2102" s="59" t="inlineStr">
        <is>
          <t>NF 1966628 COCA - MILKA</t>
        </is>
      </c>
      <c r="Z2102" s="59">
        <f>IF($T2102="","",IFERROR(INDEX('Resumo Grupos'!$AC$3:$AC$200,MATCH($T2102,'Resumo Grupos'!$AB$3:$AB$200,0)),"n/d"))</f>
        <v/>
      </c>
      <c r="AA2102" s="59">
        <f>IF($T2102="","",IF(COUNTIF('Resumo Grupos'!$AE$3:$AE$40,$T2102)&gt;0,"NAO","SIM"))</f>
        <v/>
      </c>
    </row>
    <row r="2103" ht="12.75" customHeight="1" s="60">
      <c r="A2103" s="59" t="n">
        <v>1</v>
      </c>
      <c r="B2103" s="75" t="n">
        <v>46237</v>
      </c>
      <c r="C2103" s="75" t="n">
        <v>46252</v>
      </c>
      <c r="D2103" s="59" t="n">
        <v>1705</v>
      </c>
      <c r="E2103" s="59" t="inlineStr">
        <is>
          <t>BRASIL NORTE BEBIDAS S/A</t>
        </is>
      </c>
      <c r="F2103" s="59" t="n">
        <v>24</v>
      </c>
      <c r="G2103" s="59" t="inlineStr">
        <is>
          <t>Compra a Prazo - Boletos</t>
        </is>
      </c>
      <c r="H2103" s="59" t="n">
        <v>1110202</v>
      </c>
      <c r="I2103" s="59" t="inlineStr">
        <is>
          <t>BANCO ITAU Lj 01</t>
        </is>
      </c>
      <c r="J2103" s="59" t="n">
        <v>1495603</v>
      </c>
      <c r="L2103" s="59" t="n">
        <v>1230481</v>
      </c>
      <c r="M2103" s="59" t="inlineStr">
        <is>
          <t>01</t>
        </is>
      </c>
      <c r="N2103" s="59" t="inlineStr">
        <is>
          <t>AVU</t>
        </is>
      </c>
      <c r="P2103" s="59" t="n">
        <v>103</v>
      </c>
      <c r="Q2103" s="59" t="inlineStr">
        <is>
          <t>MILKA FRANCIS</t>
        </is>
      </c>
      <c r="R2103" s="59" t="inlineStr">
        <is>
          <t>ESTOQUE DE MERCADORIAS</t>
        </is>
      </c>
      <c r="S2103" s="59" t="n">
        <v>1130101</v>
      </c>
      <c r="T2103" s="59" t="inlineStr">
        <is>
          <t>MERCADORIAS P/REVENDA</t>
        </is>
      </c>
      <c r="U2103" s="77" t="n">
        <v>1763.36</v>
      </c>
      <c r="W2103" s="59" t="n">
        <v>1763.36</v>
      </c>
      <c r="X2103" s="59" t="inlineStr">
        <is>
          <t>NF 1230481 COCA C/TARIFA INCLUSA - MILKA</t>
        </is>
      </c>
      <c r="Z2103" s="59">
        <f>IF($T2103="","",IFERROR(INDEX('Resumo Grupos'!$AC$3:$AC$200,MATCH($T2103,'Resumo Grupos'!$AB$3:$AB$200,0)),"n/d"))</f>
        <v/>
      </c>
      <c r="AA2103" s="59">
        <f>IF($T2103="","",IF(COUNTIF('Resumo Grupos'!$AE$3:$AE$40,$T2103)&gt;0,"NAO","SIM"))</f>
        <v/>
      </c>
    </row>
    <row r="2104" ht="12.75" customHeight="1" s="60">
      <c r="A2104" s="59" t="n">
        <v>1</v>
      </c>
      <c r="B2104" s="75" t="n">
        <v>46238</v>
      </c>
      <c r="C2104" s="75" t="n">
        <v>46252</v>
      </c>
      <c r="D2104" s="59" t="n">
        <v>1740</v>
      </c>
      <c r="E2104" s="59" t="inlineStr">
        <is>
          <t>OCIDENTAL COMERCIO DE FRIOS LTDA</t>
        </is>
      </c>
      <c r="F2104" s="59" t="n">
        <v>24</v>
      </c>
      <c r="G2104" s="59" t="inlineStr">
        <is>
          <t>Compra a Prazo - Boletos</t>
        </is>
      </c>
      <c r="H2104" s="59" t="n">
        <v>1110202</v>
      </c>
      <c r="I2104" s="59" t="inlineStr">
        <is>
          <t>BANCO ITAU Lj 01</t>
        </is>
      </c>
      <c r="J2104" s="59" t="n">
        <v>1500861</v>
      </c>
      <c r="L2104" s="59" t="n">
        <v>1254539</v>
      </c>
      <c r="M2104" s="59" t="inlineStr">
        <is>
          <t>01</t>
        </is>
      </c>
      <c r="N2104" s="59" t="inlineStr">
        <is>
          <t>AVU</t>
        </is>
      </c>
      <c r="P2104" s="59" t="n">
        <v>103</v>
      </c>
      <c r="Q2104" s="59" t="inlineStr">
        <is>
          <t>MILKA FRANCIS</t>
        </is>
      </c>
      <c r="R2104" s="59" t="inlineStr">
        <is>
          <t>ESTOQUE DE MERCADORIAS</t>
        </is>
      </c>
      <c r="S2104" s="59" t="n">
        <v>1130101</v>
      </c>
      <c r="T2104" s="59" t="inlineStr">
        <is>
          <t>MERCADORIAS P/REVENDA</t>
        </is>
      </c>
      <c r="U2104" s="77" t="n">
        <v>1343.02</v>
      </c>
      <c r="W2104" s="59" t="n">
        <v>1343.02</v>
      </c>
      <c r="X2104" s="59" t="inlineStr">
        <is>
          <t>NF 1254539-1/2 MILKA</t>
        </is>
      </c>
      <c r="Z2104" s="59">
        <f>IF($T2104="","",IFERROR(INDEX('Resumo Grupos'!$AC$3:$AC$200,MATCH($T2104,'Resumo Grupos'!$AB$3:$AB$200,0)),"n/d"))</f>
        <v/>
      </c>
      <c r="AA2104" s="59">
        <f>IF($T2104="","",IF(COUNTIF('Resumo Grupos'!$AE$3:$AE$40,$T2104)&gt;0,"NAO","SIM"))</f>
        <v/>
      </c>
    </row>
    <row r="2105" ht="12.75" customHeight="1" s="60">
      <c r="A2105" s="59" t="n">
        <v>1</v>
      </c>
      <c r="B2105" s="75" t="n">
        <v>46238</v>
      </c>
      <c r="C2105" s="75" t="n">
        <v>46252</v>
      </c>
      <c r="D2105" s="59" t="n">
        <v>1114</v>
      </c>
      <c r="E2105" s="59" t="inlineStr">
        <is>
          <t>NT INDUSTRIA E COMERCIO DE PANIFICACAO L</t>
        </is>
      </c>
      <c r="F2105" s="59" t="n">
        <v>24</v>
      </c>
      <c r="G2105" s="59" t="inlineStr">
        <is>
          <t>Compra a Prazo - Boletos</t>
        </is>
      </c>
      <c r="H2105" s="59" t="n">
        <v>1110202</v>
      </c>
      <c r="I2105" s="59" t="inlineStr">
        <is>
          <t>BANCO ITAU Lj 01</t>
        </is>
      </c>
      <c r="J2105" s="59" t="n">
        <v>1500914</v>
      </c>
      <c r="L2105" s="59" t="n">
        <v>42976</v>
      </c>
      <c r="M2105" s="59" t="inlineStr">
        <is>
          <t>01</t>
        </is>
      </c>
      <c r="N2105" s="59" t="inlineStr">
        <is>
          <t>AVU</t>
        </is>
      </c>
      <c r="P2105" s="59" t="n">
        <v>103</v>
      </c>
      <c r="Q2105" s="59" t="inlineStr">
        <is>
          <t>MILKA FRANCIS</t>
        </is>
      </c>
      <c r="R2105" s="59" t="inlineStr">
        <is>
          <t>ESTOQUE DE MERCADORIAS</t>
        </is>
      </c>
      <c r="S2105" s="59" t="n">
        <v>1130101</v>
      </c>
      <c r="T2105" s="59" t="inlineStr">
        <is>
          <t>MERCADORIAS P/REVENDA</t>
        </is>
      </c>
      <c r="U2105" s="77" t="n">
        <v>3136.93</v>
      </c>
      <c r="W2105" s="59" t="n">
        <v>3136.93</v>
      </c>
      <c r="X2105" s="59" t="inlineStr">
        <is>
          <t>NF 42976 - MILKA</t>
        </is>
      </c>
      <c r="Z2105" s="59">
        <f>IF($T2105="","",IFERROR(INDEX('Resumo Grupos'!$AC$3:$AC$200,MATCH($T2105,'Resumo Grupos'!$AB$3:$AB$200,0)),"n/d"))</f>
        <v/>
      </c>
      <c r="AA2105" s="59">
        <f>IF($T2105="","",IF(COUNTIF('Resumo Grupos'!$AE$3:$AE$40,$T2105)&gt;0,"NAO","SIM"))</f>
        <v/>
      </c>
    </row>
    <row r="2106" ht="12.75" customHeight="1" s="60">
      <c r="A2106" s="59" t="n">
        <v>1</v>
      </c>
      <c r="B2106" s="75" t="n">
        <v>46242</v>
      </c>
      <c r="C2106" s="75" t="n">
        <v>46252</v>
      </c>
      <c r="D2106" s="59" t="n">
        <v>1621</v>
      </c>
      <c r="E2106" s="59" t="inlineStr">
        <is>
          <t>CRBS S/A</t>
        </is>
      </c>
      <c r="F2106" s="59" t="n">
        <v>24</v>
      </c>
      <c r="G2106" s="59" t="inlineStr">
        <is>
          <t>Compra a Prazo - Boletos</t>
        </is>
      </c>
      <c r="H2106" s="59" t="n">
        <v>2110405</v>
      </c>
      <c r="I2106" s="59" t="inlineStr">
        <is>
          <t>CONTAS A PAGAR</t>
        </is>
      </c>
      <c r="J2106" s="59" t="n">
        <v>1518657</v>
      </c>
      <c r="L2106" s="59" t="n">
        <v>946596</v>
      </c>
      <c r="M2106" s="59" t="inlineStr">
        <is>
          <t>01</t>
        </is>
      </c>
      <c r="N2106" s="59" t="inlineStr">
        <is>
          <t>AVU</t>
        </is>
      </c>
      <c r="P2106" s="59" t="n">
        <v>103</v>
      </c>
      <c r="Q2106" s="59" t="inlineStr">
        <is>
          <t>MILKA FRANCIS</t>
        </is>
      </c>
      <c r="R2106" s="59" t="inlineStr">
        <is>
          <t>ESTOQUE DE MERCADORIAS</t>
        </is>
      </c>
      <c r="S2106" s="59" t="n">
        <v>1130101</v>
      </c>
      <c r="T2106" s="59" t="inlineStr">
        <is>
          <t>MERCADORIAS P/REVENDA</t>
        </is>
      </c>
      <c r="U2106" s="77" t="n">
        <v>523.9400000000001</v>
      </c>
      <c r="W2106" s="59" t="n">
        <v>523.9400000000001</v>
      </c>
      <c r="X2106" s="59" t="inlineStr">
        <is>
          <t>NF 946596 - MILKA</t>
        </is>
      </c>
      <c r="Z2106" s="59">
        <f>IF($T2106="","",IFERROR(INDEX('Resumo Grupos'!$AC$3:$AC$200,MATCH($T2106,'Resumo Grupos'!$AB$3:$AB$200,0)),"n/d"))</f>
        <v/>
      </c>
      <c r="AA2106" s="59">
        <f>IF($T2106="","",IF(COUNTIF('Resumo Grupos'!$AE$3:$AE$40,$T2106)&gt;0,"NAO","SIM"))</f>
        <v/>
      </c>
    </row>
    <row r="2107" ht="12.75" customHeight="1" s="60">
      <c r="A2107" s="59" t="n">
        <v>1</v>
      </c>
      <c r="B2107" s="75" t="n">
        <v>46242</v>
      </c>
      <c r="C2107" s="75" t="n">
        <v>46252</v>
      </c>
      <c r="D2107" s="59" t="n">
        <v>1621</v>
      </c>
      <c r="E2107" s="59" t="inlineStr">
        <is>
          <t>CRBS S/A</t>
        </is>
      </c>
      <c r="F2107" s="59" t="n">
        <v>24</v>
      </c>
      <c r="G2107" s="59" t="inlineStr">
        <is>
          <t>Compra a Prazo - Boletos</t>
        </is>
      </c>
      <c r="H2107" s="59" t="n">
        <v>2110405</v>
      </c>
      <c r="I2107" s="59" t="inlineStr">
        <is>
          <t>CONTAS A PAGAR</t>
        </is>
      </c>
      <c r="J2107" s="59" t="n">
        <v>1518686</v>
      </c>
      <c r="L2107" s="59" t="n">
        <v>946595</v>
      </c>
      <c r="M2107" s="59" t="inlineStr">
        <is>
          <t>01</t>
        </is>
      </c>
      <c r="N2107" s="59" t="inlineStr">
        <is>
          <t>AVU</t>
        </is>
      </c>
      <c r="P2107" s="59" t="n">
        <v>103</v>
      </c>
      <c r="Q2107" s="59" t="inlineStr">
        <is>
          <t>MILKA FRANCIS</t>
        </is>
      </c>
      <c r="R2107" s="59" t="inlineStr">
        <is>
          <t>ESTOQUE DE MERCADORIAS</t>
        </is>
      </c>
      <c r="S2107" s="59" t="n">
        <v>1130101</v>
      </c>
      <c r="T2107" s="59" t="inlineStr">
        <is>
          <t>MERCADORIAS P/REVENDA</t>
        </is>
      </c>
      <c r="U2107" s="77" t="n">
        <v>599.4</v>
      </c>
      <c r="W2107" s="59" t="n">
        <v>599.4</v>
      </c>
      <c r="X2107" s="59" t="inlineStr">
        <is>
          <t>NF 946596 C/TARIFA INCLUSA - MILKA</t>
        </is>
      </c>
      <c r="Z2107" s="59">
        <f>IF($T2107="","",IFERROR(INDEX('Resumo Grupos'!$AC$3:$AC$200,MATCH($T2107,'Resumo Grupos'!$AB$3:$AB$200,0)),"n/d"))</f>
        <v/>
      </c>
      <c r="AA2107" s="59">
        <f>IF($T2107="","",IF(COUNTIF('Resumo Grupos'!$AE$3:$AE$40,$T2107)&gt;0,"NAO","SIM"))</f>
        <v/>
      </c>
    </row>
    <row r="2108" ht="12.75" customHeight="1" s="60">
      <c r="A2108" s="59" t="n">
        <v>1</v>
      </c>
      <c r="B2108" s="75" t="n">
        <v>46245</v>
      </c>
      <c r="C2108" s="75" t="n">
        <v>46252</v>
      </c>
      <c r="D2108" s="59" t="n">
        <v>1642</v>
      </c>
      <c r="E2108" s="59" t="inlineStr">
        <is>
          <t>BROTHERS  INDUSTRIA DE ALIMENTOS LTDA</t>
        </is>
      </c>
      <c r="F2108" s="59" t="n">
        <v>24</v>
      </c>
      <c r="G2108" s="59" t="inlineStr">
        <is>
          <t>Compra a Prazo - Boletos</t>
        </is>
      </c>
      <c r="H2108" s="59" t="n">
        <v>2110405</v>
      </c>
      <c r="I2108" s="59" t="inlineStr">
        <is>
          <t>CONTAS A PAGAR</t>
        </is>
      </c>
      <c r="J2108" s="59" t="n">
        <v>1533264</v>
      </c>
      <c r="L2108" s="59" t="n">
        <v>1036253</v>
      </c>
      <c r="M2108" s="59" t="inlineStr">
        <is>
          <t>01</t>
        </is>
      </c>
      <c r="N2108" s="59" t="inlineStr">
        <is>
          <t>AVU</t>
        </is>
      </c>
      <c r="P2108" s="59" t="n">
        <v>103</v>
      </c>
      <c r="Q2108" s="59" t="inlineStr">
        <is>
          <t>MILKA FRANCIS</t>
        </is>
      </c>
      <c r="R2108" s="59" t="inlineStr">
        <is>
          <t>ESTOQUE DE MERCADORIAS</t>
        </is>
      </c>
      <c r="S2108" s="59" t="n">
        <v>1130101</v>
      </c>
      <c r="T2108" s="59" t="inlineStr">
        <is>
          <t>MERCADORIAS P/REVENDA</t>
        </is>
      </c>
      <c r="U2108" s="77" t="n">
        <v>524.6</v>
      </c>
      <c r="W2108" s="59" t="n">
        <v>524.6</v>
      </c>
      <c r="X2108" s="59" t="inlineStr">
        <is>
          <t>NF 1036253  - MILKA</t>
        </is>
      </c>
      <c r="Z2108" s="59">
        <f>IF($T2108="","",IFERROR(INDEX('Resumo Grupos'!$AC$3:$AC$200,MATCH($T2108,'Resumo Grupos'!$AB$3:$AB$200,0)),"n/d"))</f>
        <v/>
      </c>
      <c r="AA2108" s="59">
        <f>IF($T2108="","",IF(COUNTIF('Resumo Grupos'!$AE$3:$AE$40,$T2108)&gt;0,"NAO","SIM"))</f>
        <v/>
      </c>
    </row>
    <row r="2109" ht="12.75" customHeight="1" s="60">
      <c r="A2109" s="59" t="n">
        <v>1</v>
      </c>
      <c r="B2109" s="75" t="n">
        <v>46246</v>
      </c>
      <c r="C2109" s="75" t="n">
        <v>46252</v>
      </c>
      <c r="D2109" s="59" t="n">
        <v>1286</v>
      </c>
      <c r="E2109" s="59" t="inlineStr">
        <is>
          <t>VITAPAN COMERCIO VAREJISTA DE PRODUTOS ALIMENTICIOS LTDA</t>
        </is>
      </c>
      <c r="F2109" s="59" t="n">
        <v>24</v>
      </c>
      <c r="G2109" s="59" t="inlineStr">
        <is>
          <t>Compra a Prazo - Boletos</t>
        </is>
      </c>
      <c r="H2109" s="59" t="n">
        <v>2110405</v>
      </c>
      <c r="I2109" s="59" t="inlineStr">
        <is>
          <t>CONTAS A PAGAR</t>
        </is>
      </c>
      <c r="J2109" s="59" t="n">
        <v>1537726</v>
      </c>
      <c r="L2109" s="59" t="n">
        <v>10524</v>
      </c>
      <c r="M2109" s="59" t="inlineStr">
        <is>
          <t>01</t>
        </is>
      </c>
      <c r="N2109" s="59" t="inlineStr">
        <is>
          <t>AVU</t>
        </is>
      </c>
      <c r="P2109" s="59" t="n">
        <v>103</v>
      </c>
      <c r="Q2109" s="59" t="inlineStr">
        <is>
          <t>MILKA FRANCIS</t>
        </is>
      </c>
      <c r="R2109" s="59" t="inlineStr">
        <is>
          <t>ESTOQUE DE MERCADORIAS</t>
        </is>
      </c>
      <c r="S2109" s="59" t="n">
        <v>1130101</v>
      </c>
      <c r="T2109" s="59" t="inlineStr">
        <is>
          <t>MERCADORIAS P/REVENDA</t>
        </is>
      </c>
      <c r="U2109" s="77" t="n">
        <v>972</v>
      </c>
      <c r="W2109" s="59" t="n">
        <v>972</v>
      </c>
      <c r="X2109" s="59" t="inlineStr">
        <is>
          <t>NF 10524 - MILKA</t>
        </is>
      </c>
      <c r="Z2109" s="59">
        <f>IF($T2109="","",IFERROR(INDEX('Resumo Grupos'!$AC$3:$AC$200,MATCH($T2109,'Resumo Grupos'!$AB$3:$AB$200,0)),"n/d"))</f>
        <v/>
      </c>
      <c r="AA2109" s="59">
        <f>IF($T2109="","",IF(COUNTIF('Resumo Grupos'!$AE$3:$AE$40,$T2109)&gt;0,"NAO","SIM"))</f>
        <v/>
      </c>
    </row>
    <row r="2110" ht="12.75" customHeight="1" s="60">
      <c r="A2110" s="59" t="n">
        <v>1</v>
      </c>
      <c r="B2110" s="75" t="n">
        <v>46247</v>
      </c>
      <c r="C2110" s="75" t="n">
        <v>46252</v>
      </c>
      <c r="D2110" s="59" t="n">
        <v>218</v>
      </c>
      <c r="E2110" s="59" t="inlineStr">
        <is>
          <t>RENATO DE O AZEVEDO E CIA LTDA</t>
        </is>
      </c>
      <c r="F2110" s="59" t="n">
        <v>34</v>
      </c>
      <c r="G2110" s="59" t="inlineStr">
        <is>
          <t>Transferencia Pix</t>
        </is>
      </c>
      <c r="H2110" s="59" t="n">
        <v>2110405</v>
      </c>
      <c r="I2110" s="59" t="inlineStr">
        <is>
          <t>CONTAS A PAGAR</t>
        </is>
      </c>
      <c r="J2110" s="59" t="n">
        <v>1459638</v>
      </c>
      <c r="L2110" s="59" t="n">
        <v>600419</v>
      </c>
      <c r="M2110" s="59" t="inlineStr">
        <is>
          <t>02</t>
        </is>
      </c>
      <c r="N2110" s="59" t="inlineStr">
        <is>
          <t>AVU</t>
        </is>
      </c>
      <c r="P2110" s="59" t="n">
        <v>101</v>
      </c>
      <c r="Q2110" s="59" t="inlineStr">
        <is>
          <t>KEILA LIMA</t>
        </is>
      </c>
      <c r="R2110" s="59" t="inlineStr">
        <is>
          <t>DESPESAS COM PESSOAL</t>
        </is>
      </c>
      <c r="S2110" s="59" t="n">
        <v>4210301</v>
      </c>
      <c r="T2110" s="59" t="inlineStr">
        <is>
          <t>SALARIOS</t>
        </is>
      </c>
      <c r="U2110" s="77" t="n">
        <v>1774.05</v>
      </c>
      <c r="W2110" s="59" t="n">
        <v>1774.05</v>
      </c>
      <c r="X2110" s="59" t="inlineStr">
        <is>
          <t>CONVENIO MO1 DROG 07/26 - KEILA</t>
        </is>
      </c>
      <c r="Z2110" s="59">
        <f>IF($T2110="","",IFERROR(INDEX('Resumo Grupos'!$AC$3:$AC$200,MATCH($T2110,'Resumo Grupos'!$AB$3:$AB$200,0)),"n/d"))</f>
        <v/>
      </c>
      <c r="AA2110" s="59">
        <f>IF($T2110="","",IF(COUNTIF('Resumo Grupos'!$AE$3:$AE$40,$T2110)&gt;0,"NAO","SIM"))</f>
        <v/>
      </c>
    </row>
    <row r="2111" ht="12.75" customHeight="1" s="60">
      <c r="A2111" s="59" t="n">
        <v>1</v>
      </c>
      <c r="B2111" s="75" t="n">
        <v>46249</v>
      </c>
      <c r="C2111" s="75" t="n">
        <v>46252</v>
      </c>
      <c r="D2111" s="59" t="n">
        <v>642</v>
      </c>
      <c r="E2111" s="59" t="inlineStr">
        <is>
          <t>ADICSO FABIAN GONZALEZ MONTILLA 70302186</t>
        </is>
      </c>
      <c r="F2111" s="59" t="n">
        <v>24</v>
      </c>
      <c r="G2111" s="59" t="inlineStr">
        <is>
          <t>Compra a Prazo - Boletos</t>
        </is>
      </c>
      <c r="H2111" s="59" t="n">
        <v>2110405</v>
      </c>
      <c r="I2111" s="59" t="inlineStr">
        <is>
          <t>CONTAS A PAGAR</t>
        </is>
      </c>
      <c r="J2111" s="59" t="n">
        <v>1551698</v>
      </c>
      <c r="L2111" s="59" t="n">
        <v>599</v>
      </c>
      <c r="M2111" s="59" t="inlineStr">
        <is>
          <t>01</t>
        </is>
      </c>
      <c r="N2111" s="59" t="inlineStr">
        <is>
          <t>AVU</t>
        </is>
      </c>
      <c r="P2111" s="59" t="n">
        <v>103</v>
      </c>
      <c r="Q2111" s="59" t="inlineStr">
        <is>
          <t>MILKA FRANCIS</t>
        </is>
      </c>
      <c r="R2111" s="59" t="inlineStr">
        <is>
          <t>ESTOQUE DE MERCADORIAS</t>
        </is>
      </c>
      <c r="S2111" s="59" t="n">
        <v>1130101</v>
      </c>
      <c r="T2111" s="59" t="inlineStr">
        <is>
          <t>MERCADORIAS P/REVENDA</t>
        </is>
      </c>
      <c r="U2111" s="77" t="n">
        <v>648</v>
      </c>
      <c r="W2111" s="59" t="n">
        <v>648</v>
      </c>
      <c r="X2111" s="59" t="inlineStr">
        <is>
          <t>NF 599 BLOOM - MILKA</t>
        </is>
      </c>
      <c r="Z2111" s="59">
        <f>IF($T2111="","",IFERROR(INDEX('Resumo Grupos'!$AC$3:$AC$200,MATCH($T2111,'Resumo Grupos'!$AB$3:$AB$200,0)),"n/d"))</f>
        <v/>
      </c>
      <c r="AA2111" s="59">
        <f>IF($T2111="","",IF(COUNTIF('Resumo Grupos'!$AE$3:$AE$40,$T2111)&gt;0,"NAO","SIM"))</f>
        <v/>
      </c>
    </row>
    <row r="2112" ht="12.75" customHeight="1" s="60">
      <c r="A2112" s="59" t="n">
        <v>1</v>
      </c>
      <c r="B2112" s="75" t="n">
        <v>46252</v>
      </c>
      <c r="C2112" s="75" t="n">
        <v>46252</v>
      </c>
      <c r="D2112" s="59" t="n">
        <v>33</v>
      </c>
      <c r="E2112" s="59" t="inlineStr">
        <is>
          <t>RENATO DE O AZEVEDO E CIA LTDA - EPP</t>
        </is>
      </c>
      <c r="F2112" s="59" t="n">
        <v>34</v>
      </c>
      <c r="G2112" s="59" t="inlineStr">
        <is>
          <t>Transferencia Pix</t>
        </is>
      </c>
      <c r="H2112" s="59" t="n">
        <v>2110101</v>
      </c>
      <c r="I2112" s="59" t="inlineStr">
        <is>
          <t>FORNECEDORES DE MERCADORIA</t>
        </is>
      </c>
      <c r="J2112" s="59" t="n">
        <v>1566459</v>
      </c>
      <c r="L2112" s="59" t="n">
        <v>5505</v>
      </c>
      <c r="M2112" s="59" t="inlineStr">
        <is>
          <t>01</t>
        </is>
      </c>
      <c r="N2112" s="59" t="inlineStr">
        <is>
          <t>NFE</t>
        </is>
      </c>
      <c r="P2112" s="59" t="n">
        <v>104</v>
      </c>
      <c r="Q2112" s="59" t="inlineStr">
        <is>
          <t>DEBORA COSTA</t>
        </is>
      </c>
      <c r="R2112" s="59" t="inlineStr">
        <is>
          <t>ESTOQUE DE MERCADORIAS</t>
        </is>
      </c>
      <c r="S2112" s="59" t="n">
        <v>1130101</v>
      </c>
      <c r="T2112" s="59" t="inlineStr">
        <is>
          <t>MERCADORIAS P/REVENDA</t>
        </is>
      </c>
      <c r="U2112" s="77" t="n">
        <v>1175</v>
      </c>
      <c r="W2112" s="59" t="n">
        <v>1175</v>
      </c>
      <c r="X2112" s="59" t="inlineStr">
        <is>
          <t>FEIRA SR RENATO - BANANA PACOVAN E LIMAO - PGTO PARA MM COMERCIO ATACADISTA DE FRUTAS LTDA - DEBORA</t>
        </is>
      </c>
      <c r="Z2112" s="59">
        <f>IF($T2112="","",IFERROR(INDEX('Resumo Grupos'!$AC$3:$AC$200,MATCH($T2112,'Resumo Grupos'!$AB$3:$AB$200,0)),"n/d"))</f>
        <v/>
      </c>
      <c r="AA2112" s="59">
        <f>IF($T2112="","",IF(COUNTIF('Resumo Grupos'!$AE$3:$AE$40,$T2112)&gt;0,"NAO","SIM"))</f>
        <v/>
      </c>
    </row>
    <row r="2113" ht="12.75" customHeight="1" s="60">
      <c r="A2113" s="59" t="n">
        <v>1</v>
      </c>
      <c r="B2113" s="75" t="n">
        <v>46252</v>
      </c>
      <c r="C2113" s="75" t="n">
        <v>46252</v>
      </c>
      <c r="D2113" s="59" t="n">
        <v>33</v>
      </c>
      <c r="E2113" s="59" t="inlineStr">
        <is>
          <t>RENATO DE O AZEVEDO E CIA LTDA - EPP</t>
        </is>
      </c>
      <c r="F2113" s="59" t="n">
        <v>34</v>
      </c>
      <c r="G2113" s="59" t="inlineStr">
        <is>
          <t>Transferencia Pix</t>
        </is>
      </c>
      <c r="H2113" s="59" t="n">
        <v>2110101</v>
      </c>
      <c r="I2113" s="59" t="inlineStr">
        <is>
          <t>FORNECEDORES DE MERCADORIA</t>
        </is>
      </c>
      <c r="J2113" s="59" t="n">
        <v>1567398</v>
      </c>
      <c r="L2113" s="59" t="n">
        <v>5514</v>
      </c>
      <c r="M2113" s="59" t="inlineStr">
        <is>
          <t>01</t>
        </is>
      </c>
      <c r="N2113" s="59" t="inlineStr">
        <is>
          <t>NFE</t>
        </is>
      </c>
      <c r="P2113" s="59" t="n">
        <v>104</v>
      </c>
      <c r="Q2113" s="59" t="inlineStr">
        <is>
          <t>DEBORA COSTA</t>
        </is>
      </c>
      <c r="R2113" s="59" t="inlineStr">
        <is>
          <t>ESTOQUE DE MERCADORIAS</t>
        </is>
      </c>
      <c r="S2113" s="59" t="n">
        <v>1130101</v>
      </c>
      <c r="T2113" s="59" t="inlineStr">
        <is>
          <t>MERCADORIAS P/REVENDA</t>
        </is>
      </c>
      <c r="U2113" s="77" t="n">
        <v>3283</v>
      </c>
      <c r="W2113" s="59" t="n">
        <v>3283</v>
      </c>
      <c r="X2113" s="59" t="inlineStr">
        <is>
          <t>FEIRA SR RENATO - DEBORA</t>
        </is>
      </c>
      <c r="Z2113" s="59">
        <f>IF($T2113="","",IFERROR(INDEX('Resumo Grupos'!$AC$3:$AC$200,MATCH($T2113,'Resumo Grupos'!$AB$3:$AB$200,0)),"n/d"))</f>
        <v/>
      </c>
      <c r="AA2113" s="59">
        <f>IF($T2113="","",IF(COUNTIF('Resumo Grupos'!$AE$3:$AE$40,$T2113)&gt;0,"NAO","SIM"))</f>
        <v/>
      </c>
    </row>
    <row r="2114" ht="12.75" customHeight="1" s="60">
      <c r="A2114" s="59" t="n">
        <v>1</v>
      </c>
      <c r="B2114" s="75" t="n">
        <v>46252</v>
      </c>
      <c r="C2114" s="75" t="n">
        <v>46252</v>
      </c>
      <c r="D2114" s="59" t="n">
        <v>33</v>
      </c>
      <c r="E2114" s="59" t="inlineStr">
        <is>
          <t>RENATO DE O AZEVEDO E CIA LTDA - EPP</t>
        </is>
      </c>
      <c r="F2114" s="59" t="n">
        <v>13</v>
      </c>
      <c r="G2114" s="59" t="inlineStr">
        <is>
          <t>Compra a Vista</t>
        </is>
      </c>
      <c r="H2114" s="59" t="n">
        <v>2110101</v>
      </c>
      <c r="I2114" s="59" t="inlineStr">
        <is>
          <t>FORNECEDORES DE MERCADORIA</t>
        </is>
      </c>
      <c r="J2114" s="59" t="n">
        <v>1567876</v>
      </c>
      <c r="L2114" s="59" t="n">
        <v>5516</v>
      </c>
      <c r="M2114" s="59" t="inlineStr">
        <is>
          <t>01</t>
        </is>
      </c>
      <c r="N2114" s="59" t="inlineStr">
        <is>
          <t>NFE</t>
        </is>
      </c>
      <c r="P2114" s="59" t="n">
        <v>104</v>
      </c>
      <c r="Q2114" s="59" t="inlineStr">
        <is>
          <t>DEBORA COSTA</t>
        </is>
      </c>
      <c r="R2114" s="59" t="inlineStr">
        <is>
          <t>ESTOQUE DE MERCADORIAS</t>
        </is>
      </c>
      <c r="S2114" s="59" t="n">
        <v>1130101</v>
      </c>
      <c r="T2114" s="59" t="inlineStr">
        <is>
          <t>MERCADORIAS P/REVENDA</t>
        </is>
      </c>
      <c r="U2114" s="77" t="n">
        <v>375</v>
      </c>
      <c r="W2114" s="59" t="n">
        <v>375</v>
      </c>
      <c r="X2114" s="59" t="inlineStr">
        <is>
          <t>ACAI DE ANORI - DEBORA 17/08</t>
        </is>
      </c>
      <c r="Z2114" s="59">
        <f>IF($T2114="","",IFERROR(INDEX('Resumo Grupos'!$AC$3:$AC$200,MATCH($T2114,'Resumo Grupos'!$AB$3:$AB$200,0)),"n/d"))</f>
        <v/>
      </c>
      <c r="AA2114" s="59">
        <f>IF($T2114="","",IF(COUNTIF('Resumo Grupos'!$AE$3:$AE$40,$T2114)&gt;0,"NAO","SIM"))</f>
        <v/>
      </c>
    </row>
    <row r="2115" ht="12.75" customHeight="1" s="60">
      <c r="A2115" s="59" t="n">
        <v>1</v>
      </c>
      <c r="B2115" s="75" t="n">
        <v>46252</v>
      </c>
      <c r="C2115" s="75" t="n">
        <v>46252</v>
      </c>
      <c r="D2115" s="59" t="n">
        <v>1757</v>
      </c>
      <c r="E2115" s="59" t="inlineStr">
        <is>
          <t>DESPESA COZINHA</t>
        </is>
      </c>
      <c r="F2115" s="59" t="n">
        <v>34</v>
      </c>
      <c r="G2115" s="59" t="inlineStr">
        <is>
          <t>Transferencia Pix</t>
        </is>
      </c>
      <c r="H2115" s="59" t="n">
        <v>2110405</v>
      </c>
      <c r="I2115" s="59" t="inlineStr">
        <is>
          <t>CONTAS A PAGAR</t>
        </is>
      </c>
      <c r="J2115" s="59" t="n">
        <v>1571098</v>
      </c>
      <c r="L2115" s="59" t="n">
        <v>642188</v>
      </c>
      <c r="M2115" s="59" t="inlineStr">
        <is>
          <t>01</t>
        </is>
      </c>
      <c r="N2115" s="59" t="inlineStr">
        <is>
          <t>AVU</t>
        </is>
      </c>
      <c r="P2115" s="59" t="n">
        <v>101</v>
      </c>
      <c r="Q2115" s="59" t="inlineStr">
        <is>
          <t>KEILA LIMA</t>
        </is>
      </c>
      <c r="R2115" s="59" t="inlineStr">
        <is>
          <t>DESPESAS OPERACIONAIS</t>
        </is>
      </c>
      <c r="S2115" s="59" t="n">
        <v>4210223</v>
      </c>
      <c r="T2115" s="59" t="inlineStr">
        <is>
          <t>GAS LOJA</t>
        </is>
      </c>
      <c r="U2115" s="77" t="n">
        <v>615</v>
      </c>
      <c r="W2115" s="59" t="n">
        <v>615</v>
      </c>
      <c r="X2115" s="59" t="inlineStr">
        <is>
          <t>DESPESA COMPRA DE GAS COZINHA MO1 - KEILA</t>
        </is>
      </c>
      <c r="Z2115" s="59">
        <f>IF($T2115="","",IFERROR(INDEX('Resumo Grupos'!$AC$3:$AC$200,MATCH($T2115,'Resumo Grupos'!$AB$3:$AB$200,0)),"n/d"))</f>
        <v/>
      </c>
      <c r="AA2115" s="59">
        <f>IF($T2115="","",IF(COUNTIF('Resumo Grupos'!$AE$3:$AE$40,$T2115)&gt;0,"NAO","SIM"))</f>
        <v/>
      </c>
    </row>
    <row r="2116" ht="12.75" customHeight="1" s="60">
      <c r="A2116" s="59" t="n">
        <v>1</v>
      </c>
      <c r="B2116" s="75" t="n">
        <v>46253</v>
      </c>
      <c r="C2116" s="75" t="n">
        <v>46252</v>
      </c>
      <c r="D2116" s="59" t="n">
        <v>1391</v>
      </c>
      <c r="E2116" s="59" t="inlineStr">
        <is>
          <t>D N COMERCIO ATACADISTA DE EMBALAGENS E</t>
        </is>
      </c>
      <c r="F2116" s="59" t="n">
        <v>13</v>
      </c>
      <c r="G2116" s="59" t="inlineStr">
        <is>
          <t>Compra a Vista</t>
        </is>
      </c>
      <c r="H2116" s="59" t="n">
        <v>2110101</v>
      </c>
      <c r="I2116" s="59" t="inlineStr">
        <is>
          <t>FORNECEDORES DE MERCADORIA</t>
        </is>
      </c>
      <c r="J2116" s="59" t="n">
        <v>1573302</v>
      </c>
      <c r="L2116" s="59" t="n">
        <v>416</v>
      </c>
      <c r="M2116" s="59" t="inlineStr">
        <is>
          <t>01</t>
        </is>
      </c>
      <c r="N2116" s="59" t="inlineStr">
        <is>
          <t>NFE</t>
        </is>
      </c>
      <c r="P2116" s="59" t="n">
        <v>104</v>
      </c>
      <c r="Q2116" s="59" t="inlineStr">
        <is>
          <t>DEBORA COSTA</t>
        </is>
      </c>
      <c r="R2116" s="59" t="inlineStr">
        <is>
          <t>ESTOQUE DE MERCADORIAS</t>
        </is>
      </c>
      <c r="S2116" s="59" t="n">
        <v>1130101</v>
      </c>
      <c r="T2116" s="59" t="inlineStr">
        <is>
          <t>MERCADORIAS P/REVENDA</t>
        </is>
      </c>
      <c r="U2116" s="77" t="n">
        <v>464</v>
      </c>
      <c r="W2116" s="59" t="n">
        <v>0</v>
      </c>
      <c r="X2116" s="59" t="inlineStr">
        <is>
          <t>NF 416 - DEBORA</t>
        </is>
      </c>
      <c r="Z2116" s="59">
        <f>IF($T2116="","",IFERROR(INDEX('Resumo Grupos'!$AC$3:$AC$200,MATCH($T2116,'Resumo Grupos'!$AB$3:$AB$200,0)),"n/d"))</f>
        <v/>
      </c>
      <c r="AA2116" s="59">
        <f>IF($T2116="","",IF(COUNTIF('Resumo Grupos'!$AE$3:$AE$40,$T2116)&gt;0,"NAO","SIM"))</f>
        <v/>
      </c>
    </row>
    <row r="2117" ht="12.75" customHeight="1" s="60">
      <c r="A2117" s="59" t="n">
        <v>1</v>
      </c>
      <c r="B2117" s="75" t="n">
        <v>46225</v>
      </c>
      <c r="C2117" s="75" t="n">
        <v>46253</v>
      </c>
      <c r="D2117" s="59" t="n">
        <v>1659</v>
      </c>
      <c r="E2117" s="59" t="inlineStr">
        <is>
          <t>ADRIANA DISTRIBUIDORA DE PRODUTOS ALIMEN</t>
        </is>
      </c>
      <c r="F2117" s="59" t="n">
        <v>24</v>
      </c>
      <c r="G2117" s="59" t="inlineStr">
        <is>
          <t>Compra a Prazo - Boletos</t>
        </is>
      </c>
      <c r="H2117" s="59" t="n">
        <v>2110405</v>
      </c>
      <c r="I2117" s="59" t="inlineStr">
        <is>
          <t>CONTAS A PAGAR</t>
        </is>
      </c>
      <c r="J2117" s="59" t="n">
        <v>1435386</v>
      </c>
      <c r="L2117" s="59" t="n">
        <v>886068</v>
      </c>
      <c r="M2117" s="59" t="inlineStr">
        <is>
          <t>03</t>
        </is>
      </c>
      <c r="N2117" s="59" t="inlineStr">
        <is>
          <t>AVU</t>
        </is>
      </c>
      <c r="P2117" s="59" t="n">
        <v>103</v>
      </c>
      <c r="Q2117" s="59" t="inlineStr">
        <is>
          <t>MILKA FRANCIS</t>
        </is>
      </c>
      <c r="R2117" s="59" t="inlineStr">
        <is>
          <t>ESTOQUE DE MERCADORIAS</t>
        </is>
      </c>
      <c r="S2117" s="59" t="n">
        <v>1130101</v>
      </c>
      <c r="T2117" s="59" t="inlineStr">
        <is>
          <t>MERCADORIAS P/REVENDA</t>
        </is>
      </c>
      <c r="U2117" s="77" t="n">
        <v>1420.58</v>
      </c>
      <c r="W2117" s="59" t="n">
        <v>1420.58</v>
      </c>
      <c r="X2117" s="59" t="inlineStr">
        <is>
          <t>NF 886068-3 MILKA</t>
        </is>
      </c>
      <c r="Z2117" s="59">
        <f>IF($T2117="","",IFERROR(INDEX('Resumo Grupos'!$AC$3:$AC$200,MATCH($T2117,'Resumo Grupos'!$AB$3:$AB$200,0)),"n/d"))</f>
        <v/>
      </c>
      <c r="AA2117" s="59">
        <f>IF($T2117="","",IF(COUNTIF('Resumo Grupos'!$AE$3:$AE$40,$T2117)&gt;0,"NAO","SIM"))</f>
        <v/>
      </c>
    </row>
    <row r="2118" ht="12.75" customHeight="1" s="60">
      <c r="A2118" s="59" t="n">
        <v>1</v>
      </c>
      <c r="B2118" s="75" t="n">
        <v>46226</v>
      </c>
      <c r="C2118" s="75" t="n">
        <v>46253</v>
      </c>
      <c r="D2118" s="59" t="n">
        <v>1671</v>
      </c>
      <c r="E2118" s="59" t="inlineStr">
        <is>
          <t>TAPAJOS COM DE PERFUMARIA COSMETICOS E G</t>
        </is>
      </c>
      <c r="F2118" s="59" t="n">
        <v>24</v>
      </c>
      <c r="G2118" s="59" t="inlineStr">
        <is>
          <t>Compra a Prazo - Boletos</t>
        </is>
      </c>
      <c r="H2118" s="59" t="n">
        <v>2110405</v>
      </c>
      <c r="I2118" s="59" t="inlineStr">
        <is>
          <t>CONTAS A PAGAR</t>
        </is>
      </c>
      <c r="J2118" s="59" t="n">
        <v>1439103</v>
      </c>
      <c r="L2118" s="59" t="n">
        <v>592343</v>
      </c>
      <c r="M2118" s="59" t="inlineStr">
        <is>
          <t>03</t>
        </is>
      </c>
      <c r="N2118" s="59" t="inlineStr">
        <is>
          <t>AVU</t>
        </is>
      </c>
      <c r="P2118" s="59" t="n">
        <v>104</v>
      </c>
      <c r="Q2118" s="59" t="inlineStr">
        <is>
          <t>DEBORA COSTA</t>
        </is>
      </c>
      <c r="R2118" s="59" t="inlineStr">
        <is>
          <t>ESTOQUE DE MERCADORIAS</t>
        </is>
      </c>
      <c r="S2118" s="59" t="n">
        <v>1130101</v>
      </c>
      <c r="T2118" s="59" t="inlineStr">
        <is>
          <t>MERCADORIAS P/REVENDA</t>
        </is>
      </c>
      <c r="U2118" s="77" t="n">
        <v>1473.38</v>
      </c>
      <c r="W2118" s="59" t="n">
        <v>1473.38</v>
      </c>
      <c r="X2118" s="59" t="inlineStr">
        <is>
          <t>NF 581288 - COM TAXA - DEBORA</t>
        </is>
      </c>
      <c r="Z2118" s="59">
        <f>IF($T2118="","",IFERROR(INDEX('Resumo Grupos'!$AC$3:$AC$200,MATCH($T2118,'Resumo Grupos'!$AB$3:$AB$200,0)),"n/d"))</f>
        <v/>
      </c>
      <c r="AA2118" s="59">
        <f>IF($T2118="","",IF(COUNTIF('Resumo Grupos'!$AE$3:$AE$40,$T2118)&gt;0,"NAO","SIM"))</f>
        <v/>
      </c>
    </row>
    <row r="2119" ht="12.75" customHeight="1" s="60">
      <c r="A2119" s="59" t="n">
        <v>1</v>
      </c>
      <c r="B2119" s="75" t="n">
        <v>46226</v>
      </c>
      <c r="C2119" s="75" t="n">
        <v>46253</v>
      </c>
      <c r="D2119" s="59" t="n">
        <v>1921</v>
      </c>
      <c r="E2119" s="59" t="inlineStr">
        <is>
          <t>BF COMERCIO DE ALIMENTOS REPRESENTACAO L</t>
        </is>
      </c>
      <c r="F2119" s="59" t="n">
        <v>24</v>
      </c>
      <c r="G2119" s="59" t="inlineStr">
        <is>
          <t>Compra a Prazo - Boletos</t>
        </is>
      </c>
      <c r="H2119" s="59" t="n">
        <v>2110405</v>
      </c>
      <c r="I2119" s="59" t="inlineStr">
        <is>
          <t>CONTAS A PAGAR</t>
        </is>
      </c>
      <c r="J2119" s="59" t="n">
        <v>1439220</v>
      </c>
      <c r="L2119" s="59" t="n">
        <v>592373</v>
      </c>
      <c r="M2119" s="59" t="inlineStr">
        <is>
          <t>01</t>
        </is>
      </c>
      <c r="N2119" s="59" t="inlineStr">
        <is>
          <t>AVU</t>
        </is>
      </c>
      <c r="P2119" s="59" t="n">
        <v>104</v>
      </c>
      <c r="Q2119" s="59" t="inlineStr">
        <is>
          <t>DEBORA COSTA</t>
        </is>
      </c>
      <c r="R2119" s="59" t="inlineStr">
        <is>
          <t>ESTOQUE DE MERCADORIAS</t>
        </is>
      </c>
      <c r="S2119" s="59" t="n">
        <v>1130101</v>
      </c>
      <c r="T2119" s="59" t="inlineStr">
        <is>
          <t>MERCADORIAS P/REVENDA</t>
        </is>
      </c>
      <c r="U2119" s="77" t="n">
        <v>2021.39</v>
      </c>
      <c r="W2119" s="59" t="n">
        <v>2021.39</v>
      </c>
      <c r="X2119" s="59" t="inlineStr">
        <is>
          <t>NF 21118 - DEBORA</t>
        </is>
      </c>
      <c r="Z2119" s="59">
        <f>IF($T2119="","",IFERROR(INDEX('Resumo Grupos'!$AC$3:$AC$200,MATCH($T2119,'Resumo Grupos'!$AB$3:$AB$200,0)),"n/d"))</f>
        <v/>
      </c>
      <c r="AA2119" s="59">
        <f>IF($T2119="","",IF(COUNTIF('Resumo Grupos'!$AE$3:$AE$40,$T2119)&gt;0,"NAO","SIM"))</f>
        <v/>
      </c>
    </row>
    <row r="2120" ht="12.75" customHeight="1" s="60">
      <c r="A2120" s="59" t="n">
        <v>1</v>
      </c>
      <c r="B2120" s="75" t="n">
        <v>46226</v>
      </c>
      <c r="C2120" s="75" t="n">
        <v>46253</v>
      </c>
      <c r="D2120" s="59" t="n">
        <v>1659</v>
      </c>
      <c r="E2120" s="59" t="inlineStr">
        <is>
          <t>ADRIANA DISTRIBUIDORA DE PRODUTOS ALIMEN</t>
        </is>
      </c>
      <c r="F2120" s="59" t="n">
        <v>24</v>
      </c>
      <c r="G2120" s="59" t="inlineStr">
        <is>
          <t>Compra a Prazo - Boletos</t>
        </is>
      </c>
      <c r="H2120" s="59" t="n">
        <v>2110405</v>
      </c>
      <c r="I2120" s="59" t="inlineStr">
        <is>
          <t>CONTAS A PAGAR</t>
        </is>
      </c>
      <c r="J2120" s="59" t="n">
        <v>1439267</v>
      </c>
      <c r="L2120" s="59" t="n">
        <v>592384</v>
      </c>
      <c r="M2120" s="59" t="inlineStr">
        <is>
          <t>01</t>
        </is>
      </c>
      <c r="N2120" s="59" t="inlineStr">
        <is>
          <t>AVU</t>
        </is>
      </c>
      <c r="P2120" s="59" t="n">
        <v>104</v>
      </c>
      <c r="Q2120" s="59" t="inlineStr">
        <is>
          <t>DEBORA COSTA</t>
        </is>
      </c>
      <c r="R2120" s="59" t="inlineStr">
        <is>
          <t>ESTOQUE DE MERCADORIAS</t>
        </is>
      </c>
      <c r="S2120" s="59" t="n">
        <v>1130101</v>
      </c>
      <c r="T2120" s="59" t="inlineStr">
        <is>
          <t>MERCADORIAS P/REVENDA</t>
        </is>
      </c>
      <c r="U2120" s="77" t="n">
        <v>1039.32</v>
      </c>
      <c r="W2120" s="59" t="n">
        <v>1039.32</v>
      </c>
      <c r="X2120" s="59" t="inlineStr">
        <is>
          <t>NF 885524 - DEBORA</t>
        </is>
      </c>
      <c r="Z2120" s="59">
        <f>IF($T2120="","",IFERROR(INDEX('Resumo Grupos'!$AC$3:$AC$200,MATCH($T2120,'Resumo Grupos'!$AB$3:$AB$200,0)),"n/d"))</f>
        <v/>
      </c>
      <c r="AA2120" s="59">
        <f>IF($T2120="","",IF(COUNTIF('Resumo Grupos'!$AE$3:$AE$40,$T2120)&gt;0,"NAO","SIM"))</f>
        <v/>
      </c>
    </row>
    <row r="2121" ht="12.75" customHeight="1" s="60">
      <c r="A2121" s="59" t="n">
        <v>1</v>
      </c>
      <c r="B2121" s="75" t="n">
        <v>46226</v>
      </c>
      <c r="C2121" s="75" t="n">
        <v>46253</v>
      </c>
      <c r="D2121" s="59" t="n">
        <v>1608</v>
      </c>
      <c r="E2121" s="59" t="inlineStr">
        <is>
          <t>DISTRIBUIDORA LOPES LTDA</t>
        </is>
      </c>
      <c r="F2121" s="59" t="n">
        <v>24</v>
      </c>
      <c r="G2121" s="59" t="inlineStr">
        <is>
          <t>Compra a Prazo - Boletos</t>
        </is>
      </c>
      <c r="H2121" s="59" t="n">
        <v>2110405</v>
      </c>
      <c r="I2121" s="59" t="inlineStr">
        <is>
          <t>CONTAS A PAGAR</t>
        </is>
      </c>
      <c r="J2121" s="59" t="n">
        <v>1439448</v>
      </c>
      <c r="L2121" s="59" t="n">
        <v>592413</v>
      </c>
      <c r="M2121" s="59" t="inlineStr">
        <is>
          <t>03</t>
        </is>
      </c>
      <c r="N2121" s="59" t="inlineStr">
        <is>
          <t>AVU</t>
        </is>
      </c>
      <c r="P2121" s="59" t="n">
        <v>104</v>
      </c>
      <c r="Q2121" s="59" t="inlineStr">
        <is>
          <t>DEBORA COSTA</t>
        </is>
      </c>
      <c r="R2121" s="59" t="inlineStr">
        <is>
          <t>ESTOQUE DE MERCADORIAS</t>
        </is>
      </c>
      <c r="S2121" s="59" t="n">
        <v>1130101</v>
      </c>
      <c r="T2121" s="59" t="inlineStr">
        <is>
          <t>MERCADORIAS P/REVENDA</t>
        </is>
      </c>
      <c r="U2121" s="77" t="n">
        <v>1790.11</v>
      </c>
      <c r="W2121" s="59" t="n">
        <v>1790.11</v>
      </c>
      <c r="X2121" s="59" t="inlineStr">
        <is>
          <t>NF 1696462 C/DESCONTO NO BOLETO - DEBORA</t>
        </is>
      </c>
      <c r="Z2121" s="59">
        <f>IF($T2121="","",IFERROR(INDEX('Resumo Grupos'!$AC$3:$AC$200,MATCH($T2121,'Resumo Grupos'!$AB$3:$AB$200,0)),"n/d"))</f>
        <v/>
      </c>
      <c r="AA2121" s="59">
        <f>IF($T2121="","",IF(COUNTIF('Resumo Grupos'!$AE$3:$AE$40,$T2121)&gt;0,"NAO","SIM"))</f>
        <v/>
      </c>
    </row>
    <row r="2122" ht="12.75" customHeight="1" s="60">
      <c r="A2122" s="59" t="n">
        <v>1</v>
      </c>
      <c r="B2122" s="75" t="n">
        <v>46226</v>
      </c>
      <c r="C2122" s="75" t="n">
        <v>46253</v>
      </c>
      <c r="D2122" s="59" t="n">
        <v>1745</v>
      </c>
      <c r="E2122" s="59" t="inlineStr">
        <is>
          <t>TRES CORACOES ALIMENTOS S.A.</t>
        </is>
      </c>
      <c r="F2122" s="59" t="n">
        <v>24</v>
      </c>
      <c r="G2122" s="59" t="inlineStr">
        <is>
          <t>Compra a Prazo - Boletos</t>
        </is>
      </c>
      <c r="H2122" s="59" t="n">
        <v>2110405</v>
      </c>
      <c r="I2122" s="59" t="inlineStr">
        <is>
          <t>CONTAS A PAGAR</t>
        </is>
      </c>
      <c r="J2122" s="59" t="n">
        <v>1440158</v>
      </c>
      <c r="L2122" s="59" t="n">
        <v>353326</v>
      </c>
      <c r="M2122" s="59" t="inlineStr">
        <is>
          <t>03</t>
        </is>
      </c>
      <c r="N2122" s="59" t="inlineStr">
        <is>
          <t>AVU</t>
        </is>
      </c>
      <c r="P2122" s="59" t="n">
        <v>103</v>
      </c>
      <c r="Q2122" s="59" t="inlineStr">
        <is>
          <t>MILKA FRANCIS</t>
        </is>
      </c>
      <c r="R2122" s="59" t="inlineStr">
        <is>
          <t>ESTOQUE DE MERCADORIAS</t>
        </is>
      </c>
      <c r="S2122" s="59" t="n">
        <v>1130101</v>
      </c>
      <c r="T2122" s="59" t="inlineStr">
        <is>
          <t>MERCADORIAS P/REVENDA</t>
        </is>
      </c>
      <c r="U2122" s="77" t="n">
        <v>2063.47</v>
      </c>
      <c r="W2122" s="59" t="n">
        <v>2063.47</v>
      </c>
      <c r="X2122" s="59" t="inlineStr">
        <is>
          <t>NF353326-03 MILKA</t>
        </is>
      </c>
      <c r="Z2122" s="59">
        <f>IF($T2122="","",IFERROR(INDEX('Resumo Grupos'!$AC$3:$AC$200,MATCH($T2122,'Resumo Grupos'!$AB$3:$AB$200,0)),"n/d"))</f>
        <v/>
      </c>
      <c r="AA2122" s="59">
        <f>IF($T2122="","",IF(COUNTIF('Resumo Grupos'!$AE$3:$AE$40,$T2122)&gt;0,"NAO","SIM"))</f>
        <v/>
      </c>
    </row>
    <row r="2123" ht="12.75" customHeight="1" s="60">
      <c r="A2123" s="59" t="n">
        <v>1</v>
      </c>
      <c r="B2123" s="75" t="n">
        <v>46227</v>
      </c>
      <c r="C2123" s="75" t="n">
        <v>46253</v>
      </c>
      <c r="D2123" s="59" t="n">
        <v>1624</v>
      </c>
      <c r="E2123" s="59" t="inlineStr">
        <is>
          <t>RISADINHA LTDA</t>
        </is>
      </c>
      <c r="F2123" s="59" t="n">
        <v>24</v>
      </c>
      <c r="G2123" s="59" t="inlineStr">
        <is>
          <t>Compra a Prazo - Boletos</t>
        </is>
      </c>
      <c r="H2123" s="59" t="n">
        <v>2110405</v>
      </c>
      <c r="I2123" s="59" t="inlineStr">
        <is>
          <t>CONTAS A PAGAR</t>
        </is>
      </c>
      <c r="J2123" s="59" t="n">
        <v>1443647</v>
      </c>
      <c r="L2123" s="59" t="n">
        <v>665164</v>
      </c>
      <c r="M2123" s="59" t="inlineStr">
        <is>
          <t>02</t>
        </is>
      </c>
      <c r="N2123" s="59" t="inlineStr">
        <is>
          <t>AVU</t>
        </is>
      </c>
      <c r="P2123" s="59" t="n">
        <v>103</v>
      </c>
      <c r="Q2123" s="59" t="inlineStr">
        <is>
          <t>MILKA FRANCIS</t>
        </is>
      </c>
      <c r="R2123" s="59" t="inlineStr">
        <is>
          <t>ESTOQUE DE MERCADORIAS</t>
        </is>
      </c>
      <c r="S2123" s="59" t="n">
        <v>1130101</v>
      </c>
      <c r="T2123" s="59" t="inlineStr">
        <is>
          <t>MERCADORIAS P/REVENDA</t>
        </is>
      </c>
      <c r="U2123" s="77" t="n">
        <v>853.9</v>
      </c>
      <c r="W2123" s="59" t="n">
        <v>853.9</v>
      </c>
      <c r="X2123" s="59" t="inlineStr">
        <is>
          <t>NF 665164 -2 MILKA</t>
        </is>
      </c>
      <c r="Z2123" s="59">
        <f>IF($T2123="","",IFERROR(INDEX('Resumo Grupos'!$AC$3:$AC$200,MATCH($T2123,'Resumo Grupos'!$AB$3:$AB$200,0)),"n/d"))</f>
        <v/>
      </c>
      <c r="AA2123" s="59">
        <f>IF($T2123="","",IF(COUNTIF('Resumo Grupos'!$AE$3:$AE$40,$T2123)&gt;0,"NAO","SIM"))</f>
        <v/>
      </c>
    </row>
    <row r="2124" ht="12.75" customHeight="1" s="60">
      <c r="A2124" s="59" t="n">
        <v>1</v>
      </c>
      <c r="B2124" s="75" t="n">
        <v>46228</v>
      </c>
      <c r="C2124" s="75" t="n">
        <v>46253</v>
      </c>
      <c r="D2124" s="59" t="n">
        <v>1636</v>
      </c>
      <c r="E2124" s="59" t="inlineStr">
        <is>
          <t>DUNORTE DISTRIBUIDORA DE PRODUTOS DE CONSUMO LTDA</t>
        </is>
      </c>
      <c r="F2124" s="59" t="n">
        <v>24</v>
      </c>
      <c r="G2124" s="59" t="inlineStr">
        <is>
          <t>Compra a Prazo - Boletos</t>
        </is>
      </c>
      <c r="H2124" s="59" t="n">
        <v>2110405</v>
      </c>
      <c r="I2124" s="59" t="inlineStr">
        <is>
          <t>CONTAS A PAGAR</t>
        </is>
      </c>
      <c r="J2124" s="59" t="n">
        <v>1449938</v>
      </c>
      <c r="L2124" s="59" t="n">
        <v>3223292</v>
      </c>
      <c r="M2124" s="59" t="inlineStr">
        <is>
          <t>02</t>
        </is>
      </c>
      <c r="N2124" s="59" t="inlineStr">
        <is>
          <t>AVU</t>
        </is>
      </c>
      <c r="P2124" s="59" t="n">
        <v>103</v>
      </c>
      <c r="Q2124" s="59" t="inlineStr">
        <is>
          <t>MILKA FRANCIS</t>
        </is>
      </c>
      <c r="R2124" s="59" t="inlineStr">
        <is>
          <t>ESTOQUE DE MERCADORIAS</t>
        </is>
      </c>
      <c r="S2124" s="59" t="n">
        <v>1130101</v>
      </c>
      <c r="T2124" s="59" t="inlineStr">
        <is>
          <t>MERCADORIAS P/REVENDA</t>
        </is>
      </c>
      <c r="U2124" s="77" t="n">
        <v>1643.31</v>
      </c>
      <c r="W2124" s="59" t="n">
        <v>1643.31</v>
      </c>
      <c r="X2124" s="59" t="inlineStr">
        <is>
          <t>NF 3223292-2 C/TAXA PARC. - MILKA</t>
        </is>
      </c>
      <c r="Z2124" s="59">
        <f>IF($T2124="","",IFERROR(INDEX('Resumo Grupos'!$AC$3:$AC$200,MATCH($T2124,'Resumo Grupos'!$AB$3:$AB$200,0)),"n/d"))</f>
        <v/>
      </c>
      <c r="AA2124" s="59">
        <f>IF($T2124="","",IF(COUNTIF('Resumo Grupos'!$AE$3:$AE$40,$T2124)&gt;0,"NAO","SIM"))</f>
        <v/>
      </c>
    </row>
    <row r="2125" ht="12.75" customHeight="1" s="60">
      <c r="A2125" s="59" t="n">
        <v>1</v>
      </c>
      <c r="B2125" s="75" t="n">
        <v>46235</v>
      </c>
      <c r="C2125" s="75" t="n">
        <v>46253</v>
      </c>
      <c r="D2125" s="59" t="n">
        <v>1613</v>
      </c>
      <c r="E2125" s="59" t="inlineStr">
        <is>
          <t>BRF S A</t>
        </is>
      </c>
      <c r="F2125" s="59" t="n">
        <v>24</v>
      </c>
      <c r="G2125" s="59" t="inlineStr">
        <is>
          <t>Compra a Prazo - Boletos</t>
        </is>
      </c>
      <c r="H2125" s="59" t="n">
        <v>2110405</v>
      </c>
      <c r="I2125" s="59" t="inlineStr">
        <is>
          <t>CONTAS A PAGAR</t>
        </is>
      </c>
      <c r="J2125" s="59" t="n">
        <v>1482290</v>
      </c>
      <c r="L2125" s="59" t="n">
        <v>1614419</v>
      </c>
      <c r="M2125" s="59" t="inlineStr">
        <is>
          <t>02</t>
        </is>
      </c>
      <c r="N2125" s="59" t="inlineStr">
        <is>
          <t>AVU</t>
        </is>
      </c>
      <c r="P2125" s="59" t="n">
        <v>103</v>
      </c>
      <c r="Q2125" s="59" t="inlineStr">
        <is>
          <t>MILKA FRANCIS</t>
        </is>
      </c>
      <c r="R2125" s="59" t="inlineStr">
        <is>
          <t>ESTOQUE DE MERCADORIAS</t>
        </is>
      </c>
      <c r="S2125" s="59" t="n">
        <v>1130101</v>
      </c>
      <c r="T2125" s="59" t="inlineStr">
        <is>
          <t>MERCADORIAS P/REVENDA</t>
        </is>
      </c>
      <c r="U2125" s="77" t="n">
        <v>1798.15</v>
      </c>
      <c r="W2125" s="59" t="n">
        <v>1798.15</v>
      </c>
      <c r="X2125" s="59" t="inlineStr">
        <is>
          <t>NF 1614419-2 DESCONTO NO BOLETO - MILKA</t>
        </is>
      </c>
      <c r="Z2125" s="59">
        <f>IF($T2125="","",IFERROR(INDEX('Resumo Grupos'!$AC$3:$AC$200,MATCH($T2125,'Resumo Grupos'!$AB$3:$AB$200,0)),"n/d"))</f>
        <v/>
      </c>
      <c r="AA2125" s="59">
        <f>IF($T2125="","",IF(COUNTIF('Resumo Grupos'!$AE$3:$AE$40,$T2125)&gt;0,"NAO","SIM"))</f>
        <v/>
      </c>
    </row>
    <row r="2126" ht="12.75" customHeight="1" s="60">
      <c r="A2126" s="59" t="n">
        <v>1</v>
      </c>
      <c r="B2126" s="75" t="n">
        <v>46239</v>
      </c>
      <c r="C2126" s="75" t="n">
        <v>46253</v>
      </c>
      <c r="D2126" s="59" t="n">
        <v>1643</v>
      </c>
      <c r="E2126" s="59" t="inlineStr">
        <is>
          <t>T A DE MATTOS COMIM EIRELI</t>
        </is>
      </c>
      <c r="F2126" s="59" t="n">
        <v>24</v>
      </c>
      <c r="G2126" s="59" t="inlineStr">
        <is>
          <t>Compra a Prazo - Boletos</t>
        </is>
      </c>
      <c r="H2126" s="59" t="n">
        <v>2110405</v>
      </c>
      <c r="I2126" s="59" t="inlineStr">
        <is>
          <t>CONTAS A PAGAR</t>
        </is>
      </c>
      <c r="J2126" s="59" t="n">
        <v>1503722</v>
      </c>
      <c r="L2126" s="59" t="n">
        <v>10800</v>
      </c>
      <c r="M2126" s="59" t="inlineStr">
        <is>
          <t>01</t>
        </is>
      </c>
      <c r="N2126" s="59" t="inlineStr">
        <is>
          <t>AVU</t>
        </is>
      </c>
      <c r="P2126" s="59" t="n">
        <v>103</v>
      </c>
      <c r="Q2126" s="59" t="inlineStr">
        <is>
          <t>MILKA FRANCIS</t>
        </is>
      </c>
      <c r="R2126" s="59" t="inlineStr">
        <is>
          <t>ESTOQUE DE MERCADORIAS</t>
        </is>
      </c>
      <c r="S2126" s="59" t="n">
        <v>1130101</v>
      </c>
      <c r="T2126" s="59" t="inlineStr">
        <is>
          <t>MERCADORIAS P/REVENDA</t>
        </is>
      </c>
      <c r="U2126" s="77" t="n">
        <v>228</v>
      </c>
      <c r="W2126" s="59" t="n">
        <v>228</v>
      </c>
      <c r="X2126" s="59" t="inlineStr">
        <is>
          <t>NF 10800 CASA NOSTRA - MILKA</t>
        </is>
      </c>
      <c r="Z2126" s="59">
        <f>IF($T2126="","",IFERROR(INDEX('Resumo Grupos'!$AC$3:$AC$200,MATCH($T2126,'Resumo Grupos'!$AB$3:$AB$200,0)),"n/d"))</f>
        <v/>
      </c>
      <c r="AA2126" s="59">
        <f>IF($T2126="","",IF(COUNTIF('Resumo Grupos'!$AE$3:$AE$40,$T2126)&gt;0,"NAO","SIM"))</f>
        <v/>
      </c>
    </row>
    <row r="2127" ht="12.75" customHeight="1" s="60">
      <c r="A2127" s="59" t="n">
        <v>1</v>
      </c>
      <c r="B2127" s="75" t="n">
        <v>46240</v>
      </c>
      <c r="C2127" s="75" t="n">
        <v>46253</v>
      </c>
      <c r="D2127" s="59" t="n">
        <v>1670</v>
      </c>
      <c r="E2127" s="59" t="inlineStr">
        <is>
          <t>AMAZONIA INDUSTRIA E COMERCIO DE POLPAS</t>
        </is>
      </c>
      <c r="F2127" s="59" t="n">
        <v>24</v>
      </c>
      <c r="G2127" s="59" t="inlineStr">
        <is>
          <t>Compra a Prazo - Boletos</t>
        </is>
      </c>
      <c r="H2127" s="59" t="n">
        <v>2110405</v>
      </c>
      <c r="I2127" s="59" t="inlineStr">
        <is>
          <t>CONTAS A PAGAR</t>
        </is>
      </c>
      <c r="J2127" s="59" t="n">
        <v>1508591</v>
      </c>
      <c r="L2127" s="59" t="n">
        <v>271909</v>
      </c>
      <c r="M2127" s="59" t="inlineStr">
        <is>
          <t>01</t>
        </is>
      </c>
      <c r="N2127" s="59" t="inlineStr">
        <is>
          <t>AVU</t>
        </is>
      </c>
      <c r="P2127" s="59" t="n">
        <v>103</v>
      </c>
      <c r="Q2127" s="59" t="inlineStr">
        <is>
          <t>MILKA FRANCIS</t>
        </is>
      </c>
      <c r="R2127" s="59" t="inlineStr">
        <is>
          <t>ESTOQUE DE MERCADORIAS</t>
        </is>
      </c>
      <c r="S2127" s="59" t="n">
        <v>1130101</v>
      </c>
      <c r="T2127" s="59" t="inlineStr">
        <is>
          <t>MERCADORIAS P/REVENDA</t>
        </is>
      </c>
      <c r="U2127" s="77" t="n">
        <v>758</v>
      </c>
      <c r="W2127" s="59" t="n">
        <v>758</v>
      </c>
      <c r="X2127" s="59" t="inlineStr">
        <is>
          <t>NF 271909 - MILKA</t>
        </is>
      </c>
      <c r="Z2127" s="59">
        <f>IF($T2127="","",IFERROR(INDEX('Resumo Grupos'!$AC$3:$AC$200,MATCH($T2127,'Resumo Grupos'!$AB$3:$AB$200,0)),"n/d"))</f>
        <v/>
      </c>
      <c r="AA2127" s="59">
        <f>IF($T2127="","",IF(COUNTIF('Resumo Grupos'!$AE$3:$AE$40,$T2127)&gt;0,"NAO","SIM"))</f>
        <v/>
      </c>
    </row>
    <row r="2128" ht="12.75" customHeight="1" s="60">
      <c r="A2128" s="59" t="n">
        <v>1</v>
      </c>
      <c r="B2128" s="75" t="n">
        <v>46241</v>
      </c>
      <c r="C2128" s="75" t="n">
        <v>46253</v>
      </c>
      <c r="D2128" s="59" t="n">
        <v>1613</v>
      </c>
      <c r="E2128" s="59" t="inlineStr">
        <is>
          <t>BRF S A</t>
        </is>
      </c>
      <c r="F2128" s="59" t="n">
        <v>24</v>
      </c>
      <c r="G2128" s="59" t="inlineStr">
        <is>
          <t>Compra a Prazo - Boletos</t>
        </is>
      </c>
      <c r="H2128" s="59" t="n">
        <v>2110405</v>
      </c>
      <c r="I2128" s="59" t="inlineStr">
        <is>
          <t>CONTAS A PAGAR</t>
        </is>
      </c>
      <c r="J2128" s="59" t="n">
        <v>1515520</v>
      </c>
      <c r="L2128" s="59" t="n">
        <v>1616799</v>
      </c>
      <c r="M2128" s="59" t="inlineStr">
        <is>
          <t>01</t>
        </is>
      </c>
      <c r="N2128" s="59" t="inlineStr">
        <is>
          <t>AVU</t>
        </is>
      </c>
      <c r="P2128" s="59" t="n">
        <v>103</v>
      </c>
      <c r="Q2128" s="59" t="inlineStr">
        <is>
          <t>MILKA FRANCIS</t>
        </is>
      </c>
      <c r="R2128" s="59" t="inlineStr">
        <is>
          <t>ESTOQUE DE MERCADORIAS</t>
        </is>
      </c>
      <c r="S2128" s="59" t="n">
        <v>1130101</v>
      </c>
      <c r="T2128" s="59" t="inlineStr">
        <is>
          <t>MERCADORIAS P/REVENDA</t>
        </is>
      </c>
      <c r="U2128" s="77" t="n">
        <v>3101.67</v>
      </c>
      <c r="W2128" s="59" t="n">
        <v>3101.67</v>
      </c>
      <c r="X2128" s="59" t="inlineStr">
        <is>
          <t>NF 1616799-01/02 MILKA</t>
        </is>
      </c>
      <c r="Z2128" s="59">
        <f>IF($T2128="","",IFERROR(INDEX('Resumo Grupos'!$AC$3:$AC$200,MATCH($T2128,'Resumo Grupos'!$AB$3:$AB$200,0)),"n/d"))</f>
        <v/>
      </c>
      <c r="AA2128" s="59">
        <f>IF($T2128="","",IF(COUNTIF('Resumo Grupos'!$AE$3:$AE$40,$T2128)&gt;0,"NAO","SIM"))</f>
        <v/>
      </c>
    </row>
    <row r="2129" ht="12.75" customHeight="1" s="60">
      <c r="A2129" s="59" t="n">
        <v>1</v>
      </c>
      <c r="B2129" s="75" t="n">
        <v>46241</v>
      </c>
      <c r="C2129" s="75" t="n">
        <v>46253</v>
      </c>
      <c r="D2129" s="59" t="n">
        <v>1613</v>
      </c>
      <c r="E2129" s="59" t="inlineStr">
        <is>
          <t>BRF S A</t>
        </is>
      </c>
      <c r="F2129" s="59" t="n">
        <v>24</v>
      </c>
      <c r="G2129" s="59" t="inlineStr">
        <is>
          <t>Compra a Prazo - Boletos</t>
        </is>
      </c>
      <c r="H2129" s="59" t="n">
        <v>2110405</v>
      </c>
      <c r="I2129" s="59" t="inlineStr">
        <is>
          <t>CONTAS A PAGAR</t>
        </is>
      </c>
      <c r="J2129" s="59" t="n">
        <v>1515617</v>
      </c>
      <c r="L2129" s="59" t="n">
        <v>1616568</v>
      </c>
      <c r="M2129" s="59" t="inlineStr">
        <is>
          <t>01</t>
        </is>
      </c>
      <c r="N2129" s="59" t="inlineStr">
        <is>
          <t>AVU</t>
        </is>
      </c>
      <c r="P2129" s="59" t="n">
        <v>103</v>
      </c>
      <c r="Q2129" s="59" t="inlineStr">
        <is>
          <t>MILKA FRANCIS</t>
        </is>
      </c>
      <c r="R2129" s="59" t="inlineStr">
        <is>
          <t>ESTOQUE DE MERCADORIAS</t>
        </is>
      </c>
      <c r="S2129" s="59" t="n">
        <v>1130101</v>
      </c>
      <c r="T2129" s="59" t="inlineStr">
        <is>
          <t>MERCADORIAS P/REVENDA</t>
        </is>
      </c>
      <c r="U2129" s="77" t="n">
        <v>634.73</v>
      </c>
      <c r="W2129" s="59" t="n">
        <v>634.73</v>
      </c>
      <c r="X2129" s="59" t="inlineStr">
        <is>
          <t>NF 1616568-01/02 - MILKA</t>
        </is>
      </c>
      <c r="Z2129" s="59">
        <f>IF($T2129="","",IFERROR(INDEX('Resumo Grupos'!$AC$3:$AC$200,MATCH($T2129,'Resumo Grupos'!$AB$3:$AB$200,0)),"n/d"))</f>
        <v/>
      </c>
      <c r="AA2129" s="59">
        <f>IF($T2129="","",IF(COUNTIF('Resumo Grupos'!$AE$3:$AE$40,$T2129)&gt;0,"NAO","SIM"))</f>
        <v/>
      </c>
    </row>
    <row r="2130" ht="12.75" customHeight="1" s="60">
      <c r="A2130" s="59" t="n">
        <v>1</v>
      </c>
      <c r="B2130" s="75" t="n">
        <v>46248</v>
      </c>
      <c r="C2130" s="75" t="n">
        <v>46253</v>
      </c>
      <c r="D2130" s="59" t="n">
        <v>10018</v>
      </c>
      <c r="E2130" s="59" t="inlineStr">
        <is>
          <t>ADRIANO FEITOSA OLIVEIRA LTDA</t>
        </is>
      </c>
      <c r="F2130" s="59" t="n">
        <v>34</v>
      </c>
      <c r="G2130" s="59" t="inlineStr">
        <is>
          <t>Transferencia Pix</t>
        </is>
      </c>
      <c r="H2130" s="59" t="n">
        <v>2110405</v>
      </c>
      <c r="I2130" s="59" t="inlineStr">
        <is>
          <t>CONTAS A PAGAR</t>
        </is>
      </c>
      <c r="J2130" s="59" t="n">
        <v>1547026</v>
      </c>
      <c r="L2130" s="59" t="n">
        <v>359</v>
      </c>
      <c r="M2130" s="59" t="inlineStr">
        <is>
          <t>01</t>
        </is>
      </c>
      <c r="N2130" s="59" t="inlineStr">
        <is>
          <t>AVU</t>
        </is>
      </c>
      <c r="P2130" s="59" t="n">
        <v>103</v>
      </c>
      <c r="Q2130" s="59" t="inlineStr">
        <is>
          <t>MILKA FRANCIS</t>
        </is>
      </c>
      <c r="R2130" s="59" t="inlineStr">
        <is>
          <t>ESTOQUE DE MERCADORIAS</t>
        </is>
      </c>
      <c r="S2130" s="59" t="n">
        <v>1130101</v>
      </c>
      <c r="T2130" s="59" t="inlineStr">
        <is>
          <t>MERCADORIAS P/REVENDA</t>
        </is>
      </c>
      <c r="U2130" s="77" t="n">
        <v>899.5</v>
      </c>
      <c r="W2130" s="59" t="n">
        <v>899.5</v>
      </c>
      <c r="X2130" s="59" t="inlineStr">
        <is>
          <t>NF 359 - MILKA</t>
        </is>
      </c>
      <c r="Z2130" s="59">
        <f>IF($T2130="","",IFERROR(INDEX('Resumo Grupos'!$AC$3:$AC$200,MATCH($T2130,'Resumo Grupos'!$AB$3:$AB$200,0)),"n/d"))</f>
        <v/>
      </c>
      <c r="AA2130" s="59">
        <f>IF($T2130="","",IF(COUNTIF('Resumo Grupos'!$AE$3:$AE$40,$T2130)&gt;0,"NAO","SIM"))</f>
        <v/>
      </c>
    </row>
    <row r="2131" ht="12.75" customHeight="1" s="60">
      <c r="A2131" s="59" t="n">
        <v>1</v>
      </c>
      <c r="B2131" s="75" t="n">
        <v>46252</v>
      </c>
      <c r="C2131" s="75" t="n">
        <v>46253</v>
      </c>
      <c r="D2131" s="59" t="n">
        <v>1363</v>
      </c>
      <c r="E2131" s="59" t="inlineStr">
        <is>
          <t>JAB COMERCIO DE PRODUTOS ALIMENTICIOS LT</t>
        </is>
      </c>
      <c r="F2131" s="59" t="n">
        <v>24</v>
      </c>
      <c r="G2131" s="59" t="inlineStr">
        <is>
          <t>Compra a Prazo - Boletos</t>
        </is>
      </c>
      <c r="H2131" s="59" t="n">
        <v>2110405</v>
      </c>
      <c r="I2131" s="59" t="inlineStr">
        <is>
          <t>CONTAS A PAGAR</t>
        </is>
      </c>
      <c r="J2131" s="59" t="n">
        <v>1566839</v>
      </c>
      <c r="L2131" s="59" t="n">
        <v>3722</v>
      </c>
      <c r="M2131" s="59" t="inlineStr">
        <is>
          <t>01</t>
        </is>
      </c>
      <c r="N2131" s="59" t="inlineStr">
        <is>
          <t>AVU</t>
        </is>
      </c>
      <c r="P2131" s="59" t="n">
        <v>103</v>
      </c>
      <c r="Q2131" s="59" t="inlineStr">
        <is>
          <t>MILKA FRANCIS</t>
        </is>
      </c>
      <c r="R2131" s="59" t="inlineStr">
        <is>
          <t>ESTOQUE DE MERCADORIAS</t>
        </is>
      </c>
      <c r="S2131" s="59" t="n">
        <v>1130101</v>
      </c>
      <c r="T2131" s="59" t="inlineStr">
        <is>
          <t>MERCADORIAS P/REVENDA</t>
        </is>
      </c>
      <c r="U2131" s="77" t="n">
        <v>266</v>
      </c>
      <c r="W2131" s="59" t="n">
        <v>266</v>
      </c>
      <c r="X2131" s="59" t="inlineStr">
        <is>
          <t>NF 3722 SANTO PAO - MILKA</t>
        </is>
      </c>
      <c r="Z2131" s="59">
        <f>IF($T2131="","",IFERROR(INDEX('Resumo Grupos'!$AC$3:$AC$200,MATCH($T2131,'Resumo Grupos'!$AB$3:$AB$200,0)),"n/d"))</f>
        <v/>
      </c>
      <c r="AA2131" s="59">
        <f>IF($T2131="","",IF(COUNTIF('Resumo Grupos'!$AE$3:$AE$40,$T2131)&gt;0,"NAO","SIM"))</f>
        <v/>
      </c>
    </row>
    <row r="2132" ht="12.75" customHeight="1" s="60">
      <c r="A2132" s="59" t="n">
        <v>1</v>
      </c>
      <c r="B2132" s="75" t="n">
        <v>46252</v>
      </c>
      <c r="C2132" s="75" t="n">
        <v>46253</v>
      </c>
      <c r="D2132" s="59" t="n">
        <v>33</v>
      </c>
      <c r="E2132" s="59" t="inlineStr">
        <is>
          <t>RENATO DE O AZEVEDO E CIA LTDA - EPP</t>
        </is>
      </c>
      <c r="F2132" s="59" t="n">
        <v>34</v>
      </c>
      <c r="G2132" s="59" t="inlineStr">
        <is>
          <t>Transferencia Pix</t>
        </is>
      </c>
      <c r="H2132" s="59" t="n">
        <v>2110101</v>
      </c>
      <c r="I2132" s="59" t="inlineStr">
        <is>
          <t>FORNECEDORES DE MERCADORIA</t>
        </is>
      </c>
      <c r="J2132" s="59" t="n">
        <v>1567624</v>
      </c>
      <c r="L2132" s="59" t="n">
        <v>5515</v>
      </c>
      <c r="M2132" s="59" t="inlineStr">
        <is>
          <t>01</t>
        </is>
      </c>
      <c r="N2132" s="59" t="inlineStr">
        <is>
          <t>NFE</t>
        </is>
      </c>
      <c r="P2132" s="59" t="n">
        <v>104</v>
      </c>
      <c r="Q2132" s="59" t="inlineStr">
        <is>
          <t>DEBORA COSTA</t>
        </is>
      </c>
      <c r="R2132" s="59" t="inlineStr">
        <is>
          <t>ESTOQUE DE MERCADORIAS</t>
        </is>
      </c>
      <c r="S2132" s="59" t="n">
        <v>1130101</v>
      </c>
      <c r="T2132" s="59" t="inlineStr">
        <is>
          <t>MERCADORIAS P/REVENDA</t>
        </is>
      </c>
      <c r="U2132" s="77" t="n">
        <v>1259</v>
      </c>
      <c r="W2132" s="59" t="n">
        <v>1259</v>
      </c>
      <c r="X2132" s="59" t="inlineStr">
        <is>
          <t>FEIRA CARLOS - DEBORA</t>
        </is>
      </c>
      <c r="Z2132" s="59">
        <f>IF($T2132="","",IFERROR(INDEX('Resumo Grupos'!$AC$3:$AC$200,MATCH($T2132,'Resumo Grupos'!$AB$3:$AB$200,0)),"n/d"))</f>
        <v/>
      </c>
      <c r="AA2132" s="59">
        <f>IF($T2132="","",IF(COUNTIF('Resumo Grupos'!$AE$3:$AE$40,$T2132)&gt;0,"NAO","SIM"))</f>
        <v/>
      </c>
    </row>
    <row r="2133" ht="12.75" customHeight="1" s="60">
      <c r="A2133" s="59" t="n">
        <v>1</v>
      </c>
      <c r="B2133" s="75" t="n">
        <v>46252</v>
      </c>
      <c r="C2133" s="75" t="n">
        <v>46253</v>
      </c>
      <c r="D2133" s="59" t="n">
        <v>1615</v>
      </c>
      <c r="E2133" s="59" t="inlineStr">
        <is>
          <t>COMERCIO E TRANSPORTE BRANDAO LTDA</t>
        </is>
      </c>
      <c r="F2133" s="59" t="n">
        <v>34</v>
      </c>
      <c r="G2133" s="59" t="inlineStr">
        <is>
          <t>Transferencia Pix</t>
        </is>
      </c>
      <c r="H2133" s="59" t="n">
        <v>2110101</v>
      </c>
      <c r="I2133" s="59" t="inlineStr">
        <is>
          <t>FORNECEDORES DE MERCADORIA</t>
        </is>
      </c>
      <c r="J2133" s="59" t="n">
        <v>1567671</v>
      </c>
      <c r="L2133" s="59" t="n">
        <v>15133</v>
      </c>
      <c r="M2133" s="59" t="inlineStr">
        <is>
          <t>01</t>
        </is>
      </c>
      <c r="N2133" s="59" t="inlineStr">
        <is>
          <t>NFE</t>
        </is>
      </c>
      <c r="P2133" s="59" t="n">
        <v>104</v>
      </c>
      <c r="Q2133" s="59" t="inlineStr">
        <is>
          <t>DEBORA COSTA</t>
        </is>
      </c>
      <c r="R2133" s="59" t="inlineStr">
        <is>
          <t>ESTOQUE DE MERCADORIAS</t>
        </is>
      </c>
      <c r="S2133" s="59" t="n">
        <v>1130101</v>
      </c>
      <c r="T2133" s="59" t="inlineStr">
        <is>
          <t>MERCADORIAS P/REVENDA</t>
        </is>
      </c>
      <c r="U2133" s="77" t="n">
        <v>750</v>
      </c>
      <c r="W2133" s="59" t="n">
        <v>750</v>
      </c>
      <c r="X2133" s="59" t="inlineStr">
        <is>
          <t>NF 15133 - DEBORA</t>
        </is>
      </c>
      <c r="Z2133" s="59">
        <f>IF($T2133="","",IFERROR(INDEX('Resumo Grupos'!$AC$3:$AC$200,MATCH($T2133,'Resumo Grupos'!$AB$3:$AB$200,0)),"n/d"))</f>
        <v/>
      </c>
      <c r="AA2133" s="59">
        <f>IF($T2133="","",IF(COUNTIF('Resumo Grupos'!$AE$3:$AE$40,$T2133)&gt;0,"NAO","SIM"))</f>
        <v/>
      </c>
    </row>
    <row r="2134" ht="12.75" customHeight="1" s="60">
      <c r="A2134" s="59" t="n">
        <v>1</v>
      </c>
      <c r="B2134" s="75" t="n">
        <v>46253</v>
      </c>
      <c r="C2134" s="75" t="n">
        <v>46253</v>
      </c>
      <c r="D2134" s="59" t="n">
        <v>578</v>
      </c>
      <c r="E2134" s="59" t="inlineStr">
        <is>
          <t>DANIELE TEIXEIRA HUNHAPE</t>
        </is>
      </c>
      <c r="F2134" s="59" t="n">
        <v>24</v>
      </c>
      <c r="G2134" s="59" t="inlineStr">
        <is>
          <t>Compra a Prazo - Boletos</t>
        </is>
      </c>
      <c r="H2134" s="59" t="n">
        <v>2110405</v>
      </c>
      <c r="I2134" s="59" t="inlineStr">
        <is>
          <t>CONTAS A PAGAR</t>
        </is>
      </c>
      <c r="J2134" s="59" t="n">
        <v>1572830</v>
      </c>
      <c r="L2134" s="59" t="n">
        <v>642685</v>
      </c>
      <c r="M2134" s="59" t="inlineStr">
        <is>
          <t>01</t>
        </is>
      </c>
      <c r="N2134" s="59" t="inlineStr">
        <is>
          <t>AVU</t>
        </is>
      </c>
      <c r="P2134" s="59" t="n">
        <v>101</v>
      </c>
      <c r="Q2134" s="59" t="inlineStr">
        <is>
          <t>KEILA LIMA</t>
        </is>
      </c>
      <c r="R2134" s="59" t="inlineStr">
        <is>
          <t>DESPESAS A APROPRIAR</t>
        </is>
      </c>
      <c r="S2134" s="59" t="n">
        <v>1140101</v>
      </c>
      <c r="T2134" s="59" t="inlineStr">
        <is>
          <t>MENSALIDADE SEGURANCA TRABAHO - EXCELLET</t>
        </is>
      </c>
      <c r="U2134" s="77" t="n">
        <v>169.69</v>
      </c>
      <c r="W2134" s="59" t="n">
        <v>0</v>
      </c>
      <c r="X2134" s="59" t="inlineStr">
        <is>
          <t>MENSALIDADE SEG TRABALH MO1 PARTE - KEILA</t>
        </is>
      </c>
      <c r="Z2134" s="59">
        <f>IF($T2134="","",IFERROR(INDEX('Resumo Grupos'!$AC$3:$AC$200,MATCH($T2134,'Resumo Grupos'!$AB$3:$AB$200,0)),"n/d"))</f>
        <v/>
      </c>
      <c r="AA2134" s="59">
        <f>IF($T2134="","",IF(COUNTIF('Resumo Grupos'!$AE$3:$AE$40,$T2134)&gt;0,"NAO","SIM"))</f>
        <v/>
      </c>
    </row>
    <row r="2135" ht="12.75" customHeight="1" s="60">
      <c r="A2135" s="59" t="n">
        <v>1</v>
      </c>
      <c r="B2135" s="75" t="n">
        <v>46253</v>
      </c>
      <c r="C2135" s="75" t="n">
        <v>46253</v>
      </c>
      <c r="D2135" s="59" t="n">
        <v>33</v>
      </c>
      <c r="E2135" s="59" t="inlineStr">
        <is>
          <t>RENATO DE O AZEVEDO E CIA LTDA - EPP</t>
        </is>
      </c>
      <c r="F2135" s="59" t="n">
        <v>13</v>
      </c>
      <c r="G2135" s="59" t="inlineStr">
        <is>
          <t>Compra a Vista</t>
        </is>
      </c>
      <c r="H2135" s="59" t="n">
        <v>2110101</v>
      </c>
      <c r="I2135" s="59" t="inlineStr">
        <is>
          <t>FORNECEDORES DE MERCADORIA</t>
        </is>
      </c>
      <c r="J2135" s="59" t="n">
        <v>1572960</v>
      </c>
      <c r="L2135" s="59" t="n">
        <v>5518</v>
      </c>
      <c r="M2135" s="59" t="inlineStr">
        <is>
          <t>01</t>
        </is>
      </c>
      <c r="N2135" s="59" t="inlineStr">
        <is>
          <t>NFE</t>
        </is>
      </c>
      <c r="P2135" s="59" t="n">
        <v>104</v>
      </c>
      <c r="Q2135" s="59" t="inlineStr">
        <is>
          <t>DEBORA COSTA</t>
        </is>
      </c>
      <c r="R2135" s="59" t="inlineStr">
        <is>
          <t>ESTOQUE DE MERCADORIAS</t>
        </is>
      </c>
      <c r="S2135" s="59" t="n">
        <v>1130101</v>
      </c>
      <c r="T2135" s="59" t="inlineStr">
        <is>
          <t>MERCADORIAS P/REVENDA</t>
        </is>
      </c>
      <c r="U2135" s="77" t="n">
        <v>300</v>
      </c>
      <c r="W2135" s="59" t="n">
        <v>0</v>
      </c>
      <c r="X2135" s="59" t="inlineStr">
        <is>
          <t>ACAI DE ANORI - DEBORA</t>
        </is>
      </c>
      <c r="Z2135" s="59">
        <f>IF($T2135="","",IFERROR(INDEX('Resumo Grupos'!$AC$3:$AC$200,MATCH($T2135,'Resumo Grupos'!$AB$3:$AB$200,0)),"n/d"))</f>
        <v/>
      </c>
      <c r="AA2135" s="59">
        <f>IF($T2135="","",IF(COUNTIF('Resumo Grupos'!$AE$3:$AE$40,$T2135)&gt;0,"NAO","SIM"))</f>
        <v/>
      </c>
    </row>
    <row r="2136" ht="12.75" customHeight="1" s="60">
      <c r="A2136" s="59" t="n">
        <v>1</v>
      </c>
      <c r="B2136" s="75" t="n">
        <v>46253</v>
      </c>
      <c r="C2136" s="75" t="n">
        <v>46253</v>
      </c>
      <c r="D2136" s="59" t="n">
        <v>978</v>
      </c>
      <c r="E2136" s="59" t="inlineStr">
        <is>
          <t>GELO DANGELO FABRICACAO DE GELO LTDA</t>
        </is>
      </c>
      <c r="F2136" s="59" t="n">
        <v>13</v>
      </c>
      <c r="G2136" s="59" t="inlineStr">
        <is>
          <t>Compra a Vista</t>
        </is>
      </c>
      <c r="H2136" s="59" t="n">
        <v>2110101</v>
      </c>
      <c r="I2136" s="59" t="inlineStr">
        <is>
          <t>FORNECEDORES DE MERCADORIA</t>
        </is>
      </c>
      <c r="J2136" s="59" t="n">
        <v>1573002</v>
      </c>
      <c r="L2136" s="59" t="n">
        <v>502</v>
      </c>
      <c r="M2136" s="59" t="inlineStr">
        <is>
          <t>01</t>
        </is>
      </c>
      <c r="N2136" s="59" t="inlineStr">
        <is>
          <t>NFE</t>
        </is>
      </c>
      <c r="P2136" s="59" t="n">
        <v>104</v>
      </c>
      <c r="Q2136" s="59" t="inlineStr">
        <is>
          <t>DEBORA COSTA</t>
        </is>
      </c>
      <c r="R2136" s="59" t="inlineStr">
        <is>
          <t>ESTOQUE DE MERCADORIAS</t>
        </is>
      </c>
      <c r="S2136" s="59" t="n">
        <v>1130101</v>
      </c>
      <c r="T2136" s="59" t="inlineStr">
        <is>
          <t>MERCADORIAS P/REVENDA</t>
        </is>
      </c>
      <c r="U2136" s="77" t="n">
        <v>359.5</v>
      </c>
      <c r="W2136" s="59" t="n">
        <v>0</v>
      </c>
      <c r="X2136" s="59" t="inlineStr">
        <is>
          <t>NF 502 - DEBORA</t>
        </is>
      </c>
      <c r="Z2136" s="59">
        <f>IF($T2136="","",IFERROR(INDEX('Resumo Grupos'!$AC$3:$AC$200,MATCH($T2136,'Resumo Grupos'!$AB$3:$AB$200,0)),"n/d"))</f>
        <v/>
      </c>
      <c r="AA2136" s="59">
        <f>IF($T2136="","",IF(COUNTIF('Resumo Grupos'!$AE$3:$AE$40,$T2136)&gt;0,"NAO","SIM"))</f>
        <v/>
      </c>
    </row>
    <row r="2137" ht="12.75" customHeight="1" s="60">
      <c r="A2137" s="59" t="n">
        <v>1</v>
      </c>
      <c r="B2137" s="75" t="n">
        <v>46253</v>
      </c>
      <c r="C2137" s="75" t="n">
        <v>46253</v>
      </c>
      <c r="D2137" s="59" t="n">
        <v>714</v>
      </c>
      <c r="E2137" s="59" t="inlineStr">
        <is>
          <t>CARMEM ELIZA</t>
        </is>
      </c>
      <c r="F2137" s="59" t="n">
        <v>34</v>
      </c>
      <c r="G2137" s="59" t="inlineStr">
        <is>
          <t>Transferencia Pix</t>
        </is>
      </c>
      <c r="H2137" s="59" t="n">
        <v>2110405</v>
      </c>
      <c r="I2137" s="59" t="inlineStr">
        <is>
          <t>CONTAS A PAGAR</t>
        </is>
      </c>
      <c r="J2137" s="59" t="n">
        <v>1576263</v>
      </c>
      <c r="L2137" s="59" t="n">
        <v>644021</v>
      </c>
      <c r="M2137" s="59" t="inlineStr">
        <is>
          <t>01</t>
        </is>
      </c>
      <c r="N2137" s="59" t="inlineStr">
        <is>
          <t>AVU</t>
        </is>
      </c>
      <c r="P2137" s="59" t="n">
        <v>101</v>
      </c>
      <c r="Q2137" s="59" t="inlineStr">
        <is>
          <t>KEILA LIMA</t>
        </is>
      </c>
      <c r="R2137" s="59" t="inlineStr">
        <is>
          <t>DESPESAS NAO OPERACIONAIS</t>
        </is>
      </c>
      <c r="S2137" s="59" t="n">
        <v>4220199</v>
      </c>
      <c r="T2137" s="59" t="inlineStr">
        <is>
          <t>PAGAMENTOS OUTROS NAO OPERACIONAIS</t>
        </is>
      </c>
      <c r="U2137" s="77" t="n">
        <v>2000</v>
      </c>
      <c r="W2137" s="59" t="n">
        <v>2000</v>
      </c>
      <c r="X2137" s="59" t="inlineStr">
        <is>
          <t xml:space="preserve">OUTROS ADIANT ALUGUEL MO1 NAO SOMAR </t>
        </is>
      </c>
      <c r="Z2137" s="59">
        <f>IF($T2137="","",IFERROR(INDEX('Resumo Grupos'!$AC$3:$AC$200,MATCH($T2137,'Resumo Grupos'!$AB$3:$AB$200,0)),"n/d"))</f>
        <v/>
      </c>
      <c r="AA2137" s="59">
        <f>IF($T2137="","",IF(COUNTIF('Resumo Grupos'!$AE$3:$AE$40,$T2137)&gt;0,"NAO","SIM"))</f>
        <v/>
      </c>
    </row>
    <row r="2138" ht="12.75" customHeight="1" s="60">
      <c r="A2138" s="59" t="n">
        <v>1</v>
      </c>
      <c r="B2138" s="75" t="n">
        <v>46253</v>
      </c>
      <c r="C2138" s="75" t="n">
        <v>46253</v>
      </c>
      <c r="D2138" s="59" t="n">
        <v>578</v>
      </c>
      <c r="E2138" s="59" t="inlineStr">
        <is>
          <t>DANIELE TEIXEIRA HUNHAPE</t>
        </is>
      </c>
      <c r="F2138" s="59" t="n">
        <v>24</v>
      </c>
      <c r="G2138" s="59" t="inlineStr">
        <is>
          <t>Compra a Prazo - Boletos</t>
        </is>
      </c>
      <c r="H2138" s="59" t="n">
        <v>2110405</v>
      </c>
      <c r="I2138" s="59" t="inlineStr">
        <is>
          <t>CONTAS A PAGAR</t>
        </is>
      </c>
      <c r="J2138" s="59" t="n">
        <v>1576375</v>
      </c>
      <c r="L2138" s="59" t="n">
        <v>644047</v>
      </c>
      <c r="M2138" s="59" t="inlineStr">
        <is>
          <t>01</t>
        </is>
      </c>
      <c r="N2138" s="59" t="inlineStr">
        <is>
          <t>AVU</t>
        </is>
      </c>
      <c r="P2138" s="59" t="n">
        <v>101</v>
      </c>
      <c r="Q2138" s="59" t="inlineStr">
        <is>
          <t>KEILA LIMA</t>
        </is>
      </c>
      <c r="R2138" s="59" t="inlineStr">
        <is>
          <t>DESPESAS NAO OPERACIONAIS</t>
        </is>
      </c>
      <c r="S2138" s="59" t="n">
        <v>4220199</v>
      </c>
      <c r="T2138" s="59" t="inlineStr">
        <is>
          <t>PAGAMENTOS OUTROS NAO OPERACIONAIS</t>
        </is>
      </c>
      <c r="U2138" s="77" t="n">
        <v>500</v>
      </c>
      <c r="W2138" s="59" t="n">
        <v>500</v>
      </c>
      <c r="X2138" s="59" t="inlineStr">
        <is>
          <t xml:space="preserve">OUTROS MENSALIDADE SEG TRABL LAUDOS LOJAS NAO </t>
        </is>
      </c>
      <c r="Z2138" s="59">
        <f>IF($T2138="","",IFERROR(INDEX('Resumo Grupos'!$AC$3:$AC$200,MATCH($T2138,'Resumo Grupos'!$AB$3:$AB$200,0)),"n/d"))</f>
        <v/>
      </c>
      <c r="AA2138" s="59">
        <f>IF($T2138="","",IF(COUNTIF('Resumo Grupos'!$AE$3:$AE$40,$T2138)&gt;0,"NAO","SIM"))</f>
        <v/>
      </c>
    </row>
    <row r="2139" ht="12.75" customHeight="1" s="60">
      <c r="A2139" s="59" t="n">
        <v>1</v>
      </c>
      <c r="B2139" s="75" t="n">
        <v>46220</v>
      </c>
      <c r="C2139" s="75" t="n">
        <v>46254</v>
      </c>
      <c r="D2139" s="59" t="n">
        <v>10012</v>
      </c>
      <c r="E2139" s="59" t="inlineStr">
        <is>
          <t>SB COMERCIO LTDA</t>
        </is>
      </c>
      <c r="F2139" s="59" t="n">
        <v>24</v>
      </c>
      <c r="G2139" s="59" t="inlineStr">
        <is>
          <t>Compra a Prazo - Boletos</t>
        </is>
      </c>
      <c r="H2139" s="59" t="n">
        <v>2110405</v>
      </c>
      <c r="I2139" s="59" t="inlineStr">
        <is>
          <t>CONTAS A PAGAR</t>
        </is>
      </c>
      <c r="J2139" s="59" t="n">
        <v>1411310</v>
      </c>
      <c r="L2139" s="59" t="n">
        <v>1964147</v>
      </c>
      <c r="M2139" s="59" t="inlineStr">
        <is>
          <t>02</t>
        </is>
      </c>
      <c r="N2139" s="59" t="inlineStr">
        <is>
          <t>AVU</t>
        </is>
      </c>
      <c r="P2139" s="59" t="n">
        <v>103</v>
      </c>
      <c r="Q2139" s="59" t="inlineStr">
        <is>
          <t>MILKA FRANCIS</t>
        </is>
      </c>
      <c r="R2139" s="59" t="inlineStr">
        <is>
          <t>ESTOQUE DE MERCADORIAS</t>
        </is>
      </c>
      <c r="S2139" s="59" t="n">
        <v>1130101</v>
      </c>
      <c r="T2139" s="59" t="inlineStr">
        <is>
          <t>MERCADORIAS P/REVENDA</t>
        </is>
      </c>
      <c r="U2139" s="77" t="n">
        <v>1129.22</v>
      </c>
      <c r="W2139" s="59" t="n">
        <v>1129.22</v>
      </c>
      <c r="X2139" s="59" t="inlineStr">
        <is>
          <t>NF 1964147-2 MILKA</t>
        </is>
      </c>
      <c r="Z2139" s="59">
        <f>IF($T2139="","",IFERROR(INDEX('Resumo Grupos'!$AC$3:$AC$200,MATCH($T2139,'Resumo Grupos'!$AB$3:$AB$200,0)),"n/d"))</f>
        <v/>
      </c>
      <c r="AA2139" s="59">
        <f>IF($T2139="","",IF(COUNTIF('Resumo Grupos'!$AE$3:$AE$40,$T2139)&gt;0,"NAO","SIM"))</f>
        <v/>
      </c>
    </row>
    <row r="2140" ht="12.75" customHeight="1" s="60">
      <c r="A2140" s="59" t="n">
        <v>1</v>
      </c>
      <c r="B2140" s="75" t="n">
        <v>46221</v>
      </c>
      <c r="C2140" s="75" t="n">
        <v>46254</v>
      </c>
      <c r="D2140" s="59" t="n">
        <v>1675</v>
      </c>
      <c r="E2140" s="59" t="inlineStr">
        <is>
          <t>MARQUES &amp; MELO LTDA - FILIAL</t>
        </is>
      </c>
      <c r="F2140" s="59" t="n">
        <v>24</v>
      </c>
      <c r="G2140" s="59" t="inlineStr">
        <is>
          <t>Compra a Prazo - Boletos</t>
        </is>
      </c>
      <c r="H2140" s="59" t="n">
        <v>2110405</v>
      </c>
      <c r="I2140" s="59" t="inlineStr">
        <is>
          <t>CONTAS A PAGAR</t>
        </is>
      </c>
      <c r="J2140" s="59" t="n">
        <v>1415719</v>
      </c>
      <c r="L2140" s="59" t="n">
        <v>502189</v>
      </c>
      <c r="M2140" s="59" t="inlineStr">
        <is>
          <t>03</t>
        </is>
      </c>
      <c r="N2140" s="59" t="inlineStr">
        <is>
          <t>AVU</t>
        </is>
      </c>
      <c r="P2140" s="59" t="n">
        <v>103</v>
      </c>
      <c r="Q2140" s="59" t="inlineStr">
        <is>
          <t>MILKA FRANCIS</t>
        </is>
      </c>
      <c r="R2140" s="59" t="inlineStr">
        <is>
          <t>ESTOQUE DE MERCADORIAS</t>
        </is>
      </c>
      <c r="S2140" s="59" t="n">
        <v>1130101</v>
      </c>
      <c r="T2140" s="59" t="inlineStr">
        <is>
          <t>MERCADORIAS P/REVENDA</t>
        </is>
      </c>
      <c r="U2140" s="77" t="n">
        <v>1181.96</v>
      </c>
      <c r="W2140" s="59" t="n">
        <v>1181.96</v>
      </c>
      <c r="X2140" s="59" t="inlineStr">
        <is>
          <t>NF 502189 -03 DISMELO -  MILKA</t>
        </is>
      </c>
      <c r="Z2140" s="59">
        <f>IF($T2140="","",IFERROR(INDEX('Resumo Grupos'!$AC$3:$AC$200,MATCH($T2140,'Resumo Grupos'!$AB$3:$AB$200,0)),"n/d"))</f>
        <v/>
      </c>
      <c r="AA2140" s="59">
        <f>IF($T2140="","",IF(COUNTIF('Resumo Grupos'!$AE$3:$AE$40,$T2140)&gt;0,"NAO","SIM"))</f>
        <v/>
      </c>
    </row>
    <row r="2141" ht="12.75" customHeight="1" s="60">
      <c r="A2141" s="59" t="n">
        <v>1</v>
      </c>
      <c r="B2141" s="75" t="n">
        <v>46223</v>
      </c>
      <c r="C2141" s="75" t="n">
        <v>46254</v>
      </c>
      <c r="D2141" s="59" t="n">
        <v>542</v>
      </c>
      <c r="E2141" s="59" t="inlineStr">
        <is>
          <t>LUANA SAUNDERS TORRES DE MELO MARQUES</t>
        </is>
      </c>
      <c r="F2141" s="59" t="n">
        <v>34</v>
      </c>
      <c r="G2141" s="59" t="inlineStr">
        <is>
          <t>Transferencia Pix</t>
        </is>
      </c>
      <c r="H2141" s="59" t="n">
        <v>2110405</v>
      </c>
      <c r="I2141" s="59" t="inlineStr">
        <is>
          <t>CONTAS A PAGAR</t>
        </is>
      </c>
      <c r="J2141" s="59" t="n">
        <v>1424234</v>
      </c>
      <c r="L2141" s="59" t="n">
        <v>587289</v>
      </c>
      <c r="M2141" s="59" t="inlineStr">
        <is>
          <t>02</t>
        </is>
      </c>
      <c r="N2141" s="59" t="inlineStr">
        <is>
          <t>AVU</t>
        </is>
      </c>
      <c r="P2141" s="59" t="n">
        <v>101</v>
      </c>
      <c r="Q2141" s="59" t="inlineStr">
        <is>
          <t>KEILA LIMA</t>
        </is>
      </c>
      <c r="R2141" s="59" t="inlineStr">
        <is>
          <t>DESPESAS COMERCIAIS</t>
        </is>
      </c>
      <c r="S2141" s="59" t="n">
        <v>4210107</v>
      </c>
      <c r="T2141" s="59" t="inlineStr">
        <is>
          <t>PROPAGANDA PUBLICIDADE</t>
        </is>
      </c>
      <c r="U2141" s="77" t="n">
        <v>464.96</v>
      </c>
      <c r="W2141" s="59" t="n">
        <v>0</v>
      </c>
      <c r="X2141" s="59" t="inlineStr">
        <is>
          <t>MENS PARTE MO1 INSTAGRAM - KEILA</t>
        </is>
      </c>
      <c r="Z2141" s="59">
        <f>IF($T2141="","",IFERROR(INDEX('Resumo Grupos'!$AC$3:$AC$200,MATCH($T2141,'Resumo Grupos'!$AB$3:$AB$200,0)),"n/d"))</f>
        <v/>
      </c>
      <c r="AA2141" s="59">
        <f>IF($T2141="","",IF(COUNTIF('Resumo Grupos'!$AE$3:$AE$40,$T2141)&gt;0,"NAO","SIM"))</f>
        <v/>
      </c>
    </row>
    <row r="2142" ht="12.75" customHeight="1" s="60">
      <c r="A2142" s="59" t="n">
        <v>1</v>
      </c>
      <c r="B2142" s="75" t="n">
        <v>46223</v>
      </c>
      <c r="C2142" s="75" t="n">
        <v>46254</v>
      </c>
      <c r="D2142" s="59" t="n">
        <v>542</v>
      </c>
      <c r="E2142" s="59" t="inlineStr">
        <is>
          <t>LUANA SAUNDERS TORRES DE MELO MARQUES</t>
        </is>
      </c>
      <c r="F2142" s="59" t="n">
        <v>34</v>
      </c>
      <c r="G2142" s="59" t="inlineStr">
        <is>
          <t>Transferencia Pix</t>
        </is>
      </c>
      <c r="H2142" s="59" t="n">
        <v>2110405</v>
      </c>
      <c r="I2142" s="59" t="inlineStr">
        <is>
          <t>CONTAS A PAGAR</t>
        </is>
      </c>
      <c r="J2142" s="59" t="n">
        <v>1424241</v>
      </c>
      <c r="L2142" s="59" t="n">
        <v>587291</v>
      </c>
      <c r="M2142" s="59" t="inlineStr">
        <is>
          <t>02</t>
        </is>
      </c>
      <c r="N2142" s="59" t="inlineStr">
        <is>
          <t>AVU</t>
        </is>
      </c>
      <c r="P2142" s="59" t="n">
        <v>101</v>
      </c>
      <c r="Q2142" s="59" t="inlineStr">
        <is>
          <t>KEILA LIMA</t>
        </is>
      </c>
      <c r="R2142" s="59" t="inlineStr">
        <is>
          <t>DESPESAS NAO OPERACIONAIS</t>
        </is>
      </c>
      <c r="S2142" s="59" t="n">
        <v>4220199</v>
      </c>
      <c r="T2142" s="59" t="inlineStr">
        <is>
          <t>PAGAMENTOS OUTROS NAO OPERACIONAIS</t>
        </is>
      </c>
      <c r="U2142" s="77" t="n">
        <v>900</v>
      </c>
      <c r="W2142" s="59" t="n">
        <v>900</v>
      </c>
      <c r="X2142" s="59" t="inlineStr">
        <is>
          <t>MENSALIDADE RATEIO LOJAS NAO SOMAR INSTAGRAM - K</t>
        </is>
      </c>
      <c r="Z2142" s="59">
        <f>IF($T2142="","",IFERROR(INDEX('Resumo Grupos'!$AC$3:$AC$200,MATCH($T2142,'Resumo Grupos'!$AB$3:$AB$200,0)),"n/d"))</f>
        <v/>
      </c>
      <c r="AA2142" s="59">
        <f>IF($T2142="","",IF(COUNTIF('Resumo Grupos'!$AE$3:$AE$40,$T2142)&gt;0,"NAO","SIM"))</f>
        <v/>
      </c>
    </row>
    <row r="2143" ht="12.75" customHeight="1" s="60">
      <c r="A2143" s="59" t="n">
        <v>1</v>
      </c>
      <c r="B2143" s="75" t="n">
        <v>46225</v>
      </c>
      <c r="C2143" s="75" t="n">
        <v>46254</v>
      </c>
      <c r="D2143" s="59" t="n">
        <v>794</v>
      </c>
      <c r="E2143" s="59" t="inlineStr">
        <is>
          <t>EDMARA COMERCIO DE HIGIENE PESSOAL LTDA</t>
        </is>
      </c>
      <c r="F2143" s="59" t="n">
        <v>24</v>
      </c>
      <c r="G2143" s="59" t="inlineStr">
        <is>
          <t>Compra a Prazo - Boletos</t>
        </is>
      </c>
      <c r="H2143" s="59" t="n">
        <v>2110405</v>
      </c>
      <c r="I2143" s="59" t="inlineStr">
        <is>
          <t>CONTAS A PAGAR</t>
        </is>
      </c>
      <c r="J2143" s="59" t="n">
        <v>1435872</v>
      </c>
      <c r="L2143" s="59" t="n">
        <v>8403</v>
      </c>
      <c r="M2143" s="59" t="inlineStr">
        <is>
          <t>03</t>
        </is>
      </c>
      <c r="N2143" s="59" t="inlineStr">
        <is>
          <t>AVU</t>
        </is>
      </c>
      <c r="P2143" s="59" t="n">
        <v>103</v>
      </c>
      <c r="Q2143" s="59" t="inlineStr">
        <is>
          <t>MILKA FRANCIS</t>
        </is>
      </c>
      <c r="R2143" s="59" t="inlineStr">
        <is>
          <t>ESTOQUE DE MERCADORIAS</t>
        </is>
      </c>
      <c r="S2143" s="59" t="n">
        <v>1130101</v>
      </c>
      <c r="T2143" s="59" t="inlineStr">
        <is>
          <t>MERCADORIAS P/REVENDA</t>
        </is>
      </c>
      <c r="U2143" s="77" t="n">
        <v>2621.74</v>
      </c>
      <c r="W2143" s="59" t="n">
        <v>2621.74</v>
      </c>
      <c r="X2143" s="59" t="inlineStr">
        <is>
          <t>5431-C/D  NF8403 - MILKA</t>
        </is>
      </c>
      <c r="Z2143" s="59">
        <f>IF($T2143="","",IFERROR(INDEX('Resumo Grupos'!$AC$3:$AC$200,MATCH($T2143,'Resumo Grupos'!$AB$3:$AB$200,0)),"n/d"))</f>
        <v/>
      </c>
      <c r="AA2143" s="59">
        <f>IF($T2143="","",IF(COUNTIF('Resumo Grupos'!$AE$3:$AE$40,$T2143)&gt;0,"NAO","SIM"))</f>
        <v/>
      </c>
    </row>
    <row r="2144" ht="12.75" customHeight="1" s="60">
      <c r="A2144" s="59" t="n">
        <v>1</v>
      </c>
      <c r="B2144" s="75" t="n">
        <v>46226</v>
      </c>
      <c r="C2144" s="75" t="n">
        <v>46254</v>
      </c>
      <c r="D2144" s="59" t="n">
        <v>1608</v>
      </c>
      <c r="E2144" s="59" t="inlineStr">
        <is>
          <t>DISTRIBUIDORA LOPES LTDA</t>
        </is>
      </c>
      <c r="F2144" s="59" t="n">
        <v>24</v>
      </c>
      <c r="G2144" s="59" t="inlineStr">
        <is>
          <t>Compra a Prazo - Boletos</t>
        </is>
      </c>
      <c r="H2144" s="59" t="n">
        <v>2110405</v>
      </c>
      <c r="I2144" s="59" t="inlineStr">
        <is>
          <t>CONTAS A PAGAR</t>
        </is>
      </c>
      <c r="J2144" s="59" t="n">
        <v>1439702</v>
      </c>
      <c r="L2144" s="59" t="n">
        <v>592490</v>
      </c>
      <c r="M2144" s="59" t="inlineStr">
        <is>
          <t>01</t>
        </is>
      </c>
      <c r="N2144" s="59" t="inlineStr">
        <is>
          <t>AVU</t>
        </is>
      </c>
      <c r="P2144" s="59" t="n">
        <v>104</v>
      </c>
      <c r="Q2144" s="59" t="inlineStr">
        <is>
          <t>DEBORA COSTA</t>
        </is>
      </c>
      <c r="R2144" s="59" t="inlineStr">
        <is>
          <t>ESTOQUE DE MERCADORIAS</t>
        </is>
      </c>
      <c r="S2144" s="59" t="n">
        <v>1130101</v>
      </c>
      <c r="T2144" s="59" t="inlineStr">
        <is>
          <t>MERCADORIAS P/REVENDA</t>
        </is>
      </c>
      <c r="U2144" s="77" t="n">
        <v>1938.06</v>
      </c>
      <c r="W2144" s="59" t="n">
        <v>1938.06</v>
      </c>
      <c r="X2144" s="59" t="inlineStr">
        <is>
          <t>NF 1697653 C/ DESCONTO NO BOLETO - MILKA</t>
        </is>
      </c>
      <c r="Z2144" s="59">
        <f>IF($T2144="","",IFERROR(INDEX('Resumo Grupos'!$AC$3:$AC$200,MATCH($T2144,'Resumo Grupos'!$AB$3:$AB$200,0)),"n/d"))</f>
        <v/>
      </c>
      <c r="AA2144" s="59">
        <f>IF($T2144="","",IF(COUNTIF('Resumo Grupos'!$AE$3:$AE$40,$T2144)&gt;0,"NAO","SIM"))</f>
        <v/>
      </c>
    </row>
    <row r="2145" ht="12.75" customHeight="1" s="60">
      <c r="A2145" s="59" t="n">
        <v>1</v>
      </c>
      <c r="B2145" s="75" t="n">
        <v>46226</v>
      </c>
      <c r="C2145" s="75" t="n">
        <v>46254</v>
      </c>
      <c r="D2145" s="59" t="n">
        <v>1616</v>
      </c>
      <c r="E2145" s="59" t="inlineStr">
        <is>
          <t>DURAES DISTRIBUIDORA DE ESTIVAS LTDA</t>
        </is>
      </c>
      <c r="F2145" s="59" t="n">
        <v>24</v>
      </c>
      <c r="G2145" s="59" t="inlineStr">
        <is>
          <t>Compra a Prazo - Boletos</t>
        </is>
      </c>
      <c r="H2145" s="59" t="n">
        <v>2110405</v>
      </c>
      <c r="I2145" s="59" t="inlineStr">
        <is>
          <t>CONTAS A PAGAR</t>
        </is>
      </c>
      <c r="J2145" s="59" t="n">
        <v>1440106</v>
      </c>
      <c r="L2145" s="59" t="n">
        <v>592593</v>
      </c>
      <c r="M2145" s="59" t="inlineStr">
        <is>
          <t>03</t>
        </is>
      </c>
      <c r="N2145" s="59" t="inlineStr">
        <is>
          <t>AVU</t>
        </is>
      </c>
      <c r="P2145" s="59" t="n">
        <v>104</v>
      </c>
      <c r="Q2145" s="59" t="inlineStr">
        <is>
          <t>DEBORA COSTA</t>
        </is>
      </c>
      <c r="R2145" s="59" t="inlineStr">
        <is>
          <t>ESTOQUE DE MERCADORIAS</t>
        </is>
      </c>
      <c r="S2145" s="59" t="n">
        <v>1130101</v>
      </c>
      <c r="T2145" s="59" t="inlineStr">
        <is>
          <t>MERCADORIAS P/REVENDA</t>
        </is>
      </c>
      <c r="U2145" s="77" t="n">
        <v>605.9299999999999</v>
      </c>
      <c r="W2145" s="59" t="n">
        <v>605.9299999999999</v>
      </c>
      <c r="X2145" s="59" t="inlineStr">
        <is>
          <t>NF 651360 -3 DEBORA</t>
        </is>
      </c>
      <c r="Z2145" s="59">
        <f>IF($T2145="","",IFERROR(INDEX('Resumo Grupos'!$AC$3:$AC$200,MATCH($T2145,'Resumo Grupos'!$AB$3:$AB$200,0)),"n/d"))</f>
        <v/>
      </c>
      <c r="AA2145" s="59">
        <f>IF($T2145="","",IF(COUNTIF('Resumo Grupos'!$AE$3:$AE$40,$T2145)&gt;0,"NAO","SIM"))</f>
        <v/>
      </c>
    </row>
    <row r="2146" ht="12.75" customHeight="1" s="60">
      <c r="A2146" s="59" t="n">
        <v>1</v>
      </c>
      <c r="B2146" s="75" t="n">
        <v>46226</v>
      </c>
      <c r="C2146" s="75" t="n">
        <v>46254</v>
      </c>
      <c r="D2146" s="59" t="n">
        <v>10021</v>
      </c>
      <c r="E2146" s="59" t="inlineStr">
        <is>
          <t>DISTRIBUIDORA PRIME LTDA</t>
        </is>
      </c>
      <c r="F2146" s="59" t="n">
        <v>24</v>
      </c>
      <c r="G2146" s="59" t="inlineStr">
        <is>
          <t>Compra a Prazo - Boletos</t>
        </is>
      </c>
      <c r="H2146" s="59" t="n">
        <v>2110405</v>
      </c>
      <c r="I2146" s="59" t="inlineStr">
        <is>
          <t>CONTAS A PAGAR</t>
        </is>
      </c>
      <c r="J2146" s="59" t="n">
        <v>1440166</v>
      </c>
      <c r="L2146" s="59" t="n">
        <v>134703</v>
      </c>
      <c r="M2146" s="59" t="inlineStr">
        <is>
          <t>02</t>
        </is>
      </c>
      <c r="N2146" s="59" t="inlineStr">
        <is>
          <t>AVU</t>
        </is>
      </c>
      <c r="P2146" s="59" t="n">
        <v>103</v>
      </c>
      <c r="Q2146" s="59" t="inlineStr">
        <is>
          <t>MILKA FRANCIS</t>
        </is>
      </c>
      <c r="R2146" s="59" t="inlineStr">
        <is>
          <t>ESTOQUE DE MERCADORIAS</t>
        </is>
      </c>
      <c r="S2146" s="59" t="n">
        <v>1130101</v>
      </c>
      <c r="T2146" s="59" t="inlineStr">
        <is>
          <t>MERCADORIAS P/REVENDA</t>
        </is>
      </c>
      <c r="U2146" s="77" t="n">
        <v>774.48</v>
      </c>
      <c r="W2146" s="59" t="n">
        <v>774.48</v>
      </c>
      <c r="X2146" s="59" t="inlineStr">
        <is>
          <t>NF 134703-2 MILKA</t>
        </is>
      </c>
      <c r="Z2146" s="59">
        <f>IF($T2146="","",IFERROR(INDEX('Resumo Grupos'!$AC$3:$AC$200,MATCH($T2146,'Resumo Grupos'!$AB$3:$AB$200,0)),"n/d"))</f>
        <v/>
      </c>
      <c r="AA2146" s="59">
        <f>IF($T2146="","",IF(COUNTIF('Resumo Grupos'!$AE$3:$AE$40,$T2146)&gt;0,"NAO","SIM"))</f>
        <v/>
      </c>
    </row>
    <row r="2147" ht="12.75" customHeight="1" s="60">
      <c r="A2147" s="59" t="n">
        <v>1</v>
      </c>
      <c r="B2147" s="75" t="n">
        <v>46226</v>
      </c>
      <c r="C2147" s="75" t="n">
        <v>46254</v>
      </c>
      <c r="D2147" s="59" t="n">
        <v>1616</v>
      </c>
      <c r="E2147" s="59" t="inlineStr">
        <is>
          <t>DURAES DISTRIBUIDORA DE ESTIVAS LTDA</t>
        </is>
      </c>
      <c r="F2147" s="59" t="n">
        <v>24</v>
      </c>
      <c r="G2147" s="59" t="inlineStr">
        <is>
          <t>Compra a Prazo - Boletos</t>
        </is>
      </c>
      <c r="H2147" s="59" t="n">
        <v>2110405</v>
      </c>
      <c r="I2147" s="59" t="inlineStr">
        <is>
          <t>CONTAS A PAGAR</t>
        </is>
      </c>
      <c r="J2147" s="59" t="n">
        <v>1440186</v>
      </c>
      <c r="L2147" s="59" t="n">
        <v>592618</v>
      </c>
      <c r="M2147" s="59" t="inlineStr">
        <is>
          <t>03</t>
        </is>
      </c>
      <c r="N2147" s="59" t="inlineStr">
        <is>
          <t>AVU</t>
        </is>
      </c>
      <c r="P2147" s="59" t="n">
        <v>104</v>
      </c>
      <c r="Q2147" s="59" t="inlineStr">
        <is>
          <t>DEBORA COSTA</t>
        </is>
      </c>
      <c r="R2147" s="59" t="inlineStr">
        <is>
          <t>ESTOQUE DE MERCADORIAS</t>
        </is>
      </c>
      <c r="S2147" s="59" t="n">
        <v>1130101</v>
      </c>
      <c r="T2147" s="59" t="inlineStr">
        <is>
          <t>MERCADORIAS P/REVENDA</t>
        </is>
      </c>
      <c r="U2147" s="77" t="n">
        <v>434.06</v>
      </c>
      <c r="W2147" s="59" t="n">
        <v>434.06</v>
      </c>
      <c r="X2147" s="59" t="inlineStr">
        <is>
          <t>NF 651362 - DEBORA</t>
        </is>
      </c>
      <c r="Z2147" s="59">
        <f>IF($T2147="","",IFERROR(INDEX('Resumo Grupos'!$AC$3:$AC$200,MATCH($T2147,'Resumo Grupos'!$AB$3:$AB$200,0)),"n/d"))</f>
        <v/>
      </c>
      <c r="AA2147" s="59">
        <f>IF($T2147="","",IF(COUNTIF('Resumo Grupos'!$AE$3:$AE$40,$T2147)&gt;0,"NAO","SIM"))</f>
        <v/>
      </c>
    </row>
    <row r="2148" ht="12.75" customHeight="1" s="60">
      <c r="A2148" s="59" t="n">
        <v>1</v>
      </c>
      <c r="B2148" s="75" t="n">
        <v>46228</v>
      </c>
      <c r="C2148" s="75" t="n">
        <v>46254</v>
      </c>
      <c r="D2148" s="59" t="n">
        <v>1637</v>
      </c>
      <c r="E2148" s="59" t="inlineStr">
        <is>
          <t>ATACADAO S.A.</t>
        </is>
      </c>
      <c r="F2148" s="59" t="n">
        <v>24</v>
      </c>
      <c r="G2148" s="59" t="inlineStr">
        <is>
          <t>Compra a Prazo - Boletos</t>
        </is>
      </c>
      <c r="H2148" s="59" t="n">
        <v>2110405</v>
      </c>
      <c r="I2148" s="59" t="inlineStr">
        <is>
          <t>CONTAS A PAGAR</t>
        </is>
      </c>
      <c r="J2148" s="59" t="n">
        <v>1450066</v>
      </c>
      <c r="L2148" s="59" t="n">
        <v>1910466</v>
      </c>
      <c r="M2148" s="59" t="inlineStr">
        <is>
          <t>01</t>
        </is>
      </c>
      <c r="N2148" s="59" t="inlineStr">
        <is>
          <t>AVU</t>
        </is>
      </c>
      <c r="P2148" s="59" t="n">
        <v>103</v>
      </c>
      <c r="Q2148" s="59" t="inlineStr">
        <is>
          <t>MILKA FRANCIS</t>
        </is>
      </c>
      <c r="R2148" s="59" t="inlineStr">
        <is>
          <t>ESTOQUE DE MERCADORIAS</t>
        </is>
      </c>
      <c r="S2148" s="59" t="n">
        <v>1130101</v>
      </c>
      <c r="T2148" s="59" t="inlineStr">
        <is>
          <t>MERCADORIAS P/REVENDA</t>
        </is>
      </c>
      <c r="U2148" s="77" t="n">
        <v>1013.07</v>
      </c>
      <c r="W2148" s="59" t="n">
        <v>1013.07</v>
      </c>
      <c r="X2148" s="59" t="inlineStr">
        <is>
          <t>NF 1910466 - MILKA</t>
        </is>
      </c>
      <c r="Z2148" s="59">
        <f>IF($T2148="","",IFERROR(INDEX('Resumo Grupos'!$AC$3:$AC$200,MATCH($T2148,'Resumo Grupos'!$AB$3:$AB$200,0)),"n/d"))</f>
        <v/>
      </c>
      <c r="AA2148" s="59">
        <f>IF($T2148="","",IF(COUNTIF('Resumo Grupos'!$AE$3:$AE$40,$T2148)&gt;0,"NAO","SIM"))</f>
        <v/>
      </c>
    </row>
    <row r="2149" ht="12.75" customHeight="1" s="60">
      <c r="A2149" s="59" t="n">
        <v>1</v>
      </c>
      <c r="B2149" s="75" t="n">
        <v>46233</v>
      </c>
      <c r="C2149" s="75" t="n">
        <v>46254</v>
      </c>
      <c r="D2149" s="59" t="n">
        <v>1608</v>
      </c>
      <c r="E2149" s="59" t="inlineStr">
        <is>
          <t>DISTRIBUIDORA LOPES LTDA</t>
        </is>
      </c>
      <c r="F2149" s="59" t="n">
        <v>24</v>
      </c>
      <c r="G2149" s="59" t="inlineStr">
        <is>
          <t>Compra a Prazo - Boletos</t>
        </is>
      </c>
      <c r="H2149" s="59" t="n">
        <v>2110405</v>
      </c>
      <c r="I2149" s="59" t="inlineStr">
        <is>
          <t>CONTAS A PAGAR</t>
        </is>
      </c>
      <c r="J2149" s="59" t="n">
        <v>1473434</v>
      </c>
      <c r="L2149" s="59" t="n">
        <v>1701960</v>
      </c>
      <c r="M2149" s="59" t="inlineStr">
        <is>
          <t>01</t>
        </is>
      </c>
      <c r="N2149" s="59" t="inlineStr">
        <is>
          <t>AVU</t>
        </is>
      </c>
      <c r="P2149" s="59" t="n">
        <v>103</v>
      </c>
      <c r="Q2149" s="59" t="inlineStr">
        <is>
          <t>MILKA FRANCIS</t>
        </is>
      </c>
      <c r="R2149" s="59" t="inlineStr">
        <is>
          <t>ESTOQUE DE MERCADORIAS</t>
        </is>
      </c>
      <c r="S2149" s="59" t="n">
        <v>1130101</v>
      </c>
      <c r="T2149" s="59" t="inlineStr">
        <is>
          <t>MERCADORIAS P/REVENDA</t>
        </is>
      </c>
      <c r="U2149" s="77" t="n">
        <v>944.96</v>
      </c>
      <c r="W2149" s="59" t="n">
        <v>944.96</v>
      </c>
      <c r="X2149" s="59" t="inlineStr">
        <is>
          <t>NF 1701960-1 MILKA</t>
        </is>
      </c>
      <c r="Z2149" s="59">
        <f>IF($T2149="","",IFERROR(INDEX('Resumo Grupos'!$AC$3:$AC$200,MATCH($T2149,'Resumo Grupos'!$AB$3:$AB$200,0)),"n/d"))</f>
        <v/>
      </c>
      <c r="AA2149" s="59">
        <f>IF($T2149="","",IF(COUNTIF('Resumo Grupos'!$AE$3:$AE$40,$T2149)&gt;0,"NAO","SIM"))</f>
        <v/>
      </c>
    </row>
    <row r="2150" ht="12.75" customHeight="1" s="60">
      <c r="A2150" s="59" t="n">
        <v>1</v>
      </c>
      <c r="B2150" s="75" t="n">
        <v>46233</v>
      </c>
      <c r="C2150" s="75" t="n">
        <v>46254</v>
      </c>
      <c r="D2150" s="59" t="n">
        <v>1740</v>
      </c>
      <c r="E2150" s="59" t="inlineStr">
        <is>
          <t>OCIDENTAL COMERCIO DE FRIOS LTDA</t>
        </is>
      </c>
      <c r="F2150" s="59" t="n">
        <v>24</v>
      </c>
      <c r="G2150" s="59" t="inlineStr">
        <is>
          <t>Compra a Prazo - Boletos</t>
        </is>
      </c>
      <c r="H2150" s="59" t="n">
        <v>2110405</v>
      </c>
      <c r="I2150" s="59" t="inlineStr">
        <is>
          <t>CONTAS A PAGAR</t>
        </is>
      </c>
      <c r="J2150" s="59" t="n">
        <v>1474666</v>
      </c>
      <c r="L2150" s="59" t="n">
        <v>1253285</v>
      </c>
      <c r="M2150" s="59" t="inlineStr">
        <is>
          <t>01</t>
        </is>
      </c>
      <c r="N2150" s="59" t="inlineStr">
        <is>
          <t>AVU</t>
        </is>
      </c>
      <c r="P2150" s="59" t="n">
        <v>103</v>
      </c>
      <c r="Q2150" s="59" t="inlineStr">
        <is>
          <t>MILKA FRANCIS</t>
        </is>
      </c>
      <c r="R2150" s="59" t="inlineStr">
        <is>
          <t>ESTOQUE DE MERCADORIAS</t>
        </is>
      </c>
      <c r="S2150" s="59" t="n">
        <v>1130101</v>
      </c>
      <c r="T2150" s="59" t="inlineStr">
        <is>
          <t>MERCADORIAS P/REVENDA</t>
        </is>
      </c>
      <c r="U2150" s="77" t="n">
        <v>989.77</v>
      </c>
      <c r="W2150" s="59" t="n">
        <v>989.77</v>
      </c>
      <c r="X2150" s="59" t="inlineStr">
        <is>
          <t>NF 1253285 - MILKA</t>
        </is>
      </c>
      <c r="Z2150" s="59">
        <f>IF($T2150="","",IFERROR(INDEX('Resumo Grupos'!$AC$3:$AC$200,MATCH($T2150,'Resumo Grupos'!$AB$3:$AB$200,0)),"n/d"))</f>
        <v/>
      </c>
      <c r="AA2150" s="59">
        <f>IF($T2150="","",IF(COUNTIF('Resumo Grupos'!$AE$3:$AE$40,$T2150)&gt;0,"NAO","SIM"))</f>
        <v/>
      </c>
    </row>
    <row r="2151" ht="12.75" customHeight="1" s="60">
      <c r="A2151" s="59" t="n">
        <v>1</v>
      </c>
      <c r="B2151" s="75" t="n">
        <v>46233</v>
      </c>
      <c r="C2151" s="75" t="n">
        <v>46254</v>
      </c>
      <c r="D2151" s="59" t="n">
        <v>1608</v>
      </c>
      <c r="E2151" s="59" t="inlineStr">
        <is>
          <t>DISTRIBUIDORA LOPES LTDA</t>
        </is>
      </c>
      <c r="F2151" s="59" t="n">
        <v>24</v>
      </c>
      <c r="G2151" s="59" t="inlineStr">
        <is>
          <t>Compra a Prazo - Boletos</t>
        </is>
      </c>
      <c r="H2151" s="59" t="n">
        <v>2110405</v>
      </c>
      <c r="I2151" s="59" t="inlineStr">
        <is>
          <t>CONTAS A PAGAR</t>
        </is>
      </c>
      <c r="J2151" s="59" t="n">
        <v>1474699</v>
      </c>
      <c r="L2151" s="59" t="n">
        <v>1701839</v>
      </c>
      <c r="M2151" s="59" t="inlineStr">
        <is>
          <t>01</t>
        </is>
      </c>
      <c r="N2151" s="59" t="inlineStr">
        <is>
          <t>AVU</t>
        </is>
      </c>
      <c r="P2151" s="59" t="n">
        <v>103</v>
      </c>
      <c r="Q2151" s="59" t="inlineStr">
        <is>
          <t>MILKA FRANCIS</t>
        </is>
      </c>
      <c r="R2151" s="59" t="inlineStr">
        <is>
          <t>ESTOQUE DE MERCADORIAS</t>
        </is>
      </c>
      <c r="S2151" s="59" t="n">
        <v>1130101</v>
      </c>
      <c r="T2151" s="59" t="inlineStr">
        <is>
          <t>MERCADORIAS P/REVENDA</t>
        </is>
      </c>
      <c r="U2151" s="77" t="n">
        <v>2902.64</v>
      </c>
      <c r="W2151" s="59" t="n">
        <v>2902.64</v>
      </c>
      <c r="X2151" s="59" t="inlineStr">
        <is>
          <t>NF 1701839 DESCONTO NO BOLETO - MILKA</t>
        </is>
      </c>
      <c r="Z2151" s="59">
        <f>IF($T2151="","",IFERROR(INDEX('Resumo Grupos'!$AC$3:$AC$200,MATCH($T2151,'Resumo Grupos'!$AB$3:$AB$200,0)),"n/d"))</f>
        <v/>
      </c>
      <c r="AA2151" s="59">
        <f>IF($T2151="","",IF(COUNTIF('Resumo Grupos'!$AE$3:$AE$40,$T2151)&gt;0,"NAO","SIM"))</f>
        <v/>
      </c>
    </row>
    <row r="2152" ht="12.75" customHeight="1" s="60">
      <c r="A2152" s="59" t="n">
        <v>1</v>
      </c>
      <c r="B2152" s="75" t="n">
        <v>46234</v>
      </c>
      <c r="C2152" s="75" t="n">
        <v>46254</v>
      </c>
      <c r="D2152" s="59" t="n">
        <v>659</v>
      </c>
      <c r="E2152" s="59" t="inlineStr">
        <is>
          <t xml:space="preserve">CENTRAL NACIONAL UNIMED </t>
        </is>
      </c>
      <c r="F2152" s="59" t="n">
        <v>24</v>
      </c>
      <c r="G2152" s="59" t="inlineStr">
        <is>
          <t>Compra a Prazo - Boletos</t>
        </is>
      </c>
      <c r="H2152" s="59" t="n">
        <v>2110405</v>
      </c>
      <c r="I2152" s="59" t="inlineStr">
        <is>
          <t>CONTAS A PAGAR</t>
        </is>
      </c>
      <c r="J2152" s="59" t="n">
        <v>1478178</v>
      </c>
      <c r="L2152" s="59" t="n">
        <v>607145</v>
      </c>
      <c r="M2152" s="59" t="inlineStr">
        <is>
          <t>01</t>
        </is>
      </c>
      <c r="N2152" s="59" t="inlineStr">
        <is>
          <t>AVU</t>
        </is>
      </c>
      <c r="P2152" s="59" t="n">
        <v>101</v>
      </c>
      <c r="Q2152" s="59" t="inlineStr">
        <is>
          <t>KEILA LIMA</t>
        </is>
      </c>
      <c r="R2152" s="59" t="inlineStr">
        <is>
          <t>DESPESAS COM PESSOAL</t>
        </is>
      </c>
      <c r="S2152" s="59" t="n">
        <v>4210311</v>
      </c>
      <c r="T2152" s="59" t="inlineStr">
        <is>
          <t>PLANOS DE SAUDE</t>
        </is>
      </c>
      <c r="U2152" s="77" t="n">
        <v>6193.08</v>
      </c>
      <c r="W2152" s="59" t="n">
        <v>6193.08</v>
      </c>
      <c r="X2152" s="59" t="inlineStr">
        <is>
          <t>PLANO DE SAUDE NEILA RENATO MARIAS - KEILA</t>
        </is>
      </c>
      <c r="Z2152" s="59">
        <f>IF($T2152="","",IFERROR(INDEX('Resumo Grupos'!$AC$3:$AC$200,MATCH($T2152,'Resumo Grupos'!$AB$3:$AB$200,0)),"n/d"))</f>
        <v/>
      </c>
      <c r="AA2152" s="59">
        <f>IF($T2152="","",IF(COUNTIF('Resumo Grupos'!$AE$3:$AE$40,$T2152)&gt;0,"NAO","SIM"))</f>
        <v/>
      </c>
    </row>
    <row r="2153" ht="12.75" customHeight="1" s="60">
      <c r="A2153" s="59" t="n">
        <v>1</v>
      </c>
      <c r="B2153" s="75" t="n">
        <v>46240</v>
      </c>
      <c r="C2153" s="75" t="n">
        <v>46254</v>
      </c>
      <c r="D2153" s="59" t="n">
        <v>1612</v>
      </c>
      <c r="E2153" s="59" t="inlineStr">
        <is>
          <t>EMPRESA BRASILEIRA DE DISTRIBUICAO LTDA</t>
        </is>
      </c>
      <c r="F2153" s="59" t="n">
        <v>24</v>
      </c>
      <c r="G2153" s="59" t="inlineStr">
        <is>
          <t>Compra a Prazo - Boletos</t>
        </is>
      </c>
      <c r="H2153" s="59" t="n">
        <v>2110405</v>
      </c>
      <c r="I2153" s="59" t="inlineStr">
        <is>
          <t>CONTAS A PAGAR</t>
        </is>
      </c>
      <c r="J2153" s="59" t="n">
        <v>1508279</v>
      </c>
      <c r="L2153" s="59" t="n">
        <v>2307727</v>
      </c>
      <c r="M2153" s="59" t="inlineStr">
        <is>
          <t>01</t>
        </is>
      </c>
      <c r="N2153" s="59" t="inlineStr">
        <is>
          <t>AVU</t>
        </is>
      </c>
      <c r="P2153" s="59" t="n">
        <v>103</v>
      </c>
      <c r="Q2153" s="59" t="inlineStr">
        <is>
          <t>MILKA FRANCIS</t>
        </is>
      </c>
      <c r="R2153" s="59" t="inlineStr">
        <is>
          <t>ESTOQUE DE MERCADORIAS</t>
        </is>
      </c>
      <c r="S2153" s="59" t="n">
        <v>1130101</v>
      </c>
      <c r="T2153" s="59" t="inlineStr">
        <is>
          <t>MERCADORIAS P/REVENDA</t>
        </is>
      </c>
      <c r="U2153" s="77" t="n">
        <v>1167.16</v>
      </c>
      <c r="W2153" s="59" t="n">
        <v>1167.16</v>
      </c>
      <c r="X2153" s="59" t="inlineStr">
        <is>
          <t>NF 2307727-1 MILKA</t>
        </is>
      </c>
      <c r="Z2153" s="59">
        <f>IF($T2153="","",IFERROR(INDEX('Resumo Grupos'!$AC$3:$AC$200,MATCH($T2153,'Resumo Grupos'!$AB$3:$AB$200,0)),"n/d"))</f>
        <v/>
      </c>
      <c r="AA2153" s="59">
        <f>IF($T2153="","",IF(COUNTIF('Resumo Grupos'!$AE$3:$AE$40,$T2153)&gt;0,"NAO","SIM"))</f>
        <v/>
      </c>
    </row>
    <row r="2154" ht="12.75" customHeight="1" s="60">
      <c r="A2154" s="59" t="n">
        <v>1</v>
      </c>
      <c r="B2154" s="75" t="n">
        <v>46240</v>
      </c>
      <c r="C2154" s="75" t="n">
        <v>46254</v>
      </c>
      <c r="D2154" s="59" t="n">
        <v>1608</v>
      </c>
      <c r="E2154" s="59" t="inlineStr">
        <is>
          <t>DISTRIBUIDORA LOPES LTDA</t>
        </is>
      </c>
      <c r="F2154" s="59" t="n">
        <v>24</v>
      </c>
      <c r="G2154" s="59" t="inlineStr">
        <is>
          <t>Compra a Prazo - Boletos</t>
        </is>
      </c>
      <c r="H2154" s="59" t="n">
        <v>2110405</v>
      </c>
      <c r="I2154" s="59" t="inlineStr">
        <is>
          <t>CONTAS A PAGAR</t>
        </is>
      </c>
      <c r="J2154" s="59" t="n">
        <v>1508347</v>
      </c>
      <c r="L2154" s="59" t="n">
        <v>1706774</v>
      </c>
      <c r="M2154" s="59" t="inlineStr">
        <is>
          <t>01</t>
        </is>
      </c>
      <c r="N2154" s="59" t="inlineStr">
        <is>
          <t>AVU</t>
        </is>
      </c>
      <c r="P2154" s="59" t="n">
        <v>103</v>
      </c>
      <c r="Q2154" s="59" t="inlineStr">
        <is>
          <t>MILKA FRANCIS</t>
        </is>
      </c>
      <c r="R2154" s="59" t="inlineStr">
        <is>
          <t>ESTOQUE DE MERCADORIAS</t>
        </is>
      </c>
      <c r="S2154" s="59" t="n">
        <v>1130101</v>
      </c>
      <c r="T2154" s="59" t="inlineStr">
        <is>
          <t>MERCADORIAS P/REVENDA</t>
        </is>
      </c>
      <c r="U2154" s="77" t="n">
        <v>1141.89</v>
      </c>
      <c r="W2154" s="59" t="n">
        <v>1141.89</v>
      </c>
      <c r="X2154" s="59" t="inlineStr">
        <is>
          <t>NF 1706774-1 C/DESCONTO NO BOLETO - MILKA</t>
        </is>
      </c>
      <c r="Z2154" s="59">
        <f>IF($T2154="","",IFERROR(INDEX('Resumo Grupos'!$AC$3:$AC$200,MATCH($T2154,'Resumo Grupos'!$AB$3:$AB$200,0)),"n/d"))</f>
        <v/>
      </c>
      <c r="AA2154" s="59">
        <f>IF($T2154="","",IF(COUNTIF('Resumo Grupos'!$AE$3:$AE$40,$T2154)&gt;0,"NAO","SIM"))</f>
        <v/>
      </c>
    </row>
    <row r="2155" ht="12.75" customHeight="1" s="60">
      <c r="A2155" s="59" t="n">
        <v>1</v>
      </c>
      <c r="B2155" s="75" t="n">
        <v>46240</v>
      </c>
      <c r="C2155" s="75" t="n">
        <v>46254</v>
      </c>
      <c r="D2155" s="59" t="n">
        <v>1601</v>
      </c>
      <c r="E2155" s="59" t="inlineStr">
        <is>
          <t>CB COMERCIO E DISTRIBUIDORA DE ALIMENTOS</t>
        </is>
      </c>
      <c r="F2155" s="59" t="n">
        <v>24</v>
      </c>
      <c r="G2155" s="59" t="inlineStr">
        <is>
          <t>Compra a Prazo - Boletos</t>
        </is>
      </c>
      <c r="H2155" s="59" t="n">
        <v>2110405</v>
      </c>
      <c r="I2155" s="59" t="inlineStr">
        <is>
          <t>CONTAS A PAGAR</t>
        </is>
      </c>
      <c r="J2155" s="59" t="n">
        <v>1508387</v>
      </c>
      <c r="L2155" s="59" t="n">
        <v>860853</v>
      </c>
      <c r="M2155" s="59" t="inlineStr">
        <is>
          <t>01</t>
        </is>
      </c>
      <c r="N2155" s="59" t="inlineStr">
        <is>
          <t>AVU</t>
        </is>
      </c>
      <c r="P2155" s="59" t="n">
        <v>103</v>
      </c>
      <c r="Q2155" s="59" t="inlineStr">
        <is>
          <t>MILKA FRANCIS</t>
        </is>
      </c>
      <c r="R2155" s="59" t="inlineStr">
        <is>
          <t>ESTOQUE DE MERCADORIAS</t>
        </is>
      </c>
      <c r="S2155" s="59" t="n">
        <v>1130101</v>
      </c>
      <c r="T2155" s="59" t="inlineStr">
        <is>
          <t>MERCADORIAS P/REVENDA</t>
        </is>
      </c>
      <c r="U2155" s="77" t="n">
        <v>545.87</v>
      </c>
      <c r="W2155" s="59" t="n">
        <v>545.87</v>
      </c>
      <c r="X2155" s="59" t="inlineStr">
        <is>
          <t>961363-A/B  NF860853 - MILKA</t>
        </is>
      </c>
      <c r="Z2155" s="59">
        <f>IF($T2155="","",IFERROR(INDEX('Resumo Grupos'!$AC$3:$AC$200,MATCH($T2155,'Resumo Grupos'!$AB$3:$AB$200,0)),"n/d"))</f>
        <v/>
      </c>
      <c r="AA2155" s="59">
        <f>IF($T2155="","",IF(COUNTIF('Resumo Grupos'!$AE$3:$AE$40,$T2155)&gt;0,"NAO","SIM"))</f>
        <v/>
      </c>
    </row>
    <row r="2156" ht="12.75" customHeight="1" s="60">
      <c r="A2156" s="59" t="n">
        <v>1</v>
      </c>
      <c r="B2156" s="75" t="n">
        <v>46240</v>
      </c>
      <c r="C2156" s="75" t="n">
        <v>46254</v>
      </c>
      <c r="D2156" s="59" t="n">
        <v>10017</v>
      </c>
      <c r="E2156" s="59" t="inlineStr">
        <is>
          <t>PIARARA COMERCIO, IMPORTACAO E EXPORTACAO LTDA</t>
        </is>
      </c>
      <c r="F2156" s="59" t="n">
        <v>24</v>
      </c>
      <c r="G2156" s="59" t="inlineStr">
        <is>
          <t>Compra a Prazo - Boletos</t>
        </is>
      </c>
      <c r="H2156" s="59" t="n">
        <v>2110405</v>
      </c>
      <c r="I2156" s="59" t="inlineStr">
        <is>
          <t>CONTAS A PAGAR</t>
        </is>
      </c>
      <c r="J2156" s="59" t="n">
        <v>1508414</v>
      </c>
      <c r="L2156" s="59" t="n">
        <v>195281</v>
      </c>
      <c r="M2156" s="59" t="inlineStr">
        <is>
          <t>01</t>
        </is>
      </c>
      <c r="N2156" s="59" t="inlineStr">
        <is>
          <t>AVU</t>
        </is>
      </c>
      <c r="P2156" s="59" t="n">
        <v>103</v>
      </c>
      <c r="Q2156" s="59" t="inlineStr">
        <is>
          <t>MILKA FRANCIS</t>
        </is>
      </c>
      <c r="R2156" s="59" t="inlineStr">
        <is>
          <t>ESTOQUE DE MERCADORIAS</t>
        </is>
      </c>
      <c r="S2156" s="59" t="n">
        <v>1130101</v>
      </c>
      <c r="T2156" s="59" t="inlineStr">
        <is>
          <t>MERCADORIAS P/REVENDA</t>
        </is>
      </c>
      <c r="U2156" s="77" t="n">
        <v>1164.1</v>
      </c>
      <c r="W2156" s="59" t="n">
        <v>1164.1</v>
      </c>
      <c r="X2156" s="59" t="inlineStr">
        <is>
          <t>NF 195281-1 MILKA</t>
        </is>
      </c>
      <c r="Z2156" s="59">
        <f>IF($T2156="","",IFERROR(INDEX('Resumo Grupos'!$AC$3:$AC$200,MATCH($T2156,'Resumo Grupos'!$AB$3:$AB$200,0)),"n/d"))</f>
        <v/>
      </c>
      <c r="AA2156" s="59">
        <f>IF($T2156="","",IF(COUNTIF('Resumo Grupos'!$AE$3:$AE$40,$T2156)&gt;0,"NAO","SIM"))</f>
        <v/>
      </c>
    </row>
    <row r="2157" ht="12.75" customHeight="1" s="60">
      <c r="A2157" s="59" t="n">
        <v>1</v>
      </c>
      <c r="B2157" s="75" t="n">
        <v>46240</v>
      </c>
      <c r="C2157" s="75" t="n">
        <v>46254</v>
      </c>
      <c r="D2157" s="59" t="n">
        <v>1114</v>
      </c>
      <c r="E2157" s="59" t="inlineStr">
        <is>
          <t>NT INDUSTRIA E COMERCIO DE PANIFICACAO L</t>
        </is>
      </c>
      <c r="F2157" s="59" t="n">
        <v>24</v>
      </c>
      <c r="G2157" s="59" t="inlineStr">
        <is>
          <t>Compra a Prazo - Boletos</t>
        </is>
      </c>
      <c r="H2157" s="59" t="n">
        <v>2110405</v>
      </c>
      <c r="I2157" s="59" t="inlineStr">
        <is>
          <t>CONTAS A PAGAR</t>
        </is>
      </c>
      <c r="J2157" s="59" t="n">
        <v>1508869</v>
      </c>
      <c r="L2157" s="59" t="n">
        <v>144460</v>
      </c>
      <c r="M2157" s="59" t="inlineStr">
        <is>
          <t>01</t>
        </is>
      </c>
      <c r="N2157" s="59" t="inlineStr">
        <is>
          <t>AVU</t>
        </is>
      </c>
      <c r="P2157" s="59" t="n">
        <v>103</v>
      </c>
      <c r="Q2157" s="59" t="inlineStr">
        <is>
          <t>MILKA FRANCIS</t>
        </is>
      </c>
      <c r="R2157" s="59" t="inlineStr">
        <is>
          <t>ESTOQUE DE MERCADORIAS</t>
        </is>
      </c>
      <c r="S2157" s="59" t="n">
        <v>1130101</v>
      </c>
      <c r="T2157" s="59" t="inlineStr">
        <is>
          <t>MERCADORIAS P/REVENDA</t>
        </is>
      </c>
      <c r="U2157" s="77" t="n">
        <v>353.4</v>
      </c>
      <c r="W2157" s="59" t="n">
        <v>353.4</v>
      </c>
      <c r="X2157" s="59" t="inlineStr">
        <is>
          <t>NF 144460 - MILKA</t>
        </is>
      </c>
      <c r="Z2157" s="59">
        <f>IF($T2157="","",IFERROR(INDEX('Resumo Grupos'!$AC$3:$AC$200,MATCH($T2157,'Resumo Grupos'!$AB$3:$AB$200,0)),"n/d"))</f>
        <v/>
      </c>
      <c r="AA2157" s="59">
        <f>IF($T2157="","",IF(COUNTIF('Resumo Grupos'!$AE$3:$AE$40,$T2157)&gt;0,"NAO","SIM"))</f>
        <v/>
      </c>
    </row>
    <row r="2158" ht="12.75" customHeight="1" s="60">
      <c r="A2158" s="59" t="n">
        <v>1</v>
      </c>
      <c r="B2158" s="75" t="n">
        <v>46240</v>
      </c>
      <c r="C2158" s="75" t="n">
        <v>46254</v>
      </c>
      <c r="D2158" s="59" t="n">
        <v>1114</v>
      </c>
      <c r="E2158" s="59" t="inlineStr">
        <is>
          <t>NT INDUSTRIA E COMERCIO DE PANIFICACAO L</t>
        </is>
      </c>
      <c r="F2158" s="59" t="n">
        <v>24</v>
      </c>
      <c r="G2158" s="59" t="inlineStr">
        <is>
          <t>Compra a Prazo - Boletos</t>
        </is>
      </c>
      <c r="H2158" s="59" t="n">
        <v>2110405</v>
      </c>
      <c r="I2158" s="59" t="inlineStr">
        <is>
          <t>CONTAS A PAGAR</t>
        </is>
      </c>
      <c r="J2158" s="59" t="n">
        <v>1508887</v>
      </c>
      <c r="L2158" s="59" t="n">
        <v>43208</v>
      </c>
      <c r="M2158" s="59" t="inlineStr">
        <is>
          <t>01</t>
        </is>
      </c>
      <c r="N2158" s="59" t="inlineStr">
        <is>
          <t>AVU</t>
        </is>
      </c>
      <c r="P2158" s="59" t="n">
        <v>103</v>
      </c>
      <c r="Q2158" s="59" t="inlineStr">
        <is>
          <t>MILKA FRANCIS</t>
        </is>
      </c>
      <c r="R2158" s="59" t="inlineStr">
        <is>
          <t>ESTOQUE DE MERCADORIAS</t>
        </is>
      </c>
      <c r="S2158" s="59" t="n">
        <v>1130101</v>
      </c>
      <c r="T2158" s="59" t="inlineStr">
        <is>
          <t>MERCADORIAS P/REVENDA</t>
        </is>
      </c>
      <c r="U2158" s="77" t="n">
        <v>367.29</v>
      </c>
      <c r="W2158" s="59" t="n">
        <v>367.29</v>
      </c>
      <c r="X2158" s="59" t="inlineStr">
        <is>
          <t>NF 43208 - MILKA</t>
        </is>
      </c>
      <c r="Z2158" s="59">
        <f>IF($T2158="","",IFERROR(INDEX('Resumo Grupos'!$AC$3:$AC$200,MATCH($T2158,'Resumo Grupos'!$AB$3:$AB$200,0)),"n/d"))</f>
        <v/>
      </c>
      <c r="AA2158" s="59">
        <f>IF($T2158="","",IF(COUNTIF('Resumo Grupos'!$AE$3:$AE$40,$T2158)&gt;0,"NAO","SIM"))</f>
        <v/>
      </c>
    </row>
    <row r="2159" ht="12.75" customHeight="1" s="60">
      <c r="A2159" s="59" t="n">
        <v>1</v>
      </c>
      <c r="B2159" s="75" t="n">
        <v>46241</v>
      </c>
      <c r="C2159" s="75" t="n">
        <v>46254</v>
      </c>
      <c r="D2159" s="59" t="n">
        <v>1626</v>
      </c>
      <c r="E2159" s="59" t="inlineStr">
        <is>
          <t>FENNIX BRASIL DISTRIBUIDORA DE PRODUTOS</t>
        </is>
      </c>
      <c r="F2159" s="59" t="n">
        <v>24</v>
      </c>
      <c r="G2159" s="59" t="inlineStr">
        <is>
          <t>Compra a Prazo - Boletos</t>
        </is>
      </c>
      <c r="H2159" s="59" t="n">
        <v>2110405</v>
      </c>
      <c r="I2159" s="59" t="inlineStr">
        <is>
          <t>CONTAS A PAGAR</t>
        </is>
      </c>
      <c r="J2159" s="59" t="n">
        <v>1513163</v>
      </c>
      <c r="L2159" s="59" t="n">
        <v>316329</v>
      </c>
      <c r="M2159" s="59" t="inlineStr">
        <is>
          <t>01</t>
        </is>
      </c>
      <c r="N2159" s="59" t="inlineStr">
        <is>
          <t>AVU</t>
        </is>
      </c>
      <c r="P2159" s="59" t="n">
        <v>103</v>
      </c>
      <c r="Q2159" s="59" t="inlineStr">
        <is>
          <t>MILKA FRANCIS</t>
        </is>
      </c>
      <c r="R2159" s="59" t="inlineStr">
        <is>
          <t>ESTOQUE DE MERCADORIAS</t>
        </is>
      </c>
      <c r="S2159" s="59" t="n">
        <v>1130101</v>
      </c>
      <c r="T2159" s="59" t="inlineStr">
        <is>
          <t>MERCADORIAS P/REVENDA</t>
        </is>
      </c>
      <c r="U2159" s="77" t="n">
        <v>1276.95</v>
      </c>
      <c r="W2159" s="59" t="n">
        <v>1276.95</v>
      </c>
      <c r="X2159" s="59" t="inlineStr">
        <is>
          <t>NF316329-1 C/TARIFA INCLUSA - MILKA</t>
        </is>
      </c>
      <c r="Z2159" s="59">
        <f>IF($T2159="","",IFERROR(INDEX('Resumo Grupos'!$AC$3:$AC$200,MATCH($T2159,'Resumo Grupos'!$AB$3:$AB$200,0)),"n/d"))</f>
        <v/>
      </c>
      <c r="AA2159" s="59">
        <f>IF($T2159="","",IF(COUNTIF('Resumo Grupos'!$AE$3:$AE$40,$T2159)&gt;0,"NAO","SIM"))</f>
        <v/>
      </c>
    </row>
    <row r="2160" ht="12.75" customHeight="1" s="60">
      <c r="A2160" s="59" t="n">
        <v>1</v>
      </c>
      <c r="B2160" s="75" t="n">
        <v>46241</v>
      </c>
      <c r="C2160" s="75" t="n">
        <v>46254</v>
      </c>
      <c r="D2160" s="59" t="n">
        <v>17</v>
      </c>
      <c r="E2160" s="59" t="inlineStr">
        <is>
          <t>NEYLIANE SILVA DE OLIVEIRA</t>
        </is>
      </c>
      <c r="F2160" s="59" t="n">
        <v>24</v>
      </c>
      <c r="G2160" s="59" t="inlineStr">
        <is>
          <t>Compra a Prazo - Boletos</t>
        </is>
      </c>
      <c r="H2160" s="59" t="n">
        <v>2110405</v>
      </c>
      <c r="I2160" s="59" t="inlineStr">
        <is>
          <t>CONTAS A PAGAR</t>
        </is>
      </c>
      <c r="J2160" s="59" t="n">
        <v>1514421</v>
      </c>
      <c r="L2160" s="59" t="n">
        <v>620148</v>
      </c>
      <c r="M2160" s="59" t="inlineStr">
        <is>
          <t>01</t>
        </is>
      </c>
      <c r="N2160" s="59" t="inlineStr">
        <is>
          <t>AVU</t>
        </is>
      </c>
      <c r="P2160" s="59" t="n">
        <v>101</v>
      </c>
      <c r="Q2160" s="59" t="inlineStr">
        <is>
          <t>KEILA LIMA</t>
        </is>
      </c>
      <c r="R2160" s="59" t="inlineStr">
        <is>
          <t>DESPESAS NAO OPERACIONAIS</t>
        </is>
      </c>
      <c r="S2160" s="59" t="n">
        <v>4220199</v>
      </c>
      <c r="T2160" s="59" t="inlineStr">
        <is>
          <t>PAGAMENTOS OUTROS NAO OPERACIONAIS</t>
        </is>
      </c>
      <c r="U2160" s="77" t="n">
        <v>621.17</v>
      </c>
      <c r="W2160" s="59" t="n">
        <v>621.17</v>
      </c>
      <c r="X2160" s="59" t="inlineStr">
        <is>
          <t>PL NEILA E RENATO ESOCIAL ARLETE- KEILA</t>
        </is>
      </c>
      <c r="Z2160" s="59">
        <f>IF($T2160="","",IFERROR(INDEX('Resumo Grupos'!$AC$3:$AC$200,MATCH($T2160,'Resumo Grupos'!$AB$3:$AB$200,0)),"n/d"))</f>
        <v/>
      </c>
      <c r="AA2160" s="59">
        <f>IF($T2160="","",IF(COUNTIF('Resumo Grupos'!$AE$3:$AE$40,$T2160)&gt;0,"NAO","SIM"))</f>
        <v/>
      </c>
    </row>
    <row r="2161" ht="12.75" customHeight="1" s="60">
      <c r="A2161" s="59" t="n">
        <v>1</v>
      </c>
      <c r="B2161" s="75" t="n">
        <v>46241</v>
      </c>
      <c r="C2161" s="75" t="n">
        <v>46254</v>
      </c>
      <c r="D2161" s="59" t="n">
        <v>10028</v>
      </c>
      <c r="E2161" s="59" t="inlineStr">
        <is>
          <t>EYES NWHERE SISTEMAS INTELIGENTES DE IMAGEM SA</t>
        </is>
      </c>
      <c r="F2161" s="59" t="n">
        <v>24</v>
      </c>
      <c r="G2161" s="59" t="inlineStr">
        <is>
          <t>Compra a Prazo - Boletos</t>
        </is>
      </c>
      <c r="H2161" s="59" t="n">
        <v>2110405</v>
      </c>
      <c r="I2161" s="59" t="inlineStr">
        <is>
          <t>CONTAS A PAGAR</t>
        </is>
      </c>
      <c r="J2161" s="59" t="n">
        <v>1370662</v>
      </c>
      <c r="L2161" s="59" t="n">
        <v>565739</v>
      </c>
      <c r="M2161" s="59" t="inlineStr">
        <is>
          <t>02</t>
        </is>
      </c>
      <c r="N2161" s="59" t="inlineStr">
        <is>
          <t>AVU</t>
        </is>
      </c>
      <c r="P2161" s="59" t="n">
        <v>101</v>
      </c>
      <c r="Q2161" s="59" t="inlineStr">
        <is>
          <t>KEILA LIMA</t>
        </is>
      </c>
      <c r="R2161" s="59" t="inlineStr">
        <is>
          <t>DESPESAS COM PESSOAL</t>
        </is>
      </c>
      <c r="S2161" s="59" t="n">
        <v>4210315</v>
      </c>
      <c r="T2161" s="59" t="inlineStr">
        <is>
          <t>INTERNET</t>
        </is>
      </c>
      <c r="U2161" s="77" t="n">
        <v>595.9</v>
      </c>
      <c r="W2161" s="59" t="n">
        <v>595.9</v>
      </c>
      <c r="X2161" s="59" t="inlineStr">
        <is>
          <t>MENSALIDADE INTERNTE MO1 - KEILA</t>
        </is>
      </c>
      <c r="Z2161" s="59">
        <f>IF($T2161="","",IFERROR(INDEX('Resumo Grupos'!$AC$3:$AC$200,MATCH($T2161,'Resumo Grupos'!$AB$3:$AB$200,0)),"n/d"))</f>
        <v/>
      </c>
      <c r="AA2161" s="59">
        <f>IF($T2161="","",IF(COUNTIF('Resumo Grupos'!$AE$3:$AE$40,$T2161)&gt;0,"NAO","SIM"))</f>
        <v/>
      </c>
    </row>
    <row r="2162" ht="12.75" customHeight="1" s="60">
      <c r="A2162" s="59" t="n">
        <v>1</v>
      </c>
      <c r="B2162" s="75" t="n">
        <v>46242</v>
      </c>
      <c r="C2162" s="75" t="n">
        <v>46254</v>
      </c>
      <c r="D2162" s="59" t="n">
        <v>10019</v>
      </c>
      <c r="E2162" s="59" t="inlineStr">
        <is>
          <t>FALCAO INDUSTRIA DE ALIMENTOS LTDA</t>
        </is>
      </c>
      <c r="F2162" s="59" t="n">
        <v>24</v>
      </c>
      <c r="G2162" s="59" t="inlineStr">
        <is>
          <t>Compra a Prazo - Boletos</t>
        </is>
      </c>
      <c r="H2162" s="59" t="n">
        <v>2110405</v>
      </c>
      <c r="I2162" s="59" t="inlineStr">
        <is>
          <t>CONTAS A PAGAR</t>
        </is>
      </c>
      <c r="J2162" s="59" t="n">
        <v>1517889</v>
      </c>
      <c r="L2162" s="59" t="n">
        <v>32287</v>
      </c>
      <c r="M2162" s="59" t="inlineStr">
        <is>
          <t>02</t>
        </is>
      </c>
      <c r="N2162" s="59" t="inlineStr">
        <is>
          <t>AVU</t>
        </is>
      </c>
      <c r="P2162" s="59" t="n">
        <v>103</v>
      </c>
      <c r="Q2162" s="59" t="inlineStr">
        <is>
          <t>MILKA FRANCIS</t>
        </is>
      </c>
      <c r="R2162" s="59" t="inlineStr">
        <is>
          <t>ESTOQUE DE MERCADORIAS</t>
        </is>
      </c>
      <c r="S2162" s="59" t="n">
        <v>1130101</v>
      </c>
      <c r="T2162" s="59" t="inlineStr">
        <is>
          <t>MERCADORIAS P/REVENDA</t>
        </is>
      </c>
      <c r="U2162" s="77" t="n">
        <v>4154.08</v>
      </c>
      <c r="W2162" s="59" t="n">
        <v>4154.08</v>
      </c>
      <c r="X2162" s="59" t="inlineStr">
        <is>
          <t>80802/2  NF32287 - MILKA</t>
        </is>
      </c>
      <c r="Z2162" s="59">
        <f>IF($T2162="","",IFERROR(INDEX('Resumo Grupos'!$AC$3:$AC$200,MATCH($T2162,'Resumo Grupos'!$AB$3:$AB$200,0)),"n/d"))</f>
        <v/>
      </c>
      <c r="AA2162" s="59">
        <f>IF($T2162="","",IF(COUNTIF('Resumo Grupos'!$AE$3:$AE$40,$T2162)&gt;0,"NAO","SIM"))</f>
        <v/>
      </c>
    </row>
    <row r="2163" ht="12.75" customHeight="1" s="60">
      <c r="A2163" s="59" t="n">
        <v>1</v>
      </c>
      <c r="B2163" s="75" t="n">
        <v>46242</v>
      </c>
      <c r="C2163" s="75" t="n">
        <v>46254</v>
      </c>
      <c r="D2163" s="59" t="n">
        <v>1675</v>
      </c>
      <c r="E2163" s="59" t="inlineStr">
        <is>
          <t>MARQUES &amp; MELO LTDA - FILIAL</t>
        </is>
      </c>
      <c r="F2163" s="59" t="n">
        <v>24</v>
      </c>
      <c r="G2163" s="59" t="inlineStr">
        <is>
          <t>Compra a Prazo - Boletos</t>
        </is>
      </c>
      <c r="H2163" s="59" t="n">
        <v>2110405</v>
      </c>
      <c r="I2163" s="59" t="inlineStr">
        <is>
          <t>CONTAS A PAGAR</t>
        </is>
      </c>
      <c r="J2163" s="59" t="n">
        <v>1518493</v>
      </c>
      <c r="L2163" s="59" t="n">
        <v>506570</v>
      </c>
      <c r="M2163" s="59" t="inlineStr">
        <is>
          <t>01</t>
        </is>
      </c>
      <c r="N2163" s="59" t="inlineStr">
        <is>
          <t>AVU</t>
        </is>
      </c>
      <c r="P2163" s="59" t="n">
        <v>103</v>
      </c>
      <c r="Q2163" s="59" t="inlineStr">
        <is>
          <t>MILKA FRANCIS</t>
        </is>
      </c>
      <c r="R2163" s="59" t="inlineStr">
        <is>
          <t>ESTOQUE DE MERCADORIAS</t>
        </is>
      </c>
      <c r="S2163" s="59" t="n">
        <v>1130101</v>
      </c>
      <c r="T2163" s="59" t="inlineStr">
        <is>
          <t>MERCADORIAS P/REVENDA</t>
        </is>
      </c>
      <c r="U2163" s="77" t="n">
        <v>729.66</v>
      </c>
      <c r="W2163" s="59" t="n">
        <v>729.66</v>
      </c>
      <c r="X2163" s="59" t="inlineStr">
        <is>
          <t>NF 506570-01 DISMELO - MILKA</t>
        </is>
      </c>
      <c r="Z2163" s="59">
        <f>IF($T2163="","",IFERROR(INDEX('Resumo Grupos'!$AC$3:$AC$200,MATCH($T2163,'Resumo Grupos'!$AB$3:$AB$200,0)),"n/d"))</f>
        <v/>
      </c>
      <c r="AA2163" s="59">
        <f>IF($T2163="","",IF(COUNTIF('Resumo Grupos'!$AE$3:$AE$40,$T2163)&gt;0,"NAO","SIM"))</f>
        <v/>
      </c>
    </row>
    <row r="2164" ht="12.75" customHeight="1" s="60">
      <c r="A2164" s="59" t="n">
        <v>1</v>
      </c>
      <c r="B2164" s="75" t="n">
        <v>46242</v>
      </c>
      <c r="C2164" s="75" t="n">
        <v>46254</v>
      </c>
      <c r="D2164" s="59" t="n">
        <v>10002</v>
      </c>
      <c r="E2164" s="59" t="inlineStr">
        <is>
          <t>DA FRUTA DISTRIBUIDORA LTDA</t>
        </is>
      </c>
      <c r="F2164" s="59" t="n">
        <v>24</v>
      </c>
      <c r="G2164" s="59" t="inlineStr">
        <is>
          <t>Compra a Prazo - Boletos</t>
        </is>
      </c>
      <c r="H2164" s="59" t="n">
        <v>2110405</v>
      </c>
      <c r="I2164" s="59" t="inlineStr">
        <is>
          <t>CONTAS A PAGAR</t>
        </is>
      </c>
      <c r="J2164" s="59" t="n">
        <v>1518747</v>
      </c>
      <c r="L2164" s="59" t="n">
        <v>197290</v>
      </c>
      <c r="M2164" s="59" t="inlineStr">
        <is>
          <t>01</t>
        </is>
      </c>
      <c r="N2164" s="59" t="inlineStr">
        <is>
          <t>AVU</t>
        </is>
      </c>
      <c r="P2164" s="59" t="n">
        <v>103</v>
      </c>
      <c r="Q2164" s="59" t="inlineStr">
        <is>
          <t>MILKA FRANCIS</t>
        </is>
      </c>
      <c r="R2164" s="59" t="inlineStr">
        <is>
          <t>ESTOQUE DE MERCADORIAS</t>
        </is>
      </c>
      <c r="S2164" s="59" t="n">
        <v>1130101</v>
      </c>
      <c r="T2164" s="59" t="inlineStr">
        <is>
          <t>MERCADORIAS P/REVENDA</t>
        </is>
      </c>
      <c r="U2164" s="77" t="n">
        <v>925.09</v>
      </c>
      <c r="W2164" s="59" t="n">
        <v>925.09</v>
      </c>
      <c r="X2164" s="59" t="inlineStr">
        <is>
          <t>NF 197290 - MILKA</t>
        </is>
      </c>
      <c r="Z2164" s="59">
        <f>IF($T2164="","",IFERROR(INDEX('Resumo Grupos'!$AC$3:$AC$200,MATCH($T2164,'Resumo Grupos'!$AB$3:$AB$200,0)),"n/d"))</f>
        <v/>
      </c>
      <c r="AA2164" s="59">
        <f>IF($T2164="","",IF(COUNTIF('Resumo Grupos'!$AE$3:$AE$40,$T2164)&gt;0,"NAO","SIM"))</f>
        <v/>
      </c>
    </row>
    <row r="2165" ht="12.75" customHeight="1" s="60">
      <c r="A2165" s="59" t="n">
        <v>1</v>
      </c>
      <c r="B2165" s="75" t="n">
        <v>46246</v>
      </c>
      <c r="C2165" s="75" t="n">
        <v>46254</v>
      </c>
      <c r="D2165" s="59" t="n">
        <v>1932</v>
      </c>
      <c r="E2165" s="59" t="inlineStr">
        <is>
          <t>OI S.A</t>
        </is>
      </c>
      <c r="F2165" s="59" t="n">
        <v>24</v>
      </c>
      <c r="G2165" s="59" t="inlineStr">
        <is>
          <t>Compra a Prazo - Boletos</t>
        </is>
      </c>
      <c r="H2165" s="59" t="n">
        <v>2110405</v>
      </c>
      <c r="I2165" s="59" t="inlineStr">
        <is>
          <t>CONTAS A PAGAR</t>
        </is>
      </c>
      <c r="J2165" s="59" t="n">
        <v>1370654</v>
      </c>
      <c r="L2165" s="59" t="n">
        <v>565734</v>
      </c>
      <c r="M2165" s="59" t="inlineStr">
        <is>
          <t>02</t>
        </is>
      </c>
      <c r="N2165" s="59" t="inlineStr">
        <is>
          <t>AVU</t>
        </is>
      </c>
      <c r="P2165" s="59" t="n">
        <v>101</v>
      </c>
      <c r="Q2165" s="59" t="inlineStr">
        <is>
          <t>KEILA LIMA</t>
        </is>
      </c>
      <c r="R2165" s="59" t="inlineStr">
        <is>
          <t>DESPESAS COM PESSOAL</t>
        </is>
      </c>
      <c r="S2165" s="59" t="n">
        <v>4210315</v>
      </c>
      <c r="T2165" s="59" t="inlineStr">
        <is>
          <t>INTERNET</t>
        </is>
      </c>
      <c r="U2165" s="77" t="n">
        <v>139.97</v>
      </c>
      <c r="W2165" s="59" t="n">
        <v>139.97</v>
      </c>
      <c r="X2165" s="59" t="inlineStr">
        <is>
          <t>MENSALIDADE INTERNET MO1 - KEILA</t>
        </is>
      </c>
      <c r="Z2165" s="59">
        <f>IF($T2165="","",IFERROR(INDEX('Resumo Grupos'!$AC$3:$AC$200,MATCH($T2165,'Resumo Grupos'!$AB$3:$AB$200,0)),"n/d"))</f>
        <v/>
      </c>
      <c r="AA2165" s="59">
        <f>IF($T2165="","",IF(COUNTIF('Resumo Grupos'!$AE$3:$AE$40,$T2165)&gt;0,"NAO","SIM"))</f>
        <v/>
      </c>
    </row>
    <row r="2166" ht="12.75" customHeight="1" s="60">
      <c r="A2166" s="59" t="n">
        <v>1</v>
      </c>
      <c r="B2166" s="75" t="n">
        <v>46246</v>
      </c>
      <c r="C2166" s="75" t="n">
        <v>46254</v>
      </c>
      <c r="D2166" s="59" t="n">
        <v>10009</v>
      </c>
      <c r="E2166" s="59" t="inlineStr">
        <is>
          <t>NESTLÉ BRASIL LTDA.</t>
        </is>
      </c>
      <c r="F2166" s="59" t="n">
        <v>24</v>
      </c>
      <c r="G2166" s="59" t="inlineStr">
        <is>
          <t>Compra a Prazo - Boletos</t>
        </is>
      </c>
      <c r="H2166" s="59" t="n">
        <v>2110405</v>
      </c>
      <c r="I2166" s="59" t="inlineStr">
        <is>
          <t>CONTAS A PAGAR</t>
        </is>
      </c>
      <c r="J2166" s="59" t="n">
        <v>1537273</v>
      </c>
      <c r="L2166" s="59" t="n">
        <v>1436399</v>
      </c>
      <c r="M2166" s="59" t="inlineStr">
        <is>
          <t>02</t>
        </is>
      </c>
      <c r="N2166" s="59" t="inlineStr">
        <is>
          <t>AVU</t>
        </is>
      </c>
      <c r="P2166" s="59" t="n">
        <v>103</v>
      </c>
      <c r="Q2166" s="59" t="inlineStr">
        <is>
          <t>MILKA FRANCIS</t>
        </is>
      </c>
      <c r="R2166" s="59" t="inlineStr">
        <is>
          <t>ESTOQUE DE MERCADORIAS</t>
        </is>
      </c>
      <c r="S2166" s="59" t="n">
        <v>1130101</v>
      </c>
      <c r="T2166" s="59" t="inlineStr">
        <is>
          <t>MERCADORIAS P/REVENDA</t>
        </is>
      </c>
      <c r="U2166" s="77" t="n">
        <v>1001.88</v>
      </c>
      <c r="W2166" s="59" t="n">
        <v>1001.88</v>
      </c>
      <c r="X2166" s="59" t="inlineStr">
        <is>
          <t>NF 1436399 -02/03 MILKA</t>
        </is>
      </c>
      <c r="Z2166" s="59">
        <f>IF($T2166="","",IFERROR(INDEX('Resumo Grupos'!$AC$3:$AC$200,MATCH($T2166,'Resumo Grupos'!$AB$3:$AB$200,0)),"n/d"))</f>
        <v/>
      </c>
      <c r="AA2166" s="59">
        <f>IF($T2166="","",IF(COUNTIF('Resumo Grupos'!$AE$3:$AE$40,$T2166)&gt;0,"NAO","SIM"))</f>
        <v/>
      </c>
    </row>
    <row r="2167" ht="12.75" customHeight="1" s="60">
      <c r="A2167" s="59" t="n">
        <v>1</v>
      </c>
      <c r="B2167" s="75" t="n">
        <v>46248</v>
      </c>
      <c r="C2167" s="75" t="n">
        <v>46254</v>
      </c>
      <c r="D2167" s="59" t="n">
        <v>1024</v>
      </c>
      <c r="E2167" s="59" t="inlineStr">
        <is>
          <t>REAL BEBIDAS DA AMAZONIA LTDA</t>
        </is>
      </c>
      <c r="F2167" s="59" t="n">
        <v>24</v>
      </c>
      <c r="G2167" s="59" t="inlineStr">
        <is>
          <t>Compra a Prazo - Boletos</t>
        </is>
      </c>
      <c r="H2167" s="59" t="n">
        <v>2110405</v>
      </c>
      <c r="I2167" s="59" t="inlineStr">
        <is>
          <t>CONTAS A PAGAR</t>
        </is>
      </c>
      <c r="J2167" s="59" t="n">
        <v>1547324</v>
      </c>
      <c r="L2167" s="59" t="n">
        <v>621791</v>
      </c>
      <c r="M2167" s="59" t="inlineStr">
        <is>
          <t>01</t>
        </is>
      </c>
      <c r="N2167" s="59" t="inlineStr">
        <is>
          <t>AVU</t>
        </is>
      </c>
      <c r="P2167" s="59" t="n">
        <v>103</v>
      </c>
      <c r="Q2167" s="59" t="inlineStr">
        <is>
          <t>MILKA FRANCIS</t>
        </is>
      </c>
      <c r="R2167" s="59" t="inlineStr">
        <is>
          <t>ESTOQUE DE MERCADORIAS</t>
        </is>
      </c>
      <c r="S2167" s="59" t="n">
        <v>1130101</v>
      </c>
      <c r="T2167" s="59" t="inlineStr">
        <is>
          <t>MERCADORIAS P/REVENDA</t>
        </is>
      </c>
      <c r="U2167" s="77" t="n">
        <v>370</v>
      </c>
      <c r="W2167" s="59" t="n">
        <v>370</v>
      </c>
      <c r="X2167" s="59" t="inlineStr">
        <is>
          <t>NF 621791 - MILKA</t>
        </is>
      </c>
      <c r="Z2167" s="59">
        <f>IF($T2167="","",IFERROR(INDEX('Resumo Grupos'!$AC$3:$AC$200,MATCH($T2167,'Resumo Grupos'!$AB$3:$AB$200,0)),"n/d"))</f>
        <v/>
      </c>
      <c r="AA2167" s="59">
        <f>IF($T2167="","",IF(COUNTIF('Resumo Grupos'!$AE$3:$AE$40,$T2167)&gt;0,"NAO","SIM"))</f>
        <v/>
      </c>
    </row>
    <row r="2168" ht="12.75" customHeight="1" s="60">
      <c r="A2168" s="59" t="n">
        <v>1</v>
      </c>
      <c r="B2168" s="75" t="n">
        <v>46249</v>
      </c>
      <c r="C2168" s="75" t="n">
        <v>46254</v>
      </c>
      <c r="D2168" s="59" t="n">
        <v>1276</v>
      </c>
      <c r="E2168" s="59" t="inlineStr">
        <is>
          <t>PRIMICIA DISTRIBUIDORA DE FRIOS LTDA</t>
        </is>
      </c>
      <c r="F2168" s="59" t="n">
        <v>24</v>
      </c>
      <c r="G2168" s="59" t="inlineStr">
        <is>
          <t>Compra a Prazo - Boletos</t>
        </is>
      </c>
      <c r="H2168" s="59" t="n">
        <v>2110405</v>
      </c>
      <c r="I2168" s="59" t="inlineStr">
        <is>
          <t>CONTAS A PAGAR</t>
        </is>
      </c>
      <c r="J2168" s="59" t="n">
        <v>1551978</v>
      </c>
      <c r="L2168" s="59" t="n">
        <v>3181</v>
      </c>
      <c r="M2168" s="59" t="inlineStr">
        <is>
          <t>01</t>
        </is>
      </c>
      <c r="N2168" s="59" t="inlineStr">
        <is>
          <t>AVU</t>
        </is>
      </c>
      <c r="P2168" s="59" t="n">
        <v>103</v>
      </c>
      <c r="Q2168" s="59" t="inlineStr">
        <is>
          <t>MILKA FRANCIS</t>
        </is>
      </c>
      <c r="R2168" s="59" t="inlineStr">
        <is>
          <t>ESTOQUE DE MERCADORIAS</t>
        </is>
      </c>
      <c r="S2168" s="59" t="n">
        <v>1130101</v>
      </c>
      <c r="T2168" s="59" t="inlineStr">
        <is>
          <t>MERCADORIAS P/REVENDA</t>
        </is>
      </c>
      <c r="U2168" s="77" t="n">
        <v>1783.5</v>
      </c>
      <c r="W2168" s="59" t="n">
        <v>1783.5</v>
      </c>
      <c r="X2168" s="59" t="inlineStr">
        <is>
          <t>NF 3181 - MILKA</t>
        </is>
      </c>
      <c r="Z2168" s="59">
        <f>IF($T2168="","",IFERROR(INDEX('Resumo Grupos'!$AC$3:$AC$200,MATCH($T2168,'Resumo Grupos'!$AB$3:$AB$200,0)),"n/d"))</f>
        <v/>
      </c>
      <c r="AA2168" s="59">
        <f>IF($T2168="","",IF(COUNTIF('Resumo Grupos'!$AE$3:$AE$40,$T2168)&gt;0,"NAO","SIM"))</f>
        <v/>
      </c>
    </row>
    <row r="2169" ht="12.75" customHeight="1" s="60">
      <c r="A2169" s="59" t="n">
        <v>1</v>
      </c>
      <c r="B2169" s="75" t="n">
        <v>46251</v>
      </c>
      <c r="C2169" s="75" t="n">
        <v>46254</v>
      </c>
      <c r="D2169" s="59" t="n">
        <v>1899</v>
      </c>
      <c r="E2169" s="59" t="inlineStr">
        <is>
          <t>PANIFICADORA E CONFEITARIA REAL MADRI LTDA</t>
        </is>
      </c>
      <c r="F2169" s="59" t="n">
        <v>24</v>
      </c>
      <c r="G2169" s="59" t="inlineStr">
        <is>
          <t>Compra a Prazo - Boletos</t>
        </is>
      </c>
      <c r="H2169" s="59" t="n">
        <v>2110405</v>
      </c>
      <c r="I2169" s="59" t="inlineStr">
        <is>
          <t>CONTAS A PAGAR</t>
        </is>
      </c>
      <c r="J2169" s="59" t="n">
        <v>1561154</v>
      </c>
      <c r="L2169" s="59" t="n">
        <v>762</v>
      </c>
      <c r="M2169" s="59" t="inlineStr">
        <is>
          <t>01</t>
        </is>
      </c>
      <c r="N2169" s="59" t="inlineStr">
        <is>
          <t>AVU</t>
        </is>
      </c>
      <c r="P2169" s="59" t="n">
        <v>103</v>
      </c>
      <c r="Q2169" s="59" t="inlineStr">
        <is>
          <t>MILKA FRANCIS</t>
        </is>
      </c>
      <c r="R2169" s="59" t="inlineStr">
        <is>
          <t>ESTOQUE DE MERCADORIAS</t>
        </is>
      </c>
      <c r="S2169" s="59" t="n">
        <v>1130101</v>
      </c>
      <c r="T2169" s="59" t="inlineStr">
        <is>
          <t>MERCADORIAS P/REVENDA</t>
        </is>
      </c>
      <c r="U2169" s="77" t="n">
        <v>1008.7</v>
      </c>
      <c r="W2169" s="59" t="n">
        <v>1008.7</v>
      </c>
      <c r="X2169" s="59" t="inlineStr">
        <is>
          <t>NF 762 - MILKA</t>
        </is>
      </c>
      <c r="Z2169" s="59">
        <f>IF($T2169="","",IFERROR(INDEX('Resumo Grupos'!$AC$3:$AC$200,MATCH($T2169,'Resumo Grupos'!$AB$3:$AB$200,0)),"n/d"))</f>
        <v/>
      </c>
      <c r="AA2169" s="59">
        <f>IF($T2169="","",IF(COUNTIF('Resumo Grupos'!$AE$3:$AE$40,$T2169)&gt;0,"NAO","SIM"))</f>
        <v/>
      </c>
    </row>
    <row r="2170" ht="12.75" customHeight="1" s="60">
      <c r="A2170" s="59" t="n">
        <v>1</v>
      </c>
      <c r="B2170" s="75" t="n">
        <v>46251</v>
      </c>
      <c r="C2170" s="75" t="n">
        <v>46254</v>
      </c>
      <c r="D2170" s="59" t="n">
        <v>1947</v>
      </c>
      <c r="E2170" s="59" t="inlineStr">
        <is>
          <t>E S O CONSULTORIA EIRELI</t>
        </is>
      </c>
      <c r="F2170" s="59" t="n">
        <v>34</v>
      </c>
      <c r="G2170" s="59" t="inlineStr">
        <is>
          <t>Transferencia Pix</t>
        </is>
      </c>
      <c r="H2170" s="59" t="n">
        <v>2110405</v>
      </c>
      <c r="I2170" s="59" t="inlineStr">
        <is>
          <t>CONTAS A PAGAR</t>
        </is>
      </c>
      <c r="J2170" s="59" t="n">
        <v>1561636</v>
      </c>
      <c r="L2170" s="59" t="n">
        <v>7</v>
      </c>
      <c r="M2170" s="59" t="inlineStr">
        <is>
          <t>01</t>
        </is>
      </c>
      <c r="N2170" s="59" t="inlineStr">
        <is>
          <t>AVU</t>
        </is>
      </c>
      <c r="P2170" s="59" t="n">
        <v>101</v>
      </c>
      <c r="Q2170" s="59" t="inlineStr">
        <is>
          <t>KEILA LIMA</t>
        </is>
      </c>
      <c r="R2170" s="59" t="inlineStr">
        <is>
          <t>IMPOSTOS E CONTRIBUICOES A PAGAR</t>
        </is>
      </c>
      <c r="S2170" s="59" t="n">
        <v>2110707</v>
      </c>
      <c r="T2170" s="59" t="inlineStr">
        <is>
          <t>SIMPLES FEDERAL A PAGAR</t>
        </is>
      </c>
      <c r="U2170" s="77" t="n">
        <v>5899.7</v>
      </c>
      <c r="W2170" s="59" t="n">
        <v>5899.7</v>
      </c>
      <c r="X2170" s="59" t="inlineStr">
        <is>
          <t>SIMPLES ESO MO1 PARTE 07/26  - KEILA</t>
        </is>
      </c>
      <c r="Z2170" s="59">
        <f>IF($T2170="","",IFERROR(INDEX('Resumo Grupos'!$AC$3:$AC$200,MATCH($T2170,'Resumo Grupos'!$AB$3:$AB$200,0)),"n/d"))</f>
        <v/>
      </c>
      <c r="AA2170" s="59">
        <f>IF($T2170="","",IF(COUNTIF('Resumo Grupos'!$AE$3:$AE$40,$T2170)&gt;0,"NAO","SIM"))</f>
        <v/>
      </c>
    </row>
    <row r="2171" ht="12.75" customHeight="1" s="60">
      <c r="A2171" s="59" t="n">
        <v>1</v>
      </c>
      <c r="B2171" s="75" t="n">
        <v>46251</v>
      </c>
      <c r="C2171" s="75" t="n">
        <v>46254</v>
      </c>
      <c r="D2171" s="59" t="n">
        <v>947</v>
      </c>
      <c r="E2171" s="59" t="inlineStr">
        <is>
          <t xml:space="preserve">HINOVA PAYMENTS </t>
        </is>
      </c>
      <c r="F2171" s="59" t="n">
        <v>24</v>
      </c>
      <c r="G2171" s="59" t="inlineStr">
        <is>
          <t>Compra a Prazo - Boletos</t>
        </is>
      </c>
      <c r="H2171" s="59" t="n">
        <v>2110405</v>
      </c>
      <c r="I2171" s="59" t="inlineStr">
        <is>
          <t>CONTAS A PAGAR</t>
        </is>
      </c>
      <c r="J2171" s="59" t="n">
        <v>1561689</v>
      </c>
      <c r="L2171" s="59" t="n">
        <v>29104746</v>
      </c>
      <c r="M2171" s="59" t="inlineStr">
        <is>
          <t>01</t>
        </is>
      </c>
      <c r="N2171" s="59" t="inlineStr">
        <is>
          <t>AVU</t>
        </is>
      </c>
      <c r="P2171" s="59" t="n">
        <v>101</v>
      </c>
      <c r="Q2171" s="59" t="inlineStr">
        <is>
          <t>KEILA LIMA</t>
        </is>
      </c>
      <c r="R2171" s="59" t="inlineStr">
        <is>
          <t>BENS TANGIVEIS</t>
        </is>
      </c>
      <c r="S2171" s="59" t="n">
        <v>1240105</v>
      </c>
      <c r="T2171" s="59" t="inlineStr">
        <is>
          <t>VEICULOS</t>
        </is>
      </c>
      <c r="U2171" s="77" t="n">
        <v>129</v>
      </c>
      <c r="W2171" s="59" t="n">
        <v>129</v>
      </c>
      <c r="X2171" s="59" t="inlineStr">
        <is>
          <t>MENSSALIDADE RASTREADOR MO1 DELIVERY - KEILA</t>
        </is>
      </c>
      <c r="Z2171" s="59">
        <f>IF($T2171="","",IFERROR(INDEX('Resumo Grupos'!$AC$3:$AC$200,MATCH($T2171,'Resumo Grupos'!$AB$3:$AB$200,0)),"n/d"))</f>
        <v/>
      </c>
      <c r="AA2171" s="59">
        <f>IF($T2171="","",IF(COUNTIF('Resumo Grupos'!$AE$3:$AE$40,$T2171)&gt;0,"NAO","SIM"))</f>
        <v/>
      </c>
    </row>
    <row r="2172" ht="12.75" customHeight="1" s="60">
      <c r="A2172" s="59" t="n">
        <v>1</v>
      </c>
      <c r="B2172" s="75" t="n">
        <v>46251</v>
      </c>
      <c r="C2172" s="75" t="n">
        <v>46254</v>
      </c>
      <c r="D2172" s="59" t="n">
        <v>1276</v>
      </c>
      <c r="E2172" s="59" t="inlineStr">
        <is>
          <t>PRIMICIA DISTRIBUIDORA DE FRIOS LTDA</t>
        </is>
      </c>
      <c r="F2172" s="59" t="n">
        <v>24</v>
      </c>
      <c r="G2172" s="59" t="inlineStr">
        <is>
          <t>Compra a Prazo - Boletos</t>
        </is>
      </c>
      <c r="H2172" s="59" t="n">
        <v>2110405</v>
      </c>
      <c r="I2172" s="59" t="inlineStr">
        <is>
          <t>CONTAS A PAGAR</t>
        </is>
      </c>
      <c r="J2172" s="59" t="n">
        <v>1562382</v>
      </c>
      <c r="L2172" s="59" t="n">
        <v>3182</v>
      </c>
      <c r="M2172" s="59" t="inlineStr">
        <is>
          <t>01</t>
        </is>
      </c>
      <c r="N2172" s="59" t="inlineStr">
        <is>
          <t>AVU</t>
        </is>
      </c>
      <c r="P2172" s="59" t="n">
        <v>103</v>
      </c>
      <c r="Q2172" s="59" t="inlineStr">
        <is>
          <t>MILKA FRANCIS</t>
        </is>
      </c>
      <c r="R2172" s="59" t="inlineStr">
        <is>
          <t>CUSTOS DE PRODUCAO</t>
        </is>
      </c>
      <c r="S2172" s="59" t="n">
        <v>4110102</v>
      </c>
      <c r="T2172" s="59" t="inlineStr">
        <is>
          <t>MATERIA PRIMA</t>
        </is>
      </c>
      <c r="U2172" s="77" t="n">
        <v>742.5</v>
      </c>
      <c r="W2172" s="59" t="n">
        <v>742.5</v>
      </c>
      <c r="X2172" s="59" t="inlineStr">
        <is>
          <t>NF 3182 PONTA DE QUEIJO E PRESUNTO /PADARIA - MILKA</t>
        </is>
      </c>
      <c r="Z2172" s="59">
        <f>IF($T2172="","",IFERROR(INDEX('Resumo Grupos'!$AC$3:$AC$200,MATCH($T2172,'Resumo Grupos'!$AB$3:$AB$200,0)),"n/d"))</f>
        <v/>
      </c>
      <c r="AA2172" s="59">
        <f>IF($T2172="","",IF(COUNTIF('Resumo Grupos'!$AE$3:$AE$40,$T2172)&gt;0,"NAO","SIM"))</f>
        <v/>
      </c>
    </row>
    <row r="2173" ht="12.75" customHeight="1" s="60">
      <c r="A2173" s="59" t="n">
        <v>1</v>
      </c>
      <c r="B2173" s="75" t="n">
        <v>46252</v>
      </c>
      <c r="C2173" s="75" t="n">
        <v>46254</v>
      </c>
      <c r="D2173" s="59" t="n">
        <v>1614</v>
      </c>
      <c r="E2173" s="59" t="inlineStr">
        <is>
          <t>C. R. PARENTE ABREU</t>
        </is>
      </c>
      <c r="F2173" s="59" t="n">
        <v>24</v>
      </c>
      <c r="G2173" s="59" t="inlineStr">
        <is>
          <t>Compra a Prazo - Boletos</t>
        </is>
      </c>
      <c r="H2173" s="59" t="n">
        <v>2110405</v>
      </c>
      <c r="I2173" s="59" t="inlineStr">
        <is>
          <t>CONTAS A PAGAR</t>
        </is>
      </c>
      <c r="J2173" s="59" t="n">
        <v>1565827</v>
      </c>
      <c r="L2173" s="59" t="n">
        <v>11564</v>
      </c>
      <c r="M2173" s="59" t="inlineStr">
        <is>
          <t>01</t>
        </is>
      </c>
      <c r="N2173" s="59" t="inlineStr">
        <is>
          <t>AVU</t>
        </is>
      </c>
      <c r="P2173" s="59" t="n">
        <v>103</v>
      </c>
      <c r="Q2173" s="59" t="inlineStr">
        <is>
          <t>MILKA FRANCIS</t>
        </is>
      </c>
      <c r="R2173" s="59" t="inlineStr">
        <is>
          <t>ESTOQUE DE MERCADORIAS</t>
        </is>
      </c>
      <c r="S2173" s="59" t="n">
        <v>1130101</v>
      </c>
      <c r="T2173" s="59" t="inlineStr">
        <is>
          <t>MERCADORIAS P/REVENDA</t>
        </is>
      </c>
      <c r="U2173" s="77" t="n">
        <v>495.56</v>
      </c>
      <c r="W2173" s="59" t="n">
        <v>495.56</v>
      </c>
      <c r="X2173" s="59" t="inlineStr">
        <is>
          <t>NF 11564-1 KARU - MILKA</t>
        </is>
      </c>
      <c r="Z2173" s="59">
        <f>IF($T2173="","",IFERROR(INDEX('Resumo Grupos'!$AC$3:$AC$200,MATCH($T2173,'Resumo Grupos'!$AB$3:$AB$200,0)),"n/d"))</f>
        <v/>
      </c>
      <c r="AA2173" s="59">
        <f>IF($T2173="","",IF(COUNTIF('Resumo Grupos'!$AE$3:$AE$40,$T2173)&gt;0,"NAO","SIM"))</f>
        <v/>
      </c>
    </row>
    <row r="2174" ht="12.75" customHeight="1" s="60">
      <c r="A2174" s="59" t="n">
        <v>1</v>
      </c>
      <c r="B2174" s="75" t="n">
        <v>46253</v>
      </c>
      <c r="C2174" s="75" t="n">
        <v>46254</v>
      </c>
      <c r="D2174" s="59" t="n">
        <v>642</v>
      </c>
      <c r="E2174" s="59" t="inlineStr">
        <is>
          <t>ADICSO FABIAN GONZALEZ MONTILLA 70302186</t>
        </is>
      </c>
      <c r="F2174" s="59" t="n">
        <v>24</v>
      </c>
      <c r="G2174" s="59" t="inlineStr">
        <is>
          <t>Compra a Prazo - Boletos</t>
        </is>
      </c>
      <c r="H2174" s="59" t="n">
        <v>2110405</v>
      </c>
      <c r="I2174" s="59" t="inlineStr">
        <is>
          <t>CONTAS A PAGAR</t>
        </is>
      </c>
      <c r="J2174" s="59" t="n">
        <v>1572024</v>
      </c>
      <c r="L2174" s="59" t="n">
        <v>604</v>
      </c>
      <c r="M2174" s="59" t="inlineStr">
        <is>
          <t>01</t>
        </is>
      </c>
      <c r="N2174" s="59" t="inlineStr">
        <is>
          <t>AVU</t>
        </is>
      </c>
      <c r="P2174" s="59" t="n">
        <v>103</v>
      </c>
      <c r="Q2174" s="59" t="inlineStr">
        <is>
          <t>MILKA FRANCIS</t>
        </is>
      </c>
      <c r="R2174" s="59" t="inlineStr">
        <is>
          <t>ESTOQUE DE MERCADORIAS</t>
        </is>
      </c>
      <c r="S2174" s="59" t="n">
        <v>1130101</v>
      </c>
      <c r="T2174" s="59" t="inlineStr">
        <is>
          <t>MERCADORIAS P/REVENDA</t>
        </is>
      </c>
      <c r="U2174" s="77" t="n">
        <v>600</v>
      </c>
      <c r="W2174" s="59" t="n">
        <v>600</v>
      </c>
      <c r="X2174" s="59" t="inlineStr">
        <is>
          <t>NF 604 BLOOM - MILKA</t>
        </is>
      </c>
      <c r="Z2174" s="59">
        <f>IF($T2174="","",IFERROR(INDEX('Resumo Grupos'!$AC$3:$AC$200,MATCH($T2174,'Resumo Grupos'!$AB$3:$AB$200,0)),"n/d"))</f>
        <v/>
      </c>
      <c r="AA2174" s="59">
        <f>IF($T2174="","",IF(COUNTIF('Resumo Grupos'!$AE$3:$AE$40,$T2174)&gt;0,"NAO","SIM"))</f>
        <v/>
      </c>
    </row>
    <row r="2175" ht="12.75" customHeight="1" s="60">
      <c r="A2175" s="59" t="n">
        <v>1</v>
      </c>
      <c r="B2175" s="75" t="n">
        <v>46253</v>
      </c>
      <c r="C2175" s="75" t="n">
        <v>46254</v>
      </c>
      <c r="D2175" s="59" t="n">
        <v>1807</v>
      </c>
      <c r="E2175" s="59" t="inlineStr">
        <is>
          <t>SEFAZ DAR</t>
        </is>
      </c>
      <c r="F2175" s="59" t="n">
        <v>24</v>
      </c>
      <c r="G2175" s="59" t="inlineStr">
        <is>
          <t>Compra a Prazo - Boletos</t>
        </is>
      </c>
      <c r="H2175" s="59" t="n">
        <v>2110405</v>
      </c>
      <c r="I2175" s="59" t="inlineStr">
        <is>
          <t>CONTAS A PAGAR</t>
        </is>
      </c>
      <c r="J2175" s="59" t="n">
        <v>1572080</v>
      </c>
      <c r="L2175" s="59" t="n">
        <v>642483</v>
      </c>
      <c r="M2175" s="59" t="inlineStr">
        <is>
          <t>01</t>
        </is>
      </c>
      <c r="N2175" s="59" t="inlineStr">
        <is>
          <t>AVU</t>
        </is>
      </c>
      <c r="P2175" s="59" t="n">
        <v>101</v>
      </c>
      <c r="Q2175" s="59" t="inlineStr">
        <is>
          <t>KEILA LIMA</t>
        </is>
      </c>
      <c r="R2175" s="59" t="inlineStr">
        <is>
          <t>IMPOSTOS E CONTRIBUICOES A PAGAR</t>
        </is>
      </c>
      <c r="S2175" s="59" t="n">
        <v>2110701</v>
      </c>
      <c r="T2175" s="59" t="inlineStr">
        <is>
          <t>ICMS A PAGAR</t>
        </is>
      </c>
      <c r="U2175" s="77" t="n">
        <v>5521.86</v>
      </c>
      <c r="W2175" s="59" t="n">
        <v>5521.86</v>
      </c>
      <c r="X2175" s="59" t="inlineStr">
        <is>
          <t>ICMS MO1 IMPOSTO 07/26 - KEILA</t>
        </is>
      </c>
      <c r="Z2175" s="59">
        <f>IF($T2175="","",IFERROR(INDEX('Resumo Grupos'!$AC$3:$AC$200,MATCH($T2175,'Resumo Grupos'!$AB$3:$AB$200,0)),"n/d"))</f>
        <v/>
      </c>
      <c r="AA2175" s="59">
        <f>IF($T2175="","",IF(COUNTIF('Resumo Grupos'!$AE$3:$AE$40,$T2175)&gt;0,"NAO","SIM"))</f>
        <v/>
      </c>
    </row>
    <row r="2176" ht="12.75" customHeight="1" s="60">
      <c r="A2176" s="59" t="n">
        <v>1</v>
      </c>
      <c r="B2176" s="75" t="n">
        <v>46253</v>
      </c>
      <c r="C2176" s="75" t="n">
        <v>46254</v>
      </c>
      <c r="D2176" s="59" t="n">
        <v>1947</v>
      </c>
      <c r="E2176" s="59" t="inlineStr">
        <is>
          <t>E S O CONSULTORIA EIRELI</t>
        </is>
      </c>
      <c r="F2176" s="59" t="n">
        <v>34</v>
      </c>
      <c r="G2176" s="59" t="inlineStr">
        <is>
          <t>Transferencia Pix</t>
        </is>
      </c>
      <c r="H2176" s="59" t="n">
        <v>2110405</v>
      </c>
      <c r="I2176" s="59" t="inlineStr">
        <is>
          <t>CONTAS A PAGAR</t>
        </is>
      </c>
      <c r="J2176" s="59" t="n">
        <v>1572571</v>
      </c>
      <c r="L2176" s="59" t="n">
        <v>642608</v>
      </c>
      <c r="M2176" s="59" t="inlineStr">
        <is>
          <t>01</t>
        </is>
      </c>
      <c r="N2176" s="59" t="inlineStr">
        <is>
          <t>AVU</t>
        </is>
      </c>
      <c r="P2176" s="59" t="n">
        <v>101</v>
      </c>
      <c r="Q2176" s="59" t="inlineStr">
        <is>
          <t>KEILA LIMA</t>
        </is>
      </c>
      <c r="R2176" s="59" t="inlineStr">
        <is>
          <t>DESPESAS COM PESSOAL</t>
        </is>
      </c>
      <c r="S2176" s="59" t="n">
        <v>4210303</v>
      </c>
      <c r="T2176" s="59" t="inlineStr">
        <is>
          <t>INSS (PREVIDENCIA SOCIAL)</t>
        </is>
      </c>
      <c r="U2176" s="77" t="n">
        <v>3709.82</v>
      </c>
      <c r="W2176" s="59" t="n">
        <v>3709.82</v>
      </c>
      <c r="X2176" s="59" t="inlineStr">
        <is>
          <t>INSS FUNC MO1 PARTE 07/26 - KEILA</t>
        </is>
      </c>
      <c r="Z2176" s="59">
        <f>IF($T2176="","",IFERROR(INDEX('Resumo Grupos'!$AC$3:$AC$200,MATCH($T2176,'Resumo Grupos'!$AB$3:$AB$200,0)),"n/d"))</f>
        <v/>
      </c>
      <c r="AA2176" s="59">
        <f>IF($T2176="","",IF(COUNTIF('Resumo Grupos'!$AE$3:$AE$40,$T2176)&gt;0,"NAO","SIM"))</f>
        <v/>
      </c>
    </row>
    <row r="2177" ht="12.75" customHeight="1" s="60">
      <c r="A2177" s="59" t="n">
        <v>1</v>
      </c>
      <c r="B2177" s="75" t="n">
        <v>46253</v>
      </c>
      <c r="C2177" s="75" t="n">
        <v>46254</v>
      </c>
      <c r="D2177" s="59" t="n">
        <v>1947</v>
      </c>
      <c r="E2177" s="59" t="inlineStr">
        <is>
          <t>E S O CONSULTORIA EIRELI</t>
        </is>
      </c>
      <c r="F2177" s="59" t="n">
        <v>34</v>
      </c>
      <c r="G2177" s="59" t="inlineStr">
        <is>
          <t>Transferencia Pix</t>
        </is>
      </c>
      <c r="H2177" s="59" t="n">
        <v>2110405</v>
      </c>
      <c r="I2177" s="59" t="inlineStr">
        <is>
          <t>CONTAS A PAGAR</t>
        </is>
      </c>
      <c r="J2177" s="59" t="n">
        <v>1572646</v>
      </c>
      <c r="L2177" s="59" t="n">
        <v>642634</v>
      </c>
      <c r="M2177" s="59" t="inlineStr">
        <is>
          <t>01</t>
        </is>
      </c>
      <c r="N2177" s="59" t="inlineStr">
        <is>
          <t>AVU</t>
        </is>
      </c>
      <c r="P2177" s="59" t="n">
        <v>101</v>
      </c>
      <c r="Q2177" s="59" t="inlineStr">
        <is>
          <t>KEILA LIMA</t>
        </is>
      </c>
      <c r="R2177" s="59" t="inlineStr">
        <is>
          <t>DESPESAS COM PESSOAL</t>
        </is>
      </c>
      <c r="S2177" s="59" t="n">
        <v>4210302</v>
      </c>
      <c r="T2177" s="59" t="inlineStr">
        <is>
          <t>FGTS</t>
        </is>
      </c>
      <c r="U2177" s="77" t="n">
        <v>7932.1</v>
      </c>
      <c r="W2177" s="59" t="n">
        <v>7932.1</v>
      </c>
      <c r="X2177" s="59" t="inlineStr">
        <is>
          <t>FGTS FUNC MO1 PARTE 07/26 - KEILA</t>
        </is>
      </c>
      <c r="Z2177" s="59">
        <f>IF($T2177="","",IFERROR(INDEX('Resumo Grupos'!$AC$3:$AC$200,MATCH($T2177,'Resumo Grupos'!$AB$3:$AB$200,0)),"n/d"))</f>
        <v/>
      </c>
      <c r="AA2177" s="59">
        <f>IF($T2177="","",IF(COUNTIF('Resumo Grupos'!$AE$3:$AE$40,$T2177)&gt;0,"NAO","SIM"))</f>
        <v/>
      </c>
    </row>
    <row r="2178" ht="12.75" customHeight="1" s="60">
      <c r="A2178" s="59" t="n">
        <v>1</v>
      </c>
      <c r="B2178" s="75" t="n">
        <v>46253</v>
      </c>
      <c r="C2178" s="75" t="n">
        <v>46254</v>
      </c>
      <c r="D2178" s="59" t="n">
        <v>33</v>
      </c>
      <c r="E2178" s="59" t="inlineStr">
        <is>
          <t>RENATO DE O AZEVEDO E CIA LTDA - EPP</t>
        </is>
      </c>
      <c r="F2178" s="59" t="n">
        <v>34</v>
      </c>
      <c r="G2178" s="59" t="inlineStr">
        <is>
          <t>Transferencia Pix</t>
        </is>
      </c>
      <c r="H2178" s="59" t="n">
        <v>2110101</v>
      </c>
      <c r="I2178" s="59" t="inlineStr">
        <is>
          <t>FORNECEDORES DE MERCADORIA</t>
        </is>
      </c>
      <c r="J2178" s="59" t="n">
        <v>1572770</v>
      </c>
      <c r="L2178" s="59" t="n">
        <v>5517</v>
      </c>
      <c r="M2178" s="59" t="inlineStr">
        <is>
          <t>01</t>
        </is>
      </c>
      <c r="N2178" s="59" t="inlineStr">
        <is>
          <t>NFE</t>
        </is>
      </c>
      <c r="P2178" s="59" t="n">
        <v>104</v>
      </c>
      <c r="Q2178" s="59" t="inlineStr">
        <is>
          <t>DEBORA COSTA</t>
        </is>
      </c>
      <c r="R2178" s="59" t="inlineStr">
        <is>
          <t>ESTOQUE DE MERCADORIAS</t>
        </is>
      </c>
      <c r="S2178" s="59" t="n">
        <v>1130101</v>
      </c>
      <c r="T2178" s="59" t="inlineStr">
        <is>
          <t>MERCADORIAS P/REVENDA</t>
        </is>
      </c>
      <c r="U2178" s="77" t="n">
        <v>429</v>
      </c>
      <c r="W2178" s="59" t="n">
        <v>429</v>
      </c>
      <c r="X2178" s="59" t="inlineStr">
        <is>
          <t>FEIRA SR RENATO - PGTO P/ D. AUGUSTA - DEBORA</t>
        </is>
      </c>
      <c r="Z2178" s="59">
        <f>IF($T2178="","",IFERROR(INDEX('Resumo Grupos'!$AC$3:$AC$200,MATCH($T2178,'Resumo Grupos'!$AB$3:$AB$200,0)),"n/d"))</f>
        <v/>
      </c>
      <c r="AA2178" s="59">
        <f>IF($T2178="","",IF(COUNTIF('Resumo Grupos'!$AE$3:$AE$40,$T2178)&gt;0,"NAO","SIM"))</f>
        <v/>
      </c>
    </row>
    <row r="2179" ht="12.75" customHeight="1" s="60">
      <c r="A2179" s="59" t="n">
        <v>1</v>
      </c>
      <c r="B2179" s="75" t="n">
        <v>46254</v>
      </c>
      <c r="C2179" s="75" t="n">
        <v>46254</v>
      </c>
      <c r="D2179" s="59" t="n">
        <v>1391</v>
      </c>
      <c r="E2179" s="59" t="inlineStr">
        <is>
          <t>D N COMERCIO ATACADISTA DE EMBALAGENS E</t>
        </is>
      </c>
      <c r="F2179" s="59" t="n">
        <v>13</v>
      </c>
      <c r="G2179" s="59" t="inlineStr">
        <is>
          <t>Compra a Vista</t>
        </is>
      </c>
      <c r="H2179" s="59" t="n">
        <v>2110101</v>
      </c>
      <c r="I2179" s="59" t="inlineStr">
        <is>
          <t>FORNECEDORES DE MERCADORIA</t>
        </is>
      </c>
      <c r="J2179" s="59" t="n">
        <v>1580613</v>
      </c>
      <c r="L2179" s="59" t="n">
        <v>417</v>
      </c>
      <c r="M2179" s="59" t="inlineStr">
        <is>
          <t>01</t>
        </is>
      </c>
      <c r="N2179" s="59" t="inlineStr">
        <is>
          <t>NFE</t>
        </is>
      </c>
      <c r="P2179" s="59" t="n">
        <v>104</v>
      </c>
      <c r="Q2179" s="59" t="inlineStr">
        <is>
          <t>DEBORA COSTA</t>
        </is>
      </c>
      <c r="R2179" s="59" t="inlineStr">
        <is>
          <t>ESTOQUE DE MERCADORIAS</t>
        </is>
      </c>
      <c r="S2179" s="59" t="n">
        <v>1130101</v>
      </c>
      <c r="T2179" s="59" t="inlineStr">
        <is>
          <t>MERCADORIAS P/REVENDA</t>
        </is>
      </c>
      <c r="U2179" s="77" t="n">
        <v>90</v>
      </c>
      <c r="W2179" s="59" t="n">
        <v>90</v>
      </c>
      <c r="X2179" s="59" t="inlineStr">
        <is>
          <t>NF 417 - DEBORA</t>
        </is>
      </c>
      <c r="Z2179" s="59">
        <f>IF($T2179="","",IFERROR(INDEX('Resumo Grupos'!$AC$3:$AC$200,MATCH($T2179,'Resumo Grupos'!$AB$3:$AB$200,0)),"n/d"))</f>
        <v/>
      </c>
      <c r="AA2179" s="59">
        <f>IF($T2179="","",IF(COUNTIF('Resumo Grupos'!$AE$3:$AE$40,$T2179)&gt;0,"NAO","SIM"))</f>
        <v/>
      </c>
    </row>
    <row r="2180" ht="12.75" customHeight="1" s="60">
      <c r="A2180" s="59" t="n">
        <v>1</v>
      </c>
      <c r="B2180" s="75" t="n">
        <v>46254</v>
      </c>
      <c r="C2180" s="75" t="n">
        <v>46254</v>
      </c>
      <c r="D2180" s="59" t="n">
        <v>1936</v>
      </c>
      <c r="E2180" s="59" t="inlineStr">
        <is>
          <t>RV TECNOLOGIA E SISTEMAS S.A</t>
        </is>
      </c>
      <c r="F2180" s="59" t="n">
        <v>24</v>
      </c>
      <c r="G2180" s="59" t="inlineStr">
        <is>
          <t>Compra a Prazo - Boletos</t>
        </is>
      </c>
      <c r="H2180" s="59" t="n">
        <v>2110405</v>
      </c>
      <c r="I2180" s="59" t="inlineStr">
        <is>
          <t>CONTAS A PAGAR</t>
        </is>
      </c>
      <c r="J2180" s="59" t="n">
        <v>1582430</v>
      </c>
      <c r="L2180" s="59" t="n">
        <v>646184</v>
      </c>
      <c r="M2180" s="59" t="inlineStr">
        <is>
          <t>01</t>
        </is>
      </c>
      <c r="N2180" s="59" t="inlineStr">
        <is>
          <t>AVU</t>
        </is>
      </c>
      <c r="P2180" s="59" t="n">
        <v>102</v>
      </c>
      <c r="Q2180" s="59" t="inlineStr">
        <is>
          <t>ANDREZA ANDRADE</t>
        </is>
      </c>
      <c r="R2180" s="59" t="inlineStr">
        <is>
          <t>ESTOQUE DE MERCADORIAS</t>
        </is>
      </c>
      <c r="S2180" s="59" t="n">
        <v>1130101</v>
      </c>
      <c r="T2180" s="59" t="inlineStr">
        <is>
          <t>MERCADORIAS P/REVENDA</t>
        </is>
      </c>
      <c r="U2180" s="77" t="n">
        <v>95.55</v>
      </c>
      <c r="W2180" s="59" t="n">
        <v>95.55</v>
      </c>
      <c r="X2180" s="59" t="inlineStr">
        <is>
          <t>RV RECARGA CELULAR -ANDREZA</t>
        </is>
      </c>
      <c r="Z2180" s="59">
        <f>IF($T2180="","",IFERROR(INDEX('Resumo Grupos'!$AC$3:$AC$200,MATCH($T2180,'Resumo Grupos'!$AB$3:$AB$200,0)),"n/d"))</f>
        <v/>
      </c>
      <c r="AA2180" s="59">
        <f>IF($T2180="","",IF(COUNTIF('Resumo Grupos'!$AE$3:$AE$40,$T2180)&gt;0,"NAO","SIM"))</f>
        <v/>
      </c>
    </row>
    <row r="2181" ht="12.75" customHeight="1" s="60">
      <c r="A2181" s="59" t="n">
        <v>1</v>
      </c>
      <c r="B2181" s="75" t="n">
        <v>46254</v>
      </c>
      <c r="C2181" s="75" t="n">
        <v>46254</v>
      </c>
      <c r="D2181" s="59" t="n">
        <v>1000001</v>
      </c>
      <c r="E2181" s="59" t="inlineStr">
        <is>
          <t>CISS CONSULTORIA EM INFORMATICA, SERVICOS E SOFTWARE S/A</t>
        </is>
      </c>
      <c r="F2181" s="59" t="n">
        <v>24</v>
      </c>
      <c r="G2181" s="59" t="inlineStr">
        <is>
          <t>Compra a Prazo - Boletos</t>
        </is>
      </c>
      <c r="H2181" s="59" t="n">
        <v>2110405</v>
      </c>
      <c r="I2181" s="59" t="inlineStr">
        <is>
          <t>CONTAS A PAGAR</t>
        </is>
      </c>
      <c r="J2181" s="59" t="n">
        <v>1582498</v>
      </c>
      <c r="L2181" s="59" t="n">
        <v>646206</v>
      </c>
      <c r="M2181" s="59" t="inlineStr">
        <is>
          <t>01</t>
        </is>
      </c>
      <c r="N2181" s="59" t="inlineStr">
        <is>
          <t>AVU</t>
        </is>
      </c>
      <c r="P2181" s="59" t="n">
        <v>102</v>
      </c>
      <c r="Q2181" s="59" t="inlineStr">
        <is>
          <t>ANDREZA ANDRADE</t>
        </is>
      </c>
      <c r="R2181" s="59" t="inlineStr">
        <is>
          <t>DESPESAS NAO OPERACIONAIS</t>
        </is>
      </c>
      <c r="S2181" s="59" t="n">
        <v>4220199</v>
      </c>
      <c r="T2181" s="59" t="inlineStr">
        <is>
          <t>PAGAMENTOS OUTROS NAO OPERACIONAIS</t>
        </is>
      </c>
      <c r="U2181" s="77" t="n">
        <v>589.29</v>
      </c>
      <c r="W2181" s="59" t="n">
        <v>589.29</v>
      </c>
      <c r="X2181" s="59" t="inlineStr">
        <is>
          <t>MENSALIDADE SISTEMA CISS LOJAS-ANDREZA</t>
        </is>
      </c>
      <c r="Z2181" s="59">
        <f>IF($T2181="","",IFERROR(INDEX('Resumo Grupos'!$AC$3:$AC$200,MATCH($T2181,'Resumo Grupos'!$AB$3:$AB$200,0)),"n/d"))</f>
        <v/>
      </c>
      <c r="AA2181" s="59">
        <f>IF($T2181="","",IF(COUNTIF('Resumo Grupos'!$AE$3:$AE$40,$T2181)&gt;0,"NAO","SIM"))</f>
        <v/>
      </c>
    </row>
    <row r="2182" ht="12.75" customHeight="1" s="60">
      <c r="A2182" s="59" t="n">
        <v>1</v>
      </c>
      <c r="B2182" s="75" t="n">
        <v>46254</v>
      </c>
      <c r="C2182" s="75" t="n">
        <v>46254</v>
      </c>
      <c r="D2182" s="59" t="n">
        <v>1000001</v>
      </c>
      <c r="E2182" s="59" t="inlineStr">
        <is>
          <t>CISS CONSULTORIA EM INFORMATICA, SERVICOS E SOFTWARE S/A</t>
        </is>
      </c>
      <c r="F2182" s="59" t="n">
        <v>24</v>
      </c>
      <c r="G2182" s="59" t="inlineStr">
        <is>
          <t>Compra a Prazo - Boletos</t>
        </is>
      </c>
      <c r="H2182" s="59" t="n">
        <v>2110405</v>
      </c>
      <c r="I2182" s="59" t="inlineStr">
        <is>
          <t>CONTAS A PAGAR</t>
        </is>
      </c>
      <c r="J2182" s="59" t="n">
        <v>1582528</v>
      </c>
      <c r="L2182" s="59" t="n">
        <v>646221</v>
      </c>
      <c r="M2182" s="59" t="inlineStr">
        <is>
          <t>01</t>
        </is>
      </c>
      <c r="N2182" s="59" t="inlineStr">
        <is>
          <t>AVU</t>
        </is>
      </c>
      <c r="P2182" s="59" t="n">
        <v>102</v>
      </c>
      <c r="Q2182" s="59" t="inlineStr">
        <is>
          <t>ANDREZA ANDRADE</t>
        </is>
      </c>
      <c r="R2182" s="59" t="inlineStr">
        <is>
          <t>DESPESAS NAO OPERACIONAIS</t>
        </is>
      </c>
      <c r="S2182" s="59" t="n">
        <v>4220199</v>
      </c>
      <c r="T2182" s="59" t="inlineStr">
        <is>
          <t>PAGAMENTOS OUTROS NAO OPERACIONAIS</t>
        </is>
      </c>
      <c r="U2182" s="77" t="n">
        <v>1342.68</v>
      </c>
      <c r="W2182" s="59" t="n">
        <v>1342.68</v>
      </c>
      <c r="X2182" s="59" t="inlineStr">
        <is>
          <t>MENSALIDADE SISTEMA CISS LOJAS -ANDREZA</t>
        </is>
      </c>
      <c r="Z2182" s="59">
        <f>IF($T2182="","",IFERROR(INDEX('Resumo Grupos'!$AC$3:$AC$200,MATCH($T2182,'Resumo Grupos'!$AB$3:$AB$200,0)),"n/d"))</f>
        <v/>
      </c>
      <c r="AA2182" s="59">
        <f>IF($T2182="","",IF(COUNTIF('Resumo Grupos'!$AE$3:$AE$40,$T2182)&gt;0,"NAO","SIM"))</f>
        <v/>
      </c>
    </row>
    <row r="2183" ht="12.75" customHeight="1" s="60">
      <c r="A2183" s="59" t="n">
        <v>1</v>
      </c>
      <c r="B2183" s="75" t="n">
        <v>46254</v>
      </c>
      <c r="C2183" s="75" t="n">
        <v>46254</v>
      </c>
      <c r="D2183" s="59" t="n">
        <v>1000001</v>
      </c>
      <c r="E2183" s="59" t="inlineStr">
        <is>
          <t>CISS CONSULTORIA EM INFORMATICA, SERVICOS E SOFTWARE S/A</t>
        </is>
      </c>
      <c r="F2183" s="59" t="n">
        <v>24</v>
      </c>
      <c r="G2183" s="59" t="inlineStr">
        <is>
          <t>Compra a Prazo - Boletos</t>
        </is>
      </c>
      <c r="H2183" s="59" t="n">
        <v>2110405</v>
      </c>
      <c r="I2183" s="59" t="inlineStr">
        <is>
          <t>CONTAS A PAGAR</t>
        </is>
      </c>
      <c r="J2183" s="59" t="n">
        <v>1582595</v>
      </c>
      <c r="L2183" s="59" t="n">
        <v>646230</v>
      </c>
      <c r="M2183" s="59" t="inlineStr">
        <is>
          <t>01</t>
        </is>
      </c>
      <c r="N2183" s="59" t="inlineStr">
        <is>
          <t>AVU</t>
        </is>
      </c>
      <c r="P2183" s="59" t="n">
        <v>102</v>
      </c>
      <c r="Q2183" s="59" t="inlineStr">
        <is>
          <t>ANDREZA ANDRADE</t>
        </is>
      </c>
      <c r="R2183" s="59" t="inlineStr">
        <is>
          <t>DESPESAS NAO OPERACIONAIS</t>
        </is>
      </c>
      <c r="S2183" s="59" t="n">
        <v>4220199</v>
      </c>
      <c r="T2183" s="59" t="inlineStr">
        <is>
          <t>PAGAMENTOS OUTROS NAO OPERACIONAIS</t>
        </is>
      </c>
      <c r="U2183" s="77" t="n">
        <v>142.9</v>
      </c>
      <c r="W2183" s="59" t="n">
        <v>142.9</v>
      </c>
      <c r="X2183" s="59" t="inlineStr">
        <is>
          <t>MENSALIDADE SISTEMA CISS LOJAS-ANDREZA</t>
        </is>
      </c>
      <c r="Z2183" s="59">
        <f>IF($T2183="","",IFERROR(INDEX('Resumo Grupos'!$AC$3:$AC$200,MATCH($T2183,'Resumo Grupos'!$AB$3:$AB$200,0)),"n/d"))</f>
        <v/>
      </c>
      <c r="AA2183" s="59">
        <f>IF($T2183="","",IF(COUNTIF('Resumo Grupos'!$AE$3:$AE$40,$T2183)&gt;0,"NAO","SIM"))</f>
        <v/>
      </c>
    </row>
    <row r="2184" ht="12.75" customHeight="1" s="60">
      <c r="A2184" s="59" t="n">
        <v>1</v>
      </c>
      <c r="B2184" s="75" t="n">
        <v>46226</v>
      </c>
      <c r="C2184" s="75" t="n">
        <v>46255</v>
      </c>
      <c r="D2184" s="59" t="n">
        <v>10017</v>
      </c>
      <c r="E2184" s="59" t="inlineStr">
        <is>
          <t>PIARARA COMERCIO, IMPORTACAO E EXPORTACAO LTDA</t>
        </is>
      </c>
      <c r="F2184" s="59" t="n">
        <v>24</v>
      </c>
      <c r="G2184" s="59" t="inlineStr">
        <is>
          <t>Compra a Prazo - Boletos</t>
        </is>
      </c>
      <c r="H2184" s="59" t="n">
        <v>2110405</v>
      </c>
      <c r="I2184" s="59" t="inlineStr">
        <is>
          <t>CONTAS A PAGAR</t>
        </is>
      </c>
      <c r="J2184" s="59" t="n">
        <v>1440211</v>
      </c>
      <c r="L2184" s="59" t="n">
        <v>592622</v>
      </c>
      <c r="M2184" s="59" t="inlineStr">
        <is>
          <t>03</t>
        </is>
      </c>
      <c r="N2184" s="59" t="inlineStr">
        <is>
          <t>AVU</t>
        </is>
      </c>
      <c r="P2184" s="59" t="n">
        <v>104</v>
      </c>
      <c r="Q2184" s="59" t="inlineStr">
        <is>
          <t>DEBORA COSTA</t>
        </is>
      </c>
      <c r="R2184" s="59" t="inlineStr">
        <is>
          <t>ESTOQUE DE MERCADORIAS</t>
        </is>
      </c>
      <c r="S2184" s="59" t="n">
        <v>1130101</v>
      </c>
      <c r="T2184" s="59" t="inlineStr">
        <is>
          <t>MERCADORIAS P/REVENDA</t>
        </is>
      </c>
      <c r="U2184" s="77" t="n">
        <v>868.36</v>
      </c>
      <c r="W2184" s="59" t="n">
        <v>0</v>
      </c>
      <c r="X2184" s="59" t="inlineStr">
        <is>
          <t>NF 194785 - DEBORA</t>
        </is>
      </c>
      <c r="Z2184" s="59">
        <f>IF($T2184="","",IFERROR(INDEX('Resumo Grupos'!$AC$3:$AC$200,MATCH($T2184,'Resumo Grupos'!$AB$3:$AB$200,0)),"n/d"))</f>
        <v/>
      </c>
      <c r="AA2184" s="59">
        <f>IF($T2184="","",IF(COUNTIF('Resumo Grupos'!$AE$3:$AE$40,$T2184)&gt;0,"NAO","SIM"))</f>
        <v/>
      </c>
    </row>
    <row r="2185" ht="12.75" customHeight="1" s="60">
      <c r="A2185" s="59" t="n">
        <v>1</v>
      </c>
      <c r="B2185" s="75" t="n">
        <v>46228</v>
      </c>
      <c r="C2185" s="75" t="n">
        <v>46255</v>
      </c>
      <c r="D2185" s="59" t="n">
        <v>1608</v>
      </c>
      <c r="E2185" s="59" t="inlineStr">
        <is>
          <t>DISTRIBUIDORA LOPES LTDA</t>
        </is>
      </c>
      <c r="F2185" s="59" t="n">
        <v>24</v>
      </c>
      <c r="G2185" s="59" t="inlineStr">
        <is>
          <t>Compra a Prazo - Boletos</t>
        </is>
      </c>
      <c r="H2185" s="59" t="n">
        <v>1110202</v>
      </c>
      <c r="I2185" s="59" t="inlineStr">
        <is>
          <t>BANCO ITAU Lj 01</t>
        </is>
      </c>
      <c r="J2185" s="59" t="n">
        <v>1449982</v>
      </c>
      <c r="L2185" s="59" t="n">
        <v>1698394</v>
      </c>
      <c r="M2185" s="59" t="inlineStr">
        <is>
          <t>01</t>
        </is>
      </c>
      <c r="N2185" s="59" t="inlineStr">
        <is>
          <t>AVU</t>
        </is>
      </c>
      <c r="P2185" s="59" t="n">
        <v>103</v>
      </c>
      <c r="Q2185" s="59" t="inlineStr">
        <is>
          <t>MILKA FRANCIS</t>
        </is>
      </c>
      <c r="R2185" s="59" t="inlineStr">
        <is>
          <t>ESTOQUE DE MERCADORIAS</t>
        </is>
      </c>
      <c r="S2185" s="59" t="n">
        <v>1130101</v>
      </c>
      <c r="T2185" s="59" t="inlineStr">
        <is>
          <t>MERCADORIAS P/REVENDA</t>
        </is>
      </c>
      <c r="U2185" s="77" t="n">
        <v>1365.55</v>
      </c>
      <c r="W2185" s="59" t="n">
        <v>0</v>
      </c>
      <c r="X2185" s="59" t="inlineStr">
        <is>
          <t>NF 1698394 C/ DESCONTO NO BOLETO - MILKA</t>
        </is>
      </c>
      <c r="Z2185" s="59">
        <f>IF($T2185="","",IFERROR(INDEX('Resumo Grupos'!$AC$3:$AC$200,MATCH($T2185,'Resumo Grupos'!$AB$3:$AB$200,0)),"n/d"))</f>
        <v/>
      </c>
      <c r="AA2185" s="59">
        <f>IF($T2185="","",IF(COUNTIF('Resumo Grupos'!$AE$3:$AE$40,$T2185)&gt;0,"NAO","SIM"))</f>
        <v/>
      </c>
    </row>
    <row r="2186" ht="12.75" customHeight="1" s="60">
      <c r="A2186" s="59" t="n">
        <v>1</v>
      </c>
      <c r="B2186" s="75" t="n">
        <v>46228</v>
      </c>
      <c r="C2186" s="75" t="n">
        <v>46255</v>
      </c>
      <c r="D2186" s="59" t="n">
        <v>1657</v>
      </c>
      <c r="E2186" s="59" t="inlineStr">
        <is>
          <t>IRMÃOS LIMA  ATACADO  DE ALIMENTOS LTDA</t>
        </is>
      </c>
      <c r="F2186" s="59" t="n">
        <v>24</v>
      </c>
      <c r="G2186" s="59" t="inlineStr">
        <is>
          <t>Compra a Prazo - Boletos</t>
        </is>
      </c>
      <c r="H2186" s="59" t="n">
        <v>2110405</v>
      </c>
      <c r="I2186" s="59" t="inlineStr">
        <is>
          <t>CONTAS A PAGAR</t>
        </is>
      </c>
      <c r="J2186" s="59" t="n">
        <v>1450043</v>
      </c>
      <c r="L2186" s="59" t="n">
        <v>296100</v>
      </c>
      <c r="M2186" s="59" t="inlineStr">
        <is>
          <t>03</t>
        </is>
      </c>
      <c r="N2186" s="59" t="inlineStr">
        <is>
          <t>AVU</t>
        </is>
      </c>
      <c r="P2186" s="59" t="n">
        <v>103</v>
      </c>
      <c r="Q2186" s="59" t="inlineStr">
        <is>
          <t>MILKA FRANCIS</t>
        </is>
      </c>
      <c r="R2186" s="59" t="inlineStr">
        <is>
          <t>ESTOQUE DE MERCADORIAS</t>
        </is>
      </c>
      <c r="S2186" s="59" t="n">
        <v>1130101</v>
      </c>
      <c r="T2186" s="59" t="inlineStr">
        <is>
          <t>MERCADORIAS P/REVENDA</t>
        </is>
      </c>
      <c r="U2186" s="77" t="n">
        <v>925.98</v>
      </c>
      <c r="W2186" s="59" t="n">
        <v>0</v>
      </c>
      <c r="X2186" s="59" t="inlineStr">
        <is>
          <t>377101 -C/C  NF296100 - MILKA</t>
        </is>
      </c>
      <c r="Z2186" s="59">
        <f>IF($T2186="","",IFERROR(INDEX('Resumo Grupos'!$AC$3:$AC$200,MATCH($T2186,'Resumo Grupos'!$AB$3:$AB$200,0)),"n/d"))</f>
        <v/>
      </c>
      <c r="AA2186" s="59">
        <f>IF($T2186="","",IF(COUNTIF('Resumo Grupos'!$AE$3:$AE$40,$T2186)&gt;0,"NAO","SIM"))</f>
        <v/>
      </c>
    </row>
    <row r="2187" ht="12.75" customHeight="1" s="60">
      <c r="A2187" s="59" t="n">
        <v>1</v>
      </c>
      <c r="B2187" s="75" t="n">
        <v>46235</v>
      </c>
      <c r="C2187" s="75" t="n">
        <v>46255</v>
      </c>
      <c r="D2187" s="59" t="n">
        <v>1815</v>
      </c>
      <c r="E2187" s="59" t="inlineStr">
        <is>
          <t>J G COMERCIO DE PRODUTOS ALIMENTICIOS LTDA</t>
        </is>
      </c>
      <c r="F2187" s="59" t="n">
        <v>24</v>
      </c>
      <c r="G2187" s="59" t="inlineStr">
        <is>
          <t>Compra a Prazo - Boletos</t>
        </is>
      </c>
      <c r="H2187" s="59" t="n">
        <v>2110405</v>
      </c>
      <c r="I2187" s="59" t="inlineStr">
        <is>
          <t>CONTAS A PAGAR</t>
        </is>
      </c>
      <c r="J2187" s="59" t="n">
        <v>1482383</v>
      </c>
      <c r="L2187" s="59" t="n">
        <v>395526</v>
      </c>
      <c r="M2187" s="59" t="inlineStr">
        <is>
          <t>02</t>
        </is>
      </c>
      <c r="N2187" s="59" t="inlineStr">
        <is>
          <t>AVU</t>
        </is>
      </c>
      <c r="P2187" s="59" t="n">
        <v>103</v>
      </c>
      <c r="Q2187" s="59" t="inlineStr">
        <is>
          <t>MILKA FRANCIS</t>
        </is>
      </c>
      <c r="R2187" s="59" t="inlineStr">
        <is>
          <t>ESTOQUE DE MERCADORIAS</t>
        </is>
      </c>
      <c r="S2187" s="59" t="n">
        <v>1130101</v>
      </c>
      <c r="T2187" s="59" t="inlineStr">
        <is>
          <t>MERCADORIAS P/REVENDA</t>
        </is>
      </c>
      <c r="U2187" s="77" t="n">
        <v>1143.82</v>
      </c>
      <c r="W2187" s="59" t="n">
        <v>0</v>
      </c>
      <c r="X2187" s="59" t="inlineStr">
        <is>
          <t>459602-B/B  NF395526 - MILKA</t>
        </is>
      </c>
      <c r="Z2187" s="59">
        <f>IF($T2187="","",IFERROR(INDEX('Resumo Grupos'!$AC$3:$AC$200,MATCH($T2187,'Resumo Grupos'!$AB$3:$AB$200,0)),"n/d"))</f>
        <v/>
      </c>
      <c r="AA2187" s="59">
        <f>IF($T2187="","",IF(COUNTIF('Resumo Grupos'!$AE$3:$AE$40,$T2187)&gt;0,"NAO","SIM"))</f>
        <v/>
      </c>
    </row>
    <row r="2188" ht="12.75" customHeight="1" s="60">
      <c r="A2188" s="59" t="n">
        <v>1</v>
      </c>
      <c r="B2188" s="75" t="n">
        <v>46241</v>
      </c>
      <c r="C2188" s="75" t="n">
        <v>46255</v>
      </c>
      <c r="D2188" s="59" t="n">
        <v>1366</v>
      </c>
      <c r="E2188" s="59" t="inlineStr">
        <is>
          <t>TEMPERO BOM PRECO</t>
        </is>
      </c>
      <c r="F2188" s="59" t="n">
        <v>24</v>
      </c>
      <c r="G2188" s="59" t="inlineStr">
        <is>
          <t>Compra a Prazo - Boletos</t>
        </is>
      </c>
      <c r="H2188" s="59" t="n">
        <v>2110405</v>
      </c>
      <c r="I2188" s="59" t="inlineStr">
        <is>
          <t>CONTAS A PAGAR</t>
        </is>
      </c>
      <c r="J2188" s="59" t="n">
        <v>1514427</v>
      </c>
      <c r="L2188" s="59" t="n">
        <v>249</v>
      </c>
      <c r="M2188" s="59" t="inlineStr">
        <is>
          <t>01</t>
        </is>
      </c>
      <c r="N2188" s="59" t="inlineStr">
        <is>
          <t>AVU</t>
        </is>
      </c>
      <c r="P2188" s="59" t="n">
        <v>103</v>
      </c>
      <c r="Q2188" s="59" t="inlineStr">
        <is>
          <t>MILKA FRANCIS</t>
        </is>
      </c>
      <c r="R2188" s="59" t="inlineStr">
        <is>
          <t>ESTOQUE DE MERCADORIAS</t>
        </is>
      </c>
      <c r="S2188" s="59" t="n">
        <v>1130101</v>
      </c>
      <c r="T2188" s="59" t="inlineStr">
        <is>
          <t>MERCADORIAS P/REVENDA</t>
        </is>
      </c>
      <c r="U2188" s="77" t="n">
        <v>435.4</v>
      </c>
      <c r="W2188" s="59" t="n">
        <v>0</v>
      </c>
      <c r="X2188" s="59" t="inlineStr">
        <is>
          <t>NF 249 - MILKA</t>
        </is>
      </c>
      <c r="Z2188" s="59">
        <f>IF($T2188="","",IFERROR(INDEX('Resumo Grupos'!$AC$3:$AC$200,MATCH($T2188,'Resumo Grupos'!$AB$3:$AB$200,0)),"n/d"))</f>
        <v/>
      </c>
      <c r="AA2188" s="59">
        <f>IF($T2188="","",IF(COUNTIF('Resumo Grupos'!$AE$3:$AE$40,$T2188)&gt;0,"NAO","SIM"))</f>
        <v/>
      </c>
    </row>
    <row r="2189" ht="12.75" customHeight="1" s="60">
      <c r="A2189" s="59" t="n">
        <v>1</v>
      </c>
      <c r="B2189" s="75" t="n">
        <v>46241</v>
      </c>
      <c r="C2189" s="75" t="n">
        <v>46255</v>
      </c>
      <c r="D2189" s="59" t="n">
        <v>1608</v>
      </c>
      <c r="E2189" s="59" t="inlineStr">
        <is>
          <t>DISTRIBUIDORA LOPES LTDA</t>
        </is>
      </c>
      <c r="F2189" s="59" t="n">
        <v>24</v>
      </c>
      <c r="G2189" s="59" t="inlineStr">
        <is>
          <t>Compra a Prazo - Boletos</t>
        </is>
      </c>
      <c r="H2189" s="59" t="n">
        <v>2110405</v>
      </c>
      <c r="I2189" s="59" t="inlineStr">
        <is>
          <t>CONTAS A PAGAR</t>
        </is>
      </c>
      <c r="J2189" s="59" t="n">
        <v>1514839</v>
      </c>
      <c r="L2189" s="59" t="n">
        <v>1707352</v>
      </c>
      <c r="M2189" s="59" t="inlineStr">
        <is>
          <t>01</t>
        </is>
      </c>
      <c r="N2189" s="59" t="inlineStr">
        <is>
          <t>AVU</t>
        </is>
      </c>
      <c r="P2189" s="59" t="n">
        <v>103</v>
      </c>
      <c r="Q2189" s="59" t="inlineStr">
        <is>
          <t>MILKA FRANCIS</t>
        </is>
      </c>
      <c r="R2189" s="59" t="inlineStr">
        <is>
          <t>ESTOQUE DE MERCADORIAS</t>
        </is>
      </c>
      <c r="S2189" s="59" t="n">
        <v>1130101</v>
      </c>
      <c r="T2189" s="59" t="inlineStr">
        <is>
          <t>MERCADORIAS P/REVENDA</t>
        </is>
      </c>
      <c r="U2189" s="77" t="n">
        <v>953.13</v>
      </c>
      <c r="W2189" s="59" t="n">
        <v>0</v>
      </c>
      <c r="X2189" s="59" t="inlineStr">
        <is>
          <t>NF 1707352 -1 DESC. NO BOLETO - MILKA</t>
        </is>
      </c>
      <c r="Z2189" s="59">
        <f>IF($T2189="","",IFERROR(INDEX('Resumo Grupos'!$AC$3:$AC$200,MATCH($T2189,'Resumo Grupos'!$AB$3:$AB$200,0)),"n/d"))</f>
        <v/>
      </c>
      <c r="AA2189" s="59">
        <f>IF($T2189="","",IF(COUNTIF('Resumo Grupos'!$AE$3:$AE$40,$T2189)&gt;0,"NAO","SIM"))</f>
        <v/>
      </c>
    </row>
    <row r="2190" ht="12.75" customHeight="1" s="60">
      <c r="A2190" s="59" t="n">
        <v>1</v>
      </c>
      <c r="B2190" s="75" t="n">
        <v>46242</v>
      </c>
      <c r="C2190" s="75" t="n">
        <v>46255</v>
      </c>
      <c r="D2190" s="59" t="n">
        <v>1815</v>
      </c>
      <c r="E2190" s="59" t="inlineStr">
        <is>
          <t>J G COMERCIO DE PRODUTOS ALIMENTICIOS LTDA</t>
        </is>
      </c>
      <c r="F2190" s="59" t="n">
        <v>24</v>
      </c>
      <c r="G2190" s="59" t="inlineStr">
        <is>
          <t>Compra a Prazo - Boletos</t>
        </is>
      </c>
      <c r="H2190" s="59" t="n">
        <v>2110405</v>
      </c>
      <c r="I2190" s="59" t="inlineStr">
        <is>
          <t>CONTAS A PAGAR</t>
        </is>
      </c>
      <c r="J2190" s="59" t="n">
        <v>1517855</v>
      </c>
      <c r="L2190" s="59" t="n">
        <v>396666</v>
      </c>
      <c r="M2190" s="59" t="inlineStr">
        <is>
          <t>02</t>
        </is>
      </c>
      <c r="N2190" s="59" t="inlineStr">
        <is>
          <t>AVU</t>
        </is>
      </c>
      <c r="P2190" s="59" t="n">
        <v>103</v>
      </c>
      <c r="Q2190" s="59" t="inlineStr">
        <is>
          <t>MILKA FRANCIS</t>
        </is>
      </c>
      <c r="R2190" s="59" t="inlineStr">
        <is>
          <t>ESTOQUE DE MERCADORIAS</t>
        </is>
      </c>
      <c r="S2190" s="59" t="n">
        <v>1130101</v>
      </c>
      <c r="T2190" s="59" t="inlineStr">
        <is>
          <t>MERCADORIAS P/REVENDA</t>
        </is>
      </c>
      <c r="U2190" s="77" t="n">
        <v>1052.37</v>
      </c>
      <c r="W2190" s="59" t="n">
        <v>0</v>
      </c>
      <c r="X2190" s="59" t="inlineStr">
        <is>
          <t>460966-B/C  NF396666 - MILKA</t>
        </is>
      </c>
      <c r="Z2190" s="59">
        <f>IF($T2190="","",IFERROR(INDEX('Resumo Grupos'!$AC$3:$AC$200,MATCH($T2190,'Resumo Grupos'!$AB$3:$AB$200,0)),"n/d"))</f>
        <v/>
      </c>
      <c r="AA2190" s="59">
        <f>IF($T2190="","",IF(COUNTIF('Resumo Grupos'!$AE$3:$AE$40,$T2190)&gt;0,"NAO","SIM"))</f>
        <v/>
      </c>
    </row>
    <row r="2191" ht="12.75" customHeight="1" s="60">
      <c r="A2191" s="59" t="n">
        <v>1</v>
      </c>
      <c r="B2191" s="75" t="n">
        <v>46242</v>
      </c>
      <c r="C2191" s="75" t="n">
        <v>46255</v>
      </c>
      <c r="D2191" s="59" t="n">
        <v>1700</v>
      </c>
      <c r="E2191" s="59" t="inlineStr">
        <is>
          <t>MIKITOS IND.COM.DE GEN. ALIM. DO AM. LTD</t>
        </is>
      </c>
      <c r="F2191" s="59" t="n">
        <v>24</v>
      </c>
      <c r="G2191" s="59" t="inlineStr">
        <is>
          <t>Compra a Prazo - Boletos</t>
        </is>
      </c>
      <c r="H2191" s="59" t="n">
        <v>2110405</v>
      </c>
      <c r="I2191" s="59" t="inlineStr">
        <is>
          <t>CONTAS A PAGAR</t>
        </is>
      </c>
      <c r="J2191" s="59" t="n">
        <v>1518180</v>
      </c>
      <c r="L2191" s="59" t="n">
        <v>295194</v>
      </c>
      <c r="M2191" s="59" t="inlineStr">
        <is>
          <t>01</t>
        </is>
      </c>
      <c r="N2191" s="59" t="inlineStr">
        <is>
          <t>AVU</t>
        </is>
      </c>
      <c r="P2191" s="59" t="n">
        <v>103</v>
      </c>
      <c r="Q2191" s="59" t="inlineStr">
        <is>
          <t>MILKA FRANCIS</t>
        </is>
      </c>
      <c r="R2191" s="59" t="inlineStr">
        <is>
          <t>ESTOQUE DE MERCADORIAS</t>
        </is>
      </c>
      <c r="S2191" s="59" t="n">
        <v>1130101</v>
      </c>
      <c r="T2191" s="59" t="inlineStr">
        <is>
          <t>MERCADORIAS P/REVENDA</t>
        </is>
      </c>
      <c r="U2191" s="77" t="n">
        <v>687.96</v>
      </c>
      <c r="W2191" s="59" t="n">
        <v>0</v>
      </c>
      <c r="X2191" s="59" t="inlineStr">
        <is>
          <t>NF 295194-1 MILKA</t>
        </is>
      </c>
      <c r="Z2191" s="59">
        <f>IF($T2191="","",IFERROR(INDEX('Resumo Grupos'!$AC$3:$AC$200,MATCH($T2191,'Resumo Grupos'!$AB$3:$AB$200,0)),"n/d"))</f>
        <v/>
      </c>
      <c r="AA2191" s="59">
        <f>IF($T2191="","",IF(COUNTIF('Resumo Grupos'!$AE$3:$AE$40,$T2191)&gt;0,"NAO","SIM"))</f>
        <v/>
      </c>
    </row>
    <row r="2192" ht="12.75" customHeight="1" s="60">
      <c r="A2192" s="59" t="n">
        <v>1</v>
      </c>
      <c r="B2192" s="75" t="n">
        <v>46242</v>
      </c>
      <c r="C2192" s="75" t="n">
        <v>46255</v>
      </c>
      <c r="D2192" s="59" t="n">
        <v>1196</v>
      </c>
      <c r="E2192" s="59" t="inlineStr">
        <is>
          <t>VICTORIA COMERCIO INTERNACIONAL DE ALIME</t>
        </is>
      </c>
      <c r="F2192" s="59" t="n">
        <v>24</v>
      </c>
      <c r="G2192" s="59" t="inlineStr">
        <is>
          <t>Compra a Prazo - Boletos</t>
        </is>
      </c>
      <c r="H2192" s="59" t="n">
        <v>2110405</v>
      </c>
      <c r="I2192" s="59" t="inlineStr">
        <is>
          <t>CONTAS A PAGAR</t>
        </is>
      </c>
      <c r="J2192" s="59" t="n">
        <v>1518443</v>
      </c>
      <c r="L2192" s="59" t="n">
        <v>12716</v>
      </c>
      <c r="M2192" s="59" t="inlineStr">
        <is>
          <t>01</t>
        </is>
      </c>
      <c r="N2192" s="59" t="inlineStr">
        <is>
          <t>AVU</t>
        </is>
      </c>
      <c r="P2192" s="59" t="n">
        <v>103</v>
      </c>
      <c r="Q2192" s="59" t="inlineStr">
        <is>
          <t>MILKA FRANCIS</t>
        </is>
      </c>
      <c r="R2192" s="59" t="inlineStr">
        <is>
          <t>ESTOQUE DE MERCADORIAS</t>
        </is>
      </c>
      <c r="S2192" s="59" t="n">
        <v>1130101</v>
      </c>
      <c r="T2192" s="59" t="inlineStr">
        <is>
          <t>MERCADORIAS P/REVENDA</t>
        </is>
      </c>
      <c r="U2192" s="77" t="n">
        <v>1287.53</v>
      </c>
      <c r="W2192" s="59" t="n">
        <v>0</v>
      </c>
      <c r="X2192" s="59" t="inlineStr">
        <is>
          <t>13289-A/B  NF12716 - MILKA</t>
        </is>
      </c>
      <c r="Z2192" s="59">
        <f>IF($T2192="","",IFERROR(INDEX('Resumo Grupos'!$AC$3:$AC$200,MATCH($T2192,'Resumo Grupos'!$AB$3:$AB$200,0)),"n/d"))</f>
        <v/>
      </c>
      <c r="AA2192" s="59">
        <f>IF($T2192="","",IF(COUNTIF('Resumo Grupos'!$AE$3:$AE$40,$T2192)&gt;0,"NAO","SIM"))</f>
        <v/>
      </c>
    </row>
    <row r="2193" ht="12.75" customHeight="1" s="60">
      <c r="A2193" s="59" t="n">
        <v>1</v>
      </c>
      <c r="B2193" s="75" t="n">
        <v>46242</v>
      </c>
      <c r="C2193" s="75" t="n">
        <v>46255</v>
      </c>
      <c r="D2193" s="59" t="n">
        <v>1665</v>
      </c>
      <c r="E2193" s="59" t="inlineStr">
        <is>
          <t>H.V.M. XAVIER ALIMENTOS</t>
        </is>
      </c>
      <c r="F2193" s="59" t="n">
        <v>24</v>
      </c>
      <c r="G2193" s="59" t="inlineStr">
        <is>
          <t>Compra a Prazo - Boletos</t>
        </is>
      </c>
      <c r="H2193" s="59" t="n">
        <v>2110405</v>
      </c>
      <c r="I2193" s="59" t="inlineStr">
        <is>
          <t>CONTAS A PAGAR</t>
        </is>
      </c>
      <c r="J2193" s="59" t="n">
        <v>1518725</v>
      </c>
      <c r="L2193" s="59" t="n">
        <v>135970</v>
      </c>
      <c r="M2193" s="59" t="inlineStr">
        <is>
          <t>01</t>
        </is>
      </c>
      <c r="N2193" s="59" t="inlineStr">
        <is>
          <t>AVU</t>
        </is>
      </c>
      <c r="P2193" s="59" t="n">
        <v>103</v>
      </c>
      <c r="Q2193" s="59" t="inlineStr">
        <is>
          <t>MILKA FRANCIS</t>
        </is>
      </c>
      <c r="R2193" s="59" t="inlineStr">
        <is>
          <t>ESTOQUE DE MERCADORIAS</t>
        </is>
      </c>
      <c r="S2193" s="59" t="n">
        <v>1130101</v>
      </c>
      <c r="T2193" s="59" t="inlineStr">
        <is>
          <t>MERCADORIAS P/REVENDA</t>
        </is>
      </c>
      <c r="U2193" s="77" t="n">
        <v>291.6</v>
      </c>
      <c r="W2193" s="59" t="n">
        <v>0</v>
      </c>
      <c r="X2193" s="59" t="inlineStr">
        <is>
          <t>NF 135970 - MILKA</t>
        </is>
      </c>
      <c r="Z2193" s="59">
        <f>IF($T2193="","",IFERROR(INDEX('Resumo Grupos'!$AC$3:$AC$200,MATCH($T2193,'Resumo Grupos'!$AB$3:$AB$200,0)),"n/d"))</f>
        <v/>
      </c>
      <c r="AA2193" s="59">
        <f>IF($T2193="","",IF(COUNTIF('Resumo Grupos'!$AE$3:$AE$40,$T2193)&gt;0,"NAO","SIM"))</f>
        <v/>
      </c>
    </row>
    <row r="2194" ht="12.75" customHeight="1" s="60">
      <c r="A2194" s="59" t="n">
        <v>1</v>
      </c>
      <c r="B2194" s="75" t="n">
        <v>46244</v>
      </c>
      <c r="C2194" s="75" t="n">
        <v>46255</v>
      </c>
      <c r="D2194" s="59" t="n">
        <v>1612</v>
      </c>
      <c r="E2194" s="59" t="inlineStr">
        <is>
          <t>EMPRESA BRASILEIRA DE DISTRIBUICAO LTDA</t>
        </is>
      </c>
      <c r="F2194" s="59" t="n">
        <v>24</v>
      </c>
      <c r="G2194" s="59" t="inlineStr">
        <is>
          <t>Compra a Prazo - Boletos</t>
        </is>
      </c>
      <c r="H2194" s="59" t="n">
        <v>2110405</v>
      </c>
      <c r="I2194" s="59" t="inlineStr">
        <is>
          <t>CONTAS A PAGAR</t>
        </is>
      </c>
      <c r="J2194" s="59" t="n">
        <v>1528938</v>
      </c>
      <c r="L2194" s="59" t="n">
        <v>2308194</v>
      </c>
      <c r="M2194" s="59" t="inlineStr">
        <is>
          <t>01</t>
        </is>
      </c>
      <c r="N2194" s="59" t="inlineStr">
        <is>
          <t>AVU</t>
        </is>
      </c>
      <c r="P2194" s="59" t="n">
        <v>103</v>
      </c>
      <c r="Q2194" s="59" t="inlineStr">
        <is>
          <t>MILKA FRANCIS</t>
        </is>
      </c>
      <c r="R2194" s="59" t="inlineStr">
        <is>
          <t>ESTOQUE DE MERCADORIAS</t>
        </is>
      </c>
      <c r="S2194" s="59" t="n">
        <v>1130101</v>
      </c>
      <c r="T2194" s="59" t="inlineStr">
        <is>
          <t>MERCADORIAS P/REVENDA</t>
        </is>
      </c>
      <c r="U2194" s="77" t="n">
        <v>625.8200000000001</v>
      </c>
      <c r="W2194" s="59" t="n">
        <v>0</v>
      </c>
      <c r="X2194" s="59" t="inlineStr">
        <is>
          <t>NF 2308194-1 EBD - MILKA</t>
        </is>
      </c>
      <c r="Z2194" s="59">
        <f>IF($T2194="","",IFERROR(INDEX('Resumo Grupos'!$AC$3:$AC$200,MATCH($T2194,'Resumo Grupos'!$AB$3:$AB$200,0)),"n/d"))</f>
        <v/>
      </c>
      <c r="AA2194" s="59">
        <f>IF($T2194="","",IF(COUNTIF('Resumo Grupos'!$AE$3:$AE$40,$T2194)&gt;0,"NAO","SIM"))</f>
        <v/>
      </c>
    </row>
    <row r="2195" ht="12.75" customHeight="1" s="60">
      <c r="A2195" s="59" t="n">
        <v>1</v>
      </c>
      <c r="B2195" s="75" t="n">
        <v>46244</v>
      </c>
      <c r="C2195" s="75" t="n">
        <v>46255</v>
      </c>
      <c r="D2195" s="59" t="n">
        <v>1114</v>
      </c>
      <c r="E2195" s="59" t="inlineStr">
        <is>
          <t>NT INDUSTRIA E COMERCIO DE PANIFICACAO L</t>
        </is>
      </c>
      <c r="F2195" s="59" t="n">
        <v>24</v>
      </c>
      <c r="G2195" s="59" t="inlineStr">
        <is>
          <t>Compra a Prazo - Boletos</t>
        </is>
      </c>
      <c r="H2195" s="59" t="n">
        <v>2110405</v>
      </c>
      <c r="I2195" s="59" t="inlineStr">
        <is>
          <t>CONTAS A PAGAR</t>
        </is>
      </c>
      <c r="J2195" s="59" t="n">
        <v>1529283</v>
      </c>
      <c r="L2195" s="59" t="n">
        <v>43222</v>
      </c>
      <c r="M2195" s="59" t="inlineStr">
        <is>
          <t>01</t>
        </is>
      </c>
      <c r="N2195" s="59" t="inlineStr">
        <is>
          <t>AVU</t>
        </is>
      </c>
      <c r="P2195" s="59" t="n">
        <v>103</v>
      </c>
      <c r="Q2195" s="59" t="inlineStr">
        <is>
          <t>MILKA FRANCIS</t>
        </is>
      </c>
      <c r="R2195" s="59" t="inlineStr">
        <is>
          <t>ESTOQUE DE MERCADORIAS</t>
        </is>
      </c>
      <c r="S2195" s="59" t="n">
        <v>1130101</v>
      </c>
      <c r="T2195" s="59" t="inlineStr">
        <is>
          <t>MERCADORIAS P/REVENDA</t>
        </is>
      </c>
      <c r="U2195" s="77" t="n">
        <v>6638.54</v>
      </c>
      <c r="W2195" s="59" t="n">
        <v>0</v>
      </c>
      <c r="X2195" s="59" t="inlineStr">
        <is>
          <t>NF 43222 - MILKA</t>
        </is>
      </c>
      <c r="Z2195" s="59">
        <f>IF($T2195="","",IFERROR(INDEX('Resumo Grupos'!$AC$3:$AC$200,MATCH($T2195,'Resumo Grupos'!$AB$3:$AB$200,0)),"n/d"))</f>
        <v/>
      </c>
      <c r="AA2195" s="59">
        <f>IF($T2195="","",IF(COUNTIF('Resumo Grupos'!$AE$3:$AE$40,$T2195)&gt;0,"NAO","SIM"))</f>
        <v/>
      </c>
    </row>
    <row r="2196" ht="12.75" customHeight="1" s="60">
      <c r="A2196" s="59" t="n">
        <v>1</v>
      </c>
      <c r="B2196" s="75" t="n">
        <v>46244</v>
      </c>
      <c r="C2196" s="75" t="n">
        <v>46255</v>
      </c>
      <c r="D2196" s="59" t="n">
        <v>1270</v>
      </c>
      <c r="E2196" s="59" t="inlineStr">
        <is>
          <t>J. S. MOREIRA ALVES LTDA</t>
        </is>
      </c>
      <c r="F2196" s="59" t="n">
        <v>24</v>
      </c>
      <c r="G2196" s="59" t="inlineStr">
        <is>
          <t>Compra a Prazo - Boletos</t>
        </is>
      </c>
      <c r="H2196" s="59" t="n">
        <v>2110405</v>
      </c>
      <c r="I2196" s="59" t="inlineStr">
        <is>
          <t>CONTAS A PAGAR</t>
        </is>
      </c>
      <c r="J2196" s="59" t="n">
        <v>1529299</v>
      </c>
      <c r="L2196" s="59" t="n">
        <v>2764</v>
      </c>
      <c r="M2196" s="59" t="inlineStr">
        <is>
          <t>01</t>
        </is>
      </c>
      <c r="N2196" s="59" t="inlineStr">
        <is>
          <t>AVU</t>
        </is>
      </c>
      <c r="P2196" s="59" t="n">
        <v>103</v>
      </c>
      <c r="Q2196" s="59" t="inlineStr">
        <is>
          <t>MILKA FRANCIS</t>
        </is>
      </c>
      <c r="R2196" s="59" t="inlineStr">
        <is>
          <t>ESTOQUE DE MERCADORIAS</t>
        </is>
      </c>
      <c r="S2196" s="59" t="n">
        <v>1130101</v>
      </c>
      <c r="T2196" s="59" t="inlineStr">
        <is>
          <t>MERCADORIAS P/REVENDA</t>
        </is>
      </c>
      <c r="U2196" s="77" t="n">
        <v>523</v>
      </c>
      <c r="W2196" s="59" t="n">
        <v>0</v>
      </c>
      <c r="X2196" s="59" t="inlineStr">
        <is>
          <t>NF  2764 MESA FARTA - MILKA</t>
        </is>
      </c>
      <c r="Z2196" s="59">
        <f>IF($T2196="","",IFERROR(INDEX('Resumo Grupos'!$AC$3:$AC$200,MATCH($T2196,'Resumo Grupos'!$AB$3:$AB$200,0)),"n/d"))</f>
        <v/>
      </c>
      <c r="AA2196" s="59">
        <f>IF($T2196="","",IF(COUNTIF('Resumo Grupos'!$AE$3:$AE$40,$T2196)&gt;0,"NAO","SIM"))</f>
        <v/>
      </c>
    </row>
    <row r="2197" ht="12.75" customHeight="1" s="60">
      <c r="A2197" s="59" t="n">
        <v>1</v>
      </c>
      <c r="B2197" s="75" t="n">
        <v>46244</v>
      </c>
      <c r="C2197" s="75" t="n">
        <v>46255</v>
      </c>
      <c r="D2197" s="59" t="n">
        <v>1705</v>
      </c>
      <c r="E2197" s="59" t="inlineStr">
        <is>
          <t>BRASIL NORTE BEBIDAS S/A</t>
        </is>
      </c>
      <c r="F2197" s="59" t="n">
        <v>24</v>
      </c>
      <c r="G2197" s="59" t="inlineStr">
        <is>
          <t>Compra a Prazo - Boletos</t>
        </is>
      </c>
      <c r="H2197" s="59" t="n">
        <v>2110405</v>
      </c>
      <c r="I2197" s="59" t="inlineStr">
        <is>
          <t>CONTAS A PAGAR</t>
        </is>
      </c>
      <c r="J2197" s="59" t="n">
        <v>1529799</v>
      </c>
      <c r="L2197" s="59" t="n">
        <v>1237154</v>
      </c>
      <c r="M2197" s="59" t="inlineStr">
        <is>
          <t>01</t>
        </is>
      </c>
      <c r="N2197" s="59" t="inlineStr">
        <is>
          <t>AVU</t>
        </is>
      </c>
      <c r="P2197" s="59" t="n">
        <v>103</v>
      </c>
      <c r="Q2197" s="59" t="inlineStr">
        <is>
          <t>MILKA FRANCIS</t>
        </is>
      </c>
      <c r="R2197" s="59" t="inlineStr">
        <is>
          <t>ESTOQUE DE MERCADORIAS</t>
        </is>
      </c>
      <c r="S2197" s="59" t="n">
        <v>1130101</v>
      </c>
      <c r="T2197" s="59" t="inlineStr">
        <is>
          <t>MERCADORIAS P/REVENDA</t>
        </is>
      </c>
      <c r="U2197" s="77" t="n">
        <v>2339.45</v>
      </c>
      <c r="W2197" s="59" t="n">
        <v>0</v>
      </c>
      <c r="X2197" s="59" t="inlineStr">
        <is>
          <t>NF 1237154 COCA - MILKA</t>
        </is>
      </c>
      <c r="Z2197" s="59">
        <f>IF($T2197="","",IFERROR(INDEX('Resumo Grupos'!$AC$3:$AC$200,MATCH($T2197,'Resumo Grupos'!$AB$3:$AB$200,0)),"n/d"))</f>
        <v/>
      </c>
      <c r="AA2197" s="59">
        <f>IF($T2197="","",IF(COUNTIF('Resumo Grupos'!$AE$3:$AE$40,$T2197)&gt;0,"NAO","SIM"))</f>
        <v/>
      </c>
    </row>
    <row r="2198" ht="12.75" customHeight="1" s="60">
      <c r="A2198" s="59" t="n">
        <v>1</v>
      </c>
      <c r="B2198" s="75" t="n">
        <v>46244</v>
      </c>
      <c r="C2198" s="75" t="n">
        <v>46255</v>
      </c>
      <c r="D2198" s="59" t="n">
        <v>1705</v>
      </c>
      <c r="E2198" s="59" t="inlineStr">
        <is>
          <t>BRASIL NORTE BEBIDAS S/A</t>
        </is>
      </c>
      <c r="F2198" s="59" t="n">
        <v>24</v>
      </c>
      <c r="G2198" s="59" t="inlineStr">
        <is>
          <t>Compra a Prazo - Boletos</t>
        </is>
      </c>
      <c r="H2198" s="59" t="n">
        <v>2110405</v>
      </c>
      <c r="I2198" s="59" t="inlineStr">
        <is>
          <t>CONTAS A PAGAR</t>
        </is>
      </c>
      <c r="J2198" s="59" t="n">
        <v>1529841</v>
      </c>
      <c r="L2198" s="59" t="n">
        <v>1974455</v>
      </c>
      <c r="M2198" s="59" t="inlineStr">
        <is>
          <t>01</t>
        </is>
      </c>
      <c r="N2198" s="59" t="inlineStr">
        <is>
          <t>AVU</t>
        </is>
      </c>
      <c r="P2198" s="59" t="n">
        <v>103</v>
      </c>
      <c r="Q2198" s="59" t="inlineStr">
        <is>
          <t>MILKA FRANCIS</t>
        </is>
      </c>
      <c r="R2198" s="59" t="inlineStr">
        <is>
          <t>ESTOQUE DE MERCADORIAS</t>
        </is>
      </c>
      <c r="S2198" s="59" t="n">
        <v>1130101</v>
      </c>
      <c r="T2198" s="59" t="inlineStr">
        <is>
          <t>MERCADORIAS P/REVENDA</t>
        </is>
      </c>
      <c r="U2198" s="77" t="n">
        <v>6742.71</v>
      </c>
      <c r="W2198" s="59" t="n">
        <v>0</v>
      </c>
      <c r="X2198" s="59" t="inlineStr">
        <is>
          <t>NF 1974455 COCA - MILKA</t>
        </is>
      </c>
      <c r="Z2198" s="59">
        <f>IF($T2198="","",IFERROR(INDEX('Resumo Grupos'!$AC$3:$AC$200,MATCH($T2198,'Resumo Grupos'!$AB$3:$AB$200,0)),"n/d"))</f>
        <v/>
      </c>
      <c r="AA2198" s="59">
        <f>IF($T2198="","",IF(COUNTIF('Resumo Grupos'!$AE$3:$AE$40,$T2198)&gt;0,"NAO","SIM"))</f>
        <v/>
      </c>
    </row>
    <row r="2199" ht="12.75" customHeight="1" s="60">
      <c r="A2199" s="59" t="n">
        <v>1</v>
      </c>
      <c r="B2199" s="75" t="n">
        <v>46244</v>
      </c>
      <c r="C2199" s="75" t="n">
        <v>46255</v>
      </c>
      <c r="D2199" s="59" t="n">
        <v>1666</v>
      </c>
      <c r="E2199" s="59" t="inlineStr">
        <is>
          <t>SOUZA CRUZ LTDA.</t>
        </is>
      </c>
      <c r="F2199" s="59" t="n">
        <v>24</v>
      </c>
      <c r="G2199" s="59" t="inlineStr">
        <is>
          <t>Compra a Prazo - Boletos</t>
        </is>
      </c>
      <c r="H2199" s="59" t="n">
        <v>2110405</v>
      </c>
      <c r="I2199" s="59" t="inlineStr">
        <is>
          <t>CONTAS A PAGAR</t>
        </is>
      </c>
      <c r="J2199" s="59" t="n">
        <v>1529882</v>
      </c>
      <c r="L2199" s="59" t="n">
        <v>569302</v>
      </c>
      <c r="M2199" s="59" t="inlineStr">
        <is>
          <t>01</t>
        </is>
      </c>
      <c r="N2199" s="59" t="inlineStr">
        <is>
          <t>AVU</t>
        </is>
      </c>
      <c r="P2199" s="59" t="n">
        <v>103</v>
      </c>
      <c r="Q2199" s="59" t="inlineStr">
        <is>
          <t>MILKA FRANCIS</t>
        </is>
      </c>
      <c r="R2199" s="59" t="inlineStr">
        <is>
          <t>ESTOQUE DE MERCADORIAS</t>
        </is>
      </c>
      <c r="S2199" s="59" t="n">
        <v>1130101</v>
      </c>
      <c r="T2199" s="59" t="inlineStr">
        <is>
          <t>MERCADORIAS P/REVENDA</t>
        </is>
      </c>
      <c r="U2199" s="77" t="n">
        <v>15215.99</v>
      </c>
      <c r="W2199" s="59" t="n">
        <v>0</v>
      </c>
      <c r="X2199" s="59" t="inlineStr">
        <is>
          <t>NF 569302 - MILKA</t>
        </is>
      </c>
      <c r="Z2199" s="59">
        <f>IF($T2199="","",IFERROR(INDEX('Resumo Grupos'!$AC$3:$AC$200,MATCH($T2199,'Resumo Grupos'!$AB$3:$AB$200,0)),"n/d"))</f>
        <v/>
      </c>
      <c r="AA2199" s="59">
        <f>IF($T2199="","",IF(COUNTIF('Resumo Grupos'!$AE$3:$AE$40,$T2199)&gt;0,"NAO","SIM"))</f>
        <v/>
      </c>
    </row>
    <row r="2200" ht="12.75" customHeight="1" s="60">
      <c r="A2200" s="59" t="n">
        <v>1</v>
      </c>
      <c r="B2200" s="75" t="n">
        <v>46246</v>
      </c>
      <c r="C2200" s="75" t="n">
        <v>46255</v>
      </c>
      <c r="D2200" s="59" t="n">
        <v>1779</v>
      </c>
      <c r="E2200" s="59" t="inlineStr">
        <is>
          <t>BANCO DO BRASIL SA</t>
        </is>
      </c>
      <c r="F2200" s="59" t="n">
        <v>34</v>
      </c>
      <c r="G2200" s="59" t="inlineStr">
        <is>
          <t>Transferencia Pix</t>
        </is>
      </c>
      <c r="H2200" s="59" t="n">
        <v>2110405</v>
      </c>
      <c r="I2200" s="59" t="inlineStr">
        <is>
          <t>CONTAS A PAGAR</t>
        </is>
      </c>
      <c r="J2200" s="59" t="n">
        <v>1535132</v>
      </c>
      <c r="L2200" s="59" t="n">
        <v>627189</v>
      </c>
      <c r="M2200" s="59" t="inlineStr">
        <is>
          <t>01</t>
        </is>
      </c>
      <c r="N2200" s="59" t="inlineStr">
        <is>
          <t>AVU</t>
        </is>
      </c>
      <c r="P2200" s="59" t="n">
        <v>101</v>
      </c>
      <c r="Q2200" s="59" t="inlineStr">
        <is>
          <t>KEILA LIMA</t>
        </is>
      </c>
      <c r="R2200" s="59" t="inlineStr">
        <is>
          <t>EMPRESTIMOS BANCARIOS</t>
        </is>
      </c>
      <c r="S2200" s="59" t="n">
        <v>2110901</v>
      </c>
      <c r="T2200" s="59" t="inlineStr">
        <is>
          <t>EMPRESTIMOS BANCARIOS A PAGAR</t>
        </is>
      </c>
      <c r="U2200" s="77" t="n">
        <v>38689.04</v>
      </c>
      <c r="W2200" s="59" t="n">
        <v>0</v>
      </c>
      <c r="X2200" s="59" t="inlineStr">
        <is>
          <t xml:space="preserve">PARC EMPRSTIMO BB 1 NOVO - KEILA </t>
        </is>
      </c>
      <c r="Z2200" s="59">
        <f>IF($T2200="","",IFERROR(INDEX('Resumo Grupos'!$AC$3:$AC$200,MATCH($T2200,'Resumo Grupos'!$AB$3:$AB$200,0)),"n/d"))</f>
        <v/>
      </c>
      <c r="AA2200" s="59">
        <f>IF($T2200="","",IF(COUNTIF('Resumo Grupos'!$AE$3:$AE$40,$T2200)&gt;0,"NAO","SIM"))</f>
        <v/>
      </c>
    </row>
    <row r="2201" ht="12.75" customHeight="1" s="60">
      <c r="A2201" s="59" t="n">
        <v>1</v>
      </c>
      <c r="B2201" s="75" t="n">
        <v>46249</v>
      </c>
      <c r="C2201" s="75" t="n">
        <v>46255</v>
      </c>
      <c r="D2201" s="59" t="n">
        <v>1152</v>
      </c>
      <c r="E2201" s="59" t="inlineStr">
        <is>
          <t>D DE J SANTOS LTDA</t>
        </is>
      </c>
      <c r="F2201" s="59" t="n">
        <v>24</v>
      </c>
      <c r="G2201" s="59" t="inlineStr">
        <is>
          <t>Compra a Prazo - Boletos</t>
        </is>
      </c>
      <c r="H2201" s="59" t="n">
        <v>2110405</v>
      </c>
      <c r="I2201" s="59" t="inlineStr">
        <is>
          <t>CONTAS A PAGAR</t>
        </is>
      </c>
      <c r="J2201" s="59" t="n">
        <v>1551348</v>
      </c>
      <c r="L2201" s="59" t="n">
        <v>268</v>
      </c>
      <c r="M2201" s="59" t="inlineStr">
        <is>
          <t>01</t>
        </is>
      </c>
      <c r="N2201" s="59" t="inlineStr">
        <is>
          <t>AVU</t>
        </is>
      </c>
      <c r="P2201" s="59" t="n">
        <v>103</v>
      </c>
      <c r="Q2201" s="59" t="inlineStr">
        <is>
          <t>MILKA FRANCIS</t>
        </is>
      </c>
      <c r="R2201" s="59" t="inlineStr">
        <is>
          <t>ESTOQUE DE MERCADORIAS</t>
        </is>
      </c>
      <c r="S2201" s="59" t="n">
        <v>1130101</v>
      </c>
      <c r="T2201" s="59" t="inlineStr">
        <is>
          <t>MERCADORIAS P/REVENDA</t>
        </is>
      </c>
      <c r="U2201" s="77" t="n">
        <v>1575</v>
      </c>
      <c r="W2201" s="59" t="n">
        <v>0</v>
      </c>
      <c r="X2201" s="59" t="inlineStr">
        <is>
          <t>NF 268 DELICIA DE FARINHA - MILKA</t>
        </is>
      </c>
      <c r="Z2201" s="59">
        <f>IF($T2201="","",IFERROR(INDEX('Resumo Grupos'!$AC$3:$AC$200,MATCH($T2201,'Resumo Grupos'!$AB$3:$AB$200,0)),"n/d"))</f>
        <v/>
      </c>
      <c r="AA2201" s="59">
        <f>IF($T2201="","",IF(COUNTIF('Resumo Grupos'!$AE$3:$AE$40,$T2201)&gt;0,"NAO","SIM"))</f>
        <v/>
      </c>
    </row>
    <row r="2202" ht="12.75" customHeight="1" s="60">
      <c r="A2202" s="59" t="n">
        <v>1</v>
      </c>
      <c r="B2202" s="75" t="n">
        <v>46249</v>
      </c>
      <c r="C2202" s="75" t="n">
        <v>46255</v>
      </c>
      <c r="D2202" s="59" t="n">
        <v>1123</v>
      </c>
      <c r="E2202" s="59" t="inlineStr">
        <is>
          <t>NORTELAC DISTRIBUIDORA DE FRIOS LTDA</t>
        </is>
      </c>
      <c r="F2202" s="59" t="n">
        <v>24</v>
      </c>
      <c r="G2202" s="59" t="inlineStr">
        <is>
          <t>Compra a Prazo - Boletos</t>
        </is>
      </c>
      <c r="H2202" s="59" t="n">
        <v>2110405</v>
      </c>
      <c r="I2202" s="59" t="inlineStr">
        <is>
          <t>CONTAS A PAGAR</t>
        </is>
      </c>
      <c r="J2202" s="59" t="n">
        <v>1551913</v>
      </c>
      <c r="L2202" s="59" t="n">
        <v>46104</v>
      </c>
      <c r="M2202" s="59" t="inlineStr">
        <is>
          <t>01</t>
        </is>
      </c>
      <c r="N2202" s="59" t="inlineStr">
        <is>
          <t>AVU</t>
        </is>
      </c>
      <c r="P2202" s="59" t="n">
        <v>103</v>
      </c>
      <c r="Q2202" s="59" t="inlineStr">
        <is>
          <t>MILKA FRANCIS</t>
        </is>
      </c>
      <c r="R2202" s="59" t="inlineStr">
        <is>
          <t>ESTOQUE DE MERCADORIAS</t>
        </is>
      </c>
      <c r="S2202" s="59" t="n">
        <v>1130101</v>
      </c>
      <c r="T2202" s="59" t="inlineStr">
        <is>
          <t>MERCADORIAS P/REVENDA</t>
        </is>
      </c>
      <c r="U2202" s="77" t="n">
        <v>920</v>
      </c>
      <c r="W2202" s="59" t="n">
        <v>0</v>
      </c>
      <c r="X2202" s="59" t="inlineStr">
        <is>
          <t>NF 46104 - MILKA</t>
        </is>
      </c>
      <c r="Z2202" s="59">
        <f>IF($T2202="","",IFERROR(INDEX('Resumo Grupos'!$AC$3:$AC$200,MATCH($T2202,'Resumo Grupos'!$AB$3:$AB$200,0)),"n/d"))</f>
        <v/>
      </c>
      <c r="AA2202" s="59">
        <f>IF($T2202="","",IF(COUNTIF('Resumo Grupos'!$AE$3:$AE$40,$T2202)&gt;0,"NAO","SIM"))</f>
        <v/>
      </c>
    </row>
    <row r="2203" ht="12.75" customHeight="1" s="60">
      <c r="A2203" s="59" t="n">
        <v>1</v>
      </c>
      <c r="B2203" s="75" t="n">
        <v>46249</v>
      </c>
      <c r="C2203" s="75" t="n">
        <v>46255</v>
      </c>
      <c r="D2203" s="59" t="n">
        <v>1286</v>
      </c>
      <c r="E2203" s="59" t="inlineStr">
        <is>
          <t>VITAPAN COMERCIO VAREJISTA DE PRODUTOS ALIMENTICIOS LTDA</t>
        </is>
      </c>
      <c r="F2203" s="59" t="n">
        <v>24</v>
      </c>
      <c r="G2203" s="59" t="inlineStr">
        <is>
          <t>Compra a Prazo - Boletos</t>
        </is>
      </c>
      <c r="H2203" s="59" t="n">
        <v>2110405</v>
      </c>
      <c r="I2203" s="59" t="inlineStr">
        <is>
          <t>CONTAS A PAGAR</t>
        </is>
      </c>
      <c r="J2203" s="59" t="n">
        <v>1551934</v>
      </c>
      <c r="L2203" s="59" t="n">
        <v>10554</v>
      </c>
      <c r="M2203" s="59" t="inlineStr">
        <is>
          <t>01</t>
        </is>
      </c>
      <c r="N2203" s="59" t="inlineStr">
        <is>
          <t>AVU</t>
        </is>
      </c>
      <c r="P2203" s="59" t="n">
        <v>103</v>
      </c>
      <c r="Q2203" s="59" t="inlineStr">
        <is>
          <t>MILKA FRANCIS</t>
        </is>
      </c>
      <c r="R2203" s="59" t="inlineStr">
        <is>
          <t>ESTOQUE DE MERCADORIAS</t>
        </is>
      </c>
      <c r="S2203" s="59" t="n">
        <v>1130101</v>
      </c>
      <c r="T2203" s="59" t="inlineStr">
        <is>
          <t>MERCADORIAS P/REVENDA</t>
        </is>
      </c>
      <c r="U2203" s="77" t="n">
        <v>864</v>
      </c>
      <c r="W2203" s="59" t="n">
        <v>0</v>
      </c>
      <c r="X2203" s="59" t="inlineStr">
        <is>
          <t>NF 10554 - MILKA</t>
        </is>
      </c>
      <c r="Z2203" s="59">
        <f>IF($T2203="","",IFERROR(INDEX('Resumo Grupos'!$AC$3:$AC$200,MATCH($T2203,'Resumo Grupos'!$AB$3:$AB$200,0)),"n/d"))</f>
        <v/>
      </c>
      <c r="AA2203" s="59">
        <f>IF($T2203="","",IF(COUNTIF('Resumo Grupos'!$AE$3:$AE$40,$T2203)&gt;0,"NAO","SIM"))</f>
        <v/>
      </c>
    </row>
    <row r="2204" ht="12.75" customHeight="1" s="60">
      <c r="A2204" s="59" t="n">
        <v>1</v>
      </c>
      <c r="B2204" s="75" t="n">
        <v>46249</v>
      </c>
      <c r="C2204" s="75" t="n">
        <v>46255</v>
      </c>
      <c r="D2204" s="59" t="n">
        <v>1815</v>
      </c>
      <c r="E2204" s="59" t="inlineStr">
        <is>
          <t>J G COMERCIO DE PRODUTOS ALIMENTICIOS LTDA</t>
        </is>
      </c>
      <c r="F2204" s="59" t="n">
        <v>24</v>
      </c>
      <c r="G2204" s="59" t="inlineStr">
        <is>
          <t>Compra a Prazo - Boletos</t>
        </is>
      </c>
      <c r="H2204" s="59" t="n">
        <v>2110405</v>
      </c>
      <c r="I2204" s="59" t="inlineStr">
        <is>
          <t>CONTAS A PAGAR</t>
        </is>
      </c>
      <c r="J2204" s="59" t="n">
        <v>1552021</v>
      </c>
      <c r="L2204" s="59" t="n">
        <v>397850</v>
      </c>
      <c r="M2204" s="59" t="inlineStr">
        <is>
          <t>01</t>
        </is>
      </c>
      <c r="N2204" s="59" t="inlineStr">
        <is>
          <t>AVU</t>
        </is>
      </c>
      <c r="P2204" s="59" t="n">
        <v>103</v>
      </c>
      <c r="Q2204" s="59" t="inlineStr">
        <is>
          <t>MILKA FRANCIS</t>
        </is>
      </c>
      <c r="R2204" s="59" t="inlineStr">
        <is>
          <t>ESTOQUE DE MERCADORIAS</t>
        </is>
      </c>
      <c r="S2204" s="59" t="n">
        <v>1130101</v>
      </c>
      <c r="T2204" s="59" t="inlineStr">
        <is>
          <t>MERCADORIAS P/REVENDA</t>
        </is>
      </c>
      <c r="U2204" s="77" t="n">
        <v>466</v>
      </c>
      <c r="W2204" s="59" t="n">
        <v>0</v>
      </c>
      <c r="X2204" s="59" t="inlineStr">
        <is>
          <t>462480-A/C NF397850 MASTERFRIGO - MILKA</t>
        </is>
      </c>
      <c r="Z2204" s="59">
        <f>IF($T2204="","",IFERROR(INDEX('Resumo Grupos'!$AC$3:$AC$200,MATCH($T2204,'Resumo Grupos'!$AB$3:$AB$200,0)),"n/d"))</f>
        <v/>
      </c>
      <c r="AA2204" s="59">
        <f>IF($T2204="","",IF(COUNTIF('Resumo Grupos'!$AE$3:$AE$40,$T2204)&gt;0,"NAO","SIM"))</f>
        <v/>
      </c>
    </row>
    <row r="2205" ht="12.75" customHeight="1" s="60">
      <c r="A2205" s="59" t="n">
        <v>1</v>
      </c>
      <c r="B2205" s="75" t="n">
        <v>46249</v>
      </c>
      <c r="C2205" s="75" t="n">
        <v>46255</v>
      </c>
      <c r="D2205" s="59" t="n">
        <v>1642</v>
      </c>
      <c r="E2205" s="59" t="inlineStr">
        <is>
          <t>BROTHERS  INDUSTRIA DE ALIMENTOS LTDA</t>
        </is>
      </c>
      <c r="F2205" s="59" t="n">
        <v>24</v>
      </c>
      <c r="G2205" s="59" t="inlineStr">
        <is>
          <t>Compra a Prazo - Boletos</t>
        </is>
      </c>
      <c r="H2205" s="59" t="n">
        <v>2110405</v>
      </c>
      <c r="I2205" s="59" t="inlineStr">
        <is>
          <t>CONTAS A PAGAR</t>
        </is>
      </c>
      <c r="J2205" s="59" t="n">
        <v>1552103</v>
      </c>
      <c r="L2205" s="59" t="n">
        <v>1036865</v>
      </c>
      <c r="M2205" s="59" t="inlineStr">
        <is>
          <t>01</t>
        </is>
      </c>
      <c r="N2205" s="59" t="inlineStr">
        <is>
          <t>AVU</t>
        </is>
      </c>
      <c r="P2205" s="59" t="n">
        <v>103</v>
      </c>
      <c r="Q2205" s="59" t="inlineStr">
        <is>
          <t>MILKA FRANCIS</t>
        </is>
      </c>
      <c r="R2205" s="59" t="inlineStr">
        <is>
          <t>ESTOQUE DE MERCADORIAS</t>
        </is>
      </c>
      <c r="S2205" s="59" t="n">
        <v>1130101</v>
      </c>
      <c r="T2205" s="59" t="inlineStr">
        <is>
          <t>MERCADORIAS P/REVENDA</t>
        </is>
      </c>
      <c r="U2205" s="77" t="n">
        <v>461.8</v>
      </c>
      <c r="W2205" s="59" t="n">
        <v>0</v>
      </c>
      <c r="X2205" s="59" t="inlineStr">
        <is>
          <t>NF 1036865 - MILKA</t>
        </is>
      </c>
      <c r="Z2205" s="59">
        <f>IF($T2205="","",IFERROR(INDEX('Resumo Grupos'!$AC$3:$AC$200,MATCH($T2205,'Resumo Grupos'!$AB$3:$AB$200,0)),"n/d"))</f>
        <v/>
      </c>
      <c r="AA2205" s="59">
        <f>IF($T2205="","",IF(COUNTIF('Resumo Grupos'!$AE$3:$AE$40,$T2205)&gt;0,"NAO","SIM"))</f>
        <v/>
      </c>
    </row>
    <row r="2206" ht="12.75" customHeight="1" s="60">
      <c r="A2206" s="59" t="n">
        <v>1</v>
      </c>
      <c r="B2206" s="75" t="n">
        <v>46249</v>
      </c>
      <c r="C2206" s="75" t="n">
        <v>46255</v>
      </c>
      <c r="D2206" s="59" t="n">
        <v>1024</v>
      </c>
      <c r="E2206" s="59" t="inlineStr">
        <is>
          <t>REAL BEBIDAS DA AMAZONIA LTDA</t>
        </is>
      </c>
      <c r="F2206" s="59" t="n">
        <v>24</v>
      </c>
      <c r="G2206" s="59" t="inlineStr">
        <is>
          <t>Compra a Prazo - Boletos</t>
        </is>
      </c>
      <c r="H2206" s="59" t="n">
        <v>2110405</v>
      </c>
      <c r="I2206" s="59" t="inlineStr">
        <is>
          <t>CONTAS A PAGAR</t>
        </is>
      </c>
      <c r="J2206" s="59" t="n">
        <v>1552231</v>
      </c>
      <c r="L2206" s="59" t="n">
        <v>622535</v>
      </c>
      <c r="M2206" s="59" t="inlineStr">
        <is>
          <t>01</t>
        </is>
      </c>
      <c r="N2206" s="59" t="inlineStr">
        <is>
          <t>AVU</t>
        </is>
      </c>
      <c r="P2206" s="59" t="n">
        <v>103</v>
      </c>
      <c r="Q2206" s="59" t="inlineStr">
        <is>
          <t>MILKA FRANCIS</t>
        </is>
      </c>
      <c r="R2206" s="59" t="inlineStr">
        <is>
          <t>ESTOQUE DE MERCADORIAS</t>
        </is>
      </c>
      <c r="S2206" s="59" t="n">
        <v>1130101</v>
      </c>
      <c r="T2206" s="59" t="inlineStr">
        <is>
          <t>MERCADORIAS P/REVENDA</t>
        </is>
      </c>
      <c r="U2206" s="77" t="n">
        <v>120</v>
      </c>
      <c r="W2206" s="59" t="n">
        <v>0</v>
      </c>
      <c r="X2206" s="59" t="inlineStr">
        <is>
          <t>NF 622535 - MILKA</t>
        </is>
      </c>
      <c r="Z2206" s="59">
        <f>IF($T2206="","",IFERROR(INDEX('Resumo Grupos'!$AC$3:$AC$200,MATCH($T2206,'Resumo Grupos'!$AB$3:$AB$200,0)),"n/d"))</f>
        <v/>
      </c>
      <c r="AA2206" s="59">
        <f>IF($T2206="","",IF(COUNTIF('Resumo Grupos'!$AE$3:$AE$40,$T2206)&gt;0,"NAO","SIM"))</f>
        <v/>
      </c>
    </row>
    <row r="2207" ht="12.75" customHeight="1" s="60">
      <c r="A2207" s="59" t="n">
        <v>1</v>
      </c>
      <c r="B2207" s="75" t="n">
        <v>46251</v>
      </c>
      <c r="C2207" s="75" t="n">
        <v>46255</v>
      </c>
      <c r="D2207" s="59" t="n">
        <v>33</v>
      </c>
      <c r="E2207" s="59" t="inlineStr">
        <is>
          <t>RENATO DE O AZEVEDO E CIA LTDA - EPP</t>
        </is>
      </c>
      <c r="F2207" s="59" t="n">
        <v>34</v>
      </c>
      <c r="G2207" s="59" t="inlineStr">
        <is>
          <t>Transferencia Pix</t>
        </is>
      </c>
      <c r="H2207" s="59" t="n">
        <v>2110101</v>
      </c>
      <c r="I2207" s="59" t="inlineStr">
        <is>
          <t>FORNECEDORES DE MERCADORIA</t>
        </is>
      </c>
      <c r="J2207" s="59" t="n">
        <v>1560861</v>
      </c>
      <c r="L2207" s="59" t="n">
        <v>5497</v>
      </c>
      <c r="M2207" s="59" t="inlineStr">
        <is>
          <t>01</t>
        </is>
      </c>
      <c r="N2207" s="59" t="inlineStr">
        <is>
          <t>NFE</t>
        </is>
      </c>
      <c r="P2207" s="59" t="n">
        <v>103</v>
      </c>
      <c r="Q2207" s="59" t="inlineStr">
        <is>
          <t>MILKA FRANCIS</t>
        </is>
      </c>
      <c r="R2207" s="59" t="inlineStr">
        <is>
          <t>ESTOQUE DE MERCADORIAS</t>
        </is>
      </c>
      <c r="S2207" s="59" t="n">
        <v>1130101</v>
      </c>
      <c r="T2207" s="59" t="inlineStr">
        <is>
          <t>MERCADORIAS P/REVENDA</t>
        </is>
      </c>
      <c r="U2207" s="77" t="n">
        <v>1349</v>
      </c>
      <c r="W2207" s="59" t="n">
        <v>0</v>
      </c>
      <c r="X2207" s="59" t="inlineStr">
        <is>
          <t xml:space="preserve">PGTO P/ JOSE CLAUDIO PIX:92991326372 BCO INTER </t>
        </is>
      </c>
      <c r="Z2207" s="59">
        <f>IF($T2207="","",IFERROR(INDEX('Resumo Grupos'!$AC$3:$AC$200,MATCH($T2207,'Resumo Grupos'!$AB$3:$AB$200,0)),"n/d"))</f>
        <v/>
      </c>
      <c r="AA2207" s="59">
        <f>IF($T2207="","",IF(COUNTIF('Resumo Grupos'!$AE$3:$AE$40,$T2207)&gt;0,"NAO","SIM"))</f>
        <v/>
      </c>
    </row>
    <row r="2208" ht="12.75" customHeight="1" s="60">
      <c r="A2208" s="59" t="n">
        <v>1</v>
      </c>
      <c r="B2208" s="75" t="n">
        <v>46251</v>
      </c>
      <c r="C2208" s="75" t="n">
        <v>46255</v>
      </c>
      <c r="D2208" s="59" t="n">
        <v>1328</v>
      </c>
      <c r="E2208" s="59" t="inlineStr">
        <is>
          <t>NOVA FRIOS COMERCIO ATACADISTA DE LATICINIOS LTDA</t>
        </is>
      </c>
      <c r="F2208" s="59" t="n">
        <v>24</v>
      </c>
      <c r="G2208" s="59" t="inlineStr">
        <is>
          <t>Compra a Prazo - Boletos</t>
        </is>
      </c>
      <c r="H2208" s="59" t="n">
        <v>2110405</v>
      </c>
      <c r="I2208" s="59" t="inlineStr">
        <is>
          <t>CONTAS A PAGAR</t>
        </is>
      </c>
      <c r="J2208" s="59" t="n">
        <v>1561067</v>
      </c>
      <c r="L2208" s="59" t="n">
        <v>4384</v>
      </c>
      <c r="M2208" s="59" t="inlineStr">
        <is>
          <t>01</t>
        </is>
      </c>
      <c r="N2208" s="59" t="inlineStr">
        <is>
          <t>AVU</t>
        </is>
      </c>
      <c r="P2208" s="59" t="n">
        <v>103</v>
      </c>
      <c r="Q2208" s="59" t="inlineStr">
        <is>
          <t>MILKA FRANCIS</t>
        </is>
      </c>
      <c r="R2208" s="59" t="inlineStr">
        <is>
          <t>ESTOQUE DE MERCADORIAS</t>
        </is>
      </c>
      <c r="S2208" s="59" t="n">
        <v>1130101</v>
      </c>
      <c r="T2208" s="59" t="inlineStr">
        <is>
          <t>MERCADORIAS P/REVENDA</t>
        </is>
      </c>
      <c r="U2208" s="77" t="n">
        <v>271.25</v>
      </c>
      <c r="W2208" s="59" t="n">
        <v>0</v>
      </c>
      <c r="X2208" s="59" t="inlineStr">
        <is>
          <t>NF 4384 BODEGA DO PAO - MILKA</t>
        </is>
      </c>
      <c r="Z2208" s="59">
        <f>IF($T2208="","",IFERROR(INDEX('Resumo Grupos'!$AC$3:$AC$200,MATCH($T2208,'Resumo Grupos'!$AB$3:$AB$200,0)),"n/d"))</f>
        <v/>
      </c>
      <c r="AA2208" s="59">
        <f>IF($T2208="","",IF(COUNTIF('Resumo Grupos'!$AE$3:$AE$40,$T2208)&gt;0,"NAO","SIM"))</f>
        <v/>
      </c>
    </row>
    <row r="2209" ht="12.75" customHeight="1" s="60">
      <c r="A2209" s="59" t="n">
        <v>1</v>
      </c>
      <c r="B2209" s="75" t="n">
        <v>46252</v>
      </c>
      <c r="C2209" s="75" t="n">
        <v>46255</v>
      </c>
      <c r="D2209" s="59" t="n">
        <v>1899</v>
      </c>
      <c r="E2209" s="59" t="inlineStr">
        <is>
          <t>PANIFICADORA E CONFEITARIA REAL MADRI LTDA</t>
        </is>
      </c>
      <c r="F2209" s="59" t="n">
        <v>24</v>
      </c>
      <c r="G2209" s="59" t="inlineStr">
        <is>
          <t>Compra a Prazo - Boletos</t>
        </is>
      </c>
      <c r="H2209" s="59" t="n">
        <v>2110405</v>
      </c>
      <c r="I2209" s="59" t="inlineStr">
        <is>
          <t>CONTAS A PAGAR</t>
        </is>
      </c>
      <c r="J2209" s="59" t="n">
        <v>1565864</v>
      </c>
      <c r="L2209" s="59" t="n">
        <v>764</v>
      </c>
      <c r="M2209" s="59" t="inlineStr">
        <is>
          <t>01</t>
        </is>
      </c>
      <c r="N2209" s="59" t="inlineStr">
        <is>
          <t>AVU</t>
        </is>
      </c>
      <c r="P2209" s="59" t="n">
        <v>103</v>
      </c>
      <c r="Q2209" s="59" t="inlineStr">
        <is>
          <t>MILKA FRANCIS</t>
        </is>
      </c>
      <c r="R2209" s="59" t="inlineStr">
        <is>
          <t>ESTOQUE DE MERCADORIAS</t>
        </is>
      </c>
      <c r="S2209" s="59" t="n">
        <v>1130101</v>
      </c>
      <c r="T2209" s="59" t="inlineStr">
        <is>
          <t>MERCADORIAS P/REVENDA</t>
        </is>
      </c>
      <c r="U2209" s="77" t="n">
        <v>1190</v>
      </c>
      <c r="W2209" s="59" t="n">
        <v>0</v>
      </c>
      <c r="X2209" s="59" t="inlineStr">
        <is>
          <t>NF 764 - MILKA</t>
        </is>
      </c>
      <c r="Z2209" s="59">
        <f>IF($T2209="","",IFERROR(INDEX('Resumo Grupos'!$AC$3:$AC$200,MATCH($T2209,'Resumo Grupos'!$AB$3:$AB$200,0)),"n/d"))</f>
        <v/>
      </c>
      <c r="AA2209" s="59">
        <f>IF($T2209="","",IF(COUNTIF('Resumo Grupos'!$AE$3:$AE$40,$T2209)&gt;0,"NAO","SIM"))</f>
        <v/>
      </c>
    </row>
    <row r="2210" ht="12.75" customHeight="1" s="60">
      <c r="A2210" s="59" t="n">
        <v>1</v>
      </c>
      <c r="B2210" s="75" t="n">
        <v>46255</v>
      </c>
      <c r="C2210" s="75" t="n">
        <v>46255</v>
      </c>
      <c r="D2210" s="59" t="n">
        <v>10035</v>
      </c>
      <c r="E2210" s="59" t="inlineStr">
        <is>
          <t>J W N DOS SANTOS</t>
        </is>
      </c>
      <c r="F2210" s="59" t="n">
        <v>13</v>
      </c>
      <c r="G2210" s="59" t="inlineStr">
        <is>
          <t>Compra a Vista</t>
        </is>
      </c>
      <c r="H2210" s="59" t="n">
        <v>2110101</v>
      </c>
      <c r="I2210" s="59" t="inlineStr">
        <is>
          <t>FORNECEDORES DE MERCADORIA</t>
        </is>
      </c>
      <c r="J2210" s="59" t="n">
        <v>1580678</v>
      </c>
      <c r="L2210" s="59" t="n">
        <v>411</v>
      </c>
      <c r="M2210" s="59" t="inlineStr">
        <is>
          <t>01</t>
        </is>
      </c>
      <c r="N2210" s="59" t="inlineStr">
        <is>
          <t>NFE</t>
        </is>
      </c>
      <c r="P2210" s="59" t="n">
        <v>104</v>
      </c>
      <c r="Q2210" s="59" t="inlineStr">
        <is>
          <t>DEBORA COSTA</t>
        </is>
      </c>
      <c r="R2210" s="59" t="inlineStr">
        <is>
          <t>ESTOQUE DE MERCADORIAS</t>
        </is>
      </c>
      <c r="S2210" s="59" t="n">
        <v>1130101</v>
      </c>
      <c r="T2210" s="59" t="inlineStr">
        <is>
          <t>MERCADORIAS P/REVENDA</t>
        </is>
      </c>
      <c r="U2210" s="77" t="n">
        <v>440</v>
      </c>
      <c r="W2210" s="59" t="n">
        <v>0</v>
      </c>
      <c r="X2210" s="59" t="inlineStr">
        <is>
          <t>NF 411 - DEBORA</t>
        </is>
      </c>
      <c r="Z2210" s="59">
        <f>IF($T2210="","",IFERROR(INDEX('Resumo Grupos'!$AC$3:$AC$200,MATCH($T2210,'Resumo Grupos'!$AB$3:$AB$200,0)),"n/d"))</f>
        <v/>
      </c>
      <c r="AA2210" s="59">
        <f>IF($T2210="","",IF(COUNTIF('Resumo Grupos'!$AE$3:$AE$40,$T2210)&gt;0,"NAO","SIM"))</f>
        <v/>
      </c>
    </row>
    <row r="2211" ht="12.75" customHeight="1" s="60">
      <c r="A2211" s="59" t="n">
        <v>1</v>
      </c>
      <c r="B2211" s="75" t="n">
        <v>46255</v>
      </c>
      <c r="C2211" s="75" t="n">
        <v>46255</v>
      </c>
      <c r="D2211" s="59" t="n">
        <v>1779</v>
      </c>
      <c r="E2211" s="59" t="inlineStr">
        <is>
          <t>BANCO DO BRASIL SA</t>
        </is>
      </c>
      <c r="F2211" s="59" t="n">
        <v>34</v>
      </c>
      <c r="G2211" s="59" t="inlineStr">
        <is>
          <t>Transferencia Pix</t>
        </is>
      </c>
      <c r="H2211" s="59" t="n">
        <v>2110405</v>
      </c>
      <c r="I2211" s="59" t="inlineStr">
        <is>
          <t>CONTAS A PAGAR</t>
        </is>
      </c>
      <c r="J2211" s="59" t="n">
        <v>1535132</v>
      </c>
      <c r="L2211" s="59" t="n">
        <v>627189</v>
      </c>
      <c r="M2211" s="59" t="inlineStr">
        <is>
          <t>02</t>
        </is>
      </c>
      <c r="N2211" s="59" t="inlineStr">
        <is>
          <t>AVU</t>
        </is>
      </c>
      <c r="P2211" s="59" t="n">
        <v>102</v>
      </c>
      <c r="Q2211" s="59" t="inlineStr">
        <is>
          <t>ANDREZA ANDRADE</t>
        </is>
      </c>
      <c r="R2211" s="59" t="inlineStr">
        <is>
          <t>EMPRESTIMOS BANCARIOS</t>
        </is>
      </c>
      <c r="S2211" s="59" t="n">
        <v>2110901</v>
      </c>
      <c r="T2211" s="59" t="inlineStr">
        <is>
          <t>EMPRESTIMOS BANCARIOS A PAGAR</t>
        </is>
      </c>
      <c r="U2211" s="77" t="n">
        <v>2700.12</v>
      </c>
      <c r="W2211" s="59" t="n">
        <v>0</v>
      </c>
      <c r="X2211" s="59" t="inlineStr">
        <is>
          <t xml:space="preserve">PARC EMPRSTIMO BB 1 NOVO - KEILA </t>
        </is>
      </c>
      <c r="Z2211" s="59">
        <f>IF($T2211="","",IFERROR(INDEX('Resumo Grupos'!$AC$3:$AC$200,MATCH($T2211,'Resumo Grupos'!$AB$3:$AB$200,0)),"n/d"))</f>
        <v/>
      </c>
      <c r="AA2211" s="59">
        <f>IF($T2211="","",IF(COUNTIF('Resumo Grupos'!$AE$3:$AE$40,$T2211)&gt;0,"NAO","SIM"))</f>
        <v/>
      </c>
    </row>
    <row r="2212" ht="12.75" customHeight="1" s="60">
      <c r="A2212" s="59" t="n">
        <v>1</v>
      </c>
      <c r="B2212" s="75" t="n">
        <v>46255</v>
      </c>
      <c r="C2212" s="75" t="n">
        <v>46255</v>
      </c>
      <c r="D2212" s="59" t="n">
        <v>1741</v>
      </c>
      <c r="E2212" s="59" t="inlineStr">
        <is>
          <t>A5 TECNOLOGIA E AUTOMACAO DE PESAGENS LT</t>
        </is>
      </c>
      <c r="F2212" s="59" t="n">
        <v>34</v>
      </c>
      <c r="G2212" s="59" t="inlineStr">
        <is>
          <t>Transferencia Pix</t>
        </is>
      </c>
      <c r="H2212" s="59" t="n">
        <v>2110405</v>
      </c>
      <c r="I2212" s="59" t="inlineStr">
        <is>
          <t>CONTAS A PAGAR</t>
        </is>
      </c>
      <c r="J2212" s="59" t="n">
        <v>1580882</v>
      </c>
      <c r="L2212" s="59" t="n">
        <v>25200</v>
      </c>
      <c r="M2212" s="59" t="inlineStr">
        <is>
          <t>01</t>
        </is>
      </c>
      <c r="N2212" s="59" t="inlineStr">
        <is>
          <t>AVU</t>
        </is>
      </c>
      <c r="P2212" s="59" t="n">
        <v>101</v>
      </c>
      <c r="Q2212" s="59" t="inlineStr">
        <is>
          <t>KEILA LIMA</t>
        </is>
      </c>
      <c r="R2212" s="59" t="inlineStr">
        <is>
          <t>DESPESAS OPERACIONAIS</t>
        </is>
      </c>
      <c r="S2212" s="59" t="n">
        <v>4210232</v>
      </c>
      <c r="T2212" s="59" t="inlineStr">
        <is>
          <t>MANUTENÇÃO EQUIPAMENTOS DE INFORMATICA</t>
        </is>
      </c>
      <c r="U2212" s="77" t="n">
        <v>504.62</v>
      </c>
      <c r="W2212" s="59" t="n">
        <v>0</v>
      </c>
      <c r="X2212" s="59" t="inlineStr">
        <is>
          <t xml:space="preserve">PREST SERV  LACRE CADEADO TECLADO BALANCA ACOU  </t>
        </is>
      </c>
      <c r="Z2212" s="59">
        <f>IF($T2212="","",IFERROR(INDEX('Resumo Grupos'!$AC$3:$AC$200,MATCH($T2212,'Resumo Grupos'!$AB$3:$AB$200,0)),"n/d"))</f>
        <v/>
      </c>
      <c r="AA2212" s="59">
        <f>IF($T2212="","",IF(COUNTIF('Resumo Grupos'!$AE$3:$AE$40,$T2212)&gt;0,"NAO","SIM"))</f>
        <v/>
      </c>
    </row>
    <row r="2213" ht="12.75" customHeight="1" s="60">
      <c r="A2213" s="59" t="n">
        <v>1</v>
      </c>
      <c r="B2213" s="75" t="n">
        <v>46255</v>
      </c>
      <c r="C2213" s="75" t="n">
        <v>46255</v>
      </c>
      <c r="D2213" s="59" t="n">
        <v>33</v>
      </c>
      <c r="E2213" s="59" t="inlineStr">
        <is>
          <t>RENATO DE O AZEVEDO E CIA LTDA - EPP</t>
        </is>
      </c>
      <c r="F2213" s="59" t="n">
        <v>34</v>
      </c>
      <c r="G2213" s="59" t="inlineStr">
        <is>
          <t>Transferencia Pix</t>
        </is>
      </c>
      <c r="H2213" s="59" t="n">
        <v>2110101</v>
      </c>
      <c r="I2213" s="59" t="inlineStr">
        <is>
          <t>FORNECEDORES DE MERCADORIA</t>
        </is>
      </c>
      <c r="J2213" s="59" t="n">
        <v>1581648</v>
      </c>
      <c r="L2213" s="59" t="n">
        <v>5533</v>
      </c>
      <c r="M2213" s="59" t="inlineStr">
        <is>
          <t>01</t>
        </is>
      </c>
      <c r="N2213" s="59" t="inlineStr">
        <is>
          <t>NFE</t>
        </is>
      </c>
      <c r="P2213" s="59" t="n">
        <v>104</v>
      </c>
      <c r="Q2213" s="59" t="inlineStr">
        <is>
          <t>DEBORA COSTA</t>
        </is>
      </c>
      <c r="R2213" s="59" t="inlineStr">
        <is>
          <t>ESTOQUE DE MERCADORIAS</t>
        </is>
      </c>
      <c r="S2213" s="59" t="n">
        <v>1130101</v>
      </c>
      <c r="T2213" s="59" t="inlineStr">
        <is>
          <t>MERCADORIAS P/REVENDA</t>
        </is>
      </c>
      <c r="U2213" s="77" t="n">
        <v>2449</v>
      </c>
      <c r="W2213" s="59" t="n">
        <v>0</v>
      </c>
      <c r="X2213" s="59" t="inlineStr">
        <is>
          <t>FEIRA CARLOS - DEBORA</t>
        </is>
      </c>
      <c r="Z2213" s="59">
        <f>IF($T2213="","",IFERROR(INDEX('Resumo Grupos'!$AC$3:$AC$200,MATCH($T2213,'Resumo Grupos'!$AB$3:$AB$200,0)),"n/d"))</f>
        <v/>
      </c>
      <c r="AA2213" s="59">
        <f>IF($T2213="","",IF(COUNTIF('Resumo Grupos'!$AE$3:$AE$40,$T2213)&gt;0,"NAO","SIM"))</f>
        <v/>
      </c>
    </row>
    <row r="2214" ht="12.75" customHeight="1" s="60">
      <c r="A2214" s="59" t="n">
        <v>1</v>
      </c>
      <c r="B2214" s="75" t="n">
        <v>46255</v>
      </c>
      <c r="C2214" s="75" t="n">
        <v>46255</v>
      </c>
      <c r="D2214" s="59" t="n">
        <v>33</v>
      </c>
      <c r="E2214" s="59" t="inlineStr">
        <is>
          <t>RENATO DE O AZEVEDO E CIA LTDA - EPP</t>
        </is>
      </c>
      <c r="F2214" s="59" t="n">
        <v>34</v>
      </c>
      <c r="G2214" s="59" t="inlineStr">
        <is>
          <t>Transferencia Pix</t>
        </is>
      </c>
      <c r="H2214" s="59" t="n">
        <v>2110405</v>
      </c>
      <c r="I2214" s="59" t="inlineStr">
        <is>
          <t>CONTAS A PAGAR</t>
        </is>
      </c>
      <c r="J2214" s="59" t="n">
        <v>1581656</v>
      </c>
      <c r="L2214" s="59" t="n">
        <v>645964</v>
      </c>
      <c r="M2214" s="59" t="inlineStr">
        <is>
          <t>01</t>
        </is>
      </c>
      <c r="N2214" s="59" t="inlineStr">
        <is>
          <t>AVU</t>
        </is>
      </c>
      <c r="P2214" s="59" t="n">
        <v>104</v>
      </c>
      <c r="Q2214" s="59" t="inlineStr">
        <is>
          <t>DEBORA COSTA</t>
        </is>
      </c>
      <c r="R2214" s="59" t="inlineStr">
        <is>
          <t>ESTOQUE DE MERCADORIAS</t>
        </is>
      </c>
      <c r="S2214" s="59" t="n">
        <v>1130101</v>
      </c>
      <c r="T2214" s="59" t="inlineStr">
        <is>
          <t>MERCADORIAS P/REVENDA</t>
        </is>
      </c>
      <c r="U2214" s="77" t="n">
        <v>165</v>
      </c>
      <c r="W2214" s="59" t="n">
        <v>0</v>
      </c>
      <c r="X2214" s="59" t="inlineStr">
        <is>
          <t>FEIRA CARLOS - CAMARAO COM E SEM CASCA - DEBORA</t>
        </is>
      </c>
      <c r="Z2214" s="59">
        <f>IF($T2214="","",IFERROR(INDEX('Resumo Grupos'!$AC$3:$AC$200,MATCH($T2214,'Resumo Grupos'!$AB$3:$AB$200,0)),"n/d"))</f>
        <v/>
      </c>
      <c r="AA2214" s="59">
        <f>IF($T2214="","",IF(COUNTIF('Resumo Grupos'!$AE$3:$AE$40,$T2214)&gt;0,"NAO","SIM"))</f>
        <v/>
      </c>
    </row>
    <row r="2215" ht="12.75" customHeight="1" s="60">
      <c r="A2215" s="59" t="n">
        <v>1</v>
      </c>
      <c r="B2215" s="75" t="n">
        <v>46255</v>
      </c>
      <c r="C2215" s="75" t="n">
        <v>46255</v>
      </c>
      <c r="D2215" s="59" t="n">
        <v>1615</v>
      </c>
      <c r="E2215" s="59" t="inlineStr">
        <is>
          <t>COMERCIO E TRANSPORTE BRANDAO LTDA</t>
        </is>
      </c>
      <c r="F2215" s="59" t="n">
        <v>34</v>
      </c>
      <c r="G2215" s="59" t="inlineStr">
        <is>
          <t>Transferencia Pix</t>
        </is>
      </c>
      <c r="H2215" s="59" t="n">
        <v>2110101</v>
      </c>
      <c r="I2215" s="59" t="inlineStr">
        <is>
          <t>FORNECEDORES DE MERCADORIA</t>
        </is>
      </c>
      <c r="J2215" s="59" t="n">
        <v>1581669</v>
      </c>
      <c r="L2215" s="59" t="n">
        <v>15158</v>
      </c>
      <c r="M2215" s="59" t="inlineStr">
        <is>
          <t>01</t>
        </is>
      </c>
      <c r="N2215" s="59" t="inlineStr">
        <is>
          <t>NFE</t>
        </is>
      </c>
      <c r="P2215" s="59" t="n">
        <v>104</v>
      </c>
      <c r="Q2215" s="59" t="inlineStr">
        <is>
          <t>DEBORA COSTA</t>
        </is>
      </c>
      <c r="R2215" s="59" t="inlineStr">
        <is>
          <t>ESTOQUE DE MERCADORIAS</t>
        </is>
      </c>
      <c r="S2215" s="59" t="n">
        <v>1130101</v>
      </c>
      <c r="T2215" s="59" t="inlineStr">
        <is>
          <t>MERCADORIAS P/REVENDA</t>
        </is>
      </c>
      <c r="U2215" s="77" t="n">
        <v>1330</v>
      </c>
      <c r="W2215" s="59" t="n">
        <v>0</v>
      </c>
      <c r="X2215" s="59" t="inlineStr">
        <is>
          <t>NF 15158 - DEBORA</t>
        </is>
      </c>
      <c r="Z2215" s="59">
        <f>IF($T2215="","",IFERROR(INDEX('Resumo Grupos'!$AC$3:$AC$200,MATCH($T2215,'Resumo Grupos'!$AB$3:$AB$200,0)),"n/d"))</f>
        <v/>
      </c>
      <c r="AA2215" s="59">
        <f>IF($T2215="","",IF(COUNTIF('Resumo Grupos'!$AE$3:$AE$40,$T2215)&gt;0,"NAO","SIM"))</f>
        <v/>
      </c>
    </row>
    <row r="2216" ht="12.75" customHeight="1" s="60">
      <c r="A2216" s="59" t="n">
        <v>1</v>
      </c>
      <c r="B2216" s="75" t="n">
        <v>46255</v>
      </c>
      <c r="C2216" s="75" t="n">
        <v>46255</v>
      </c>
      <c r="D2216" s="59" t="n">
        <v>33</v>
      </c>
      <c r="E2216" s="59" t="inlineStr">
        <is>
          <t>RENATO DE O AZEVEDO E CIA LTDA - EPP</t>
        </is>
      </c>
      <c r="F2216" s="59" t="n">
        <v>34</v>
      </c>
      <c r="G2216" s="59" t="inlineStr">
        <is>
          <t>Transferencia Pix</t>
        </is>
      </c>
      <c r="H2216" s="59" t="n">
        <v>2110101</v>
      </c>
      <c r="I2216" s="59" t="inlineStr">
        <is>
          <t>FORNECEDORES DE MERCADORIA</t>
        </is>
      </c>
      <c r="J2216" s="59" t="n">
        <v>1582700</v>
      </c>
      <c r="L2216" s="59" t="n">
        <v>5544</v>
      </c>
      <c r="M2216" s="59" t="inlineStr">
        <is>
          <t>01</t>
        </is>
      </c>
      <c r="N2216" s="59" t="inlineStr">
        <is>
          <t>NFE</t>
        </is>
      </c>
      <c r="P2216" s="59" t="n">
        <v>104</v>
      </c>
      <c r="Q2216" s="59" t="inlineStr">
        <is>
          <t>DEBORA COSTA</t>
        </is>
      </c>
      <c r="R2216" s="59" t="inlineStr">
        <is>
          <t>ESTOQUE DE MERCADORIAS</t>
        </is>
      </c>
      <c r="S2216" s="59" t="n">
        <v>1130101</v>
      </c>
      <c r="T2216" s="59" t="inlineStr">
        <is>
          <t>MERCADORIAS P/REVENDA</t>
        </is>
      </c>
      <c r="U2216" s="77" t="n">
        <v>745</v>
      </c>
      <c r="W2216" s="59" t="n">
        <v>0</v>
      </c>
      <c r="X2216" s="59" t="inlineStr">
        <is>
          <t>FEIRA SR RENATO - PGTO MM COMERCIO ATACADISTA DE FRUTAS LTDA - DEBORA</t>
        </is>
      </c>
      <c r="Z2216" s="59">
        <f>IF($T2216="","",IFERROR(INDEX('Resumo Grupos'!$AC$3:$AC$200,MATCH($T2216,'Resumo Grupos'!$AB$3:$AB$200,0)),"n/d"))</f>
        <v/>
      </c>
      <c r="AA2216" s="59">
        <f>IF($T2216="","",IF(COUNTIF('Resumo Grupos'!$AE$3:$AE$40,$T2216)&gt;0,"NAO","SIM"))</f>
        <v/>
      </c>
    </row>
    <row r="2217" ht="12.75" customHeight="1" s="60">
      <c r="A2217" s="59" t="n">
        <v>1</v>
      </c>
      <c r="B2217" s="75" t="n">
        <v>46255</v>
      </c>
      <c r="C2217" s="75" t="n">
        <v>46255</v>
      </c>
      <c r="D2217" s="59" t="n">
        <v>10096</v>
      </c>
      <c r="E2217" s="59" t="inlineStr">
        <is>
          <t>H L M PADARIA E CONFEITARIA LTDA</t>
        </is>
      </c>
      <c r="F2217" s="59" t="n">
        <v>13</v>
      </c>
      <c r="G2217" s="59" t="inlineStr">
        <is>
          <t>Compra a Vista</t>
        </is>
      </c>
      <c r="H2217" s="59" t="n">
        <v>2110101</v>
      </c>
      <c r="I2217" s="59" t="inlineStr">
        <is>
          <t>FORNECEDORES DE MERCADORIA</t>
        </is>
      </c>
      <c r="J2217" s="59" t="n">
        <v>1585109</v>
      </c>
      <c r="L2217" s="59" t="n">
        <v>197</v>
      </c>
      <c r="M2217" s="59" t="inlineStr">
        <is>
          <t>01</t>
        </is>
      </c>
      <c r="N2217" s="59" t="inlineStr">
        <is>
          <t>NFE</t>
        </is>
      </c>
      <c r="P2217" s="59" t="n">
        <v>104</v>
      </c>
      <c r="Q2217" s="59" t="inlineStr">
        <is>
          <t>DEBORA COSTA</t>
        </is>
      </c>
      <c r="R2217" s="59" t="inlineStr">
        <is>
          <t>ESTOQUE DE MERCADORIAS</t>
        </is>
      </c>
      <c r="S2217" s="59" t="n">
        <v>1130101</v>
      </c>
      <c r="T2217" s="59" t="inlineStr">
        <is>
          <t>MERCADORIAS P/REVENDA</t>
        </is>
      </c>
      <c r="U2217" s="77" t="n">
        <v>360</v>
      </c>
      <c r="W2217" s="59" t="n">
        <v>360</v>
      </c>
      <c r="X2217" s="59" t="inlineStr">
        <is>
          <t>NF 197 - DEBORA</t>
        </is>
      </c>
      <c r="Z2217" s="59">
        <f>IF($T2217="","",IFERROR(INDEX('Resumo Grupos'!$AC$3:$AC$200,MATCH($T2217,'Resumo Grupos'!$AB$3:$AB$200,0)),"n/d"))</f>
        <v/>
      </c>
      <c r="AA2217" s="59">
        <f>IF($T2217="","",IF(COUNTIF('Resumo Grupos'!$AE$3:$AE$40,$T2217)&gt;0,"NAO","SIM"))</f>
        <v/>
      </c>
    </row>
    <row r="2218" ht="12.75" customHeight="1" s="60">
      <c r="A2218" s="59" t="n">
        <v>1</v>
      </c>
      <c r="B2218" s="75" t="n">
        <v>46255</v>
      </c>
      <c r="C2218" s="75" t="n">
        <v>46255</v>
      </c>
      <c r="D2218" s="59" t="n">
        <v>10096</v>
      </c>
      <c r="E2218" s="59" t="inlineStr">
        <is>
          <t>H L M PADARIA E CONFEITARIA LTDA</t>
        </is>
      </c>
      <c r="F2218" s="59" t="n">
        <v>13</v>
      </c>
      <c r="G2218" s="59" t="inlineStr">
        <is>
          <t>Compra a Vista</t>
        </is>
      </c>
      <c r="H2218" s="59" t="n">
        <v>2110101</v>
      </c>
      <c r="I2218" s="59" t="inlineStr">
        <is>
          <t>FORNECEDORES DE MERCADORIA</t>
        </is>
      </c>
      <c r="J2218" s="59" t="n">
        <v>1585137</v>
      </c>
      <c r="L2218" s="59" t="n">
        <v>198</v>
      </c>
      <c r="M2218" s="59" t="inlineStr">
        <is>
          <t>01</t>
        </is>
      </c>
      <c r="N2218" s="59" t="inlineStr">
        <is>
          <t>NFE</t>
        </is>
      </c>
      <c r="P2218" s="59" t="n">
        <v>104</v>
      </c>
      <c r="Q2218" s="59" t="inlineStr">
        <is>
          <t>DEBORA COSTA</t>
        </is>
      </c>
      <c r="R2218" s="59" t="inlineStr">
        <is>
          <t>ESTOQUE DE MERCADORIAS</t>
        </is>
      </c>
      <c r="S2218" s="59" t="n">
        <v>1130101</v>
      </c>
      <c r="T2218" s="59" t="inlineStr">
        <is>
          <t>MERCADORIAS P/REVENDA</t>
        </is>
      </c>
      <c r="U2218" s="77" t="n">
        <v>280</v>
      </c>
      <c r="W2218" s="59" t="n">
        <v>0</v>
      </c>
      <c r="X2218" s="59" t="inlineStr">
        <is>
          <t>NF 198 - DEBORA</t>
        </is>
      </c>
      <c r="Z2218" s="59">
        <f>IF($T2218="","",IFERROR(INDEX('Resumo Grupos'!$AC$3:$AC$200,MATCH($T2218,'Resumo Grupos'!$AB$3:$AB$200,0)),"n/d"))</f>
        <v/>
      </c>
      <c r="AA2218" s="59">
        <f>IF($T2218="","",IF(COUNTIF('Resumo Grupos'!$AE$3:$AE$40,$T2218)&gt;0,"NAO","SIM"))</f>
        <v/>
      </c>
    </row>
    <row r="2219" ht="12.75" customHeight="1" s="60">
      <c r="A2219" s="59" t="n">
        <v>1</v>
      </c>
      <c r="B2219" s="75" t="n">
        <v>46225</v>
      </c>
      <c r="C2219" s="75" t="n">
        <v>46256</v>
      </c>
      <c r="D2219" s="59" t="n">
        <v>10011</v>
      </c>
      <c r="E2219" s="59" t="inlineStr">
        <is>
          <t>OPPORTUNITY ALIMENTOS PARA ANIMAIS LTDA</t>
        </is>
      </c>
      <c r="F2219" s="59" t="n">
        <v>24</v>
      </c>
      <c r="G2219" s="59" t="inlineStr">
        <is>
          <t>Compra a Prazo - Boletos</t>
        </is>
      </c>
      <c r="H2219" s="59" t="n">
        <v>2110405</v>
      </c>
      <c r="I2219" s="59" t="inlineStr">
        <is>
          <t>CONTAS A PAGAR</t>
        </is>
      </c>
      <c r="J2219" s="59" t="n">
        <v>1435119</v>
      </c>
      <c r="L2219" s="59" t="n">
        <v>34737</v>
      </c>
      <c r="M2219" s="59" t="inlineStr">
        <is>
          <t>02</t>
        </is>
      </c>
      <c r="N2219" s="59" t="inlineStr">
        <is>
          <t>AVU</t>
        </is>
      </c>
      <c r="P2219" s="59" t="n">
        <v>103</v>
      </c>
      <c r="Q2219" s="59" t="inlineStr">
        <is>
          <t>MILKA FRANCIS</t>
        </is>
      </c>
      <c r="R2219" s="59" t="inlineStr">
        <is>
          <t>ESTOQUE DE MERCADORIAS</t>
        </is>
      </c>
      <c r="S2219" s="59" t="n">
        <v>1130101</v>
      </c>
      <c r="T2219" s="59" t="inlineStr">
        <is>
          <t>MERCADORIAS P/REVENDA</t>
        </is>
      </c>
      <c r="U2219" s="77" t="n">
        <v>807.05</v>
      </c>
      <c r="W2219" s="59" t="n">
        <v>0</v>
      </c>
      <c r="X2219" s="59" t="inlineStr">
        <is>
          <t>NF 34737-2 MILKA</t>
        </is>
      </c>
      <c r="Z2219" s="59">
        <f>IF($T2219="","",IFERROR(INDEX('Resumo Grupos'!$AC$3:$AC$200,MATCH($T2219,'Resumo Grupos'!$AB$3:$AB$200,0)),"n/d"))</f>
        <v/>
      </c>
      <c r="AA2219" s="59">
        <f>IF($T2219="","",IF(COUNTIF('Resumo Grupos'!$AE$3:$AE$40,$T2219)&gt;0,"NAO","SIM"))</f>
        <v/>
      </c>
    </row>
    <row r="2220" ht="12.75" customHeight="1" s="60">
      <c r="A2220" s="59" t="n">
        <v>1</v>
      </c>
      <c r="B2220" s="75" t="n">
        <v>46226</v>
      </c>
      <c r="C2220" s="75" t="n">
        <v>46256</v>
      </c>
      <c r="D2220" s="59" t="n">
        <v>957</v>
      </c>
      <c r="E2220" s="59" t="inlineStr">
        <is>
          <t>FUNNY PET DISTRIBUIDORA DE ALIMENTOS PAR</t>
        </is>
      </c>
      <c r="F2220" s="59" t="n">
        <v>24</v>
      </c>
      <c r="G2220" s="59" t="inlineStr">
        <is>
          <t>Compra a Prazo - Boletos</t>
        </is>
      </c>
      <c r="H2220" s="59" t="n">
        <v>2110405</v>
      </c>
      <c r="I2220" s="59" t="inlineStr">
        <is>
          <t>CONTAS A PAGAR</t>
        </is>
      </c>
      <c r="J2220" s="59" t="n">
        <v>1439137</v>
      </c>
      <c r="L2220" s="59" t="n">
        <v>21188</v>
      </c>
      <c r="M2220" s="59" t="inlineStr">
        <is>
          <t>02</t>
        </is>
      </c>
      <c r="N2220" s="59" t="inlineStr">
        <is>
          <t>AVU</t>
        </is>
      </c>
      <c r="P2220" s="59" t="n">
        <v>103</v>
      </c>
      <c r="Q2220" s="59" t="inlineStr">
        <is>
          <t>MILKA FRANCIS</t>
        </is>
      </c>
      <c r="R2220" s="59" t="inlineStr">
        <is>
          <t>ESTOQUE DE MERCADORIAS</t>
        </is>
      </c>
      <c r="S2220" s="59" t="n">
        <v>1130101</v>
      </c>
      <c r="T2220" s="59" t="inlineStr">
        <is>
          <t>MERCADORIAS P/REVENDA</t>
        </is>
      </c>
      <c r="U2220" s="77" t="n">
        <v>3458.9</v>
      </c>
      <c r="W2220" s="59" t="n">
        <v>0</v>
      </c>
      <c r="X2220" s="59" t="inlineStr">
        <is>
          <t>NF 21188 -2 MILKA</t>
        </is>
      </c>
      <c r="Z2220" s="59">
        <f>IF($T2220="","",IFERROR(INDEX('Resumo Grupos'!$AC$3:$AC$200,MATCH($T2220,'Resumo Grupos'!$AB$3:$AB$200,0)),"n/d"))</f>
        <v/>
      </c>
      <c r="AA2220" s="59">
        <f>IF($T2220="","",IF(COUNTIF('Resumo Grupos'!$AE$3:$AE$40,$T2220)&gt;0,"NAO","SIM"))</f>
        <v/>
      </c>
    </row>
    <row r="2221" ht="12.75" customHeight="1" s="60">
      <c r="A2221" s="59" t="n">
        <v>1</v>
      </c>
      <c r="B2221" s="75" t="n">
        <v>46240</v>
      </c>
      <c r="C2221" s="75" t="n">
        <v>46256</v>
      </c>
      <c r="D2221" s="59" t="n">
        <v>1659</v>
      </c>
      <c r="E2221" s="59" t="inlineStr">
        <is>
          <t>ADRIANA DISTRIBUIDORA DE PRODUTOS ALIMEN</t>
        </is>
      </c>
      <c r="F2221" s="59" t="n">
        <v>24</v>
      </c>
      <c r="G2221" s="59" t="inlineStr">
        <is>
          <t>Compra a Prazo - Boletos</t>
        </is>
      </c>
      <c r="H2221" s="59" t="n">
        <v>2110405</v>
      </c>
      <c r="I2221" s="59" t="inlineStr">
        <is>
          <t>CONTAS A PAGAR</t>
        </is>
      </c>
      <c r="J2221" s="59" t="n">
        <v>1508900</v>
      </c>
      <c r="L2221" s="59" t="n">
        <v>889410</v>
      </c>
      <c r="M2221" s="59" t="inlineStr">
        <is>
          <t>01</t>
        </is>
      </c>
      <c r="N2221" s="59" t="inlineStr">
        <is>
          <t>AVU</t>
        </is>
      </c>
      <c r="P2221" s="59" t="n">
        <v>103</v>
      </c>
      <c r="Q2221" s="59" t="inlineStr">
        <is>
          <t>MILKA FRANCIS</t>
        </is>
      </c>
      <c r="R2221" s="59" t="inlineStr">
        <is>
          <t>ESTOQUE DE MERCADORIAS</t>
        </is>
      </c>
      <c r="S2221" s="59" t="n">
        <v>1130101</v>
      </c>
      <c r="T2221" s="59" t="inlineStr">
        <is>
          <t>MERCADORIAS P/REVENDA</t>
        </is>
      </c>
      <c r="U2221" s="77" t="n">
        <v>1452.45</v>
      </c>
      <c r="W2221" s="59" t="n">
        <v>0</v>
      </c>
      <c r="X2221" s="59" t="inlineStr">
        <is>
          <t>NF 889410-1 MILKA</t>
        </is>
      </c>
      <c r="Z2221" s="59">
        <f>IF($T2221="","",IFERROR(INDEX('Resumo Grupos'!$AC$3:$AC$200,MATCH($T2221,'Resumo Grupos'!$AB$3:$AB$200,0)),"n/d"))</f>
        <v/>
      </c>
      <c r="AA2221" s="59">
        <f>IF($T2221="","",IF(COUNTIF('Resumo Grupos'!$AE$3:$AE$40,$T2221)&gt;0,"NAO","SIM"))</f>
        <v/>
      </c>
    </row>
    <row r="2222" ht="12.75" customHeight="1" s="60">
      <c r="A2222" s="59" t="n">
        <v>1</v>
      </c>
      <c r="B2222" s="75" t="n">
        <v>46242</v>
      </c>
      <c r="C2222" s="75" t="n">
        <v>46256</v>
      </c>
      <c r="D2222" s="59" t="n">
        <v>1708</v>
      </c>
      <c r="E2222" s="59" t="inlineStr">
        <is>
          <t>SUPER CANCUN COMERCIO DE PRODUTOS ALIMEN</t>
        </is>
      </c>
      <c r="F2222" s="59" t="n">
        <v>24</v>
      </c>
      <c r="G2222" s="59" t="inlineStr">
        <is>
          <t>Compra a Prazo - Boletos</t>
        </is>
      </c>
      <c r="H2222" s="59" t="n">
        <v>2110405</v>
      </c>
      <c r="I2222" s="59" t="inlineStr">
        <is>
          <t>CONTAS A PAGAR</t>
        </is>
      </c>
      <c r="J2222" s="59" t="n">
        <v>1518534</v>
      </c>
      <c r="L2222" s="59" t="n">
        <v>264963</v>
      </c>
      <c r="M2222" s="59" t="inlineStr">
        <is>
          <t>01</t>
        </is>
      </c>
      <c r="N2222" s="59" t="inlineStr">
        <is>
          <t>AVU</t>
        </is>
      </c>
      <c r="P2222" s="59" t="n">
        <v>103</v>
      </c>
      <c r="Q2222" s="59" t="inlineStr">
        <is>
          <t>MILKA FRANCIS</t>
        </is>
      </c>
      <c r="R2222" s="59" t="inlineStr">
        <is>
          <t>ESTOQUE DE MERCADORIAS</t>
        </is>
      </c>
      <c r="S2222" s="59" t="n">
        <v>1130101</v>
      </c>
      <c r="T2222" s="59" t="inlineStr">
        <is>
          <t>MERCADORIAS P/REVENDA</t>
        </is>
      </c>
      <c r="U2222" s="77" t="n">
        <v>721.52</v>
      </c>
      <c r="W2222" s="59" t="n">
        <v>0</v>
      </c>
      <c r="X2222" s="59" t="inlineStr">
        <is>
          <t>NF 264963-1 MILKA</t>
        </is>
      </c>
      <c r="Z2222" s="59">
        <f>IF($T2222="","",IFERROR(INDEX('Resumo Grupos'!$AC$3:$AC$200,MATCH($T2222,'Resumo Grupos'!$AB$3:$AB$200,0)),"n/d"))</f>
        <v/>
      </c>
      <c r="AA2222" s="59">
        <f>IF($T2222="","",IF(COUNTIF('Resumo Grupos'!$AE$3:$AE$40,$T2222)&gt;0,"NAO","SIM"))</f>
        <v/>
      </c>
    </row>
    <row r="2223" ht="12.75" customHeight="1" s="60">
      <c r="A2223" s="59" t="n">
        <v>1</v>
      </c>
      <c r="B2223" s="75" t="n">
        <v>46246</v>
      </c>
      <c r="C2223" s="75" t="n">
        <v>46256</v>
      </c>
      <c r="D2223" s="59" t="n">
        <v>1723</v>
      </c>
      <c r="E2223" s="59" t="inlineStr">
        <is>
          <t>COMERCIO DE FRIOS MANAUS LTDA</t>
        </is>
      </c>
      <c r="F2223" s="59" t="n">
        <v>24</v>
      </c>
      <c r="G2223" s="59" t="inlineStr">
        <is>
          <t>Compra a Prazo - Boletos</t>
        </is>
      </c>
      <c r="H2223" s="59" t="n">
        <v>2110405</v>
      </c>
      <c r="I2223" s="59" t="inlineStr">
        <is>
          <t>CONTAS A PAGAR</t>
        </is>
      </c>
      <c r="J2223" s="59" t="n">
        <v>1537350</v>
      </c>
      <c r="L2223" s="59" t="n">
        <v>174746</v>
      </c>
      <c r="M2223" s="59" t="inlineStr">
        <is>
          <t>01</t>
        </is>
      </c>
      <c r="N2223" s="59" t="inlineStr">
        <is>
          <t>AVU</t>
        </is>
      </c>
      <c r="P2223" s="59" t="n">
        <v>103</v>
      </c>
      <c r="Q2223" s="59" t="inlineStr">
        <is>
          <t>MILKA FRANCIS</t>
        </is>
      </c>
      <c r="R2223" s="59" t="inlineStr">
        <is>
          <t>ESTOQUE DE MERCADORIAS</t>
        </is>
      </c>
      <c r="S2223" s="59" t="n">
        <v>1130101</v>
      </c>
      <c r="T2223" s="59" t="inlineStr">
        <is>
          <t>MERCADORIAS P/REVENDA</t>
        </is>
      </c>
      <c r="U2223" s="77" t="n">
        <v>5918.6</v>
      </c>
      <c r="W2223" s="59" t="n">
        <v>0</v>
      </c>
      <c r="X2223" s="59" t="inlineStr">
        <is>
          <t>NF 174746 - MILKA</t>
        </is>
      </c>
      <c r="Z2223" s="59">
        <f>IF($T2223="","",IFERROR(INDEX('Resumo Grupos'!$AC$3:$AC$200,MATCH($T2223,'Resumo Grupos'!$AB$3:$AB$200,0)),"n/d"))</f>
        <v/>
      </c>
      <c r="AA2223" s="59">
        <f>IF($T2223="","",IF(COUNTIF('Resumo Grupos'!$AE$3:$AE$40,$T2223)&gt;0,"NAO","SIM"))</f>
        <v/>
      </c>
    </row>
    <row r="2224" ht="12.75" customHeight="1" s="60">
      <c r="A2224" s="59" t="n">
        <v>1</v>
      </c>
      <c r="B2224" s="75" t="n">
        <v>46246</v>
      </c>
      <c r="C2224" s="75" t="n">
        <v>46256</v>
      </c>
      <c r="D2224" s="59" t="n">
        <v>1672</v>
      </c>
      <c r="E2224" s="59" t="inlineStr">
        <is>
          <t>MARE DISTRIBUIDORA DE BEBIDAS E DE PRODUTOS ALIMENTICIOS LTDA</t>
        </is>
      </c>
      <c r="F2224" s="59" t="n">
        <v>24</v>
      </c>
      <c r="G2224" s="59" t="inlineStr">
        <is>
          <t>Compra a Prazo - Boletos</t>
        </is>
      </c>
      <c r="H2224" s="59" t="n">
        <v>2110405</v>
      </c>
      <c r="I2224" s="59" t="inlineStr">
        <is>
          <t>CONTAS A PAGAR</t>
        </is>
      </c>
      <c r="J2224" s="59" t="n">
        <v>1537368</v>
      </c>
      <c r="L2224" s="59" t="n">
        <v>1414621</v>
      </c>
      <c r="M2224" s="59" t="inlineStr">
        <is>
          <t>01</t>
        </is>
      </c>
      <c r="N2224" s="59" t="inlineStr">
        <is>
          <t>AVU</t>
        </is>
      </c>
      <c r="P2224" s="59" t="n">
        <v>103</v>
      </c>
      <c r="Q2224" s="59" t="inlineStr">
        <is>
          <t>MILKA FRANCIS</t>
        </is>
      </c>
      <c r="R2224" s="59" t="inlineStr">
        <is>
          <t>ESTOQUE DE MERCADORIAS</t>
        </is>
      </c>
      <c r="S2224" s="59" t="n">
        <v>1130101</v>
      </c>
      <c r="T2224" s="59" t="inlineStr">
        <is>
          <t>MERCADORIAS P/REVENDA</t>
        </is>
      </c>
      <c r="U2224" s="77" t="n">
        <v>1518.6</v>
      </c>
      <c r="W2224" s="59" t="n">
        <v>0</v>
      </c>
      <c r="X2224" s="59" t="inlineStr">
        <is>
          <t>NF 1414621 - MILKA</t>
        </is>
      </c>
      <c r="Z2224" s="59">
        <f>IF($T2224="","",IFERROR(INDEX('Resumo Grupos'!$AC$3:$AC$200,MATCH($T2224,'Resumo Grupos'!$AB$3:$AB$200,0)),"n/d"))</f>
        <v/>
      </c>
      <c r="AA2224" s="59">
        <f>IF($T2224="","",IF(COUNTIF('Resumo Grupos'!$AE$3:$AE$40,$T2224)&gt;0,"NAO","SIM"))</f>
        <v/>
      </c>
    </row>
    <row r="2225" ht="12.75" customHeight="1" s="60">
      <c r="A2225" s="59" t="n">
        <v>1</v>
      </c>
      <c r="B2225" s="75" t="n">
        <v>46251</v>
      </c>
      <c r="C2225" s="75" t="n">
        <v>46256</v>
      </c>
      <c r="D2225" s="59" t="n">
        <v>1798</v>
      </c>
      <c r="E2225" s="59" t="inlineStr">
        <is>
          <t>ELIAS MARTINS DA SILVA</t>
        </is>
      </c>
      <c r="F2225" s="59" t="n">
        <v>24</v>
      </c>
      <c r="G2225" s="59" t="inlineStr">
        <is>
          <t>Compra a Prazo - Boletos</t>
        </is>
      </c>
      <c r="H2225" s="59" t="n">
        <v>2110405</v>
      </c>
      <c r="I2225" s="59" t="inlineStr">
        <is>
          <t>CONTAS A PAGAR</t>
        </is>
      </c>
      <c r="J2225" s="59" t="n">
        <v>1562609</v>
      </c>
      <c r="L2225" s="59" t="n">
        <v>831858</v>
      </c>
      <c r="M2225" s="59" t="inlineStr">
        <is>
          <t>01</t>
        </is>
      </c>
      <c r="N2225" s="59" t="inlineStr">
        <is>
          <t>AVU</t>
        </is>
      </c>
      <c r="P2225" s="59" t="n">
        <v>103</v>
      </c>
      <c r="Q2225" s="59" t="inlineStr">
        <is>
          <t>MILKA FRANCIS</t>
        </is>
      </c>
      <c r="R2225" s="59" t="inlineStr">
        <is>
          <t>ESTOQUE DE MERCADORIAS</t>
        </is>
      </c>
      <c r="S2225" s="59" t="n">
        <v>1130101</v>
      </c>
      <c r="T2225" s="59" t="inlineStr">
        <is>
          <t>MERCADORIAS P/REVENDA</t>
        </is>
      </c>
      <c r="U2225" s="77" t="n">
        <v>1440</v>
      </c>
      <c r="W2225" s="59" t="n">
        <v>0</v>
      </c>
      <c r="X2225" s="59" t="inlineStr">
        <is>
          <t>NF 831858 SUINO - MILKA</t>
        </is>
      </c>
      <c r="Z2225" s="59">
        <f>IF($T2225="","",IFERROR(INDEX('Resumo Grupos'!$AC$3:$AC$200,MATCH($T2225,'Resumo Grupos'!$AB$3:$AB$200,0)),"n/d"))</f>
        <v/>
      </c>
      <c r="AA2225" s="59">
        <f>IF($T2225="","",IF(COUNTIF('Resumo Grupos'!$AE$3:$AE$40,$T2225)&gt;0,"NAO","SIM"))</f>
        <v/>
      </c>
    </row>
    <row r="2226" ht="12.75" customHeight="1" s="60">
      <c r="A2226" s="59" t="n">
        <v>1</v>
      </c>
      <c r="B2226" s="75" t="n">
        <v>46251</v>
      </c>
      <c r="C2226" s="75" t="n">
        <v>46256</v>
      </c>
      <c r="D2226" s="59" t="n">
        <v>1625</v>
      </c>
      <c r="E2226" s="59" t="inlineStr">
        <is>
          <t>MAXFRI DISTRIUIDORA LTDA</t>
        </is>
      </c>
      <c r="F2226" s="59" t="n">
        <v>24</v>
      </c>
      <c r="G2226" s="59" t="inlineStr">
        <is>
          <t>Compra a Prazo - Boletos</t>
        </is>
      </c>
      <c r="H2226" s="59" t="n">
        <v>2110405</v>
      </c>
      <c r="I2226" s="59" t="inlineStr">
        <is>
          <t>CONTAS A PAGAR</t>
        </is>
      </c>
      <c r="J2226" s="59" t="n">
        <v>1562750</v>
      </c>
      <c r="L2226" s="59" t="n">
        <v>15059</v>
      </c>
      <c r="M2226" s="59" t="inlineStr">
        <is>
          <t>01</t>
        </is>
      </c>
      <c r="N2226" s="59" t="inlineStr">
        <is>
          <t>AVU</t>
        </is>
      </c>
      <c r="P2226" s="59" t="n">
        <v>103</v>
      </c>
      <c r="Q2226" s="59" t="inlineStr">
        <is>
          <t>MILKA FRANCIS</t>
        </is>
      </c>
      <c r="R2226" s="59" t="inlineStr">
        <is>
          <t>ESTOQUE DE MERCADORIAS</t>
        </is>
      </c>
      <c r="S2226" s="59" t="n">
        <v>1130101</v>
      </c>
      <c r="T2226" s="59" t="inlineStr">
        <is>
          <t>MERCADORIAS P/REVENDA</t>
        </is>
      </c>
      <c r="U2226" s="77" t="n">
        <v>7881</v>
      </c>
      <c r="W2226" s="59" t="n">
        <v>0</v>
      </c>
      <c r="X2226" s="59" t="inlineStr">
        <is>
          <t>NF15059  - MILKA</t>
        </is>
      </c>
      <c r="Z2226" s="59">
        <f>IF($T2226="","",IFERROR(INDEX('Resumo Grupos'!$AC$3:$AC$200,MATCH($T2226,'Resumo Grupos'!$AB$3:$AB$200,0)),"n/d"))</f>
        <v/>
      </c>
      <c r="AA2226" s="59">
        <f>IF($T2226="","",IF(COUNTIF('Resumo Grupos'!$AE$3:$AE$40,$T2226)&gt;0,"NAO","SIM"))</f>
        <v/>
      </c>
    </row>
    <row r="2227" ht="12.75" customHeight="1" s="60">
      <c r="A2227" s="59" t="n">
        <v>1</v>
      </c>
      <c r="B2227" s="75" t="n">
        <v>46256</v>
      </c>
      <c r="C2227" s="75" t="n">
        <v>46256</v>
      </c>
      <c r="D2227" s="59" t="n">
        <v>33</v>
      </c>
      <c r="E2227" s="59" t="inlineStr">
        <is>
          <t>RENATO DE O AZEVEDO E CIA LTDA - EPP</t>
        </is>
      </c>
      <c r="F2227" s="59" t="n">
        <v>13</v>
      </c>
      <c r="G2227" s="59" t="inlineStr">
        <is>
          <t>Compra a Vista</t>
        </is>
      </c>
      <c r="H2227" s="59" t="n">
        <v>2110101</v>
      </c>
      <c r="I2227" s="59" t="inlineStr">
        <is>
          <t>FORNECEDORES DE MERCADORIA</t>
        </is>
      </c>
      <c r="J2227" s="59" t="n">
        <v>1585148</v>
      </c>
      <c r="L2227" s="59" t="n">
        <v>5545</v>
      </c>
      <c r="M2227" s="59" t="inlineStr">
        <is>
          <t>01</t>
        </is>
      </c>
      <c r="N2227" s="59" t="inlineStr">
        <is>
          <t>NFE</t>
        </is>
      </c>
      <c r="P2227" s="59" t="n">
        <v>104</v>
      </c>
      <c r="Q2227" s="59" t="inlineStr">
        <is>
          <t>DEBORA COSTA</t>
        </is>
      </c>
      <c r="R2227" s="59" t="inlineStr">
        <is>
          <t>ESTOQUE DE MERCADORIAS</t>
        </is>
      </c>
      <c r="S2227" s="59" t="n">
        <v>1130101</v>
      </c>
      <c r="T2227" s="59" t="inlineStr">
        <is>
          <t>MERCADORIAS P/REVENDA</t>
        </is>
      </c>
      <c r="U2227" s="77" t="n">
        <v>300</v>
      </c>
      <c r="W2227" s="59" t="n">
        <v>300</v>
      </c>
      <c r="X2227" s="59" t="inlineStr">
        <is>
          <t>ACAI DE ANORI - DEBORA 22/08</t>
        </is>
      </c>
      <c r="Z2227" s="59">
        <f>IF($T2227="","",IFERROR(INDEX('Resumo Grupos'!$AC$3:$AC$200,MATCH($T2227,'Resumo Grupos'!$AB$3:$AB$200,0)),"n/d"))</f>
        <v/>
      </c>
      <c r="AA2227" s="59">
        <f>IF($T2227="","",IF(COUNTIF('Resumo Grupos'!$AE$3:$AE$40,$T2227)&gt;0,"NAO","SIM"))</f>
        <v/>
      </c>
    </row>
    <row r="2228" ht="12.75" customHeight="1" s="60">
      <c r="A2228" s="59" t="n">
        <v>1</v>
      </c>
      <c r="B2228" s="75" t="n">
        <v>46126</v>
      </c>
      <c r="C2228" s="75" t="n">
        <v>46257</v>
      </c>
      <c r="D2228" s="59" t="n">
        <v>17</v>
      </c>
      <c r="E2228" s="59" t="inlineStr">
        <is>
          <t>NEYLIANE SILVA DE OLIVEIRA</t>
        </is>
      </c>
      <c r="F2228" s="59" t="n">
        <v>24</v>
      </c>
      <c r="G2228" s="59" t="inlineStr">
        <is>
          <t>Compra a Prazo - Boletos</t>
        </is>
      </c>
      <c r="H2228" s="59" t="n">
        <v>2110405</v>
      </c>
      <c r="I2228" s="59" t="inlineStr">
        <is>
          <t>CONTAS A PAGAR</t>
        </is>
      </c>
      <c r="J2228" s="59" t="n">
        <v>950724</v>
      </c>
      <c r="L2228" s="59" t="n">
        <v>403362</v>
      </c>
      <c r="M2228" s="59" t="inlineStr">
        <is>
          <t>05</t>
        </is>
      </c>
      <c r="N2228" s="59" t="inlineStr">
        <is>
          <t>AVU</t>
        </is>
      </c>
      <c r="P2228" s="59" t="n">
        <v>101</v>
      </c>
      <c r="Q2228" s="59" t="inlineStr">
        <is>
          <t>KEILA LIMA</t>
        </is>
      </c>
      <c r="R2228" s="59" t="inlineStr">
        <is>
          <t>DESPESAS NAO OPERACIONAIS</t>
        </is>
      </c>
      <c r="S2228" s="59" t="n">
        <v>4220199</v>
      </c>
      <c r="T2228" s="59" t="inlineStr">
        <is>
          <t>PAGAMENTOS OUTROS NAO OPERACIONAIS</t>
        </is>
      </c>
      <c r="U2228" s="77" t="n">
        <v>2720.81</v>
      </c>
      <c r="W2228" s="59" t="n">
        <v>0</v>
      </c>
      <c r="X2228" s="59" t="inlineStr">
        <is>
          <t xml:space="preserve">PL NEILA CARRO 05/36 </t>
        </is>
      </c>
      <c r="Z2228" s="59">
        <f>IF($T2228="","",IFERROR(INDEX('Resumo Grupos'!$AC$3:$AC$200,MATCH($T2228,'Resumo Grupos'!$AB$3:$AB$200,0)),"n/d"))</f>
        <v/>
      </c>
      <c r="AA2228" s="59">
        <f>IF($T2228="","",IF(COUNTIF('Resumo Grupos'!$AE$3:$AE$40,$T2228)&gt;0,"NAO","SIM"))</f>
        <v/>
      </c>
    </row>
    <row r="2229" ht="12.75" customHeight="1" s="60">
      <c r="A2229" s="59" t="n">
        <v>1</v>
      </c>
      <c r="B2229" s="75" t="n">
        <v>46247</v>
      </c>
      <c r="C2229" s="75" t="n">
        <v>46257</v>
      </c>
      <c r="D2229" s="59" t="n">
        <v>1723</v>
      </c>
      <c r="E2229" s="59" t="inlineStr">
        <is>
          <t>COMERCIO DE FRIOS MANAUS LTDA</t>
        </is>
      </c>
      <c r="F2229" s="59" t="n">
        <v>24</v>
      </c>
      <c r="G2229" s="59" t="inlineStr">
        <is>
          <t>Compra a Prazo - Boletos</t>
        </is>
      </c>
      <c r="H2229" s="59" t="n">
        <v>2110405</v>
      </c>
      <c r="I2229" s="59" t="inlineStr">
        <is>
          <t>CONTAS A PAGAR</t>
        </is>
      </c>
      <c r="J2229" s="59" t="n">
        <v>1543879</v>
      </c>
      <c r="L2229" s="59" t="n">
        <v>174798</v>
      </c>
      <c r="M2229" s="59" t="inlineStr">
        <is>
          <t>01</t>
        </is>
      </c>
      <c r="N2229" s="59" t="inlineStr">
        <is>
          <t>AVU</t>
        </is>
      </c>
      <c r="P2229" s="59" t="n">
        <v>103</v>
      </c>
      <c r="Q2229" s="59" t="inlineStr">
        <is>
          <t>MILKA FRANCIS</t>
        </is>
      </c>
      <c r="R2229" s="59" t="inlineStr">
        <is>
          <t>ESTOQUE DE MERCADORIAS</t>
        </is>
      </c>
      <c r="S2229" s="59" t="n">
        <v>1130101</v>
      </c>
      <c r="T2229" s="59" t="inlineStr">
        <is>
          <t>MERCADORIAS P/REVENDA</t>
        </is>
      </c>
      <c r="U2229" s="77" t="n">
        <v>5788.75</v>
      </c>
      <c r="W2229" s="59" t="n">
        <v>0</v>
      </c>
      <c r="X2229" s="59" t="inlineStr">
        <is>
          <t>NF174798 - MILKA</t>
        </is>
      </c>
      <c r="Z2229" s="59">
        <f>IF($T2229="","",IFERROR(INDEX('Resumo Grupos'!$AC$3:$AC$200,MATCH($T2229,'Resumo Grupos'!$AB$3:$AB$200,0)),"n/d"))</f>
        <v/>
      </c>
      <c r="AA2229" s="59">
        <f>IF($T2229="","",IF(COUNTIF('Resumo Grupos'!$AE$3:$AE$40,$T2229)&gt;0,"NAO","SIM"))</f>
        <v/>
      </c>
    </row>
    <row r="2230" ht="12.75" customHeight="1" s="60">
      <c r="A2230" s="59" t="n">
        <v>1</v>
      </c>
      <c r="B2230" s="75" t="n">
        <v>46230</v>
      </c>
      <c r="C2230" s="75" t="n">
        <v>46258</v>
      </c>
      <c r="D2230" s="59" t="n">
        <v>1634</v>
      </c>
      <c r="E2230" s="59" t="inlineStr">
        <is>
          <t>FH DISTRIBUIDORA DE ALIM. E BEBIDAS LTDA</t>
        </is>
      </c>
      <c r="F2230" s="59" t="n">
        <v>24</v>
      </c>
      <c r="G2230" s="59" t="inlineStr">
        <is>
          <t>Compra a Prazo - Boletos</t>
        </is>
      </c>
      <c r="H2230" s="59" t="n">
        <v>2110405</v>
      </c>
      <c r="I2230" s="59" t="inlineStr">
        <is>
          <t>CONTAS A PAGAR</t>
        </is>
      </c>
      <c r="J2230" s="59" t="n">
        <v>1460028</v>
      </c>
      <c r="L2230" s="59" t="n">
        <v>329028</v>
      </c>
      <c r="M2230" s="59" t="inlineStr">
        <is>
          <t>02</t>
        </is>
      </c>
      <c r="N2230" s="59" t="inlineStr">
        <is>
          <t>AVU</t>
        </is>
      </c>
      <c r="P2230" s="59" t="n">
        <v>103</v>
      </c>
      <c r="Q2230" s="59" t="inlineStr">
        <is>
          <t>MILKA FRANCIS</t>
        </is>
      </c>
      <c r="R2230" s="59" t="inlineStr">
        <is>
          <t>ESTOQUE DE MERCADORIAS</t>
        </is>
      </c>
      <c r="S2230" s="59" t="n">
        <v>1130101</v>
      </c>
      <c r="T2230" s="59" t="inlineStr">
        <is>
          <t>MERCADORIAS P/REVENDA</t>
        </is>
      </c>
      <c r="U2230" s="77" t="n">
        <v>810.36</v>
      </c>
      <c r="W2230" s="59" t="n">
        <v>0</v>
      </c>
      <c r="X2230" s="59" t="inlineStr">
        <is>
          <t>NF 329028-2 MILKA</t>
        </is>
      </c>
      <c r="Z2230" s="59">
        <f>IF($T2230="","",IFERROR(INDEX('Resumo Grupos'!$AC$3:$AC$200,MATCH($T2230,'Resumo Grupos'!$AB$3:$AB$200,0)),"n/d"))</f>
        <v/>
      </c>
      <c r="AA2230" s="59">
        <f>IF($T2230="","",IF(COUNTIF('Resumo Grupos'!$AE$3:$AE$40,$T2230)&gt;0,"NAO","SIM"))</f>
        <v/>
      </c>
    </row>
    <row r="2231" ht="12.75" customHeight="1" s="60">
      <c r="A2231" s="59" t="n">
        <v>1</v>
      </c>
      <c r="B2231" s="75" t="n">
        <v>46183</v>
      </c>
      <c r="C2231" s="75" t="n">
        <v>46258</v>
      </c>
      <c r="D2231" s="59" t="n">
        <v>49</v>
      </c>
      <c r="E2231" s="59" t="inlineStr">
        <is>
          <t>AZEVEDO E SILVA LTDA</t>
        </is>
      </c>
      <c r="F2231" s="59" t="n">
        <v>34</v>
      </c>
      <c r="G2231" s="59" t="inlineStr">
        <is>
          <t>Transferencia Pix</t>
        </is>
      </c>
      <c r="H2231" s="59" t="n">
        <v>2110405</v>
      </c>
      <c r="I2231" s="59" t="inlineStr">
        <is>
          <t>CONTAS A PAGAR</t>
        </is>
      </c>
      <c r="J2231" s="59" t="n">
        <v>1232017</v>
      </c>
      <c r="L2231" s="59" t="n">
        <v>511836</v>
      </c>
      <c r="M2231" s="59" t="inlineStr">
        <is>
          <t>01</t>
        </is>
      </c>
      <c r="N2231" s="59" t="inlineStr">
        <is>
          <t>AVU</t>
        </is>
      </c>
      <c r="P2231" s="59" t="n">
        <v>101</v>
      </c>
      <c r="Q2231" s="59" t="inlineStr">
        <is>
          <t>KEILA LIMA</t>
        </is>
      </c>
      <c r="R2231" s="59" t="inlineStr">
        <is>
          <t>EMPRESTIMOS TERCEIROS</t>
        </is>
      </c>
      <c r="S2231" s="59" t="n">
        <v>2210202</v>
      </c>
      <c r="T2231" s="59" t="inlineStr">
        <is>
          <t>EMPRESTIMOS TERCEIROS</t>
        </is>
      </c>
      <c r="U2231" s="77" t="n">
        <v>100000</v>
      </c>
      <c r="W2231" s="59" t="n">
        <v>0</v>
      </c>
      <c r="X2231" s="59" t="inlineStr">
        <is>
          <t xml:space="preserve">PREVIA GARANTIDA MO5 PU PAGAR JUROS </t>
        </is>
      </c>
      <c r="Z2231" s="59">
        <f>IF($T2231="","",IFERROR(INDEX('Resumo Grupos'!$AC$3:$AC$200,MATCH($T2231,'Resumo Grupos'!$AB$3:$AB$200,0)),"n/d"))</f>
        <v/>
      </c>
      <c r="AA2231" s="59">
        <f>IF($T2231="","",IF(COUNTIF('Resumo Grupos'!$AE$3:$AE$40,$T2231)&gt;0,"NAO","SIM"))</f>
        <v/>
      </c>
    </row>
    <row r="2232" ht="12.75" customHeight="1" s="60">
      <c r="A2232" s="59" t="n">
        <v>1</v>
      </c>
      <c r="B2232" s="75" t="n">
        <v>46248</v>
      </c>
      <c r="C2232" s="75" t="n">
        <v>46258</v>
      </c>
      <c r="D2232" s="59" t="n">
        <v>1637</v>
      </c>
      <c r="E2232" s="59" t="inlineStr">
        <is>
          <t>ATACADAO S.A.</t>
        </is>
      </c>
      <c r="F2232" s="59" t="n">
        <v>24</v>
      </c>
      <c r="G2232" s="59" t="inlineStr">
        <is>
          <t>Compra a Prazo - Boletos</t>
        </is>
      </c>
      <c r="H2232" s="59" t="n">
        <v>2110405</v>
      </c>
      <c r="I2232" s="59" t="inlineStr">
        <is>
          <t>CONTAS A PAGAR</t>
        </is>
      </c>
      <c r="J2232" s="59" t="n">
        <v>1545480</v>
      </c>
      <c r="L2232" s="59" t="n">
        <v>1917921</v>
      </c>
      <c r="M2232" s="59" t="inlineStr">
        <is>
          <t>01</t>
        </is>
      </c>
      <c r="N2232" s="59" t="inlineStr">
        <is>
          <t>AVU</t>
        </is>
      </c>
      <c r="P2232" s="59" t="n">
        <v>103</v>
      </c>
      <c r="Q2232" s="59" t="inlineStr">
        <is>
          <t>MILKA FRANCIS</t>
        </is>
      </c>
      <c r="R2232" s="59" t="inlineStr">
        <is>
          <t>ESTOQUE DE MERCADORIAS</t>
        </is>
      </c>
      <c r="S2232" s="59" t="n">
        <v>1130101</v>
      </c>
      <c r="T2232" s="59" t="inlineStr">
        <is>
          <t>MERCADORIAS P/REVENDA</t>
        </is>
      </c>
      <c r="U2232" s="77" t="n">
        <v>948.22</v>
      </c>
      <c r="W2232" s="59" t="n">
        <v>0</v>
      </c>
      <c r="X2232" s="59" t="inlineStr">
        <is>
          <t>NF 1917921 - MILKA</t>
        </is>
      </c>
      <c r="Z2232" s="59">
        <f>IF($T2232="","",IFERROR(INDEX('Resumo Grupos'!$AC$3:$AC$200,MATCH($T2232,'Resumo Grupos'!$AB$3:$AB$200,0)),"n/d"))</f>
        <v/>
      </c>
      <c r="AA2232" s="59">
        <f>IF($T2232="","",IF(COUNTIF('Resumo Grupos'!$AE$3:$AE$40,$T2232)&gt;0,"NAO","SIM"))</f>
        <v/>
      </c>
    </row>
    <row r="2233" ht="12.75" customHeight="1" s="60">
      <c r="A2233" s="59" t="n">
        <v>1</v>
      </c>
      <c r="B2233" s="75" t="n">
        <v>46198</v>
      </c>
      <c r="C2233" s="75" t="n">
        <v>46258</v>
      </c>
      <c r="D2233" s="59" t="n">
        <v>536</v>
      </c>
      <c r="E2233" s="59" t="inlineStr">
        <is>
          <t xml:space="preserve">X TEC TECNOLOGIA </t>
        </is>
      </c>
      <c r="F2233" s="59" t="n">
        <v>24</v>
      </c>
      <c r="G2233" s="59" t="inlineStr">
        <is>
          <t>Compra a Prazo - Boletos</t>
        </is>
      </c>
      <c r="H2233" s="59" t="n">
        <v>2110405</v>
      </c>
      <c r="I2233" s="59" t="inlineStr">
        <is>
          <t>CONTAS A PAGAR</t>
        </is>
      </c>
      <c r="J2233" s="59" t="n">
        <v>847424</v>
      </c>
      <c r="L2233" s="59" t="n">
        <v>363545</v>
      </c>
      <c r="M2233" s="59" t="inlineStr">
        <is>
          <t>06</t>
        </is>
      </c>
      <c r="N2233" s="59" t="inlineStr">
        <is>
          <t>AVU</t>
        </is>
      </c>
      <c r="P2233" s="59" t="n">
        <v>102</v>
      </c>
      <c r="Q2233" s="59" t="inlineStr">
        <is>
          <t>ANDREZA ANDRADE</t>
        </is>
      </c>
      <c r="R2233" s="59" t="inlineStr">
        <is>
          <t>DESPESAS OPERACIONAIS</t>
        </is>
      </c>
      <c r="S2233" s="59" t="n">
        <v>4210227</v>
      </c>
      <c r="T2233" s="59" t="inlineStr">
        <is>
          <t>DESPESAS LOJA</t>
        </is>
      </c>
      <c r="U2233" s="77" t="n">
        <v>1001.34</v>
      </c>
      <c r="W2233" s="59" t="n">
        <v>0</v>
      </c>
      <c r="X2233" s="59" t="inlineStr">
        <is>
          <t>BOLETO ENERGIA  SOLAR PRESTIMO MO1-ANDREZA</t>
        </is>
      </c>
      <c r="Z2233" s="59">
        <f>IF($T2233="","",IFERROR(INDEX('Resumo Grupos'!$AC$3:$AC$200,MATCH($T2233,'Resumo Grupos'!$AB$3:$AB$200,0)),"n/d"))</f>
        <v/>
      </c>
      <c r="AA2233" s="59">
        <f>IF($T2233="","",IF(COUNTIF('Resumo Grupos'!$AE$3:$AE$40,$T2233)&gt;0,"NAO","SIM"))</f>
        <v/>
      </c>
    </row>
    <row r="2234" ht="12.75" customHeight="1" s="60">
      <c r="A2234" s="59" t="n">
        <v>1</v>
      </c>
      <c r="B2234" s="75" t="n">
        <v>46203</v>
      </c>
      <c r="C2234" s="75" t="n">
        <v>46258</v>
      </c>
      <c r="D2234" s="59" t="n">
        <v>10011</v>
      </c>
      <c r="E2234" s="59" t="inlineStr">
        <is>
          <t>OPPORTUNITY ALIMENTOS PARA ANIMAIS LTDA</t>
        </is>
      </c>
      <c r="F2234" s="59" t="n">
        <v>24</v>
      </c>
      <c r="G2234" s="59" t="inlineStr">
        <is>
          <t>Compra a Prazo - Boletos</t>
        </is>
      </c>
      <c r="H2234" s="59" t="n">
        <v>2110101</v>
      </c>
      <c r="I2234" s="59" t="inlineStr">
        <is>
          <t>FORNECEDORES DE MERCADORIA</t>
        </is>
      </c>
      <c r="J2234" s="59" t="n">
        <v>1330475</v>
      </c>
      <c r="L2234" s="59" t="n">
        <v>34300</v>
      </c>
      <c r="M2234" s="59" t="inlineStr">
        <is>
          <t>04</t>
        </is>
      </c>
      <c r="N2234" s="59" t="inlineStr">
        <is>
          <t>NFE</t>
        </is>
      </c>
      <c r="P2234" s="59" t="n">
        <v>103</v>
      </c>
      <c r="Q2234" s="59" t="inlineStr">
        <is>
          <t>MILKA FRANCIS</t>
        </is>
      </c>
      <c r="R2234" s="59" t="inlineStr">
        <is>
          <t>ESTOQUE DE MERCADORIAS</t>
        </is>
      </c>
      <c r="S2234" s="59" t="n">
        <v>1130101</v>
      </c>
      <c r="T2234" s="59" t="inlineStr">
        <is>
          <t>MERCADORIAS P/REVENDA</t>
        </is>
      </c>
      <c r="U2234" s="77" t="n">
        <v>3377.6</v>
      </c>
      <c r="W2234" s="59" t="n">
        <v>0</v>
      </c>
      <c r="X2234" s="59" t="inlineStr">
        <is>
          <t>NF 34300-4 MILKA</t>
        </is>
      </c>
      <c r="Z2234" s="59">
        <f>IF($T2234="","",IFERROR(INDEX('Resumo Grupos'!$AC$3:$AC$200,MATCH($T2234,'Resumo Grupos'!$AB$3:$AB$200,0)),"n/d"))</f>
        <v/>
      </c>
      <c r="AA2234" s="59">
        <f>IF($T2234="","",IF(COUNTIF('Resumo Grupos'!$AE$3:$AE$40,$T2234)&gt;0,"NAO","SIM"))</f>
        <v/>
      </c>
    </row>
    <row r="2235" ht="12.75" customHeight="1" s="60">
      <c r="A2235" s="59" t="n">
        <v>1</v>
      </c>
      <c r="B2235" s="75" t="n">
        <v>46204</v>
      </c>
      <c r="C2235" s="75" t="n">
        <v>46258</v>
      </c>
      <c r="D2235" s="59" t="n">
        <v>607</v>
      </c>
      <c r="E2235" s="59" t="inlineStr">
        <is>
          <t>PRIME PET DISTRIBUIDORA LTDA</t>
        </is>
      </c>
      <c r="F2235" s="59" t="n">
        <v>24</v>
      </c>
      <c r="G2235" s="59" t="inlineStr">
        <is>
          <t>Compra a Prazo - Boletos</t>
        </is>
      </c>
      <c r="H2235" s="59" t="n">
        <v>2110101</v>
      </c>
      <c r="I2235" s="59" t="inlineStr">
        <is>
          <t>FORNECEDORES DE MERCADORIA</t>
        </is>
      </c>
      <c r="J2235" s="59" t="n">
        <v>1335231</v>
      </c>
      <c r="L2235" s="59" t="n">
        <v>11002</v>
      </c>
      <c r="M2235" s="59" t="inlineStr">
        <is>
          <t>04</t>
        </is>
      </c>
      <c r="N2235" s="59" t="inlineStr">
        <is>
          <t>NFE</t>
        </is>
      </c>
      <c r="P2235" s="59" t="n">
        <v>103</v>
      </c>
      <c r="Q2235" s="59" t="inlineStr">
        <is>
          <t>MILKA FRANCIS</t>
        </is>
      </c>
      <c r="R2235" s="59" t="inlineStr">
        <is>
          <t>ESTOQUE DE MERCADORIAS</t>
        </is>
      </c>
      <c r="S2235" s="59" t="n">
        <v>1130101</v>
      </c>
      <c r="T2235" s="59" t="inlineStr">
        <is>
          <t>MERCADORIAS P/REVENDA</t>
        </is>
      </c>
      <c r="U2235" s="77" t="n">
        <v>1849.57</v>
      </c>
      <c r="W2235" s="59" t="n">
        <v>0</v>
      </c>
      <c r="X2235" s="59" t="inlineStr">
        <is>
          <t xml:space="preserve">NF 11002-04/07 MILKA </t>
        </is>
      </c>
      <c r="Z2235" s="59">
        <f>IF($T2235="","",IFERROR(INDEX('Resumo Grupos'!$AC$3:$AC$200,MATCH($T2235,'Resumo Grupos'!$AB$3:$AB$200,0)),"n/d"))</f>
        <v/>
      </c>
      <c r="AA2235" s="59">
        <f>IF($T2235="","",IF(COUNTIF('Resumo Grupos'!$AE$3:$AE$40,$T2235)&gt;0,"NAO","SIM"))</f>
        <v/>
      </c>
    </row>
    <row r="2236" ht="12.75" customHeight="1" s="60">
      <c r="A2236" s="59" t="n">
        <v>1</v>
      </c>
      <c r="B2236" s="75" t="n">
        <v>46228</v>
      </c>
      <c r="C2236" s="75" t="n">
        <v>46258</v>
      </c>
      <c r="D2236" s="59" t="n">
        <v>1409</v>
      </c>
      <c r="E2236" s="59" t="inlineStr">
        <is>
          <t>NORTE DISTRIBUIDORA DE ACUMULADORES E AC</t>
        </is>
      </c>
      <c r="F2236" s="59" t="n">
        <v>24</v>
      </c>
      <c r="G2236" s="59" t="inlineStr">
        <is>
          <t>Compra a Prazo - Boletos</t>
        </is>
      </c>
      <c r="H2236" s="59" t="n">
        <v>1110202</v>
      </c>
      <c r="I2236" s="59" t="inlineStr">
        <is>
          <t>BANCO ITAU Lj 01</t>
        </is>
      </c>
      <c r="J2236" s="59" t="n">
        <v>1450142</v>
      </c>
      <c r="L2236" s="59" t="n">
        <v>105914</v>
      </c>
      <c r="M2236" s="59" t="inlineStr">
        <is>
          <t>01</t>
        </is>
      </c>
      <c r="N2236" s="59" t="inlineStr">
        <is>
          <t>AVU</t>
        </is>
      </c>
      <c r="P2236" s="59" t="n">
        <v>103</v>
      </c>
      <c r="Q2236" s="59" t="inlineStr">
        <is>
          <t>MILKA FRANCIS</t>
        </is>
      </c>
      <c r="R2236" s="59" t="inlineStr">
        <is>
          <t>ESTOQUE DE MERCADORIAS</t>
        </is>
      </c>
      <c r="S2236" s="59" t="n">
        <v>1130101</v>
      </c>
      <c r="T2236" s="59" t="inlineStr">
        <is>
          <t>MERCADORIAS P/REVENDA</t>
        </is>
      </c>
      <c r="U2236" s="77" t="n">
        <v>306</v>
      </c>
      <c r="W2236" s="59" t="n">
        <v>0</v>
      </c>
      <c r="X2236" s="59" t="inlineStr">
        <is>
          <t>NF 105914 -1/3 MOURA -  MILKA</t>
        </is>
      </c>
      <c r="Z2236" s="59">
        <f>IF($T2236="","",IFERROR(INDEX('Resumo Grupos'!$AC$3:$AC$200,MATCH($T2236,'Resumo Grupos'!$AB$3:$AB$200,0)),"n/d"))</f>
        <v/>
      </c>
      <c r="AA2236" s="59">
        <f>IF($T2236="","",IF(COUNTIF('Resumo Grupos'!$AE$3:$AE$40,$T2236)&gt;0,"NAO","SIM"))</f>
        <v/>
      </c>
    </row>
    <row r="2237" ht="12.75" customHeight="1" s="60">
      <c r="A2237" s="59" t="n">
        <v>1</v>
      </c>
      <c r="B2237" s="75" t="n">
        <v>46232</v>
      </c>
      <c r="C2237" s="75" t="n">
        <v>46258</v>
      </c>
      <c r="D2237" s="59" t="n">
        <v>1637</v>
      </c>
      <c r="E2237" s="59" t="inlineStr">
        <is>
          <t>ATACADAO S.A.</t>
        </is>
      </c>
      <c r="F2237" s="59" t="n">
        <v>24</v>
      </c>
      <c r="G2237" s="59" t="inlineStr">
        <is>
          <t>Compra a Prazo - Boletos</t>
        </is>
      </c>
      <c r="H2237" s="59" t="n">
        <v>1110202</v>
      </c>
      <c r="I2237" s="59" t="inlineStr">
        <is>
          <t>BANCO ITAU Lj 01</t>
        </is>
      </c>
      <c r="J2237" s="59" t="n">
        <v>1468984</v>
      </c>
      <c r="L2237" s="59" t="n">
        <v>1911152</v>
      </c>
      <c r="M2237" s="59" t="inlineStr">
        <is>
          <t>01</t>
        </is>
      </c>
      <c r="N2237" s="59" t="inlineStr">
        <is>
          <t>AVU</t>
        </is>
      </c>
      <c r="P2237" s="59" t="n">
        <v>103</v>
      </c>
      <c r="Q2237" s="59" t="inlineStr">
        <is>
          <t>MILKA FRANCIS</t>
        </is>
      </c>
      <c r="R2237" s="59" t="inlineStr">
        <is>
          <t>ESTOQUE DE MERCADORIAS</t>
        </is>
      </c>
      <c r="S2237" s="59" t="n">
        <v>1130101</v>
      </c>
      <c r="T2237" s="59" t="inlineStr">
        <is>
          <t>MERCADORIAS P/REVENDA</t>
        </is>
      </c>
      <c r="U2237" s="77" t="n">
        <v>330.75</v>
      </c>
      <c r="W2237" s="59" t="n">
        <v>0</v>
      </c>
      <c r="X2237" s="59" t="inlineStr">
        <is>
          <t>NF 1911152 - MILKA</t>
        </is>
      </c>
      <c r="Z2237" s="59">
        <f>IF($T2237="","",IFERROR(INDEX('Resumo Grupos'!$AC$3:$AC$200,MATCH($T2237,'Resumo Grupos'!$AB$3:$AB$200,0)),"n/d"))</f>
        <v/>
      </c>
      <c r="AA2237" s="59">
        <f>IF($T2237="","",IF(COUNTIF('Resumo Grupos'!$AE$3:$AE$40,$T2237)&gt;0,"NAO","SIM"))</f>
        <v/>
      </c>
    </row>
    <row r="2238" ht="12.75" customHeight="1" s="60">
      <c r="A2238" s="59" t="n">
        <v>1</v>
      </c>
      <c r="B2238" s="75" t="n">
        <v>46234</v>
      </c>
      <c r="C2238" s="75" t="n">
        <v>46258</v>
      </c>
      <c r="D2238" s="59" t="n">
        <v>1699</v>
      </c>
      <c r="E2238" s="59" t="inlineStr">
        <is>
          <t>L S M COMERCIO DE ALIMENTOS E NAVEGACAO</t>
        </is>
      </c>
      <c r="F2238" s="59" t="n">
        <v>24</v>
      </c>
      <c r="G2238" s="59" t="inlineStr">
        <is>
          <t>Compra a Prazo - Boletos</t>
        </is>
      </c>
      <c r="H2238" s="59" t="n">
        <v>2110405</v>
      </c>
      <c r="I2238" s="59" t="inlineStr">
        <is>
          <t>CONTAS A PAGAR</t>
        </is>
      </c>
      <c r="J2238" s="59" t="n">
        <v>1478171</v>
      </c>
      <c r="L2238" s="59" t="n">
        <v>309642</v>
      </c>
      <c r="M2238" s="59" t="inlineStr">
        <is>
          <t>02</t>
        </is>
      </c>
      <c r="N2238" s="59" t="inlineStr">
        <is>
          <t>AVU</t>
        </is>
      </c>
      <c r="P2238" s="59" t="n">
        <v>103</v>
      </c>
      <c r="Q2238" s="59" t="inlineStr">
        <is>
          <t>MILKA FRANCIS</t>
        </is>
      </c>
      <c r="R2238" s="59" t="inlineStr">
        <is>
          <t>ESTOQUE DE MERCADORIAS</t>
        </is>
      </c>
      <c r="S2238" s="59" t="n">
        <v>1130101</v>
      </c>
      <c r="T2238" s="59" t="inlineStr">
        <is>
          <t>MERCADORIAS P/REVENDA</t>
        </is>
      </c>
      <c r="U2238" s="77" t="n">
        <v>1633.1</v>
      </c>
      <c r="W2238" s="59" t="n">
        <v>0</v>
      </c>
      <c r="X2238" s="59" t="inlineStr">
        <is>
          <t>NF 309642-2 MILKA</t>
        </is>
      </c>
      <c r="Z2238" s="59">
        <f>IF($T2238="","",IFERROR(INDEX('Resumo Grupos'!$AC$3:$AC$200,MATCH($T2238,'Resumo Grupos'!$AB$3:$AB$200,0)),"n/d"))</f>
        <v/>
      </c>
      <c r="AA2238" s="59">
        <f>IF($T2238="","",IF(COUNTIF('Resumo Grupos'!$AE$3:$AE$40,$T2238)&gt;0,"NAO","SIM"))</f>
        <v/>
      </c>
    </row>
    <row r="2239" ht="12.75" customHeight="1" s="60">
      <c r="A2239" s="59" t="n">
        <v>1</v>
      </c>
      <c r="B2239" s="75" t="n">
        <v>46237</v>
      </c>
      <c r="C2239" s="75" t="n">
        <v>46258</v>
      </c>
      <c r="D2239" s="59" t="n">
        <v>1699</v>
      </c>
      <c r="E2239" s="59" t="inlineStr">
        <is>
          <t>L S M COMERCIO DE ALIMENTOS E NAVEGACAO</t>
        </is>
      </c>
      <c r="F2239" s="59" t="n">
        <v>24</v>
      </c>
      <c r="G2239" s="59" t="inlineStr">
        <is>
          <t>Compra a Prazo - Boletos</t>
        </is>
      </c>
      <c r="H2239" s="59" t="n">
        <v>2110405</v>
      </c>
      <c r="I2239" s="59" t="inlineStr">
        <is>
          <t>CONTAS A PAGAR</t>
        </is>
      </c>
      <c r="J2239" s="59" t="n">
        <v>1495640</v>
      </c>
      <c r="L2239" s="59" t="n">
        <v>309757</v>
      </c>
      <c r="M2239" s="59" t="inlineStr">
        <is>
          <t>02</t>
        </is>
      </c>
      <c r="N2239" s="59" t="inlineStr">
        <is>
          <t>AVU</t>
        </is>
      </c>
      <c r="P2239" s="59" t="n">
        <v>103</v>
      </c>
      <c r="Q2239" s="59" t="inlineStr">
        <is>
          <t>MILKA FRANCIS</t>
        </is>
      </c>
      <c r="R2239" s="59" t="inlineStr">
        <is>
          <t>ESTOQUE DE MERCADORIAS</t>
        </is>
      </c>
      <c r="S2239" s="59" t="n">
        <v>1130101</v>
      </c>
      <c r="T2239" s="59" t="inlineStr">
        <is>
          <t>MERCADORIAS P/REVENDA</t>
        </is>
      </c>
      <c r="U2239" s="77" t="n">
        <v>403.5</v>
      </c>
      <c r="W2239" s="59" t="n">
        <v>0</v>
      </c>
      <c r="X2239" s="59" t="inlineStr">
        <is>
          <t>NF 309757-2 MILKA</t>
        </is>
      </c>
      <c r="Z2239" s="59">
        <f>IF($T2239="","",IFERROR(INDEX('Resumo Grupos'!$AC$3:$AC$200,MATCH($T2239,'Resumo Grupos'!$AB$3:$AB$200,0)),"n/d"))</f>
        <v/>
      </c>
      <c r="AA2239" s="59">
        <f>IF($T2239="","",IF(COUNTIF('Resumo Grupos'!$AE$3:$AE$40,$T2239)&gt;0,"NAO","SIM"))</f>
        <v/>
      </c>
    </row>
    <row r="2240" ht="12.75" customHeight="1" s="60">
      <c r="A2240" s="59" t="n">
        <v>1</v>
      </c>
      <c r="B2240" s="75" t="n">
        <v>46238</v>
      </c>
      <c r="C2240" s="75" t="n">
        <v>46258</v>
      </c>
      <c r="D2240" s="59" t="n">
        <v>1668</v>
      </c>
      <c r="E2240" s="59" t="inlineStr">
        <is>
          <t>NATUREZA COMERCIO DE DESCARTAVEIS LTDA</t>
        </is>
      </c>
      <c r="F2240" s="59" t="n">
        <v>24</v>
      </c>
      <c r="G2240" s="59" t="inlineStr">
        <is>
          <t>Compra a Prazo - Boletos</t>
        </is>
      </c>
      <c r="H2240" s="59" t="n">
        <v>1110202</v>
      </c>
      <c r="I2240" s="59" t="inlineStr">
        <is>
          <t>BANCO ITAU Lj 01</t>
        </is>
      </c>
      <c r="J2240" s="59" t="n">
        <v>1500935</v>
      </c>
      <c r="L2240" s="59" t="n">
        <v>745268</v>
      </c>
      <c r="M2240" s="59" t="inlineStr">
        <is>
          <t>01</t>
        </is>
      </c>
      <c r="N2240" s="59" t="inlineStr">
        <is>
          <t>AVU</t>
        </is>
      </c>
      <c r="P2240" s="59" t="n">
        <v>103</v>
      </c>
      <c r="Q2240" s="59" t="inlineStr">
        <is>
          <t>MILKA FRANCIS</t>
        </is>
      </c>
      <c r="R2240" s="59" t="inlineStr">
        <is>
          <t>ESTOQUE DE MERCADORIAS</t>
        </is>
      </c>
      <c r="S2240" s="59" t="n">
        <v>1130101</v>
      </c>
      <c r="T2240" s="59" t="inlineStr">
        <is>
          <t>MERCADORIAS P/REVENDA</t>
        </is>
      </c>
      <c r="U2240" s="77" t="n">
        <v>998.67</v>
      </c>
      <c r="W2240" s="59" t="n">
        <v>0</v>
      </c>
      <c r="X2240" s="59" t="inlineStr">
        <is>
          <t>NF 745268-1 MILKA</t>
        </is>
      </c>
      <c r="Z2240" s="59">
        <f>IF($T2240="","",IFERROR(INDEX('Resumo Grupos'!$AC$3:$AC$200,MATCH($T2240,'Resumo Grupos'!$AB$3:$AB$200,0)),"n/d"))</f>
        <v/>
      </c>
      <c r="AA2240" s="59">
        <f>IF($T2240="","",IF(COUNTIF('Resumo Grupos'!$AE$3:$AE$40,$T2240)&gt;0,"NAO","SIM"))</f>
        <v/>
      </c>
    </row>
    <row r="2241" ht="12.75" customHeight="1" s="60">
      <c r="A2241" s="59" t="n">
        <v>1</v>
      </c>
      <c r="B2241" s="75" t="n">
        <v>46239</v>
      </c>
      <c r="C2241" s="75" t="n">
        <v>46258</v>
      </c>
      <c r="D2241" s="59" t="n">
        <v>1668</v>
      </c>
      <c r="E2241" s="59" t="inlineStr">
        <is>
          <t>NATUREZA COMERCIO DE DESCARTAVEIS LTDA</t>
        </is>
      </c>
      <c r="F2241" s="59" t="n">
        <v>24</v>
      </c>
      <c r="G2241" s="59" t="inlineStr">
        <is>
          <t>Compra a Prazo - Boletos</t>
        </is>
      </c>
      <c r="H2241" s="59" t="n">
        <v>1110202</v>
      </c>
      <c r="I2241" s="59" t="inlineStr">
        <is>
          <t>BANCO ITAU Lj 01</t>
        </is>
      </c>
      <c r="J2241" s="59" t="n">
        <v>1503711</v>
      </c>
      <c r="L2241" s="59" t="n">
        <v>745264</v>
      </c>
      <c r="M2241" s="59" t="inlineStr">
        <is>
          <t>01</t>
        </is>
      </c>
      <c r="N2241" s="59" t="inlineStr">
        <is>
          <t>AVU</t>
        </is>
      </c>
      <c r="P2241" s="59" t="n">
        <v>103</v>
      </c>
      <c r="Q2241" s="59" t="inlineStr">
        <is>
          <t>MILKA FRANCIS</t>
        </is>
      </c>
      <c r="R2241" s="59" t="inlineStr">
        <is>
          <t>ESTOQUE DE MERCADORIAS</t>
        </is>
      </c>
      <c r="S2241" s="59" t="n">
        <v>1130101</v>
      </c>
      <c r="T2241" s="59" t="inlineStr">
        <is>
          <t>MERCADORIAS P/REVENDA</t>
        </is>
      </c>
      <c r="U2241" s="77" t="n">
        <v>1047.59</v>
      </c>
      <c r="W2241" s="59" t="n">
        <v>0</v>
      </c>
      <c r="X2241" s="59" t="inlineStr">
        <is>
          <t>NF 745264 BANDEJA B1,MARMITA,LUVA ,TOUCA / USO E CONSUMO VENDA - MILKA</t>
        </is>
      </c>
      <c r="Z2241" s="59">
        <f>IF($T2241="","",IFERROR(INDEX('Resumo Grupos'!$AC$3:$AC$200,MATCH($T2241,'Resumo Grupos'!$AB$3:$AB$200,0)),"n/d"))</f>
        <v/>
      </c>
      <c r="AA2241" s="59">
        <f>IF($T2241="","",IF(COUNTIF('Resumo Grupos'!$AE$3:$AE$40,$T2241)&gt;0,"NAO","SIM"))</f>
        <v/>
      </c>
    </row>
    <row r="2242" ht="12.75" customHeight="1" s="60">
      <c r="A2242" s="59" t="n">
        <v>1</v>
      </c>
      <c r="B2242" s="75" t="n">
        <v>46240</v>
      </c>
      <c r="C2242" s="75" t="n">
        <v>46258</v>
      </c>
      <c r="D2242" s="59" t="n">
        <v>1671</v>
      </c>
      <c r="E2242" s="59" t="inlineStr">
        <is>
          <t>TAPAJOS COM DE PERFUMARIA COSMETICOS E G</t>
        </is>
      </c>
      <c r="F2242" s="59" t="n">
        <v>24</v>
      </c>
      <c r="G2242" s="59" t="inlineStr">
        <is>
          <t>Compra a Prazo - Boletos</t>
        </is>
      </c>
      <c r="H2242" s="59" t="n">
        <v>2110405</v>
      </c>
      <c r="I2242" s="59" t="inlineStr">
        <is>
          <t>CONTAS A PAGAR</t>
        </is>
      </c>
      <c r="J2242" s="59" t="n">
        <v>1508432</v>
      </c>
      <c r="L2242" s="59" t="n">
        <v>582245</v>
      </c>
      <c r="M2242" s="59" t="inlineStr">
        <is>
          <t>01</t>
        </is>
      </c>
      <c r="N2242" s="59" t="inlineStr">
        <is>
          <t>AVU</t>
        </is>
      </c>
      <c r="P2242" s="59" t="n">
        <v>103</v>
      </c>
      <c r="Q2242" s="59" t="inlineStr">
        <is>
          <t>MILKA FRANCIS</t>
        </is>
      </c>
      <c r="R2242" s="59" t="inlineStr">
        <is>
          <t>ESTOQUE DE MERCADORIAS</t>
        </is>
      </c>
      <c r="S2242" s="59" t="n">
        <v>1130101</v>
      </c>
      <c r="T2242" s="59" t="inlineStr">
        <is>
          <t>MERCADORIAS P/REVENDA</t>
        </is>
      </c>
      <c r="U2242" s="77" t="n">
        <v>1020.15</v>
      </c>
      <c r="W2242" s="59" t="n">
        <v>0</v>
      </c>
      <c r="X2242" s="59" t="inlineStr">
        <is>
          <t>NF 585245-1 MILKA</t>
        </is>
      </c>
      <c r="Z2242" s="59">
        <f>IF($T2242="","",IFERROR(INDEX('Resumo Grupos'!$AC$3:$AC$200,MATCH($T2242,'Resumo Grupos'!$AB$3:$AB$200,0)),"n/d"))</f>
        <v/>
      </c>
      <c r="AA2242" s="59">
        <f>IF($T2242="","",IF(COUNTIF('Resumo Grupos'!$AE$3:$AE$40,$T2242)&gt;0,"NAO","SIM"))</f>
        <v/>
      </c>
    </row>
    <row r="2243" ht="12.75" customHeight="1" s="60">
      <c r="A2243" s="59" t="n">
        <v>1</v>
      </c>
      <c r="B2243" s="75" t="n">
        <v>46240</v>
      </c>
      <c r="C2243" s="75" t="n">
        <v>46258</v>
      </c>
      <c r="D2243" s="59" t="n">
        <v>1637</v>
      </c>
      <c r="E2243" s="59" t="inlineStr">
        <is>
          <t>ATACADAO S.A.</t>
        </is>
      </c>
      <c r="F2243" s="59" t="n">
        <v>24</v>
      </c>
      <c r="G2243" s="59" t="inlineStr">
        <is>
          <t>Compra a Prazo - Boletos</t>
        </is>
      </c>
      <c r="H2243" s="59" t="n">
        <v>2110405</v>
      </c>
      <c r="I2243" s="59" t="inlineStr">
        <is>
          <t>CONTAS A PAGAR</t>
        </is>
      </c>
      <c r="J2243" s="59" t="n">
        <v>1509648</v>
      </c>
      <c r="L2243" s="59" t="n">
        <v>1915887</v>
      </c>
      <c r="M2243" s="59" t="inlineStr">
        <is>
          <t>01</t>
        </is>
      </c>
      <c r="N2243" s="59" t="inlineStr">
        <is>
          <t>AVU</t>
        </is>
      </c>
      <c r="P2243" s="59" t="n">
        <v>103</v>
      </c>
      <c r="Q2243" s="59" t="inlineStr">
        <is>
          <t>MILKA FRANCIS</t>
        </is>
      </c>
      <c r="R2243" s="59" t="inlineStr">
        <is>
          <t>ESTOQUE DE MERCADORIAS</t>
        </is>
      </c>
      <c r="S2243" s="59" t="n">
        <v>1130101</v>
      </c>
      <c r="T2243" s="59" t="inlineStr">
        <is>
          <t>MERCADORIAS P/REVENDA</t>
        </is>
      </c>
      <c r="U2243" s="77" t="n">
        <v>2048.4</v>
      </c>
      <c r="W2243" s="59" t="n">
        <v>0</v>
      </c>
      <c r="X2243" s="59" t="inlineStr">
        <is>
          <t>NF 1915887 - MILKA</t>
        </is>
      </c>
      <c r="Z2243" s="59">
        <f>IF($T2243="","",IFERROR(INDEX('Resumo Grupos'!$AC$3:$AC$200,MATCH($T2243,'Resumo Grupos'!$AB$3:$AB$200,0)),"n/d"))</f>
        <v/>
      </c>
      <c r="AA2243" s="59">
        <f>IF($T2243="","",IF(COUNTIF('Resumo Grupos'!$AE$3:$AE$40,$T2243)&gt;0,"NAO","SIM"))</f>
        <v/>
      </c>
    </row>
    <row r="2244" ht="12.75" customHeight="1" s="60">
      <c r="A2244" s="59" t="n">
        <v>1</v>
      </c>
      <c r="B2244" s="75" t="n">
        <v>46240</v>
      </c>
      <c r="C2244" s="75" t="n">
        <v>46258</v>
      </c>
      <c r="D2244" s="59" t="n">
        <v>1637</v>
      </c>
      <c r="E2244" s="59" t="inlineStr">
        <is>
          <t>ATACADAO S.A.</t>
        </is>
      </c>
      <c r="F2244" s="59" t="n">
        <v>24</v>
      </c>
      <c r="G2244" s="59" t="inlineStr">
        <is>
          <t>Compra a Prazo - Boletos</t>
        </is>
      </c>
      <c r="H2244" s="59" t="n">
        <v>2110405</v>
      </c>
      <c r="I2244" s="59" t="inlineStr">
        <is>
          <t>CONTAS A PAGAR</t>
        </is>
      </c>
      <c r="J2244" s="59" t="n">
        <v>1509717</v>
      </c>
      <c r="L2244" s="59" t="n">
        <v>1915884</v>
      </c>
      <c r="M2244" s="59" t="inlineStr">
        <is>
          <t>01</t>
        </is>
      </c>
      <c r="N2244" s="59" t="inlineStr">
        <is>
          <t>AVU</t>
        </is>
      </c>
      <c r="P2244" s="59" t="n">
        <v>103</v>
      </c>
      <c r="Q2244" s="59" t="inlineStr">
        <is>
          <t>MILKA FRANCIS</t>
        </is>
      </c>
      <c r="R2244" s="59" t="inlineStr">
        <is>
          <t>ESTOQUE DE MERCADORIAS</t>
        </is>
      </c>
      <c r="S2244" s="59" t="n">
        <v>1130101</v>
      </c>
      <c r="T2244" s="59" t="inlineStr">
        <is>
          <t>MERCADORIAS P/REVENDA</t>
        </is>
      </c>
      <c r="U2244" s="77" t="n">
        <v>1795</v>
      </c>
      <c r="W2244" s="59" t="n">
        <v>0</v>
      </c>
      <c r="X2244" s="59" t="inlineStr">
        <is>
          <t>NF 1915884 - MILKA</t>
        </is>
      </c>
      <c r="Z2244" s="59">
        <f>IF($T2244="","",IFERROR(INDEX('Resumo Grupos'!$AC$3:$AC$200,MATCH($T2244,'Resumo Grupos'!$AB$3:$AB$200,0)),"n/d"))</f>
        <v/>
      </c>
      <c r="AA2244" s="59">
        <f>IF($T2244="","",IF(COUNTIF('Resumo Grupos'!$AE$3:$AE$40,$T2244)&gt;0,"NAO","SIM"))</f>
        <v/>
      </c>
    </row>
    <row r="2245" ht="12.75" customHeight="1" s="60">
      <c r="A2245" s="59" t="n">
        <v>1</v>
      </c>
      <c r="B2245" s="75" t="n">
        <v>46246</v>
      </c>
      <c r="C2245" s="75" t="n">
        <v>46258</v>
      </c>
      <c r="D2245" s="59" t="n">
        <v>1636</v>
      </c>
      <c r="E2245" s="59" t="inlineStr">
        <is>
          <t>DUNORTE DISTRIBUIDORA DE PRODUTOS DE CONSUMO LTDA</t>
        </is>
      </c>
      <c r="F2245" s="59" t="n">
        <v>24</v>
      </c>
      <c r="G2245" s="59" t="inlineStr">
        <is>
          <t>Compra a Prazo - Boletos</t>
        </is>
      </c>
      <c r="H2245" s="59" t="n">
        <v>2110405</v>
      </c>
      <c r="I2245" s="59" t="inlineStr">
        <is>
          <t>CONTAS A PAGAR</t>
        </is>
      </c>
      <c r="J2245" s="59" t="n">
        <v>1536369</v>
      </c>
      <c r="L2245" s="59" t="n">
        <v>3234290</v>
      </c>
      <c r="M2245" s="59" t="inlineStr">
        <is>
          <t>01</t>
        </is>
      </c>
      <c r="N2245" s="59" t="inlineStr">
        <is>
          <t>AVU</t>
        </is>
      </c>
      <c r="P2245" s="59" t="n">
        <v>103</v>
      </c>
      <c r="Q2245" s="59" t="inlineStr">
        <is>
          <t>MILKA FRANCIS</t>
        </is>
      </c>
      <c r="R2245" s="59" t="inlineStr">
        <is>
          <t>ESTOQUE DE MERCADORIAS</t>
        </is>
      </c>
      <c r="S2245" s="59" t="n">
        <v>1130101</v>
      </c>
      <c r="T2245" s="59" t="inlineStr">
        <is>
          <t>MERCADORIAS P/REVENDA</t>
        </is>
      </c>
      <c r="U2245" s="77" t="n">
        <v>726.08</v>
      </c>
      <c r="W2245" s="59" t="n">
        <v>0</v>
      </c>
      <c r="X2245" s="59" t="inlineStr">
        <is>
          <t>NF 3234290-1 MILKA</t>
        </is>
      </c>
      <c r="Z2245" s="59">
        <f>IF($T2245="","",IFERROR(INDEX('Resumo Grupos'!$AC$3:$AC$200,MATCH($T2245,'Resumo Grupos'!$AB$3:$AB$200,0)),"n/d"))</f>
        <v/>
      </c>
      <c r="AA2245" s="59">
        <f>IF($T2245="","",IF(COUNTIF('Resumo Grupos'!$AE$3:$AE$40,$T2245)&gt;0,"NAO","SIM"))</f>
        <v/>
      </c>
    </row>
    <row r="2246" ht="12.75" customHeight="1" s="60">
      <c r="A2246" s="59" t="n">
        <v>1</v>
      </c>
      <c r="B2246" s="75" t="n">
        <v>46246</v>
      </c>
      <c r="C2246" s="75" t="n">
        <v>46258</v>
      </c>
      <c r="D2246" s="59" t="n">
        <v>10103</v>
      </c>
      <c r="E2246" s="59" t="inlineStr">
        <is>
          <t>M. J. M. DE S. ALMEIDA LTDA</t>
        </is>
      </c>
      <c r="F2246" s="59" t="n">
        <v>24</v>
      </c>
      <c r="G2246" s="59" t="inlineStr">
        <is>
          <t>Compra a Prazo - Boletos</t>
        </is>
      </c>
      <c r="H2246" s="59" t="n">
        <v>2110405</v>
      </c>
      <c r="I2246" s="59" t="inlineStr">
        <is>
          <t>CONTAS A PAGAR</t>
        </is>
      </c>
      <c r="J2246" s="59" t="n">
        <v>1537587</v>
      </c>
      <c r="L2246" s="59" t="n">
        <v>381</v>
      </c>
      <c r="M2246" s="59" t="inlineStr">
        <is>
          <t>01</t>
        </is>
      </c>
      <c r="N2246" s="59" t="inlineStr">
        <is>
          <t>AVU</t>
        </is>
      </c>
      <c r="P2246" s="59" t="n">
        <v>103</v>
      </c>
      <c r="Q2246" s="59" t="inlineStr">
        <is>
          <t>MILKA FRANCIS</t>
        </is>
      </c>
      <c r="R2246" s="59" t="inlineStr">
        <is>
          <t>ESTOQUE DE MERCADORIAS</t>
        </is>
      </c>
      <c r="S2246" s="59" t="n">
        <v>1130101</v>
      </c>
      <c r="T2246" s="59" t="inlineStr">
        <is>
          <t>MERCADORIAS P/REVENDA</t>
        </is>
      </c>
      <c r="U2246" s="77" t="n">
        <v>300</v>
      </c>
      <c r="W2246" s="59" t="n">
        <v>0</v>
      </c>
      <c r="X2246" s="59" t="inlineStr">
        <is>
          <t>NF 381 - MILKA</t>
        </is>
      </c>
      <c r="Z2246" s="59">
        <f>IF($T2246="","",IFERROR(INDEX('Resumo Grupos'!$AC$3:$AC$200,MATCH($T2246,'Resumo Grupos'!$AB$3:$AB$200,0)),"n/d"))</f>
        <v/>
      </c>
      <c r="AA2246" s="59">
        <f>IF($T2246="","",IF(COUNTIF('Resumo Grupos'!$AE$3:$AE$40,$T2246)&gt;0,"NAO","SIM"))</f>
        <v/>
      </c>
    </row>
    <row r="2247" ht="12.75" customHeight="1" s="60">
      <c r="A2247" s="59" t="n">
        <v>1</v>
      </c>
      <c r="B2247" s="75" t="n">
        <v>46246</v>
      </c>
      <c r="C2247" s="75" t="n">
        <v>46258</v>
      </c>
      <c r="D2247" s="59" t="n">
        <v>1357</v>
      </c>
      <c r="E2247" s="59" t="inlineStr">
        <is>
          <t>DISPPAN DISTRIBUIDORA DE PRODUTOS PARA PANIFICACAO LTDA</t>
        </is>
      </c>
      <c r="F2247" s="59" t="n">
        <v>24</v>
      </c>
      <c r="G2247" s="59" t="inlineStr">
        <is>
          <t>Compra a Prazo - Boletos</t>
        </is>
      </c>
      <c r="H2247" s="59" t="n">
        <v>2110405</v>
      </c>
      <c r="I2247" s="59" t="inlineStr">
        <is>
          <t>CONTAS A PAGAR</t>
        </is>
      </c>
      <c r="J2247" s="59" t="n">
        <v>1537717</v>
      </c>
      <c r="L2247" s="59" t="n">
        <v>282949</v>
      </c>
      <c r="M2247" s="59" t="inlineStr">
        <is>
          <t>02</t>
        </is>
      </c>
      <c r="N2247" s="59" t="inlineStr">
        <is>
          <t>AVU</t>
        </is>
      </c>
      <c r="P2247" s="59" t="n">
        <v>103</v>
      </c>
      <c r="Q2247" s="59" t="inlineStr">
        <is>
          <t>MILKA FRANCIS</t>
        </is>
      </c>
      <c r="R2247" s="59" t="inlineStr">
        <is>
          <t>CUSTOS DE PRODUCAO</t>
        </is>
      </c>
      <c r="S2247" s="59" t="n">
        <v>4110102</v>
      </c>
      <c r="T2247" s="59" t="inlineStr">
        <is>
          <t>MATERIA PRIMA</t>
        </is>
      </c>
      <c r="U2247" s="77" t="n">
        <v>465.35</v>
      </c>
      <c r="W2247" s="59" t="n">
        <v>0</v>
      </c>
      <c r="X2247" s="59" t="inlineStr">
        <is>
          <t>NF 282949-2  CREME DE CONF./COCO RALADO EM FLOCOS/MARGARINA - MILKA</t>
        </is>
      </c>
      <c r="Z2247" s="59">
        <f>IF($T2247="","",IFERROR(INDEX('Resumo Grupos'!$AC$3:$AC$200,MATCH($T2247,'Resumo Grupos'!$AB$3:$AB$200,0)),"n/d"))</f>
        <v/>
      </c>
      <c r="AA2247" s="59">
        <f>IF($T2247="","",IF(COUNTIF('Resumo Grupos'!$AE$3:$AE$40,$T2247)&gt;0,"NAO","SIM"))</f>
        <v/>
      </c>
    </row>
    <row r="2248" ht="12.75" customHeight="1" s="60">
      <c r="A2248" s="59" t="n">
        <v>1</v>
      </c>
      <c r="B2248" s="75" t="n">
        <v>46248</v>
      </c>
      <c r="C2248" s="75" t="n">
        <v>46258</v>
      </c>
      <c r="D2248" s="59" t="n">
        <v>1723</v>
      </c>
      <c r="E2248" s="59" t="inlineStr">
        <is>
          <t>COMERCIO DE FRIOS MANAUS LTDA</t>
        </is>
      </c>
      <c r="F2248" s="59" t="n">
        <v>24</v>
      </c>
      <c r="G2248" s="59" t="inlineStr">
        <is>
          <t>Compra a Prazo - Boletos</t>
        </is>
      </c>
      <c r="H2248" s="59" t="n">
        <v>2110405</v>
      </c>
      <c r="I2248" s="59" t="inlineStr">
        <is>
          <t>CONTAS A PAGAR</t>
        </is>
      </c>
      <c r="J2248" s="59" t="n">
        <v>1546986</v>
      </c>
      <c r="L2248" s="59" t="n">
        <v>174869</v>
      </c>
      <c r="M2248" s="59" t="inlineStr">
        <is>
          <t>01</t>
        </is>
      </c>
      <c r="N2248" s="59" t="inlineStr">
        <is>
          <t>AVU</t>
        </is>
      </c>
      <c r="P2248" s="59" t="n">
        <v>103</v>
      </c>
      <c r="Q2248" s="59" t="inlineStr">
        <is>
          <t>MILKA FRANCIS</t>
        </is>
      </c>
      <c r="R2248" s="59" t="inlineStr">
        <is>
          <t>ESTOQUE DE MERCADORIAS</t>
        </is>
      </c>
      <c r="S2248" s="59" t="n">
        <v>1130101</v>
      </c>
      <c r="T2248" s="59" t="inlineStr">
        <is>
          <t>MERCADORIAS P/REVENDA</t>
        </is>
      </c>
      <c r="U2248" s="77" t="n">
        <v>6734.75</v>
      </c>
      <c r="W2248" s="59" t="n">
        <v>0</v>
      </c>
      <c r="X2248" s="59" t="inlineStr">
        <is>
          <t>NF NF174869  - MILKA</t>
        </is>
      </c>
      <c r="Z2248" s="59">
        <f>IF($T2248="","",IFERROR(INDEX('Resumo Grupos'!$AC$3:$AC$200,MATCH($T2248,'Resumo Grupos'!$AB$3:$AB$200,0)),"n/d"))</f>
        <v/>
      </c>
      <c r="AA2248" s="59">
        <f>IF($T2248="","",IF(COUNTIF('Resumo Grupos'!$AE$3:$AE$40,$T2248)&gt;0,"NAO","SIM"))</f>
        <v/>
      </c>
    </row>
    <row r="2249" ht="12.75" customHeight="1" s="60">
      <c r="A2249" s="59" t="n">
        <v>1</v>
      </c>
      <c r="B2249" s="75" t="n">
        <v>46249</v>
      </c>
      <c r="C2249" s="75" t="n">
        <v>46258</v>
      </c>
      <c r="D2249" s="59" t="n">
        <v>1658</v>
      </c>
      <c r="E2249" s="59" t="inlineStr">
        <is>
          <t>FORT COMERCIO DE BEBIDA LTDA</t>
        </is>
      </c>
      <c r="F2249" s="59" t="n">
        <v>24</v>
      </c>
      <c r="G2249" s="59" t="inlineStr">
        <is>
          <t>Compra a Prazo - Boletos</t>
        </is>
      </c>
      <c r="H2249" s="59" t="n">
        <v>2110405</v>
      </c>
      <c r="I2249" s="59" t="inlineStr">
        <is>
          <t>CONTAS A PAGAR</t>
        </is>
      </c>
      <c r="J2249" s="59" t="n">
        <v>1551951</v>
      </c>
      <c r="L2249" s="59" t="n">
        <v>147863</v>
      </c>
      <c r="M2249" s="59" t="inlineStr">
        <is>
          <t>01</t>
        </is>
      </c>
      <c r="N2249" s="59" t="inlineStr">
        <is>
          <t>AVU</t>
        </is>
      </c>
      <c r="P2249" s="59" t="n">
        <v>103</v>
      </c>
      <c r="Q2249" s="59" t="inlineStr">
        <is>
          <t>MILKA FRANCIS</t>
        </is>
      </c>
      <c r="R2249" s="59" t="inlineStr">
        <is>
          <t>ESTOQUE DE MERCADORIAS</t>
        </is>
      </c>
      <c r="S2249" s="59" t="n">
        <v>1130101</v>
      </c>
      <c r="T2249" s="59" t="inlineStr">
        <is>
          <t>MERCADORIAS P/REVENDA</t>
        </is>
      </c>
      <c r="U2249" s="77" t="n">
        <v>674.5</v>
      </c>
      <c r="W2249" s="59" t="n">
        <v>0</v>
      </c>
      <c r="X2249" s="59" t="inlineStr">
        <is>
          <t>NF 147863 TOYA - MILKA</t>
        </is>
      </c>
      <c r="Z2249" s="59">
        <f>IF($T2249="","",IFERROR(INDEX('Resumo Grupos'!$AC$3:$AC$200,MATCH($T2249,'Resumo Grupos'!$AB$3:$AB$200,0)),"n/d"))</f>
        <v/>
      </c>
      <c r="AA2249" s="59">
        <f>IF($T2249="","",IF(COUNTIF('Resumo Grupos'!$AE$3:$AE$40,$T2249)&gt;0,"NAO","SIM"))</f>
        <v/>
      </c>
    </row>
    <row r="2250" ht="12.75" customHeight="1" s="60">
      <c r="A2250" s="59" t="n">
        <v>1</v>
      </c>
      <c r="B2250" s="75" t="n">
        <v>46251</v>
      </c>
      <c r="C2250" s="75" t="n">
        <v>46258</v>
      </c>
      <c r="D2250" s="59" t="n">
        <v>10018</v>
      </c>
      <c r="E2250" s="59" t="inlineStr">
        <is>
          <t>ADRIANO FEITOSA OLIVEIRA LTDA</t>
        </is>
      </c>
      <c r="F2250" s="59" t="n">
        <v>34</v>
      </c>
      <c r="G2250" s="59" t="inlineStr">
        <is>
          <t>Transferencia Pix</t>
        </is>
      </c>
      <c r="H2250" s="59" t="n">
        <v>2110405</v>
      </c>
      <c r="I2250" s="59" t="inlineStr">
        <is>
          <t>CONTAS A PAGAR</t>
        </is>
      </c>
      <c r="J2250" s="59" t="n">
        <v>1561191</v>
      </c>
      <c r="L2250" s="59" t="n">
        <v>364</v>
      </c>
      <c r="M2250" s="59" t="inlineStr">
        <is>
          <t>01</t>
        </is>
      </c>
      <c r="N2250" s="59" t="inlineStr">
        <is>
          <t>AVU</t>
        </is>
      </c>
      <c r="P2250" s="59" t="n">
        <v>103</v>
      </c>
      <c r="Q2250" s="59" t="inlineStr">
        <is>
          <t>MILKA FRANCIS</t>
        </is>
      </c>
      <c r="R2250" s="59" t="inlineStr">
        <is>
          <t>ESTOQUE DE MERCADORIAS</t>
        </is>
      </c>
      <c r="S2250" s="59" t="n">
        <v>1130101</v>
      </c>
      <c r="T2250" s="59" t="inlineStr">
        <is>
          <t>MERCADORIAS P/REVENDA</t>
        </is>
      </c>
      <c r="U2250" s="77" t="n">
        <v>2178.8</v>
      </c>
      <c r="W2250" s="59" t="n">
        <v>0</v>
      </c>
      <c r="X2250" s="59" t="inlineStr">
        <is>
          <t>NF 364 PIX P/ DISTRIB. OLIVEIRA - MILKA</t>
        </is>
      </c>
      <c r="Z2250" s="59">
        <f>IF($T2250="","",IFERROR(INDEX('Resumo Grupos'!$AC$3:$AC$200,MATCH($T2250,'Resumo Grupos'!$AB$3:$AB$200,0)),"n/d"))</f>
        <v/>
      </c>
      <c r="AA2250" s="59">
        <f>IF($T2250="","",IF(COUNTIF('Resumo Grupos'!$AE$3:$AE$40,$T2250)&gt;0,"NAO","SIM"))</f>
        <v/>
      </c>
    </row>
    <row r="2251" ht="12.75" customHeight="1" s="60">
      <c r="A2251" s="59" t="n">
        <v>1</v>
      </c>
      <c r="B2251" s="75" t="n">
        <v>46252</v>
      </c>
      <c r="C2251" s="75" t="n">
        <v>46258</v>
      </c>
      <c r="D2251" s="59" t="n">
        <v>1614</v>
      </c>
      <c r="E2251" s="59" t="inlineStr">
        <is>
          <t>C. R. PARENTE ABREU</t>
        </is>
      </c>
      <c r="F2251" s="59" t="n">
        <v>24</v>
      </c>
      <c r="G2251" s="59" t="inlineStr">
        <is>
          <t>Compra a Prazo - Boletos</t>
        </is>
      </c>
      <c r="H2251" s="59" t="n">
        <v>2110405</v>
      </c>
      <c r="I2251" s="59" t="inlineStr">
        <is>
          <t>CONTAS A PAGAR</t>
        </is>
      </c>
      <c r="J2251" s="59" t="n">
        <v>1565827</v>
      </c>
      <c r="L2251" s="59" t="n">
        <v>11564</v>
      </c>
      <c r="M2251" s="59" t="inlineStr">
        <is>
          <t>02</t>
        </is>
      </c>
      <c r="N2251" s="59" t="inlineStr">
        <is>
          <t>AVU</t>
        </is>
      </c>
      <c r="P2251" s="59" t="n">
        <v>103</v>
      </c>
      <c r="Q2251" s="59" t="inlineStr">
        <is>
          <t>MILKA FRANCIS</t>
        </is>
      </c>
      <c r="R2251" s="59" t="inlineStr">
        <is>
          <t>ESTOQUE DE MERCADORIAS</t>
        </is>
      </c>
      <c r="S2251" s="59" t="n">
        <v>1130101</v>
      </c>
      <c r="T2251" s="59" t="inlineStr">
        <is>
          <t>MERCADORIAS P/REVENDA</t>
        </is>
      </c>
      <c r="U2251" s="77" t="n">
        <v>495.55</v>
      </c>
      <c r="W2251" s="59" t="n">
        <v>0</v>
      </c>
      <c r="X2251" s="59" t="inlineStr">
        <is>
          <t>NF 11564-2 KARU - MILKA</t>
        </is>
      </c>
      <c r="Z2251" s="59">
        <f>IF($T2251="","",IFERROR(INDEX('Resumo Grupos'!$AC$3:$AC$200,MATCH($T2251,'Resumo Grupos'!$AB$3:$AB$200,0)),"n/d"))</f>
        <v/>
      </c>
      <c r="AA2251" s="59">
        <f>IF($T2251="","",IF(COUNTIF('Resumo Grupos'!$AE$3:$AE$40,$T2251)&gt;0,"NAO","SIM"))</f>
        <v/>
      </c>
    </row>
    <row r="2252" ht="12.75" customHeight="1" s="60">
      <c r="A2252" s="59" t="n">
        <v>1</v>
      </c>
      <c r="B2252" s="75" t="n">
        <v>46252</v>
      </c>
      <c r="C2252" s="75" t="n">
        <v>46258</v>
      </c>
      <c r="D2252" s="59" t="n">
        <v>1625</v>
      </c>
      <c r="E2252" s="59" t="inlineStr">
        <is>
          <t>MAXFRI DISTRIUIDORA LTDA</t>
        </is>
      </c>
      <c r="F2252" s="59" t="n">
        <v>24</v>
      </c>
      <c r="G2252" s="59" t="inlineStr">
        <is>
          <t>Compra a Prazo - Boletos</t>
        </is>
      </c>
      <c r="H2252" s="59" t="n">
        <v>2110405</v>
      </c>
      <c r="I2252" s="59" t="inlineStr">
        <is>
          <t>CONTAS A PAGAR</t>
        </is>
      </c>
      <c r="J2252" s="59" t="n">
        <v>1567258</v>
      </c>
      <c r="L2252" s="59" t="n">
        <v>15071</v>
      </c>
      <c r="M2252" s="59" t="inlineStr">
        <is>
          <t>01</t>
        </is>
      </c>
      <c r="N2252" s="59" t="inlineStr">
        <is>
          <t>AVU</t>
        </is>
      </c>
      <c r="P2252" s="59" t="n">
        <v>103</v>
      </c>
      <c r="Q2252" s="59" t="inlineStr">
        <is>
          <t>MILKA FRANCIS</t>
        </is>
      </c>
      <c r="R2252" s="59" t="inlineStr">
        <is>
          <t>ESTOQUE DE MERCADORIAS</t>
        </is>
      </c>
      <c r="S2252" s="59" t="n">
        <v>1130101</v>
      </c>
      <c r="T2252" s="59" t="inlineStr">
        <is>
          <t>MERCADORIAS P/REVENDA</t>
        </is>
      </c>
      <c r="U2252" s="77" t="n">
        <v>3207</v>
      </c>
      <c r="W2252" s="59" t="n">
        <v>0</v>
      </c>
      <c r="X2252" s="59" t="inlineStr">
        <is>
          <t>NF15071 - MILKA</t>
        </is>
      </c>
      <c r="Z2252" s="59">
        <f>IF($T2252="","",IFERROR(INDEX('Resumo Grupos'!$AC$3:$AC$200,MATCH($T2252,'Resumo Grupos'!$AB$3:$AB$200,0)),"n/d"))</f>
        <v/>
      </c>
      <c r="AA2252" s="59">
        <f>IF($T2252="","",IF(COUNTIF('Resumo Grupos'!$AE$3:$AE$40,$T2252)&gt;0,"NAO","SIM"))</f>
        <v/>
      </c>
    </row>
    <row r="2253" ht="12.75" customHeight="1" s="60">
      <c r="A2253" s="59" t="n">
        <v>1</v>
      </c>
      <c r="B2253" s="75" t="n">
        <v>46252</v>
      </c>
      <c r="C2253" s="75" t="n">
        <v>46258</v>
      </c>
      <c r="D2253" s="59" t="n">
        <v>1666</v>
      </c>
      <c r="E2253" s="59" t="inlineStr">
        <is>
          <t>SOUZA CRUZ LTDA.</t>
        </is>
      </c>
      <c r="F2253" s="59" t="n">
        <v>24</v>
      </c>
      <c r="G2253" s="59" t="inlineStr">
        <is>
          <t>Compra a Prazo - Boletos</t>
        </is>
      </c>
      <c r="H2253" s="59" t="n">
        <v>2110405</v>
      </c>
      <c r="I2253" s="59" t="inlineStr">
        <is>
          <t>CONTAS A PAGAR</t>
        </is>
      </c>
      <c r="J2253" s="59" t="n">
        <v>1567634</v>
      </c>
      <c r="L2253" s="59" t="n">
        <v>570378</v>
      </c>
      <c r="M2253" s="59" t="inlineStr">
        <is>
          <t>01</t>
        </is>
      </c>
      <c r="N2253" s="59" t="inlineStr">
        <is>
          <t>AVU</t>
        </is>
      </c>
      <c r="P2253" s="59" t="n">
        <v>103</v>
      </c>
      <c r="Q2253" s="59" t="inlineStr">
        <is>
          <t>MILKA FRANCIS</t>
        </is>
      </c>
      <c r="R2253" s="59" t="inlineStr">
        <is>
          <t>ESTOQUE DE MERCADORIAS</t>
        </is>
      </c>
      <c r="S2253" s="59" t="n">
        <v>1130101</v>
      </c>
      <c r="T2253" s="59" t="inlineStr">
        <is>
          <t>MERCADORIAS P/REVENDA</t>
        </is>
      </c>
      <c r="U2253" s="77" t="n">
        <v>6804.6</v>
      </c>
      <c r="W2253" s="59" t="n">
        <v>0</v>
      </c>
      <c r="X2253" s="59" t="inlineStr">
        <is>
          <t>NF 586417 -01 MILKA</t>
        </is>
      </c>
      <c r="Z2253" s="59">
        <f>IF($T2253="","",IFERROR(INDEX('Resumo Grupos'!$AC$3:$AC$200,MATCH($T2253,'Resumo Grupos'!$AB$3:$AB$200,0)),"n/d"))</f>
        <v/>
      </c>
      <c r="AA2253" s="59">
        <f>IF($T2253="","",IF(COUNTIF('Resumo Grupos'!$AE$3:$AE$40,$T2253)&gt;0,"NAO","SIM"))</f>
        <v/>
      </c>
    </row>
    <row r="2254" ht="12.75" customHeight="1" s="60">
      <c r="A2254" s="59" t="n">
        <v>1</v>
      </c>
      <c r="B2254" s="75" t="n">
        <v>46254</v>
      </c>
      <c r="C2254" s="75" t="n">
        <v>46258</v>
      </c>
      <c r="D2254" s="59" t="n">
        <v>1899</v>
      </c>
      <c r="E2254" s="59" t="inlineStr">
        <is>
          <t>PANIFICADORA E CONFEITARIA REAL MADRI LTDA</t>
        </is>
      </c>
      <c r="F2254" s="59" t="n">
        <v>24</v>
      </c>
      <c r="G2254" s="59" t="inlineStr">
        <is>
          <t>Compra a Prazo - Boletos</t>
        </is>
      </c>
      <c r="H2254" s="59" t="n">
        <v>2110405</v>
      </c>
      <c r="I2254" s="59" t="inlineStr">
        <is>
          <t>CONTAS A PAGAR</t>
        </is>
      </c>
      <c r="J2254" s="59" t="n">
        <v>1575722</v>
      </c>
      <c r="L2254" s="59" t="n">
        <v>768</v>
      </c>
      <c r="M2254" s="59" t="inlineStr">
        <is>
          <t>01</t>
        </is>
      </c>
      <c r="N2254" s="59" t="inlineStr">
        <is>
          <t>AVU</t>
        </is>
      </c>
      <c r="P2254" s="59" t="n">
        <v>103</v>
      </c>
      <c r="Q2254" s="59" t="inlineStr">
        <is>
          <t>MILKA FRANCIS</t>
        </is>
      </c>
      <c r="R2254" s="59" t="inlineStr">
        <is>
          <t>ESTOQUE DE MERCADORIAS</t>
        </is>
      </c>
      <c r="S2254" s="59" t="n">
        <v>1130101</v>
      </c>
      <c r="T2254" s="59" t="inlineStr">
        <is>
          <t>MERCADORIAS P/REVENDA</t>
        </is>
      </c>
      <c r="U2254" s="77" t="n">
        <v>307.2</v>
      </c>
      <c r="W2254" s="59" t="n">
        <v>0</v>
      </c>
      <c r="X2254" s="59" t="inlineStr">
        <is>
          <t>NF 768 - MILKA</t>
        </is>
      </c>
      <c r="Z2254" s="59">
        <f>IF($T2254="","",IFERROR(INDEX('Resumo Grupos'!$AC$3:$AC$200,MATCH($T2254,'Resumo Grupos'!$AB$3:$AB$200,0)),"n/d"))</f>
        <v/>
      </c>
      <c r="AA2254" s="59">
        <f>IF($T2254="","",IF(COUNTIF('Resumo Grupos'!$AE$3:$AE$40,$T2254)&gt;0,"NAO","SIM"))</f>
        <v/>
      </c>
    </row>
    <row r="2255" ht="12.75" customHeight="1" s="60">
      <c r="A2255" s="59" t="n">
        <v>1</v>
      </c>
      <c r="B2255" s="75" t="n">
        <v>46254</v>
      </c>
      <c r="C2255" s="75" t="n">
        <v>46258</v>
      </c>
      <c r="D2255" s="59" t="n">
        <v>1631</v>
      </c>
      <c r="E2255" s="59" t="inlineStr">
        <is>
          <t>T. M. L. DA SILVA LTDA</t>
        </is>
      </c>
      <c r="F2255" s="59" t="n">
        <v>24</v>
      </c>
      <c r="G2255" s="59" t="inlineStr">
        <is>
          <t>Compra a Prazo - Boletos</t>
        </is>
      </c>
      <c r="H2255" s="59" t="n">
        <v>2110405</v>
      </c>
      <c r="I2255" s="59" t="inlineStr">
        <is>
          <t>CONTAS A PAGAR</t>
        </is>
      </c>
      <c r="J2255" s="59" t="n">
        <v>1575749</v>
      </c>
      <c r="L2255" s="59" t="n">
        <v>15263</v>
      </c>
      <c r="M2255" s="59" t="inlineStr">
        <is>
          <t>01</t>
        </is>
      </c>
      <c r="N2255" s="59" t="inlineStr">
        <is>
          <t>AVU</t>
        </is>
      </c>
      <c r="P2255" s="59" t="n">
        <v>103</v>
      </c>
      <c r="Q2255" s="59" t="inlineStr">
        <is>
          <t>MILKA FRANCIS</t>
        </is>
      </c>
      <c r="R2255" s="59" t="inlineStr">
        <is>
          <t>ESTOQUE DE MERCADORIAS</t>
        </is>
      </c>
      <c r="S2255" s="59" t="n">
        <v>1130101</v>
      </c>
      <c r="T2255" s="59" t="inlineStr">
        <is>
          <t>MERCADORIAS P/REVENDA</t>
        </is>
      </c>
      <c r="U2255" s="77" t="n">
        <v>688.65</v>
      </c>
      <c r="W2255" s="59" t="n">
        <v>0</v>
      </c>
      <c r="X2255" s="59" t="inlineStr">
        <is>
          <t>NF 15263 AMAZONGURT - MILKA</t>
        </is>
      </c>
      <c r="Z2255" s="59">
        <f>IF($T2255="","",IFERROR(INDEX('Resumo Grupos'!$AC$3:$AC$200,MATCH($T2255,'Resumo Grupos'!$AB$3:$AB$200,0)),"n/d"))</f>
        <v/>
      </c>
      <c r="AA2255" s="59">
        <f>IF($T2255="","",IF(COUNTIF('Resumo Grupos'!$AE$3:$AE$40,$T2255)&gt;0,"NAO","SIM"))</f>
        <v/>
      </c>
    </row>
    <row r="2256" ht="12.75" customHeight="1" s="60">
      <c r="A2256" s="59" t="n">
        <v>1</v>
      </c>
      <c r="B2256" s="75" t="n">
        <v>46254</v>
      </c>
      <c r="C2256" s="75" t="n">
        <v>46258</v>
      </c>
      <c r="D2256" s="59" t="n">
        <v>1650</v>
      </c>
      <c r="E2256" s="59" t="inlineStr">
        <is>
          <t>FRUTAL INDUSTRIA E COMERCIO LTDA</t>
        </is>
      </c>
      <c r="F2256" s="59" t="n">
        <v>24</v>
      </c>
      <c r="G2256" s="59" t="inlineStr">
        <is>
          <t>Compra a Prazo - Boletos</t>
        </is>
      </c>
      <c r="H2256" s="59" t="n">
        <v>2110405</v>
      </c>
      <c r="I2256" s="59" t="inlineStr">
        <is>
          <t>CONTAS A PAGAR</t>
        </is>
      </c>
      <c r="J2256" s="59" t="n">
        <v>1575764</v>
      </c>
      <c r="L2256" s="59" t="n">
        <v>228913</v>
      </c>
      <c r="M2256" s="59" t="inlineStr">
        <is>
          <t>01</t>
        </is>
      </c>
      <c r="N2256" s="59" t="inlineStr">
        <is>
          <t>AVU</t>
        </is>
      </c>
      <c r="P2256" s="59" t="n">
        <v>103</v>
      </c>
      <c r="Q2256" s="59" t="inlineStr">
        <is>
          <t>MILKA FRANCIS</t>
        </is>
      </c>
      <c r="R2256" s="59" t="inlineStr">
        <is>
          <t>ESTOQUE DE MERCADORIAS</t>
        </is>
      </c>
      <c r="S2256" s="59" t="n">
        <v>1130101</v>
      </c>
      <c r="T2256" s="59" t="inlineStr">
        <is>
          <t>MERCADORIAS P/REVENDA</t>
        </is>
      </c>
      <c r="U2256" s="77" t="n">
        <v>614.84</v>
      </c>
      <c r="W2256" s="59" t="n">
        <v>0</v>
      </c>
      <c r="X2256" s="59" t="inlineStr">
        <is>
          <t>NF 228913 - MILKA</t>
        </is>
      </c>
      <c r="Z2256" s="59">
        <f>IF($T2256="","",IFERROR(INDEX('Resumo Grupos'!$AC$3:$AC$200,MATCH($T2256,'Resumo Grupos'!$AB$3:$AB$200,0)),"n/d"))</f>
        <v/>
      </c>
      <c r="AA2256" s="59">
        <f>IF($T2256="","",IF(COUNTIF('Resumo Grupos'!$AE$3:$AE$40,$T2256)&gt;0,"NAO","SIM"))</f>
        <v/>
      </c>
    </row>
    <row r="2257" ht="12.75" customHeight="1" s="60">
      <c r="A2257" s="59" t="n">
        <v>1</v>
      </c>
      <c r="B2257" s="75" t="n">
        <v>46255</v>
      </c>
      <c r="C2257" s="75" t="n">
        <v>46258</v>
      </c>
      <c r="D2257" s="59" t="n">
        <v>33</v>
      </c>
      <c r="E2257" s="59" t="inlineStr">
        <is>
          <t>RENATO DE O AZEVEDO E CIA LTDA - EPP</t>
        </is>
      </c>
      <c r="F2257" s="59" t="n">
        <v>34</v>
      </c>
      <c r="G2257" s="59" t="inlineStr">
        <is>
          <t>Transferencia Pix</t>
        </is>
      </c>
      <c r="H2257" s="59" t="n">
        <v>2110101</v>
      </c>
      <c r="I2257" s="59" t="inlineStr">
        <is>
          <t>FORNECEDORES DE MERCADORIA</t>
        </is>
      </c>
      <c r="J2257" s="59" t="n">
        <v>1582464</v>
      </c>
      <c r="L2257" s="59" t="n">
        <v>5543</v>
      </c>
      <c r="M2257" s="59" t="inlineStr">
        <is>
          <t>01</t>
        </is>
      </c>
      <c r="N2257" s="59" t="inlineStr">
        <is>
          <t>NFE</t>
        </is>
      </c>
      <c r="P2257" s="59" t="n">
        <v>104</v>
      </c>
      <c r="Q2257" s="59" t="inlineStr">
        <is>
          <t>DEBORA COSTA</t>
        </is>
      </c>
      <c r="R2257" s="59" t="inlineStr">
        <is>
          <t>ESTOQUE DE MERCADORIAS</t>
        </is>
      </c>
      <c r="S2257" s="59" t="n">
        <v>1130101</v>
      </c>
      <c r="T2257" s="59" t="inlineStr">
        <is>
          <t>MERCADORIAS P/REVENDA</t>
        </is>
      </c>
      <c r="U2257" s="77" t="n">
        <v>2695</v>
      </c>
      <c r="W2257" s="59" t="n">
        <v>0</v>
      </c>
      <c r="X2257" s="59" t="inlineStr">
        <is>
          <t>FEIRA SR RENATO - PGTO C6 BANK RENATO - DEBORA</t>
        </is>
      </c>
      <c r="Z2257" s="59">
        <f>IF($T2257="","",IFERROR(INDEX('Resumo Grupos'!$AC$3:$AC$200,MATCH($T2257,'Resumo Grupos'!$AB$3:$AB$200,0)),"n/d"))</f>
        <v/>
      </c>
      <c r="AA2257" s="59">
        <f>IF($T2257="","",IF(COUNTIF('Resumo Grupos'!$AE$3:$AE$40,$T2257)&gt;0,"NAO","SIM"))</f>
        <v/>
      </c>
    </row>
    <row r="2258" ht="12.75" customHeight="1" s="60">
      <c r="A2258" s="59" t="n">
        <v>1</v>
      </c>
      <c r="B2258" s="75" t="n">
        <v>46256</v>
      </c>
      <c r="C2258" s="75" t="n">
        <v>46258</v>
      </c>
      <c r="D2258" s="59" t="n">
        <v>1899</v>
      </c>
      <c r="E2258" s="59" t="inlineStr">
        <is>
          <t>PANIFICADORA E CONFEITARIA REAL MADRI LTDA</t>
        </is>
      </c>
      <c r="F2258" s="59" t="n">
        <v>24</v>
      </c>
      <c r="G2258" s="59" t="inlineStr">
        <is>
          <t>Compra a Prazo - Boletos</t>
        </is>
      </c>
      <c r="H2258" s="59" t="n">
        <v>2110405</v>
      </c>
      <c r="I2258" s="59" t="inlineStr">
        <is>
          <t>CONTAS A PAGAR</t>
        </is>
      </c>
      <c r="J2258" s="59" t="n">
        <v>1585619</v>
      </c>
      <c r="L2258" s="59" t="n">
        <v>770</v>
      </c>
      <c r="M2258" s="59" t="inlineStr">
        <is>
          <t>01</t>
        </is>
      </c>
      <c r="N2258" s="59" t="inlineStr">
        <is>
          <t>AVU</t>
        </is>
      </c>
      <c r="P2258" s="59" t="n">
        <v>103</v>
      </c>
      <c r="Q2258" s="59" t="inlineStr">
        <is>
          <t>MILKA FRANCIS</t>
        </is>
      </c>
      <c r="R2258" s="59" t="inlineStr">
        <is>
          <t>ESTOQUE DE MERCADORIAS</t>
        </is>
      </c>
      <c r="S2258" s="59" t="n">
        <v>1130101</v>
      </c>
      <c r="T2258" s="59" t="inlineStr">
        <is>
          <t>MERCADORIAS P/REVENDA</t>
        </is>
      </c>
      <c r="U2258" s="77" t="n">
        <v>840</v>
      </c>
      <c r="W2258" s="59" t="n">
        <v>0</v>
      </c>
      <c r="X2258" s="59" t="inlineStr">
        <is>
          <t>NF 770 - MILKA</t>
        </is>
      </c>
      <c r="Z2258" s="59">
        <f>IF($T2258="","",IFERROR(INDEX('Resumo Grupos'!$AC$3:$AC$200,MATCH($T2258,'Resumo Grupos'!$AB$3:$AB$200,0)),"n/d"))</f>
        <v/>
      </c>
      <c r="AA2258" s="59">
        <f>IF($T2258="","",IF(COUNTIF('Resumo Grupos'!$AE$3:$AE$40,$T2258)&gt;0,"NAO","SIM"))</f>
        <v/>
      </c>
    </row>
    <row r="2259" ht="12.75" customHeight="1" s="60">
      <c r="A2259" s="59" t="n">
        <v>1</v>
      </c>
      <c r="B2259" s="75" t="n">
        <v>46038</v>
      </c>
      <c r="C2259" s="75" t="n">
        <v>46259</v>
      </c>
      <c r="D2259" s="59" t="n">
        <v>10039</v>
      </c>
      <c r="E2259" s="59" t="inlineStr">
        <is>
          <t>L S C DA SILVA PRADO LTDA</t>
        </is>
      </c>
      <c r="F2259" s="59" t="n">
        <v>36</v>
      </c>
      <c r="G2259" s="59" t="inlineStr">
        <is>
          <t>Cartao BB 1 Novo Visa 0499 Venc 25</t>
        </is>
      </c>
      <c r="H2259" s="59" t="n">
        <v>2110102</v>
      </c>
      <c r="I2259" s="59" t="inlineStr">
        <is>
          <t>OUTROS FORNECEDORES</t>
        </is>
      </c>
      <c r="J2259" s="59" t="n">
        <v>532309</v>
      </c>
      <c r="L2259" s="59" t="n">
        <v>2543</v>
      </c>
      <c r="M2259" s="59" t="inlineStr">
        <is>
          <t>08</t>
        </is>
      </c>
      <c r="N2259" s="59" t="inlineStr">
        <is>
          <t>NFE</t>
        </is>
      </c>
      <c r="P2259" s="59" t="n">
        <v>101</v>
      </c>
      <c r="Q2259" s="59" t="inlineStr">
        <is>
          <t>KEILA LIMA</t>
        </is>
      </c>
      <c r="R2259" s="59" t="inlineStr">
        <is>
          <t>DESPESAS OPERACIONAIS</t>
        </is>
      </c>
      <c r="S2259" s="59" t="n">
        <v>4210204</v>
      </c>
      <c r="T2259" s="59" t="inlineStr">
        <is>
          <t>MATERIAL DE CONSUMO</t>
        </is>
      </c>
      <c r="U2259" s="77" t="n">
        <v>285.77</v>
      </c>
      <c r="W2259" s="59" t="n">
        <v>0</v>
      </c>
      <c r="X2259" s="59" t="inlineStr">
        <is>
          <t>NF 2543 PARC 08/12 -  KEILA CAIXA DE SOM</t>
        </is>
      </c>
      <c r="Z2259" s="59">
        <f>IF($T2259="","",IFERROR(INDEX('Resumo Grupos'!$AC$3:$AC$200,MATCH($T2259,'Resumo Grupos'!$AB$3:$AB$200,0)),"n/d"))</f>
        <v/>
      </c>
      <c r="AA2259" s="59">
        <f>IF($T2259="","",IF(COUNTIF('Resumo Grupos'!$AE$3:$AE$40,$T2259)&gt;0,"NAO","SIM"))</f>
        <v/>
      </c>
    </row>
    <row r="2260" ht="12.75" customHeight="1" s="60">
      <c r="A2260" s="59" t="n">
        <v>1</v>
      </c>
      <c r="B2260" s="75" t="n">
        <v>46085</v>
      </c>
      <c r="C2260" s="75" t="n">
        <v>46259</v>
      </c>
      <c r="D2260" s="59" t="n">
        <v>500</v>
      </c>
      <c r="E2260" s="59" t="inlineStr">
        <is>
          <t>REFRIAL DISTRIBUIDORA COMERCIAL DE MAQUI</t>
        </is>
      </c>
      <c r="F2260" s="59" t="n">
        <v>36</v>
      </c>
      <c r="G2260" s="59" t="inlineStr">
        <is>
          <t>Cartao BB 1 Novo Visa 0499 Venc 25</t>
        </is>
      </c>
      <c r="H2260" s="59" t="n">
        <v>2110101</v>
      </c>
      <c r="I2260" s="59" t="inlineStr">
        <is>
          <t>FORNECEDORES DE MERCADORIA</t>
        </is>
      </c>
      <c r="J2260" s="59" t="n">
        <v>808801</v>
      </c>
      <c r="L2260" s="59" t="n">
        <v>349045</v>
      </c>
      <c r="M2260" s="59" t="inlineStr">
        <is>
          <t>06</t>
        </is>
      </c>
      <c r="N2260" s="59" t="inlineStr">
        <is>
          <t>AVU</t>
        </is>
      </c>
      <c r="P2260" s="59" t="n">
        <v>103</v>
      </c>
      <c r="Q2260" s="59" t="inlineStr">
        <is>
          <t>MILKA FRANCIS</t>
        </is>
      </c>
      <c r="R2260" s="59" t="inlineStr">
        <is>
          <t>CONTAS A PAGAR</t>
        </is>
      </c>
      <c r="S2260" s="59" t="n">
        <v>2110405</v>
      </c>
      <c r="T2260" s="59" t="inlineStr">
        <is>
          <t>CONTAS A PAGAR</t>
        </is>
      </c>
      <c r="U2260" s="77" t="n">
        <v>399.1</v>
      </c>
      <c r="W2260" s="59" t="n">
        <v>0</v>
      </c>
      <c r="X2260" s="59" t="inlineStr">
        <is>
          <t>DESPESA LOJA /NF 154967 / 6PARC - MILKA</t>
        </is>
      </c>
      <c r="Z2260" s="59">
        <f>IF($T2260="","",IFERROR(INDEX('Resumo Grupos'!$AC$3:$AC$200,MATCH($T2260,'Resumo Grupos'!$AB$3:$AB$200,0)),"n/d"))</f>
        <v/>
      </c>
      <c r="AA2260" s="59">
        <f>IF($T2260="","",IF(COUNTIF('Resumo Grupos'!$AE$3:$AE$40,$T2260)&gt;0,"NAO","SIM"))</f>
        <v/>
      </c>
    </row>
    <row r="2261" ht="12.75" customHeight="1" s="60">
      <c r="A2261" s="59" t="n">
        <v>1</v>
      </c>
      <c r="B2261" s="75" t="n">
        <v>46248</v>
      </c>
      <c r="C2261" s="75" t="n">
        <v>46259</v>
      </c>
      <c r="D2261" s="59" t="n">
        <v>10098</v>
      </c>
      <c r="E2261" s="59" t="inlineStr">
        <is>
          <t>A M A DE LIMA INDUSTRIA E COMERCIO DE PRODUTOS ALIMENTICIOS LTDA</t>
        </is>
      </c>
      <c r="F2261" s="59" t="n">
        <v>36</v>
      </c>
      <c r="G2261" s="59" t="inlineStr">
        <is>
          <t>Cartao BB 1 Novo Visa 0499 Venc 25</t>
        </is>
      </c>
      <c r="H2261" s="59" t="n">
        <v>2110405</v>
      </c>
      <c r="I2261" s="59" t="inlineStr">
        <is>
          <t>CONTAS A PAGAR</t>
        </is>
      </c>
      <c r="J2261" s="59" t="n">
        <v>1545256</v>
      </c>
      <c r="L2261" s="59" t="n">
        <v>1203</v>
      </c>
      <c r="M2261" s="59" t="inlineStr">
        <is>
          <t>01</t>
        </is>
      </c>
      <c r="N2261" s="59" t="inlineStr">
        <is>
          <t>AVU</t>
        </is>
      </c>
      <c r="P2261" s="59" t="n">
        <v>103</v>
      </c>
      <c r="Q2261" s="59" t="inlineStr">
        <is>
          <t>MILKA FRANCIS</t>
        </is>
      </c>
      <c r="R2261" s="59" t="inlineStr">
        <is>
          <t>ESTOQUE DE MERCADORIAS</t>
        </is>
      </c>
      <c r="S2261" s="59" t="n">
        <v>1130101</v>
      </c>
      <c r="T2261" s="59" t="inlineStr">
        <is>
          <t>MERCADORIAS P/REVENDA</t>
        </is>
      </c>
      <c r="U2261" s="77" t="n">
        <v>144.25</v>
      </c>
      <c r="W2261" s="59" t="n">
        <v>0</v>
      </c>
      <c r="X2261" s="59" t="inlineStr">
        <is>
          <t>NF 1203 REAL PAES - MILKA</t>
        </is>
      </c>
      <c r="Z2261" s="59">
        <f>IF($T2261="","",IFERROR(INDEX('Resumo Grupos'!$AC$3:$AC$200,MATCH($T2261,'Resumo Grupos'!$AB$3:$AB$200,0)),"n/d"))</f>
        <v/>
      </c>
      <c r="AA2261" s="59">
        <f>IF($T2261="","",IF(COUNTIF('Resumo Grupos'!$AE$3:$AE$40,$T2261)&gt;0,"NAO","SIM"))</f>
        <v/>
      </c>
    </row>
    <row r="2262" ht="12.75" customHeight="1" s="60">
      <c r="A2262" s="59" t="n">
        <v>1</v>
      </c>
      <c r="B2262" s="75" t="n">
        <v>46098</v>
      </c>
      <c r="C2262" s="75" t="n">
        <v>46259</v>
      </c>
      <c r="D2262" s="59" t="n">
        <v>468</v>
      </c>
      <c r="E2262" s="59" t="inlineStr">
        <is>
          <t>M.R.G COMERCIO DE MAQUINAS EIRELI.</t>
        </is>
      </c>
      <c r="F2262" s="59" t="n">
        <v>36</v>
      </c>
      <c r="G2262" s="59" t="inlineStr">
        <is>
          <t>Cartao BB 1 Novo Visa 0499 Venc 25</t>
        </is>
      </c>
      <c r="H2262" s="59" t="n">
        <v>2110101</v>
      </c>
      <c r="I2262" s="59" t="inlineStr">
        <is>
          <t>FORNECEDORES DE MERCADORIA</t>
        </is>
      </c>
      <c r="J2262" s="59" t="n">
        <v>826843</v>
      </c>
      <c r="L2262" s="59" t="n">
        <v>355659</v>
      </c>
      <c r="M2262" s="59" t="inlineStr">
        <is>
          <t>05</t>
        </is>
      </c>
      <c r="N2262" s="59" t="inlineStr">
        <is>
          <t>AVU</t>
        </is>
      </c>
      <c r="P2262" s="59" t="n">
        <v>103</v>
      </c>
      <c r="Q2262" s="59" t="inlineStr">
        <is>
          <t>MILKA FRANCIS</t>
        </is>
      </c>
      <c r="R2262" s="59" t="inlineStr">
        <is>
          <t>ESTOQUE DE MERCADORIAS</t>
        </is>
      </c>
      <c r="S2262" s="59" t="n">
        <v>1130101</v>
      </c>
      <c r="T2262" s="59" t="inlineStr">
        <is>
          <t>MERCADORIAS P/REVENDA</t>
        </is>
      </c>
      <c r="U2262" s="77" t="n">
        <v>233.33</v>
      </c>
      <c r="W2262" s="59" t="n">
        <v>0</v>
      </c>
      <c r="X2262" s="59" t="inlineStr">
        <is>
          <t>NF 14298 / 5PARC / REFORMA PADARIA - MILKA</t>
        </is>
      </c>
      <c r="Z2262" s="59">
        <f>IF($T2262="","",IFERROR(INDEX('Resumo Grupos'!$AC$3:$AC$200,MATCH($T2262,'Resumo Grupos'!$AB$3:$AB$200,0)),"n/d"))</f>
        <v/>
      </c>
      <c r="AA2262" s="59">
        <f>IF($T2262="","",IF(COUNTIF('Resumo Grupos'!$AE$3:$AE$40,$T2262)&gt;0,"NAO","SIM"))</f>
        <v/>
      </c>
    </row>
    <row r="2263" ht="12.75" customHeight="1" s="60">
      <c r="A2263" s="59" t="n">
        <v>1</v>
      </c>
      <c r="B2263" s="75" t="n">
        <v>46120</v>
      </c>
      <c r="C2263" s="75" t="n">
        <v>46259</v>
      </c>
      <c r="D2263" s="59" t="n">
        <v>500</v>
      </c>
      <c r="E2263" s="59" t="inlineStr">
        <is>
          <t>REFRIAL DISTRIBUIDORA COMERCIAL DE MAQUI</t>
        </is>
      </c>
      <c r="F2263" s="59" t="n">
        <v>36</v>
      </c>
      <c r="G2263" s="59" t="inlineStr">
        <is>
          <t>Cartao BB 1 Novo Visa 0499 Venc 25</t>
        </is>
      </c>
      <c r="H2263" s="59" t="n">
        <v>2110405</v>
      </c>
      <c r="I2263" s="59" t="inlineStr">
        <is>
          <t>CONTAS A PAGAR</t>
        </is>
      </c>
      <c r="J2263" s="59" t="n">
        <v>920498</v>
      </c>
      <c r="L2263" s="59" t="n">
        <v>391987</v>
      </c>
      <c r="M2263" s="59" t="inlineStr">
        <is>
          <t>05</t>
        </is>
      </c>
      <c r="N2263" s="59" t="inlineStr">
        <is>
          <t>AVU</t>
        </is>
      </c>
      <c r="P2263" s="59" t="n">
        <v>103</v>
      </c>
      <c r="Q2263" s="59" t="inlineStr">
        <is>
          <t>MILKA FRANCIS</t>
        </is>
      </c>
      <c r="R2263" s="59" t="inlineStr">
        <is>
          <t>BENS TANGIVEIS</t>
        </is>
      </c>
      <c r="S2263" s="59" t="n">
        <v>1240103</v>
      </c>
      <c r="T2263" s="59" t="inlineStr">
        <is>
          <t>MAQUINAS E EQUIPAMENTOS</t>
        </is>
      </c>
      <c r="U2263" s="77" t="n">
        <v>4934.34</v>
      </c>
      <c r="W2263" s="59" t="n">
        <v>0</v>
      </c>
      <c r="X2263" s="59" t="inlineStr">
        <is>
          <t>NF 156023 PARC 05/10 - MILKA</t>
        </is>
      </c>
      <c r="Z2263" s="59">
        <f>IF($T2263="","",IFERROR(INDEX('Resumo Grupos'!$AC$3:$AC$200,MATCH($T2263,'Resumo Grupos'!$AB$3:$AB$200,0)),"n/d"))</f>
        <v/>
      </c>
      <c r="AA2263" s="59">
        <f>IF($T2263="","",IF(COUNTIF('Resumo Grupos'!$AE$3:$AE$40,$T2263)&gt;0,"NAO","SIM"))</f>
        <v/>
      </c>
    </row>
    <row r="2264" ht="12.75" customHeight="1" s="60">
      <c r="A2264" s="59" t="n">
        <v>1</v>
      </c>
      <c r="B2264" s="75" t="n">
        <v>46094</v>
      </c>
      <c r="C2264" s="75" t="n">
        <v>46259</v>
      </c>
      <c r="D2264" s="59" t="n">
        <v>468</v>
      </c>
      <c r="E2264" s="59" t="inlineStr">
        <is>
          <t>M.R.G COMERCIO DE MAQUINAS EIRELI.</t>
        </is>
      </c>
      <c r="F2264" s="59" t="n">
        <v>36</v>
      </c>
      <c r="G2264" s="59" t="inlineStr">
        <is>
          <t>Cartao BB 1 Novo Visa 0499 Venc 25</t>
        </is>
      </c>
      <c r="H2264" s="59" t="n">
        <v>2110405</v>
      </c>
      <c r="I2264" s="59" t="inlineStr">
        <is>
          <t>CONTAS A PAGAR</t>
        </is>
      </c>
      <c r="J2264" s="59" t="n">
        <v>1024118</v>
      </c>
      <c r="L2264" s="59" t="n">
        <v>14289</v>
      </c>
      <c r="M2264" s="59" t="inlineStr">
        <is>
          <t>05</t>
        </is>
      </c>
      <c r="N2264" s="59" t="inlineStr">
        <is>
          <t>AVU</t>
        </is>
      </c>
      <c r="P2264" s="59" t="n">
        <v>101</v>
      </c>
      <c r="Q2264" s="59" t="inlineStr">
        <is>
          <t>KEILA LIMA</t>
        </is>
      </c>
      <c r="R2264" s="59" t="inlineStr">
        <is>
          <t>BENS TANGIVEIS</t>
        </is>
      </c>
      <c r="S2264" s="59" t="n">
        <v>1240103</v>
      </c>
      <c r="T2264" s="59" t="inlineStr">
        <is>
          <t>MAQUINAS E EQUIPAMENTOS</t>
        </is>
      </c>
      <c r="U2264" s="77" t="n">
        <v>1197</v>
      </c>
      <c r="W2264" s="59" t="n">
        <v>0</v>
      </c>
      <c r="X2264" s="59" t="inlineStr">
        <is>
          <t>NF 14289</t>
        </is>
      </c>
      <c r="Z2264" s="59">
        <f>IF($T2264="","",IFERROR(INDEX('Resumo Grupos'!$AC$3:$AC$200,MATCH($T2264,'Resumo Grupos'!$AB$3:$AB$200,0)),"n/d"))</f>
        <v/>
      </c>
      <c r="AA2264" s="59">
        <f>IF($T2264="","",IF(COUNTIF('Resumo Grupos'!$AE$3:$AE$40,$T2264)&gt;0,"NAO","SIM"))</f>
        <v/>
      </c>
    </row>
    <row r="2265" ht="12.75" customHeight="1" s="60">
      <c r="A2265" s="59" t="n">
        <v>1</v>
      </c>
      <c r="B2265" s="75" t="n">
        <v>46198</v>
      </c>
      <c r="C2265" s="75" t="n">
        <v>46259</v>
      </c>
      <c r="D2265" s="59" t="n">
        <v>875</v>
      </c>
      <c r="E2265" s="59" t="inlineStr">
        <is>
          <t>A. CORREA JUNIOR</t>
        </is>
      </c>
      <c r="F2265" s="59" t="n">
        <v>36</v>
      </c>
      <c r="G2265" s="59" t="inlineStr">
        <is>
          <t>Cartao BB 1 Novo Visa 0499 Venc 25</t>
        </is>
      </c>
      <c r="H2265" s="59" t="n">
        <v>2110101</v>
      </c>
      <c r="I2265" s="59" t="inlineStr">
        <is>
          <t>FORNECEDORES DE MERCADORIA</t>
        </is>
      </c>
      <c r="J2265" s="59" t="n">
        <v>1305944</v>
      </c>
      <c r="L2265" s="59" t="n">
        <v>540382</v>
      </c>
      <c r="M2265" s="59" t="inlineStr">
        <is>
          <t>03</t>
        </is>
      </c>
      <c r="N2265" s="59" t="inlineStr">
        <is>
          <t>AVU</t>
        </is>
      </c>
      <c r="P2265" s="59" t="n">
        <v>102</v>
      </c>
      <c r="Q2265" s="59" t="inlineStr">
        <is>
          <t>ANDREZA ANDRADE</t>
        </is>
      </c>
      <c r="R2265" s="59" t="inlineStr">
        <is>
          <t>ESTOQUE DE MERCADORIAS</t>
        </is>
      </c>
      <c r="S2265" s="59" t="n">
        <v>1130101</v>
      </c>
      <c r="T2265" s="59" t="inlineStr">
        <is>
          <t>MERCADORIAS P/REVENDA</t>
        </is>
      </c>
      <c r="U2265" s="77" t="n">
        <v>2564.18</v>
      </c>
      <c r="W2265" s="59" t="n">
        <v>0</v>
      </c>
      <c r="X2265" s="59" t="inlineStr">
        <is>
          <t>MP JRACESSORIOS 01/3-ANDREZA</t>
        </is>
      </c>
      <c r="Z2265" s="59">
        <f>IF($T2265="","",IFERROR(INDEX('Resumo Grupos'!$AC$3:$AC$200,MATCH($T2265,'Resumo Grupos'!$AB$3:$AB$200,0)),"n/d"))</f>
        <v/>
      </c>
      <c r="AA2265" s="59">
        <f>IF($T2265="","",IF(COUNTIF('Resumo Grupos'!$AE$3:$AE$40,$T2265)&gt;0,"NAO","SIM"))</f>
        <v/>
      </c>
    </row>
    <row r="2266" ht="12.75" customHeight="1" s="60">
      <c r="A2266" s="59" t="n">
        <v>1</v>
      </c>
      <c r="B2266" s="75" t="n">
        <v>46216</v>
      </c>
      <c r="C2266" s="75" t="n">
        <v>46259</v>
      </c>
      <c r="D2266" s="59" t="n">
        <v>1624</v>
      </c>
      <c r="E2266" s="59" t="inlineStr">
        <is>
          <t>RISADINHA LTDA</t>
        </is>
      </c>
      <c r="F2266" s="59" t="n">
        <v>24</v>
      </c>
      <c r="G2266" s="59" t="inlineStr">
        <is>
          <t>Compra a Prazo - Boletos</t>
        </is>
      </c>
      <c r="H2266" s="59" t="n">
        <v>2110405</v>
      </c>
      <c r="I2266" s="59" t="inlineStr">
        <is>
          <t>CONTAS A PAGAR</t>
        </is>
      </c>
      <c r="J2266" s="59" t="n">
        <v>1393007</v>
      </c>
      <c r="L2266" s="59" t="n">
        <v>662479</v>
      </c>
      <c r="M2266" s="59" t="inlineStr">
        <is>
          <t>04</t>
        </is>
      </c>
      <c r="N2266" s="59" t="inlineStr">
        <is>
          <t>AVU</t>
        </is>
      </c>
      <c r="P2266" s="59" t="n">
        <v>103</v>
      </c>
      <c r="Q2266" s="59" t="inlineStr">
        <is>
          <t>MILKA FRANCIS</t>
        </is>
      </c>
      <c r="R2266" s="59" t="inlineStr">
        <is>
          <t>ESTOQUE DE MERCADORIAS</t>
        </is>
      </c>
      <c r="S2266" s="59" t="n">
        <v>1130101</v>
      </c>
      <c r="T2266" s="59" t="inlineStr">
        <is>
          <t>MERCADORIAS P/REVENDA</t>
        </is>
      </c>
      <c r="U2266" s="77" t="n">
        <v>823.62</v>
      </c>
      <c r="W2266" s="59" t="n">
        <v>0</v>
      </c>
      <c r="X2266" s="59" t="inlineStr">
        <is>
          <t>NF 662479-04 MILKA</t>
        </is>
      </c>
      <c r="Z2266" s="59">
        <f>IF($T2266="","",IFERROR(INDEX('Resumo Grupos'!$AC$3:$AC$200,MATCH($T2266,'Resumo Grupos'!$AB$3:$AB$200,0)),"n/d"))</f>
        <v/>
      </c>
      <c r="AA2266" s="59">
        <f>IF($T2266="","",IF(COUNTIF('Resumo Grupos'!$AE$3:$AE$40,$T2266)&gt;0,"NAO","SIM"))</f>
        <v/>
      </c>
    </row>
    <row r="2267" ht="12.75" customHeight="1" s="60">
      <c r="A2267" s="59" t="n">
        <v>1</v>
      </c>
      <c r="B2267" s="75" t="n">
        <v>46218</v>
      </c>
      <c r="C2267" s="75" t="n">
        <v>46259</v>
      </c>
      <c r="D2267" s="59" t="n">
        <v>957</v>
      </c>
      <c r="E2267" s="59" t="inlineStr">
        <is>
          <t>FUNNY PET DISTRIBUIDORA DE ALIMENTOS PAR</t>
        </is>
      </c>
      <c r="F2267" s="59" t="n">
        <v>24</v>
      </c>
      <c r="G2267" s="59" t="inlineStr">
        <is>
          <t>Compra a Prazo - Boletos</t>
        </is>
      </c>
      <c r="H2267" s="59" t="n">
        <v>2110405</v>
      </c>
      <c r="I2267" s="59" t="inlineStr">
        <is>
          <t>CONTAS A PAGAR</t>
        </is>
      </c>
      <c r="J2267" s="59" t="n">
        <v>1402047</v>
      </c>
      <c r="L2267" s="59" t="n">
        <v>21047</v>
      </c>
      <c r="M2267" s="59" t="inlineStr">
        <is>
          <t>02</t>
        </is>
      </c>
      <c r="N2267" s="59" t="inlineStr">
        <is>
          <t>AVU</t>
        </is>
      </c>
      <c r="P2267" s="59" t="n">
        <v>103</v>
      </c>
      <c r="Q2267" s="59" t="inlineStr">
        <is>
          <t>MILKA FRANCIS</t>
        </is>
      </c>
      <c r="R2267" s="59" t="inlineStr">
        <is>
          <t>ESTOQUE DE MERCADORIAS</t>
        </is>
      </c>
      <c r="S2267" s="59" t="n">
        <v>1130101</v>
      </c>
      <c r="T2267" s="59" t="inlineStr">
        <is>
          <t>MERCADORIAS P/REVENDA</t>
        </is>
      </c>
      <c r="U2267" s="77" t="n">
        <v>2186.19</v>
      </c>
      <c r="W2267" s="59" t="n">
        <v>0</v>
      </c>
      <c r="X2267" s="59" t="inlineStr">
        <is>
          <t>NF 21047-2 MILKA</t>
        </is>
      </c>
      <c r="Z2267" s="59">
        <f>IF($T2267="","",IFERROR(INDEX('Resumo Grupos'!$AC$3:$AC$200,MATCH($T2267,'Resumo Grupos'!$AB$3:$AB$200,0)),"n/d"))</f>
        <v/>
      </c>
      <c r="AA2267" s="59">
        <f>IF($T2267="","",IF(COUNTIF('Resumo Grupos'!$AE$3:$AE$40,$T2267)&gt;0,"NAO","SIM"))</f>
        <v/>
      </c>
    </row>
    <row r="2268" ht="12.75" customHeight="1" s="60">
      <c r="A2268" s="59" t="n">
        <v>1</v>
      </c>
      <c r="B2268" s="75" t="n">
        <v>46218</v>
      </c>
      <c r="C2268" s="75" t="n">
        <v>46259</v>
      </c>
      <c r="D2268" s="59" t="n">
        <v>957</v>
      </c>
      <c r="E2268" s="59" t="inlineStr">
        <is>
          <t>FUNNY PET DISTRIBUIDORA DE ALIMENTOS PAR</t>
        </is>
      </c>
      <c r="F2268" s="59" t="n">
        <v>24</v>
      </c>
      <c r="G2268" s="59" t="inlineStr">
        <is>
          <t>Compra a Prazo - Boletos</t>
        </is>
      </c>
      <c r="H2268" s="59" t="n">
        <v>2110405</v>
      </c>
      <c r="I2268" s="59" t="inlineStr">
        <is>
          <t>CONTAS A PAGAR</t>
        </is>
      </c>
      <c r="J2268" s="59" t="n">
        <v>1402587</v>
      </c>
      <c r="L2268" s="59" t="n">
        <v>21048</v>
      </c>
      <c r="M2268" s="59" t="inlineStr">
        <is>
          <t>03</t>
        </is>
      </c>
      <c r="N2268" s="59" t="inlineStr">
        <is>
          <t>AVU</t>
        </is>
      </c>
      <c r="P2268" s="59" t="n">
        <v>103</v>
      </c>
      <c r="Q2268" s="59" t="inlineStr">
        <is>
          <t>MILKA FRANCIS</t>
        </is>
      </c>
      <c r="R2268" s="59" t="inlineStr">
        <is>
          <t>ESTOQUE DE MERCADORIAS</t>
        </is>
      </c>
      <c r="S2268" s="59" t="n">
        <v>1130101</v>
      </c>
      <c r="T2268" s="59" t="inlineStr">
        <is>
          <t>MERCADORIAS P/REVENDA</t>
        </is>
      </c>
      <c r="U2268" s="77" t="n">
        <v>1475.42</v>
      </c>
      <c r="W2268" s="59" t="n">
        <v>0</v>
      </c>
      <c r="X2268" s="59" t="inlineStr">
        <is>
          <t>NF 21048-3 MILKA</t>
        </is>
      </c>
      <c r="Z2268" s="59">
        <f>IF($T2268="","",IFERROR(INDEX('Resumo Grupos'!$AC$3:$AC$200,MATCH($T2268,'Resumo Grupos'!$AB$3:$AB$200,0)),"n/d"))</f>
        <v/>
      </c>
      <c r="AA2268" s="59">
        <f>IF($T2268="","",IF(COUNTIF('Resumo Grupos'!$AE$3:$AE$40,$T2268)&gt;0,"NAO","SIM"))</f>
        <v/>
      </c>
    </row>
    <row r="2269" ht="12.75" customHeight="1" s="60">
      <c r="A2269" s="59" t="n">
        <v>1</v>
      </c>
      <c r="B2269" s="75" t="n">
        <v>46231</v>
      </c>
      <c r="C2269" s="75" t="n">
        <v>46259</v>
      </c>
      <c r="D2269" s="59" t="n">
        <v>10098</v>
      </c>
      <c r="E2269" s="59" t="inlineStr">
        <is>
          <t>A M A DE LIMA INDUSTRIA E COMERCIO DE PRODUTOS ALIMENTICIOS LTDA</t>
        </is>
      </c>
      <c r="F2269" s="59" t="n">
        <v>36</v>
      </c>
      <c r="G2269" s="59" t="inlineStr">
        <is>
          <t>Cartao BB 1 Novo Visa 0499 Venc 25</t>
        </is>
      </c>
      <c r="H2269" s="59" t="n">
        <v>1110202</v>
      </c>
      <c r="I2269" s="59" t="inlineStr">
        <is>
          <t>BANCO ITAU Lj 01</t>
        </is>
      </c>
      <c r="J2269" s="59" t="n">
        <v>1463756</v>
      </c>
      <c r="L2269" s="59" t="n">
        <v>1141</v>
      </c>
      <c r="M2269" s="59" t="inlineStr">
        <is>
          <t>01</t>
        </is>
      </c>
      <c r="N2269" s="59" t="inlineStr">
        <is>
          <t>AVU</t>
        </is>
      </c>
      <c r="P2269" s="59" t="n">
        <v>103</v>
      </c>
      <c r="Q2269" s="59" t="inlineStr">
        <is>
          <t>MILKA FRANCIS</t>
        </is>
      </c>
      <c r="R2269" s="59" t="inlineStr">
        <is>
          <t>ESTOQUE DE MERCADORIAS</t>
        </is>
      </c>
      <c r="S2269" s="59" t="n">
        <v>1130101</v>
      </c>
      <c r="T2269" s="59" t="inlineStr">
        <is>
          <t>MERCADORIAS P/REVENDA</t>
        </is>
      </c>
      <c r="U2269" s="77" t="n">
        <v>164.7</v>
      </c>
      <c r="W2269" s="59" t="n">
        <v>0</v>
      </c>
      <c r="X2269" s="59" t="inlineStr">
        <is>
          <t>NF1141 /COMPRA DO PAO REAL - MILKA</t>
        </is>
      </c>
      <c r="Z2269" s="59">
        <f>IF($T2269="","",IFERROR(INDEX('Resumo Grupos'!$AC$3:$AC$200,MATCH($T2269,'Resumo Grupos'!$AB$3:$AB$200,0)),"n/d"))</f>
        <v/>
      </c>
      <c r="AA2269" s="59">
        <f>IF($T2269="","",IF(COUNTIF('Resumo Grupos'!$AE$3:$AE$40,$T2269)&gt;0,"NAO","SIM"))</f>
        <v/>
      </c>
    </row>
    <row r="2270" ht="12.75" customHeight="1" s="60">
      <c r="A2270" s="59" t="n">
        <v>1</v>
      </c>
      <c r="B2270" s="75" t="n">
        <v>46231</v>
      </c>
      <c r="C2270" s="75" t="n">
        <v>46259</v>
      </c>
      <c r="D2270" s="59" t="n">
        <v>10098</v>
      </c>
      <c r="E2270" s="59" t="inlineStr">
        <is>
          <t>A M A DE LIMA INDUSTRIA E COMERCIO DE PRODUTOS ALIMENTICIOS LTDA</t>
        </is>
      </c>
      <c r="F2270" s="59" t="n">
        <v>36</v>
      </c>
      <c r="G2270" s="59" t="inlineStr">
        <is>
          <t>Cartao BB 1 Novo Visa 0499 Venc 25</t>
        </is>
      </c>
      <c r="H2270" s="59" t="n">
        <v>1110202</v>
      </c>
      <c r="I2270" s="59" t="inlineStr">
        <is>
          <t>BANCO ITAU Lj 01</t>
        </is>
      </c>
      <c r="J2270" s="59" t="n">
        <v>1463886</v>
      </c>
      <c r="L2270" s="59" t="n">
        <v>1146</v>
      </c>
      <c r="M2270" s="59" t="inlineStr">
        <is>
          <t>01</t>
        </is>
      </c>
      <c r="N2270" s="59" t="inlineStr">
        <is>
          <t>AVU</t>
        </is>
      </c>
      <c r="P2270" s="59" t="n">
        <v>103</v>
      </c>
      <c r="Q2270" s="59" t="inlineStr">
        <is>
          <t>MILKA FRANCIS</t>
        </is>
      </c>
      <c r="R2270" s="59" t="inlineStr">
        <is>
          <t>ESTOQUE DE MERCADORIAS</t>
        </is>
      </c>
      <c r="S2270" s="59" t="n">
        <v>1130101</v>
      </c>
      <c r="T2270" s="59" t="inlineStr">
        <is>
          <t>MERCADORIAS P/REVENDA</t>
        </is>
      </c>
      <c r="U2270" s="77" t="n">
        <v>75.68000000000001</v>
      </c>
      <c r="W2270" s="59" t="n">
        <v>0</v>
      </c>
      <c r="X2270" s="59" t="inlineStr">
        <is>
          <t>NF 1146 / COMPRA PAO REAL - MILKA</t>
        </is>
      </c>
      <c r="Z2270" s="59">
        <f>IF($T2270="","",IFERROR(INDEX('Resumo Grupos'!$AC$3:$AC$200,MATCH($T2270,'Resumo Grupos'!$AB$3:$AB$200,0)),"n/d"))</f>
        <v/>
      </c>
      <c r="AA2270" s="59">
        <f>IF($T2270="","",IF(COUNTIF('Resumo Grupos'!$AE$3:$AE$40,$T2270)&gt;0,"NAO","SIM"))</f>
        <v/>
      </c>
    </row>
    <row r="2271" ht="12.75" customHeight="1" s="60">
      <c r="A2271" s="59" t="n">
        <v>1</v>
      </c>
      <c r="B2271" s="75" t="n">
        <v>46231</v>
      </c>
      <c r="C2271" s="75" t="n">
        <v>46259</v>
      </c>
      <c r="D2271" s="59" t="n">
        <v>1148</v>
      </c>
      <c r="E2271" s="59" t="inlineStr">
        <is>
          <t>JESSICA LUANA</t>
        </is>
      </c>
      <c r="F2271" s="59" t="n">
        <v>36</v>
      </c>
      <c r="G2271" s="59" t="inlineStr">
        <is>
          <t>Cartao BB 1 Novo Visa 0499 Venc 25</t>
        </is>
      </c>
      <c r="H2271" s="59" t="n">
        <v>1110202</v>
      </c>
      <c r="I2271" s="59" t="inlineStr">
        <is>
          <t>BANCO ITAU Lj 01</t>
        </is>
      </c>
      <c r="J2271" s="59" t="n">
        <v>1464132</v>
      </c>
      <c r="L2271" s="59" t="n">
        <v>1148</v>
      </c>
      <c r="M2271" s="59" t="inlineStr">
        <is>
          <t>01</t>
        </is>
      </c>
      <c r="N2271" s="59" t="inlineStr">
        <is>
          <t>AVU</t>
        </is>
      </c>
      <c r="P2271" s="59" t="n">
        <v>103</v>
      </c>
      <c r="Q2271" s="59" t="inlineStr">
        <is>
          <t>MILKA FRANCIS</t>
        </is>
      </c>
      <c r="R2271" s="59" t="inlineStr">
        <is>
          <t>ESTOQUE DE MERCADORIAS</t>
        </is>
      </c>
      <c r="S2271" s="59" t="n">
        <v>1130101</v>
      </c>
      <c r="T2271" s="59" t="inlineStr">
        <is>
          <t>MERCADORIAS P/REVENDA</t>
        </is>
      </c>
      <c r="U2271" s="77" t="n">
        <v>82.34999999999999</v>
      </c>
      <c r="W2271" s="59" t="n">
        <v>0</v>
      </c>
      <c r="X2271" s="59" t="inlineStr">
        <is>
          <t>NF 1148 /COMPRA PAO REAL - MILKA</t>
        </is>
      </c>
      <c r="Z2271" s="59">
        <f>IF($T2271="","",IFERROR(INDEX('Resumo Grupos'!$AC$3:$AC$200,MATCH($T2271,'Resumo Grupos'!$AB$3:$AB$200,0)),"n/d"))</f>
        <v/>
      </c>
      <c r="AA2271" s="59">
        <f>IF($T2271="","",IF(COUNTIF('Resumo Grupos'!$AE$3:$AE$40,$T2271)&gt;0,"NAO","SIM"))</f>
        <v/>
      </c>
    </row>
    <row r="2272" ht="12.75" customHeight="1" s="60">
      <c r="A2272" s="59" t="n">
        <v>1</v>
      </c>
      <c r="B2272" s="75" t="n">
        <v>46231</v>
      </c>
      <c r="C2272" s="75" t="n">
        <v>46259</v>
      </c>
      <c r="D2272" s="59" t="n">
        <v>10098</v>
      </c>
      <c r="E2272" s="59" t="inlineStr">
        <is>
          <t>A M A DE LIMA INDUSTRIA E COMERCIO DE PRODUTOS ALIMENTICIOS LTDA</t>
        </is>
      </c>
      <c r="F2272" s="59" t="n">
        <v>36</v>
      </c>
      <c r="G2272" s="59" t="inlineStr">
        <is>
          <t>Cartao BB 1 Novo Visa 0499 Venc 25</t>
        </is>
      </c>
      <c r="H2272" s="59" t="n">
        <v>1110202</v>
      </c>
      <c r="I2272" s="59" t="inlineStr">
        <is>
          <t>BANCO ITAU Lj 01</t>
        </is>
      </c>
      <c r="J2272" s="59" t="n">
        <v>1464140</v>
      </c>
      <c r="L2272" s="59" t="n">
        <v>1154</v>
      </c>
      <c r="M2272" s="59" t="inlineStr">
        <is>
          <t>01</t>
        </is>
      </c>
      <c r="N2272" s="59" t="inlineStr">
        <is>
          <t>AVU</t>
        </is>
      </c>
      <c r="P2272" s="59" t="n">
        <v>103</v>
      </c>
      <c r="Q2272" s="59" t="inlineStr">
        <is>
          <t>MILKA FRANCIS</t>
        </is>
      </c>
      <c r="R2272" s="59" t="inlineStr">
        <is>
          <t>ESTOQUE DE MERCADORIAS</t>
        </is>
      </c>
      <c r="S2272" s="59" t="n">
        <v>1130101</v>
      </c>
      <c r="T2272" s="59" t="inlineStr">
        <is>
          <t>MERCADORIAS P/REVENDA</t>
        </is>
      </c>
      <c r="U2272" s="77" t="n">
        <v>233.6</v>
      </c>
      <c r="W2272" s="59" t="n">
        <v>0</v>
      </c>
      <c r="X2272" s="59" t="inlineStr">
        <is>
          <t>NF 1154 /COMPRA PAO REAL - MILKA</t>
        </is>
      </c>
      <c r="Z2272" s="59">
        <f>IF($T2272="","",IFERROR(INDEX('Resumo Grupos'!$AC$3:$AC$200,MATCH($T2272,'Resumo Grupos'!$AB$3:$AB$200,0)),"n/d"))</f>
        <v/>
      </c>
      <c r="AA2272" s="59">
        <f>IF($T2272="","",IF(COUNTIF('Resumo Grupos'!$AE$3:$AE$40,$T2272)&gt;0,"NAO","SIM"))</f>
        <v/>
      </c>
    </row>
    <row r="2273" ht="12.75" customHeight="1" s="60">
      <c r="A2273" s="59" t="n">
        <v>1</v>
      </c>
      <c r="B2273" s="75" t="n">
        <v>46231</v>
      </c>
      <c r="C2273" s="75" t="n">
        <v>46259</v>
      </c>
      <c r="D2273" s="59" t="n">
        <v>10098</v>
      </c>
      <c r="E2273" s="59" t="inlineStr">
        <is>
          <t>A M A DE LIMA INDUSTRIA E COMERCIO DE PRODUTOS ALIMENTICIOS LTDA</t>
        </is>
      </c>
      <c r="F2273" s="59" t="n">
        <v>36</v>
      </c>
      <c r="G2273" s="59" t="inlineStr">
        <is>
          <t>Cartao BB 1 Novo Visa 0499 Venc 25</t>
        </is>
      </c>
      <c r="H2273" s="59" t="n">
        <v>1110202</v>
      </c>
      <c r="I2273" s="59" t="inlineStr">
        <is>
          <t>BANCO ITAU Lj 01</t>
        </is>
      </c>
      <c r="J2273" s="59" t="n">
        <v>1464155</v>
      </c>
      <c r="L2273" s="59" t="n">
        <v>1155</v>
      </c>
      <c r="M2273" s="59" t="inlineStr">
        <is>
          <t>01</t>
        </is>
      </c>
      <c r="N2273" s="59" t="inlineStr">
        <is>
          <t>AVU</t>
        </is>
      </c>
      <c r="P2273" s="59" t="n">
        <v>103</v>
      </c>
      <c r="Q2273" s="59" t="inlineStr">
        <is>
          <t>MILKA FRANCIS</t>
        </is>
      </c>
      <c r="R2273" s="59" t="inlineStr">
        <is>
          <t>ESTOQUE DE MERCADORIAS</t>
        </is>
      </c>
      <c r="S2273" s="59" t="n">
        <v>1130101</v>
      </c>
      <c r="T2273" s="59" t="inlineStr">
        <is>
          <t>MERCADORIAS P/REVENDA</t>
        </is>
      </c>
      <c r="U2273" s="77" t="n">
        <v>178.7</v>
      </c>
      <c r="W2273" s="59" t="n">
        <v>0</v>
      </c>
      <c r="X2273" s="59" t="inlineStr">
        <is>
          <t>NF 1155 COMPRA REAL PAES  - MILKA</t>
        </is>
      </c>
      <c r="Z2273" s="59">
        <f>IF($T2273="","",IFERROR(INDEX('Resumo Grupos'!$AC$3:$AC$200,MATCH($T2273,'Resumo Grupos'!$AB$3:$AB$200,0)),"n/d"))</f>
        <v/>
      </c>
      <c r="AA2273" s="59">
        <f>IF($T2273="","",IF(COUNTIF('Resumo Grupos'!$AE$3:$AE$40,$T2273)&gt;0,"NAO","SIM"))</f>
        <v/>
      </c>
    </row>
    <row r="2274" ht="12.75" customHeight="1" s="60">
      <c r="A2274" s="59" t="n">
        <v>1</v>
      </c>
      <c r="B2274" s="75" t="n">
        <v>46232</v>
      </c>
      <c r="C2274" s="75" t="n">
        <v>46259</v>
      </c>
      <c r="D2274" s="59" t="n">
        <v>1064</v>
      </c>
      <c r="E2274" s="59" t="inlineStr">
        <is>
          <t>MIR IMPORTACAO E EXPORTACAO LTDA</t>
        </is>
      </c>
      <c r="F2274" s="59" t="n">
        <v>36</v>
      </c>
      <c r="G2274" s="59" t="inlineStr">
        <is>
          <t>Cartao BB 1 Novo Visa 0499 Venc 25</t>
        </is>
      </c>
      <c r="H2274" s="59" t="n">
        <v>1110202</v>
      </c>
      <c r="I2274" s="59" t="inlineStr">
        <is>
          <t>BANCO ITAU Lj 01</t>
        </is>
      </c>
      <c r="J2274" s="59" t="n">
        <v>1469530</v>
      </c>
      <c r="L2274" s="59" t="n">
        <v>603893</v>
      </c>
      <c r="M2274" s="59" t="inlineStr">
        <is>
          <t>04</t>
        </is>
      </c>
      <c r="N2274" s="59" t="inlineStr">
        <is>
          <t>AVU</t>
        </is>
      </c>
      <c r="P2274" s="59" t="n">
        <v>102</v>
      </c>
      <c r="Q2274" s="59" t="inlineStr">
        <is>
          <t>ANDREZA ANDRADE</t>
        </is>
      </c>
      <c r="R2274" s="59" t="inlineStr">
        <is>
          <t>DESPESAS OPERACIONAIS</t>
        </is>
      </c>
      <c r="S2274" s="59" t="n">
        <v>4210227</v>
      </c>
      <c r="T2274" s="59" t="inlineStr">
        <is>
          <t>DESPESAS LOJA</t>
        </is>
      </c>
      <c r="U2274" s="77" t="n">
        <v>256.58</v>
      </c>
      <c r="W2274" s="59" t="n">
        <v>0</v>
      </c>
      <c r="X2274" s="59" t="inlineStr">
        <is>
          <t>COMPRA/RAMSONS/GELADEIRA P/ COZINHA -ANDREZA NF39685</t>
        </is>
      </c>
      <c r="Z2274" s="59">
        <f>IF($T2274="","",IFERROR(INDEX('Resumo Grupos'!$AC$3:$AC$200,MATCH($T2274,'Resumo Grupos'!$AB$3:$AB$200,0)),"n/d"))</f>
        <v/>
      </c>
      <c r="AA2274" s="59">
        <f>IF($T2274="","",IF(COUNTIF('Resumo Grupos'!$AE$3:$AE$40,$T2274)&gt;0,"NAO","SIM"))</f>
        <v/>
      </c>
    </row>
    <row r="2275" ht="12.75" customHeight="1" s="60">
      <c r="A2275" s="59" t="n">
        <v>1</v>
      </c>
      <c r="B2275" s="75" t="n">
        <v>46238</v>
      </c>
      <c r="C2275" s="75" t="n">
        <v>46259</v>
      </c>
      <c r="D2275" s="59" t="n">
        <v>1740</v>
      </c>
      <c r="E2275" s="59" t="inlineStr">
        <is>
          <t>OCIDENTAL COMERCIO DE FRIOS LTDA</t>
        </is>
      </c>
      <c r="F2275" s="59" t="n">
        <v>24</v>
      </c>
      <c r="G2275" s="59" t="inlineStr">
        <is>
          <t>Compra a Prazo - Boletos</t>
        </is>
      </c>
      <c r="H2275" s="59" t="n">
        <v>1110202</v>
      </c>
      <c r="I2275" s="59" t="inlineStr">
        <is>
          <t>BANCO ITAU Lj 01</t>
        </is>
      </c>
      <c r="J2275" s="59" t="n">
        <v>1500861</v>
      </c>
      <c r="L2275" s="59" t="n">
        <v>1254539</v>
      </c>
      <c r="M2275" s="59" t="inlineStr">
        <is>
          <t>02</t>
        </is>
      </c>
      <c r="N2275" s="59" t="inlineStr">
        <is>
          <t>AVU</t>
        </is>
      </c>
      <c r="P2275" s="59" t="n">
        <v>103</v>
      </c>
      <c r="Q2275" s="59" t="inlineStr">
        <is>
          <t>MILKA FRANCIS</t>
        </is>
      </c>
      <c r="R2275" s="59" t="inlineStr">
        <is>
          <t>ESTOQUE DE MERCADORIAS</t>
        </is>
      </c>
      <c r="S2275" s="59" t="n">
        <v>1130101</v>
      </c>
      <c r="T2275" s="59" t="inlineStr">
        <is>
          <t>MERCADORIAS P/REVENDA</t>
        </is>
      </c>
      <c r="U2275" s="77" t="n">
        <v>1343.03</v>
      </c>
      <c r="W2275" s="59" t="n">
        <v>0</v>
      </c>
      <c r="X2275" s="59" t="inlineStr">
        <is>
          <t>NF 1254539-2/2 MILKA</t>
        </is>
      </c>
      <c r="Z2275" s="59">
        <f>IF($T2275="","",IFERROR(INDEX('Resumo Grupos'!$AC$3:$AC$200,MATCH($T2275,'Resumo Grupos'!$AB$3:$AB$200,0)),"n/d"))</f>
        <v/>
      </c>
      <c r="AA2275" s="59">
        <f>IF($T2275="","",IF(COUNTIF('Resumo Grupos'!$AE$3:$AE$40,$T2275)&gt;0,"NAO","SIM"))</f>
        <v/>
      </c>
    </row>
    <row r="2276" ht="12.75" customHeight="1" s="60">
      <c r="A2276" s="59" t="n">
        <v>1</v>
      </c>
      <c r="B2276" s="75" t="n">
        <v>46239</v>
      </c>
      <c r="C2276" s="75" t="n">
        <v>46259</v>
      </c>
      <c r="D2276" s="59" t="n">
        <v>1402</v>
      </c>
      <c r="E2276" s="59" t="inlineStr">
        <is>
          <t>TRIPLASTIK COMERCIAL</t>
        </is>
      </c>
      <c r="F2276" s="59" t="n">
        <v>24</v>
      </c>
      <c r="G2276" s="59" t="inlineStr">
        <is>
          <t>Compra a Prazo - Boletos</t>
        </is>
      </c>
      <c r="H2276" s="59" t="n">
        <v>1110202</v>
      </c>
      <c r="I2276" s="59" t="inlineStr">
        <is>
          <t>BANCO ITAU Lj 01</t>
        </is>
      </c>
      <c r="J2276" s="59" t="n">
        <v>1503571</v>
      </c>
      <c r="L2276" s="59" t="n">
        <v>4166</v>
      </c>
      <c r="M2276" s="59" t="inlineStr">
        <is>
          <t>01</t>
        </is>
      </c>
      <c r="N2276" s="59" t="inlineStr">
        <is>
          <t>AVU</t>
        </is>
      </c>
      <c r="P2276" s="59" t="n">
        <v>103</v>
      </c>
      <c r="Q2276" s="59" t="inlineStr">
        <is>
          <t>MILKA FRANCIS</t>
        </is>
      </c>
      <c r="R2276" s="59" t="inlineStr">
        <is>
          <t>DESPESAS OPERACIONAIS</t>
        </is>
      </c>
      <c r="S2276" s="59" t="n">
        <v>4210299</v>
      </c>
      <c r="T2276" s="59" t="inlineStr">
        <is>
          <t>DESPESA DE VENDA</t>
        </is>
      </c>
      <c r="U2276" s="77" t="n">
        <v>1109.15</v>
      </c>
      <c r="W2276" s="59" t="n">
        <v>0</v>
      </c>
      <c r="X2276" s="59" t="inlineStr">
        <is>
          <t>NF4166 USO E CONSUMO VENDA/ SACOLA PLASTICA - MILKA</t>
        </is>
      </c>
      <c r="Z2276" s="59">
        <f>IF($T2276="","",IFERROR(INDEX('Resumo Grupos'!$AC$3:$AC$200,MATCH($T2276,'Resumo Grupos'!$AB$3:$AB$200,0)),"n/d"))</f>
        <v/>
      </c>
      <c r="AA2276" s="59">
        <f>IF($T2276="","",IF(COUNTIF('Resumo Grupos'!$AE$3:$AE$40,$T2276)&gt;0,"NAO","SIM"))</f>
        <v/>
      </c>
    </row>
    <row r="2277" ht="12.75" customHeight="1" s="60">
      <c r="A2277" s="59" t="n">
        <v>1</v>
      </c>
      <c r="B2277" s="75" t="n">
        <v>46244</v>
      </c>
      <c r="C2277" s="75" t="n">
        <v>46259</v>
      </c>
      <c r="D2277" s="59" t="n">
        <v>10098</v>
      </c>
      <c r="E2277" s="59" t="inlineStr">
        <is>
          <t>A M A DE LIMA INDUSTRIA E COMERCIO DE PRODUTOS ALIMENTICIOS LTDA</t>
        </is>
      </c>
      <c r="F2277" s="59" t="n">
        <v>36</v>
      </c>
      <c r="G2277" s="59" t="inlineStr">
        <is>
          <t>Cartao BB 1 Novo Visa 0499 Venc 25</t>
        </is>
      </c>
      <c r="H2277" s="59" t="n">
        <v>2110405</v>
      </c>
      <c r="I2277" s="59" t="inlineStr">
        <is>
          <t>CONTAS A PAGAR</t>
        </is>
      </c>
      <c r="J2277" s="59" t="n">
        <v>1529587</v>
      </c>
      <c r="L2277" s="59" t="n">
        <v>1197</v>
      </c>
      <c r="M2277" s="59" t="inlineStr">
        <is>
          <t>01</t>
        </is>
      </c>
      <c r="N2277" s="59" t="inlineStr">
        <is>
          <t>AVU</t>
        </is>
      </c>
      <c r="P2277" s="59" t="n">
        <v>103</v>
      </c>
      <c r="Q2277" s="59" t="inlineStr">
        <is>
          <t>MILKA FRANCIS</t>
        </is>
      </c>
      <c r="R2277" s="59" t="inlineStr">
        <is>
          <t>ESTOQUE DE MERCADORIAS</t>
        </is>
      </c>
      <c r="S2277" s="59" t="n">
        <v>1130101</v>
      </c>
      <c r="T2277" s="59" t="inlineStr">
        <is>
          <t>MERCADORIAS P/REVENDA</t>
        </is>
      </c>
      <c r="U2277" s="77" t="n">
        <v>288.5</v>
      </c>
      <c r="W2277" s="59" t="n">
        <v>0</v>
      </c>
      <c r="X2277" s="59" t="inlineStr">
        <is>
          <t>NF 1197 REAL PAES - MILKA</t>
        </is>
      </c>
      <c r="Z2277" s="59">
        <f>IF($T2277="","",IFERROR(INDEX('Resumo Grupos'!$AC$3:$AC$200,MATCH($T2277,'Resumo Grupos'!$AB$3:$AB$200,0)),"n/d"))</f>
        <v/>
      </c>
      <c r="AA2277" s="59">
        <f>IF($T2277="","",IF(COUNTIF('Resumo Grupos'!$AE$3:$AE$40,$T2277)&gt;0,"NAO","SIM"))</f>
        <v/>
      </c>
    </row>
    <row r="2278" ht="12.75" customHeight="1" s="60">
      <c r="A2278" s="59" t="n">
        <v>1</v>
      </c>
      <c r="B2278" s="75" t="n">
        <v>46245</v>
      </c>
      <c r="C2278" s="75" t="n">
        <v>46259</v>
      </c>
      <c r="D2278" s="59" t="n">
        <v>10098</v>
      </c>
      <c r="E2278" s="59" t="inlineStr">
        <is>
          <t>A M A DE LIMA INDUSTRIA E COMERCIO DE PRODUTOS ALIMENTICIOS LTDA</t>
        </is>
      </c>
      <c r="F2278" s="59" t="n">
        <v>36</v>
      </c>
      <c r="G2278" s="59" t="inlineStr">
        <is>
          <t>Cartao BB 1 Novo Visa 0499 Venc 25</t>
        </is>
      </c>
      <c r="H2278" s="59" t="n">
        <v>2110405</v>
      </c>
      <c r="I2278" s="59" t="inlineStr">
        <is>
          <t>CONTAS A PAGAR</t>
        </is>
      </c>
      <c r="J2278" s="59" t="n">
        <v>1531896</v>
      </c>
      <c r="L2278" s="59" t="n">
        <v>1199</v>
      </c>
      <c r="M2278" s="59" t="inlineStr">
        <is>
          <t>01</t>
        </is>
      </c>
      <c r="N2278" s="59" t="inlineStr">
        <is>
          <t>AVU</t>
        </is>
      </c>
      <c r="P2278" s="59" t="n">
        <v>103</v>
      </c>
      <c r="Q2278" s="59" t="inlineStr">
        <is>
          <t>MILKA FRANCIS</t>
        </is>
      </c>
      <c r="R2278" s="59" t="inlineStr">
        <is>
          <t>ESTOQUE DE MERCADORIAS</t>
        </is>
      </c>
      <c r="S2278" s="59" t="n">
        <v>1130101</v>
      </c>
      <c r="T2278" s="59" t="inlineStr">
        <is>
          <t>MERCADORIAS P/REVENDA</t>
        </is>
      </c>
      <c r="U2278" s="77" t="n">
        <v>144.25</v>
      </c>
      <c r="W2278" s="59" t="n">
        <v>0</v>
      </c>
      <c r="X2278" s="59" t="inlineStr">
        <is>
          <t>NF1199 REAL PAES - MILKA</t>
        </is>
      </c>
      <c r="Z2278" s="59">
        <f>IF($T2278="","",IFERROR(INDEX('Resumo Grupos'!$AC$3:$AC$200,MATCH($T2278,'Resumo Grupos'!$AB$3:$AB$200,0)),"n/d"))</f>
        <v/>
      </c>
      <c r="AA2278" s="59">
        <f>IF($T2278="","",IF(COUNTIF('Resumo Grupos'!$AE$3:$AE$40,$T2278)&gt;0,"NAO","SIM"))</f>
        <v/>
      </c>
    </row>
    <row r="2279" ht="12.75" customHeight="1" s="60">
      <c r="A2279" s="59" t="n">
        <v>1</v>
      </c>
      <c r="B2279" s="75" t="n">
        <v>46245</v>
      </c>
      <c r="C2279" s="75" t="n">
        <v>46259</v>
      </c>
      <c r="D2279" s="59" t="n">
        <v>1718</v>
      </c>
      <c r="E2279" s="59" t="inlineStr">
        <is>
          <t>DISTRIBUIDORA FARIAS LTDA.</t>
        </is>
      </c>
      <c r="F2279" s="59" t="n">
        <v>24</v>
      </c>
      <c r="G2279" s="59" t="inlineStr">
        <is>
          <t>Compra a Prazo - Boletos</t>
        </is>
      </c>
      <c r="H2279" s="59" t="n">
        <v>2110405</v>
      </c>
      <c r="I2279" s="59" t="inlineStr">
        <is>
          <t>CONTAS A PAGAR</t>
        </is>
      </c>
      <c r="J2279" s="59" t="n">
        <v>1531933</v>
      </c>
      <c r="L2279" s="59" t="n">
        <v>688332</v>
      </c>
      <c r="M2279" s="59" t="inlineStr">
        <is>
          <t>01</t>
        </is>
      </c>
      <c r="N2279" s="59" t="inlineStr">
        <is>
          <t>AVU</t>
        </is>
      </c>
      <c r="P2279" s="59" t="n">
        <v>103</v>
      </c>
      <c r="Q2279" s="59" t="inlineStr">
        <is>
          <t>MILKA FRANCIS</t>
        </is>
      </c>
      <c r="R2279" s="59" t="inlineStr">
        <is>
          <t>ESTOQUE DE MERCADORIAS</t>
        </is>
      </c>
      <c r="S2279" s="59" t="n">
        <v>1130101</v>
      </c>
      <c r="T2279" s="59" t="inlineStr">
        <is>
          <t>MERCADORIAS P/REVENDA</t>
        </is>
      </c>
      <c r="U2279" s="77" t="n">
        <v>436.77</v>
      </c>
      <c r="W2279" s="59" t="n">
        <v>0</v>
      </c>
      <c r="X2279" s="59" t="inlineStr">
        <is>
          <t>811815-A/B  NF688332 - MILKA</t>
        </is>
      </c>
      <c r="Z2279" s="59">
        <f>IF($T2279="","",IFERROR(INDEX('Resumo Grupos'!$AC$3:$AC$200,MATCH($T2279,'Resumo Grupos'!$AB$3:$AB$200,0)),"n/d"))</f>
        <v/>
      </c>
      <c r="AA2279" s="59">
        <f>IF($T2279="","",IF(COUNTIF('Resumo Grupos'!$AE$3:$AE$40,$T2279)&gt;0,"NAO","SIM"))</f>
        <v/>
      </c>
    </row>
    <row r="2280" ht="12.75" customHeight="1" s="60">
      <c r="A2280" s="59" t="n">
        <v>1</v>
      </c>
      <c r="B2280" s="75" t="n">
        <v>46245</v>
      </c>
      <c r="C2280" s="75" t="n">
        <v>46259</v>
      </c>
      <c r="D2280" s="59" t="n">
        <v>1114</v>
      </c>
      <c r="E2280" s="59" t="inlineStr">
        <is>
          <t>NT INDUSTRIA E COMERCIO DE PANIFICACAO L</t>
        </is>
      </c>
      <c r="F2280" s="59" t="n">
        <v>24</v>
      </c>
      <c r="G2280" s="59" t="inlineStr">
        <is>
          <t>Compra a Prazo - Boletos</t>
        </is>
      </c>
      <c r="H2280" s="59" t="n">
        <v>2110405</v>
      </c>
      <c r="I2280" s="59" t="inlineStr">
        <is>
          <t>CONTAS A PAGAR</t>
        </is>
      </c>
      <c r="J2280" s="59" t="n">
        <v>1533228</v>
      </c>
      <c r="L2280" s="59" t="n">
        <v>43493</v>
      </c>
      <c r="M2280" s="59" t="inlineStr">
        <is>
          <t>01</t>
        </is>
      </c>
      <c r="N2280" s="59" t="inlineStr">
        <is>
          <t>AVU</t>
        </is>
      </c>
      <c r="P2280" s="59" t="n">
        <v>103</v>
      </c>
      <c r="Q2280" s="59" t="inlineStr">
        <is>
          <t>MILKA FRANCIS</t>
        </is>
      </c>
      <c r="R2280" s="59" t="inlineStr">
        <is>
          <t>ESTOQUE DE MERCADORIAS</t>
        </is>
      </c>
      <c r="S2280" s="59" t="n">
        <v>1130101</v>
      </c>
      <c r="T2280" s="59" t="inlineStr">
        <is>
          <t>MERCADORIAS P/REVENDA</t>
        </is>
      </c>
      <c r="U2280" s="77" t="n">
        <v>2823.08</v>
      </c>
      <c r="W2280" s="59" t="n">
        <v>0</v>
      </c>
      <c r="X2280" s="59" t="inlineStr">
        <is>
          <t>NF 43493 - MILKA</t>
        </is>
      </c>
      <c r="Z2280" s="59">
        <f>IF($T2280="","",IFERROR(INDEX('Resumo Grupos'!$AC$3:$AC$200,MATCH($T2280,'Resumo Grupos'!$AB$3:$AB$200,0)),"n/d"))</f>
        <v/>
      </c>
      <c r="AA2280" s="59">
        <f>IF($T2280="","",IF(COUNTIF('Resumo Grupos'!$AE$3:$AE$40,$T2280)&gt;0,"NAO","SIM"))</f>
        <v/>
      </c>
    </row>
    <row r="2281" ht="12.75" customHeight="1" s="60">
      <c r="A2281" s="59" t="n">
        <v>1</v>
      </c>
      <c r="B2281" s="75" t="n">
        <v>46246</v>
      </c>
      <c r="C2281" s="75" t="n">
        <v>46259</v>
      </c>
      <c r="D2281" s="59" t="n">
        <v>794</v>
      </c>
      <c r="E2281" s="59" t="inlineStr">
        <is>
          <t>EDMARA COMERCIO DE HIGIENE PESSOAL LTDA</t>
        </is>
      </c>
      <c r="F2281" s="59" t="n">
        <v>24</v>
      </c>
      <c r="G2281" s="59" t="inlineStr">
        <is>
          <t>Compra a Prazo - Boletos</t>
        </is>
      </c>
      <c r="H2281" s="59" t="n">
        <v>2110405</v>
      </c>
      <c r="I2281" s="59" t="inlineStr">
        <is>
          <t>CONTAS A PAGAR</t>
        </is>
      </c>
      <c r="J2281" s="59" t="n">
        <v>1536581</v>
      </c>
      <c r="L2281" s="59" t="n">
        <v>8609</v>
      </c>
      <c r="M2281" s="59" t="inlineStr">
        <is>
          <t>01</t>
        </is>
      </c>
      <c r="N2281" s="59" t="inlineStr">
        <is>
          <t>AVU</t>
        </is>
      </c>
      <c r="P2281" s="59" t="n">
        <v>103</v>
      </c>
      <c r="Q2281" s="59" t="inlineStr">
        <is>
          <t>MILKA FRANCIS</t>
        </is>
      </c>
      <c r="R2281" s="59" t="inlineStr">
        <is>
          <t>ESTOQUE DE MERCADORIAS</t>
        </is>
      </c>
      <c r="S2281" s="59" t="n">
        <v>1130101</v>
      </c>
      <c r="T2281" s="59" t="inlineStr">
        <is>
          <t>MERCADORIAS P/REVENDA</t>
        </is>
      </c>
      <c r="U2281" s="77" t="n">
        <v>530</v>
      </c>
      <c r="W2281" s="59" t="n">
        <v>0</v>
      </c>
      <c r="X2281" s="59" t="inlineStr">
        <is>
          <t>5755-A/B  NF8609 - MILKA</t>
        </is>
      </c>
      <c r="Z2281" s="59">
        <f>IF($T2281="","",IFERROR(INDEX('Resumo Grupos'!$AC$3:$AC$200,MATCH($T2281,'Resumo Grupos'!$AB$3:$AB$200,0)),"n/d"))</f>
        <v/>
      </c>
      <c r="AA2281" s="59">
        <f>IF($T2281="","",IF(COUNTIF('Resumo Grupos'!$AE$3:$AE$40,$T2281)&gt;0,"NAO","SIM"))</f>
        <v/>
      </c>
    </row>
    <row r="2282" ht="12.75" customHeight="1" s="60">
      <c r="A2282" s="59" t="n">
        <v>1</v>
      </c>
      <c r="B2282" s="75" t="n">
        <v>46249</v>
      </c>
      <c r="C2282" s="75" t="n">
        <v>46259</v>
      </c>
      <c r="D2282" s="59" t="n">
        <v>10098</v>
      </c>
      <c r="E2282" s="59" t="inlineStr">
        <is>
          <t>A M A DE LIMA INDUSTRIA E COMERCIO DE PRODUTOS ALIMENTICIOS LTDA</t>
        </is>
      </c>
      <c r="F2282" s="59" t="n">
        <v>36</v>
      </c>
      <c r="G2282" s="59" t="inlineStr">
        <is>
          <t>Cartao BB 1 Novo Visa 0499 Venc 25</t>
        </is>
      </c>
      <c r="H2282" s="59" t="n">
        <v>2110405</v>
      </c>
      <c r="I2282" s="59" t="inlineStr">
        <is>
          <t>CONTAS A PAGAR</t>
        </is>
      </c>
      <c r="J2282" s="59" t="n">
        <v>1551387</v>
      </c>
      <c r="L2282" s="59" t="n">
        <v>1210</v>
      </c>
      <c r="M2282" s="59" t="inlineStr">
        <is>
          <t>01</t>
        </is>
      </c>
      <c r="N2282" s="59" t="inlineStr">
        <is>
          <t>AVU</t>
        </is>
      </c>
      <c r="P2282" s="59" t="n">
        <v>103</v>
      </c>
      <c r="Q2282" s="59" t="inlineStr">
        <is>
          <t>MILKA FRANCIS</t>
        </is>
      </c>
      <c r="R2282" s="59" t="inlineStr">
        <is>
          <t>ESTOQUE DE MERCADORIAS</t>
        </is>
      </c>
      <c r="S2282" s="59" t="n">
        <v>1130101</v>
      </c>
      <c r="T2282" s="59" t="inlineStr">
        <is>
          <t>MERCADORIAS P/REVENDA</t>
        </is>
      </c>
      <c r="U2282" s="77" t="n">
        <v>288.5</v>
      </c>
      <c r="W2282" s="59" t="n">
        <v>0</v>
      </c>
      <c r="X2282" s="59" t="inlineStr">
        <is>
          <t>NF 1210 REAL PAES - MILKA</t>
        </is>
      </c>
      <c r="Z2282" s="59">
        <f>IF($T2282="","",IFERROR(INDEX('Resumo Grupos'!$AC$3:$AC$200,MATCH($T2282,'Resumo Grupos'!$AB$3:$AB$200,0)),"n/d"))</f>
        <v/>
      </c>
      <c r="AA2282" s="59">
        <f>IF($T2282="","",IF(COUNTIF('Resumo Grupos'!$AE$3:$AE$40,$T2282)&gt;0,"NAO","SIM"))</f>
        <v/>
      </c>
    </row>
    <row r="2283" ht="12.75" customHeight="1" s="60">
      <c r="A2283" s="59" t="n">
        <v>1</v>
      </c>
      <c r="B2283" s="75" t="n">
        <v>46251</v>
      </c>
      <c r="C2283" s="75" t="n">
        <v>46259</v>
      </c>
      <c r="D2283" s="59" t="n">
        <v>10098</v>
      </c>
      <c r="E2283" s="59" t="inlineStr">
        <is>
          <t>A M A DE LIMA INDUSTRIA E COMERCIO DE PRODUTOS ALIMENTICIOS LTDA</t>
        </is>
      </c>
      <c r="F2283" s="59" t="n">
        <v>36</v>
      </c>
      <c r="G2283" s="59" t="inlineStr">
        <is>
          <t>Cartao BB 1 Novo Visa 0499 Venc 25</t>
        </is>
      </c>
      <c r="H2283" s="59" t="n">
        <v>2110405</v>
      </c>
      <c r="I2283" s="59" t="inlineStr">
        <is>
          <t>CONTAS A PAGAR</t>
        </is>
      </c>
      <c r="J2283" s="59" t="n">
        <v>1560897</v>
      </c>
      <c r="L2283" s="59" t="n">
        <v>1211</v>
      </c>
      <c r="M2283" s="59" t="inlineStr">
        <is>
          <t>01</t>
        </is>
      </c>
      <c r="N2283" s="59" t="inlineStr">
        <is>
          <t>AVU</t>
        </is>
      </c>
      <c r="P2283" s="59" t="n">
        <v>103</v>
      </c>
      <c r="Q2283" s="59" t="inlineStr">
        <is>
          <t>MILKA FRANCIS</t>
        </is>
      </c>
      <c r="R2283" s="59" t="inlineStr">
        <is>
          <t>ESTOQUE DE MERCADORIAS</t>
        </is>
      </c>
      <c r="S2283" s="59" t="n">
        <v>1130101</v>
      </c>
      <c r="T2283" s="59" t="inlineStr">
        <is>
          <t>MERCADORIAS P/REVENDA</t>
        </is>
      </c>
      <c r="U2283" s="77" t="n">
        <v>187.15</v>
      </c>
      <c r="W2283" s="59" t="n">
        <v>0</v>
      </c>
      <c r="X2283" s="59" t="inlineStr">
        <is>
          <t>NF 1211 REAL PAES - MILKA</t>
        </is>
      </c>
      <c r="Z2283" s="59">
        <f>IF($T2283="","",IFERROR(INDEX('Resumo Grupos'!$AC$3:$AC$200,MATCH($T2283,'Resumo Grupos'!$AB$3:$AB$200,0)),"n/d"))</f>
        <v/>
      </c>
      <c r="AA2283" s="59">
        <f>IF($T2283="","",IF(COUNTIF('Resumo Grupos'!$AE$3:$AE$40,$T2283)&gt;0,"NAO","SIM"))</f>
        <v/>
      </c>
    </row>
    <row r="2284" ht="12.75" customHeight="1" s="60">
      <c r="A2284" s="59" t="n">
        <v>1</v>
      </c>
      <c r="B2284" s="75" t="n">
        <v>46251</v>
      </c>
      <c r="C2284" s="75" t="n">
        <v>46259</v>
      </c>
      <c r="D2284" s="59" t="n">
        <v>1621</v>
      </c>
      <c r="E2284" s="59" t="inlineStr">
        <is>
          <t>CRBS S/A</t>
        </is>
      </c>
      <c r="F2284" s="59" t="n">
        <v>24</v>
      </c>
      <c r="G2284" s="59" t="inlineStr">
        <is>
          <t>Compra a Prazo - Boletos</t>
        </is>
      </c>
      <c r="H2284" s="59" t="n">
        <v>2110405</v>
      </c>
      <c r="I2284" s="59" t="inlineStr">
        <is>
          <t>CONTAS A PAGAR</t>
        </is>
      </c>
      <c r="J2284" s="59" t="n">
        <v>1561095</v>
      </c>
      <c r="L2284" s="59" t="n">
        <v>959004</v>
      </c>
      <c r="M2284" s="59" t="inlineStr">
        <is>
          <t>01</t>
        </is>
      </c>
      <c r="N2284" s="59" t="inlineStr">
        <is>
          <t>AVU</t>
        </is>
      </c>
      <c r="P2284" s="59" t="n">
        <v>103</v>
      </c>
      <c r="Q2284" s="59" t="inlineStr">
        <is>
          <t>MILKA FRANCIS</t>
        </is>
      </c>
      <c r="R2284" s="59" t="inlineStr">
        <is>
          <t>ESTOQUE DE MERCADORIAS</t>
        </is>
      </c>
      <c r="S2284" s="59" t="n">
        <v>1130101</v>
      </c>
      <c r="T2284" s="59" t="inlineStr">
        <is>
          <t>MERCADORIAS P/REVENDA</t>
        </is>
      </c>
      <c r="U2284" s="77" t="n">
        <v>3057.85</v>
      </c>
      <c r="W2284" s="59" t="n">
        <v>0</v>
      </c>
      <c r="X2284" s="59" t="inlineStr">
        <is>
          <t>NF959004 AMBEV - MILKA</t>
        </is>
      </c>
      <c r="Z2284" s="59">
        <f>IF($T2284="","",IFERROR(INDEX('Resumo Grupos'!$AC$3:$AC$200,MATCH($T2284,'Resumo Grupos'!$AB$3:$AB$200,0)),"n/d"))</f>
        <v/>
      </c>
      <c r="AA2284" s="59">
        <f>IF($T2284="","",IF(COUNTIF('Resumo Grupos'!$AE$3:$AE$40,$T2284)&gt;0,"NAO","SIM"))</f>
        <v/>
      </c>
    </row>
    <row r="2285" ht="12.75" customHeight="1" s="60">
      <c r="A2285" s="59" t="n">
        <v>1</v>
      </c>
      <c r="B2285" s="75" t="n">
        <v>46252</v>
      </c>
      <c r="C2285" s="75" t="n">
        <v>46259</v>
      </c>
      <c r="D2285" s="59" t="n">
        <v>10098</v>
      </c>
      <c r="E2285" s="59" t="inlineStr">
        <is>
          <t>A M A DE LIMA INDUSTRIA E COMERCIO DE PRODUTOS ALIMENTICIOS LTDA</t>
        </is>
      </c>
      <c r="F2285" s="59" t="n">
        <v>36</v>
      </c>
      <c r="G2285" s="59" t="inlineStr">
        <is>
          <t>Cartao BB 1 Novo Visa 0499 Venc 25</t>
        </is>
      </c>
      <c r="H2285" s="59" t="n">
        <v>2110405</v>
      </c>
      <c r="I2285" s="59" t="inlineStr">
        <is>
          <t>CONTAS A PAGAR</t>
        </is>
      </c>
      <c r="J2285" s="59" t="n">
        <v>1567142</v>
      </c>
      <c r="L2285" s="59" t="n">
        <v>1213</v>
      </c>
      <c r="M2285" s="59" t="inlineStr">
        <is>
          <t>01</t>
        </is>
      </c>
      <c r="N2285" s="59" t="inlineStr">
        <is>
          <t>AVU</t>
        </is>
      </c>
      <c r="P2285" s="59" t="n">
        <v>103</v>
      </c>
      <c r="Q2285" s="59" t="inlineStr">
        <is>
          <t>MILKA FRANCIS</t>
        </is>
      </c>
      <c r="R2285" s="59" t="inlineStr">
        <is>
          <t>ESTOQUE DE MERCADORIAS</t>
        </is>
      </c>
      <c r="S2285" s="59" t="n">
        <v>1130101</v>
      </c>
      <c r="T2285" s="59" t="inlineStr">
        <is>
          <t>MERCADORIAS P/REVENDA</t>
        </is>
      </c>
      <c r="U2285" s="77" t="n">
        <v>144.25</v>
      </c>
      <c r="W2285" s="59" t="n">
        <v>0</v>
      </c>
      <c r="X2285" s="59" t="inlineStr">
        <is>
          <t>NF 1213 REAL PAES - MILKA</t>
        </is>
      </c>
      <c r="Z2285" s="59">
        <f>IF($T2285="","",IFERROR(INDEX('Resumo Grupos'!$AC$3:$AC$200,MATCH($T2285,'Resumo Grupos'!$AB$3:$AB$200,0)),"n/d"))</f>
        <v/>
      </c>
      <c r="AA2285" s="59">
        <f>IF($T2285="","",IF(COUNTIF('Resumo Grupos'!$AE$3:$AE$40,$T2285)&gt;0,"NAO","SIM"))</f>
        <v/>
      </c>
    </row>
    <row r="2286" ht="12.75" customHeight="1" s="60">
      <c r="A2286" s="59" t="n">
        <v>1</v>
      </c>
      <c r="B2286" s="75" t="n">
        <v>46253</v>
      </c>
      <c r="C2286" s="75" t="n">
        <v>46259</v>
      </c>
      <c r="D2286" s="59" t="n">
        <v>10098</v>
      </c>
      <c r="E2286" s="59" t="inlineStr">
        <is>
          <t>A M A DE LIMA INDUSTRIA E COMERCIO DE PRODUTOS ALIMENTICIOS LTDA</t>
        </is>
      </c>
      <c r="F2286" s="59" t="n">
        <v>36</v>
      </c>
      <c r="G2286" s="59" t="inlineStr">
        <is>
          <t>Cartao BB 1 Novo Visa 0499 Venc 25</t>
        </is>
      </c>
      <c r="H2286" s="59" t="n">
        <v>2110405</v>
      </c>
      <c r="I2286" s="59" t="inlineStr">
        <is>
          <t>CONTAS A PAGAR</t>
        </is>
      </c>
      <c r="J2286" s="59" t="n">
        <v>1571389</v>
      </c>
      <c r="L2286" s="59" t="n">
        <v>1214</v>
      </c>
      <c r="M2286" s="59" t="inlineStr">
        <is>
          <t>01</t>
        </is>
      </c>
      <c r="N2286" s="59" t="inlineStr">
        <is>
          <t>AVU</t>
        </is>
      </c>
      <c r="P2286" s="59" t="n">
        <v>103</v>
      </c>
      <c r="Q2286" s="59" t="inlineStr">
        <is>
          <t>MILKA FRANCIS</t>
        </is>
      </c>
      <c r="R2286" s="59" t="inlineStr">
        <is>
          <t>ESTOQUE DE MERCADORIAS</t>
        </is>
      </c>
      <c r="S2286" s="59" t="n">
        <v>1130101</v>
      </c>
      <c r="T2286" s="59" t="inlineStr">
        <is>
          <t>MERCADORIAS P/REVENDA</t>
        </is>
      </c>
      <c r="U2286" s="77" t="n">
        <v>132.71</v>
      </c>
      <c r="W2286" s="59" t="n">
        <v>0</v>
      </c>
      <c r="X2286" s="59" t="inlineStr">
        <is>
          <t>NF 1214 REAL PAES - MILKA</t>
        </is>
      </c>
      <c r="Z2286" s="59">
        <f>IF($T2286="","",IFERROR(INDEX('Resumo Grupos'!$AC$3:$AC$200,MATCH($T2286,'Resumo Grupos'!$AB$3:$AB$200,0)),"n/d"))</f>
        <v/>
      </c>
      <c r="AA2286" s="59">
        <f>IF($T2286="","",IF(COUNTIF('Resumo Grupos'!$AE$3:$AE$40,$T2286)&gt;0,"NAO","SIM"))</f>
        <v/>
      </c>
    </row>
    <row r="2287" ht="12.75" customHeight="1" s="60">
      <c r="A2287" s="59" t="n">
        <v>1</v>
      </c>
      <c r="B2287" s="75" t="n">
        <v>46254</v>
      </c>
      <c r="C2287" s="75" t="n">
        <v>46259</v>
      </c>
      <c r="D2287" s="59" t="n">
        <v>1642</v>
      </c>
      <c r="E2287" s="59" t="inlineStr">
        <is>
          <t>BROTHERS  INDUSTRIA DE ALIMENTOS LTDA</t>
        </is>
      </c>
      <c r="F2287" s="59" t="n">
        <v>24</v>
      </c>
      <c r="G2287" s="59" t="inlineStr">
        <is>
          <t>Compra a Prazo - Boletos</t>
        </is>
      </c>
      <c r="H2287" s="59" t="n">
        <v>2110405</v>
      </c>
      <c r="I2287" s="59" t="inlineStr">
        <is>
          <t>CONTAS A PAGAR</t>
        </is>
      </c>
      <c r="J2287" s="59" t="n">
        <v>1575792</v>
      </c>
      <c r="L2287" s="59" t="n">
        <v>1037267</v>
      </c>
      <c r="M2287" s="59" t="inlineStr">
        <is>
          <t>01</t>
        </is>
      </c>
      <c r="N2287" s="59" t="inlineStr">
        <is>
          <t>AVU</t>
        </is>
      </c>
      <c r="P2287" s="59" t="n">
        <v>103</v>
      </c>
      <c r="Q2287" s="59" t="inlineStr">
        <is>
          <t>MILKA FRANCIS</t>
        </is>
      </c>
      <c r="R2287" s="59" t="inlineStr">
        <is>
          <t>ESTOQUE DE MERCADORIAS</t>
        </is>
      </c>
      <c r="S2287" s="59" t="n">
        <v>1130101</v>
      </c>
      <c r="T2287" s="59" t="inlineStr">
        <is>
          <t>MERCADORIAS P/REVENDA</t>
        </is>
      </c>
      <c r="U2287" s="77" t="n">
        <v>470.94</v>
      </c>
      <c r="W2287" s="59" t="n">
        <v>0</v>
      </c>
      <c r="X2287" s="59" t="inlineStr">
        <is>
          <t>NF 1037267 - MILKA</t>
        </is>
      </c>
      <c r="Z2287" s="59">
        <f>IF($T2287="","",IFERROR(INDEX('Resumo Grupos'!$AC$3:$AC$200,MATCH($T2287,'Resumo Grupos'!$AB$3:$AB$200,0)),"n/d"))</f>
        <v/>
      </c>
      <c r="AA2287" s="59">
        <f>IF($T2287="","",IF(COUNTIF('Resumo Grupos'!$AE$3:$AE$40,$T2287)&gt;0,"NAO","SIM"))</f>
        <v/>
      </c>
    </row>
    <row r="2288" ht="12.75" customHeight="1" s="60">
      <c r="A2288" s="59" t="n">
        <v>1</v>
      </c>
      <c r="B2288" s="75" t="n">
        <v>46256</v>
      </c>
      <c r="C2288" s="75" t="n">
        <v>46259</v>
      </c>
      <c r="D2288" s="59" t="n">
        <v>1614</v>
      </c>
      <c r="E2288" s="59" t="inlineStr">
        <is>
          <t>C. R. PARENTE ABREU</t>
        </is>
      </c>
      <c r="F2288" s="59" t="n">
        <v>24</v>
      </c>
      <c r="G2288" s="59" t="inlineStr">
        <is>
          <t>Compra a Prazo - Boletos</t>
        </is>
      </c>
      <c r="H2288" s="59" t="n">
        <v>2110405</v>
      </c>
      <c r="I2288" s="59" t="inlineStr">
        <is>
          <t>CONTAS A PAGAR</t>
        </is>
      </c>
      <c r="J2288" s="59" t="n">
        <v>1585500</v>
      </c>
      <c r="L2288" s="59" t="n">
        <v>11586</v>
      </c>
      <c r="M2288" s="59" t="inlineStr">
        <is>
          <t>01</t>
        </is>
      </c>
      <c r="N2288" s="59" t="inlineStr">
        <is>
          <t>AVU</t>
        </is>
      </c>
      <c r="P2288" s="59" t="n">
        <v>103</v>
      </c>
      <c r="Q2288" s="59" t="inlineStr">
        <is>
          <t>MILKA FRANCIS</t>
        </is>
      </c>
      <c r="R2288" s="59" t="inlineStr">
        <is>
          <t>ESTOQUE DE MERCADORIAS</t>
        </is>
      </c>
      <c r="S2288" s="59" t="n">
        <v>1130101</v>
      </c>
      <c r="T2288" s="59" t="inlineStr">
        <is>
          <t>MERCADORIAS P/REVENDA</t>
        </is>
      </c>
      <c r="U2288" s="77" t="n">
        <v>402.23</v>
      </c>
      <c r="W2288" s="59" t="n">
        <v>0</v>
      </c>
      <c r="X2288" s="59" t="inlineStr">
        <is>
          <t>NF 11586-1 KARU - MILKA</t>
        </is>
      </c>
      <c r="Z2288" s="59">
        <f>IF($T2288="","",IFERROR(INDEX('Resumo Grupos'!$AC$3:$AC$200,MATCH($T2288,'Resumo Grupos'!$AB$3:$AB$200,0)),"n/d"))</f>
        <v/>
      </c>
      <c r="AA2288" s="59">
        <f>IF($T2288="","",IF(COUNTIF('Resumo Grupos'!$AE$3:$AE$40,$T2288)&gt;0,"NAO","SIM"))</f>
        <v/>
      </c>
    </row>
    <row r="2289" ht="12.75" customHeight="1" s="60">
      <c r="A2289" s="59" t="n">
        <v>1</v>
      </c>
      <c r="B2289" s="75" t="n">
        <v>46256</v>
      </c>
      <c r="C2289" s="75" t="n">
        <v>46259</v>
      </c>
      <c r="D2289" s="59" t="n">
        <v>642</v>
      </c>
      <c r="E2289" s="59" t="inlineStr">
        <is>
          <t>ADICSO FABIAN GONZALEZ MONTILLA 70302186</t>
        </is>
      </c>
      <c r="F2289" s="59" t="n">
        <v>24</v>
      </c>
      <c r="G2289" s="59" t="inlineStr">
        <is>
          <t>Compra a Prazo - Boletos</t>
        </is>
      </c>
      <c r="H2289" s="59" t="n">
        <v>2110405</v>
      </c>
      <c r="I2289" s="59" t="inlineStr">
        <is>
          <t>CONTAS A PAGAR</t>
        </is>
      </c>
      <c r="J2289" s="59" t="n">
        <v>1585544</v>
      </c>
      <c r="L2289" s="59" t="n">
        <v>612</v>
      </c>
      <c r="M2289" s="59" t="inlineStr">
        <is>
          <t>01</t>
        </is>
      </c>
      <c r="N2289" s="59" t="inlineStr">
        <is>
          <t>AVU</t>
        </is>
      </c>
      <c r="P2289" s="59" t="n">
        <v>103</v>
      </c>
      <c r="Q2289" s="59" t="inlineStr">
        <is>
          <t>MILKA FRANCIS</t>
        </is>
      </c>
      <c r="R2289" s="59" t="inlineStr">
        <is>
          <t>ESTOQUE DE MERCADORIAS</t>
        </is>
      </c>
      <c r="S2289" s="59" t="n">
        <v>1130101</v>
      </c>
      <c r="T2289" s="59" t="inlineStr">
        <is>
          <t>MERCADORIAS P/REVENDA</t>
        </is>
      </c>
      <c r="U2289" s="77" t="n">
        <v>660</v>
      </c>
      <c r="W2289" s="59" t="n">
        <v>0</v>
      </c>
      <c r="X2289" s="59" t="inlineStr">
        <is>
          <t>NF 612 BLOOM - MILKA</t>
        </is>
      </c>
      <c r="Z2289" s="59">
        <f>IF($T2289="","",IFERROR(INDEX('Resumo Grupos'!$AC$3:$AC$200,MATCH($T2289,'Resumo Grupos'!$AB$3:$AB$200,0)),"n/d"))</f>
        <v/>
      </c>
      <c r="AA2289" s="59">
        <f>IF($T2289="","",IF(COUNTIF('Resumo Grupos'!$AE$3:$AE$40,$T2289)&gt;0,"NAO","SIM"))</f>
        <v/>
      </c>
    </row>
    <row r="2290" ht="12.75" customHeight="1" s="60">
      <c r="A2290" s="59" t="n">
        <v>1</v>
      </c>
      <c r="B2290" s="75" t="n">
        <v>46230</v>
      </c>
      <c r="C2290" s="75" t="n">
        <v>46260</v>
      </c>
      <c r="D2290" s="59" t="n">
        <v>639</v>
      </c>
      <c r="E2290" s="59" t="inlineStr">
        <is>
          <t>EMOPS CONTROLE AMBIENTAL EIRELI</t>
        </is>
      </c>
      <c r="F2290" s="59" t="n">
        <v>24</v>
      </c>
      <c r="G2290" s="59" t="inlineStr">
        <is>
          <t>Compra a Prazo - Boletos</t>
        </is>
      </c>
      <c r="H2290" s="59" t="n">
        <v>1110202</v>
      </c>
      <c r="I2290" s="59" t="inlineStr">
        <is>
          <t>BANCO ITAU Lj 01</t>
        </is>
      </c>
      <c r="J2290" s="59" t="n">
        <v>1459262</v>
      </c>
      <c r="L2290" s="59" t="n">
        <v>45551</v>
      </c>
      <c r="M2290" s="59" t="inlineStr">
        <is>
          <t>01</t>
        </is>
      </c>
      <c r="N2290" s="59" t="inlineStr">
        <is>
          <t>AVU</t>
        </is>
      </c>
      <c r="P2290" s="59" t="n">
        <v>101</v>
      </c>
      <c r="Q2290" s="59" t="inlineStr">
        <is>
          <t>KEILA LIMA</t>
        </is>
      </c>
      <c r="R2290" s="59" t="inlineStr">
        <is>
          <t>DESPESAS OPERACIONAIS</t>
        </is>
      </c>
      <c r="S2290" s="59" t="n">
        <v>4210216</v>
      </c>
      <c r="T2290" s="59" t="inlineStr">
        <is>
          <t>DEDETIZACAO - LIMPEZA</t>
        </is>
      </c>
      <c r="U2290" s="77" t="n">
        <v>420</v>
      </c>
      <c r="W2290" s="59" t="n">
        <v>0</v>
      </c>
      <c r="X2290" s="59" t="inlineStr">
        <is>
          <t>MENS DEDETIZACAO MO1 - KEILA</t>
        </is>
      </c>
      <c r="Z2290" s="59">
        <f>IF($T2290="","",IFERROR(INDEX('Resumo Grupos'!$AC$3:$AC$200,MATCH($T2290,'Resumo Grupos'!$AB$3:$AB$200,0)),"n/d"))</f>
        <v/>
      </c>
      <c r="AA2290" s="59">
        <f>IF($T2290="","",IF(COUNTIF('Resumo Grupos'!$AE$3:$AE$40,$T2290)&gt;0,"NAO","SIM"))</f>
        <v/>
      </c>
    </row>
    <row r="2291" ht="12.75" customHeight="1" s="60">
      <c r="A2291" s="59" t="n">
        <v>1</v>
      </c>
      <c r="B2291" s="75" t="n">
        <v>46226</v>
      </c>
      <c r="C2291" s="75" t="n">
        <v>46260</v>
      </c>
      <c r="D2291" s="59" t="n">
        <v>1671</v>
      </c>
      <c r="E2291" s="59" t="inlineStr">
        <is>
          <t>TAPAJOS COM DE PERFUMARIA COSMETICOS E G</t>
        </is>
      </c>
      <c r="F2291" s="59" t="n">
        <v>24</v>
      </c>
      <c r="G2291" s="59" t="inlineStr">
        <is>
          <t>Compra a Prazo - Boletos</t>
        </is>
      </c>
      <c r="H2291" s="59" t="n">
        <v>2110405</v>
      </c>
      <c r="I2291" s="59" t="inlineStr">
        <is>
          <t>CONTAS A PAGAR</t>
        </is>
      </c>
      <c r="J2291" s="59" t="n">
        <v>1439103</v>
      </c>
      <c r="L2291" s="59" t="n">
        <v>592343</v>
      </c>
      <c r="M2291" s="59" t="inlineStr">
        <is>
          <t>04</t>
        </is>
      </c>
      <c r="N2291" s="59" t="inlineStr">
        <is>
          <t>AVU</t>
        </is>
      </c>
      <c r="P2291" s="59" t="n">
        <v>104</v>
      </c>
      <c r="Q2291" s="59" t="inlineStr">
        <is>
          <t>DEBORA COSTA</t>
        </is>
      </c>
      <c r="R2291" s="59" t="inlineStr">
        <is>
          <t>ESTOQUE DE MERCADORIAS</t>
        </is>
      </c>
      <c r="S2291" s="59" t="n">
        <v>1130101</v>
      </c>
      <c r="T2291" s="59" t="inlineStr">
        <is>
          <t>MERCADORIAS P/REVENDA</t>
        </is>
      </c>
      <c r="U2291" s="77" t="n">
        <v>1473.38</v>
      </c>
      <c r="W2291" s="59" t="n">
        <v>0</v>
      </c>
      <c r="X2291" s="59" t="inlineStr">
        <is>
          <t>NF 581288 - COM TAXA - DEBORA</t>
        </is>
      </c>
      <c r="Z2291" s="59">
        <f>IF($T2291="","",IFERROR(INDEX('Resumo Grupos'!$AC$3:$AC$200,MATCH($T2291,'Resumo Grupos'!$AB$3:$AB$200,0)),"n/d"))</f>
        <v/>
      </c>
      <c r="AA2291" s="59">
        <f>IF($T2291="","",IF(COUNTIF('Resumo Grupos'!$AE$3:$AE$40,$T2291)&gt;0,"NAO","SIM"))</f>
        <v/>
      </c>
    </row>
    <row r="2292" ht="12.75" customHeight="1" s="60">
      <c r="A2292" s="59" t="n">
        <v>1</v>
      </c>
      <c r="B2292" s="75" t="n">
        <v>46226</v>
      </c>
      <c r="C2292" s="75" t="n">
        <v>46260</v>
      </c>
      <c r="D2292" s="59" t="n">
        <v>10011</v>
      </c>
      <c r="E2292" s="59" t="inlineStr">
        <is>
          <t>OPPORTUNITY ALIMENTOS PARA ANIMAIS LTDA</t>
        </is>
      </c>
      <c r="F2292" s="59" t="n">
        <v>24</v>
      </c>
      <c r="G2292" s="59" t="inlineStr">
        <is>
          <t>Compra a Prazo - Boletos</t>
        </is>
      </c>
      <c r="H2292" s="59" t="n">
        <v>2110405</v>
      </c>
      <c r="I2292" s="59" t="inlineStr">
        <is>
          <t>CONTAS A PAGAR</t>
        </is>
      </c>
      <c r="J2292" s="59" t="n">
        <v>1440273</v>
      </c>
      <c r="L2292" s="59" t="n">
        <v>592643</v>
      </c>
      <c r="M2292" s="59" t="inlineStr">
        <is>
          <t>02</t>
        </is>
      </c>
      <c r="N2292" s="59" t="inlineStr">
        <is>
          <t>AVU</t>
        </is>
      </c>
      <c r="P2292" s="59" t="n">
        <v>104</v>
      </c>
      <c r="Q2292" s="59" t="inlineStr">
        <is>
          <t>DEBORA COSTA</t>
        </is>
      </c>
      <c r="R2292" s="59" t="inlineStr">
        <is>
          <t>ESTOQUE DE MERCADORIAS</t>
        </is>
      </c>
      <c r="S2292" s="59" t="n">
        <v>1130101</v>
      </c>
      <c r="T2292" s="59" t="inlineStr">
        <is>
          <t>MERCADORIAS P/REVENDA</t>
        </is>
      </c>
      <c r="U2292" s="77" t="n">
        <v>562.9299999999999</v>
      </c>
      <c r="W2292" s="59" t="n">
        <v>0</v>
      </c>
      <c r="X2292" s="59" t="inlineStr">
        <is>
          <t>NF 34780 - DEBORA</t>
        </is>
      </c>
      <c r="Z2292" s="59">
        <f>IF($T2292="","",IFERROR(INDEX('Resumo Grupos'!$AC$3:$AC$200,MATCH($T2292,'Resumo Grupos'!$AB$3:$AB$200,0)),"n/d"))</f>
        <v/>
      </c>
      <c r="AA2292" s="59">
        <f>IF($T2292="","",IF(COUNTIF('Resumo Grupos'!$AE$3:$AE$40,$T2292)&gt;0,"NAO","SIM"))</f>
        <v/>
      </c>
    </row>
    <row r="2293" ht="12.75" customHeight="1" s="60">
      <c r="A2293" s="59" t="n">
        <v>1</v>
      </c>
      <c r="B2293" s="75" t="n">
        <v>46227</v>
      </c>
      <c r="C2293" s="75" t="n">
        <v>46260</v>
      </c>
      <c r="D2293" s="59" t="n">
        <v>1624</v>
      </c>
      <c r="E2293" s="59" t="inlineStr">
        <is>
          <t>RISADINHA LTDA</t>
        </is>
      </c>
      <c r="F2293" s="59" t="n">
        <v>24</v>
      </c>
      <c r="G2293" s="59" t="inlineStr">
        <is>
          <t>Compra a Prazo - Boletos</t>
        </is>
      </c>
      <c r="H2293" s="59" t="n">
        <v>2110405</v>
      </c>
      <c r="I2293" s="59" t="inlineStr">
        <is>
          <t>CONTAS A PAGAR</t>
        </is>
      </c>
      <c r="J2293" s="59" t="n">
        <v>1443647</v>
      </c>
      <c r="L2293" s="59" t="n">
        <v>665164</v>
      </c>
      <c r="M2293" s="59" t="inlineStr">
        <is>
          <t>03</t>
        </is>
      </c>
      <c r="N2293" s="59" t="inlineStr">
        <is>
          <t>AVU</t>
        </is>
      </c>
      <c r="P2293" s="59" t="n">
        <v>103</v>
      </c>
      <c r="Q2293" s="59" t="inlineStr">
        <is>
          <t>MILKA FRANCIS</t>
        </is>
      </c>
      <c r="R2293" s="59" t="inlineStr">
        <is>
          <t>ESTOQUE DE MERCADORIAS</t>
        </is>
      </c>
      <c r="S2293" s="59" t="n">
        <v>1130101</v>
      </c>
      <c r="T2293" s="59" t="inlineStr">
        <is>
          <t>MERCADORIAS P/REVENDA</t>
        </is>
      </c>
      <c r="U2293" s="77" t="n">
        <v>853.9</v>
      </c>
      <c r="W2293" s="59" t="n">
        <v>0</v>
      </c>
      <c r="X2293" s="59" t="inlineStr">
        <is>
          <t>NF 665164 -3 MILKA</t>
        </is>
      </c>
      <c r="Z2293" s="59">
        <f>IF($T2293="","",IFERROR(INDEX('Resumo Grupos'!$AC$3:$AC$200,MATCH($T2293,'Resumo Grupos'!$AB$3:$AB$200,0)),"n/d"))</f>
        <v/>
      </c>
      <c r="AA2293" s="59">
        <f>IF($T2293="","",IF(COUNTIF('Resumo Grupos'!$AE$3:$AE$40,$T2293)&gt;0,"NAO","SIM"))</f>
        <v/>
      </c>
    </row>
    <row r="2294" ht="12.75" customHeight="1" s="60">
      <c r="A2294" s="59" t="n">
        <v>1</v>
      </c>
      <c r="B2294" s="75" t="n">
        <v>46232</v>
      </c>
      <c r="C2294" s="75" t="n">
        <v>46260</v>
      </c>
      <c r="D2294" s="59" t="n">
        <v>1842</v>
      </c>
      <c r="E2294" s="59" t="inlineStr">
        <is>
          <t>INCORE SERVICOS DE MANUTENCAO DE EQUIPAM</t>
        </is>
      </c>
      <c r="F2294" s="59" t="n">
        <v>24</v>
      </c>
      <c r="G2294" s="59" t="inlineStr">
        <is>
          <t>Compra a Prazo - Boletos</t>
        </is>
      </c>
      <c r="H2294" s="59" t="n">
        <v>1110202</v>
      </c>
      <c r="I2294" s="59" t="inlineStr">
        <is>
          <t>BANCO ITAU Lj 01</t>
        </is>
      </c>
      <c r="J2294" s="59" t="n">
        <v>1469815</v>
      </c>
      <c r="L2294" s="59" t="n">
        <v>7730</v>
      </c>
      <c r="M2294" s="59" t="inlineStr">
        <is>
          <t>01</t>
        </is>
      </c>
      <c r="N2294" s="59" t="inlineStr">
        <is>
          <t>AVU</t>
        </is>
      </c>
      <c r="P2294" s="59" t="n">
        <v>103</v>
      </c>
      <c r="Q2294" s="59" t="inlineStr">
        <is>
          <t>MILKA FRANCIS</t>
        </is>
      </c>
      <c r="R2294" s="59" t="inlineStr">
        <is>
          <t>DESPESAS OPERACIONAIS</t>
        </is>
      </c>
      <c r="S2294" s="59" t="n">
        <v>4210229</v>
      </c>
      <c r="T2294" s="59" t="inlineStr">
        <is>
          <t>DESPESAS ACOUGUE</t>
        </is>
      </c>
      <c r="U2294" s="77" t="n">
        <v>350</v>
      </c>
      <c r="W2294" s="59" t="n">
        <v>0</v>
      </c>
      <c r="X2294" s="59" t="inlineStr">
        <is>
          <t>NF 7730 USO E CONSUMO /SERRA DE ACOUGUE - MILKA</t>
        </is>
      </c>
      <c r="Z2294" s="59">
        <f>IF($T2294="","",IFERROR(INDEX('Resumo Grupos'!$AC$3:$AC$200,MATCH($T2294,'Resumo Grupos'!$AB$3:$AB$200,0)),"n/d"))</f>
        <v/>
      </c>
      <c r="AA2294" s="59">
        <f>IF($T2294="","",IF(COUNTIF('Resumo Grupos'!$AE$3:$AE$40,$T2294)&gt;0,"NAO","SIM"))</f>
        <v/>
      </c>
    </row>
    <row r="2295" ht="12.75" customHeight="1" s="60">
      <c r="A2295" s="59" t="n">
        <v>1</v>
      </c>
      <c r="B2295" s="75" t="n">
        <v>46241</v>
      </c>
      <c r="C2295" s="75" t="n">
        <v>46260</v>
      </c>
      <c r="D2295" s="59" t="n">
        <v>1624</v>
      </c>
      <c r="E2295" s="59" t="inlineStr">
        <is>
          <t>RISADINHA LTDA</t>
        </is>
      </c>
      <c r="F2295" s="59" t="n">
        <v>24</v>
      </c>
      <c r="G2295" s="59" t="inlineStr">
        <is>
          <t>Compra a Prazo - Boletos</t>
        </is>
      </c>
      <c r="H2295" s="59" t="n">
        <v>2110405</v>
      </c>
      <c r="I2295" s="59" t="inlineStr">
        <is>
          <t>CONTAS A PAGAR</t>
        </is>
      </c>
      <c r="J2295" s="59" t="n">
        <v>1513655</v>
      </c>
      <c r="L2295" s="59" t="n">
        <v>667391</v>
      </c>
      <c r="M2295" s="59" t="inlineStr">
        <is>
          <t>01</t>
        </is>
      </c>
      <c r="N2295" s="59" t="inlineStr">
        <is>
          <t>AVU</t>
        </is>
      </c>
      <c r="P2295" s="59" t="n">
        <v>103</v>
      </c>
      <c r="Q2295" s="59" t="inlineStr">
        <is>
          <t>MILKA FRANCIS</t>
        </is>
      </c>
      <c r="R2295" s="59" t="inlineStr">
        <is>
          <t>ESTOQUE DE MERCADORIAS</t>
        </is>
      </c>
      <c r="S2295" s="59" t="n">
        <v>1130101</v>
      </c>
      <c r="T2295" s="59" t="inlineStr">
        <is>
          <t>MERCADORIAS P/REVENDA</t>
        </is>
      </c>
      <c r="U2295" s="77" t="n">
        <v>939.08</v>
      </c>
      <c r="W2295" s="59" t="n">
        <v>0</v>
      </c>
      <c r="X2295" s="59" t="inlineStr">
        <is>
          <t>NF 667391-1 MILKA</t>
        </is>
      </c>
      <c r="Z2295" s="59">
        <f>IF($T2295="","",IFERROR(INDEX('Resumo Grupos'!$AC$3:$AC$200,MATCH($T2295,'Resumo Grupos'!$AB$3:$AB$200,0)),"n/d"))</f>
        <v/>
      </c>
      <c r="AA2295" s="59">
        <f>IF($T2295="","",IF(COUNTIF('Resumo Grupos'!$AE$3:$AE$40,$T2295)&gt;0,"NAO","SIM"))</f>
        <v/>
      </c>
    </row>
    <row r="2296" ht="12.75" customHeight="1" s="60">
      <c r="A2296" s="59" t="n">
        <v>1</v>
      </c>
      <c r="B2296" s="75" t="n">
        <v>46241</v>
      </c>
      <c r="C2296" s="75" t="n">
        <v>46260</v>
      </c>
      <c r="D2296" s="59" t="n">
        <v>1613</v>
      </c>
      <c r="E2296" s="59" t="inlineStr">
        <is>
          <t>BRF S A</t>
        </is>
      </c>
      <c r="F2296" s="59" t="n">
        <v>24</v>
      </c>
      <c r="G2296" s="59" t="inlineStr">
        <is>
          <t>Compra a Prazo - Boletos</t>
        </is>
      </c>
      <c r="H2296" s="59" t="n">
        <v>2110405</v>
      </c>
      <c r="I2296" s="59" t="inlineStr">
        <is>
          <t>CONTAS A PAGAR</t>
        </is>
      </c>
      <c r="J2296" s="59" t="n">
        <v>1515520</v>
      </c>
      <c r="L2296" s="59" t="n">
        <v>1616799</v>
      </c>
      <c r="M2296" s="59" t="inlineStr">
        <is>
          <t>02</t>
        </is>
      </c>
      <c r="N2296" s="59" t="inlineStr">
        <is>
          <t>AVU</t>
        </is>
      </c>
      <c r="P2296" s="59" t="n">
        <v>103</v>
      </c>
      <c r="Q2296" s="59" t="inlineStr">
        <is>
          <t>MILKA FRANCIS</t>
        </is>
      </c>
      <c r="R2296" s="59" t="inlineStr">
        <is>
          <t>ESTOQUE DE MERCADORIAS</t>
        </is>
      </c>
      <c r="S2296" s="59" t="n">
        <v>1130101</v>
      </c>
      <c r="T2296" s="59" t="inlineStr">
        <is>
          <t>MERCADORIAS P/REVENDA</t>
        </is>
      </c>
      <c r="U2296" s="77" t="n">
        <v>3101.66</v>
      </c>
      <c r="W2296" s="59" t="n">
        <v>0</v>
      </c>
      <c r="X2296" s="59" t="inlineStr">
        <is>
          <t>NF 1616799-02/02 MILKA</t>
        </is>
      </c>
      <c r="Z2296" s="59">
        <f>IF($T2296="","",IFERROR(INDEX('Resumo Grupos'!$AC$3:$AC$200,MATCH($T2296,'Resumo Grupos'!$AB$3:$AB$200,0)),"n/d"))</f>
        <v/>
      </c>
      <c r="AA2296" s="59">
        <f>IF($T2296="","",IF(COUNTIF('Resumo Grupos'!$AE$3:$AE$40,$T2296)&gt;0,"NAO","SIM"))</f>
        <v/>
      </c>
    </row>
    <row r="2297" ht="12.75" customHeight="1" s="60">
      <c r="A2297" s="59" t="n">
        <v>1</v>
      </c>
      <c r="B2297" s="75" t="n">
        <v>46241</v>
      </c>
      <c r="C2297" s="75" t="n">
        <v>46260</v>
      </c>
      <c r="D2297" s="59" t="n">
        <v>1613</v>
      </c>
      <c r="E2297" s="59" t="inlineStr">
        <is>
          <t>BRF S A</t>
        </is>
      </c>
      <c r="F2297" s="59" t="n">
        <v>24</v>
      </c>
      <c r="G2297" s="59" t="inlineStr">
        <is>
          <t>Compra a Prazo - Boletos</t>
        </is>
      </c>
      <c r="H2297" s="59" t="n">
        <v>2110405</v>
      </c>
      <c r="I2297" s="59" t="inlineStr">
        <is>
          <t>CONTAS A PAGAR</t>
        </is>
      </c>
      <c r="J2297" s="59" t="n">
        <v>1515617</v>
      </c>
      <c r="L2297" s="59" t="n">
        <v>1616568</v>
      </c>
      <c r="M2297" s="59" t="inlineStr">
        <is>
          <t>02</t>
        </is>
      </c>
      <c r="N2297" s="59" t="inlineStr">
        <is>
          <t>AVU</t>
        </is>
      </c>
      <c r="P2297" s="59" t="n">
        <v>103</v>
      </c>
      <c r="Q2297" s="59" t="inlineStr">
        <is>
          <t>MILKA FRANCIS</t>
        </is>
      </c>
      <c r="R2297" s="59" t="inlineStr">
        <is>
          <t>ESTOQUE DE MERCADORIAS</t>
        </is>
      </c>
      <c r="S2297" s="59" t="n">
        <v>1130101</v>
      </c>
      <c r="T2297" s="59" t="inlineStr">
        <is>
          <t>MERCADORIAS P/REVENDA</t>
        </is>
      </c>
      <c r="U2297" s="77" t="n">
        <v>634.72</v>
      </c>
      <c r="W2297" s="59" t="n">
        <v>0</v>
      </c>
      <c r="X2297" s="59" t="inlineStr">
        <is>
          <t>NF 1616568-02/02 - MILKA</t>
        </is>
      </c>
      <c r="Z2297" s="59">
        <f>IF($T2297="","",IFERROR(INDEX('Resumo Grupos'!$AC$3:$AC$200,MATCH($T2297,'Resumo Grupos'!$AB$3:$AB$200,0)),"n/d"))</f>
        <v/>
      </c>
      <c r="AA2297" s="59">
        <f>IF($T2297="","",IF(COUNTIF('Resumo Grupos'!$AE$3:$AE$40,$T2297)&gt;0,"NAO","SIM"))</f>
        <v/>
      </c>
    </row>
    <row r="2298" ht="12.75" customHeight="1" s="60">
      <c r="A2298" s="59" t="n">
        <v>1</v>
      </c>
      <c r="B2298" s="75" t="n">
        <v>46242</v>
      </c>
      <c r="C2298" s="75" t="n">
        <v>46260</v>
      </c>
      <c r="D2298" s="59" t="n">
        <v>1637</v>
      </c>
      <c r="E2298" s="59" t="inlineStr">
        <is>
          <t>ATACADAO S.A.</t>
        </is>
      </c>
      <c r="F2298" s="59" t="n">
        <v>24</v>
      </c>
      <c r="G2298" s="59" t="inlineStr">
        <is>
          <t>Compra a Prazo - Boletos</t>
        </is>
      </c>
      <c r="H2298" s="59" t="n">
        <v>2110405</v>
      </c>
      <c r="I2298" s="59" t="inlineStr">
        <is>
          <t>CONTAS A PAGAR</t>
        </is>
      </c>
      <c r="J2298" s="59" t="n">
        <v>1517336</v>
      </c>
      <c r="L2298" s="59" t="n">
        <v>1916562</v>
      </c>
      <c r="M2298" s="59" t="inlineStr">
        <is>
          <t>01</t>
        </is>
      </c>
      <c r="N2298" s="59" t="inlineStr">
        <is>
          <t>AVU</t>
        </is>
      </c>
      <c r="P2298" s="59" t="n">
        <v>103</v>
      </c>
      <c r="Q2298" s="59" t="inlineStr">
        <is>
          <t>MILKA FRANCIS</t>
        </is>
      </c>
      <c r="R2298" s="59" t="inlineStr">
        <is>
          <t>ESTOQUE DE MERCADORIAS</t>
        </is>
      </c>
      <c r="S2298" s="59" t="n">
        <v>1130101</v>
      </c>
      <c r="T2298" s="59" t="inlineStr">
        <is>
          <t>MERCADORIAS P/REVENDA</t>
        </is>
      </c>
      <c r="U2298" s="77" t="n">
        <v>1993.17</v>
      </c>
      <c r="W2298" s="59" t="n">
        <v>0</v>
      </c>
      <c r="X2298" s="59" t="inlineStr">
        <is>
          <t>NF 1916562 - MILKA</t>
        </is>
      </c>
      <c r="Z2298" s="59">
        <f>IF($T2298="","",IFERROR(INDEX('Resumo Grupos'!$AC$3:$AC$200,MATCH($T2298,'Resumo Grupos'!$AB$3:$AB$200,0)),"n/d"))</f>
        <v/>
      </c>
      <c r="AA2298" s="59">
        <f>IF($T2298="","",IF(COUNTIF('Resumo Grupos'!$AE$3:$AE$40,$T2298)&gt;0,"NAO","SIM"))</f>
        <v/>
      </c>
    </row>
    <row r="2299" ht="12.75" customHeight="1" s="60">
      <c r="A2299" s="59" t="n">
        <v>1</v>
      </c>
      <c r="B2299" s="75" t="n">
        <v>46242</v>
      </c>
      <c r="C2299" s="75" t="n">
        <v>46260</v>
      </c>
      <c r="D2299" s="59" t="n">
        <v>1667</v>
      </c>
      <c r="E2299" s="59" t="inlineStr">
        <is>
          <t>FENNIX BRASIL DISTRIBUIDORA DE PRODUTOS</t>
        </is>
      </c>
      <c r="F2299" s="59" t="n">
        <v>24</v>
      </c>
      <c r="G2299" s="59" t="inlineStr">
        <is>
          <t>Compra a Prazo - Boletos</t>
        </is>
      </c>
      <c r="H2299" s="59" t="n">
        <v>2110405</v>
      </c>
      <c r="I2299" s="59" t="inlineStr">
        <is>
          <t>CONTAS A PAGAR</t>
        </is>
      </c>
      <c r="J2299" s="59" t="n">
        <v>1517980</v>
      </c>
      <c r="L2299" s="59" t="n">
        <v>397841</v>
      </c>
      <c r="M2299" s="59" t="inlineStr">
        <is>
          <t>01</t>
        </is>
      </c>
      <c r="N2299" s="59" t="inlineStr">
        <is>
          <t>AVU</t>
        </is>
      </c>
      <c r="P2299" s="59" t="n">
        <v>103</v>
      </c>
      <c r="Q2299" s="59" t="inlineStr">
        <is>
          <t>MILKA FRANCIS</t>
        </is>
      </c>
      <c r="R2299" s="59" t="inlineStr">
        <is>
          <t>ESTOQUE DE MERCADORIAS</t>
        </is>
      </c>
      <c r="S2299" s="59" t="n">
        <v>1130101</v>
      </c>
      <c r="T2299" s="59" t="inlineStr">
        <is>
          <t>MERCADORIAS P/REVENDA</t>
        </is>
      </c>
      <c r="U2299" s="77" t="n">
        <v>611.73</v>
      </c>
      <c r="W2299" s="59" t="n">
        <v>0</v>
      </c>
      <c r="X2299" s="59" t="inlineStr">
        <is>
          <t>NF 397841-1 C/TARIFA INCLUSA - MILKA</t>
        </is>
      </c>
      <c r="Z2299" s="59">
        <f>IF($T2299="","",IFERROR(INDEX('Resumo Grupos'!$AC$3:$AC$200,MATCH($T2299,'Resumo Grupos'!$AB$3:$AB$200,0)),"n/d"))</f>
        <v/>
      </c>
      <c r="AA2299" s="59">
        <f>IF($T2299="","",IF(COUNTIF('Resumo Grupos'!$AE$3:$AE$40,$T2299)&gt;0,"NAO","SIM"))</f>
        <v/>
      </c>
    </row>
    <row r="2300" ht="12.75" customHeight="1" s="60">
      <c r="A2300" s="59" t="n">
        <v>1</v>
      </c>
      <c r="B2300" s="75" t="n">
        <v>46242</v>
      </c>
      <c r="C2300" s="75" t="n">
        <v>46260</v>
      </c>
      <c r="D2300" s="59" t="n">
        <v>1745</v>
      </c>
      <c r="E2300" s="59" t="inlineStr">
        <is>
          <t>TRES CORACOES ALIMENTOS S.A.</t>
        </is>
      </c>
      <c r="F2300" s="59" t="n">
        <v>24</v>
      </c>
      <c r="G2300" s="59" t="inlineStr">
        <is>
          <t>Compra a Prazo - Boletos</t>
        </is>
      </c>
      <c r="H2300" s="59" t="n">
        <v>2110405</v>
      </c>
      <c r="I2300" s="59" t="inlineStr">
        <is>
          <t>CONTAS A PAGAR</t>
        </is>
      </c>
      <c r="J2300" s="59" t="n">
        <v>1518168</v>
      </c>
      <c r="L2300" s="59" t="n">
        <v>356122</v>
      </c>
      <c r="M2300" s="59" t="inlineStr">
        <is>
          <t>01</t>
        </is>
      </c>
      <c r="N2300" s="59" t="inlineStr">
        <is>
          <t>AVU</t>
        </is>
      </c>
      <c r="P2300" s="59" t="n">
        <v>103</v>
      </c>
      <c r="Q2300" s="59" t="inlineStr">
        <is>
          <t>MILKA FRANCIS</t>
        </is>
      </c>
      <c r="R2300" s="59" t="inlineStr">
        <is>
          <t>ESTOQUE DE MERCADORIAS</t>
        </is>
      </c>
      <c r="S2300" s="59" t="n">
        <v>1130101</v>
      </c>
      <c r="T2300" s="59" t="inlineStr">
        <is>
          <t>MERCADORIAS P/REVENDA</t>
        </is>
      </c>
      <c r="U2300" s="77" t="n">
        <v>793.41</v>
      </c>
      <c r="W2300" s="59" t="n">
        <v>0</v>
      </c>
      <c r="X2300" s="59" t="inlineStr">
        <is>
          <t>NF 356122 - MILKA</t>
        </is>
      </c>
      <c r="Z2300" s="59">
        <f>IF($T2300="","",IFERROR(INDEX('Resumo Grupos'!$AC$3:$AC$200,MATCH($T2300,'Resumo Grupos'!$AB$3:$AB$200,0)),"n/d"))</f>
        <v/>
      </c>
      <c r="AA2300" s="59">
        <f>IF($T2300="","",IF(COUNTIF('Resumo Grupos'!$AE$3:$AE$40,$T2300)&gt;0,"NAO","SIM"))</f>
        <v/>
      </c>
    </row>
    <row r="2301" ht="12.75" customHeight="1" s="60">
      <c r="A2301" s="59" t="n">
        <v>1</v>
      </c>
      <c r="B2301" s="75" t="n">
        <v>46242</v>
      </c>
      <c r="C2301" s="75" t="n">
        <v>46260</v>
      </c>
      <c r="D2301" s="59" t="n">
        <v>967</v>
      </c>
      <c r="E2301" s="59" t="inlineStr">
        <is>
          <t>L. J. DA SILVA LTDA</t>
        </is>
      </c>
      <c r="F2301" s="59" t="n">
        <v>24</v>
      </c>
      <c r="G2301" s="59" t="inlineStr">
        <is>
          <t>Compra a Prazo - Boletos</t>
        </is>
      </c>
      <c r="H2301" s="59" t="n">
        <v>2110405</v>
      </c>
      <c r="I2301" s="59" t="inlineStr">
        <is>
          <t>CONTAS A PAGAR</t>
        </is>
      </c>
      <c r="J2301" s="59" t="n">
        <v>1518232</v>
      </c>
      <c r="L2301" s="59" t="n">
        <v>36539</v>
      </c>
      <c r="M2301" s="59" t="inlineStr">
        <is>
          <t>01</t>
        </is>
      </c>
      <c r="N2301" s="59" t="inlineStr">
        <is>
          <t>AVU</t>
        </is>
      </c>
      <c r="P2301" s="59" t="n">
        <v>103</v>
      </c>
      <c r="Q2301" s="59" t="inlineStr">
        <is>
          <t>MILKA FRANCIS</t>
        </is>
      </c>
      <c r="R2301" s="59" t="inlineStr">
        <is>
          <t>ESTOQUE DE MERCADORIAS</t>
        </is>
      </c>
      <c r="S2301" s="59" t="n">
        <v>1130101</v>
      </c>
      <c r="T2301" s="59" t="inlineStr">
        <is>
          <t>MERCADORIAS P/REVENDA</t>
        </is>
      </c>
      <c r="U2301" s="77" t="n">
        <v>2402.15</v>
      </c>
      <c r="W2301" s="59" t="n">
        <v>0</v>
      </c>
      <c r="X2301" s="59" t="inlineStr">
        <is>
          <t>48293-A/B  NF36539 TARIFA INCLUSA - MILKA</t>
        </is>
      </c>
      <c r="Z2301" s="59">
        <f>IF($T2301="","",IFERROR(INDEX('Resumo Grupos'!$AC$3:$AC$200,MATCH($T2301,'Resumo Grupos'!$AB$3:$AB$200,0)),"n/d"))</f>
        <v/>
      </c>
      <c r="AA2301" s="59">
        <f>IF($T2301="","",IF(COUNTIF('Resumo Grupos'!$AE$3:$AE$40,$T2301)&gt;0,"NAO","SIM"))</f>
        <v/>
      </c>
    </row>
    <row r="2302" ht="12.75" customHeight="1" s="60">
      <c r="A2302" s="59" t="n">
        <v>1</v>
      </c>
      <c r="B2302" s="75" t="n">
        <v>46244</v>
      </c>
      <c r="C2302" s="75" t="n">
        <v>46260</v>
      </c>
      <c r="D2302" s="59" t="n">
        <v>1668</v>
      </c>
      <c r="E2302" s="59" t="inlineStr">
        <is>
          <t>NATUREZA COMERCIO DE DESCARTAVEIS LTDA</t>
        </is>
      </c>
      <c r="F2302" s="59" t="n">
        <v>24</v>
      </c>
      <c r="G2302" s="59" t="inlineStr">
        <is>
          <t>Compra a Prazo - Boletos</t>
        </is>
      </c>
      <c r="H2302" s="59" t="n">
        <v>2110405</v>
      </c>
      <c r="I2302" s="59" t="inlineStr">
        <is>
          <t>CONTAS A PAGAR</t>
        </is>
      </c>
      <c r="J2302" s="59" t="n">
        <v>1528863</v>
      </c>
      <c r="L2302" s="59" t="n">
        <v>746378</v>
      </c>
      <c r="M2302" s="59" t="inlineStr">
        <is>
          <t>01</t>
        </is>
      </c>
      <c r="N2302" s="59" t="inlineStr">
        <is>
          <t>AVU</t>
        </is>
      </c>
      <c r="P2302" s="59" t="n">
        <v>103</v>
      </c>
      <c r="Q2302" s="59" t="inlineStr">
        <is>
          <t>MILKA FRANCIS</t>
        </is>
      </c>
      <c r="R2302" s="59" t="inlineStr">
        <is>
          <t>DESPESAS OPERACIONAIS</t>
        </is>
      </c>
      <c r="S2302" s="59" t="n">
        <v>4210299</v>
      </c>
      <c r="T2302" s="59" t="inlineStr">
        <is>
          <t>DESPESA DE VENDA</t>
        </is>
      </c>
      <c r="U2302" s="77" t="n">
        <v>871.1900000000001</v>
      </c>
      <c r="W2302" s="59" t="n">
        <v>0</v>
      </c>
      <c r="X2302" s="59" t="inlineStr">
        <is>
          <t>NF 746378 SACO PAPEL / USO E CONSUMO VENDA - MILKA</t>
        </is>
      </c>
      <c r="Z2302" s="59">
        <f>IF($T2302="","",IFERROR(INDEX('Resumo Grupos'!$AC$3:$AC$200,MATCH($T2302,'Resumo Grupos'!$AB$3:$AB$200,0)),"n/d"))</f>
        <v/>
      </c>
      <c r="AA2302" s="59">
        <f>IF($T2302="","",IF(COUNTIF('Resumo Grupos'!$AE$3:$AE$40,$T2302)&gt;0,"NAO","SIM"))</f>
        <v/>
      </c>
    </row>
    <row r="2303" ht="12.75" customHeight="1" s="60">
      <c r="A2303" s="59" t="n">
        <v>1</v>
      </c>
      <c r="B2303" s="75" t="n">
        <v>46246</v>
      </c>
      <c r="C2303" s="75" t="n">
        <v>46260</v>
      </c>
      <c r="D2303" s="59" t="n">
        <v>1601</v>
      </c>
      <c r="E2303" s="59" t="inlineStr">
        <is>
          <t>CB COMERCIO E DISTRIBUIDORA DE ALIMENTOS</t>
        </is>
      </c>
      <c r="F2303" s="59" t="n">
        <v>24</v>
      </c>
      <c r="G2303" s="59" t="inlineStr">
        <is>
          <t>Compra a Prazo - Boletos</t>
        </is>
      </c>
      <c r="H2303" s="59" t="n">
        <v>2110405</v>
      </c>
      <c r="I2303" s="59" t="inlineStr">
        <is>
          <t>CONTAS A PAGAR</t>
        </is>
      </c>
      <c r="J2303" s="59" t="n">
        <v>1537246</v>
      </c>
      <c r="L2303" s="59" t="n">
        <v>862283</v>
      </c>
      <c r="M2303" s="59" t="inlineStr">
        <is>
          <t>01</t>
        </is>
      </c>
      <c r="N2303" s="59" t="inlineStr">
        <is>
          <t>AVU</t>
        </is>
      </c>
      <c r="P2303" s="59" t="n">
        <v>103</v>
      </c>
      <c r="Q2303" s="59" t="inlineStr">
        <is>
          <t>MILKA FRANCIS</t>
        </is>
      </c>
      <c r="R2303" s="59" t="inlineStr">
        <is>
          <t>ESTOQUE DE MERCADORIAS</t>
        </is>
      </c>
      <c r="S2303" s="59" t="n">
        <v>1130101</v>
      </c>
      <c r="T2303" s="59" t="inlineStr">
        <is>
          <t>MERCADORIAS P/REVENDA</t>
        </is>
      </c>
      <c r="U2303" s="77" t="n">
        <v>947.55</v>
      </c>
      <c r="W2303" s="59" t="n">
        <v>0</v>
      </c>
      <c r="X2303" s="59" t="inlineStr">
        <is>
          <t>963323-A/C  NF862283 - MILKA</t>
        </is>
      </c>
      <c r="Z2303" s="59">
        <f>IF($T2303="","",IFERROR(INDEX('Resumo Grupos'!$AC$3:$AC$200,MATCH($T2303,'Resumo Grupos'!$AB$3:$AB$200,0)),"n/d"))</f>
        <v/>
      </c>
      <c r="AA2303" s="59">
        <f>IF($T2303="","",IF(COUNTIF('Resumo Grupos'!$AE$3:$AE$40,$T2303)&gt;0,"NAO","SIM"))</f>
        <v/>
      </c>
    </row>
    <row r="2304" ht="12.75" customHeight="1" s="60">
      <c r="A2304" s="59" t="n">
        <v>1</v>
      </c>
      <c r="B2304" s="75" t="n">
        <v>46247</v>
      </c>
      <c r="C2304" s="75" t="n">
        <v>46260</v>
      </c>
      <c r="D2304" s="59" t="n">
        <v>1608</v>
      </c>
      <c r="E2304" s="59" t="inlineStr">
        <is>
          <t>DISTRIBUIDORA LOPES LTDA</t>
        </is>
      </c>
      <c r="F2304" s="59" t="n">
        <v>24</v>
      </c>
      <c r="G2304" s="59" t="inlineStr">
        <is>
          <t>Compra a Prazo - Boletos</t>
        </is>
      </c>
      <c r="H2304" s="59" t="n">
        <v>2110405</v>
      </c>
      <c r="I2304" s="59" t="inlineStr">
        <is>
          <t>CONTAS A PAGAR</t>
        </is>
      </c>
      <c r="J2304" s="59" t="n">
        <v>1540511</v>
      </c>
      <c r="L2304" s="59" t="n">
        <v>1709723</v>
      </c>
      <c r="M2304" s="59" t="inlineStr">
        <is>
          <t>01</t>
        </is>
      </c>
      <c r="N2304" s="59" t="inlineStr">
        <is>
          <t>AVU</t>
        </is>
      </c>
      <c r="P2304" s="59" t="n">
        <v>103</v>
      </c>
      <c r="Q2304" s="59" t="inlineStr">
        <is>
          <t>MILKA FRANCIS</t>
        </is>
      </c>
      <c r="R2304" s="59" t="inlineStr">
        <is>
          <t>ESTOQUE DE MERCADORIAS</t>
        </is>
      </c>
      <c r="S2304" s="59" t="n">
        <v>1130101</v>
      </c>
      <c r="T2304" s="59" t="inlineStr">
        <is>
          <t>MERCADORIAS P/REVENDA</t>
        </is>
      </c>
      <c r="U2304" s="77" t="n">
        <v>684.24</v>
      </c>
      <c r="W2304" s="59" t="n">
        <v>0</v>
      </c>
      <c r="X2304" s="59" t="inlineStr">
        <is>
          <t>NF 1709723 -1 MILKA</t>
        </is>
      </c>
      <c r="Z2304" s="59">
        <f>IF($T2304="","",IFERROR(INDEX('Resumo Grupos'!$AC$3:$AC$200,MATCH($T2304,'Resumo Grupos'!$AB$3:$AB$200,0)),"n/d"))</f>
        <v/>
      </c>
      <c r="AA2304" s="59">
        <f>IF($T2304="","",IF(COUNTIF('Resumo Grupos'!$AE$3:$AE$40,$T2304)&gt;0,"NAO","SIM"))</f>
        <v/>
      </c>
    </row>
    <row r="2305" ht="12.75" customHeight="1" s="60">
      <c r="A2305" s="59" t="n">
        <v>1</v>
      </c>
      <c r="B2305" s="75" t="n">
        <v>46247</v>
      </c>
      <c r="C2305" s="75" t="n">
        <v>46260</v>
      </c>
      <c r="D2305" s="59" t="n">
        <v>1636</v>
      </c>
      <c r="E2305" s="59" t="inlineStr">
        <is>
          <t>DUNORTE DISTRIBUIDORA DE PRODUTOS DE CONSUMO LTDA</t>
        </is>
      </c>
      <c r="F2305" s="59" t="n">
        <v>24</v>
      </c>
      <c r="G2305" s="59" t="inlineStr">
        <is>
          <t>Compra a Prazo - Boletos</t>
        </is>
      </c>
      <c r="H2305" s="59" t="n">
        <v>2110405</v>
      </c>
      <c r="I2305" s="59" t="inlineStr">
        <is>
          <t>CONTAS A PAGAR</t>
        </is>
      </c>
      <c r="J2305" s="59" t="n">
        <v>1541185</v>
      </c>
      <c r="L2305" s="59" t="n">
        <v>3235765</v>
      </c>
      <c r="M2305" s="59" t="inlineStr">
        <is>
          <t>01</t>
        </is>
      </c>
      <c r="N2305" s="59" t="inlineStr">
        <is>
          <t>AVU</t>
        </is>
      </c>
      <c r="P2305" s="59" t="n">
        <v>103</v>
      </c>
      <c r="Q2305" s="59" t="inlineStr">
        <is>
          <t>MILKA FRANCIS</t>
        </is>
      </c>
      <c r="R2305" s="59" t="inlineStr">
        <is>
          <t>ESTOQUE DE MERCADORIAS</t>
        </is>
      </c>
      <c r="S2305" s="59" t="n">
        <v>1130101</v>
      </c>
      <c r="T2305" s="59" t="inlineStr">
        <is>
          <t>MERCADORIAS P/REVENDA</t>
        </is>
      </c>
      <c r="U2305" s="77" t="n">
        <v>1262.69</v>
      </c>
      <c r="W2305" s="59" t="n">
        <v>0</v>
      </c>
      <c r="X2305" s="59" t="inlineStr">
        <is>
          <t>NF 3235765 -1 MILKA</t>
        </is>
      </c>
      <c r="Z2305" s="59">
        <f>IF($T2305="","",IFERROR(INDEX('Resumo Grupos'!$AC$3:$AC$200,MATCH($T2305,'Resumo Grupos'!$AB$3:$AB$200,0)),"n/d"))</f>
        <v/>
      </c>
      <c r="AA2305" s="59">
        <f>IF($T2305="","",IF(COUNTIF('Resumo Grupos'!$AE$3:$AE$40,$T2305)&gt;0,"NAO","SIM"))</f>
        <v/>
      </c>
    </row>
    <row r="2306" ht="12.75" customHeight="1" s="60">
      <c r="A2306" s="59" t="n">
        <v>1</v>
      </c>
      <c r="B2306" s="75" t="n">
        <v>46247</v>
      </c>
      <c r="C2306" s="75" t="n">
        <v>46260</v>
      </c>
      <c r="D2306" s="59" t="n">
        <v>1749</v>
      </c>
      <c r="E2306" s="59" t="inlineStr">
        <is>
          <t>ORIENTE COM. ATACADISTA E REPRES. LTDA</t>
        </is>
      </c>
      <c r="F2306" s="59" t="n">
        <v>24</v>
      </c>
      <c r="G2306" s="59" t="inlineStr">
        <is>
          <t>Compra a Prazo - Boletos</t>
        </is>
      </c>
      <c r="H2306" s="59" t="n">
        <v>2110405</v>
      </c>
      <c r="I2306" s="59" t="inlineStr">
        <is>
          <t>CONTAS A PAGAR</t>
        </is>
      </c>
      <c r="J2306" s="59" t="n">
        <v>1542706</v>
      </c>
      <c r="L2306" s="59" t="n">
        <v>3389</v>
      </c>
      <c r="M2306" s="59" t="inlineStr">
        <is>
          <t>01</t>
        </is>
      </c>
      <c r="N2306" s="59" t="inlineStr">
        <is>
          <t>AVU</t>
        </is>
      </c>
      <c r="P2306" s="59" t="n">
        <v>103</v>
      </c>
      <c r="Q2306" s="59" t="inlineStr">
        <is>
          <t>MILKA FRANCIS</t>
        </is>
      </c>
      <c r="R2306" s="59" t="inlineStr">
        <is>
          <t>ESTOQUE DE MERCADORIAS</t>
        </is>
      </c>
      <c r="S2306" s="59" t="n">
        <v>1130101</v>
      </c>
      <c r="T2306" s="59" t="inlineStr">
        <is>
          <t>MERCADORIAS P/REVENDA</t>
        </is>
      </c>
      <c r="U2306" s="77" t="n">
        <v>815.45</v>
      </c>
      <c r="W2306" s="59" t="n">
        <v>0</v>
      </c>
      <c r="X2306" s="59" t="inlineStr">
        <is>
          <t>4101/1  NF3389 - MILKA</t>
        </is>
      </c>
      <c r="Z2306" s="59">
        <f>IF($T2306="","",IFERROR(INDEX('Resumo Grupos'!$AC$3:$AC$200,MATCH($T2306,'Resumo Grupos'!$AB$3:$AB$200,0)),"n/d"))</f>
        <v/>
      </c>
      <c r="AA2306" s="59">
        <f>IF($T2306="","",IF(COUNTIF('Resumo Grupos'!$AE$3:$AE$40,$T2306)&gt;0,"NAO","SIM"))</f>
        <v/>
      </c>
    </row>
    <row r="2307" ht="12.75" customHeight="1" s="60">
      <c r="A2307" s="59" t="n">
        <v>1</v>
      </c>
      <c r="B2307" s="75" t="n">
        <v>46249</v>
      </c>
      <c r="C2307" s="75" t="n">
        <v>46260</v>
      </c>
      <c r="D2307" s="59" t="n">
        <v>1613</v>
      </c>
      <c r="E2307" s="59" t="inlineStr">
        <is>
          <t>BRF S A</t>
        </is>
      </c>
      <c r="F2307" s="59" t="n">
        <v>24</v>
      </c>
      <c r="G2307" s="59" t="inlineStr">
        <is>
          <t>Compra a Prazo - Boletos</t>
        </is>
      </c>
      <c r="H2307" s="59" t="n">
        <v>2110405</v>
      </c>
      <c r="I2307" s="59" t="inlineStr">
        <is>
          <t>CONTAS A PAGAR</t>
        </is>
      </c>
      <c r="J2307" s="59" t="n">
        <v>1551828</v>
      </c>
      <c r="L2307" s="59" t="n">
        <v>1619134</v>
      </c>
      <c r="M2307" s="59" t="inlineStr">
        <is>
          <t>01</t>
        </is>
      </c>
      <c r="N2307" s="59" t="inlineStr">
        <is>
          <t>AVU</t>
        </is>
      </c>
      <c r="P2307" s="59" t="n">
        <v>103</v>
      </c>
      <c r="Q2307" s="59" t="inlineStr">
        <is>
          <t>MILKA FRANCIS</t>
        </is>
      </c>
      <c r="R2307" s="59" t="inlineStr">
        <is>
          <t>ESTOQUE DE MERCADORIAS</t>
        </is>
      </c>
      <c r="S2307" s="59" t="n">
        <v>1130101</v>
      </c>
      <c r="T2307" s="59" t="inlineStr">
        <is>
          <t>MERCADORIAS P/REVENDA</t>
        </is>
      </c>
      <c r="U2307" s="77" t="n">
        <v>3149.23</v>
      </c>
      <c r="W2307" s="59" t="n">
        <v>0</v>
      </c>
      <c r="X2307" s="59" t="inlineStr">
        <is>
          <t>NF 1619134 -01/02 MILKA</t>
        </is>
      </c>
      <c r="Z2307" s="59">
        <f>IF($T2307="","",IFERROR(INDEX('Resumo Grupos'!$AC$3:$AC$200,MATCH($T2307,'Resumo Grupos'!$AB$3:$AB$200,0)),"n/d"))</f>
        <v/>
      </c>
      <c r="AA2307" s="59">
        <f>IF($T2307="","",IF(COUNTIF('Resumo Grupos'!$AE$3:$AE$40,$T2307)&gt;0,"NAO","SIM"))</f>
        <v/>
      </c>
    </row>
    <row r="2308" ht="12.75" customHeight="1" s="60">
      <c r="A2308" s="59" t="n">
        <v>1</v>
      </c>
      <c r="B2308" s="75" t="n">
        <v>46253</v>
      </c>
      <c r="C2308" s="75" t="n">
        <v>46260</v>
      </c>
      <c r="D2308" s="59" t="n">
        <v>928</v>
      </c>
      <c r="E2308" s="59" t="inlineStr">
        <is>
          <t>FAROL FINANCEIRO</t>
        </is>
      </c>
      <c r="F2308" s="59" t="n">
        <v>24</v>
      </c>
      <c r="G2308" s="59" t="inlineStr">
        <is>
          <t>Compra a Prazo - Boletos</t>
        </is>
      </c>
      <c r="H2308" s="59" t="n">
        <v>2110405</v>
      </c>
      <c r="I2308" s="59" t="inlineStr">
        <is>
          <t>CONTAS A PAGAR</t>
        </is>
      </c>
      <c r="J2308" s="59" t="n">
        <v>1573202</v>
      </c>
      <c r="L2308" s="59" t="n">
        <v>193548447</v>
      </c>
      <c r="M2308" s="59" t="inlineStr">
        <is>
          <t>01</t>
        </is>
      </c>
      <c r="N2308" s="59" t="inlineStr">
        <is>
          <t>AVU</t>
        </is>
      </c>
      <c r="P2308" s="59" t="n">
        <v>101</v>
      </c>
      <c r="Q2308" s="59" t="inlineStr">
        <is>
          <t>KEILA LIMA</t>
        </is>
      </c>
      <c r="R2308" s="59" t="inlineStr">
        <is>
          <t>DESPESAS COM PESSOAL</t>
        </is>
      </c>
      <c r="S2308" s="59" t="n">
        <v>421033</v>
      </c>
      <c r="T2308" s="59" t="inlineStr">
        <is>
          <t>MENSALIDADE CONCILIACAO BANCARIA</t>
        </is>
      </c>
      <c r="U2308" s="77" t="n">
        <v>299.9</v>
      </c>
      <c r="W2308" s="59" t="n">
        <v>0</v>
      </c>
      <c r="X2308" s="59" t="inlineStr">
        <is>
          <t>MENSALIDADE CONCILIACAO BANCARIA MO1 - KEILA</t>
        </is>
      </c>
      <c r="Z2308" s="59">
        <f>IF($T2308="","",IFERROR(INDEX('Resumo Grupos'!$AC$3:$AC$200,MATCH($T2308,'Resumo Grupos'!$AB$3:$AB$200,0)),"n/d"))</f>
        <v/>
      </c>
      <c r="AA2308" s="59">
        <f>IF($T2308="","",IF(COUNTIF('Resumo Grupos'!$AE$3:$AE$40,$T2308)&gt;0,"NAO","SIM"))</f>
        <v/>
      </c>
    </row>
    <row r="2309" ht="12.75" customHeight="1" s="60">
      <c r="A2309" s="59" t="n">
        <v>1</v>
      </c>
      <c r="B2309" s="75" t="n">
        <v>46254</v>
      </c>
      <c r="C2309" s="75" t="n">
        <v>46260</v>
      </c>
      <c r="D2309" s="59" t="n">
        <v>1286</v>
      </c>
      <c r="E2309" s="59" t="inlineStr">
        <is>
          <t>VITAPAN COMERCIO VAREJISTA DE PRODUTOS ALIMENTICIOS LTDA</t>
        </is>
      </c>
      <c r="F2309" s="59" t="n">
        <v>24</v>
      </c>
      <c r="G2309" s="59" t="inlineStr">
        <is>
          <t>Compra a Prazo - Boletos</t>
        </is>
      </c>
      <c r="H2309" s="59" t="n">
        <v>2110405</v>
      </c>
      <c r="I2309" s="59" t="inlineStr">
        <is>
          <t>CONTAS A PAGAR</t>
        </is>
      </c>
      <c r="J2309" s="59" t="n">
        <v>1575810</v>
      </c>
      <c r="L2309" s="59" t="n">
        <v>10588</v>
      </c>
      <c r="M2309" s="59" t="inlineStr">
        <is>
          <t>01</t>
        </is>
      </c>
      <c r="N2309" s="59" t="inlineStr">
        <is>
          <t>AVU</t>
        </is>
      </c>
      <c r="P2309" s="59" t="n">
        <v>103</v>
      </c>
      <c r="Q2309" s="59" t="inlineStr">
        <is>
          <t>MILKA FRANCIS</t>
        </is>
      </c>
      <c r="R2309" s="59" t="inlineStr">
        <is>
          <t>ESTOQUE DE MERCADORIAS</t>
        </is>
      </c>
      <c r="S2309" s="59" t="n">
        <v>1130101</v>
      </c>
      <c r="T2309" s="59" t="inlineStr">
        <is>
          <t>MERCADORIAS P/REVENDA</t>
        </is>
      </c>
      <c r="U2309" s="77" t="n">
        <v>756</v>
      </c>
      <c r="W2309" s="59" t="n">
        <v>0</v>
      </c>
      <c r="X2309" s="59" t="inlineStr">
        <is>
          <t>NF 10588 - MILKA</t>
        </is>
      </c>
      <c r="Z2309" s="59">
        <f>IF($T2309="","",IFERROR(INDEX('Resumo Grupos'!$AC$3:$AC$200,MATCH($T2309,'Resumo Grupos'!$AB$3:$AB$200,0)),"n/d"))</f>
        <v/>
      </c>
      <c r="AA2309" s="59">
        <f>IF($T2309="","",IF(COUNTIF('Resumo Grupos'!$AE$3:$AE$40,$T2309)&gt;0,"NAO","SIM"))</f>
        <v/>
      </c>
    </row>
    <row r="2310" ht="12.75" customHeight="1" s="60">
      <c r="A2310" s="59" t="n">
        <v>1</v>
      </c>
      <c r="B2310" s="75" t="n">
        <v>46254</v>
      </c>
      <c r="C2310" s="75" t="n">
        <v>46260</v>
      </c>
      <c r="D2310" s="59" t="n">
        <v>33</v>
      </c>
      <c r="E2310" s="59" t="inlineStr">
        <is>
          <t>RENATO DE O AZEVEDO E CIA LTDA - EPP</t>
        </is>
      </c>
      <c r="F2310" s="59" t="n">
        <v>24</v>
      </c>
      <c r="G2310" s="59" t="inlineStr">
        <is>
          <t>Compra a Prazo - Boletos</t>
        </is>
      </c>
      <c r="H2310" s="59" t="n">
        <v>2110101</v>
      </c>
      <c r="I2310" s="59" t="inlineStr">
        <is>
          <t>FORNECEDORES DE MERCADORIA</t>
        </is>
      </c>
      <c r="J2310" s="59" t="n">
        <v>1577716</v>
      </c>
      <c r="L2310" s="59" t="n">
        <v>5528</v>
      </c>
      <c r="M2310" s="59" t="inlineStr">
        <is>
          <t>01</t>
        </is>
      </c>
      <c r="N2310" s="59" t="inlineStr">
        <is>
          <t>NFE</t>
        </is>
      </c>
      <c r="P2310" s="59" t="n">
        <v>103</v>
      </c>
      <c r="Q2310" s="59" t="inlineStr">
        <is>
          <t>MILKA FRANCIS</t>
        </is>
      </c>
      <c r="R2310" s="59" t="inlineStr">
        <is>
          <t>ESTOQUE DE MERCADORIAS</t>
        </is>
      </c>
      <c r="S2310" s="59" t="n">
        <v>1130101</v>
      </c>
      <c r="T2310" s="59" t="inlineStr">
        <is>
          <t>MERCADORIAS P/REVENDA</t>
        </is>
      </c>
      <c r="U2310" s="77" t="n">
        <v>300</v>
      </c>
      <c r="W2310" s="59" t="n">
        <v>0</v>
      </c>
      <c r="X2310" s="59" t="inlineStr">
        <is>
          <t>VISCERA/SR.RENATO /DOC.138491/1 - MILKA</t>
        </is>
      </c>
      <c r="Z2310" s="59">
        <f>IF($T2310="","",IFERROR(INDEX('Resumo Grupos'!$AC$3:$AC$200,MATCH($T2310,'Resumo Grupos'!$AB$3:$AB$200,0)),"n/d"))</f>
        <v/>
      </c>
      <c r="AA2310" s="59">
        <f>IF($T2310="","",IF(COUNTIF('Resumo Grupos'!$AE$3:$AE$40,$T2310)&gt;0,"NAO","SIM"))</f>
        <v/>
      </c>
    </row>
    <row r="2311" ht="12.75" customHeight="1" s="60">
      <c r="A2311" s="59" t="n">
        <v>1</v>
      </c>
      <c r="B2311" s="75" t="n">
        <v>46256</v>
      </c>
      <c r="C2311" s="75" t="n">
        <v>46260</v>
      </c>
      <c r="D2311" s="59" t="n">
        <v>1899</v>
      </c>
      <c r="E2311" s="59" t="inlineStr">
        <is>
          <t>PANIFICADORA E CONFEITARIA REAL MADRI LTDA</t>
        </is>
      </c>
      <c r="F2311" s="59" t="n">
        <v>24</v>
      </c>
      <c r="G2311" s="59" t="inlineStr">
        <is>
          <t>Compra a Prazo - Boletos</t>
        </is>
      </c>
      <c r="H2311" s="59" t="n">
        <v>2110405</v>
      </c>
      <c r="I2311" s="59" t="inlineStr">
        <is>
          <t>CONTAS A PAGAR</t>
        </is>
      </c>
      <c r="J2311" s="59" t="n">
        <v>1585630</v>
      </c>
      <c r="L2311" s="59" t="n">
        <v>771</v>
      </c>
      <c r="M2311" s="59" t="inlineStr">
        <is>
          <t>01</t>
        </is>
      </c>
      <c r="N2311" s="59" t="inlineStr">
        <is>
          <t>AVU</t>
        </is>
      </c>
      <c r="P2311" s="59" t="n">
        <v>103</v>
      </c>
      <c r="Q2311" s="59" t="inlineStr">
        <is>
          <t>MILKA FRANCIS</t>
        </is>
      </c>
      <c r="R2311" s="59" t="inlineStr">
        <is>
          <t>ESTOQUE DE MERCADORIAS</t>
        </is>
      </c>
      <c r="S2311" s="59" t="n">
        <v>1130101</v>
      </c>
      <c r="T2311" s="59" t="inlineStr">
        <is>
          <t>MERCADORIAS P/REVENDA</t>
        </is>
      </c>
      <c r="U2311" s="77" t="n">
        <v>422.15</v>
      </c>
      <c r="W2311" s="59" t="n">
        <v>0</v>
      </c>
      <c r="X2311" s="59" t="inlineStr">
        <is>
          <t>NF771 - MILKA</t>
        </is>
      </c>
      <c r="Z2311" s="59">
        <f>IF($T2311="","",IFERROR(INDEX('Resumo Grupos'!$AC$3:$AC$200,MATCH($T2311,'Resumo Grupos'!$AB$3:$AB$200,0)),"n/d"))</f>
        <v/>
      </c>
      <c r="AA2311" s="59">
        <f>IF($T2311="","",IF(COUNTIF('Resumo Grupos'!$AE$3:$AE$40,$T2311)&gt;0,"NAO","SIM"))</f>
        <v/>
      </c>
    </row>
    <row r="2312" ht="12.75" customHeight="1" s="60">
      <c r="A2312" s="59" t="n">
        <v>1</v>
      </c>
      <c r="B2312" s="75" t="n">
        <v>46248</v>
      </c>
      <c r="C2312" s="75" t="n">
        <v>46261</v>
      </c>
      <c r="D2312" s="59" t="n">
        <v>1270</v>
      </c>
      <c r="E2312" s="59" t="inlineStr">
        <is>
          <t>J. S. MOREIRA ALVES LTDA</t>
        </is>
      </c>
      <c r="F2312" s="59" t="n">
        <v>24</v>
      </c>
      <c r="G2312" s="59" t="inlineStr">
        <is>
          <t>Compra a Prazo - Boletos</t>
        </is>
      </c>
      <c r="H2312" s="59" t="n">
        <v>2110405</v>
      </c>
      <c r="I2312" s="59" t="inlineStr">
        <is>
          <t>CONTAS A PAGAR</t>
        </is>
      </c>
      <c r="J2312" s="59" t="n">
        <v>1545352</v>
      </c>
      <c r="L2312" s="59" t="n">
        <v>2788</v>
      </c>
      <c r="M2312" s="59" t="inlineStr">
        <is>
          <t>01</t>
        </is>
      </c>
      <c r="N2312" s="59" t="inlineStr">
        <is>
          <t>AVU</t>
        </is>
      </c>
      <c r="P2312" s="59" t="n">
        <v>103</v>
      </c>
      <c r="Q2312" s="59" t="inlineStr">
        <is>
          <t>MILKA FRANCIS</t>
        </is>
      </c>
      <c r="R2312" s="59" t="inlineStr">
        <is>
          <t>ESTOQUE DE MERCADORIAS</t>
        </is>
      </c>
      <c r="S2312" s="59" t="n">
        <v>1130101</v>
      </c>
      <c r="T2312" s="59" t="inlineStr">
        <is>
          <t>MERCADORIAS P/REVENDA</t>
        </is>
      </c>
      <c r="U2312" s="77" t="n">
        <v>409.5</v>
      </c>
      <c r="W2312" s="59" t="n">
        <v>0</v>
      </c>
      <c r="X2312" s="59" t="inlineStr">
        <is>
          <t>NF 2788 MESA FARTA - MILKA</t>
        </is>
      </c>
      <c r="Z2312" s="59">
        <f>IF($T2312="","",IFERROR(INDEX('Resumo Grupos'!$AC$3:$AC$200,MATCH($T2312,'Resumo Grupos'!$AB$3:$AB$200,0)),"n/d"))</f>
        <v/>
      </c>
      <c r="AA2312" s="59">
        <f>IF($T2312="","",IF(COUNTIF('Resumo Grupos'!$AE$3:$AE$40,$T2312)&gt;0,"NAO","SIM"))</f>
        <v/>
      </c>
    </row>
    <row r="2313" ht="12.75" customHeight="1" s="60">
      <c r="A2313" s="59" t="n">
        <v>1</v>
      </c>
      <c r="B2313" s="75" t="n">
        <v>46218</v>
      </c>
      <c r="C2313" s="75" t="n">
        <v>46261</v>
      </c>
      <c r="D2313" s="59" t="n">
        <v>10011</v>
      </c>
      <c r="E2313" s="59" t="inlineStr">
        <is>
          <t>OPPORTUNITY ALIMENTOS PARA ANIMAIS LTDA</t>
        </is>
      </c>
      <c r="F2313" s="59" t="n">
        <v>24</v>
      </c>
      <c r="G2313" s="59" t="inlineStr">
        <is>
          <t>Compra a Prazo - Boletos</t>
        </is>
      </c>
      <c r="H2313" s="59" t="n">
        <v>2110405</v>
      </c>
      <c r="I2313" s="59" t="inlineStr">
        <is>
          <t>CONTAS A PAGAR</t>
        </is>
      </c>
      <c r="J2313" s="59" t="n">
        <v>1401989</v>
      </c>
      <c r="L2313" s="59" t="n">
        <v>34663</v>
      </c>
      <c r="M2313" s="59" t="inlineStr">
        <is>
          <t>03</t>
        </is>
      </c>
      <c r="N2313" s="59" t="inlineStr">
        <is>
          <t>AVU</t>
        </is>
      </c>
      <c r="P2313" s="59" t="n">
        <v>103</v>
      </c>
      <c r="Q2313" s="59" t="inlineStr">
        <is>
          <t>MILKA FRANCIS</t>
        </is>
      </c>
      <c r="R2313" s="59" t="inlineStr">
        <is>
          <t>ESTOQUE DE MERCADORIAS</t>
        </is>
      </c>
      <c r="S2313" s="59" t="n">
        <v>1130101</v>
      </c>
      <c r="T2313" s="59" t="inlineStr">
        <is>
          <t>MERCADORIAS P/REVENDA</t>
        </is>
      </c>
      <c r="U2313" s="77" t="n">
        <v>2006</v>
      </c>
      <c r="W2313" s="59" t="n">
        <v>0</v>
      </c>
      <c r="X2313" s="59" t="inlineStr">
        <is>
          <t>NF 34663-2 MILKA</t>
        </is>
      </c>
      <c r="Z2313" s="59">
        <f>IF($T2313="","",IFERROR(INDEX('Resumo Grupos'!$AC$3:$AC$200,MATCH($T2313,'Resumo Grupos'!$AB$3:$AB$200,0)),"n/d"))</f>
        <v/>
      </c>
      <c r="AA2313" s="59">
        <f>IF($T2313="","",IF(COUNTIF('Resumo Grupos'!$AE$3:$AE$40,$T2313)&gt;0,"NAO","SIM"))</f>
        <v/>
      </c>
    </row>
    <row r="2314" ht="12.75" customHeight="1" s="60">
      <c r="A2314" s="59" t="n">
        <v>1</v>
      </c>
      <c r="B2314" s="75" t="n">
        <v>46220</v>
      </c>
      <c r="C2314" s="75" t="n">
        <v>46261</v>
      </c>
      <c r="D2314" s="59" t="n">
        <v>10012</v>
      </c>
      <c r="E2314" s="59" t="inlineStr">
        <is>
          <t>SB COMERCIO LTDA</t>
        </is>
      </c>
      <c r="F2314" s="59" t="n">
        <v>24</v>
      </c>
      <c r="G2314" s="59" t="inlineStr">
        <is>
          <t>Compra a Prazo - Boletos</t>
        </is>
      </c>
      <c r="H2314" s="59" t="n">
        <v>2110405</v>
      </c>
      <c r="I2314" s="59" t="inlineStr">
        <is>
          <t>CONTAS A PAGAR</t>
        </is>
      </c>
      <c r="J2314" s="59" t="n">
        <v>1411310</v>
      </c>
      <c r="L2314" s="59" t="n">
        <v>1964147</v>
      </c>
      <c r="M2314" s="59" t="inlineStr">
        <is>
          <t>03</t>
        </is>
      </c>
      <c r="N2314" s="59" t="inlineStr">
        <is>
          <t>AVU</t>
        </is>
      </c>
      <c r="P2314" s="59" t="n">
        <v>103</v>
      </c>
      <c r="Q2314" s="59" t="inlineStr">
        <is>
          <t>MILKA FRANCIS</t>
        </is>
      </c>
      <c r="R2314" s="59" t="inlineStr">
        <is>
          <t>ESTOQUE DE MERCADORIAS</t>
        </is>
      </c>
      <c r="S2314" s="59" t="n">
        <v>1130101</v>
      </c>
      <c r="T2314" s="59" t="inlineStr">
        <is>
          <t>MERCADORIAS P/REVENDA</t>
        </is>
      </c>
      <c r="U2314" s="77" t="n">
        <v>1129.56</v>
      </c>
      <c r="W2314" s="59" t="n">
        <v>0</v>
      </c>
      <c r="X2314" s="59" t="inlineStr">
        <is>
          <t>NF 1964147-3 MILKA</t>
        </is>
      </c>
      <c r="Z2314" s="59">
        <f>IF($T2314="","",IFERROR(INDEX('Resumo Grupos'!$AC$3:$AC$200,MATCH($T2314,'Resumo Grupos'!$AB$3:$AB$200,0)),"n/d"))</f>
        <v/>
      </c>
      <c r="AA2314" s="59">
        <f>IF($T2314="","",IF(COUNTIF('Resumo Grupos'!$AE$3:$AE$40,$T2314)&gt;0,"NAO","SIM"))</f>
        <v/>
      </c>
    </row>
    <row r="2315" ht="12.75" customHeight="1" s="60">
      <c r="A2315" s="59" t="n">
        <v>1</v>
      </c>
      <c r="B2315" s="75" t="n">
        <v>46224</v>
      </c>
      <c r="C2315" s="75" t="n">
        <v>46261</v>
      </c>
      <c r="D2315" s="59" t="n">
        <v>607</v>
      </c>
      <c r="E2315" s="59" t="inlineStr">
        <is>
          <t>PRIME PET DISTRIBUIDORA LTDA</t>
        </is>
      </c>
      <c r="F2315" s="59" t="n">
        <v>24</v>
      </c>
      <c r="G2315" s="59" t="inlineStr">
        <is>
          <t>Compra a Prazo - Boletos</t>
        </is>
      </c>
      <c r="H2315" s="59" t="n">
        <v>2110405</v>
      </c>
      <c r="I2315" s="59" t="inlineStr">
        <is>
          <t>CONTAS A PAGAR</t>
        </is>
      </c>
      <c r="J2315" s="59" t="n">
        <v>1429152</v>
      </c>
      <c r="L2315" s="59" t="n">
        <v>11134</v>
      </c>
      <c r="M2315" s="59" t="inlineStr">
        <is>
          <t>02</t>
        </is>
      </c>
      <c r="N2315" s="59" t="inlineStr">
        <is>
          <t>AVU</t>
        </is>
      </c>
      <c r="P2315" s="59" t="n">
        <v>103</v>
      </c>
      <c r="Q2315" s="59" t="inlineStr">
        <is>
          <t>MILKA FRANCIS</t>
        </is>
      </c>
      <c r="R2315" s="59" t="inlineStr">
        <is>
          <t>ESTOQUE DE MERCADORIAS</t>
        </is>
      </c>
      <c r="S2315" s="59" t="n">
        <v>1130101</v>
      </c>
      <c r="T2315" s="59" t="inlineStr">
        <is>
          <t>MERCADORIAS P/REVENDA</t>
        </is>
      </c>
      <c r="U2315" s="77" t="n">
        <v>911.85</v>
      </c>
      <c r="W2315" s="59" t="n">
        <v>0</v>
      </c>
      <c r="X2315" s="59" t="inlineStr">
        <is>
          <t>NF 11134 -02/06  MILKA</t>
        </is>
      </c>
      <c r="Z2315" s="59">
        <f>IF($T2315="","",IFERROR(INDEX('Resumo Grupos'!$AC$3:$AC$200,MATCH($T2315,'Resumo Grupos'!$AB$3:$AB$200,0)),"n/d"))</f>
        <v/>
      </c>
      <c r="AA2315" s="59">
        <f>IF($T2315="","",IF(COUNTIF('Resumo Grupos'!$AE$3:$AE$40,$T2315)&gt;0,"NAO","SIM"))</f>
        <v/>
      </c>
    </row>
    <row r="2316" ht="12.75" customHeight="1" s="60">
      <c r="A2316" s="59" t="n">
        <v>1</v>
      </c>
      <c r="B2316" s="75" t="n">
        <v>46225</v>
      </c>
      <c r="C2316" s="75" t="n">
        <v>46261</v>
      </c>
      <c r="D2316" s="59" t="n">
        <v>794</v>
      </c>
      <c r="E2316" s="59" t="inlineStr">
        <is>
          <t>EDMARA COMERCIO DE HIGIENE PESSOAL LTDA</t>
        </is>
      </c>
      <c r="F2316" s="59" t="n">
        <v>24</v>
      </c>
      <c r="G2316" s="59" t="inlineStr">
        <is>
          <t>Compra a Prazo - Boletos</t>
        </is>
      </c>
      <c r="H2316" s="59" t="n">
        <v>2110405</v>
      </c>
      <c r="I2316" s="59" t="inlineStr">
        <is>
          <t>CONTAS A PAGAR</t>
        </is>
      </c>
      <c r="J2316" s="59" t="n">
        <v>1435872</v>
      </c>
      <c r="L2316" s="59" t="n">
        <v>8403</v>
      </c>
      <c r="M2316" s="59" t="inlineStr">
        <is>
          <t>04</t>
        </is>
      </c>
      <c r="N2316" s="59" t="inlineStr">
        <is>
          <t>AVU</t>
        </is>
      </c>
      <c r="P2316" s="59" t="n">
        <v>103</v>
      </c>
      <c r="Q2316" s="59" t="inlineStr">
        <is>
          <t>MILKA FRANCIS</t>
        </is>
      </c>
      <c r="R2316" s="59" t="inlineStr">
        <is>
          <t>ESTOQUE DE MERCADORIAS</t>
        </is>
      </c>
      <c r="S2316" s="59" t="n">
        <v>1130101</v>
      </c>
      <c r="T2316" s="59" t="inlineStr">
        <is>
          <t>MERCADORIAS P/REVENDA</t>
        </is>
      </c>
      <c r="U2316" s="77" t="n">
        <v>2621.73</v>
      </c>
      <c r="W2316" s="59" t="n">
        <v>0</v>
      </c>
      <c r="X2316" s="59" t="inlineStr">
        <is>
          <t>5431-D/D  NF8403 - MILKA</t>
        </is>
      </c>
      <c r="Z2316" s="59">
        <f>IF($T2316="","",IFERROR(INDEX('Resumo Grupos'!$AC$3:$AC$200,MATCH($T2316,'Resumo Grupos'!$AB$3:$AB$200,0)),"n/d"))</f>
        <v/>
      </c>
      <c r="AA2316" s="59">
        <f>IF($T2316="","",IF(COUNTIF('Resumo Grupos'!$AE$3:$AE$40,$T2316)&gt;0,"NAO","SIM"))</f>
        <v/>
      </c>
    </row>
    <row r="2317" ht="12.75" customHeight="1" s="60">
      <c r="A2317" s="59" t="n">
        <v>1</v>
      </c>
      <c r="B2317" s="75" t="n">
        <v>46226</v>
      </c>
      <c r="C2317" s="75" t="n">
        <v>46261</v>
      </c>
      <c r="D2317" s="59" t="n">
        <v>10021</v>
      </c>
      <c r="E2317" s="59" t="inlineStr">
        <is>
          <t>DISTRIBUIDORA PRIME LTDA</t>
        </is>
      </c>
      <c r="F2317" s="59" t="n">
        <v>24</v>
      </c>
      <c r="G2317" s="59" t="inlineStr">
        <is>
          <t>Compra a Prazo - Boletos</t>
        </is>
      </c>
      <c r="H2317" s="59" t="n">
        <v>2110405</v>
      </c>
      <c r="I2317" s="59" t="inlineStr">
        <is>
          <t>CONTAS A PAGAR</t>
        </is>
      </c>
      <c r="J2317" s="59" t="n">
        <v>1440166</v>
      </c>
      <c r="L2317" s="59" t="n">
        <v>134703</v>
      </c>
      <c r="M2317" s="59" t="inlineStr">
        <is>
          <t>03</t>
        </is>
      </c>
      <c r="N2317" s="59" t="inlineStr">
        <is>
          <t>AVU</t>
        </is>
      </c>
      <c r="P2317" s="59" t="n">
        <v>103</v>
      </c>
      <c r="Q2317" s="59" t="inlineStr">
        <is>
          <t>MILKA FRANCIS</t>
        </is>
      </c>
      <c r="R2317" s="59" t="inlineStr">
        <is>
          <t>ESTOQUE DE MERCADORIAS</t>
        </is>
      </c>
      <c r="S2317" s="59" t="n">
        <v>1130101</v>
      </c>
      <c r="T2317" s="59" t="inlineStr">
        <is>
          <t>MERCADORIAS P/REVENDA</t>
        </is>
      </c>
      <c r="U2317" s="77" t="n">
        <v>774.48</v>
      </c>
      <c r="W2317" s="59" t="n">
        <v>0</v>
      </c>
      <c r="X2317" s="59" t="inlineStr">
        <is>
          <t>NF 134703-3 MILKA</t>
        </is>
      </c>
      <c r="Z2317" s="59">
        <f>IF($T2317="","",IFERROR(INDEX('Resumo Grupos'!$AC$3:$AC$200,MATCH($T2317,'Resumo Grupos'!$AB$3:$AB$200,0)),"n/d"))</f>
        <v/>
      </c>
      <c r="AA2317" s="59">
        <f>IF($T2317="","",IF(COUNTIF('Resumo Grupos'!$AE$3:$AE$40,$T2317)&gt;0,"NAO","SIM"))</f>
        <v/>
      </c>
    </row>
    <row r="2318" ht="12.75" customHeight="1" s="60">
      <c r="A2318" s="59" t="n">
        <v>1</v>
      </c>
      <c r="B2318" s="75" t="n">
        <v>46228</v>
      </c>
      <c r="C2318" s="75" t="n">
        <v>46261</v>
      </c>
      <c r="D2318" s="59" t="n">
        <v>1637</v>
      </c>
      <c r="E2318" s="59" t="inlineStr">
        <is>
          <t>ATACADAO S.A.</t>
        </is>
      </c>
      <c r="F2318" s="59" t="n">
        <v>24</v>
      </c>
      <c r="G2318" s="59" t="inlineStr">
        <is>
          <t>Compra a Prazo - Boletos</t>
        </is>
      </c>
      <c r="H2318" s="59" t="n">
        <v>1110202</v>
      </c>
      <c r="I2318" s="59" t="inlineStr">
        <is>
          <t>BANCO ITAU Lj 01</t>
        </is>
      </c>
      <c r="J2318" s="59" t="n">
        <v>1450083</v>
      </c>
      <c r="L2318" s="59" t="n">
        <v>1910467</v>
      </c>
      <c r="M2318" s="59" t="inlineStr">
        <is>
          <t>01</t>
        </is>
      </c>
      <c r="N2318" s="59" t="inlineStr">
        <is>
          <t>AVU</t>
        </is>
      </c>
      <c r="P2318" s="59" t="n">
        <v>103</v>
      </c>
      <c r="Q2318" s="59" t="inlineStr">
        <is>
          <t>MILKA FRANCIS</t>
        </is>
      </c>
      <c r="R2318" s="59" t="inlineStr">
        <is>
          <t>ESTOQUE DE MERCADORIAS</t>
        </is>
      </c>
      <c r="S2318" s="59" t="n">
        <v>1130101</v>
      </c>
      <c r="T2318" s="59" t="inlineStr">
        <is>
          <t>MERCADORIAS P/REVENDA</t>
        </is>
      </c>
      <c r="U2318" s="77" t="n">
        <v>998.14</v>
      </c>
      <c r="W2318" s="59" t="n">
        <v>0</v>
      </c>
      <c r="X2318" s="59" t="inlineStr">
        <is>
          <t>NF 1910467 - MILKA</t>
        </is>
      </c>
      <c r="Z2318" s="59">
        <f>IF($T2318="","",IFERROR(INDEX('Resumo Grupos'!$AC$3:$AC$200,MATCH($T2318,'Resumo Grupos'!$AB$3:$AB$200,0)),"n/d"))</f>
        <v/>
      </c>
      <c r="AA2318" s="59">
        <f>IF($T2318="","",IF(COUNTIF('Resumo Grupos'!$AE$3:$AE$40,$T2318)&gt;0,"NAO","SIM"))</f>
        <v/>
      </c>
    </row>
    <row r="2319" ht="12.75" customHeight="1" s="60">
      <c r="A2319" s="59" t="n">
        <v>1</v>
      </c>
      <c r="B2319" s="75" t="n">
        <v>46233</v>
      </c>
      <c r="C2319" s="75" t="n">
        <v>46261</v>
      </c>
      <c r="D2319" s="59" t="n">
        <v>1608</v>
      </c>
      <c r="E2319" s="59" t="inlineStr">
        <is>
          <t>DISTRIBUIDORA LOPES LTDA</t>
        </is>
      </c>
      <c r="F2319" s="59" t="n">
        <v>24</v>
      </c>
      <c r="G2319" s="59" t="inlineStr">
        <is>
          <t>Compra a Prazo - Boletos</t>
        </is>
      </c>
      <c r="H2319" s="59" t="n">
        <v>2110405</v>
      </c>
      <c r="I2319" s="59" t="inlineStr">
        <is>
          <t>CONTAS A PAGAR</t>
        </is>
      </c>
      <c r="J2319" s="59" t="n">
        <v>1473434</v>
      </c>
      <c r="L2319" s="59" t="n">
        <v>1701960</v>
      </c>
      <c r="M2319" s="59" t="inlineStr">
        <is>
          <t>02</t>
        </is>
      </c>
      <c r="N2319" s="59" t="inlineStr">
        <is>
          <t>AVU</t>
        </is>
      </c>
      <c r="P2319" s="59" t="n">
        <v>103</v>
      </c>
      <c r="Q2319" s="59" t="inlineStr">
        <is>
          <t>MILKA FRANCIS</t>
        </is>
      </c>
      <c r="R2319" s="59" t="inlineStr">
        <is>
          <t>ESTOQUE DE MERCADORIAS</t>
        </is>
      </c>
      <c r="S2319" s="59" t="n">
        <v>1130101</v>
      </c>
      <c r="T2319" s="59" t="inlineStr">
        <is>
          <t>MERCADORIAS P/REVENDA</t>
        </is>
      </c>
      <c r="U2319" s="77" t="n">
        <v>944.98</v>
      </c>
      <c r="W2319" s="59" t="n">
        <v>0</v>
      </c>
      <c r="X2319" s="59" t="inlineStr">
        <is>
          <t>NF 1701960-2 MILKA</t>
        </is>
      </c>
      <c r="Z2319" s="59">
        <f>IF($T2319="","",IFERROR(INDEX('Resumo Grupos'!$AC$3:$AC$200,MATCH($T2319,'Resumo Grupos'!$AB$3:$AB$200,0)),"n/d"))</f>
        <v/>
      </c>
      <c r="AA2319" s="59">
        <f>IF($T2319="","",IF(COUNTIF('Resumo Grupos'!$AE$3:$AE$40,$T2319)&gt;0,"NAO","SIM"))</f>
        <v/>
      </c>
    </row>
    <row r="2320" ht="12.75" customHeight="1" s="60">
      <c r="A2320" s="59" t="n">
        <v>1</v>
      </c>
      <c r="B2320" s="75" t="n">
        <v>46240</v>
      </c>
      <c r="C2320" s="75" t="n">
        <v>46261</v>
      </c>
      <c r="D2320" s="59" t="n">
        <v>1612</v>
      </c>
      <c r="E2320" s="59" t="inlineStr">
        <is>
          <t>EMPRESA BRASILEIRA DE DISTRIBUICAO LTDA</t>
        </is>
      </c>
      <c r="F2320" s="59" t="n">
        <v>24</v>
      </c>
      <c r="G2320" s="59" t="inlineStr">
        <is>
          <t>Compra a Prazo - Boletos</t>
        </is>
      </c>
      <c r="H2320" s="59" t="n">
        <v>2110405</v>
      </c>
      <c r="I2320" s="59" t="inlineStr">
        <is>
          <t>CONTAS A PAGAR</t>
        </is>
      </c>
      <c r="J2320" s="59" t="n">
        <v>1508279</v>
      </c>
      <c r="L2320" s="59" t="n">
        <v>2307727</v>
      </c>
      <c r="M2320" s="59" t="inlineStr">
        <is>
          <t>02</t>
        </is>
      </c>
      <c r="N2320" s="59" t="inlineStr">
        <is>
          <t>AVU</t>
        </is>
      </c>
      <c r="P2320" s="59" t="n">
        <v>103</v>
      </c>
      <c r="Q2320" s="59" t="inlineStr">
        <is>
          <t>MILKA FRANCIS</t>
        </is>
      </c>
      <c r="R2320" s="59" t="inlineStr">
        <is>
          <t>ESTOQUE DE MERCADORIAS</t>
        </is>
      </c>
      <c r="S2320" s="59" t="n">
        <v>1130101</v>
      </c>
      <c r="T2320" s="59" t="inlineStr">
        <is>
          <t>MERCADORIAS P/REVENDA</t>
        </is>
      </c>
      <c r="U2320" s="77" t="n">
        <v>1167.15</v>
      </c>
      <c r="W2320" s="59" t="n">
        <v>0</v>
      </c>
      <c r="X2320" s="59" t="inlineStr">
        <is>
          <t>NF 2307727-2 MILKA</t>
        </is>
      </c>
      <c r="Z2320" s="59">
        <f>IF($T2320="","",IFERROR(INDEX('Resumo Grupos'!$AC$3:$AC$200,MATCH($T2320,'Resumo Grupos'!$AB$3:$AB$200,0)),"n/d"))</f>
        <v/>
      </c>
      <c r="AA2320" s="59">
        <f>IF($T2320="","",IF(COUNTIF('Resumo Grupos'!$AE$3:$AE$40,$T2320)&gt;0,"NAO","SIM"))</f>
        <v/>
      </c>
    </row>
    <row r="2321" ht="12.75" customHeight="1" s="60">
      <c r="A2321" s="59" t="n">
        <v>1</v>
      </c>
      <c r="B2321" s="75" t="n">
        <v>46240</v>
      </c>
      <c r="C2321" s="75" t="n">
        <v>46261</v>
      </c>
      <c r="D2321" s="59" t="n">
        <v>1608</v>
      </c>
      <c r="E2321" s="59" t="inlineStr">
        <is>
          <t>DISTRIBUIDORA LOPES LTDA</t>
        </is>
      </c>
      <c r="F2321" s="59" t="n">
        <v>24</v>
      </c>
      <c r="G2321" s="59" t="inlineStr">
        <is>
          <t>Compra a Prazo - Boletos</t>
        </is>
      </c>
      <c r="H2321" s="59" t="n">
        <v>2110405</v>
      </c>
      <c r="I2321" s="59" t="inlineStr">
        <is>
          <t>CONTAS A PAGAR</t>
        </is>
      </c>
      <c r="J2321" s="59" t="n">
        <v>1508347</v>
      </c>
      <c r="L2321" s="59" t="n">
        <v>1706774</v>
      </c>
      <c r="M2321" s="59" t="inlineStr">
        <is>
          <t>02</t>
        </is>
      </c>
      <c r="N2321" s="59" t="inlineStr">
        <is>
          <t>AVU</t>
        </is>
      </c>
      <c r="P2321" s="59" t="n">
        <v>103</v>
      </c>
      <c r="Q2321" s="59" t="inlineStr">
        <is>
          <t>MILKA FRANCIS</t>
        </is>
      </c>
      <c r="R2321" s="59" t="inlineStr">
        <is>
          <t>ESTOQUE DE MERCADORIAS</t>
        </is>
      </c>
      <c r="S2321" s="59" t="n">
        <v>1130101</v>
      </c>
      <c r="T2321" s="59" t="inlineStr">
        <is>
          <t>MERCADORIAS P/REVENDA</t>
        </is>
      </c>
      <c r="U2321" s="77" t="n">
        <v>1141.92</v>
      </c>
      <c r="W2321" s="59" t="n">
        <v>0</v>
      </c>
      <c r="X2321" s="59" t="inlineStr">
        <is>
          <t>NF 1706774-2 C/DESCONTO NO BOLETO - MILKA</t>
        </is>
      </c>
      <c r="Z2321" s="59">
        <f>IF($T2321="","",IFERROR(INDEX('Resumo Grupos'!$AC$3:$AC$200,MATCH($T2321,'Resumo Grupos'!$AB$3:$AB$200,0)),"n/d"))</f>
        <v/>
      </c>
      <c r="AA2321" s="59">
        <f>IF($T2321="","",IF(COUNTIF('Resumo Grupos'!$AE$3:$AE$40,$T2321)&gt;0,"NAO","SIM"))</f>
        <v/>
      </c>
    </row>
    <row r="2322" ht="12.75" customHeight="1" s="60">
      <c r="A2322" s="59" t="n">
        <v>1</v>
      </c>
      <c r="B2322" s="75" t="n">
        <v>46240</v>
      </c>
      <c r="C2322" s="75" t="n">
        <v>46261</v>
      </c>
      <c r="D2322" s="59" t="n">
        <v>1601</v>
      </c>
      <c r="E2322" s="59" t="inlineStr">
        <is>
          <t>CB COMERCIO E DISTRIBUIDORA DE ALIMENTOS</t>
        </is>
      </c>
      <c r="F2322" s="59" t="n">
        <v>24</v>
      </c>
      <c r="G2322" s="59" t="inlineStr">
        <is>
          <t>Compra a Prazo - Boletos</t>
        </is>
      </c>
      <c r="H2322" s="59" t="n">
        <v>2110405</v>
      </c>
      <c r="I2322" s="59" t="inlineStr">
        <is>
          <t>CONTAS A PAGAR</t>
        </is>
      </c>
      <c r="J2322" s="59" t="n">
        <v>1508387</v>
      </c>
      <c r="L2322" s="59" t="n">
        <v>860853</v>
      </c>
      <c r="M2322" s="59" t="inlineStr">
        <is>
          <t>02</t>
        </is>
      </c>
      <c r="N2322" s="59" t="inlineStr">
        <is>
          <t>AVU</t>
        </is>
      </c>
      <c r="P2322" s="59" t="n">
        <v>103</v>
      </c>
      <c r="Q2322" s="59" t="inlineStr">
        <is>
          <t>MILKA FRANCIS</t>
        </is>
      </c>
      <c r="R2322" s="59" t="inlineStr">
        <is>
          <t>ESTOQUE DE MERCADORIAS</t>
        </is>
      </c>
      <c r="S2322" s="59" t="n">
        <v>1130101</v>
      </c>
      <c r="T2322" s="59" t="inlineStr">
        <is>
          <t>MERCADORIAS P/REVENDA</t>
        </is>
      </c>
      <c r="U2322" s="77" t="n">
        <v>545.86</v>
      </c>
      <c r="W2322" s="59" t="n">
        <v>0</v>
      </c>
      <c r="X2322" s="59" t="inlineStr">
        <is>
          <t>961363-B/B  NF860853 - MILKA</t>
        </is>
      </c>
      <c r="Z2322" s="59">
        <f>IF($T2322="","",IFERROR(INDEX('Resumo Grupos'!$AC$3:$AC$200,MATCH($T2322,'Resumo Grupos'!$AB$3:$AB$200,0)),"n/d"))</f>
        <v/>
      </c>
      <c r="AA2322" s="59">
        <f>IF($T2322="","",IF(COUNTIF('Resumo Grupos'!$AE$3:$AE$40,$T2322)&gt;0,"NAO","SIM"))</f>
        <v/>
      </c>
    </row>
    <row r="2323" ht="12.75" customHeight="1" s="60">
      <c r="A2323" s="59" t="n">
        <v>1</v>
      </c>
      <c r="B2323" s="75" t="n">
        <v>46240</v>
      </c>
      <c r="C2323" s="75" t="n">
        <v>46261</v>
      </c>
      <c r="D2323" s="59" t="n">
        <v>10017</v>
      </c>
      <c r="E2323" s="59" t="inlineStr">
        <is>
          <t>PIARARA COMERCIO, IMPORTACAO E EXPORTACAO LTDA</t>
        </is>
      </c>
      <c r="F2323" s="59" t="n">
        <v>24</v>
      </c>
      <c r="G2323" s="59" t="inlineStr">
        <is>
          <t>Compra a Prazo - Boletos</t>
        </is>
      </c>
      <c r="H2323" s="59" t="n">
        <v>2110405</v>
      </c>
      <c r="I2323" s="59" t="inlineStr">
        <is>
          <t>CONTAS A PAGAR</t>
        </is>
      </c>
      <c r="J2323" s="59" t="n">
        <v>1508414</v>
      </c>
      <c r="L2323" s="59" t="n">
        <v>195281</v>
      </c>
      <c r="M2323" s="59" t="inlineStr">
        <is>
          <t>02</t>
        </is>
      </c>
      <c r="N2323" s="59" t="inlineStr">
        <is>
          <t>AVU</t>
        </is>
      </c>
      <c r="P2323" s="59" t="n">
        <v>103</v>
      </c>
      <c r="Q2323" s="59" t="inlineStr">
        <is>
          <t>MILKA FRANCIS</t>
        </is>
      </c>
      <c r="R2323" s="59" t="inlineStr">
        <is>
          <t>ESTOQUE DE MERCADORIAS</t>
        </is>
      </c>
      <c r="S2323" s="59" t="n">
        <v>1130101</v>
      </c>
      <c r="T2323" s="59" t="inlineStr">
        <is>
          <t>MERCADORIAS P/REVENDA</t>
        </is>
      </c>
      <c r="U2323" s="77" t="n">
        <v>1164.11</v>
      </c>
      <c r="W2323" s="59" t="n">
        <v>0</v>
      </c>
      <c r="X2323" s="59" t="inlineStr">
        <is>
          <t>NF 195281-2 MILKA</t>
        </is>
      </c>
      <c r="Z2323" s="59">
        <f>IF($T2323="","",IFERROR(INDEX('Resumo Grupos'!$AC$3:$AC$200,MATCH($T2323,'Resumo Grupos'!$AB$3:$AB$200,0)),"n/d"))</f>
        <v/>
      </c>
      <c r="AA2323" s="59">
        <f>IF($T2323="","",IF(COUNTIF('Resumo Grupos'!$AE$3:$AE$40,$T2323)&gt;0,"NAO","SIM"))</f>
        <v/>
      </c>
    </row>
    <row r="2324" ht="12.75" customHeight="1" s="60">
      <c r="A2324" s="59" t="n">
        <v>1</v>
      </c>
      <c r="B2324" s="75" t="n">
        <v>46241</v>
      </c>
      <c r="C2324" s="75" t="n">
        <v>46261</v>
      </c>
      <c r="D2324" s="59" t="n">
        <v>1626</v>
      </c>
      <c r="E2324" s="59" t="inlineStr">
        <is>
          <t>FENNIX BRASIL DISTRIBUIDORA DE PRODUTOS</t>
        </is>
      </c>
      <c r="F2324" s="59" t="n">
        <v>24</v>
      </c>
      <c r="G2324" s="59" t="inlineStr">
        <is>
          <t>Compra a Prazo - Boletos</t>
        </is>
      </c>
      <c r="H2324" s="59" t="n">
        <v>2110405</v>
      </c>
      <c r="I2324" s="59" t="inlineStr">
        <is>
          <t>CONTAS A PAGAR</t>
        </is>
      </c>
      <c r="J2324" s="59" t="n">
        <v>1513163</v>
      </c>
      <c r="L2324" s="59" t="n">
        <v>316329</v>
      </c>
      <c r="M2324" s="59" t="inlineStr">
        <is>
          <t>02</t>
        </is>
      </c>
      <c r="N2324" s="59" t="inlineStr">
        <is>
          <t>AVU</t>
        </is>
      </c>
      <c r="P2324" s="59" t="n">
        <v>103</v>
      </c>
      <c r="Q2324" s="59" t="inlineStr">
        <is>
          <t>MILKA FRANCIS</t>
        </is>
      </c>
      <c r="R2324" s="59" t="inlineStr">
        <is>
          <t>ESTOQUE DE MERCADORIAS</t>
        </is>
      </c>
      <c r="S2324" s="59" t="n">
        <v>1130101</v>
      </c>
      <c r="T2324" s="59" t="inlineStr">
        <is>
          <t>MERCADORIAS P/REVENDA</t>
        </is>
      </c>
      <c r="U2324" s="77" t="n">
        <v>1276.95</v>
      </c>
      <c r="W2324" s="59" t="n">
        <v>0</v>
      </c>
      <c r="X2324" s="59" t="inlineStr">
        <is>
          <t>NF316329-2 C/TARIFA INCLUSA - MILKA</t>
        </is>
      </c>
      <c r="Z2324" s="59">
        <f>IF($T2324="","",IFERROR(INDEX('Resumo Grupos'!$AC$3:$AC$200,MATCH($T2324,'Resumo Grupos'!$AB$3:$AB$200,0)),"n/d"))</f>
        <v/>
      </c>
      <c r="AA2324" s="59">
        <f>IF($T2324="","",IF(COUNTIF('Resumo Grupos'!$AE$3:$AE$40,$T2324)&gt;0,"NAO","SIM"))</f>
        <v/>
      </c>
    </row>
    <row r="2325" ht="12.75" customHeight="1" s="60">
      <c r="A2325" s="59" t="n">
        <v>1</v>
      </c>
      <c r="B2325" s="75" t="n">
        <v>46242</v>
      </c>
      <c r="C2325" s="75" t="n">
        <v>46261</v>
      </c>
      <c r="D2325" s="59" t="n">
        <v>1675</v>
      </c>
      <c r="E2325" s="59" t="inlineStr">
        <is>
          <t>MARQUES &amp; MELO LTDA - FILIAL</t>
        </is>
      </c>
      <c r="F2325" s="59" t="n">
        <v>24</v>
      </c>
      <c r="G2325" s="59" t="inlineStr">
        <is>
          <t>Compra a Prazo - Boletos</t>
        </is>
      </c>
      <c r="H2325" s="59" t="n">
        <v>2110405</v>
      </c>
      <c r="I2325" s="59" t="inlineStr">
        <is>
          <t>CONTAS A PAGAR</t>
        </is>
      </c>
      <c r="J2325" s="59" t="n">
        <v>1518493</v>
      </c>
      <c r="L2325" s="59" t="n">
        <v>506570</v>
      </c>
      <c r="M2325" s="59" t="inlineStr">
        <is>
          <t>02</t>
        </is>
      </c>
      <c r="N2325" s="59" t="inlineStr">
        <is>
          <t>AVU</t>
        </is>
      </c>
      <c r="P2325" s="59" t="n">
        <v>103</v>
      </c>
      <c r="Q2325" s="59" t="inlineStr">
        <is>
          <t>MILKA FRANCIS</t>
        </is>
      </c>
      <c r="R2325" s="59" t="inlineStr">
        <is>
          <t>ESTOQUE DE MERCADORIAS</t>
        </is>
      </c>
      <c r="S2325" s="59" t="n">
        <v>1130101</v>
      </c>
      <c r="T2325" s="59" t="inlineStr">
        <is>
          <t>MERCADORIAS P/REVENDA</t>
        </is>
      </c>
      <c r="U2325" s="77" t="n">
        <v>729.65</v>
      </c>
      <c r="W2325" s="59" t="n">
        <v>0</v>
      </c>
      <c r="X2325" s="59" t="inlineStr">
        <is>
          <t>NF 506570-02 DISMELO - MILKA</t>
        </is>
      </c>
      <c r="Z2325" s="59">
        <f>IF($T2325="","",IFERROR(INDEX('Resumo Grupos'!$AC$3:$AC$200,MATCH($T2325,'Resumo Grupos'!$AB$3:$AB$200,0)),"n/d"))</f>
        <v/>
      </c>
      <c r="AA2325" s="59">
        <f>IF($T2325="","",IF(COUNTIF('Resumo Grupos'!$AE$3:$AE$40,$T2325)&gt;0,"NAO","SIM"))</f>
        <v/>
      </c>
    </row>
    <row r="2326" ht="12.75" customHeight="1" s="60">
      <c r="A2326" s="59" t="n">
        <v>1</v>
      </c>
      <c r="B2326" s="75" t="n">
        <v>46244</v>
      </c>
      <c r="C2326" s="75" t="n">
        <v>46261</v>
      </c>
      <c r="D2326" s="59" t="n">
        <v>1740</v>
      </c>
      <c r="E2326" s="59" t="inlineStr">
        <is>
          <t>OCIDENTAL COMERCIO DE FRIOS LTDA</t>
        </is>
      </c>
      <c r="F2326" s="59" t="n">
        <v>24</v>
      </c>
      <c r="G2326" s="59" t="inlineStr">
        <is>
          <t>Compra a Prazo - Boletos</t>
        </is>
      </c>
      <c r="H2326" s="59" t="n">
        <v>2110405</v>
      </c>
      <c r="I2326" s="59" t="inlineStr">
        <is>
          <t>CONTAS A PAGAR</t>
        </is>
      </c>
      <c r="J2326" s="59" t="n">
        <v>1528885</v>
      </c>
      <c r="L2326" s="59" t="n">
        <v>1256046</v>
      </c>
      <c r="M2326" s="59" t="inlineStr">
        <is>
          <t>01</t>
        </is>
      </c>
      <c r="N2326" s="59" t="inlineStr">
        <is>
          <t>AVU</t>
        </is>
      </c>
      <c r="P2326" s="59" t="n">
        <v>103</v>
      </c>
      <c r="Q2326" s="59" t="inlineStr">
        <is>
          <t>MILKA FRANCIS</t>
        </is>
      </c>
      <c r="R2326" s="59" t="inlineStr">
        <is>
          <t>ESTOQUE DE MERCADORIAS</t>
        </is>
      </c>
      <c r="S2326" s="59" t="n">
        <v>1130101</v>
      </c>
      <c r="T2326" s="59" t="inlineStr">
        <is>
          <t>MERCADORIAS P/REVENDA</t>
        </is>
      </c>
      <c r="U2326" s="77" t="n">
        <v>922.97</v>
      </c>
      <c r="W2326" s="59" t="n">
        <v>0</v>
      </c>
      <c r="X2326" s="59" t="inlineStr">
        <is>
          <t>NF 1256046 - MILKA</t>
        </is>
      </c>
      <c r="Z2326" s="59">
        <f>IF($T2326="","",IFERROR(INDEX('Resumo Grupos'!$AC$3:$AC$200,MATCH($T2326,'Resumo Grupos'!$AB$3:$AB$200,0)),"n/d"))</f>
        <v/>
      </c>
      <c r="AA2326" s="59">
        <f>IF($T2326="","",IF(COUNTIF('Resumo Grupos'!$AE$3:$AE$40,$T2326)&gt;0,"NAO","SIM"))</f>
        <v/>
      </c>
    </row>
    <row r="2327" ht="12.75" customHeight="1" s="60">
      <c r="A2327" s="59" t="n">
        <v>1</v>
      </c>
      <c r="B2327" s="75" t="n">
        <v>46246</v>
      </c>
      <c r="C2327" s="75" t="n">
        <v>46261</v>
      </c>
      <c r="D2327" s="59" t="n">
        <v>1659</v>
      </c>
      <c r="E2327" s="59" t="inlineStr">
        <is>
          <t>ADRIANA DISTRIBUIDORA DE PRODUTOS ALIMEN</t>
        </is>
      </c>
      <c r="F2327" s="59" t="n">
        <v>24</v>
      </c>
      <c r="G2327" s="59" t="inlineStr">
        <is>
          <t>Compra a Prazo - Boletos</t>
        </is>
      </c>
      <c r="H2327" s="59" t="n">
        <v>2110405</v>
      </c>
      <c r="I2327" s="59" t="inlineStr">
        <is>
          <t>CONTAS A PAGAR</t>
        </is>
      </c>
      <c r="J2327" s="59" t="n">
        <v>1535642</v>
      </c>
      <c r="L2327" s="59" t="n">
        <v>889987</v>
      </c>
      <c r="M2327" s="59" t="inlineStr">
        <is>
          <t>01</t>
        </is>
      </c>
      <c r="N2327" s="59" t="inlineStr">
        <is>
          <t>AVU</t>
        </is>
      </c>
      <c r="P2327" s="59" t="n">
        <v>103</v>
      </c>
      <c r="Q2327" s="59" t="inlineStr">
        <is>
          <t>MILKA FRANCIS</t>
        </is>
      </c>
      <c r="R2327" s="59" t="inlineStr">
        <is>
          <t>ESTOQUE DE MERCADORIAS</t>
        </is>
      </c>
      <c r="S2327" s="59" t="n">
        <v>1130101</v>
      </c>
      <c r="T2327" s="59" t="inlineStr">
        <is>
          <t>MERCADORIAS P/REVENDA</t>
        </is>
      </c>
      <c r="U2327" s="77" t="n">
        <v>345.95</v>
      </c>
      <c r="W2327" s="59" t="n">
        <v>0</v>
      </c>
      <c r="X2327" s="59" t="inlineStr">
        <is>
          <t>NF 889987-1 MILKA</t>
        </is>
      </c>
      <c r="Z2327" s="59">
        <f>IF($T2327="","",IFERROR(INDEX('Resumo Grupos'!$AC$3:$AC$200,MATCH($T2327,'Resumo Grupos'!$AB$3:$AB$200,0)),"n/d"))</f>
        <v/>
      </c>
      <c r="AA2327" s="59">
        <f>IF($T2327="","",IF(COUNTIF('Resumo Grupos'!$AE$3:$AE$40,$T2327)&gt;0,"NAO","SIM"))</f>
        <v/>
      </c>
    </row>
    <row r="2328" ht="12.75" customHeight="1" s="60">
      <c r="A2328" s="59" t="n">
        <v>1</v>
      </c>
      <c r="B2328" s="75" t="n">
        <v>46246</v>
      </c>
      <c r="C2328" s="75" t="n">
        <v>46261</v>
      </c>
      <c r="D2328" s="59" t="n">
        <v>10009</v>
      </c>
      <c r="E2328" s="59" t="inlineStr">
        <is>
          <t>NESTLÉ BRASIL LTDA.</t>
        </is>
      </c>
      <c r="F2328" s="59" t="n">
        <v>24</v>
      </c>
      <c r="G2328" s="59" t="inlineStr">
        <is>
          <t>Compra a Prazo - Boletos</t>
        </is>
      </c>
      <c r="H2328" s="59" t="n">
        <v>2110405</v>
      </c>
      <c r="I2328" s="59" t="inlineStr">
        <is>
          <t>CONTAS A PAGAR</t>
        </is>
      </c>
      <c r="J2328" s="59" t="n">
        <v>1537273</v>
      </c>
      <c r="L2328" s="59" t="n">
        <v>1436399</v>
      </c>
      <c r="M2328" s="59" t="inlineStr">
        <is>
          <t>03</t>
        </is>
      </c>
      <c r="N2328" s="59" t="inlineStr">
        <is>
          <t>AVU</t>
        </is>
      </c>
      <c r="P2328" s="59" t="n">
        <v>103</v>
      </c>
      <c r="Q2328" s="59" t="inlineStr">
        <is>
          <t>MILKA FRANCIS</t>
        </is>
      </c>
      <c r="R2328" s="59" t="inlineStr">
        <is>
          <t>ESTOQUE DE MERCADORIAS</t>
        </is>
      </c>
      <c r="S2328" s="59" t="n">
        <v>1130101</v>
      </c>
      <c r="T2328" s="59" t="inlineStr">
        <is>
          <t>MERCADORIAS P/REVENDA</t>
        </is>
      </c>
      <c r="U2328" s="77" t="n">
        <v>1001.87</v>
      </c>
      <c r="W2328" s="59" t="n">
        <v>0</v>
      </c>
      <c r="X2328" s="59" t="inlineStr">
        <is>
          <t>NF 1436399 -03/03 MILKA</t>
        </is>
      </c>
      <c r="Z2328" s="59">
        <f>IF($T2328="","",IFERROR(INDEX('Resumo Grupos'!$AC$3:$AC$200,MATCH($T2328,'Resumo Grupos'!$AB$3:$AB$200,0)),"n/d"))</f>
        <v/>
      </c>
      <c r="AA2328" s="59">
        <f>IF($T2328="","",IF(COUNTIF('Resumo Grupos'!$AE$3:$AE$40,$T2328)&gt;0,"NAO","SIM"))</f>
        <v/>
      </c>
    </row>
    <row r="2329" ht="12.75" customHeight="1" s="60">
      <c r="A2329" s="59" t="n">
        <v>1</v>
      </c>
      <c r="B2329" s="75" t="n">
        <v>46248</v>
      </c>
      <c r="C2329" s="75" t="n">
        <v>46261</v>
      </c>
      <c r="D2329" s="59" t="n">
        <v>10020</v>
      </c>
      <c r="E2329" s="59" t="inlineStr">
        <is>
          <t>E. SALES DO NASCIMENTO</t>
        </is>
      </c>
      <c r="F2329" s="59" t="n">
        <v>24</v>
      </c>
      <c r="G2329" s="59" t="inlineStr">
        <is>
          <t>Compra a Prazo - Boletos</t>
        </is>
      </c>
      <c r="H2329" s="59" t="n">
        <v>2110405</v>
      </c>
      <c r="I2329" s="59" t="inlineStr">
        <is>
          <t>CONTAS A PAGAR</t>
        </is>
      </c>
      <c r="J2329" s="59" t="n">
        <v>1546108</v>
      </c>
      <c r="L2329" s="59" t="n">
        <v>799</v>
      </c>
      <c r="M2329" s="59" t="inlineStr">
        <is>
          <t>01</t>
        </is>
      </c>
      <c r="N2329" s="59" t="inlineStr">
        <is>
          <t>AVU</t>
        </is>
      </c>
      <c r="P2329" s="59" t="n">
        <v>103</v>
      </c>
      <c r="Q2329" s="59" t="inlineStr">
        <is>
          <t>MILKA FRANCIS</t>
        </is>
      </c>
      <c r="R2329" s="59" t="inlineStr">
        <is>
          <t>ESTOQUE DE MERCADORIAS</t>
        </is>
      </c>
      <c r="S2329" s="59" t="n">
        <v>1130101</v>
      </c>
      <c r="T2329" s="59" t="inlineStr">
        <is>
          <t>MERCADORIAS P/REVENDA</t>
        </is>
      </c>
      <c r="U2329" s="77" t="n">
        <v>507.3</v>
      </c>
      <c r="W2329" s="59" t="n">
        <v>0</v>
      </c>
      <c r="X2329" s="59" t="inlineStr">
        <is>
          <t>NF 799-01 ARENA  AGROPET - MILKA</t>
        </is>
      </c>
      <c r="Z2329" s="59">
        <f>IF($T2329="","",IFERROR(INDEX('Resumo Grupos'!$AC$3:$AC$200,MATCH($T2329,'Resumo Grupos'!$AB$3:$AB$200,0)),"n/d"))</f>
        <v/>
      </c>
      <c r="AA2329" s="59">
        <f>IF($T2329="","",IF(COUNTIF('Resumo Grupos'!$AE$3:$AE$40,$T2329)&gt;0,"NAO","SIM"))</f>
        <v/>
      </c>
    </row>
    <row r="2330" ht="12.75" customHeight="1" s="60">
      <c r="A2330" s="59" t="n">
        <v>1</v>
      </c>
      <c r="B2330" s="75" t="n">
        <v>46248</v>
      </c>
      <c r="C2330" s="75" t="n">
        <v>46261</v>
      </c>
      <c r="D2330" s="59" t="n">
        <v>1609</v>
      </c>
      <c r="E2330" s="59" t="inlineStr">
        <is>
          <t>H. L. DO NASCIMENTO</t>
        </is>
      </c>
      <c r="F2330" s="59" t="n">
        <v>24</v>
      </c>
      <c r="G2330" s="59" t="inlineStr">
        <is>
          <t>Compra a Prazo - Boletos</t>
        </is>
      </c>
      <c r="H2330" s="59" t="n">
        <v>2110405</v>
      </c>
      <c r="I2330" s="59" t="inlineStr">
        <is>
          <t>CONTAS A PAGAR</t>
        </is>
      </c>
      <c r="J2330" s="59" t="n">
        <v>1547225</v>
      </c>
      <c r="L2330" s="59" t="n">
        <v>5964</v>
      </c>
      <c r="M2330" s="59" t="inlineStr">
        <is>
          <t>01</t>
        </is>
      </c>
      <c r="N2330" s="59" t="inlineStr">
        <is>
          <t>AVU</t>
        </is>
      </c>
      <c r="P2330" s="59" t="n">
        <v>103</v>
      </c>
      <c r="Q2330" s="59" t="inlineStr">
        <is>
          <t>MILKA FRANCIS</t>
        </is>
      </c>
      <c r="R2330" s="59" t="inlineStr">
        <is>
          <t>ESTOQUE DE MERCADORIAS</t>
        </is>
      </c>
      <c r="S2330" s="59" t="n">
        <v>1130101</v>
      </c>
      <c r="T2330" s="59" t="inlineStr">
        <is>
          <t>MERCADORIAS P/REVENDA</t>
        </is>
      </c>
      <c r="U2330" s="77" t="n">
        <v>1547.95</v>
      </c>
      <c r="W2330" s="59" t="n">
        <v>0</v>
      </c>
      <c r="X2330" s="59" t="inlineStr">
        <is>
          <t>NF 5964 FAZENDINHA - MILKA</t>
        </is>
      </c>
      <c r="Z2330" s="59">
        <f>IF($T2330="","",IFERROR(INDEX('Resumo Grupos'!$AC$3:$AC$200,MATCH($T2330,'Resumo Grupos'!$AB$3:$AB$200,0)),"n/d"))</f>
        <v/>
      </c>
      <c r="AA2330" s="59">
        <f>IF($T2330="","",IF(COUNTIF('Resumo Grupos'!$AE$3:$AE$40,$T2330)&gt;0,"NAO","SIM"))</f>
        <v/>
      </c>
    </row>
    <row r="2331" ht="12.75" customHeight="1" s="60">
      <c r="A2331" s="59" t="n">
        <v>1</v>
      </c>
      <c r="B2331" s="75" t="n">
        <v>46251</v>
      </c>
      <c r="C2331" s="75" t="n">
        <v>46261</v>
      </c>
      <c r="D2331" s="59" t="n">
        <v>1671</v>
      </c>
      <c r="E2331" s="59" t="inlineStr">
        <is>
          <t>TAPAJOS COM DE PERFUMARIA COSMETICOS E G</t>
        </is>
      </c>
      <c r="F2331" s="59" t="n">
        <v>24</v>
      </c>
      <c r="G2331" s="59" t="inlineStr">
        <is>
          <t>Compra a Prazo - Boletos</t>
        </is>
      </c>
      <c r="H2331" s="59" t="n">
        <v>2110405</v>
      </c>
      <c r="I2331" s="59" t="inlineStr">
        <is>
          <t>CONTAS A PAGAR</t>
        </is>
      </c>
      <c r="J2331" s="59" t="n">
        <v>1562446</v>
      </c>
      <c r="L2331" s="59" t="n">
        <v>586417</v>
      </c>
      <c r="M2331" s="59" t="inlineStr">
        <is>
          <t>01</t>
        </is>
      </c>
      <c r="N2331" s="59" t="inlineStr">
        <is>
          <t>AVU</t>
        </is>
      </c>
      <c r="P2331" s="59" t="n">
        <v>103</v>
      </c>
      <c r="Q2331" s="59" t="inlineStr">
        <is>
          <t>MILKA FRANCIS</t>
        </is>
      </c>
      <c r="R2331" s="59" t="inlineStr">
        <is>
          <t>ESTOQUE DE MERCADORIAS</t>
        </is>
      </c>
      <c r="S2331" s="59" t="n">
        <v>1130101</v>
      </c>
      <c r="T2331" s="59" t="inlineStr">
        <is>
          <t>MERCADORIAS P/REVENDA</t>
        </is>
      </c>
      <c r="U2331" s="77" t="n">
        <v>1584.82</v>
      </c>
      <c r="W2331" s="59" t="n">
        <v>0</v>
      </c>
      <c r="X2331" s="59" t="inlineStr">
        <is>
          <t>NF 586417-1 MILKA</t>
        </is>
      </c>
      <c r="Z2331" s="59">
        <f>IF($T2331="","",IFERROR(INDEX('Resumo Grupos'!$AC$3:$AC$200,MATCH($T2331,'Resumo Grupos'!$AB$3:$AB$200,0)),"n/d"))</f>
        <v/>
      </c>
      <c r="AA2331" s="59">
        <f>IF($T2331="","",IF(COUNTIF('Resumo Grupos'!$AE$3:$AE$40,$T2331)&gt;0,"NAO","SIM"))</f>
        <v/>
      </c>
    </row>
    <row r="2332" ht="12.75" customHeight="1" s="60">
      <c r="A2332" s="59" t="n">
        <v>1</v>
      </c>
      <c r="B2332" s="75" t="n">
        <v>46254</v>
      </c>
      <c r="C2332" s="75" t="n">
        <v>46261</v>
      </c>
      <c r="D2332" s="59" t="n">
        <v>560</v>
      </c>
      <c r="E2332" s="59" t="inlineStr">
        <is>
          <t>KAROLINY RODRIGUES SOUZA VENANCIO 915783</t>
        </is>
      </c>
      <c r="F2332" s="59" t="n">
        <v>24</v>
      </c>
      <c r="G2332" s="59" t="inlineStr">
        <is>
          <t>Compra a Prazo - Boletos</t>
        </is>
      </c>
      <c r="H2332" s="59" t="n">
        <v>2110405</v>
      </c>
      <c r="I2332" s="59" t="inlineStr">
        <is>
          <t>CONTAS A PAGAR</t>
        </is>
      </c>
      <c r="J2332" s="59" t="n">
        <v>1575849</v>
      </c>
      <c r="L2332" s="59" t="n">
        <v>2056</v>
      </c>
      <c r="M2332" s="59" t="inlineStr">
        <is>
          <t>01</t>
        </is>
      </c>
      <c r="N2332" s="59" t="inlineStr">
        <is>
          <t>AVU</t>
        </is>
      </c>
      <c r="P2332" s="59" t="n">
        <v>103</v>
      </c>
      <c r="Q2332" s="59" t="inlineStr">
        <is>
          <t>MILKA FRANCIS</t>
        </is>
      </c>
      <c r="R2332" s="59" t="inlineStr">
        <is>
          <t>ESTOQUE DE MERCADORIAS</t>
        </is>
      </c>
      <c r="S2332" s="59" t="n">
        <v>1130101</v>
      </c>
      <c r="T2332" s="59" t="inlineStr">
        <is>
          <t>MERCADORIAS P/REVENDA</t>
        </is>
      </c>
      <c r="U2332" s="77" t="n">
        <v>500</v>
      </c>
      <c r="W2332" s="59" t="n">
        <v>0</v>
      </c>
      <c r="X2332" s="59" t="inlineStr">
        <is>
          <t xml:space="preserve">NF 2056 BISC. DONA MARIA - MILKA </t>
        </is>
      </c>
      <c r="Z2332" s="59">
        <f>IF($T2332="","",IFERROR(INDEX('Resumo Grupos'!$AC$3:$AC$200,MATCH($T2332,'Resumo Grupos'!$AB$3:$AB$200,0)),"n/d"))</f>
        <v/>
      </c>
      <c r="AA2332" s="59">
        <f>IF($T2332="","",IF(COUNTIF('Resumo Grupos'!$AE$3:$AE$40,$T2332)&gt;0,"NAO","SIM"))</f>
        <v/>
      </c>
    </row>
    <row r="2333" ht="12.75" customHeight="1" s="60">
      <c r="A2333" s="59" t="n">
        <v>1</v>
      </c>
      <c r="B2333" s="75" t="n">
        <v>46254</v>
      </c>
      <c r="C2333" s="75" t="n">
        <v>46261</v>
      </c>
      <c r="D2333" s="59" t="n">
        <v>10105</v>
      </c>
      <c r="E2333" s="59" t="inlineStr">
        <is>
          <t>BOLOS AMAZONICOS LTDA</t>
        </is>
      </c>
      <c r="F2333" s="59" t="n">
        <v>34</v>
      </c>
      <c r="G2333" s="59" t="inlineStr">
        <is>
          <t>Transferencia Pix</t>
        </is>
      </c>
      <c r="H2333" s="59" t="n">
        <v>2110405</v>
      </c>
      <c r="I2333" s="59" t="inlineStr">
        <is>
          <t>CONTAS A PAGAR</t>
        </is>
      </c>
      <c r="J2333" s="59" t="n">
        <v>1577108</v>
      </c>
      <c r="L2333" s="59" t="n">
        <v>63</v>
      </c>
      <c r="M2333" s="59" t="inlineStr">
        <is>
          <t>01</t>
        </is>
      </c>
      <c r="N2333" s="59" t="inlineStr">
        <is>
          <t>AVU</t>
        </is>
      </c>
      <c r="P2333" s="59" t="n">
        <v>103</v>
      </c>
      <c r="Q2333" s="59" t="inlineStr">
        <is>
          <t>MILKA FRANCIS</t>
        </is>
      </c>
      <c r="R2333" s="59" t="inlineStr">
        <is>
          <t>ESTOQUE DE MERCADORIAS</t>
        </is>
      </c>
      <c r="S2333" s="59" t="n">
        <v>1130101</v>
      </c>
      <c r="T2333" s="59" t="inlineStr">
        <is>
          <t>MERCADORIAS P/REVENDA</t>
        </is>
      </c>
      <c r="U2333" s="77" t="n">
        <v>299.5</v>
      </c>
      <c r="W2333" s="59" t="n">
        <v>0</v>
      </c>
      <c r="X2333" s="59" t="inlineStr">
        <is>
          <t>NF 63 / PGTO THAILLA BIANCA 92981403632 - MILKA</t>
        </is>
      </c>
      <c r="Z2333" s="59">
        <f>IF($T2333="","",IFERROR(INDEX('Resumo Grupos'!$AC$3:$AC$200,MATCH($T2333,'Resumo Grupos'!$AB$3:$AB$200,0)),"n/d"))</f>
        <v/>
      </c>
      <c r="AA2333" s="59">
        <f>IF($T2333="","",IF(COUNTIF('Resumo Grupos'!$AE$3:$AE$40,$T2333)&gt;0,"NAO","SIM"))</f>
        <v/>
      </c>
    </row>
    <row r="2334" ht="12.75" customHeight="1" s="60">
      <c r="A2334" s="59" t="n">
        <v>1</v>
      </c>
      <c r="B2334" s="75" t="n">
        <v>46254</v>
      </c>
      <c r="C2334" s="75" t="n">
        <v>46261</v>
      </c>
      <c r="D2334" s="59" t="n">
        <v>1625</v>
      </c>
      <c r="E2334" s="59" t="inlineStr">
        <is>
          <t>MAXFRI DISTRIUIDORA LTDA</t>
        </is>
      </c>
      <c r="F2334" s="59" t="n">
        <v>24</v>
      </c>
      <c r="G2334" s="59" t="inlineStr">
        <is>
          <t>Compra a Prazo - Boletos</t>
        </is>
      </c>
      <c r="H2334" s="59" t="n">
        <v>2110405</v>
      </c>
      <c r="I2334" s="59" t="inlineStr">
        <is>
          <t>CONTAS A PAGAR</t>
        </is>
      </c>
      <c r="J2334" s="59" t="n">
        <v>1577856</v>
      </c>
      <c r="L2334" s="59" t="n">
        <v>15103</v>
      </c>
      <c r="M2334" s="59" t="inlineStr">
        <is>
          <t>01</t>
        </is>
      </c>
      <c r="N2334" s="59" t="inlineStr">
        <is>
          <t>AVU</t>
        </is>
      </c>
      <c r="P2334" s="59" t="n">
        <v>103</v>
      </c>
      <c r="Q2334" s="59" t="inlineStr">
        <is>
          <t>MILKA FRANCIS</t>
        </is>
      </c>
      <c r="R2334" s="59" t="inlineStr">
        <is>
          <t>ESTOQUE DE MERCADORIAS</t>
        </is>
      </c>
      <c r="S2334" s="59" t="n">
        <v>1130101</v>
      </c>
      <c r="T2334" s="59" t="inlineStr">
        <is>
          <t>MERCADORIAS P/REVENDA</t>
        </is>
      </c>
      <c r="U2334" s="77" t="n">
        <v>2817.75</v>
      </c>
      <c r="W2334" s="59" t="n">
        <v>0</v>
      </c>
      <c r="X2334" s="59" t="inlineStr">
        <is>
          <t xml:space="preserve">NF15103 - MILKA </t>
        </is>
      </c>
      <c r="Z2334" s="59">
        <f>IF($T2334="","",IFERROR(INDEX('Resumo Grupos'!$AC$3:$AC$200,MATCH($T2334,'Resumo Grupos'!$AB$3:$AB$200,0)),"n/d"))</f>
        <v/>
      </c>
      <c r="AA2334" s="59">
        <f>IF($T2334="","",IF(COUNTIF('Resumo Grupos'!$AE$3:$AE$40,$T2334)&gt;0,"NAO","SIM"))</f>
        <v/>
      </c>
    </row>
    <row r="2335" ht="12.75" customHeight="1" s="60">
      <c r="A2335" s="59" t="n">
        <v>1</v>
      </c>
      <c r="B2335" s="75" t="n">
        <v>46255</v>
      </c>
      <c r="C2335" s="75" t="n">
        <v>46261</v>
      </c>
      <c r="D2335" s="59" t="n">
        <v>10018</v>
      </c>
      <c r="E2335" s="59" t="inlineStr">
        <is>
          <t>ADRIANO FEITOSA OLIVEIRA LTDA</t>
        </is>
      </c>
      <c r="F2335" s="59" t="n">
        <v>24</v>
      </c>
      <c r="G2335" s="59" t="inlineStr">
        <is>
          <t>Compra a Prazo - Boletos</t>
        </is>
      </c>
      <c r="H2335" s="59" t="n">
        <v>2110405</v>
      </c>
      <c r="I2335" s="59" t="inlineStr">
        <is>
          <t>CONTAS A PAGAR</t>
        </is>
      </c>
      <c r="J2335" s="59" t="n">
        <v>1581215</v>
      </c>
      <c r="L2335" s="59" t="n">
        <v>370</v>
      </c>
      <c r="M2335" s="59" t="inlineStr">
        <is>
          <t>01</t>
        </is>
      </c>
      <c r="N2335" s="59" t="inlineStr">
        <is>
          <t>AVU</t>
        </is>
      </c>
      <c r="P2335" s="59" t="n">
        <v>103</v>
      </c>
      <c r="Q2335" s="59" t="inlineStr">
        <is>
          <t>MILKA FRANCIS</t>
        </is>
      </c>
      <c r="R2335" s="59" t="inlineStr">
        <is>
          <t>ESTOQUE DE MERCADORIAS</t>
        </is>
      </c>
      <c r="S2335" s="59" t="n">
        <v>1130101</v>
      </c>
      <c r="T2335" s="59" t="inlineStr">
        <is>
          <t>MERCADORIAS P/REVENDA</t>
        </is>
      </c>
      <c r="U2335" s="77" t="n">
        <v>2709.8</v>
      </c>
      <c r="W2335" s="59" t="n">
        <v>0</v>
      </c>
      <c r="X2335" s="59" t="inlineStr">
        <is>
          <t>NF 370 PGTO PARA DISTRIB.  ADRIANO - MILKA</t>
        </is>
      </c>
      <c r="Z2335" s="59">
        <f>IF($T2335="","",IFERROR(INDEX('Resumo Grupos'!$AC$3:$AC$200,MATCH($T2335,'Resumo Grupos'!$AB$3:$AB$200,0)),"n/d"))</f>
        <v/>
      </c>
      <c r="AA2335" s="59">
        <f>IF($T2335="","",IF(COUNTIF('Resumo Grupos'!$AE$3:$AE$40,$T2335)&gt;0,"NAO","SIM"))</f>
        <v/>
      </c>
    </row>
    <row r="2336" ht="12.75" customHeight="1" s="60">
      <c r="A2336" s="59" t="n">
        <v>1</v>
      </c>
      <c r="B2336" s="75" t="n">
        <v>46228</v>
      </c>
      <c r="C2336" s="75" t="n">
        <v>46262</v>
      </c>
      <c r="D2336" s="59" t="n">
        <v>515</v>
      </c>
      <c r="E2336" s="59" t="inlineStr">
        <is>
          <t>ITAU SA</t>
        </is>
      </c>
      <c r="F2336" s="59" t="n">
        <v>34</v>
      </c>
      <c r="G2336" s="59" t="inlineStr">
        <is>
          <t>Transferencia Pix</t>
        </is>
      </c>
      <c r="H2336" s="59" t="n">
        <v>1110202</v>
      </c>
      <c r="I2336" s="59" t="inlineStr">
        <is>
          <t>BANCO ITAU Lj 01</t>
        </is>
      </c>
      <c r="J2336" s="59" t="n">
        <v>1449535</v>
      </c>
      <c r="L2336" s="59" t="n">
        <v>596258</v>
      </c>
      <c r="M2336" s="59" t="inlineStr">
        <is>
          <t>02</t>
        </is>
      </c>
      <c r="N2336" s="59" t="inlineStr">
        <is>
          <t>AVU</t>
        </is>
      </c>
      <c r="P2336" s="59" t="n">
        <v>101</v>
      </c>
      <c r="Q2336" s="59" t="inlineStr">
        <is>
          <t>KEILA LIMA</t>
        </is>
      </c>
      <c r="R2336" s="59" t="inlineStr">
        <is>
          <t>DESPESAS NAO OPERACIONAIS</t>
        </is>
      </c>
      <c r="S2336" s="59" t="n">
        <v>4220199</v>
      </c>
      <c r="T2336" s="59" t="inlineStr">
        <is>
          <t>PAGAMENTOS OUTROS NAO OPERACIONAIS</t>
        </is>
      </c>
      <c r="U2336" s="77" t="n">
        <v>3853.23</v>
      </c>
      <c r="W2336" s="59" t="n">
        <v>0</v>
      </c>
      <c r="X2336" s="59" t="inlineStr">
        <is>
          <t xml:space="preserve">NAO SOMAR PARC 18/36 PL ROGER E RENATO </t>
        </is>
      </c>
      <c r="Z2336" s="59">
        <f>IF($T2336="","",IFERROR(INDEX('Resumo Grupos'!$AC$3:$AC$200,MATCH($T2336,'Resumo Grupos'!$AB$3:$AB$200,0)),"n/d"))</f>
        <v/>
      </c>
      <c r="AA2336" s="59">
        <f>IF($T2336="","",IF(COUNTIF('Resumo Grupos'!$AE$3:$AE$40,$T2336)&gt;0,"NAO","SIM"))</f>
        <v/>
      </c>
    </row>
    <row r="2337" ht="12.75" customHeight="1" s="60">
      <c r="A2337" s="59" t="n">
        <v>1</v>
      </c>
      <c r="B2337" s="75" t="n">
        <v>46233</v>
      </c>
      <c r="C2337" s="75" t="n">
        <v>46262</v>
      </c>
      <c r="D2337" s="59" t="n">
        <v>10011</v>
      </c>
      <c r="E2337" s="59" t="inlineStr">
        <is>
          <t>OPPORTUNITY ALIMENTOS PARA ANIMAIS LTDA</t>
        </is>
      </c>
      <c r="F2337" s="59" t="n">
        <v>24</v>
      </c>
      <c r="G2337" s="59" t="inlineStr">
        <is>
          <t>Compra a Prazo - Boletos</t>
        </is>
      </c>
      <c r="H2337" s="59" t="n">
        <v>1110202</v>
      </c>
      <c r="I2337" s="59" t="inlineStr">
        <is>
          <t>BANCO ITAU Lj 01</t>
        </is>
      </c>
      <c r="J2337" s="59" t="n">
        <v>1474652</v>
      </c>
      <c r="L2337" s="59" t="n">
        <v>34855</v>
      </c>
      <c r="M2337" s="59" t="inlineStr">
        <is>
          <t>01</t>
        </is>
      </c>
      <c r="N2337" s="59" t="inlineStr">
        <is>
          <t>AVU</t>
        </is>
      </c>
      <c r="P2337" s="59" t="n">
        <v>103</v>
      </c>
      <c r="Q2337" s="59" t="inlineStr">
        <is>
          <t>MILKA FRANCIS</t>
        </is>
      </c>
      <c r="R2337" s="59" t="inlineStr">
        <is>
          <t>ESTOQUE DE MERCADORIAS</t>
        </is>
      </c>
      <c r="S2337" s="59" t="n">
        <v>1130101</v>
      </c>
      <c r="T2337" s="59" t="inlineStr">
        <is>
          <t>MERCADORIAS P/REVENDA</t>
        </is>
      </c>
      <c r="U2337" s="77" t="n">
        <v>629.55</v>
      </c>
      <c r="W2337" s="59" t="n">
        <v>0</v>
      </c>
      <c r="X2337" s="59" t="inlineStr">
        <is>
          <t>NF 34855 - MILKA</t>
        </is>
      </c>
      <c r="Z2337" s="59">
        <f>IF($T2337="","",IFERROR(INDEX('Resumo Grupos'!$AC$3:$AC$200,MATCH($T2337,'Resumo Grupos'!$AB$3:$AB$200,0)),"n/d"))</f>
        <v/>
      </c>
      <c r="AA2337" s="59">
        <f>IF($T2337="","",IF(COUNTIF('Resumo Grupos'!$AE$3:$AE$40,$T2337)&gt;0,"NAO","SIM"))</f>
        <v/>
      </c>
    </row>
    <row r="2338" ht="12.75" customHeight="1" s="60">
      <c r="A2338" s="59" t="n">
        <v>1</v>
      </c>
      <c r="B2338" s="75" t="n">
        <v>46241</v>
      </c>
      <c r="C2338" s="75" t="n">
        <v>46262</v>
      </c>
      <c r="D2338" s="59" t="n">
        <v>1608</v>
      </c>
      <c r="E2338" s="59" t="inlineStr">
        <is>
          <t>DISTRIBUIDORA LOPES LTDA</t>
        </is>
      </c>
      <c r="F2338" s="59" t="n">
        <v>24</v>
      </c>
      <c r="G2338" s="59" t="inlineStr">
        <is>
          <t>Compra a Prazo - Boletos</t>
        </is>
      </c>
      <c r="H2338" s="59" t="n">
        <v>2110405</v>
      </c>
      <c r="I2338" s="59" t="inlineStr">
        <is>
          <t>CONTAS A PAGAR</t>
        </is>
      </c>
      <c r="J2338" s="59" t="n">
        <v>1514839</v>
      </c>
      <c r="L2338" s="59" t="n">
        <v>1707352</v>
      </c>
      <c r="M2338" s="59" t="inlineStr">
        <is>
          <t>02</t>
        </is>
      </c>
      <c r="N2338" s="59" t="inlineStr">
        <is>
          <t>AVU</t>
        </is>
      </c>
      <c r="P2338" s="59" t="n">
        <v>103</v>
      </c>
      <c r="Q2338" s="59" t="inlineStr">
        <is>
          <t>MILKA FRANCIS</t>
        </is>
      </c>
      <c r="R2338" s="59" t="inlineStr">
        <is>
          <t>ESTOQUE DE MERCADORIAS</t>
        </is>
      </c>
      <c r="S2338" s="59" t="n">
        <v>1130101</v>
      </c>
      <c r="T2338" s="59" t="inlineStr">
        <is>
          <t>MERCADORIAS P/REVENDA</t>
        </is>
      </c>
      <c r="U2338" s="77" t="n">
        <v>953.13</v>
      </c>
      <c r="W2338" s="59" t="n">
        <v>0</v>
      </c>
      <c r="X2338" s="59" t="inlineStr">
        <is>
          <t>NF 1707352 -2 DESC. NO BOLETO - MILKA</t>
        </is>
      </c>
      <c r="Z2338" s="59">
        <f>IF($T2338="","",IFERROR(INDEX('Resumo Grupos'!$AC$3:$AC$200,MATCH($T2338,'Resumo Grupos'!$AB$3:$AB$200,0)),"n/d"))</f>
        <v/>
      </c>
      <c r="AA2338" s="59">
        <f>IF($T2338="","",IF(COUNTIF('Resumo Grupos'!$AE$3:$AE$40,$T2338)&gt;0,"NAO","SIM"))</f>
        <v/>
      </c>
    </row>
    <row r="2339" ht="12.75" customHeight="1" s="60">
      <c r="A2339" s="59" t="n">
        <v>1</v>
      </c>
      <c r="B2339" s="75" t="n">
        <v>46242</v>
      </c>
      <c r="C2339" s="75" t="n">
        <v>46262</v>
      </c>
      <c r="D2339" s="59" t="n">
        <v>1815</v>
      </c>
      <c r="E2339" s="59" t="inlineStr">
        <is>
          <t>J G COMERCIO DE PRODUTOS ALIMENTICIOS LTDA</t>
        </is>
      </c>
      <c r="F2339" s="59" t="n">
        <v>24</v>
      </c>
      <c r="G2339" s="59" t="inlineStr">
        <is>
          <t>Compra a Prazo - Boletos</t>
        </is>
      </c>
      <c r="H2339" s="59" t="n">
        <v>2110405</v>
      </c>
      <c r="I2339" s="59" t="inlineStr">
        <is>
          <t>CONTAS A PAGAR</t>
        </is>
      </c>
      <c r="J2339" s="59" t="n">
        <v>1517855</v>
      </c>
      <c r="L2339" s="59" t="n">
        <v>396666</v>
      </c>
      <c r="M2339" s="59" t="inlineStr">
        <is>
          <t>03</t>
        </is>
      </c>
      <c r="N2339" s="59" t="inlineStr">
        <is>
          <t>AVU</t>
        </is>
      </c>
      <c r="P2339" s="59" t="n">
        <v>103</v>
      </c>
      <c r="Q2339" s="59" t="inlineStr">
        <is>
          <t>MILKA FRANCIS</t>
        </is>
      </c>
      <c r="R2339" s="59" t="inlineStr">
        <is>
          <t>ESTOQUE DE MERCADORIAS</t>
        </is>
      </c>
      <c r="S2339" s="59" t="n">
        <v>1130101</v>
      </c>
      <c r="T2339" s="59" t="inlineStr">
        <is>
          <t>MERCADORIAS P/REVENDA</t>
        </is>
      </c>
      <c r="U2339" s="77" t="n">
        <v>1052.36</v>
      </c>
      <c r="W2339" s="59" t="n">
        <v>0</v>
      </c>
      <c r="X2339" s="59" t="inlineStr">
        <is>
          <t>460966-C/C  NF396666 - MILKA</t>
        </is>
      </c>
      <c r="Z2339" s="59">
        <f>IF($T2339="","",IFERROR(INDEX('Resumo Grupos'!$AC$3:$AC$200,MATCH($T2339,'Resumo Grupos'!$AB$3:$AB$200,0)),"n/d"))</f>
        <v/>
      </c>
      <c r="AA2339" s="59">
        <f>IF($T2339="","",IF(COUNTIF('Resumo Grupos'!$AE$3:$AE$40,$T2339)&gt;0,"NAO","SIM"))</f>
        <v/>
      </c>
    </row>
    <row r="2340" ht="12.75" customHeight="1" s="60">
      <c r="A2340" s="59" t="n">
        <v>1</v>
      </c>
      <c r="B2340" s="75" t="n">
        <v>46242</v>
      </c>
      <c r="C2340" s="75" t="n">
        <v>46262</v>
      </c>
      <c r="D2340" s="59" t="n">
        <v>1700</v>
      </c>
      <c r="E2340" s="59" t="inlineStr">
        <is>
          <t>MIKITOS IND.COM.DE GEN. ALIM. DO AM. LTD</t>
        </is>
      </c>
      <c r="F2340" s="59" t="n">
        <v>24</v>
      </c>
      <c r="G2340" s="59" t="inlineStr">
        <is>
          <t>Compra a Prazo - Boletos</t>
        </is>
      </c>
      <c r="H2340" s="59" t="n">
        <v>2110405</v>
      </c>
      <c r="I2340" s="59" t="inlineStr">
        <is>
          <t>CONTAS A PAGAR</t>
        </is>
      </c>
      <c r="J2340" s="59" t="n">
        <v>1518180</v>
      </c>
      <c r="L2340" s="59" t="n">
        <v>295194</v>
      </c>
      <c r="M2340" s="59" t="inlineStr">
        <is>
          <t>02</t>
        </is>
      </c>
      <c r="N2340" s="59" t="inlineStr">
        <is>
          <t>AVU</t>
        </is>
      </c>
      <c r="P2340" s="59" t="n">
        <v>103</v>
      </c>
      <c r="Q2340" s="59" t="inlineStr">
        <is>
          <t>MILKA FRANCIS</t>
        </is>
      </c>
      <c r="R2340" s="59" t="inlineStr">
        <is>
          <t>ESTOQUE DE MERCADORIAS</t>
        </is>
      </c>
      <c r="S2340" s="59" t="n">
        <v>1130101</v>
      </c>
      <c r="T2340" s="59" t="inlineStr">
        <is>
          <t>MERCADORIAS P/REVENDA</t>
        </is>
      </c>
      <c r="U2340" s="77" t="n">
        <v>687.96</v>
      </c>
      <c r="W2340" s="59" t="n">
        <v>0</v>
      </c>
      <c r="X2340" s="59" t="inlineStr">
        <is>
          <t>NF 295194-2 MILKA</t>
        </is>
      </c>
      <c r="Z2340" s="59">
        <f>IF($T2340="","",IFERROR(INDEX('Resumo Grupos'!$AC$3:$AC$200,MATCH($T2340,'Resumo Grupos'!$AB$3:$AB$200,0)),"n/d"))</f>
        <v/>
      </c>
      <c r="AA2340" s="59">
        <f>IF($T2340="","",IF(COUNTIF('Resumo Grupos'!$AE$3:$AE$40,$T2340)&gt;0,"NAO","SIM"))</f>
        <v/>
      </c>
    </row>
    <row r="2341" ht="12.75" customHeight="1" s="60">
      <c r="A2341" s="59" t="n">
        <v>1</v>
      </c>
      <c r="B2341" s="75" t="n">
        <v>46242</v>
      </c>
      <c r="C2341" s="75" t="n">
        <v>46262</v>
      </c>
      <c r="D2341" s="59" t="n">
        <v>1107</v>
      </c>
      <c r="E2341" s="59" t="inlineStr">
        <is>
          <t>OESA COMERCIO E REPRESENTACOES S/A</t>
        </is>
      </c>
      <c r="F2341" s="59" t="n">
        <v>24</v>
      </c>
      <c r="G2341" s="59" t="inlineStr">
        <is>
          <t>Compra a Prazo - Boletos</t>
        </is>
      </c>
      <c r="H2341" s="59" t="n">
        <v>2110405</v>
      </c>
      <c r="I2341" s="59" t="inlineStr">
        <is>
          <t>CONTAS A PAGAR</t>
        </is>
      </c>
      <c r="J2341" s="59" t="n">
        <v>1518289</v>
      </c>
      <c r="L2341" s="59" t="n">
        <v>439388</v>
      </c>
      <c r="M2341" s="59" t="inlineStr">
        <is>
          <t>01</t>
        </is>
      </c>
      <c r="N2341" s="59" t="inlineStr">
        <is>
          <t>AVU</t>
        </is>
      </c>
      <c r="P2341" s="59" t="n">
        <v>103</v>
      </c>
      <c r="Q2341" s="59" t="inlineStr">
        <is>
          <t>MILKA FRANCIS</t>
        </is>
      </c>
      <c r="R2341" s="59" t="inlineStr">
        <is>
          <t>ESTOQUE DE MERCADORIAS</t>
        </is>
      </c>
      <c r="S2341" s="59" t="n">
        <v>1130101</v>
      </c>
      <c r="T2341" s="59" t="inlineStr">
        <is>
          <t>MERCADORIAS P/REVENDA</t>
        </is>
      </c>
      <c r="U2341" s="77" t="n">
        <v>1099.42</v>
      </c>
      <c r="W2341" s="59" t="n">
        <v>0</v>
      </c>
      <c r="X2341" s="59" t="inlineStr">
        <is>
          <t>NF 439388-1 MILKA</t>
        </is>
      </c>
      <c r="Z2341" s="59">
        <f>IF($T2341="","",IFERROR(INDEX('Resumo Grupos'!$AC$3:$AC$200,MATCH($T2341,'Resumo Grupos'!$AB$3:$AB$200,0)),"n/d"))</f>
        <v/>
      </c>
      <c r="AA2341" s="59">
        <f>IF($T2341="","",IF(COUNTIF('Resumo Grupos'!$AE$3:$AE$40,$T2341)&gt;0,"NAO","SIM"))</f>
        <v/>
      </c>
    </row>
    <row r="2342" ht="12.75" customHeight="1" s="60">
      <c r="A2342" s="59" t="n">
        <v>1</v>
      </c>
      <c r="B2342" s="75" t="n">
        <v>46242</v>
      </c>
      <c r="C2342" s="75" t="n">
        <v>46262</v>
      </c>
      <c r="D2342" s="59" t="n">
        <v>1196</v>
      </c>
      <c r="E2342" s="59" t="inlineStr">
        <is>
          <t>VICTORIA COMERCIO INTERNACIONAL DE ALIME</t>
        </is>
      </c>
      <c r="F2342" s="59" t="n">
        <v>24</v>
      </c>
      <c r="G2342" s="59" t="inlineStr">
        <is>
          <t>Compra a Prazo - Boletos</t>
        </is>
      </c>
      <c r="H2342" s="59" t="n">
        <v>2110405</v>
      </c>
      <c r="I2342" s="59" t="inlineStr">
        <is>
          <t>CONTAS A PAGAR</t>
        </is>
      </c>
      <c r="J2342" s="59" t="n">
        <v>1518443</v>
      </c>
      <c r="L2342" s="59" t="n">
        <v>12716</v>
      </c>
      <c r="M2342" s="59" t="inlineStr">
        <is>
          <t>02</t>
        </is>
      </c>
      <c r="N2342" s="59" t="inlineStr">
        <is>
          <t>AVU</t>
        </is>
      </c>
      <c r="P2342" s="59" t="n">
        <v>103</v>
      </c>
      <c r="Q2342" s="59" t="inlineStr">
        <is>
          <t>MILKA FRANCIS</t>
        </is>
      </c>
      <c r="R2342" s="59" t="inlineStr">
        <is>
          <t>ESTOQUE DE MERCADORIAS</t>
        </is>
      </c>
      <c r="S2342" s="59" t="n">
        <v>1130101</v>
      </c>
      <c r="T2342" s="59" t="inlineStr">
        <is>
          <t>MERCADORIAS P/REVENDA</t>
        </is>
      </c>
      <c r="U2342" s="77" t="n">
        <v>1287.52</v>
      </c>
      <c r="W2342" s="59" t="n">
        <v>0</v>
      </c>
      <c r="X2342" s="59" t="inlineStr">
        <is>
          <t>13289-B/B  NF12716 - MILKA</t>
        </is>
      </c>
      <c r="Z2342" s="59">
        <f>IF($T2342="","",IFERROR(INDEX('Resumo Grupos'!$AC$3:$AC$200,MATCH($T2342,'Resumo Grupos'!$AB$3:$AB$200,0)),"n/d"))</f>
        <v/>
      </c>
      <c r="AA2342" s="59">
        <f>IF($T2342="","",IF(COUNTIF('Resumo Grupos'!$AE$3:$AE$40,$T2342)&gt;0,"NAO","SIM"))</f>
        <v/>
      </c>
    </row>
    <row r="2343" ht="12.75" customHeight="1" s="60">
      <c r="A2343" s="59" t="n">
        <v>1</v>
      </c>
      <c r="B2343" s="75" t="n">
        <v>46244</v>
      </c>
      <c r="C2343" s="75" t="n">
        <v>46262</v>
      </c>
      <c r="D2343" s="59" t="n">
        <v>1612</v>
      </c>
      <c r="E2343" s="59" t="inlineStr">
        <is>
          <t>EMPRESA BRASILEIRA DE DISTRIBUICAO LTDA</t>
        </is>
      </c>
      <c r="F2343" s="59" t="n">
        <v>24</v>
      </c>
      <c r="G2343" s="59" t="inlineStr">
        <is>
          <t>Compra a Prazo - Boletos</t>
        </is>
      </c>
      <c r="H2343" s="59" t="n">
        <v>2110405</v>
      </c>
      <c r="I2343" s="59" t="inlineStr">
        <is>
          <t>CONTAS A PAGAR</t>
        </is>
      </c>
      <c r="J2343" s="59" t="n">
        <v>1528938</v>
      </c>
      <c r="L2343" s="59" t="n">
        <v>2308194</v>
      </c>
      <c r="M2343" s="59" t="inlineStr">
        <is>
          <t>02</t>
        </is>
      </c>
      <c r="N2343" s="59" t="inlineStr">
        <is>
          <t>AVU</t>
        </is>
      </c>
      <c r="P2343" s="59" t="n">
        <v>103</v>
      </c>
      <c r="Q2343" s="59" t="inlineStr">
        <is>
          <t>MILKA FRANCIS</t>
        </is>
      </c>
      <c r="R2343" s="59" t="inlineStr">
        <is>
          <t>ESTOQUE DE MERCADORIAS</t>
        </is>
      </c>
      <c r="S2343" s="59" t="n">
        <v>1130101</v>
      </c>
      <c r="T2343" s="59" t="inlineStr">
        <is>
          <t>MERCADORIAS P/REVENDA</t>
        </is>
      </c>
      <c r="U2343" s="77" t="n">
        <v>625.83</v>
      </c>
      <c r="W2343" s="59" t="n">
        <v>0</v>
      </c>
      <c r="X2343" s="59" t="inlineStr">
        <is>
          <t>NF 2308194-2 EBD - MILKA</t>
        </is>
      </c>
      <c r="Z2343" s="59">
        <f>IF($T2343="","",IFERROR(INDEX('Resumo Grupos'!$AC$3:$AC$200,MATCH($T2343,'Resumo Grupos'!$AB$3:$AB$200,0)),"n/d"))</f>
        <v/>
      </c>
      <c r="AA2343" s="59">
        <f>IF($T2343="","",IF(COUNTIF('Resumo Grupos'!$AE$3:$AE$40,$T2343)&gt;0,"NAO","SIM"))</f>
        <v/>
      </c>
    </row>
    <row r="2344" ht="12.75" customHeight="1" s="60">
      <c r="A2344" s="59" t="n">
        <v>1</v>
      </c>
      <c r="B2344" s="75" t="n">
        <v>46249</v>
      </c>
      <c r="C2344" s="75" t="n">
        <v>46262</v>
      </c>
      <c r="D2344" s="59" t="n">
        <v>1114</v>
      </c>
      <c r="E2344" s="59" t="inlineStr">
        <is>
          <t>NT INDUSTRIA E COMERCIO DE PANIFICACAO L</t>
        </is>
      </c>
      <c r="F2344" s="59" t="n">
        <v>24</v>
      </c>
      <c r="G2344" s="59" t="inlineStr">
        <is>
          <t>Compra a Prazo - Boletos</t>
        </is>
      </c>
      <c r="H2344" s="59" t="n">
        <v>2110405</v>
      </c>
      <c r="I2344" s="59" t="inlineStr">
        <is>
          <t>CONTAS A PAGAR</t>
        </is>
      </c>
      <c r="J2344" s="59" t="n">
        <v>1551898</v>
      </c>
      <c r="L2344" s="59" t="n">
        <v>43852</v>
      </c>
      <c r="M2344" s="59" t="inlineStr">
        <is>
          <t>01</t>
        </is>
      </c>
      <c r="N2344" s="59" t="inlineStr">
        <is>
          <t>AVU</t>
        </is>
      </c>
      <c r="P2344" s="59" t="n">
        <v>103</v>
      </c>
      <c r="Q2344" s="59" t="inlineStr">
        <is>
          <t>MILKA FRANCIS</t>
        </is>
      </c>
      <c r="R2344" s="59" t="inlineStr">
        <is>
          <t>ESTOQUE DE MERCADORIAS</t>
        </is>
      </c>
      <c r="S2344" s="59" t="n">
        <v>1130101</v>
      </c>
      <c r="T2344" s="59" t="inlineStr">
        <is>
          <t>MERCADORIAS P/REVENDA</t>
        </is>
      </c>
      <c r="U2344" s="77" t="n">
        <v>5216.27</v>
      </c>
      <c r="W2344" s="59" t="n">
        <v>0</v>
      </c>
      <c r="X2344" s="59" t="inlineStr">
        <is>
          <t>NF 43852 - MILKA</t>
        </is>
      </c>
      <c r="Z2344" s="59">
        <f>IF($T2344="","",IFERROR(INDEX('Resumo Grupos'!$AC$3:$AC$200,MATCH($T2344,'Resumo Grupos'!$AB$3:$AB$200,0)),"n/d"))</f>
        <v/>
      </c>
      <c r="AA2344" s="59">
        <f>IF($T2344="","",IF(COUNTIF('Resumo Grupos'!$AE$3:$AE$40,$T2344)&gt;0,"NAO","SIM"))</f>
        <v/>
      </c>
    </row>
    <row r="2345" ht="12.75" customHeight="1" s="60">
      <c r="A2345" s="59" t="n">
        <v>1</v>
      </c>
      <c r="B2345" s="75" t="n">
        <v>46249</v>
      </c>
      <c r="C2345" s="75" t="n">
        <v>46262</v>
      </c>
      <c r="D2345" s="59" t="n">
        <v>1815</v>
      </c>
      <c r="E2345" s="59" t="inlineStr">
        <is>
          <t>J G COMERCIO DE PRODUTOS ALIMENTICIOS LTDA</t>
        </is>
      </c>
      <c r="F2345" s="59" t="n">
        <v>24</v>
      </c>
      <c r="G2345" s="59" t="inlineStr">
        <is>
          <t>Compra a Prazo - Boletos</t>
        </is>
      </c>
      <c r="H2345" s="59" t="n">
        <v>2110405</v>
      </c>
      <c r="I2345" s="59" t="inlineStr">
        <is>
          <t>CONTAS A PAGAR</t>
        </is>
      </c>
      <c r="J2345" s="59" t="n">
        <v>1552021</v>
      </c>
      <c r="L2345" s="59" t="n">
        <v>397850</v>
      </c>
      <c r="M2345" s="59" t="inlineStr">
        <is>
          <t>02</t>
        </is>
      </c>
      <c r="N2345" s="59" t="inlineStr">
        <is>
          <t>AVU</t>
        </is>
      </c>
      <c r="P2345" s="59" t="n">
        <v>103</v>
      </c>
      <c r="Q2345" s="59" t="inlineStr">
        <is>
          <t>MILKA FRANCIS</t>
        </is>
      </c>
      <c r="R2345" s="59" t="inlineStr">
        <is>
          <t>ESTOQUE DE MERCADORIAS</t>
        </is>
      </c>
      <c r="S2345" s="59" t="n">
        <v>1130101</v>
      </c>
      <c r="T2345" s="59" t="inlineStr">
        <is>
          <t>MERCADORIAS P/REVENDA</t>
        </is>
      </c>
      <c r="U2345" s="77" t="n">
        <v>466</v>
      </c>
      <c r="W2345" s="59" t="n">
        <v>0</v>
      </c>
      <c r="X2345" s="59" t="inlineStr">
        <is>
          <t>462480-B/C NF397850 MASTERFRIGO - MILKA</t>
        </is>
      </c>
      <c r="Z2345" s="59">
        <f>IF($T2345="","",IFERROR(INDEX('Resumo Grupos'!$AC$3:$AC$200,MATCH($T2345,'Resumo Grupos'!$AB$3:$AB$200,0)),"n/d"))</f>
        <v/>
      </c>
      <c r="AA2345" s="59">
        <f>IF($T2345="","",IF(COUNTIF('Resumo Grupos'!$AE$3:$AE$40,$T2345)&gt;0,"NAO","SIM"))</f>
        <v/>
      </c>
    </row>
    <row r="2346" ht="12.75" customHeight="1" s="60">
      <c r="A2346" s="59" t="n">
        <v>1</v>
      </c>
      <c r="B2346" s="75" t="n">
        <v>46249</v>
      </c>
      <c r="C2346" s="75" t="n">
        <v>46262</v>
      </c>
      <c r="D2346" s="59" t="n">
        <v>10011</v>
      </c>
      <c r="E2346" s="59" t="inlineStr">
        <is>
          <t>OPPORTUNITY ALIMENTOS PARA ANIMAIS LTDA</t>
        </is>
      </c>
      <c r="F2346" s="59" t="n">
        <v>24</v>
      </c>
      <c r="G2346" s="59" t="inlineStr">
        <is>
          <t>Compra a Prazo - Boletos</t>
        </is>
      </c>
      <c r="H2346" s="59" t="n">
        <v>2110405</v>
      </c>
      <c r="I2346" s="59" t="inlineStr">
        <is>
          <t>CONTAS A PAGAR</t>
        </is>
      </c>
      <c r="J2346" s="59" t="n">
        <v>1552267</v>
      </c>
      <c r="L2346" s="59" t="n">
        <v>35160</v>
      </c>
      <c r="M2346" s="59" t="inlineStr">
        <is>
          <t>01</t>
        </is>
      </c>
      <c r="N2346" s="59" t="inlineStr">
        <is>
          <t>AVU</t>
        </is>
      </c>
      <c r="P2346" s="59" t="n">
        <v>103</v>
      </c>
      <c r="Q2346" s="59" t="inlineStr">
        <is>
          <t>MILKA FRANCIS</t>
        </is>
      </c>
      <c r="R2346" s="59" t="inlineStr">
        <is>
          <t>ESTOQUE DE MERCADORIAS</t>
        </is>
      </c>
      <c r="S2346" s="59" t="n">
        <v>1130101</v>
      </c>
      <c r="T2346" s="59" t="inlineStr">
        <is>
          <t>MERCADORIAS P/REVENDA</t>
        </is>
      </c>
      <c r="U2346" s="77" t="n">
        <v>2836.78</v>
      </c>
      <c r="W2346" s="59" t="n">
        <v>0</v>
      </c>
      <c r="X2346" s="59" t="inlineStr">
        <is>
          <t>NF 35160-1 MILKA</t>
        </is>
      </c>
      <c r="Z2346" s="59">
        <f>IF($T2346="","",IFERROR(INDEX('Resumo Grupos'!$AC$3:$AC$200,MATCH($T2346,'Resumo Grupos'!$AB$3:$AB$200,0)),"n/d"))</f>
        <v/>
      </c>
      <c r="AA2346" s="59">
        <f>IF($T2346="","",IF(COUNTIF('Resumo Grupos'!$AE$3:$AE$40,$T2346)&gt;0,"NAO","SIM"))</f>
        <v/>
      </c>
    </row>
    <row r="2347" ht="12.75" customHeight="1" s="60">
      <c r="A2347" s="59" t="n">
        <v>1</v>
      </c>
      <c r="B2347" s="75" t="n">
        <v>46251</v>
      </c>
      <c r="C2347" s="75" t="n">
        <v>46262</v>
      </c>
      <c r="D2347" s="59" t="n">
        <v>1636</v>
      </c>
      <c r="E2347" s="59" t="inlineStr">
        <is>
          <t>DUNORTE DISTRIBUIDORA DE PRODUTOS DE CONSUMO LTDA</t>
        </is>
      </c>
      <c r="F2347" s="59" t="n">
        <v>24</v>
      </c>
      <c r="G2347" s="59" t="inlineStr">
        <is>
          <t>Compra a Prazo - Boletos</t>
        </is>
      </c>
      <c r="H2347" s="59" t="n">
        <v>2110405</v>
      </c>
      <c r="I2347" s="59" t="inlineStr">
        <is>
          <t>CONTAS A PAGAR</t>
        </is>
      </c>
      <c r="J2347" s="59" t="n">
        <v>1561641</v>
      </c>
      <c r="L2347" s="59" t="n">
        <v>3237031</v>
      </c>
      <c r="M2347" s="59" t="inlineStr">
        <is>
          <t>01</t>
        </is>
      </c>
      <c r="N2347" s="59" t="inlineStr">
        <is>
          <t>AVU</t>
        </is>
      </c>
      <c r="P2347" s="59" t="n">
        <v>103</v>
      </c>
      <c r="Q2347" s="59" t="inlineStr">
        <is>
          <t>MILKA FRANCIS</t>
        </is>
      </c>
      <c r="R2347" s="59" t="inlineStr">
        <is>
          <t>ESTOQUE DE MERCADORIAS</t>
        </is>
      </c>
      <c r="S2347" s="59" t="n">
        <v>1130101</v>
      </c>
      <c r="T2347" s="59" t="inlineStr">
        <is>
          <t>MERCADORIAS P/REVENDA</t>
        </is>
      </c>
      <c r="U2347" s="77" t="n">
        <v>698.08</v>
      </c>
      <c r="W2347" s="59" t="n">
        <v>0</v>
      </c>
      <c r="X2347" s="59" t="inlineStr">
        <is>
          <t>NF 3237031 -1 MILKA</t>
        </is>
      </c>
      <c r="Z2347" s="59">
        <f>IF($T2347="","",IFERROR(INDEX('Resumo Grupos'!$AC$3:$AC$200,MATCH($T2347,'Resumo Grupos'!$AB$3:$AB$200,0)),"n/d"))</f>
        <v/>
      </c>
      <c r="AA2347" s="59">
        <f>IF($T2347="","",IF(COUNTIF('Resumo Grupos'!$AE$3:$AE$40,$T2347)&gt;0,"NAO","SIM"))</f>
        <v/>
      </c>
    </row>
    <row r="2348" ht="12.75" customHeight="1" s="60">
      <c r="A2348" s="59" t="n">
        <v>1</v>
      </c>
      <c r="B2348" s="75" t="n">
        <v>46252</v>
      </c>
      <c r="C2348" s="75" t="n">
        <v>46262</v>
      </c>
      <c r="D2348" s="59" t="n">
        <v>1723</v>
      </c>
      <c r="E2348" s="59" t="inlineStr">
        <is>
          <t>COMERCIO DE FRIOS MANAUS LTDA</t>
        </is>
      </c>
      <c r="F2348" s="59" t="n">
        <v>24</v>
      </c>
      <c r="G2348" s="59" t="inlineStr">
        <is>
          <t>Compra a Prazo - Boletos</t>
        </is>
      </c>
      <c r="H2348" s="59" t="n">
        <v>2110405</v>
      </c>
      <c r="I2348" s="59" t="inlineStr">
        <is>
          <t>CONTAS A PAGAR</t>
        </is>
      </c>
      <c r="J2348" s="59" t="n">
        <v>1567350</v>
      </c>
      <c r="L2348" s="59" t="n">
        <v>175037</v>
      </c>
      <c r="M2348" s="59" t="inlineStr">
        <is>
          <t>01</t>
        </is>
      </c>
      <c r="N2348" s="59" t="inlineStr">
        <is>
          <t>AVU</t>
        </is>
      </c>
      <c r="P2348" s="59" t="n">
        <v>103</v>
      </c>
      <c r="Q2348" s="59" t="inlineStr">
        <is>
          <t>MILKA FRANCIS</t>
        </is>
      </c>
      <c r="R2348" s="59" t="inlineStr">
        <is>
          <t>ESTOQUE DE MERCADORIAS</t>
        </is>
      </c>
      <c r="S2348" s="59" t="n">
        <v>1130101</v>
      </c>
      <c r="T2348" s="59" t="inlineStr">
        <is>
          <t>MERCADORIAS P/REVENDA</t>
        </is>
      </c>
      <c r="U2348" s="77" t="n">
        <v>3422.6</v>
      </c>
      <c r="W2348" s="59" t="n">
        <v>0</v>
      </c>
      <c r="X2348" s="59" t="inlineStr">
        <is>
          <t>NF 175037 - MILKA</t>
        </is>
      </c>
      <c r="Z2348" s="59">
        <f>IF($T2348="","",IFERROR(INDEX('Resumo Grupos'!$AC$3:$AC$200,MATCH($T2348,'Resumo Grupos'!$AB$3:$AB$200,0)),"n/d"))</f>
        <v/>
      </c>
      <c r="AA2348" s="59">
        <f>IF($T2348="","",IF(COUNTIF('Resumo Grupos'!$AE$3:$AE$40,$T2348)&gt;0,"NAO","SIM"))</f>
        <v/>
      </c>
    </row>
    <row r="2349" ht="12.75" customHeight="1" s="60">
      <c r="A2349" s="59" t="n">
        <v>1</v>
      </c>
      <c r="B2349" s="75" t="n">
        <v>46253</v>
      </c>
      <c r="C2349" s="75" t="n">
        <v>46262</v>
      </c>
      <c r="D2349" s="59" t="n">
        <v>10017</v>
      </c>
      <c r="E2349" s="59" t="inlineStr">
        <is>
          <t>PIARARA COMERCIO, IMPORTACAO E EXPORTACAO LTDA</t>
        </is>
      </c>
      <c r="F2349" s="59" t="n">
        <v>24</v>
      </c>
      <c r="G2349" s="59" t="inlineStr">
        <is>
          <t>Compra a Prazo - Boletos</t>
        </is>
      </c>
      <c r="H2349" s="59" t="n">
        <v>2110405</v>
      </c>
      <c r="I2349" s="59" t="inlineStr">
        <is>
          <t>CONTAS A PAGAR</t>
        </is>
      </c>
      <c r="J2349" s="59" t="n">
        <v>1571575</v>
      </c>
      <c r="L2349" s="59" t="n">
        <v>195456</v>
      </c>
      <c r="M2349" s="59" t="inlineStr">
        <is>
          <t>01</t>
        </is>
      </c>
      <c r="N2349" s="59" t="inlineStr">
        <is>
          <t>AVU</t>
        </is>
      </c>
      <c r="P2349" s="59" t="n">
        <v>103</v>
      </c>
      <c r="Q2349" s="59" t="inlineStr">
        <is>
          <t>MILKA FRANCIS</t>
        </is>
      </c>
      <c r="R2349" s="59" t="inlineStr">
        <is>
          <t>ESTOQUE DE MERCADORIAS</t>
        </is>
      </c>
      <c r="S2349" s="59" t="n">
        <v>1130101</v>
      </c>
      <c r="T2349" s="59" t="inlineStr">
        <is>
          <t>MERCADORIAS P/REVENDA</t>
        </is>
      </c>
      <c r="U2349" s="77" t="n">
        <v>792.21</v>
      </c>
      <c r="W2349" s="59" t="n">
        <v>0</v>
      </c>
      <c r="X2349" s="59" t="inlineStr">
        <is>
          <t>NF 195456-1 MILKA</t>
        </is>
      </c>
      <c r="Z2349" s="59">
        <f>IF($T2349="","",IFERROR(INDEX('Resumo Grupos'!$AC$3:$AC$200,MATCH($T2349,'Resumo Grupos'!$AB$3:$AB$200,0)),"n/d"))</f>
        <v/>
      </c>
      <c r="AA2349" s="59">
        <f>IF($T2349="","",IF(COUNTIF('Resumo Grupos'!$AE$3:$AE$40,$T2349)&gt;0,"NAO","SIM"))</f>
        <v/>
      </c>
    </row>
    <row r="2350" ht="12.75" customHeight="1" s="60">
      <c r="A2350" s="59" t="n">
        <v>1</v>
      </c>
      <c r="B2350" s="75" t="n">
        <v>46253</v>
      </c>
      <c r="C2350" s="75" t="n">
        <v>46262</v>
      </c>
      <c r="D2350" s="59" t="n">
        <v>53</v>
      </c>
      <c r="E2350" s="59" t="inlineStr">
        <is>
          <t>JOELMA LIMA</t>
        </is>
      </c>
      <c r="F2350" s="59" t="n">
        <v>34</v>
      </c>
      <c r="G2350" s="59" t="inlineStr">
        <is>
          <t>Transferencia Pix</t>
        </is>
      </c>
      <c r="H2350" s="59" t="n">
        <v>2110405</v>
      </c>
      <c r="I2350" s="59" t="inlineStr">
        <is>
          <t>CONTAS A PAGAR</t>
        </is>
      </c>
      <c r="J2350" s="59" t="n">
        <v>1573405</v>
      </c>
      <c r="L2350" s="59" t="n">
        <v>20252026</v>
      </c>
      <c r="M2350" s="59" t="inlineStr">
        <is>
          <t>01</t>
        </is>
      </c>
      <c r="N2350" s="59" t="inlineStr">
        <is>
          <t>AVU</t>
        </is>
      </c>
      <c r="P2350" s="59" t="n">
        <v>101</v>
      </c>
      <c r="Q2350" s="59" t="inlineStr">
        <is>
          <t>KEILA LIMA</t>
        </is>
      </c>
      <c r="R2350" s="59" t="inlineStr">
        <is>
          <t>DESPESAS COM PESSOAL</t>
        </is>
      </c>
      <c r="S2350" s="59" t="n">
        <v>4210304</v>
      </c>
      <c r="T2350" s="59" t="inlineStr">
        <is>
          <t>FERIAS</t>
        </is>
      </c>
      <c r="U2350" s="77" t="n">
        <v>2000</v>
      </c>
      <c r="W2350" s="59" t="n">
        <v>0</v>
      </c>
      <c r="X2350" s="59" t="inlineStr">
        <is>
          <t xml:space="preserve">PREVIA FERIAS 2025/2026 MO1 - KEILA </t>
        </is>
      </c>
      <c r="Z2350" s="59">
        <f>IF($T2350="","",IFERROR(INDEX('Resumo Grupos'!$AC$3:$AC$200,MATCH($T2350,'Resumo Grupos'!$AB$3:$AB$200,0)),"n/d"))</f>
        <v/>
      </c>
      <c r="AA2350" s="59">
        <f>IF($T2350="","",IF(COUNTIF('Resumo Grupos'!$AE$3:$AE$40,$T2350)&gt;0,"NAO","SIM"))</f>
        <v/>
      </c>
    </row>
    <row r="2351" ht="12.75" customHeight="1" s="60">
      <c r="A2351" s="59" t="n">
        <v>1</v>
      </c>
      <c r="B2351" s="75" t="n">
        <v>46253</v>
      </c>
      <c r="C2351" s="75" t="n">
        <v>46262</v>
      </c>
      <c r="D2351" s="59" t="n">
        <v>393</v>
      </c>
      <c r="E2351" s="59" t="inlineStr">
        <is>
          <t>ALINE SANTOS DA SILVA</t>
        </is>
      </c>
      <c r="F2351" s="59" t="n">
        <v>34</v>
      </c>
      <c r="G2351" s="59" t="inlineStr">
        <is>
          <t>Transferencia Pix</t>
        </is>
      </c>
      <c r="H2351" s="59" t="n">
        <v>2110405</v>
      </c>
      <c r="I2351" s="59" t="inlineStr">
        <is>
          <t>CONTAS A PAGAR</t>
        </is>
      </c>
      <c r="J2351" s="59" t="n">
        <v>1573410</v>
      </c>
      <c r="L2351" s="59" t="n">
        <v>202520266</v>
      </c>
      <c r="M2351" s="59" t="inlineStr">
        <is>
          <t>01</t>
        </is>
      </c>
      <c r="N2351" s="59" t="inlineStr">
        <is>
          <t>AVU</t>
        </is>
      </c>
      <c r="P2351" s="59" t="n">
        <v>101</v>
      </c>
      <c r="Q2351" s="59" t="inlineStr">
        <is>
          <t>KEILA LIMA</t>
        </is>
      </c>
      <c r="R2351" s="59" t="inlineStr">
        <is>
          <t>DESPESAS COM PESSOAL</t>
        </is>
      </c>
      <c r="S2351" s="59" t="n">
        <v>4210304</v>
      </c>
      <c r="T2351" s="59" t="inlineStr">
        <is>
          <t>FERIAS</t>
        </is>
      </c>
      <c r="U2351" s="77" t="n">
        <v>2000</v>
      </c>
      <c r="W2351" s="59" t="n">
        <v>0</v>
      </c>
      <c r="X2351" s="59" t="inlineStr">
        <is>
          <t xml:space="preserve">PREVIA FERIAS 2025/2026 MO1 - KEILA </t>
        </is>
      </c>
      <c r="Z2351" s="59">
        <f>IF($T2351="","",IFERROR(INDEX('Resumo Grupos'!$AC$3:$AC$200,MATCH($T2351,'Resumo Grupos'!$AB$3:$AB$200,0)),"n/d"))</f>
        <v/>
      </c>
      <c r="AA2351" s="59">
        <f>IF($T2351="","",IF(COUNTIF('Resumo Grupos'!$AE$3:$AE$40,$T2351)&gt;0,"NAO","SIM"))</f>
        <v/>
      </c>
    </row>
    <row r="2352" ht="12.75" customHeight="1" s="60">
      <c r="A2352" s="59" t="n">
        <v>1</v>
      </c>
      <c r="B2352" s="75" t="n">
        <v>46254</v>
      </c>
      <c r="C2352" s="75" t="n">
        <v>46262</v>
      </c>
      <c r="D2352" s="59" t="n">
        <v>1608</v>
      </c>
      <c r="E2352" s="59" t="inlineStr">
        <is>
          <t>DISTRIBUIDORA LOPES LTDA</t>
        </is>
      </c>
      <c r="F2352" s="59" t="n">
        <v>24</v>
      </c>
      <c r="G2352" s="59" t="inlineStr">
        <is>
          <t>Compra a Prazo - Boletos</t>
        </is>
      </c>
      <c r="H2352" s="59" t="n">
        <v>2110405</v>
      </c>
      <c r="I2352" s="59" t="inlineStr">
        <is>
          <t>CONTAS A PAGAR</t>
        </is>
      </c>
      <c r="J2352" s="59" t="n">
        <v>1575885</v>
      </c>
      <c r="L2352" s="59" t="n">
        <v>1711227</v>
      </c>
      <c r="M2352" s="59" t="inlineStr">
        <is>
          <t>01</t>
        </is>
      </c>
      <c r="N2352" s="59" t="inlineStr">
        <is>
          <t>AVU</t>
        </is>
      </c>
      <c r="P2352" s="59" t="n">
        <v>103</v>
      </c>
      <c r="Q2352" s="59" t="inlineStr">
        <is>
          <t>MILKA FRANCIS</t>
        </is>
      </c>
      <c r="R2352" s="59" t="inlineStr">
        <is>
          <t>ESTOQUE DE MERCADORIAS</t>
        </is>
      </c>
      <c r="S2352" s="59" t="n">
        <v>1130101</v>
      </c>
      <c r="T2352" s="59" t="inlineStr">
        <is>
          <t>MERCADORIAS P/REVENDA</t>
        </is>
      </c>
      <c r="U2352" s="77" t="n">
        <v>753.3</v>
      </c>
      <c r="W2352" s="59" t="n">
        <v>0</v>
      </c>
      <c r="X2352" s="59" t="inlineStr">
        <is>
          <t>NF 1711227-1 MILKA</t>
        </is>
      </c>
      <c r="Z2352" s="59">
        <f>IF($T2352="","",IFERROR(INDEX('Resumo Grupos'!$AC$3:$AC$200,MATCH($T2352,'Resumo Grupos'!$AB$3:$AB$200,0)),"n/d"))</f>
        <v/>
      </c>
      <c r="AA2352" s="59">
        <f>IF($T2352="","",IF(COUNTIF('Resumo Grupos'!$AE$3:$AE$40,$T2352)&gt;0,"NAO","SIM"))</f>
        <v/>
      </c>
    </row>
    <row r="2353" ht="12.75" customHeight="1" s="60">
      <c r="A2353" s="59" t="n">
        <v>1</v>
      </c>
      <c r="B2353" s="75" t="n">
        <v>46255</v>
      </c>
      <c r="C2353" s="75" t="n">
        <v>46262</v>
      </c>
      <c r="D2353" s="59" t="n">
        <v>1625</v>
      </c>
      <c r="E2353" s="59" t="inlineStr">
        <is>
          <t>MAXFRI DISTRIUIDORA LTDA</t>
        </is>
      </c>
      <c r="F2353" s="59" t="n">
        <v>24</v>
      </c>
      <c r="G2353" s="59" t="inlineStr">
        <is>
          <t>Compra a Prazo - Boletos</t>
        </is>
      </c>
      <c r="H2353" s="59" t="n">
        <v>2110405</v>
      </c>
      <c r="I2353" s="59" t="inlineStr">
        <is>
          <t>CONTAS A PAGAR</t>
        </is>
      </c>
      <c r="J2353" s="59" t="n">
        <v>1581764</v>
      </c>
      <c r="L2353" s="59" t="n">
        <v>15112</v>
      </c>
      <c r="M2353" s="59" t="inlineStr">
        <is>
          <t>01</t>
        </is>
      </c>
      <c r="N2353" s="59" t="inlineStr">
        <is>
          <t>AVU</t>
        </is>
      </c>
      <c r="P2353" s="59" t="n">
        <v>103</v>
      </c>
      <c r="Q2353" s="59" t="inlineStr">
        <is>
          <t>MILKA FRANCIS</t>
        </is>
      </c>
      <c r="R2353" s="59" t="inlineStr">
        <is>
          <t>ESTOQUE DE MERCADORIAS</t>
        </is>
      </c>
      <c r="S2353" s="59" t="n">
        <v>1130101</v>
      </c>
      <c r="T2353" s="59" t="inlineStr">
        <is>
          <t>MERCADORIAS P/REVENDA</t>
        </is>
      </c>
      <c r="U2353" s="77" t="n">
        <v>4110.24</v>
      </c>
      <c r="W2353" s="59" t="n">
        <v>0</v>
      </c>
      <c r="X2353" s="59" t="inlineStr">
        <is>
          <t>NF15112 - MILKA</t>
        </is>
      </c>
      <c r="Z2353" s="59">
        <f>IF($T2353="","",IFERROR(INDEX('Resumo Grupos'!$AC$3:$AC$200,MATCH($T2353,'Resumo Grupos'!$AB$3:$AB$200,0)),"n/d"))</f>
        <v/>
      </c>
      <c r="AA2353" s="59">
        <f>IF($T2353="","",IF(COUNTIF('Resumo Grupos'!$AE$3:$AE$40,$T2353)&gt;0,"NAO","SIM"))</f>
        <v/>
      </c>
    </row>
    <row r="2354" ht="12.75" customHeight="1" s="60">
      <c r="A2354" s="59" t="n">
        <v>1</v>
      </c>
      <c r="B2354" s="75" t="n">
        <v>46256</v>
      </c>
      <c r="C2354" s="75" t="n">
        <v>46262</v>
      </c>
      <c r="D2354" s="59" t="n">
        <v>1642</v>
      </c>
      <c r="E2354" s="59" t="inlineStr">
        <is>
          <t>BROTHERS  INDUSTRIA DE ALIMENTOS LTDA</t>
        </is>
      </c>
      <c r="F2354" s="59" t="n">
        <v>24</v>
      </c>
      <c r="G2354" s="59" t="inlineStr">
        <is>
          <t>Compra a Prazo - Boletos</t>
        </is>
      </c>
      <c r="H2354" s="59" t="n">
        <v>2110405</v>
      </c>
      <c r="I2354" s="59" t="inlineStr">
        <is>
          <t>CONTAS A PAGAR</t>
        </is>
      </c>
      <c r="J2354" s="59" t="n">
        <v>1585644</v>
      </c>
      <c r="L2354" s="59" t="n">
        <v>1037996</v>
      </c>
      <c r="M2354" s="59" t="inlineStr">
        <is>
          <t>01</t>
        </is>
      </c>
      <c r="N2354" s="59" t="inlineStr">
        <is>
          <t>AVU</t>
        </is>
      </c>
      <c r="P2354" s="59" t="n">
        <v>103</v>
      </c>
      <c r="Q2354" s="59" t="inlineStr">
        <is>
          <t>MILKA FRANCIS</t>
        </is>
      </c>
      <c r="R2354" s="59" t="inlineStr">
        <is>
          <t>ESTOQUE DE MERCADORIAS</t>
        </is>
      </c>
      <c r="S2354" s="59" t="n">
        <v>1130101</v>
      </c>
      <c r="T2354" s="59" t="inlineStr">
        <is>
          <t>MERCADORIAS P/REVENDA</t>
        </is>
      </c>
      <c r="U2354" s="77" t="n">
        <v>696.6</v>
      </c>
      <c r="W2354" s="59" t="n">
        <v>0</v>
      </c>
      <c r="X2354" s="59" t="inlineStr">
        <is>
          <t>NF 1037996 - MILKA</t>
        </is>
      </c>
      <c r="Z2354" s="59">
        <f>IF($T2354="","",IFERROR(INDEX('Resumo Grupos'!$AC$3:$AC$200,MATCH($T2354,'Resumo Grupos'!$AB$3:$AB$200,0)),"n/d"))</f>
        <v/>
      </c>
      <c r="AA2354" s="59">
        <f>IF($T2354="","",IF(COUNTIF('Resumo Grupos'!$AE$3:$AE$40,$T2354)&gt;0,"NAO","SIM"))</f>
        <v/>
      </c>
    </row>
    <row r="2355" ht="12.75" customHeight="1" s="60">
      <c r="A2355" s="59" t="n">
        <v>1</v>
      </c>
      <c r="B2355" s="75" t="n">
        <v>46256</v>
      </c>
      <c r="C2355" s="75" t="n">
        <v>46262</v>
      </c>
      <c r="D2355" s="59" t="n">
        <v>1292</v>
      </c>
      <c r="E2355" s="59" t="inlineStr">
        <is>
          <t>SAO JOSE COMERCIO DE LATICINIOS E FRIOS</t>
        </is>
      </c>
      <c r="F2355" s="59" t="n">
        <v>24</v>
      </c>
      <c r="G2355" s="59" t="inlineStr">
        <is>
          <t>Compra a Prazo - Boletos</t>
        </is>
      </c>
      <c r="H2355" s="59" t="n">
        <v>2110405</v>
      </c>
      <c r="I2355" s="59" t="inlineStr">
        <is>
          <t>CONTAS A PAGAR</t>
        </is>
      </c>
      <c r="J2355" s="59" t="n">
        <v>1585667</v>
      </c>
      <c r="L2355" s="59" t="n">
        <v>3876</v>
      </c>
      <c r="M2355" s="59" t="inlineStr">
        <is>
          <t>01</t>
        </is>
      </c>
      <c r="N2355" s="59" t="inlineStr">
        <is>
          <t>AVU</t>
        </is>
      </c>
      <c r="P2355" s="59" t="n">
        <v>103</v>
      </c>
      <c r="Q2355" s="59" t="inlineStr">
        <is>
          <t>MILKA FRANCIS</t>
        </is>
      </c>
      <c r="R2355" s="59" t="inlineStr">
        <is>
          <t>ESTOQUE DE MERCADORIAS</t>
        </is>
      </c>
      <c r="S2355" s="59" t="n">
        <v>1130101</v>
      </c>
      <c r="T2355" s="59" t="inlineStr">
        <is>
          <t>MERCADORIAS P/REVENDA</t>
        </is>
      </c>
      <c r="U2355" s="77" t="n">
        <v>2061.5</v>
      </c>
      <c r="W2355" s="59" t="n">
        <v>0</v>
      </c>
      <c r="X2355" s="59" t="inlineStr">
        <is>
          <t>NF 3876 - MILKA</t>
        </is>
      </c>
      <c r="Z2355" s="59">
        <f>IF($T2355="","",IFERROR(INDEX('Resumo Grupos'!$AC$3:$AC$200,MATCH($T2355,'Resumo Grupos'!$AB$3:$AB$200,0)),"n/d"))</f>
        <v/>
      </c>
      <c r="AA2355" s="59">
        <f>IF($T2355="","",IF(COUNTIF('Resumo Grupos'!$AE$3:$AE$40,$T2355)&gt;0,"NAO","SIM"))</f>
        <v/>
      </c>
    </row>
    <row r="2356" ht="12.75" customHeight="1" s="60">
      <c r="A2356" s="59" t="n">
        <v>1</v>
      </c>
      <c r="B2356" s="75" t="n">
        <v>46256</v>
      </c>
      <c r="C2356" s="75" t="n">
        <v>46262</v>
      </c>
      <c r="D2356" s="59" t="n">
        <v>581</v>
      </c>
      <c r="E2356" s="59" t="inlineStr">
        <is>
          <t>LIMA E BARANDA COMERCIO DE PRODUTOS REGI</t>
        </is>
      </c>
      <c r="F2356" s="59" t="n">
        <v>24</v>
      </c>
      <c r="G2356" s="59" t="inlineStr">
        <is>
          <t>Compra a Prazo - Boletos</t>
        </is>
      </c>
      <c r="H2356" s="59" t="n">
        <v>2110405</v>
      </c>
      <c r="I2356" s="59" t="inlineStr">
        <is>
          <t>CONTAS A PAGAR</t>
        </is>
      </c>
      <c r="J2356" s="59" t="n">
        <v>1585693</v>
      </c>
      <c r="L2356" s="59" t="n">
        <v>32059</v>
      </c>
      <c r="M2356" s="59" t="inlineStr">
        <is>
          <t>01</t>
        </is>
      </c>
      <c r="N2356" s="59" t="inlineStr">
        <is>
          <t>AVU</t>
        </is>
      </c>
      <c r="P2356" s="59" t="n">
        <v>103</v>
      </c>
      <c r="Q2356" s="59" t="inlineStr">
        <is>
          <t>MILKA FRANCIS</t>
        </is>
      </c>
      <c r="R2356" s="59" t="inlineStr">
        <is>
          <t>ESTOQUE DE MERCADORIAS</t>
        </is>
      </c>
      <c r="S2356" s="59" t="n">
        <v>1130101</v>
      </c>
      <c r="T2356" s="59" t="inlineStr">
        <is>
          <t>MERCADORIAS P/REVENDA</t>
        </is>
      </c>
      <c r="U2356" s="77" t="n">
        <v>233.5</v>
      </c>
      <c r="W2356" s="59" t="n">
        <v>0</v>
      </c>
      <c r="X2356" s="59" t="inlineStr">
        <is>
          <t>NF 32059 - MILKA</t>
        </is>
      </c>
      <c r="Z2356" s="59">
        <f>IF($T2356="","",IFERROR(INDEX('Resumo Grupos'!$AC$3:$AC$200,MATCH($T2356,'Resumo Grupos'!$AB$3:$AB$200,0)),"n/d"))</f>
        <v/>
      </c>
      <c r="AA2356" s="59">
        <f>IF($T2356="","",IF(COUNTIF('Resumo Grupos'!$AE$3:$AE$40,$T2356)&gt;0,"NAO","SIM"))</f>
        <v/>
      </c>
    </row>
    <row r="2357" ht="12.75" customHeight="1" s="60">
      <c r="A2357" s="59" t="n">
        <v>1</v>
      </c>
      <c r="B2357" s="75" t="n">
        <v>46240</v>
      </c>
      <c r="C2357" s="75" t="n">
        <v>46263</v>
      </c>
      <c r="D2357" s="59" t="n">
        <v>1659</v>
      </c>
      <c r="E2357" s="59" t="inlineStr">
        <is>
          <t>ADRIANA DISTRIBUIDORA DE PRODUTOS ALIMEN</t>
        </is>
      </c>
      <c r="F2357" s="59" t="n">
        <v>24</v>
      </c>
      <c r="G2357" s="59" t="inlineStr">
        <is>
          <t>Compra a Prazo - Boletos</t>
        </is>
      </c>
      <c r="H2357" s="59" t="n">
        <v>2110405</v>
      </c>
      <c r="I2357" s="59" t="inlineStr">
        <is>
          <t>CONTAS A PAGAR</t>
        </is>
      </c>
      <c r="J2357" s="59" t="n">
        <v>1508900</v>
      </c>
      <c r="L2357" s="59" t="n">
        <v>889410</v>
      </c>
      <c r="M2357" s="59" t="inlineStr">
        <is>
          <t>02</t>
        </is>
      </c>
      <c r="N2357" s="59" t="inlineStr">
        <is>
          <t>AVU</t>
        </is>
      </c>
      <c r="P2357" s="59" t="n">
        <v>103</v>
      </c>
      <c r="Q2357" s="59" t="inlineStr">
        <is>
          <t>MILKA FRANCIS</t>
        </is>
      </c>
      <c r="R2357" s="59" t="inlineStr">
        <is>
          <t>ESTOQUE DE MERCADORIAS</t>
        </is>
      </c>
      <c r="S2357" s="59" t="n">
        <v>1130101</v>
      </c>
      <c r="T2357" s="59" t="inlineStr">
        <is>
          <t>MERCADORIAS P/REVENDA</t>
        </is>
      </c>
      <c r="U2357" s="77" t="n">
        <v>1452.44</v>
      </c>
      <c r="W2357" s="59" t="n">
        <v>0</v>
      </c>
      <c r="X2357" s="59" t="inlineStr">
        <is>
          <t>NF 889410-2 MILKA</t>
        </is>
      </c>
      <c r="Z2357" s="59">
        <f>IF($T2357="","",IFERROR(INDEX('Resumo Grupos'!$AC$3:$AC$200,MATCH($T2357,'Resumo Grupos'!$AB$3:$AB$200,0)),"n/d"))</f>
        <v/>
      </c>
      <c r="AA2357" s="59">
        <f>IF($T2357="","",IF(COUNTIF('Resumo Grupos'!$AE$3:$AE$40,$T2357)&gt;0,"NAO","SIM"))</f>
        <v/>
      </c>
    </row>
    <row r="2358" ht="12.75" customHeight="1" s="60">
      <c r="A2358" s="59" t="n">
        <v>1</v>
      </c>
      <c r="B2358" s="75" t="n">
        <v>46242</v>
      </c>
      <c r="C2358" s="75" t="n">
        <v>46263</v>
      </c>
      <c r="D2358" s="59" t="n">
        <v>1708</v>
      </c>
      <c r="E2358" s="59" t="inlineStr">
        <is>
          <t>SUPER CANCUN COMERCIO DE PRODUTOS ALIMEN</t>
        </is>
      </c>
      <c r="F2358" s="59" t="n">
        <v>24</v>
      </c>
      <c r="G2358" s="59" t="inlineStr">
        <is>
          <t>Compra a Prazo - Boletos</t>
        </is>
      </c>
      <c r="H2358" s="59" t="n">
        <v>2110405</v>
      </c>
      <c r="I2358" s="59" t="inlineStr">
        <is>
          <t>CONTAS A PAGAR</t>
        </is>
      </c>
      <c r="J2358" s="59" t="n">
        <v>1518534</v>
      </c>
      <c r="L2358" s="59" t="n">
        <v>264963</v>
      </c>
      <c r="M2358" s="59" t="inlineStr">
        <is>
          <t>02</t>
        </is>
      </c>
      <c r="N2358" s="59" t="inlineStr">
        <is>
          <t>AVU</t>
        </is>
      </c>
      <c r="P2358" s="59" t="n">
        <v>103</v>
      </c>
      <c r="Q2358" s="59" t="inlineStr">
        <is>
          <t>MILKA FRANCIS</t>
        </is>
      </c>
      <c r="R2358" s="59" t="inlineStr">
        <is>
          <t>ESTOQUE DE MERCADORIAS</t>
        </is>
      </c>
      <c r="S2358" s="59" t="n">
        <v>1130101</v>
      </c>
      <c r="T2358" s="59" t="inlineStr">
        <is>
          <t>MERCADORIAS P/REVENDA</t>
        </is>
      </c>
      <c r="U2358" s="77" t="n">
        <v>721.52</v>
      </c>
      <c r="W2358" s="59" t="n">
        <v>0</v>
      </c>
      <c r="X2358" s="59" t="inlineStr">
        <is>
          <t>NF 264963-2 MILKA</t>
        </is>
      </c>
      <c r="Z2358" s="59">
        <f>IF($T2358="","",IFERROR(INDEX('Resumo Grupos'!$AC$3:$AC$200,MATCH($T2358,'Resumo Grupos'!$AB$3:$AB$200,0)),"n/d"))</f>
        <v/>
      </c>
      <c r="AA2358" s="59">
        <f>IF($T2358="","",IF(COUNTIF('Resumo Grupos'!$AE$3:$AE$40,$T2358)&gt;0,"NAO","SIM"))</f>
        <v/>
      </c>
    </row>
    <row r="2359" ht="12.75" customHeight="1" s="60">
      <c r="A2359" s="59" t="n">
        <v>1</v>
      </c>
      <c r="B2359" s="75" t="n">
        <v>46252</v>
      </c>
      <c r="C2359" s="75" t="n">
        <v>46263</v>
      </c>
      <c r="D2359" s="59" t="n">
        <v>1705</v>
      </c>
      <c r="E2359" s="59" t="inlineStr">
        <is>
          <t>BRASIL NORTE BEBIDAS S/A</t>
        </is>
      </c>
      <c r="F2359" s="59" t="n">
        <v>24</v>
      </c>
      <c r="G2359" s="59" t="inlineStr">
        <is>
          <t>Compra a Prazo - Boletos</t>
        </is>
      </c>
      <c r="H2359" s="59" t="n">
        <v>2110405</v>
      </c>
      <c r="I2359" s="59" t="inlineStr">
        <is>
          <t>CONTAS A PAGAR</t>
        </is>
      </c>
      <c r="J2359" s="59" t="n">
        <v>1565982</v>
      </c>
      <c r="L2359" s="59" t="n">
        <v>1250817</v>
      </c>
      <c r="M2359" s="59" t="inlineStr">
        <is>
          <t>01</t>
        </is>
      </c>
      <c r="N2359" s="59" t="inlineStr">
        <is>
          <t>AVU</t>
        </is>
      </c>
      <c r="P2359" s="59" t="n">
        <v>103</v>
      </c>
      <c r="Q2359" s="59" t="inlineStr">
        <is>
          <t>MILKA FRANCIS</t>
        </is>
      </c>
      <c r="R2359" s="59" t="inlineStr">
        <is>
          <t>ESTOQUE DE MERCADORIAS</t>
        </is>
      </c>
      <c r="S2359" s="59" t="n">
        <v>1130101</v>
      </c>
      <c r="T2359" s="59" t="inlineStr">
        <is>
          <t>MERCADORIAS P/REVENDA</t>
        </is>
      </c>
      <c r="U2359" s="77" t="n">
        <v>152.38</v>
      </c>
      <c r="W2359" s="59" t="n">
        <v>0</v>
      </c>
      <c r="X2359" s="59" t="inlineStr">
        <is>
          <t>NF 1250817 COCA - MILKA</t>
        </is>
      </c>
      <c r="Z2359" s="59">
        <f>IF($T2359="","",IFERROR(INDEX('Resumo Grupos'!$AC$3:$AC$200,MATCH($T2359,'Resumo Grupos'!$AB$3:$AB$200,0)),"n/d"))</f>
        <v/>
      </c>
      <c r="AA2359" s="59">
        <f>IF($T2359="","",IF(COUNTIF('Resumo Grupos'!$AE$3:$AE$40,$T2359)&gt;0,"NAO","SIM"))</f>
        <v/>
      </c>
    </row>
    <row r="2360" ht="12.75" customHeight="1" s="60">
      <c r="A2360" s="59" t="n">
        <v>1</v>
      </c>
      <c r="B2360" s="75" t="n">
        <v>46252</v>
      </c>
      <c r="C2360" s="75" t="n">
        <v>46263</v>
      </c>
      <c r="D2360" s="59" t="n">
        <v>1705</v>
      </c>
      <c r="E2360" s="59" t="inlineStr">
        <is>
          <t>BRASIL NORTE BEBIDAS S/A</t>
        </is>
      </c>
      <c r="F2360" s="59" t="n">
        <v>24</v>
      </c>
      <c r="G2360" s="59" t="inlineStr">
        <is>
          <t>Compra a Prazo - Boletos</t>
        </is>
      </c>
      <c r="H2360" s="59" t="n">
        <v>2110405</v>
      </c>
      <c r="I2360" s="59" t="inlineStr">
        <is>
          <t>CONTAS A PAGAR</t>
        </is>
      </c>
      <c r="J2360" s="59" t="n">
        <v>1566031</v>
      </c>
      <c r="L2360" s="59" t="n">
        <v>1250842</v>
      </c>
      <c r="M2360" s="59" t="inlineStr">
        <is>
          <t>01</t>
        </is>
      </c>
      <c r="N2360" s="59" t="inlineStr">
        <is>
          <t>AVU</t>
        </is>
      </c>
      <c r="P2360" s="59" t="n">
        <v>103</v>
      </c>
      <c r="Q2360" s="59" t="inlineStr">
        <is>
          <t>MILKA FRANCIS</t>
        </is>
      </c>
      <c r="R2360" s="59" t="inlineStr">
        <is>
          <t>ESTOQUE DE MERCADORIAS</t>
        </is>
      </c>
      <c r="S2360" s="59" t="n">
        <v>1130101</v>
      </c>
      <c r="T2360" s="59" t="inlineStr">
        <is>
          <t>MERCADORIAS P/REVENDA</t>
        </is>
      </c>
      <c r="U2360" s="77" t="n">
        <v>2627.97</v>
      </c>
      <c r="W2360" s="59" t="n">
        <v>0</v>
      </c>
      <c r="X2360" s="59" t="inlineStr">
        <is>
          <t>NF 1250842 COCA - MILKA</t>
        </is>
      </c>
      <c r="Z2360" s="59">
        <f>IF($T2360="","",IFERROR(INDEX('Resumo Grupos'!$AC$3:$AC$200,MATCH($T2360,'Resumo Grupos'!$AB$3:$AB$200,0)),"n/d"))</f>
        <v/>
      </c>
      <c r="AA2360" s="59">
        <f>IF($T2360="","",IF(COUNTIF('Resumo Grupos'!$AE$3:$AE$40,$T2360)&gt;0,"NAO","SIM"))</f>
        <v/>
      </c>
    </row>
    <row r="2361" ht="12.75" customHeight="1" s="60">
      <c r="A2361" s="59" t="n">
        <v>1</v>
      </c>
      <c r="B2361" s="75" t="n">
        <v>46252</v>
      </c>
      <c r="C2361" s="75" t="n">
        <v>46263</v>
      </c>
      <c r="D2361" s="59" t="n">
        <v>1705</v>
      </c>
      <c r="E2361" s="59" t="inlineStr">
        <is>
          <t>BRASIL NORTE BEBIDAS S/A</t>
        </is>
      </c>
      <c r="F2361" s="59" t="n">
        <v>24</v>
      </c>
      <c r="G2361" s="59" t="inlineStr">
        <is>
          <t>Compra a Prazo - Boletos</t>
        </is>
      </c>
      <c r="H2361" s="59" t="n">
        <v>2110405</v>
      </c>
      <c r="I2361" s="59" t="inlineStr">
        <is>
          <t>CONTAS A PAGAR</t>
        </is>
      </c>
      <c r="J2361" s="59" t="n">
        <v>1566370</v>
      </c>
      <c r="L2361" s="59" t="n">
        <v>1250879</v>
      </c>
      <c r="M2361" s="59" t="inlineStr">
        <is>
          <t>01</t>
        </is>
      </c>
      <c r="N2361" s="59" t="inlineStr">
        <is>
          <t>AVU</t>
        </is>
      </c>
      <c r="P2361" s="59" t="n">
        <v>103</v>
      </c>
      <c r="Q2361" s="59" t="inlineStr">
        <is>
          <t>MILKA FRANCIS</t>
        </is>
      </c>
      <c r="R2361" s="59" t="inlineStr">
        <is>
          <t>ESTOQUE DE MERCADORIAS</t>
        </is>
      </c>
      <c r="S2361" s="59" t="n">
        <v>1130101</v>
      </c>
      <c r="T2361" s="59" t="inlineStr">
        <is>
          <t>MERCADORIAS P/REVENDA</t>
        </is>
      </c>
      <c r="U2361" s="77" t="n">
        <v>659.34</v>
      </c>
      <c r="W2361" s="59" t="n">
        <v>0</v>
      </c>
      <c r="X2361" s="59" t="inlineStr">
        <is>
          <t>NF 1250879 COCA - MILKA</t>
        </is>
      </c>
      <c r="Z2361" s="59">
        <f>IF($T2361="","",IFERROR(INDEX('Resumo Grupos'!$AC$3:$AC$200,MATCH($T2361,'Resumo Grupos'!$AB$3:$AB$200,0)),"n/d"))</f>
        <v/>
      </c>
      <c r="AA2361" s="59">
        <f>IF($T2361="","",IF(COUNTIF('Resumo Grupos'!$AE$3:$AE$40,$T2361)&gt;0,"NAO","SIM"))</f>
        <v/>
      </c>
    </row>
    <row r="2362" ht="12.75" customHeight="1" s="60">
      <c r="A2362" s="59" t="n">
        <v>1</v>
      </c>
      <c r="B2362" s="75" t="n">
        <v>46252</v>
      </c>
      <c r="C2362" s="75" t="n">
        <v>46263</v>
      </c>
      <c r="D2362" s="59" t="n">
        <v>1705</v>
      </c>
      <c r="E2362" s="59" t="inlineStr">
        <is>
          <t>BRASIL NORTE BEBIDAS S/A</t>
        </is>
      </c>
      <c r="F2362" s="59" t="n">
        <v>24</v>
      </c>
      <c r="G2362" s="59" t="inlineStr">
        <is>
          <t>Compra a Prazo - Boletos</t>
        </is>
      </c>
      <c r="H2362" s="59" t="n">
        <v>2110405</v>
      </c>
      <c r="I2362" s="59" t="inlineStr">
        <is>
          <t>CONTAS A PAGAR</t>
        </is>
      </c>
      <c r="J2362" s="59" t="n">
        <v>1566454</v>
      </c>
      <c r="L2362" s="59" t="n">
        <v>1990959</v>
      </c>
      <c r="M2362" s="59" t="inlineStr">
        <is>
          <t>01</t>
        </is>
      </c>
      <c r="N2362" s="59" t="inlineStr">
        <is>
          <t>AVU</t>
        </is>
      </c>
      <c r="P2362" s="59" t="n">
        <v>103</v>
      </c>
      <c r="Q2362" s="59" t="inlineStr">
        <is>
          <t>MILKA FRANCIS</t>
        </is>
      </c>
      <c r="R2362" s="59" t="inlineStr">
        <is>
          <t>ESTOQUE DE MERCADORIAS</t>
        </is>
      </c>
      <c r="S2362" s="59" t="n">
        <v>1130101</v>
      </c>
      <c r="T2362" s="59" t="inlineStr">
        <is>
          <t>MERCADORIAS P/REVENDA</t>
        </is>
      </c>
      <c r="U2362" s="77" t="n">
        <v>490.11</v>
      </c>
      <c r="W2362" s="59" t="n">
        <v>0</v>
      </c>
      <c r="X2362" s="59" t="inlineStr">
        <is>
          <t>NF 1990959 COCA - MILKA</t>
        </is>
      </c>
      <c r="Z2362" s="59">
        <f>IF($T2362="","",IFERROR(INDEX('Resumo Grupos'!$AC$3:$AC$200,MATCH($T2362,'Resumo Grupos'!$AB$3:$AB$200,0)),"n/d"))</f>
        <v/>
      </c>
      <c r="AA2362" s="59">
        <f>IF($T2362="","",IF(COUNTIF('Resumo Grupos'!$AE$3:$AE$40,$T2362)&gt;0,"NAO","SIM"))</f>
        <v/>
      </c>
    </row>
    <row r="2363" ht="12.75" customHeight="1" s="60">
      <c r="A2363" s="59" t="n">
        <v>1</v>
      </c>
      <c r="B2363" s="75" t="n">
        <v>46252</v>
      </c>
      <c r="C2363" s="75" t="n">
        <v>46263</v>
      </c>
      <c r="D2363" s="59" t="n">
        <v>1705</v>
      </c>
      <c r="E2363" s="59" t="inlineStr">
        <is>
          <t>BRASIL NORTE BEBIDAS S/A</t>
        </is>
      </c>
      <c r="F2363" s="59" t="n">
        <v>24</v>
      </c>
      <c r="G2363" s="59" t="inlineStr">
        <is>
          <t>Compra a Prazo - Boletos</t>
        </is>
      </c>
      <c r="H2363" s="59" t="n">
        <v>2110405</v>
      </c>
      <c r="I2363" s="59" t="inlineStr">
        <is>
          <t>CONTAS A PAGAR</t>
        </is>
      </c>
      <c r="J2363" s="59" t="n">
        <v>1566476</v>
      </c>
      <c r="L2363" s="59" t="n">
        <v>1990972</v>
      </c>
      <c r="M2363" s="59" t="inlineStr">
        <is>
          <t>01</t>
        </is>
      </c>
      <c r="N2363" s="59" t="inlineStr">
        <is>
          <t>AVU</t>
        </is>
      </c>
      <c r="P2363" s="59" t="n">
        <v>103</v>
      </c>
      <c r="Q2363" s="59" t="inlineStr">
        <is>
          <t>MILKA FRANCIS</t>
        </is>
      </c>
      <c r="R2363" s="59" t="inlineStr">
        <is>
          <t>ESTOQUE DE MERCADORIAS</t>
        </is>
      </c>
      <c r="S2363" s="59" t="n">
        <v>1130101</v>
      </c>
      <c r="T2363" s="59" t="inlineStr">
        <is>
          <t>MERCADORIAS P/REVENDA</t>
        </is>
      </c>
      <c r="U2363" s="77" t="n">
        <v>369.57</v>
      </c>
      <c r="W2363" s="59" t="n">
        <v>0</v>
      </c>
      <c r="X2363" s="59" t="inlineStr">
        <is>
          <t>NF 1990972 COCA - MILKA</t>
        </is>
      </c>
      <c r="Z2363" s="59">
        <f>IF($T2363="","",IFERROR(INDEX('Resumo Grupos'!$AC$3:$AC$200,MATCH($T2363,'Resumo Grupos'!$AB$3:$AB$200,0)),"n/d"))</f>
        <v/>
      </c>
      <c r="AA2363" s="59">
        <f>IF($T2363="","",IF(COUNTIF('Resumo Grupos'!$AE$3:$AE$40,$T2363)&gt;0,"NAO","SIM"))</f>
        <v/>
      </c>
    </row>
    <row r="2364" ht="12.75" customHeight="1" s="60">
      <c r="A2364" s="59" t="n">
        <v>1</v>
      </c>
      <c r="B2364" s="75" t="n">
        <v>46252</v>
      </c>
      <c r="C2364" s="75" t="n">
        <v>46263</v>
      </c>
      <c r="D2364" s="59" t="n">
        <v>1705</v>
      </c>
      <c r="E2364" s="59" t="inlineStr">
        <is>
          <t>BRASIL NORTE BEBIDAS S/A</t>
        </is>
      </c>
      <c r="F2364" s="59" t="n">
        <v>24</v>
      </c>
      <c r="G2364" s="59" t="inlineStr">
        <is>
          <t>Compra a Prazo - Boletos</t>
        </is>
      </c>
      <c r="H2364" s="59" t="n">
        <v>2110405</v>
      </c>
      <c r="I2364" s="59" t="inlineStr">
        <is>
          <t>CONTAS A PAGAR</t>
        </is>
      </c>
      <c r="J2364" s="59" t="n">
        <v>1566569</v>
      </c>
      <c r="L2364" s="59" t="n">
        <v>1990961</v>
      </c>
      <c r="M2364" s="59" t="inlineStr">
        <is>
          <t>01</t>
        </is>
      </c>
      <c r="N2364" s="59" t="inlineStr">
        <is>
          <t>AVU</t>
        </is>
      </c>
      <c r="P2364" s="59" t="n">
        <v>103</v>
      </c>
      <c r="Q2364" s="59" t="inlineStr">
        <is>
          <t>MILKA FRANCIS</t>
        </is>
      </c>
      <c r="R2364" s="59" t="inlineStr">
        <is>
          <t>ESTOQUE DE MERCADORIAS</t>
        </is>
      </c>
      <c r="S2364" s="59" t="n">
        <v>1130101</v>
      </c>
      <c r="T2364" s="59" t="inlineStr">
        <is>
          <t>MERCADORIAS P/REVENDA</t>
        </is>
      </c>
      <c r="U2364" s="77" t="n">
        <v>76.19</v>
      </c>
      <c r="W2364" s="59" t="n">
        <v>0</v>
      </c>
      <c r="X2364" s="59" t="inlineStr">
        <is>
          <t>NF 1990961 COCA - MILKA</t>
        </is>
      </c>
      <c r="Z2364" s="59">
        <f>IF($T2364="","",IFERROR(INDEX('Resumo Grupos'!$AC$3:$AC$200,MATCH($T2364,'Resumo Grupos'!$AB$3:$AB$200,0)),"n/d"))</f>
        <v/>
      </c>
      <c r="AA2364" s="59">
        <f>IF($T2364="","",IF(COUNTIF('Resumo Grupos'!$AE$3:$AE$40,$T2364)&gt;0,"NAO","SIM"))</f>
        <v/>
      </c>
    </row>
    <row r="2365" ht="12.75" customHeight="1" s="60">
      <c r="A2365" s="59" t="n">
        <v>1</v>
      </c>
      <c r="B2365" s="75" t="n">
        <v>46252</v>
      </c>
      <c r="C2365" s="75" t="n">
        <v>46263</v>
      </c>
      <c r="D2365" s="59" t="n">
        <v>1705</v>
      </c>
      <c r="E2365" s="59" t="inlineStr">
        <is>
          <t>BRASIL NORTE BEBIDAS S/A</t>
        </is>
      </c>
      <c r="F2365" s="59" t="n">
        <v>24</v>
      </c>
      <c r="G2365" s="59" t="inlineStr">
        <is>
          <t>Compra a Prazo - Boletos</t>
        </is>
      </c>
      <c r="H2365" s="59" t="n">
        <v>2110405</v>
      </c>
      <c r="I2365" s="59" t="inlineStr">
        <is>
          <t>CONTAS A PAGAR</t>
        </is>
      </c>
      <c r="J2365" s="59" t="n">
        <v>1566580</v>
      </c>
      <c r="L2365" s="59" t="n">
        <v>1991099</v>
      </c>
      <c r="M2365" s="59" t="inlineStr">
        <is>
          <t>01</t>
        </is>
      </c>
      <c r="N2365" s="59" t="inlineStr">
        <is>
          <t>AVU</t>
        </is>
      </c>
      <c r="P2365" s="59" t="n">
        <v>103</v>
      </c>
      <c r="Q2365" s="59" t="inlineStr">
        <is>
          <t>MILKA FRANCIS</t>
        </is>
      </c>
      <c r="R2365" s="59" t="inlineStr">
        <is>
          <t>ESTOQUE DE MERCADORIAS</t>
        </is>
      </c>
      <c r="S2365" s="59" t="n">
        <v>1130101</v>
      </c>
      <c r="T2365" s="59" t="inlineStr">
        <is>
          <t>MERCADORIAS P/REVENDA</t>
        </is>
      </c>
      <c r="U2365" s="77" t="n">
        <v>7800.09</v>
      </c>
      <c r="W2365" s="59" t="n">
        <v>0</v>
      </c>
      <c r="X2365" s="59" t="inlineStr">
        <is>
          <t>NF1991099 COCA - MILKA</t>
        </is>
      </c>
      <c r="Z2365" s="59">
        <f>IF($T2365="","",IFERROR(INDEX('Resumo Grupos'!$AC$3:$AC$200,MATCH($T2365,'Resumo Grupos'!$AB$3:$AB$200,0)),"n/d"))</f>
        <v/>
      </c>
      <c r="AA2365" s="59">
        <f>IF($T2365="","",IF(COUNTIF('Resumo Grupos'!$AE$3:$AE$40,$T2365)&gt;0,"NAO","SIM"))</f>
        <v/>
      </c>
    </row>
    <row r="2366" ht="12.75" customHeight="1" s="60">
      <c r="A2366" s="59" t="n">
        <v>1</v>
      </c>
      <c r="B2366" s="75" t="n">
        <v>46256</v>
      </c>
      <c r="C2366" s="75" t="n">
        <v>46263</v>
      </c>
      <c r="D2366" s="59" t="n">
        <v>1286</v>
      </c>
      <c r="E2366" s="59" t="inlineStr">
        <is>
          <t>VITAPAN COMERCIO VAREJISTA DE PRODUTOS ALIMENTICIOS LTDA</t>
        </is>
      </c>
      <c r="F2366" s="59" t="n">
        <v>24</v>
      </c>
      <c r="G2366" s="59" t="inlineStr">
        <is>
          <t>Compra a Prazo - Boletos</t>
        </is>
      </c>
      <c r="H2366" s="59" t="n">
        <v>2110405</v>
      </c>
      <c r="I2366" s="59" t="inlineStr">
        <is>
          <t>CONTAS A PAGAR</t>
        </is>
      </c>
      <c r="J2366" s="59" t="n">
        <v>1585711</v>
      </c>
      <c r="L2366" s="59" t="n">
        <v>10608</v>
      </c>
      <c r="M2366" s="59" t="inlineStr">
        <is>
          <t>01</t>
        </is>
      </c>
      <c r="N2366" s="59" t="inlineStr">
        <is>
          <t>AVU</t>
        </is>
      </c>
      <c r="P2366" s="59" t="n">
        <v>103</v>
      </c>
      <c r="Q2366" s="59" t="inlineStr">
        <is>
          <t>MILKA FRANCIS</t>
        </is>
      </c>
      <c r="R2366" s="59" t="inlineStr">
        <is>
          <t>ESTOQUE DE MERCADORIAS</t>
        </is>
      </c>
      <c r="S2366" s="59" t="n">
        <v>1130101</v>
      </c>
      <c r="T2366" s="59" t="inlineStr">
        <is>
          <t>MERCADORIAS P/REVENDA</t>
        </is>
      </c>
      <c r="U2366" s="77" t="n">
        <v>1134</v>
      </c>
      <c r="W2366" s="59" t="n">
        <v>0</v>
      </c>
      <c r="X2366" s="59" t="inlineStr">
        <is>
          <t>NF 10608 - MILKA</t>
        </is>
      </c>
      <c r="Z2366" s="59">
        <f>IF($T2366="","",IFERROR(INDEX('Resumo Grupos'!$AC$3:$AC$200,MATCH($T2366,'Resumo Grupos'!$AB$3:$AB$200,0)),"n/d"))</f>
        <v/>
      </c>
      <c r="AA2366" s="59">
        <f>IF($T2366="","",IF(COUNTIF('Resumo Grupos'!$AE$3:$AE$40,$T2366)&gt;0,"NAO","SIM"))</f>
        <v/>
      </c>
    </row>
    <row r="2367" ht="12.75" customHeight="1" s="60">
      <c r="A2367" s="59" t="n">
        <v>1</v>
      </c>
      <c r="B2367" s="82" t="n">
        <v>46232</v>
      </c>
      <c r="C2367" s="82" t="n">
        <v>46264</v>
      </c>
      <c r="D2367" s="59" t="n">
        <v>815</v>
      </c>
      <c r="E2367" s="59" t="inlineStr">
        <is>
          <t xml:space="preserve">ROBSON - ROBINHO </t>
        </is>
      </c>
      <c r="F2367" s="59" t="n">
        <v>34</v>
      </c>
      <c r="G2367" s="59" t="inlineStr">
        <is>
          <t>Transferencia Pix</t>
        </is>
      </c>
      <c r="H2367" s="59" t="n">
        <v>1110202</v>
      </c>
      <c r="I2367" s="59" t="inlineStr">
        <is>
          <t>BANCO ITAU Lj 01</t>
        </is>
      </c>
      <c r="J2367" s="59" t="n">
        <v>1470128</v>
      </c>
      <c r="L2367" s="59" t="n">
        <v>604118</v>
      </c>
      <c r="M2367" s="59" t="inlineStr">
        <is>
          <t>01</t>
        </is>
      </c>
      <c r="N2367" s="59" t="inlineStr">
        <is>
          <t>AVU</t>
        </is>
      </c>
      <c r="P2367" s="59" t="n">
        <v>101</v>
      </c>
      <c r="Q2367" s="59" t="inlineStr">
        <is>
          <t>KEILA LIMA</t>
        </is>
      </c>
      <c r="R2367" s="59" t="inlineStr">
        <is>
          <t>DESPESAS FINANCEIRAS</t>
        </is>
      </c>
      <c r="S2367" s="59" t="n">
        <v>4210502</v>
      </c>
      <c r="T2367" s="59" t="inlineStr">
        <is>
          <t>JUROS S/ EMPRESTIMOS</t>
        </is>
      </c>
      <c r="U2367" s="59" t="n">
        <v>1000</v>
      </c>
      <c r="W2367" s="59" t="n">
        <v>0</v>
      </c>
      <c r="X2367" s="59" t="inlineStr">
        <is>
          <t>JUROS DO EMPRESTIMO ROBSON P MO1 50MIL 1% AO MES - KEILA</t>
        </is>
      </c>
      <c r="Z2367" s="59">
        <f>IF($T2367="","",IFERROR(INDEX('Resumo Grupos'!$AC$3:$AC$200,MATCH($T2367,'Resumo Grupos'!$AB$3:$AB$200,0)),"n/d"))</f>
        <v/>
      </c>
      <c r="AA2367" s="59">
        <f>IF($T2367="","",IF(COUNTIF('Resumo Grupos'!$AE$3:$AE$40,$T2367)&gt;0,"NAO","SIM"))</f>
        <v/>
      </c>
    </row>
    <row r="2368" ht="12.75" customHeight="1" s="60">
      <c r="A2368" s="59" t="n">
        <v>1</v>
      </c>
      <c r="B2368" s="82" t="n">
        <v>46234</v>
      </c>
      <c r="C2368" s="82" t="n">
        <v>46264</v>
      </c>
      <c r="D2368" s="59" t="n">
        <v>815</v>
      </c>
      <c r="E2368" s="59" t="inlineStr">
        <is>
          <t xml:space="preserve">ROBSON - ROBINHO </t>
        </is>
      </c>
      <c r="F2368" s="59" t="n">
        <v>34</v>
      </c>
      <c r="G2368" s="59" t="inlineStr">
        <is>
          <t>Transferencia Pix</t>
        </is>
      </c>
      <c r="H2368" s="59" t="n">
        <v>1110202</v>
      </c>
      <c r="I2368" s="59" t="inlineStr">
        <is>
          <t>BANCO ITAU Lj 01</t>
        </is>
      </c>
      <c r="J2368" s="59" t="n">
        <v>1477511</v>
      </c>
      <c r="L2368" s="59" t="n">
        <v>606996</v>
      </c>
      <c r="M2368" s="59" t="inlineStr">
        <is>
          <t>01</t>
        </is>
      </c>
      <c r="N2368" s="59" t="inlineStr">
        <is>
          <t>AVU</t>
        </is>
      </c>
      <c r="P2368" s="59" t="n">
        <v>101</v>
      </c>
      <c r="Q2368" s="59" t="inlineStr">
        <is>
          <t>KEILA LIMA</t>
        </is>
      </c>
      <c r="R2368" s="59" t="inlineStr">
        <is>
          <t>EMPRESTIMOS TERCEIROS</t>
        </is>
      </c>
      <c r="S2368" s="59" t="n">
        <v>2210203</v>
      </c>
      <c r="T2368" s="59" t="inlineStr">
        <is>
          <t>PREVIA DOS EMPRESTIMOS</t>
        </is>
      </c>
      <c r="U2368" s="59" t="n">
        <v>200000</v>
      </c>
      <c r="W2368" s="59" t="n">
        <v>0</v>
      </c>
      <c r="X2368" s="59" t="inlineStr">
        <is>
          <t>PREVIA DO EMPRESTIMO ROBSON P MO1 500MIL - KEILA</t>
        </is>
      </c>
      <c r="Z2368" s="59">
        <f>IF($T2368="","",IFERROR(INDEX('Resumo Grupos'!$AC$3:$AC$200,MATCH($T2368,'Resumo Grupos'!$AB$3:$AB$200,0)),"n/d"))</f>
        <v/>
      </c>
      <c r="AA2368" s="59">
        <f>IF($T2368="","",IF(COUNTIF('Resumo Grupos'!$AE$3:$AE$40,$T2368)&gt;0,"NAO","SIM"))</f>
        <v/>
      </c>
    </row>
    <row r="2369" ht="12.75" customHeight="1" s="60">
      <c r="A2369" s="59" t="n">
        <v>1</v>
      </c>
      <c r="B2369" s="82" t="n">
        <v>46234</v>
      </c>
      <c r="C2369" s="82" t="n">
        <v>46264</v>
      </c>
      <c r="D2369" s="59" t="n">
        <v>815</v>
      </c>
      <c r="E2369" s="59" t="inlineStr">
        <is>
          <t xml:space="preserve">ROBSON - ROBINHO </t>
        </is>
      </c>
      <c r="F2369" s="59" t="n">
        <v>34</v>
      </c>
      <c r="G2369" s="59" t="inlineStr">
        <is>
          <t>Transferencia Pix</t>
        </is>
      </c>
      <c r="H2369" s="59" t="n">
        <v>1110202</v>
      </c>
      <c r="I2369" s="59" t="inlineStr">
        <is>
          <t>BANCO ITAU Lj 01</t>
        </is>
      </c>
      <c r="J2369" s="59" t="n">
        <v>1477514</v>
      </c>
      <c r="L2369" s="59" t="n">
        <v>606999</v>
      </c>
      <c r="M2369" s="59" t="inlineStr">
        <is>
          <t>01</t>
        </is>
      </c>
      <c r="N2369" s="59" t="inlineStr">
        <is>
          <t>AVU</t>
        </is>
      </c>
      <c r="P2369" s="59" t="n">
        <v>101</v>
      </c>
      <c r="Q2369" s="59" t="inlineStr">
        <is>
          <t>KEILA LIMA</t>
        </is>
      </c>
      <c r="R2369" s="59" t="inlineStr">
        <is>
          <t>EMPRESTIMOS TERCEIROS</t>
        </is>
      </c>
      <c r="S2369" s="59" t="n">
        <v>2210203</v>
      </c>
      <c r="T2369" s="59" t="inlineStr">
        <is>
          <t>PREVIA DOS EMPRESTIMOS</t>
        </is>
      </c>
      <c r="U2369" s="59" t="n">
        <v>50000</v>
      </c>
      <c r="W2369" s="59" t="n">
        <v>0</v>
      </c>
      <c r="X2369" s="59" t="inlineStr">
        <is>
          <t>PREVIA EMPRESTIMO DO ROBSON P MO1 50MIL - KEILA</t>
        </is>
      </c>
      <c r="Z2369" s="59">
        <f>IF($T2369="","",IFERROR(INDEX('Resumo Grupos'!$AC$3:$AC$200,MATCH($T2369,'Resumo Grupos'!$AB$3:$AB$200,0)),"n/d"))</f>
        <v/>
      </c>
      <c r="AA2369" s="59">
        <f>IF($T2369="","",IF(COUNTIF('Resumo Grupos'!$AE$3:$AE$40,$T2369)&gt;0,"NAO","SIM"))</f>
        <v/>
      </c>
    </row>
    <row r="2370" ht="12.75" customHeight="1" s="60">
      <c r="A2370" s="59" t="n">
        <v>1</v>
      </c>
      <c r="B2370" s="82" t="n">
        <v>46255</v>
      </c>
      <c r="C2370" s="82" t="n">
        <v>46264</v>
      </c>
      <c r="D2370" s="59" t="n">
        <v>10085</v>
      </c>
      <c r="E2370" s="59" t="inlineStr">
        <is>
          <t>COARI DISTRIBUIDORA DE BEBIDAS LTDA</t>
        </is>
      </c>
      <c r="F2370" s="59" t="n">
        <v>24</v>
      </c>
      <c r="G2370" s="59" t="inlineStr">
        <is>
          <t>Compra a Prazo - Boletos</t>
        </is>
      </c>
      <c r="H2370" s="59" t="n">
        <v>2110405</v>
      </c>
      <c r="I2370" s="59" t="inlineStr">
        <is>
          <t>CONTAS A PAGAR</t>
        </is>
      </c>
      <c r="J2370" s="59" t="n">
        <v>1580432</v>
      </c>
      <c r="L2370" s="59" t="n">
        <v>1578</v>
      </c>
      <c r="M2370" s="59" t="inlineStr">
        <is>
          <t>01</t>
        </is>
      </c>
      <c r="N2370" s="59" t="inlineStr">
        <is>
          <t>AVU</t>
        </is>
      </c>
      <c r="P2370" s="59" t="n">
        <v>103</v>
      </c>
      <c r="Q2370" s="59" t="inlineStr">
        <is>
          <t>MILKA FRANCIS</t>
        </is>
      </c>
      <c r="R2370" s="59" t="inlineStr">
        <is>
          <t>ESTOQUE DE MERCADORIAS</t>
        </is>
      </c>
      <c r="S2370" s="59" t="n">
        <v>1130101</v>
      </c>
      <c r="T2370" s="59" t="inlineStr">
        <is>
          <t>MERCADORIAS P/REVENDA</t>
        </is>
      </c>
      <c r="U2370" s="59" t="n">
        <v>591.41</v>
      </c>
      <c r="W2370" s="59" t="n">
        <v>0</v>
      </c>
      <c r="X2370" s="59" t="inlineStr">
        <is>
          <t>NF 1578 - MILKA</t>
        </is>
      </c>
      <c r="Z2370" s="59">
        <f>IF($T2370="","",IFERROR(INDEX('Resumo Grupos'!$AC$3:$AC$200,MATCH($T2370,'Resumo Grupos'!$AB$3:$AB$200,0)),"n/d"))</f>
        <v/>
      </c>
      <c r="AA2370" s="59">
        <f>IF($T2370="","",IF(COUNTIF('Resumo Grupos'!$AE$3:$AE$40,$T2370)&gt;0,"NAO","SIM"))</f>
        <v/>
      </c>
    </row>
    <row r="2371" ht="12.75" customHeight="1" s="60">
      <c r="A2371" s="59" t="n">
        <v>1</v>
      </c>
      <c r="B2371" s="82" t="n">
        <v>46255</v>
      </c>
      <c r="C2371" s="82" t="n">
        <v>46264</v>
      </c>
      <c r="D2371" s="59" t="n">
        <v>1723</v>
      </c>
      <c r="E2371" s="59" t="inlineStr">
        <is>
          <t>COMERCIO DE FRIOS MANAUS LTDA</t>
        </is>
      </c>
      <c r="F2371" s="59" t="n">
        <v>24</v>
      </c>
      <c r="G2371" s="59" t="inlineStr">
        <is>
          <t>Compra a Prazo - Boletos</t>
        </is>
      </c>
      <c r="H2371" s="59" t="n">
        <v>2110405</v>
      </c>
      <c r="I2371" s="59" t="inlineStr">
        <is>
          <t>CONTAS A PAGAR</t>
        </is>
      </c>
      <c r="J2371" s="59" t="n">
        <v>1581655</v>
      </c>
      <c r="L2371" s="59" t="n">
        <v>175197</v>
      </c>
      <c r="M2371" s="59" t="inlineStr">
        <is>
          <t>01</t>
        </is>
      </c>
      <c r="N2371" s="59" t="inlineStr">
        <is>
          <t>AVU</t>
        </is>
      </c>
      <c r="P2371" s="59" t="n">
        <v>103</v>
      </c>
      <c r="Q2371" s="59" t="inlineStr">
        <is>
          <t>MILKA FRANCIS</t>
        </is>
      </c>
      <c r="R2371" s="59" t="inlineStr">
        <is>
          <t>ESTOQUE DE MERCADORIAS</t>
        </is>
      </c>
      <c r="S2371" s="59" t="n">
        <v>1130101</v>
      </c>
      <c r="T2371" s="59" t="inlineStr">
        <is>
          <t>MERCADORIAS P/REVENDA</t>
        </is>
      </c>
      <c r="U2371" s="59" t="n">
        <v>4076.8</v>
      </c>
      <c r="W2371" s="59" t="n">
        <v>0</v>
      </c>
      <c r="X2371" s="59" t="inlineStr">
        <is>
          <t>NF175197 - MILKA</t>
        </is>
      </c>
      <c r="Z2371" s="59">
        <f>IF($T2371="","",IFERROR(INDEX('Resumo Grupos'!$AC$3:$AC$200,MATCH($T2371,'Resumo Grupos'!$AB$3:$AB$200,0)),"n/d"))</f>
        <v/>
      </c>
      <c r="AA2371" s="59">
        <f>IF($T2371="","",IF(COUNTIF('Resumo Grupos'!$AE$3:$AE$40,$T2371)&gt;0,"NAO","SIM"))</f>
        <v/>
      </c>
    </row>
    <row r="2372" ht="12.75" customHeight="1" s="60">
      <c r="A2372" s="59" t="n">
        <v>1</v>
      </c>
      <c r="B2372" s="82" t="n">
        <v>46234</v>
      </c>
      <c r="C2372" s="82" t="n">
        <v>46265</v>
      </c>
      <c r="D2372" s="59" t="n">
        <v>1699</v>
      </c>
      <c r="E2372" s="59" t="inlineStr">
        <is>
          <t>L S M COMERCIO DE ALIMENTOS E NAVEGACAO</t>
        </is>
      </c>
      <c r="F2372" s="59" t="n">
        <v>24</v>
      </c>
      <c r="G2372" s="59" t="inlineStr">
        <is>
          <t>Compra a Prazo - Boletos</t>
        </is>
      </c>
      <c r="H2372" s="59" t="n">
        <v>2110405</v>
      </c>
      <c r="I2372" s="59" t="inlineStr">
        <is>
          <t>CONTAS A PAGAR</t>
        </is>
      </c>
      <c r="J2372" s="59" t="n">
        <v>1478171</v>
      </c>
      <c r="L2372" s="59" t="n">
        <v>309642</v>
      </c>
      <c r="M2372" s="59" t="inlineStr">
        <is>
          <t>03</t>
        </is>
      </c>
      <c r="N2372" s="59" t="inlineStr">
        <is>
          <t>AVU</t>
        </is>
      </c>
      <c r="P2372" s="59" t="n">
        <v>103</v>
      </c>
      <c r="Q2372" s="59" t="inlineStr">
        <is>
          <t>MILKA FRANCIS</t>
        </is>
      </c>
      <c r="R2372" s="59" t="inlineStr">
        <is>
          <t>ESTOQUE DE MERCADORIAS</t>
        </is>
      </c>
      <c r="S2372" s="59" t="n">
        <v>1130101</v>
      </c>
      <c r="T2372" s="59" t="inlineStr">
        <is>
          <t>MERCADORIAS P/REVENDA</t>
        </is>
      </c>
      <c r="U2372" s="59" t="n">
        <v>1633.1</v>
      </c>
      <c r="W2372" s="59" t="n">
        <v>0</v>
      </c>
      <c r="X2372" s="59" t="inlineStr">
        <is>
          <t>NF 309642-3 MILKA</t>
        </is>
      </c>
      <c r="Z2372" s="59">
        <f>IF($T2372="","",IFERROR(INDEX('Resumo Grupos'!$AC$3:$AC$200,MATCH($T2372,'Resumo Grupos'!$AB$3:$AB$200,0)),"n/d"))</f>
        <v/>
      </c>
      <c r="AA2372" s="59">
        <f>IF($T2372="","",IF(COUNTIF('Resumo Grupos'!$AE$3:$AE$40,$T2372)&gt;0,"NAO","SIM"))</f>
        <v/>
      </c>
    </row>
    <row r="2373" ht="12.75" customHeight="1" s="60">
      <c r="A2373" s="59" t="n">
        <v>1</v>
      </c>
      <c r="B2373" s="82" t="n">
        <v>46237</v>
      </c>
      <c r="C2373" s="82" t="n">
        <v>46265</v>
      </c>
      <c r="D2373" s="59" t="n">
        <v>1699</v>
      </c>
      <c r="E2373" s="59" t="inlineStr">
        <is>
          <t>L S M COMERCIO DE ALIMENTOS E NAVEGACAO</t>
        </is>
      </c>
      <c r="F2373" s="59" t="n">
        <v>24</v>
      </c>
      <c r="G2373" s="59" t="inlineStr">
        <is>
          <t>Compra a Prazo - Boletos</t>
        </is>
      </c>
      <c r="H2373" s="59" t="n">
        <v>2110405</v>
      </c>
      <c r="I2373" s="59" t="inlineStr">
        <is>
          <t>CONTAS A PAGAR</t>
        </is>
      </c>
      <c r="J2373" s="59" t="n">
        <v>1495640</v>
      </c>
      <c r="L2373" s="59" t="n">
        <v>309757</v>
      </c>
      <c r="M2373" s="59" t="inlineStr">
        <is>
          <t>03</t>
        </is>
      </c>
      <c r="N2373" s="59" t="inlineStr">
        <is>
          <t>AVU</t>
        </is>
      </c>
      <c r="P2373" s="59" t="n">
        <v>103</v>
      </c>
      <c r="Q2373" s="59" t="inlineStr">
        <is>
          <t>MILKA FRANCIS</t>
        </is>
      </c>
      <c r="R2373" s="59" t="inlineStr">
        <is>
          <t>ESTOQUE DE MERCADORIAS</t>
        </is>
      </c>
      <c r="S2373" s="59" t="n">
        <v>1130101</v>
      </c>
      <c r="T2373" s="59" t="inlineStr">
        <is>
          <t>MERCADORIAS P/REVENDA</t>
        </is>
      </c>
      <c r="U2373" s="59" t="n">
        <v>403.5</v>
      </c>
      <c r="W2373" s="59" t="n">
        <v>0</v>
      </c>
      <c r="X2373" s="59" t="inlineStr">
        <is>
          <t>NF 309757-3 MILKA</t>
        </is>
      </c>
      <c r="Z2373" s="59">
        <f>IF($T2373="","",IFERROR(INDEX('Resumo Grupos'!$AC$3:$AC$200,MATCH($T2373,'Resumo Grupos'!$AB$3:$AB$200,0)),"n/d"))</f>
        <v/>
      </c>
      <c r="AA2373" s="59">
        <f>IF($T2373="","",IF(COUNTIF('Resumo Grupos'!$AE$3:$AE$40,$T2373)&gt;0,"NAO","SIM"))</f>
        <v/>
      </c>
    </row>
    <row r="2374" ht="12.75" customHeight="1" s="60">
      <c r="A2374" s="59" t="n">
        <v>1</v>
      </c>
      <c r="B2374" s="82" t="n">
        <v>46238</v>
      </c>
      <c r="C2374" s="82" t="n">
        <v>46265</v>
      </c>
      <c r="D2374" s="59" t="n">
        <v>1668</v>
      </c>
      <c r="E2374" s="59" t="inlineStr">
        <is>
          <t>NATUREZA COMERCIO DE DESCARTAVEIS LTDA</t>
        </is>
      </c>
      <c r="F2374" s="59" t="n">
        <v>24</v>
      </c>
      <c r="G2374" s="59" t="inlineStr">
        <is>
          <t>Compra a Prazo - Boletos</t>
        </is>
      </c>
      <c r="H2374" s="59" t="n">
        <v>1110202</v>
      </c>
      <c r="I2374" s="59" t="inlineStr">
        <is>
          <t>BANCO ITAU Lj 01</t>
        </is>
      </c>
      <c r="J2374" s="59" t="n">
        <v>1500935</v>
      </c>
      <c r="L2374" s="59" t="n">
        <v>745268</v>
      </c>
      <c r="M2374" s="59" t="inlineStr">
        <is>
          <t>02</t>
        </is>
      </c>
      <c r="N2374" s="59" t="inlineStr">
        <is>
          <t>AVU</t>
        </is>
      </c>
      <c r="P2374" s="59" t="n">
        <v>103</v>
      </c>
      <c r="Q2374" s="59" t="inlineStr">
        <is>
          <t>MILKA FRANCIS</t>
        </is>
      </c>
      <c r="R2374" s="59" t="inlineStr">
        <is>
          <t>ESTOQUE DE MERCADORIAS</t>
        </is>
      </c>
      <c r="S2374" s="59" t="n">
        <v>1130101</v>
      </c>
      <c r="T2374" s="59" t="inlineStr">
        <is>
          <t>MERCADORIAS P/REVENDA</t>
        </is>
      </c>
      <c r="U2374" s="59" t="n">
        <v>998.66</v>
      </c>
      <c r="W2374" s="59" t="n">
        <v>0</v>
      </c>
      <c r="X2374" s="59" t="inlineStr">
        <is>
          <t>NF 745268-2 MILKA</t>
        </is>
      </c>
      <c r="Z2374" s="59">
        <f>IF($T2374="","",IFERROR(INDEX('Resumo Grupos'!$AC$3:$AC$200,MATCH($T2374,'Resumo Grupos'!$AB$3:$AB$200,0)),"n/d"))</f>
        <v/>
      </c>
      <c r="AA2374" s="59">
        <f>IF($T2374="","",IF(COUNTIF('Resumo Grupos'!$AE$3:$AE$40,$T2374)&gt;0,"NAO","SIM"))</f>
        <v/>
      </c>
    </row>
    <row r="2375" ht="12.75" customHeight="1" s="60">
      <c r="A2375" s="59" t="n">
        <v>1</v>
      </c>
      <c r="B2375" s="82" t="n">
        <v>46240</v>
      </c>
      <c r="C2375" s="82" t="n">
        <v>46265</v>
      </c>
      <c r="D2375" s="59" t="n">
        <v>1316</v>
      </c>
      <c r="E2375" s="59" t="inlineStr">
        <is>
          <t>VOVO DIZA COMERCIO VAREJISTA DE HORTALICAS LTDA</t>
        </is>
      </c>
      <c r="F2375" s="59" t="n">
        <v>34</v>
      </c>
      <c r="G2375" s="59" t="inlineStr">
        <is>
          <t>Transferencia Pix</t>
        </is>
      </c>
      <c r="H2375" s="59" t="n">
        <v>2110101</v>
      </c>
      <c r="I2375" s="59" t="inlineStr">
        <is>
          <t>FORNECEDORES DE MERCADORIA</t>
        </is>
      </c>
      <c r="J2375" s="59" t="n">
        <v>1508398</v>
      </c>
      <c r="L2375" s="59" t="n">
        <v>4014</v>
      </c>
      <c r="M2375" s="59" t="inlineStr">
        <is>
          <t>01</t>
        </is>
      </c>
      <c r="N2375" s="59" t="inlineStr">
        <is>
          <t>NFE</t>
        </is>
      </c>
      <c r="P2375" s="59" t="n">
        <v>104</v>
      </c>
      <c r="Q2375" s="59" t="inlineStr">
        <is>
          <t>DEBORA COSTA</t>
        </is>
      </c>
      <c r="R2375" s="59" t="inlineStr">
        <is>
          <t>ESTOQUE DE MERCADORIAS</t>
        </is>
      </c>
      <c r="S2375" s="59" t="n">
        <v>1130101</v>
      </c>
      <c r="T2375" s="59" t="inlineStr">
        <is>
          <t>MERCADORIAS P/REVENDA</t>
        </is>
      </c>
      <c r="U2375" s="59" t="n">
        <v>160</v>
      </c>
      <c r="W2375" s="59" t="n">
        <v>0</v>
      </c>
      <c r="X2375" s="59" t="inlineStr">
        <is>
          <t>NF 4014 - VERDURAS -  DEBORA</t>
        </is>
      </c>
      <c r="Z2375" s="59">
        <f>IF($T2375="","",IFERROR(INDEX('Resumo Grupos'!$AC$3:$AC$200,MATCH($T2375,'Resumo Grupos'!$AB$3:$AB$200,0)),"n/d"))</f>
        <v/>
      </c>
      <c r="AA2375" s="59">
        <f>IF($T2375="","",IF(COUNTIF('Resumo Grupos'!$AE$3:$AE$40,$T2375)&gt;0,"NAO","SIM"))</f>
        <v/>
      </c>
    </row>
    <row r="2376" ht="12.75" customHeight="1" s="60">
      <c r="A2376" s="59" t="n">
        <v>1</v>
      </c>
      <c r="B2376" s="82" t="n">
        <v>46248</v>
      </c>
      <c r="C2376" s="82" t="n">
        <v>46265</v>
      </c>
      <c r="D2376" s="59" t="n">
        <v>1637</v>
      </c>
      <c r="E2376" s="59" t="inlineStr">
        <is>
          <t>ATACADAO S.A.</t>
        </is>
      </c>
      <c r="F2376" s="59" t="n">
        <v>24</v>
      </c>
      <c r="G2376" s="59" t="inlineStr">
        <is>
          <t>Compra a Prazo - Boletos</t>
        </is>
      </c>
      <c r="H2376" s="59" t="n">
        <v>2110405</v>
      </c>
      <c r="I2376" s="59" t="inlineStr">
        <is>
          <t>CONTAS A PAGAR</t>
        </is>
      </c>
      <c r="J2376" s="59" t="n">
        <v>1545601</v>
      </c>
      <c r="L2376" s="59" t="n">
        <v>1917922</v>
      </c>
      <c r="M2376" s="59" t="inlineStr">
        <is>
          <t>01</t>
        </is>
      </c>
      <c r="N2376" s="59" t="inlineStr">
        <is>
          <t>AVU</t>
        </is>
      </c>
      <c r="P2376" s="59" t="n">
        <v>103</v>
      </c>
      <c r="Q2376" s="59" t="inlineStr">
        <is>
          <t>MILKA FRANCIS</t>
        </is>
      </c>
      <c r="R2376" s="59" t="inlineStr">
        <is>
          <t>ESTOQUE DE MERCADORIAS</t>
        </is>
      </c>
      <c r="S2376" s="59" t="n">
        <v>1130101</v>
      </c>
      <c r="T2376" s="59" t="inlineStr">
        <is>
          <t>MERCADORIAS P/REVENDA</t>
        </is>
      </c>
      <c r="U2376" s="59" t="n">
        <v>836.8</v>
      </c>
      <c r="W2376" s="59" t="n">
        <v>0</v>
      </c>
      <c r="X2376" s="59" t="inlineStr">
        <is>
          <t>NF 1917922 - MILKA</t>
        </is>
      </c>
      <c r="Z2376" s="59">
        <f>IF($T2376="","",IFERROR(INDEX('Resumo Grupos'!$AC$3:$AC$200,MATCH($T2376,'Resumo Grupos'!$AB$3:$AB$200,0)),"n/d"))</f>
        <v/>
      </c>
      <c r="AA2376" s="59">
        <f>IF($T2376="","",IF(COUNTIF('Resumo Grupos'!$AE$3:$AE$40,$T2376)&gt;0,"NAO","SIM"))</f>
        <v/>
      </c>
    </row>
    <row r="2377" ht="12.75" customHeight="1" s="60">
      <c r="A2377" s="59" t="n">
        <v>1</v>
      </c>
      <c r="B2377" s="82" t="n">
        <v>46240</v>
      </c>
      <c r="C2377" s="82" t="n">
        <v>46265</v>
      </c>
      <c r="D2377" s="59" t="n">
        <v>1637</v>
      </c>
      <c r="E2377" s="59" t="inlineStr">
        <is>
          <t>ATACADAO S.A.</t>
        </is>
      </c>
      <c r="F2377" s="59" t="n">
        <v>24</v>
      </c>
      <c r="G2377" s="59" t="inlineStr">
        <is>
          <t>Compra a Prazo - Boletos</t>
        </is>
      </c>
      <c r="H2377" s="59" t="n">
        <v>2110405</v>
      </c>
      <c r="I2377" s="59" t="inlineStr">
        <is>
          <t>CONTAS A PAGAR</t>
        </is>
      </c>
      <c r="J2377" s="59" t="n">
        <v>1509615</v>
      </c>
      <c r="L2377" s="59" t="n">
        <v>1915888</v>
      </c>
      <c r="M2377" s="59" t="inlineStr">
        <is>
          <t>01</t>
        </is>
      </c>
      <c r="N2377" s="59" t="inlineStr">
        <is>
          <t>AVU</t>
        </is>
      </c>
      <c r="P2377" s="59" t="n">
        <v>103</v>
      </c>
      <c r="Q2377" s="59" t="inlineStr">
        <is>
          <t>MILKA FRANCIS</t>
        </is>
      </c>
      <c r="R2377" s="59" t="inlineStr">
        <is>
          <t>ESTOQUE DE MERCADORIAS</t>
        </is>
      </c>
      <c r="S2377" s="59" t="n">
        <v>1130101</v>
      </c>
      <c r="T2377" s="59" t="inlineStr">
        <is>
          <t>MERCADORIAS P/REVENDA</t>
        </is>
      </c>
      <c r="U2377" s="59" t="n">
        <v>2003.9</v>
      </c>
      <c r="W2377" s="59" t="n">
        <v>0</v>
      </c>
      <c r="X2377" s="59" t="inlineStr">
        <is>
          <t>NF 1915888 - MILKA</t>
        </is>
      </c>
      <c r="Z2377" s="59">
        <f>IF($T2377="","",IFERROR(INDEX('Resumo Grupos'!$AC$3:$AC$200,MATCH($T2377,'Resumo Grupos'!$AB$3:$AB$200,0)),"n/d"))</f>
        <v/>
      </c>
      <c r="AA2377" s="59">
        <f>IF($T2377="","",IF(COUNTIF('Resumo Grupos'!$AE$3:$AE$40,$T2377)&gt;0,"NAO","SIM"))</f>
        <v/>
      </c>
    </row>
    <row r="2378" ht="12.75" customHeight="1" s="60">
      <c r="A2378" s="59" t="n">
        <v>1</v>
      </c>
      <c r="B2378" s="82" t="n">
        <v>46240</v>
      </c>
      <c r="C2378" s="82" t="n">
        <v>46265</v>
      </c>
      <c r="D2378" s="59" t="n">
        <v>1637</v>
      </c>
      <c r="E2378" s="59" t="inlineStr">
        <is>
          <t>ATACADAO S.A.</t>
        </is>
      </c>
      <c r="F2378" s="59" t="n">
        <v>24</v>
      </c>
      <c r="G2378" s="59" t="inlineStr">
        <is>
          <t>Compra a Prazo - Boletos</t>
        </is>
      </c>
      <c r="H2378" s="59" t="n">
        <v>2110405</v>
      </c>
      <c r="I2378" s="59" t="inlineStr">
        <is>
          <t>CONTAS A PAGAR</t>
        </is>
      </c>
      <c r="J2378" s="59" t="n">
        <v>1509734</v>
      </c>
      <c r="L2378" s="59" t="n">
        <v>1915885</v>
      </c>
      <c r="M2378" s="59" t="inlineStr">
        <is>
          <t>01</t>
        </is>
      </c>
      <c r="N2378" s="59" t="inlineStr">
        <is>
          <t>AVU</t>
        </is>
      </c>
      <c r="P2378" s="59" t="n">
        <v>103</v>
      </c>
      <c r="Q2378" s="59" t="inlineStr">
        <is>
          <t>MILKA FRANCIS</t>
        </is>
      </c>
      <c r="R2378" s="59" t="inlineStr">
        <is>
          <t>ESTOQUE DE MERCADORIAS</t>
        </is>
      </c>
      <c r="S2378" s="59" t="n">
        <v>1130101</v>
      </c>
      <c r="T2378" s="59" t="inlineStr">
        <is>
          <t>MERCADORIAS P/REVENDA</t>
        </is>
      </c>
      <c r="U2378" s="59" t="n">
        <v>1795</v>
      </c>
      <c r="W2378" s="59" t="n">
        <v>0</v>
      </c>
      <c r="X2378" s="59" t="inlineStr">
        <is>
          <t>NF 1915885 - MILKA</t>
        </is>
      </c>
      <c r="Z2378" s="59">
        <f>IF($T2378="","",IFERROR(INDEX('Resumo Grupos'!$AC$3:$AC$200,MATCH($T2378,'Resumo Grupos'!$AB$3:$AB$200,0)),"n/d"))</f>
        <v/>
      </c>
      <c r="AA2378" s="59">
        <f>IF($T2378="","",IF(COUNTIF('Resumo Grupos'!$AE$3:$AE$40,$T2378)&gt;0,"NAO","SIM"))</f>
        <v/>
      </c>
    </row>
    <row r="2379" ht="12.75" customHeight="1" s="60">
      <c r="A2379" s="59" t="n">
        <v>1</v>
      </c>
      <c r="B2379" s="82" t="n">
        <v>46242</v>
      </c>
      <c r="C2379" s="82" t="n">
        <v>46265</v>
      </c>
      <c r="D2379" s="59" t="n">
        <v>957</v>
      </c>
      <c r="E2379" s="59" t="inlineStr">
        <is>
          <t>FUNNY PET DISTRIBUIDORA DE ALIMENTOS PAR</t>
        </is>
      </c>
      <c r="F2379" s="59" t="n">
        <v>24</v>
      </c>
      <c r="G2379" s="59" t="inlineStr">
        <is>
          <t>Compra a Prazo - Boletos</t>
        </is>
      </c>
      <c r="H2379" s="59" t="n">
        <v>2110405</v>
      </c>
      <c r="I2379" s="59" t="inlineStr">
        <is>
          <t>CONTAS A PAGAR</t>
        </is>
      </c>
      <c r="J2379" s="59" t="n">
        <v>1517801</v>
      </c>
      <c r="L2379" s="59" t="n">
        <v>21578</v>
      </c>
      <c r="M2379" s="59" t="inlineStr">
        <is>
          <t>01</t>
        </is>
      </c>
      <c r="N2379" s="59" t="inlineStr">
        <is>
          <t>AVU</t>
        </is>
      </c>
      <c r="P2379" s="59" t="n">
        <v>103</v>
      </c>
      <c r="Q2379" s="59" t="inlineStr">
        <is>
          <t>MILKA FRANCIS</t>
        </is>
      </c>
      <c r="R2379" s="59" t="inlineStr">
        <is>
          <t>ESTOQUE DE MERCADORIAS</t>
        </is>
      </c>
      <c r="S2379" s="59" t="n">
        <v>1130101</v>
      </c>
      <c r="T2379" s="59" t="inlineStr">
        <is>
          <t>MERCADORIAS P/REVENDA</t>
        </is>
      </c>
      <c r="U2379" s="59" t="n">
        <v>3429</v>
      </c>
      <c r="W2379" s="59" t="n">
        <v>0</v>
      </c>
      <c r="X2379" s="59" t="inlineStr">
        <is>
          <t>NF 21578-1 MILKA</t>
        </is>
      </c>
      <c r="Z2379" s="59">
        <f>IF($T2379="","",IFERROR(INDEX('Resumo Grupos'!$AC$3:$AC$200,MATCH($T2379,'Resumo Grupos'!$AB$3:$AB$200,0)),"n/d"))</f>
        <v/>
      </c>
      <c r="AA2379" s="59">
        <f>IF($T2379="","",IF(COUNTIF('Resumo Grupos'!$AE$3:$AE$40,$T2379)&gt;0,"NAO","SIM"))</f>
        <v/>
      </c>
    </row>
    <row r="2380" ht="12.75" customHeight="1" s="60">
      <c r="A2380" s="59" t="n">
        <v>1</v>
      </c>
      <c r="B2380" s="82" t="n">
        <v>46246</v>
      </c>
      <c r="C2380" s="82" t="n">
        <v>46265</v>
      </c>
      <c r="D2380" s="59" t="n">
        <v>1636</v>
      </c>
      <c r="E2380" s="59" t="inlineStr">
        <is>
          <t>DUNORTE DISTRIBUIDORA DE PRODUTOS DE CONSUMO LTDA</t>
        </is>
      </c>
      <c r="F2380" s="59" t="n">
        <v>24</v>
      </c>
      <c r="G2380" s="59" t="inlineStr">
        <is>
          <t>Compra a Prazo - Boletos</t>
        </is>
      </c>
      <c r="H2380" s="59" t="n">
        <v>2110405</v>
      </c>
      <c r="I2380" s="59" t="inlineStr">
        <is>
          <t>CONTAS A PAGAR</t>
        </is>
      </c>
      <c r="J2380" s="59" t="n">
        <v>1536369</v>
      </c>
      <c r="L2380" s="59" t="n">
        <v>3234290</v>
      </c>
      <c r="M2380" s="59" t="inlineStr">
        <is>
          <t>02</t>
        </is>
      </c>
      <c r="N2380" s="59" t="inlineStr">
        <is>
          <t>AVU</t>
        </is>
      </c>
      <c r="P2380" s="59" t="n">
        <v>103</v>
      </c>
      <c r="Q2380" s="59" t="inlineStr">
        <is>
          <t>MILKA FRANCIS</t>
        </is>
      </c>
      <c r="R2380" s="59" t="inlineStr">
        <is>
          <t>ESTOQUE DE MERCADORIAS</t>
        </is>
      </c>
      <c r="S2380" s="59" t="n">
        <v>1130101</v>
      </c>
      <c r="T2380" s="59" t="inlineStr">
        <is>
          <t>MERCADORIAS P/REVENDA</t>
        </is>
      </c>
      <c r="U2380" s="59" t="n">
        <v>727.99</v>
      </c>
      <c r="W2380" s="59" t="n">
        <v>0</v>
      </c>
      <c r="X2380" s="59" t="inlineStr">
        <is>
          <t>NF 3234290-2 C/TAXA INCLUSA - MILKA</t>
        </is>
      </c>
      <c r="Z2380" s="59">
        <f>IF($T2380="","",IFERROR(INDEX('Resumo Grupos'!$AC$3:$AC$200,MATCH($T2380,'Resumo Grupos'!$AB$3:$AB$200,0)),"n/d"))</f>
        <v/>
      </c>
      <c r="AA2380" s="59">
        <f>IF($T2380="","",IF(COUNTIF('Resumo Grupos'!$AE$3:$AE$40,$T2380)&gt;0,"NAO","SIM"))</f>
        <v/>
      </c>
    </row>
    <row r="2381" ht="12.75" customHeight="1" s="60">
      <c r="A2381" s="59" t="n">
        <v>1</v>
      </c>
      <c r="B2381" s="82" t="n">
        <v>46248</v>
      </c>
      <c r="C2381" s="82" t="n">
        <v>46265</v>
      </c>
      <c r="D2381" s="59" t="n">
        <v>1637</v>
      </c>
      <c r="E2381" s="59" t="inlineStr">
        <is>
          <t>ATACADAO S.A.</t>
        </is>
      </c>
      <c r="F2381" s="59" t="n">
        <v>24</v>
      </c>
      <c r="G2381" s="59" t="inlineStr">
        <is>
          <t>Compra a Prazo - Boletos</t>
        </is>
      </c>
      <c r="H2381" s="59" t="n">
        <v>2110405</v>
      </c>
      <c r="I2381" s="59" t="inlineStr">
        <is>
          <t>CONTAS A PAGAR</t>
        </is>
      </c>
      <c r="J2381" s="59" t="n">
        <v>1545729</v>
      </c>
      <c r="L2381" s="59" t="n">
        <v>1917925</v>
      </c>
      <c r="M2381" s="59" t="inlineStr">
        <is>
          <t>01</t>
        </is>
      </c>
      <c r="N2381" s="59" t="inlineStr">
        <is>
          <t>AVU</t>
        </is>
      </c>
      <c r="P2381" s="59" t="n">
        <v>103</v>
      </c>
      <c r="Q2381" s="59" t="inlineStr">
        <is>
          <t>MILKA FRANCIS</t>
        </is>
      </c>
      <c r="R2381" s="59" t="inlineStr">
        <is>
          <t>ESTOQUE DE MERCADORIAS</t>
        </is>
      </c>
      <c r="S2381" s="59" t="n">
        <v>1130101</v>
      </c>
      <c r="T2381" s="59" t="inlineStr">
        <is>
          <t>MERCADORIAS P/REVENDA</t>
        </is>
      </c>
      <c r="U2381" s="59" t="n">
        <v>428.17</v>
      </c>
      <c r="W2381" s="59" t="n">
        <v>0</v>
      </c>
      <c r="X2381" s="59" t="inlineStr">
        <is>
          <t>NF 1917925 - MILKA</t>
        </is>
      </c>
      <c r="Z2381" s="59">
        <f>IF($T2381="","",IFERROR(INDEX('Resumo Grupos'!$AC$3:$AC$200,MATCH($T2381,'Resumo Grupos'!$AB$3:$AB$200,0)),"n/d"))</f>
        <v/>
      </c>
      <c r="AA2381" s="59">
        <f>IF($T2381="","",IF(COUNTIF('Resumo Grupos'!$AE$3:$AE$40,$T2381)&gt;0,"NAO","SIM"))</f>
        <v/>
      </c>
    </row>
    <row r="2382" ht="12.75" customHeight="1" s="60">
      <c r="A2382" s="59" t="n">
        <v>1</v>
      </c>
      <c r="B2382" s="82" t="n">
        <v>46248</v>
      </c>
      <c r="C2382" s="82" t="n">
        <v>46265</v>
      </c>
      <c r="D2382" s="59" t="n">
        <v>1316</v>
      </c>
      <c r="E2382" s="59" t="inlineStr">
        <is>
          <t>VOVO DIZA COMERCIO VAREJISTA DE HORTALICAS LTDA</t>
        </is>
      </c>
      <c r="F2382" s="59" t="n">
        <v>34</v>
      </c>
      <c r="G2382" s="59" t="inlineStr">
        <is>
          <t>Transferencia Pix</t>
        </is>
      </c>
      <c r="H2382" s="59" t="n">
        <v>2110101</v>
      </c>
      <c r="I2382" s="59" t="inlineStr">
        <is>
          <t>FORNECEDORES DE MERCADORIA</t>
        </is>
      </c>
      <c r="J2382" s="59" t="n">
        <v>1545881</v>
      </c>
      <c r="L2382" s="59" t="n">
        <v>4092</v>
      </c>
      <c r="M2382" s="59" t="inlineStr">
        <is>
          <t>01</t>
        </is>
      </c>
      <c r="N2382" s="59" t="inlineStr">
        <is>
          <t>NFE</t>
        </is>
      </c>
      <c r="P2382" s="59" t="n">
        <v>104</v>
      </c>
      <c r="Q2382" s="59" t="inlineStr">
        <is>
          <t>DEBORA COSTA</t>
        </is>
      </c>
      <c r="R2382" s="59" t="inlineStr">
        <is>
          <t>ESTOQUE DE MERCADORIAS</t>
        </is>
      </c>
      <c r="S2382" s="59" t="n">
        <v>1130101</v>
      </c>
      <c r="T2382" s="59" t="inlineStr">
        <is>
          <t>MERCADORIAS P/REVENDA</t>
        </is>
      </c>
      <c r="U2382" s="59" t="n">
        <v>200</v>
      </c>
      <c r="W2382" s="59" t="n">
        <v>0</v>
      </c>
      <c r="X2382" s="59" t="inlineStr">
        <is>
          <t>NF 4092 - DEBORA</t>
        </is>
      </c>
      <c r="Z2382" s="59">
        <f>IF($T2382="","",IFERROR(INDEX('Resumo Grupos'!$AC$3:$AC$200,MATCH($T2382,'Resumo Grupos'!$AB$3:$AB$200,0)),"n/d"))</f>
        <v/>
      </c>
      <c r="AA2382" s="59">
        <f>IF($T2382="","",IF(COUNTIF('Resumo Grupos'!$AE$3:$AE$40,$T2382)&gt;0,"NAO","SIM"))</f>
        <v/>
      </c>
    </row>
    <row r="2383" ht="12.75" customHeight="1" s="60">
      <c r="A2383" s="59" t="n">
        <v>1</v>
      </c>
      <c r="B2383" s="82" t="n">
        <v>46248</v>
      </c>
      <c r="C2383" s="82" t="n">
        <v>46265</v>
      </c>
      <c r="D2383" s="59" t="n">
        <v>1699</v>
      </c>
      <c r="E2383" s="59" t="inlineStr">
        <is>
          <t>L S M COMERCIO DE ALIMENTOS E NAVEGACAO</t>
        </is>
      </c>
      <c r="F2383" s="59" t="n">
        <v>24</v>
      </c>
      <c r="G2383" s="59" t="inlineStr">
        <is>
          <t>Compra a Prazo - Boletos</t>
        </is>
      </c>
      <c r="H2383" s="59" t="n">
        <v>2110405</v>
      </c>
      <c r="I2383" s="59" t="inlineStr">
        <is>
          <t>CONTAS A PAGAR</t>
        </is>
      </c>
      <c r="J2383" s="59" t="n">
        <v>1545933</v>
      </c>
      <c r="L2383" s="59" t="n">
        <v>311117</v>
      </c>
      <c r="M2383" s="59" t="inlineStr">
        <is>
          <t>01</t>
        </is>
      </c>
      <c r="N2383" s="59" t="inlineStr">
        <is>
          <t>AVU</t>
        </is>
      </c>
      <c r="P2383" s="59" t="n">
        <v>103</v>
      </c>
      <c r="Q2383" s="59" t="inlineStr">
        <is>
          <t>MILKA FRANCIS</t>
        </is>
      </c>
      <c r="R2383" s="59" t="inlineStr">
        <is>
          <t>ESTOQUE DE MERCADORIAS</t>
        </is>
      </c>
      <c r="S2383" s="59" t="n">
        <v>1130101</v>
      </c>
      <c r="T2383" s="59" t="inlineStr">
        <is>
          <t>MERCADORIAS P/REVENDA</t>
        </is>
      </c>
      <c r="U2383" s="59" t="n">
        <v>1256.37</v>
      </c>
      <c r="W2383" s="59" t="n">
        <v>0</v>
      </c>
      <c r="X2383" s="59" t="inlineStr">
        <is>
          <t>NF 311117-1 MILKA</t>
        </is>
      </c>
      <c r="Z2383" s="59">
        <f>IF($T2383="","",IFERROR(INDEX('Resumo Grupos'!$AC$3:$AC$200,MATCH($T2383,'Resumo Grupos'!$AB$3:$AB$200,0)),"n/d"))</f>
        <v/>
      </c>
      <c r="AA2383" s="59">
        <f>IF($T2383="","",IF(COUNTIF('Resumo Grupos'!$AE$3:$AE$40,$T2383)&gt;0,"NAO","SIM"))</f>
        <v/>
      </c>
    </row>
    <row r="2384" ht="12.75" customHeight="1" s="60">
      <c r="A2384" s="59" t="n">
        <v>1</v>
      </c>
      <c r="B2384" s="82" t="n">
        <v>46252</v>
      </c>
      <c r="C2384" s="82" t="n">
        <v>46265</v>
      </c>
      <c r="D2384" s="59" t="n">
        <v>1196</v>
      </c>
      <c r="E2384" s="59" t="inlineStr">
        <is>
          <t>VICTORIA COMERCIO INTERNACIONAL DE ALIME</t>
        </is>
      </c>
      <c r="F2384" s="59" t="n">
        <v>24</v>
      </c>
      <c r="G2384" s="59" t="inlineStr">
        <is>
          <t>Compra a Prazo - Boletos</t>
        </is>
      </c>
      <c r="H2384" s="59" t="n">
        <v>2110405</v>
      </c>
      <c r="I2384" s="59" t="inlineStr">
        <is>
          <t>CONTAS A PAGAR</t>
        </is>
      </c>
      <c r="J2384" s="59" t="n">
        <v>1567568</v>
      </c>
      <c r="L2384" s="59" t="n">
        <v>12863</v>
      </c>
      <c r="M2384" s="59" t="inlineStr">
        <is>
          <t>01</t>
        </is>
      </c>
      <c r="N2384" s="59" t="inlineStr">
        <is>
          <t>AVU</t>
        </is>
      </c>
      <c r="P2384" s="59" t="n">
        <v>103</v>
      </c>
      <c r="Q2384" s="59" t="inlineStr">
        <is>
          <t>MILKA FRANCIS</t>
        </is>
      </c>
      <c r="R2384" s="59" t="inlineStr">
        <is>
          <t>ESTOQUE DE MERCADORIAS</t>
        </is>
      </c>
      <c r="S2384" s="59" t="n">
        <v>1130101</v>
      </c>
      <c r="T2384" s="59" t="inlineStr">
        <is>
          <t>MERCADORIAS P/REVENDA</t>
        </is>
      </c>
      <c r="U2384" s="59" t="n">
        <v>919.35</v>
      </c>
      <c r="W2384" s="59" t="n">
        <v>0</v>
      </c>
      <c r="X2384" s="59" t="inlineStr">
        <is>
          <t>13480-A/B  NF12863 - MILKA</t>
        </is>
      </c>
      <c r="Z2384" s="59">
        <f>IF($T2384="","",IFERROR(INDEX('Resumo Grupos'!$AC$3:$AC$200,MATCH($T2384,'Resumo Grupos'!$AB$3:$AB$200,0)),"n/d"))</f>
        <v/>
      </c>
      <c r="AA2384" s="59">
        <f>IF($T2384="","",IF(COUNTIF('Resumo Grupos'!$AE$3:$AE$40,$T2384)&gt;0,"NAO","SIM"))</f>
        <v/>
      </c>
    </row>
    <row r="2385" ht="12.75" customHeight="1" s="60">
      <c r="A2385" s="59" t="n">
        <v>1</v>
      </c>
      <c r="B2385" s="82" t="n">
        <v>46252</v>
      </c>
      <c r="C2385" s="82" t="n">
        <v>46265</v>
      </c>
      <c r="D2385" s="59" t="n">
        <v>1666</v>
      </c>
      <c r="E2385" s="59" t="inlineStr">
        <is>
          <t>SOUZA CRUZ LTDA.</t>
        </is>
      </c>
      <c r="F2385" s="59" t="n">
        <v>24</v>
      </c>
      <c r="G2385" s="59" t="inlineStr">
        <is>
          <t>Compra a Prazo - Boletos</t>
        </is>
      </c>
      <c r="H2385" s="59" t="n">
        <v>2110405</v>
      </c>
      <c r="I2385" s="59" t="inlineStr">
        <is>
          <t>CONTAS A PAGAR</t>
        </is>
      </c>
      <c r="J2385" s="59" t="n">
        <v>1567634</v>
      </c>
      <c r="L2385" s="59" t="n">
        <v>570378</v>
      </c>
      <c r="M2385" s="59" t="inlineStr">
        <is>
          <t>02</t>
        </is>
      </c>
      <c r="N2385" s="59" t="inlineStr">
        <is>
          <t>AVU</t>
        </is>
      </c>
      <c r="P2385" s="59" t="n">
        <v>103</v>
      </c>
      <c r="Q2385" s="59" t="inlineStr">
        <is>
          <t>MILKA FRANCIS</t>
        </is>
      </c>
      <c r="R2385" s="59" t="inlineStr">
        <is>
          <t>ESTOQUE DE MERCADORIAS</t>
        </is>
      </c>
      <c r="S2385" s="59" t="n">
        <v>1130101</v>
      </c>
      <c r="T2385" s="59" t="inlineStr">
        <is>
          <t>MERCADORIAS P/REVENDA</t>
        </is>
      </c>
      <c r="U2385" s="59" t="n">
        <v>6804.61</v>
      </c>
      <c r="W2385" s="59" t="n">
        <v>0</v>
      </c>
      <c r="X2385" s="59" t="inlineStr">
        <is>
          <t>NF 586417 -02 MILKA</t>
        </is>
      </c>
      <c r="Z2385" s="59">
        <f>IF($T2385="","",IFERROR(INDEX('Resumo Grupos'!$AC$3:$AC$200,MATCH($T2385,'Resumo Grupos'!$AB$3:$AB$200,0)),"n/d"))</f>
        <v/>
      </c>
      <c r="AA2385" s="59">
        <f>IF($T2385="","",IF(COUNTIF('Resumo Grupos'!$AE$3:$AE$40,$T2385)&gt;0,"NAO","SIM"))</f>
        <v/>
      </c>
    </row>
    <row r="2386" ht="12.75" customHeight="1" s="60">
      <c r="A2386" s="59" t="n">
        <v>1</v>
      </c>
      <c r="B2386" s="82" t="n">
        <v>46249</v>
      </c>
      <c r="C2386" s="82" t="n">
        <v>46265</v>
      </c>
      <c r="D2386" s="59" t="n">
        <v>1683</v>
      </c>
      <c r="E2386" s="59" t="inlineStr">
        <is>
          <t>EDSON AGUIAR DE SOUZA</t>
        </is>
      </c>
      <c r="F2386" s="59" t="n">
        <v>34</v>
      </c>
      <c r="G2386" s="59" t="inlineStr">
        <is>
          <t>Transferencia Pix</t>
        </is>
      </c>
      <c r="H2386" s="59" t="n">
        <v>2110101</v>
      </c>
      <c r="I2386" s="59" t="inlineStr">
        <is>
          <t>FORNECEDORES DE MERCADORIA</t>
        </is>
      </c>
      <c r="J2386" s="59" t="n">
        <v>1573160</v>
      </c>
      <c r="L2386" s="59" t="n">
        <v>1664733</v>
      </c>
      <c r="M2386" s="59" t="inlineStr">
        <is>
          <t>01</t>
        </is>
      </c>
      <c r="N2386" s="59" t="inlineStr">
        <is>
          <t>NFE</t>
        </is>
      </c>
      <c r="P2386" s="59" t="n">
        <v>104</v>
      </c>
      <c r="Q2386" s="59" t="inlineStr">
        <is>
          <t>DEBORA COSTA</t>
        </is>
      </c>
      <c r="R2386" s="59" t="inlineStr">
        <is>
          <t>ESTOQUE DE MERCADORIAS</t>
        </is>
      </c>
      <c r="S2386" s="59" t="n">
        <v>1130101</v>
      </c>
      <c r="T2386" s="59" t="inlineStr">
        <is>
          <t>MERCADORIAS P/REVENDA</t>
        </is>
      </c>
      <c r="U2386" s="59" t="n">
        <v>210</v>
      </c>
      <c r="W2386" s="59" t="n">
        <v>0</v>
      </c>
      <c r="X2386" s="59" t="inlineStr">
        <is>
          <t>NF 1664733 - DEBORA</t>
        </is>
      </c>
      <c r="Z2386" s="59">
        <f>IF($T2386="","",IFERROR(INDEX('Resumo Grupos'!$AC$3:$AC$200,MATCH($T2386,'Resumo Grupos'!$AB$3:$AB$200,0)),"n/d"))</f>
        <v/>
      </c>
      <c r="AA2386" s="59">
        <f>IF($T2386="","",IF(COUNTIF('Resumo Grupos'!$AE$3:$AE$40,$T2386)&gt;0,"NAO","SIM"))</f>
        <v/>
      </c>
    </row>
    <row r="2387" ht="12.75" customHeight="1" s="60">
      <c r="A2387" s="59" t="n">
        <v>1</v>
      </c>
      <c r="B2387" s="82" t="n">
        <v>46252</v>
      </c>
      <c r="C2387" s="82" t="n">
        <v>46265</v>
      </c>
      <c r="D2387" s="59" t="n">
        <v>1683</v>
      </c>
      <c r="E2387" s="59" t="inlineStr">
        <is>
          <t>EDSON AGUIAR DE SOUZA</t>
        </is>
      </c>
      <c r="F2387" s="59" t="n">
        <v>34</v>
      </c>
      <c r="G2387" s="59" t="inlineStr">
        <is>
          <t>Transferencia Pix</t>
        </is>
      </c>
      <c r="H2387" s="59" t="n">
        <v>2110101</v>
      </c>
      <c r="I2387" s="59" t="inlineStr">
        <is>
          <t>FORNECEDORES DE MERCADORIA</t>
        </is>
      </c>
      <c r="J2387" s="59" t="n">
        <v>1573198</v>
      </c>
      <c r="L2387" s="59" t="n">
        <v>1666320</v>
      </c>
      <c r="M2387" s="59" t="inlineStr">
        <is>
          <t>01</t>
        </is>
      </c>
      <c r="N2387" s="59" t="inlineStr">
        <is>
          <t>NFE</t>
        </is>
      </c>
      <c r="P2387" s="59" t="n">
        <v>104</v>
      </c>
      <c r="Q2387" s="59" t="inlineStr">
        <is>
          <t>DEBORA COSTA</t>
        </is>
      </c>
      <c r="R2387" s="59" t="inlineStr">
        <is>
          <t>ESTOQUE DE MERCADORIAS</t>
        </is>
      </c>
      <c r="S2387" s="59" t="n">
        <v>1130101</v>
      </c>
      <c r="T2387" s="59" t="inlineStr">
        <is>
          <t>MERCADORIAS P/REVENDA</t>
        </is>
      </c>
      <c r="U2387" s="59" t="n">
        <v>210</v>
      </c>
      <c r="W2387" s="59" t="n">
        <v>0</v>
      </c>
      <c r="X2387" s="59" t="inlineStr">
        <is>
          <t>NF 1666320 - DEBORA</t>
        </is>
      </c>
      <c r="Z2387" s="59">
        <f>IF($T2387="","",IFERROR(INDEX('Resumo Grupos'!$AC$3:$AC$200,MATCH($T2387,'Resumo Grupos'!$AB$3:$AB$200,0)),"n/d"))</f>
        <v/>
      </c>
      <c r="AA2387" s="59">
        <f>IF($T2387="","",IF(COUNTIF('Resumo Grupos'!$AE$3:$AE$40,$T2387)&gt;0,"NAO","SIM"))</f>
        <v/>
      </c>
    </row>
    <row r="2388" ht="12.75" customHeight="1" s="60">
      <c r="A2388" s="59" t="n">
        <v>1</v>
      </c>
      <c r="B2388" s="82" t="n">
        <v>46253</v>
      </c>
      <c r="C2388" s="82" t="n">
        <v>46265</v>
      </c>
      <c r="D2388" s="59" t="n">
        <v>1683</v>
      </c>
      <c r="E2388" s="59" t="inlineStr">
        <is>
          <t>EDSON AGUIAR DE SOUZA</t>
        </is>
      </c>
      <c r="F2388" s="59" t="n">
        <v>34</v>
      </c>
      <c r="G2388" s="59" t="inlineStr">
        <is>
          <t>Transferencia Pix</t>
        </is>
      </c>
      <c r="H2388" s="59" t="n">
        <v>2110101</v>
      </c>
      <c r="I2388" s="59" t="inlineStr">
        <is>
          <t>FORNECEDORES DE MERCADORIA</t>
        </is>
      </c>
      <c r="J2388" s="59" t="n">
        <v>1573284</v>
      </c>
      <c r="L2388" s="59" t="n">
        <v>1666896</v>
      </c>
      <c r="M2388" s="59" t="inlineStr">
        <is>
          <t>01</t>
        </is>
      </c>
      <c r="N2388" s="59" t="inlineStr">
        <is>
          <t>NFE</t>
        </is>
      </c>
      <c r="P2388" s="59" t="n">
        <v>104</v>
      </c>
      <c r="Q2388" s="59" t="inlineStr">
        <is>
          <t>DEBORA COSTA</t>
        </is>
      </c>
      <c r="R2388" s="59" t="inlineStr">
        <is>
          <t>ESTOQUE DE MERCADORIAS</t>
        </is>
      </c>
      <c r="S2388" s="59" t="n">
        <v>1130101</v>
      </c>
      <c r="T2388" s="59" t="inlineStr">
        <is>
          <t>MERCADORIAS P/REVENDA</t>
        </is>
      </c>
      <c r="U2388" s="59" t="n">
        <v>246</v>
      </c>
      <c r="W2388" s="59" t="n">
        <v>0</v>
      </c>
      <c r="X2388" s="59" t="inlineStr">
        <is>
          <t>NF 1666896 - DEBORA</t>
        </is>
      </c>
      <c r="Z2388" s="59">
        <f>IF($T2388="","",IFERROR(INDEX('Resumo Grupos'!$AC$3:$AC$200,MATCH($T2388,'Resumo Grupos'!$AB$3:$AB$200,0)),"n/d"))</f>
        <v/>
      </c>
      <c r="AA2388" s="59">
        <f>IF($T2388="","",IF(COUNTIF('Resumo Grupos'!$AE$3:$AE$40,$T2388)&gt;0,"NAO","SIM"))</f>
        <v/>
      </c>
    </row>
    <row r="2389" ht="12.75" customHeight="1" s="60">
      <c r="A2389" s="59" t="n">
        <v>1</v>
      </c>
      <c r="B2389" s="82" t="n">
        <v>46254</v>
      </c>
      <c r="C2389" s="82" t="n">
        <v>46265</v>
      </c>
      <c r="D2389" s="59" t="n">
        <v>1626</v>
      </c>
      <c r="E2389" s="59" t="inlineStr">
        <is>
          <t>FENNIX BRASIL DISTRIBUIDORA DE PRODUTOS</t>
        </is>
      </c>
      <c r="F2389" s="59" t="n">
        <v>24</v>
      </c>
      <c r="G2389" s="59" t="inlineStr">
        <is>
          <t>Compra a Prazo - Boletos</t>
        </is>
      </c>
      <c r="H2389" s="59" t="n">
        <v>2110405</v>
      </c>
      <c r="I2389" s="59" t="inlineStr">
        <is>
          <t>CONTAS A PAGAR</t>
        </is>
      </c>
      <c r="J2389" s="59" t="n">
        <v>1575983</v>
      </c>
      <c r="L2389" s="59" t="n">
        <v>317365</v>
      </c>
      <c r="M2389" s="59" t="inlineStr">
        <is>
          <t>01</t>
        </is>
      </c>
      <c r="N2389" s="59" t="inlineStr">
        <is>
          <t>AVU</t>
        </is>
      </c>
      <c r="P2389" s="59" t="n">
        <v>103</v>
      </c>
      <c r="Q2389" s="59" t="inlineStr">
        <is>
          <t>MILKA FRANCIS</t>
        </is>
      </c>
      <c r="R2389" s="59" t="inlineStr">
        <is>
          <t>ESTOQUE DE MERCADORIAS</t>
        </is>
      </c>
      <c r="S2389" s="59" t="n">
        <v>1130101</v>
      </c>
      <c r="T2389" s="59" t="inlineStr">
        <is>
          <t>MERCADORIAS P/REVENDA</t>
        </is>
      </c>
      <c r="U2389" s="59" t="n">
        <v>989.33</v>
      </c>
      <c r="W2389" s="59" t="n">
        <v>0</v>
      </c>
      <c r="X2389" s="59" t="inlineStr">
        <is>
          <t>NF 317365-1 MILKA</t>
        </is>
      </c>
      <c r="Z2389" s="59">
        <f>IF($T2389="","",IFERROR(INDEX('Resumo Grupos'!$AC$3:$AC$200,MATCH($T2389,'Resumo Grupos'!$AB$3:$AB$200,0)),"n/d"))</f>
        <v/>
      </c>
      <c r="AA2389" s="59">
        <f>IF($T2389="","",IF(COUNTIF('Resumo Grupos'!$AE$3:$AE$40,$T2389)&gt;0,"NAO","SIM"))</f>
        <v/>
      </c>
    </row>
    <row r="2390" ht="12.75" customHeight="1" s="60">
      <c r="A2390" s="59" t="n">
        <v>1</v>
      </c>
      <c r="B2390" s="82" t="n">
        <v>46255</v>
      </c>
      <c r="C2390" s="82" t="n">
        <v>46265</v>
      </c>
      <c r="D2390" s="59" t="n">
        <v>1114</v>
      </c>
      <c r="E2390" s="59" t="inlineStr">
        <is>
          <t>NT INDUSTRIA E COMERCIO DE PANIFICACAO L</t>
        </is>
      </c>
      <c r="F2390" s="59" t="n">
        <v>24</v>
      </c>
      <c r="G2390" s="59" t="inlineStr">
        <is>
          <t>Compra a Prazo - Boletos</t>
        </is>
      </c>
      <c r="H2390" s="59" t="n">
        <v>2110405</v>
      </c>
      <c r="I2390" s="59" t="inlineStr">
        <is>
          <t>CONTAS A PAGAR</t>
        </is>
      </c>
      <c r="J2390" s="59" t="n">
        <v>1580351</v>
      </c>
      <c r="L2390" s="59" t="n">
        <v>44111</v>
      </c>
      <c r="M2390" s="59" t="inlineStr">
        <is>
          <t>01</t>
        </is>
      </c>
      <c r="N2390" s="59" t="inlineStr">
        <is>
          <t>AVU</t>
        </is>
      </c>
      <c r="P2390" s="59" t="n">
        <v>103</v>
      </c>
      <c r="Q2390" s="59" t="inlineStr">
        <is>
          <t>MILKA FRANCIS</t>
        </is>
      </c>
      <c r="R2390" s="59" t="inlineStr">
        <is>
          <t>ESTOQUE DE MERCADORIAS</t>
        </is>
      </c>
      <c r="S2390" s="59" t="n">
        <v>1130101</v>
      </c>
      <c r="T2390" s="59" t="inlineStr">
        <is>
          <t>MERCADORIAS P/REVENDA</t>
        </is>
      </c>
      <c r="U2390" s="59" t="n">
        <v>3978.43</v>
      </c>
      <c r="W2390" s="59" t="n">
        <v>0</v>
      </c>
      <c r="X2390" s="59" t="inlineStr">
        <is>
          <t>NF 44111 - MILKA</t>
        </is>
      </c>
      <c r="Z2390" s="59">
        <f>IF($T2390="","",IFERROR(INDEX('Resumo Grupos'!$AC$3:$AC$200,MATCH($T2390,'Resumo Grupos'!$AB$3:$AB$200,0)),"n/d"))</f>
        <v/>
      </c>
      <c r="AA2390" s="59">
        <f>IF($T2390="","",IF(COUNTIF('Resumo Grupos'!$AE$3:$AE$40,$T2390)&gt;0,"NAO","SIM"))</f>
        <v/>
      </c>
    </row>
    <row r="2391" ht="12.75" customHeight="1" s="60">
      <c r="A2391" s="59" t="n">
        <v>1</v>
      </c>
      <c r="B2391" s="82" t="n">
        <v>46254</v>
      </c>
      <c r="C2391" s="82" t="n">
        <v>46265</v>
      </c>
      <c r="D2391" s="59" t="n">
        <v>1316</v>
      </c>
      <c r="E2391" s="59" t="inlineStr">
        <is>
          <t>VOVO DIZA COMERCIO VAREJISTA DE HORTALICAS LTDA</t>
        </is>
      </c>
      <c r="F2391" s="59" t="n">
        <v>34</v>
      </c>
      <c r="G2391" s="59" t="inlineStr">
        <is>
          <t>Transferencia Pix</t>
        </is>
      </c>
      <c r="H2391" s="59" t="n">
        <v>2110101</v>
      </c>
      <c r="I2391" s="59" t="inlineStr">
        <is>
          <t>FORNECEDORES DE MERCADORIA</t>
        </is>
      </c>
      <c r="J2391" s="59" t="n">
        <v>1580655</v>
      </c>
      <c r="L2391" s="59" t="n">
        <v>4136</v>
      </c>
      <c r="M2391" s="59" t="inlineStr">
        <is>
          <t>01</t>
        </is>
      </c>
      <c r="N2391" s="59" t="inlineStr">
        <is>
          <t>NFE</t>
        </is>
      </c>
      <c r="P2391" s="59" t="n">
        <v>104</v>
      </c>
      <c r="Q2391" s="59" t="inlineStr">
        <is>
          <t>DEBORA COSTA</t>
        </is>
      </c>
      <c r="R2391" s="59" t="inlineStr">
        <is>
          <t>ESTOQUE DE MERCADORIAS</t>
        </is>
      </c>
      <c r="S2391" s="59" t="n">
        <v>1130101</v>
      </c>
      <c r="T2391" s="59" t="inlineStr">
        <is>
          <t>MERCADORIAS P/REVENDA</t>
        </is>
      </c>
      <c r="U2391" s="59" t="n">
        <v>184</v>
      </c>
      <c r="W2391" s="59" t="n">
        <v>0</v>
      </c>
      <c r="X2391" s="59" t="inlineStr">
        <is>
          <t>NF 4136 - DEBORA</t>
        </is>
      </c>
      <c r="Z2391" s="59">
        <f>IF($T2391="","",IFERROR(INDEX('Resumo Grupos'!$AC$3:$AC$200,MATCH($T2391,'Resumo Grupos'!$AB$3:$AB$200,0)),"n/d"))</f>
        <v/>
      </c>
      <c r="AA2391" s="59">
        <f>IF($T2391="","",IF(COUNTIF('Resumo Grupos'!$AE$3:$AE$40,$T2391)&gt;0,"NAO","SIM"))</f>
        <v/>
      </c>
    </row>
    <row r="2392" ht="12.75" customHeight="1" s="60">
      <c r="A2392" s="59" t="n">
        <v>1</v>
      </c>
      <c r="B2392" s="82" t="n">
        <v>46255</v>
      </c>
      <c r="C2392" s="82" t="n">
        <v>46265</v>
      </c>
      <c r="D2392" s="59" t="n">
        <v>1616</v>
      </c>
      <c r="E2392" s="59" t="inlineStr">
        <is>
          <t>DURAES DISTRIBUIDORA DE ESTIVAS LTDA</t>
        </is>
      </c>
      <c r="F2392" s="59" t="n">
        <v>24</v>
      </c>
      <c r="G2392" s="59" t="inlineStr">
        <is>
          <t>Compra a Prazo - Boletos</t>
        </is>
      </c>
      <c r="H2392" s="59" t="n">
        <v>2110405</v>
      </c>
      <c r="I2392" s="59" t="inlineStr">
        <is>
          <t>CONTAS A PAGAR</t>
        </is>
      </c>
      <c r="J2392" s="59" t="n">
        <v>1580725</v>
      </c>
      <c r="L2392" s="59" t="n">
        <v>654916</v>
      </c>
      <c r="M2392" s="59" t="inlineStr">
        <is>
          <t>01</t>
        </is>
      </c>
      <c r="N2392" s="59" t="inlineStr">
        <is>
          <t>AVU</t>
        </is>
      </c>
      <c r="P2392" s="59" t="n">
        <v>103</v>
      </c>
      <c r="Q2392" s="59" t="inlineStr">
        <is>
          <t>MILKA FRANCIS</t>
        </is>
      </c>
      <c r="R2392" s="59" t="inlineStr">
        <is>
          <t>ESTOQUE DE MERCADORIAS</t>
        </is>
      </c>
      <c r="S2392" s="59" t="n">
        <v>1130101</v>
      </c>
      <c r="T2392" s="59" t="inlineStr">
        <is>
          <t>MERCADORIAS P/REVENDA</t>
        </is>
      </c>
      <c r="U2392" s="59" t="n">
        <v>431.25</v>
      </c>
      <c r="W2392" s="59" t="n">
        <v>0</v>
      </c>
      <c r="X2392" s="59" t="inlineStr">
        <is>
          <t>NF 654916 - MILKA</t>
        </is>
      </c>
      <c r="Z2392" s="59">
        <f>IF($T2392="","",IFERROR(INDEX('Resumo Grupos'!$AC$3:$AC$200,MATCH($T2392,'Resumo Grupos'!$AB$3:$AB$200,0)),"n/d"))</f>
        <v/>
      </c>
      <c r="AA2392" s="59">
        <f>IF($T2392="","",IF(COUNTIF('Resumo Grupos'!$AE$3:$AE$40,$T2392)&gt;0,"NAO","SIM"))</f>
        <v/>
      </c>
    </row>
    <row r="2393" ht="12.75" customHeight="1" s="60">
      <c r="A2393" s="59" t="n">
        <v>1</v>
      </c>
      <c r="B2393" s="82" t="n">
        <v>46255</v>
      </c>
      <c r="C2393" s="82" t="n">
        <v>46265</v>
      </c>
      <c r="D2393" s="59" t="n">
        <v>1616</v>
      </c>
      <c r="E2393" s="59" t="inlineStr">
        <is>
          <t>DURAES DISTRIBUIDORA DE ESTIVAS LTDA</t>
        </is>
      </c>
      <c r="F2393" s="59" t="n">
        <v>24</v>
      </c>
      <c r="G2393" s="59" t="inlineStr">
        <is>
          <t>Compra a Prazo - Boletos</t>
        </is>
      </c>
      <c r="H2393" s="59" t="n">
        <v>2110405</v>
      </c>
      <c r="I2393" s="59" t="inlineStr">
        <is>
          <t>CONTAS A PAGAR</t>
        </is>
      </c>
      <c r="J2393" s="59" t="n">
        <v>1580851</v>
      </c>
      <c r="L2393" s="59" t="n">
        <v>654912</v>
      </c>
      <c r="M2393" s="59" t="inlineStr">
        <is>
          <t>01</t>
        </is>
      </c>
      <c r="N2393" s="59" t="inlineStr">
        <is>
          <t>AVU</t>
        </is>
      </c>
      <c r="P2393" s="59" t="n">
        <v>103</v>
      </c>
      <c r="Q2393" s="59" t="inlineStr">
        <is>
          <t>MILKA FRANCIS</t>
        </is>
      </c>
      <c r="R2393" s="59" t="inlineStr">
        <is>
          <t>ESTOQUE DE MERCADORIAS</t>
        </is>
      </c>
      <c r="S2393" s="59" t="n">
        <v>1130101</v>
      </c>
      <c r="T2393" s="59" t="inlineStr">
        <is>
          <t>MERCADORIAS P/REVENDA</t>
        </is>
      </c>
      <c r="U2393" s="59" t="n">
        <v>573.73</v>
      </c>
      <c r="W2393" s="59" t="n">
        <v>0</v>
      </c>
      <c r="X2393" s="59" t="inlineStr">
        <is>
          <t>NF 654912-1 MILKA</t>
        </is>
      </c>
      <c r="Z2393" s="59">
        <f>IF($T2393="","",IFERROR(INDEX('Resumo Grupos'!$AC$3:$AC$200,MATCH($T2393,'Resumo Grupos'!$AB$3:$AB$200,0)),"n/d"))</f>
        <v/>
      </c>
      <c r="AA2393" s="59">
        <f>IF($T2393="","",IF(COUNTIF('Resumo Grupos'!$AE$3:$AE$40,$T2393)&gt;0,"NAO","SIM"))</f>
        <v/>
      </c>
    </row>
    <row r="2394" ht="12.75" customHeight="1" s="60">
      <c r="A2394" s="59" t="n">
        <v>1</v>
      </c>
      <c r="B2394" s="82" t="n">
        <v>46255</v>
      </c>
      <c r="C2394" s="82" t="n">
        <v>46265</v>
      </c>
      <c r="D2394" s="59" t="n">
        <v>1616</v>
      </c>
      <c r="E2394" s="59" t="inlineStr">
        <is>
          <t>DURAES DISTRIBUIDORA DE ESTIVAS LTDA</t>
        </is>
      </c>
      <c r="F2394" s="59" t="n">
        <v>24</v>
      </c>
      <c r="G2394" s="59" t="inlineStr">
        <is>
          <t>Compra a Prazo - Boletos</t>
        </is>
      </c>
      <c r="H2394" s="59" t="n">
        <v>2110405</v>
      </c>
      <c r="I2394" s="59" t="inlineStr">
        <is>
          <t>CONTAS A PAGAR</t>
        </is>
      </c>
      <c r="J2394" s="59" t="n">
        <v>1581039</v>
      </c>
      <c r="L2394" s="59" t="n">
        <v>654913</v>
      </c>
      <c r="M2394" s="59" t="inlineStr">
        <is>
          <t>01</t>
        </is>
      </c>
      <c r="N2394" s="59" t="inlineStr">
        <is>
          <t>AVU</t>
        </is>
      </c>
      <c r="P2394" s="59" t="n">
        <v>103</v>
      </c>
      <c r="Q2394" s="59" t="inlineStr">
        <is>
          <t>MILKA FRANCIS</t>
        </is>
      </c>
      <c r="R2394" s="59" t="inlineStr">
        <is>
          <t>ESTOQUE DE MERCADORIAS</t>
        </is>
      </c>
      <c r="S2394" s="59" t="n">
        <v>1130101</v>
      </c>
      <c r="T2394" s="59" t="inlineStr">
        <is>
          <t>MERCADORIAS P/REVENDA</t>
        </is>
      </c>
      <c r="U2394" s="59" t="n">
        <v>759.74</v>
      </c>
      <c r="W2394" s="59" t="n">
        <v>0</v>
      </c>
      <c r="X2394" s="59" t="inlineStr">
        <is>
          <t>NF 654913-1  MILKA</t>
        </is>
      </c>
      <c r="Z2394" s="59">
        <f>IF($T2394="","",IFERROR(INDEX('Resumo Grupos'!$AC$3:$AC$200,MATCH($T2394,'Resumo Grupos'!$AB$3:$AB$200,0)),"n/d"))</f>
        <v/>
      </c>
      <c r="AA2394" s="59">
        <f>IF($T2394="","",IF(COUNTIF('Resumo Grupos'!$AE$3:$AE$40,$T2394)&gt;0,"NAO","SIM"))</f>
        <v/>
      </c>
    </row>
    <row r="2395" ht="12.75" customHeight="1" s="60">
      <c r="A2395" s="59" t="n">
        <v>1</v>
      </c>
      <c r="B2395" s="82" t="n">
        <v>46255</v>
      </c>
      <c r="C2395" s="82" t="n">
        <v>46265</v>
      </c>
      <c r="D2395" s="59" t="n">
        <v>1616</v>
      </c>
      <c r="E2395" s="59" t="inlineStr">
        <is>
          <t>DURAES DISTRIBUIDORA DE ESTIVAS LTDA</t>
        </is>
      </c>
      <c r="F2395" s="59" t="n">
        <v>24</v>
      </c>
      <c r="G2395" s="59" t="inlineStr">
        <is>
          <t>Compra a Prazo - Boletos</t>
        </is>
      </c>
      <c r="H2395" s="59" t="n">
        <v>2110405</v>
      </c>
      <c r="I2395" s="59" t="inlineStr">
        <is>
          <t>CONTAS A PAGAR</t>
        </is>
      </c>
      <c r="J2395" s="59" t="n">
        <v>1581187</v>
      </c>
      <c r="L2395" s="59" t="n">
        <v>654915</v>
      </c>
      <c r="M2395" s="59" t="inlineStr">
        <is>
          <t>01</t>
        </is>
      </c>
      <c r="N2395" s="59" t="inlineStr">
        <is>
          <t>AVU</t>
        </is>
      </c>
      <c r="P2395" s="59" t="n">
        <v>103</v>
      </c>
      <c r="Q2395" s="59" t="inlineStr">
        <is>
          <t>MILKA FRANCIS</t>
        </is>
      </c>
      <c r="R2395" s="59" t="inlineStr">
        <is>
          <t>ESTOQUE DE MERCADORIAS</t>
        </is>
      </c>
      <c r="S2395" s="59" t="n">
        <v>1130101</v>
      </c>
      <c r="T2395" s="59" t="inlineStr">
        <is>
          <t>MERCADORIAS P/REVENDA</t>
        </is>
      </c>
      <c r="U2395" s="59" t="n">
        <v>178.95</v>
      </c>
      <c r="W2395" s="59" t="n">
        <v>0</v>
      </c>
      <c r="X2395" s="59" t="inlineStr">
        <is>
          <t>NF 654915 - MILKA</t>
        </is>
      </c>
      <c r="Z2395" s="59">
        <f>IF($T2395="","",IFERROR(INDEX('Resumo Grupos'!$AC$3:$AC$200,MATCH($T2395,'Resumo Grupos'!$AB$3:$AB$200,0)),"n/d"))</f>
        <v/>
      </c>
      <c r="AA2395" s="59">
        <f>IF($T2395="","",IF(COUNTIF('Resumo Grupos'!$AE$3:$AE$40,$T2395)&gt;0,"NAO","SIM"))</f>
        <v/>
      </c>
    </row>
    <row r="2396" ht="12.75" customHeight="1" s="60">
      <c r="A2396" s="59" t="n">
        <v>1</v>
      </c>
      <c r="B2396" s="82" t="n">
        <v>46256</v>
      </c>
      <c r="C2396" s="82" t="n">
        <v>46265</v>
      </c>
      <c r="D2396" s="59" t="n">
        <v>1739</v>
      </c>
      <c r="E2396" s="59" t="inlineStr">
        <is>
          <t>SABIA COMERCIO DE COSMETICOS LTDA</t>
        </is>
      </c>
      <c r="F2396" s="59" t="n">
        <v>24</v>
      </c>
      <c r="G2396" s="59" t="inlineStr">
        <is>
          <t>Compra a Prazo - Boletos</t>
        </is>
      </c>
      <c r="H2396" s="59" t="n">
        <v>2110405</v>
      </c>
      <c r="I2396" s="59" t="inlineStr">
        <is>
          <t>CONTAS A PAGAR</t>
        </is>
      </c>
      <c r="J2396" s="59" t="n">
        <v>1585194</v>
      </c>
      <c r="L2396" s="59" t="n">
        <v>255211</v>
      </c>
      <c r="M2396" s="59" t="inlineStr">
        <is>
          <t>01</t>
        </is>
      </c>
      <c r="N2396" s="59" t="inlineStr">
        <is>
          <t>AVU</t>
        </is>
      </c>
      <c r="P2396" s="59" t="n">
        <v>103</v>
      </c>
      <c r="Q2396" s="59" t="inlineStr">
        <is>
          <t>MILKA FRANCIS</t>
        </is>
      </c>
      <c r="R2396" s="59" t="inlineStr">
        <is>
          <t>ESTOQUE DE MERCADORIAS</t>
        </is>
      </c>
      <c r="S2396" s="59" t="n">
        <v>1130101</v>
      </c>
      <c r="T2396" s="59" t="inlineStr">
        <is>
          <t>MERCADORIAS P/REVENDA</t>
        </is>
      </c>
      <c r="U2396" s="59" t="n">
        <v>614.0700000000001</v>
      </c>
      <c r="W2396" s="59" t="n">
        <v>0</v>
      </c>
      <c r="X2396" s="59" t="inlineStr">
        <is>
          <t>NF 255211-1 MILKA</t>
        </is>
      </c>
      <c r="Z2396" s="59">
        <f>IF($T2396="","",IFERROR(INDEX('Resumo Grupos'!$AC$3:$AC$200,MATCH($T2396,'Resumo Grupos'!$AB$3:$AB$200,0)),"n/d"))</f>
        <v/>
      </c>
      <c r="AA2396" s="59">
        <f>IF($T2396="","",IF(COUNTIF('Resumo Grupos'!$AE$3:$AE$40,$T2396)&gt;0,"NAO","SIM"))</f>
        <v/>
      </c>
    </row>
    <row r="2397" ht="12.75" customHeight="1" s="60">
      <c r="A2397" s="59" t="n">
        <v>1</v>
      </c>
      <c r="B2397" s="82" t="n">
        <v>46256</v>
      </c>
      <c r="C2397" s="82" t="n">
        <v>46265</v>
      </c>
      <c r="D2397" s="59" t="n">
        <v>1614</v>
      </c>
      <c r="E2397" s="59" t="inlineStr">
        <is>
          <t>C. R. PARENTE ABREU</t>
        </is>
      </c>
      <c r="F2397" s="59" t="n">
        <v>24</v>
      </c>
      <c r="G2397" s="59" t="inlineStr">
        <is>
          <t>Compra a Prazo - Boletos</t>
        </is>
      </c>
      <c r="H2397" s="59" t="n">
        <v>2110405</v>
      </c>
      <c r="I2397" s="59" t="inlineStr">
        <is>
          <t>CONTAS A PAGAR</t>
        </is>
      </c>
      <c r="J2397" s="59" t="n">
        <v>1585500</v>
      </c>
      <c r="L2397" s="59" t="n">
        <v>11586</v>
      </c>
      <c r="M2397" s="59" t="inlineStr">
        <is>
          <t>02</t>
        </is>
      </c>
      <c r="N2397" s="59" t="inlineStr">
        <is>
          <t>AVU</t>
        </is>
      </c>
      <c r="P2397" s="59" t="n">
        <v>103</v>
      </c>
      <c r="Q2397" s="59" t="inlineStr">
        <is>
          <t>MILKA FRANCIS</t>
        </is>
      </c>
      <c r="R2397" s="59" t="inlineStr">
        <is>
          <t>ESTOQUE DE MERCADORIAS</t>
        </is>
      </c>
      <c r="S2397" s="59" t="n">
        <v>1130101</v>
      </c>
      <c r="T2397" s="59" t="inlineStr">
        <is>
          <t>MERCADORIAS P/REVENDA</t>
        </is>
      </c>
      <c r="U2397" s="59" t="n">
        <v>402.23</v>
      </c>
      <c r="W2397" s="59" t="n">
        <v>0</v>
      </c>
      <c r="X2397" s="59" t="inlineStr">
        <is>
          <t>NF 11586-2 KARU - MILKA</t>
        </is>
      </c>
      <c r="Z2397" s="59">
        <f>IF($T2397="","",IFERROR(INDEX('Resumo Grupos'!$AC$3:$AC$200,MATCH($T2397,'Resumo Grupos'!$AB$3:$AB$200,0)),"n/d"))</f>
        <v/>
      </c>
      <c r="AA2397" s="59">
        <f>IF($T2397="","",IF(COUNTIF('Resumo Grupos'!$AE$3:$AE$40,$T2397)&gt;0,"NAO","SIM"))</f>
        <v/>
      </c>
    </row>
    <row r="2398" ht="12.75" customHeight="1" s="60">
      <c r="A2398" s="59" t="n">
        <v>1</v>
      </c>
      <c r="B2398" s="82" t="n">
        <v>46256</v>
      </c>
      <c r="C2398" s="82" t="n">
        <v>46265</v>
      </c>
      <c r="D2398" s="59" t="n">
        <v>1704</v>
      </c>
      <c r="E2398" s="59" t="inlineStr">
        <is>
          <t>FRANCISCO HELDER DE OLIVEIRA PEIXOTO</t>
        </is>
      </c>
      <c r="F2398" s="59" t="n">
        <v>24</v>
      </c>
      <c r="G2398" s="59" t="inlineStr">
        <is>
          <t>Compra a Prazo - Boletos</t>
        </is>
      </c>
      <c r="H2398" s="59" t="n">
        <v>2110405</v>
      </c>
      <c r="I2398" s="59" t="inlineStr">
        <is>
          <t>CONTAS A PAGAR</t>
        </is>
      </c>
      <c r="J2398" s="59" t="n">
        <v>1585728</v>
      </c>
      <c r="L2398" s="59" t="n">
        <v>154509</v>
      </c>
      <c r="M2398" s="59" t="inlineStr">
        <is>
          <t>01</t>
        </is>
      </c>
      <c r="N2398" s="59" t="inlineStr">
        <is>
          <t>AVU</t>
        </is>
      </c>
      <c r="P2398" s="59" t="n">
        <v>103</v>
      </c>
      <c r="Q2398" s="59" t="inlineStr">
        <is>
          <t>MILKA FRANCIS</t>
        </is>
      </c>
      <c r="R2398" s="59" t="inlineStr">
        <is>
          <t>ESTOQUE DE MERCADORIAS</t>
        </is>
      </c>
      <c r="S2398" s="59" t="n">
        <v>1130101</v>
      </c>
      <c r="T2398" s="59" t="inlineStr">
        <is>
          <t>MERCADORIAS P/REVENDA</t>
        </is>
      </c>
      <c r="U2398" s="59" t="n">
        <v>3500</v>
      </c>
      <c r="W2398" s="59" t="n">
        <v>0</v>
      </c>
      <c r="X2398" s="59" t="inlineStr">
        <is>
          <t>NF 154509 - MILKA</t>
        </is>
      </c>
      <c r="Z2398" s="59">
        <f>IF($T2398="","",IFERROR(INDEX('Resumo Grupos'!$AC$3:$AC$200,MATCH($T2398,'Resumo Grupos'!$AB$3:$AB$200,0)),"n/d"))</f>
        <v/>
      </c>
      <c r="AA2398" s="59">
        <f>IF($T2398="","",IF(COUNTIF('Resumo Grupos'!$AE$3:$AE$40,$T2398)&gt;0,"NAO","SIM"))</f>
        <v/>
      </c>
    </row>
    <row r="2399" ht="12.75" customHeight="1" s="60">
      <c r="A2399" s="59" t="n">
        <v>1</v>
      </c>
      <c r="B2399" s="82" t="n">
        <v>46225</v>
      </c>
      <c r="C2399" s="82" t="n">
        <v>46266</v>
      </c>
      <c r="D2399" s="59" t="n">
        <v>10011</v>
      </c>
      <c r="E2399" s="59" t="inlineStr">
        <is>
          <t>OPPORTUNITY ALIMENTOS PARA ANIMAIS LTDA</t>
        </is>
      </c>
      <c r="F2399" s="59" t="n">
        <v>24</v>
      </c>
      <c r="G2399" s="59" t="inlineStr">
        <is>
          <t>Compra a Prazo - Boletos</t>
        </is>
      </c>
      <c r="H2399" s="59" t="n">
        <v>2110405</v>
      </c>
      <c r="I2399" s="59" t="inlineStr">
        <is>
          <t>CONTAS A PAGAR</t>
        </is>
      </c>
      <c r="J2399" s="59" t="n">
        <v>1435119</v>
      </c>
      <c r="L2399" s="59" t="n">
        <v>34737</v>
      </c>
      <c r="M2399" s="59" t="inlineStr">
        <is>
          <t>03</t>
        </is>
      </c>
      <c r="N2399" s="59" t="inlineStr">
        <is>
          <t>AVU</t>
        </is>
      </c>
      <c r="P2399" s="59" t="n">
        <v>103</v>
      </c>
      <c r="Q2399" s="59" t="inlineStr">
        <is>
          <t>MILKA FRANCIS</t>
        </is>
      </c>
      <c r="R2399" s="59" t="inlineStr">
        <is>
          <t>ESTOQUE DE MERCADORIAS</t>
        </is>
      </c>
      <c r="S2399" s="59" t="n">
        <v>1130101</v>
      </c>
      <c r="T2399" s="59" t="inlineStr">
        <is>
          <t>MERCADORIAS P/REVENDA</t>
        </is>
      </c>
      <c r="U2399" s="59" t="n">
        <v>807.05</v>
      </c>
      <c r="W2399" s="59" t="n">
        <v>0</v>
      </c>
      <c r="X2399" s="59" t="inlineStr">
        <is>
          <t>NF 34737-3 MILKA</t>
        </is>
      </c>
      <c r="Z2399" s="59">
        <f>IF($T2399="","",IFERROR(INDEX('Resumo Grupos'!$AC$3:$AC$200,MATCH($T2399,'Resumo Grupos'!$AB$3:$AB$200,0)),"n/d"))</f>
        <v/>
      </c>
      <c r="AA2399" s="59">
        <f>IF($T2399="","",IF(COUNTIF('Resumo Grupos'!$AE$3:$AE$40,$T2399)&gt;0,"NAO","SIM"))</f>
        <v/>
      </c>
    </row>
    <row r="2400" ht="12.75" customHeight="1" s="60">
      <c r="A2400" s="59" t="n">
        <v>1</v>
      </c>
      <c r="B2400" s="82" t="n">
        <v>46226</v>
      </c>
      <c r="C2400" s="82" t="n">
        <v>46266</v>
      </c>
      <c r="D2400" s="59" t="n">
        <v>957</v>
      </c>
      <c r="E2400" s="59" t="inlineStr">
        <is>
          <t>FUNNY PET DISTRIBUIDORA DE ALIMENTOS PAR</t>
        </is>
      </c>
      <c r="F2400" s="59" t="n">
        <v>24</v>
      </c>
      <c r="G2400" s="59" t="inlineStr">
        <is>
          <t>Compra a Prazo - Boletos</t>
        </is>
      </c>
      <c r="H2400" s="59" t="n">
        <v>2110405</v>
      </c>
      <c r="I2400" s="59" t="inlineStr">
        <is>
          <t>CONTAS A PAGAR</t>
        </is>
      </c>
      <c r="J2400" s="59" t="n">
        <v>1439137</v>
      </c>
      <c r="L2400" s="59" t="n">
        <v>21188</v>
      </c>
      <c r="M2400" s="59" t="inlineStr">
        <is>
          <t>03</t>
        </is>
      </c>
      <c r="N2400" s="59" t="inlineStr">
        <is>
          <t>AVU</t>
        </is>
      </c>
      <c r="P2400" s="59" t="n">
        <v>103</v>
      </c>
      <c r="Q2400" s="59" t="inlineStr">
        <is>
          <t>MILKA FRANCIS</t>
        </is>
      </c>
      <c r="R2400" s="59" t="inlineStr">
        <is>
          <t>ESTOQUE DE MERCADORIAS</t>
        </is>
      </c>
      <c r="S2400" s="59" t="n">
        <v>1130101</v>
      </c>
      <c r="T2400" s="59" t="inlineStr">
        <is>
          <t>MERCADORIAS P/REVENDA</t>
        </is>
      </c>
      <c r="U2400" s="59" t="n">
        <v>3458.9</v>
      </c>
      <c r="W2400" s="59" t="n">
        <v>0</v>
      </c>
      <c r="X2400" s="59" t="inlineStr">
        <is>
          <t>NF 21188 -3 MILKA</t>
        </is>
      </c>
      <c r="Z2400" s="59">
        <f>IF($T2400="","",IFERROR(INDEX('Resumo Grupos'!$AC$3:$AC$200,MATCH($T2400,'Resumo Grupos'!$AB$3:$AB$200,0)),"n/d"))</f>
        <v/>
      </c>
      <c r="AA2400" s="59">
        <f>IF($T2400="","",IF(COUNTIF('Resumo Grupos'!$AE$3:$AE$40,$T2400)&gt;0,"NAO","SIM"))</f>
        <v/>
      </c>
    </row>
    <row r="2401" ht="12.75" customHeight="1" s="60">
      <c r="A2401" s="59" t="n">
        <v>1</v>
      </c>
      <c r="B2401" s="82" t="n">
        <v>46245</v>
      </c>
      <c r="C2401" s="82" t="n">
        <v>46266</v>
      </c>
      <c r="D2401" s="59" t="n">
        <v>1718</v>
      </c>
      <c r="E2401" s="59" t="inlineStr">
        <is>
          <t>DISTRIBUIDORA FARIAS LTDA.</t>
        </is>
      </c>
      <c r="F2401" s="59" t="n">
        <v>24</v>
      </c>
      <c r="G2401" s="59" t="inlineStr">
        <is>
          <t>Compra a Prazo - Boletos</t>
        </is>
      </c>
      <c r="H2401" s="59" t="n">
        <v>2110405</v>
      </c>
      <c r="I2401" s="59" t="inlineStr">
        <is>
          <t>CONTAS A PAGAR</t>
        </is>
      </c>
      <c r="J2401" s="59" t="n">
        <v>1531933</v>
      </c>
      <c r="L2401" s="59" t="n">
        <v>688332</v>
      </c>
      <c r="M2401" s="59" t="inlineStr">
        <is>
          <t>02</t>
        </is>
      </c>
      <c r="N2401" s="59" t="inlineStr">
        <is>
          <t>AVU</t>
        </is>
      </c>
      <c r="P2401" s="59" t="n">
        <v>103</v>
      </c>
      <c r="Q2401" s="59" t="inlineStr">
        <is>
          <t>MILKA FRANCIS</t>
        </is>
      </c>
      <c r="R2401" s="59" t="inlineStr">
        <is>
          <t>ESTOQUE DE MERCADORIAS</t>
        </is>
      </c>
      <c r="S2401" s="59" t="n">
        <v>1130101</v>
      </c>
      <c r="T2401" s="59" t="inlineStr">
        <is>
          <t>MERCADORIAS P/REVENDA</t>
        </is>
      </c>
      <c r="U2401" s="59" t="n">
        <v>436.76</v>
      </c>
      <c r="W2401" s="59" t="n">
        <v>0</v>
      </c>
      <c r="X2401" s="59" t="inlineStr">
        <is>
          <t>811815-B/B  NF688332 - MILKA</t>
        </is>
      </c>
      <c r="Z2401" s="59">
        <f>IF($T2401="","",IFERROR(INDEX('Resumo Grupos'!$AC$3:$AC$200,MATCH($T2401,'Resumo Grupos'!$AB$3:$AB$200,0)),"n/d"))</f>
        <v/>
      </c>
      <c r="AA2401" s="59">
        <f>IF($T2401="","",IF(COUNTIF('Resumo Grupos'!$AE$3:$AE$40,$T2401)&gt;0,"NAO","SIM"))</f>
        <v/>
      </c>
    </row>
    <row r="2402" ht="12.75" customHeight="1" s="60">
      <c r="A2402" s="59" t="n">
        <v>1</v>
      </c>
      <c r="B2402" s="82" t="n">
        <v>46246</v>
      </c>
      <c r="C2402" s="82" t="n">
        <v>46266</v>
      </c>
      <c r="D2402" s="59" t="n">
        <v>1656</v>
      </c>
      <c r="E2402" s="59" t="inlineStr">
        <is>
          <t>COMERCIAL DE ESTIVAS REGO LTDA</t>
        </is>
      </c>
      <c r="F2402" s="59" t="n">
        <v>24</v>
      </c>
      <c r="G2402" s="59" t="inlineStr">
        <is>
          <t>Compra a Prazo - Boletos</t>
        </is>
      </c>
      <c r="H2402" s="59" t="n">
        <v>2110405</v>
      </c>
      <c r="I2402" s="59" t="inlineStr">
        <is>
          <t>CONTAS A PAGAR</t>
        </is>
      </c>
      <c r="J2402" s="59" t="n">
        <v>1535597</v>
      </c>
      <c r="L2402" s="59" t="n">
        <v>224812</v>
      </c>
      <c r="M2402" s="59" t="inlineStr">
        <is>
          <t>01</t>
        </is>
      </c>
      <c r="N2402" s="59" t="inlineStr">
        <is>
          <t>AVU</t>
        </is>
      </c>
      <c r="P2402" s="59" t="n">
        <v>103</v>
      </c>
      <c r="Q2402" s="59" t="inlineStr">
        <is>
          <t>MILKA FRANCIS</t>
        </is>
      </c>
      <c r="R2402" s="59" t="inlineStr">
        <is>
          <t>ESTOQUE DE MERCADORIAS</t>
        </is>
      </c>
      <c r="S2402" s="59" t="n">
        <v>1130101</v>
      </c>
      <c r="T2402" s="59" t="inlineStr">
        <is>
          <t>MERCADORIAS P/REVENDA</t>
        </is>
      </c>
      <c r="U2402" s="59" t="n">
        <v>546.62</v>
      </c>
      <c r="W2402" s="59" t="n">
        <v>0</v>
      </c>
      <c r="X2402" s="59" t="inlineStr">
        <is>
          <t>NF 224812 BOAMESA - MILKA</t>
        </is>
      </c>
      <c r="Z2402" s="59">
        <f>IF($T2402="","",IFERROR(INDEX('Resumo Grupos'!$AC$3:$AC$200,MATCH($T2402,'Resumo Grupos'!$AB$3:$AB$200,0)),"n/d"))</f>
        <v/>
      </c>
      <c r="AA2402" s="59">
        <f>IF($T2402="","",IF(COUNTIF('Resumo Grupos'!$AE$3:$AE$40,$T2402)&gt;0,"NAO","SIM"))</f>
        <v/>
      </c>
    </row>
    <row r="2403" ht="12.75" customHeight="1" s="60">
      <c r="A2403" s="59" t="n">
        <v>1</v>
      </c>
      <c r="B2403" s="82" t="n">
        <v>46246</v>
      </c>
      <c r="C2403" s="82" t="n">
        <v>46266</v>
      </c>
      <c r="D2403" s="59" t="n">
        <v>794</v>
      </c>
      <c r="E2403" s="59" t="inlineStr">
        <is>
          <t>EDMARA COMERCIO DE HIGIENE PESSOAL LTDA</t>
        </is>
      </c>
      <c r="F2403" s="59" t="n">
        <v>24</v>
      </c>
      <c r="G2403" s="59" t="inlineStr">
        <is>
          <t>Compra a Prazo - Boletos</t>
        </is>
      </c>
      <c r="H2403" s="59" t="n">
        <v>2110405</v>
      </c>
      <c r="I2403" s="59" t="inlineStr">
        <is>
          <t>CONTAS A PAGAR</t>
        </is>
      </c>
      <c r="J2403" s="59" t="n">
        <v>1536581</v>
      </c>
      <c r="L2403" s="59" t="n">
        <v>8609</v>
      </c>
      <c r="M2403" s="59" t="inlineStr">
        <is>
          <t>02</t>
        </is>
      </c>
      <c r="N2403" s="59" t="inlineStr">
        <is>
          <t>AVU</t>
        </is>
      </c>
      <c r="P2403" s="59" t="n">
        <v>103</v>
      </c>
      <c r="Q2403" s="59" t="inlineStr">
        <is>
          <t>MILKA FRANCIS</t>
        </is>
      </c>
      <c r="R2403" s="59" t="inlineStr">
        <is>
          <t>ESTOQUE DE MERCADORIAS</t>
        </is>
      </c>
      <c r="S2403" s="59" t="n">
        <v>1130101</v>
      </c>
      <c r="T2403" s="59" t="inlineStr">
        <is>
          <t>MERCADORIAS P/REVENDA</t>
        </is>
      </c>
      <c r="U2403" s="59" t="n">
        <v>530</v>
      </c>
      <c r="W2403" s="59" t="n">
        <v>0</v>
      </c>
      <c r="X2403" s="59" t="inlineStr">
        <is>
          <t>5755-B/B  NF8609  - MILKA</t>
        </is>
      </c>
      <c r="Z2403" s="59">
        <f>IF($T2403="","",IFERROR(INDEX('Resumo Grupos'!$AC$3:$AC$200,MATCH($T2403,'Resumo Grupos'!$AB$3:$AB$200,0)),"n/d"))</f>
        <v/>
      </c>
      <c r="AA2403" s="59">
        <f>IF($T2403="","",IF(COUNTIF('Resumo Grupos'!$AE$3:$AE$40,$T2403)&gt;0,"NAO","SIM"))</f>
        <v/>
      </c>
    </row>
    <row r="2404" ht="12.75" customHeight="1" s="60">
      <c r="A2404" s="59" t="n">
        <v>1</v>
      </c>
      <c r="B2404" s="82" t="n">
        <v>46248</v>
      </c>
      <c r="C2404" s="82" t="n">
        <v>46266</v>
      </c>
      <c r="D2404" s="59" t="n">
        <v>1637</v>
      </c>
      <c r="E2404" s="59" t="inlineStr">
        <is>
          <t>ATACADAO S.A.</t>
        </is>
      </c>
      <c r="F2404" s="59" t="n">
        <v>24</v>
      </c>
      <c r="G2404" s="59" t="inlineStr">
        <is>
          <t>Compra a Prazo - Boletos</t>
        </is>
      </c>
      <c r="H2404" s="59" t="n">
        <v>2110405</v>
      </c>
      <c r="I2404" s="59" t="inlineStr">
        <is>
          <t>CONTAS A PAGAR</t>
        </is>
      </c>
      <c r="J2404" s="59" t="n">
        <v>1545787</v>
      </c>
      <c r="L2404" s="59" t="n">
        <v>1919059</v>
      </c>
      <c r="M2404" s="59" t="inlineStr">
        <is>
          <t>01</t>
        </is>
      </c>
      <c r="N2404" s="59" t="inlineStr">
        <is>
          <t>AVU</t>
        </is>
      </c>
      <c r="P2404" s="59" t="n">
        <v>103</v>
      </c>
      <c r="Q2404" s="59" t="inlineStr">
        <is>
          <t>MILKA FRANCIS</t>
        </is>
      </c>
      <c r="R2404" s="59" t="inlineStr">
        <is>
          <t>ESTOQUE DE MERCADORIAS</t>
        </is>
      </c>
      <c r="S2404" s="59" t="n">
        <v>1130101</v>
      </c>
      <c r="T2404" s="59" t="inlineStr">
        <is>
          <t>MERCADORIAS P/REVENDA</t>
        </is>
      </c>
      <c r="U2404" s="59" t="n">
        <v>1804.32</v>
      </c>
      <c r="W2404" s="59" t="n">
        <v>0</v>
      </c>
      <c r="X2404" s="59" t="inlineStr">
        <is>
          <t>NF 1919059 - MILKA</t>
        </is>
      </c>
      <c r="Z2404" s="59">
        <f>IF($T2404="","",IFERROR(INDEX('Resumo Grupos'!$AC$3:$AC$200,MATCH($T2404,'Resumo Grupos'!$AB$3:$AB$200,0)),"n/d"))</f>
        <v/>
      </c>
      <c r="AA2404" s="59">
        <f>IF($T2404="","",IF(COUNTIF('Resumo Grupos'!$AE$3:$AE$40,$T2404)&gt;0,"NAO","SIM"))</f>
        <v/>
      </c>
    </row>
    <row r="2405" ht="12.75" customHeight="1" s="60">
      <c r="A2405" s="59" t="n">
        <v>1</v>
      </c>
      <c r="B2405" s="82" t="n">
        <v>46253</v>
      </c>
      <c r="C2405" s="82" t="n">
        <v>46266</v>
      </c>
      <c r="D2405" s="59" t="n">
        <v>1611</v>
      </c>
      <c r="E2405" s="59" t="inlineStr">
        <is>
          <t>MARTINS COM SERV DISTR SA</t>
        </is>
      </c>
      <c r="F2405" s="59" t="n">
        <v>24</v>
      </c>
      <c r="G2405" s="59" t="inlineStr">
        <is>
          <t>Compra a Prazo - Boletos</t>
        </is>
      </c>
      <c r="H2405" s="59" t="n">
        <v>2110405</v>
      </c>
      <c r="I2405" s="59" t="inlineStr">
        <is>
          <t>CONTAS A PAGAR</t>
        </is>
      </c>
      <c r="J2405" s="59" t="n">
        <v>1570880</v>
      </c>
      <c r="L2405" s="59" t="n">
        <v>1791736</v>
      </c>
      <c r="M2405" s="59" t="inlineStr">
        <is>
          <t>01</t>
        </is>
      </c>
      <c r="N2405" s="59" t="inlineStr">
        <is>
          <t>AVU</t>
        </is>
      </c>
      <c r="P2405" s="59" t="n">
        <v>103</v>
      </c>
      <c r="Q2405" s="59" t="inlineStr">
        <is>
          <t>MILKA FRANCIS</t>
        </is>
      </c>
      <c r="R2405" s="59" t="inlineStr">
        <is>
          <t>ESTOQUE DE MERCADORIAS</t>
        </is>
      </c>
      <c r="S2405" s="59" t="n">
        <v>1130101</v>
      </c>
      <c r="T2405" s="59" t="inlineStr">
        <is>
          <t>MERCADORIAS P/REVENDA</t>
        </is>
      </c>
      <c r="U2405" s="59" t="n">
        <v>754.67</v>
      </c>
      <c r="W2405" s="59" t="n">
        <v>0</v>
      </c>
      <c r="X2405" s="59" t="inlineStr">
        <is>
          <t>18651430  NF1791736/NF1791737 - MILKA</t>
        </is>
      </c>
      <c r="Z2405" s="59">
        <f>IF($T2405="","",IFERROR(INDEX('Resumo Grupos'!$AC$3:$AC$200,MATCH($T2405,'Resumo Grupos'!$AB$3:$AB$200,0)),"n/d"))</f>
        <v/>
      </c>
      <c r="AA2405" s="59">
        <f>IF($T2405="","",IF(COUNTIF('Resumo Grupos'!$AE$3:$AE$40,$T2405)&gt;0,"NAO","SIM"))</f>
        <v/>
      </c>
    </row>
    <row r="2406" ht="12.75" customHeight="1" s="60">
      <c r="A2406" s="59" t="n">
        <v>1</v>
      </c>
      <c r="B2406" s="82" t="n">
        <v>46255</v>
      </c>
      <c r="C2406" s="82" t="n">
        <v>46266</v>
      </c>
      <c r="D2406" s="59" t="n">
        <v>1668</v>
      </c>
      <c r="E2406" s="59" t="inlineStr">
        <is>
          <t>NATUREZA COMERCIO DE DESCARTAVEIS LTDA</t>
        </is>
      </c>
      <c r="F2406" s="59" t="n">
        <v>24</v>
      </c>
      <c r="G2406" s="59" t="inlineStr">
        <is>
          <t>Compra a Prazo - Boletos</t>
        </is>
      </c>
      <c r="H2406" s="59" t="n">
        <v>2110405</v>
      </c>
      <c r="I2406" s="59" t="inlineStr">
        <is>
          <t>CONTAS A PAGAR</t>
        </is>
      </c>
      <c r="J2406" s="59" t="n">
        <v>1582091</v>
      </c>
      <c r="L2406" s="59" t="n">
        <v>750484</v>
      </c>
      <c r="M2406" s="59" t="inlineStr">
        <is>
          <t>01</t>
        </is>
      </c>
      <c r="N2406" s="59" t="inlineStr">
        <is>
          <t>AVU</t>
        </is>
      </c>
      <c r="P2406" s="59" t="n">
        <v>103</v>
      </c>
      <c r="Q2406" s="59" t="inlineStr">
        <is>
          <t>MILKA FRANCIS</t>
        </is>
      </c>
      <c r="R2406" s="59" t="inlineStr">
        <is>
          <t>ESTOQUE DE MERCADORIAS</t>
        </is>
      </c>
      <c r="S2406" s="59" t="n">
        <v>1130101</v>
      </c>
      <c r="T2406" s="59" t="inlineStr">
        <is>
          <t>MERCADORIAS P/REVENDA</t>
        </is>
      </c>
      <c r="U2406" s="59" t="n">
        <v>983.0700000000001</v>
      </c>
      <c r="W2406" s="59" t="n">
        <v>0</v>
      </c>
      <c r="X2406" s="59" t="inlineStr">
        <is>
          <t>NF750484-1 MILKA</t>
        </is>
      </c>
      <c r="Z2406" s="59">
        <f>IF($T2406="","",IFERROR(INDEX('Resumo Grupos'!$AC$3:$AC$200,MATCH($T2406,'Resumo Grupos'!$AB$3:$AB$200,0)),"n/d"))</f>
        <v/>
      </c>
      <c r="AA2406" s="59">
        <f>IF($T2406="","",IF(COUNTIF('Resumo Grupos'!$AE$3:$AE$40,$T2406)&gt;0,"NAO","SIM"))</f>
        <v/>
      </c>
    </row>
    <row r="2407" ht="12.75" customHeight="1" s="60">
      <c r="A2407" s="59" t="n">
        <v>1</v>
      </c>
      <c r="B2407" s="82" t="n">
        <v>46255</v>
      </c>
      <c r="C2407" s="82" t="n">
        <v>46266</v>
      </c>
      <c r="D2407" s="59" t="n">
        <v>1668</v>
      </c>
      <c r="E2407" s="59" t="inlineStr">
        <is>
          <t>NATUREZA COMERCIO DE DESCARTAVEIS LTDA</t>
        </is>
      </c>
      <c r="F2407" s="59" t="n">
        <v>24</v>
      </c>
      <c r="G2407" s="59" t="inlineStr">
        <is>
          <t>Compra a Prazo - Boletos</t>
        </is>
      </c>
      <c r="H2407" s="59" t="n">
        <v>2110405</v>
      </c>
      <c r="I2407" s="59" t="inlineStr">
        <is>
          <t>CONTAS A PAGAR</t>
        </is>
      </c>
      <c r="J2407" s="59" t="n">
        <v>1582110</v>
      </c>
      <c r="L2407" s="59" t="n">
        <v>750483</v>
      </c>
      <c r="M2407" s="59" t="inlineStr">
        <is>
          <t>01</t>
        </is>
      </c>
      <c r="N2407" s="59" t="inlineStr">
        <is>
          <t>AVU</t>
        </is>
      </c>
      <c r="P2407" s="59" t="n">
        <v>103</v>
      </c>
      <c r="Q2407" s="59" t="inlineStr">
        <is>
          <t>MILKA FRANCIS</t>
        </is>
      </c>
      <c r="R2407" s="59" t="inlineStr">
        <is>
          <t>DESPESAS OPERACIONAIS</t>
        </is>
      </c>
      <c r="S2407" s="59" t="n">
        <v>4210299</v>
      </c>
      <c r="T2407" s="59" t="inlineStr">
        <is>
          <t>DESPESA DE VENDA</t>
        </is>
      </c>
      <c r="U2407" s="59" t="n">
        <v>1304.13</v>
      </c>
      <c r="W2407" s="59" t="n">
        <v>0</v>
      </c>
      <c r="X2407" s="59" t="inlineStr">
        <is>
          <t>NF 750483 -1 SACO PAPEL/ COPO300ML/ POTE145ML/ MASCARA/ LUVA - MILKA</t>
        </is>
      </c>
      <c r="Z2407" s="59">
        <f>IF($T2407="","",IFERROR(INDEX('Resumo Grupos'!$AC$3:$AC$200,MATCH($T2407,'Resumo Grupos'!$AB$3:$AB$200,0)),"n/d"))</f>
        <v/>
      </c>
      <c r="AA2407" s="59">
        <f>IF($T2407="","",IF(COUNTIF('Resumo Grupos'!$AE$3:$AE$40,$T2407)&gt;0,"NAO","SIM"))</f>
        <v/>
      </c>
    </row>
    <row r="2408" ht="12.75" customHeight="1" s="60">
      <c r="A2408" s="59" t="n">
        <v>1</v>
      </c>
      <c r="B2408" s="82" t="n">
        <v>46256</v>
      </c>
      <c r="C2408" s="82" t="n">
        <v>46266</v>
      </c>
      <c r="D2408" s="59" t="n">
        <v>1657</v>
      </c>
      <c r="E2408" s="59" t="inlineStr">
        <is>
          <t>IRMÃOS LIMA  ATACADO  DE ALIMENTOS LTDA</t>
        </is>
      </c>
      <c r="F2408" s="59" t="n">
        <v>24</v>
      </c>
      <c r="G2408" s="59" t="inlineStr">
        <is>
          <t>Compra a Prazo - Boletos</t>
        </is>
      </c>
      <c r="H2408" s="59" t="n">
        <v>2110405</v>
      </c>
      <c r="I2408" s="59" t="inlineStr">
        <is>
          <t>CONTAS A PAGAR</t>
        </is>
      </c>
      <c r="J2408" s="59" t="n">
        <v>1585243</v>
      </c>
      <c r="L2408" s="59" t="n">
        <v>297570</v>
      </c>
      <c r="M2408" s="59" t="inlineStr">
        <is>
          <t>01</t>
        </is>
      </c>
      <c r="N2408" s="59" t="inlineStr">
        <is>
          <t>AVU</t>
        </is>
      </c>
      <c r="P2408" s="59" t="n">
        <v>103</v>
      </c>
      <c r="Q2408" s="59" t="inlineStr">
        <is>
          <t>MILKA FRANCIS</t>
        </is>
      </c>
      <c r="R2408" s="59" t="inlineStr">
        <is>
          <t>ESTOQUE DE MERCADORIAS</t>
        </is>
      </c>
      <c r="S2408" s="59" t="n">
        <v>1130101</v>
      </c>
      <c r="T2408" s="59" t="inlineStr">
        <is>
          <t>MERCADORIAS P/REVENDA</t>
        </is>
      </c>
      <c r="U2408" s="59" t="n">
        <v>1062.06</v>
      </c>
      <c r="W2408" s="59" t="n">
        <v>0</v>
      </c>
      <c r="X2408" s="59" t="inlineStr">
        <is>
          <t>378915-A/C  NF297570 - MILKA</t>
        </is>
      </c>
      <c r="Z2408" s="59">
        <f>IF($T2408="","",IFERROR(INDEX('Resumo Grupos'!$AC$3:$AC$200,MATCH($T2408,'Resumo Grupos'!$AB$3:$AB$200,0)),"n/d"))</f>
        <v/>
      </c>
      <c r="AA2408" s="59">
        <f>IF($T2408="","",IF(COUNTIF('Resumo Grupos'!$AE$3:$AE$40,$T2408)&gt;0,"NAO","SIM"))</f>
        <v/>
      </c>
    </row>
    <row r="2409" ht="12.75" customHeight="1" s="60">
      <c r="A2409" s="59" t="n">
        <v>1</v>
      </c>
      <c r="B2409" s="82" t="n">
        <v>46256</v>
      </c>
      <c r="C2409" s="82" t="n">
        <v>46266</v>
      </c>
      <c r="D2409" s="59" t="n">
        <v>10029</v>
      </c>
      <c r="E2409" s="59" t="inlineStr">
        <is>
          <t>AUGUSTA E BOMFIM LTDA</t>
        </is>
      </c>
      <c r="F2409" s="59" t="n">
        <v>24</v>
      </c>
      <c r="G2409" s="59" t="inlineStr">
        <is>
          <t>Compra a Prazo - Boletos</t>
        </is>
      </c>
      <c r="H2409" s="59" t="n">
        <v>2110405</v>
      </c>
      <c r="I2409" s="59" t="inlineStr">
        <is>
          <t>CONTAS A PAGAR</t>
        </is>
      </c>
      <c r="J2409" s="59" t="n">
        <v>1585854</v>
      </c>
      <c r="L2409" s="59" t="n">
        <v>231</v>
      </c>
      <c r="M2409" s="59" t="inlineStr">
        <is>
          <t>01</t>
        </is>
      </c>
      <c r="N2409" s="59" t="inlineStr">
        <is>
          <t>AVU</t>
        </is>
      </c>
      <c r="P2409" s="59" t="n">
        <v>103</v>
      </c>
      <c r="Q2409" s="59" t="inlineStr">
        <is>
          <t>MILKA FRANCIS</t>
        </is>
      </c>
      <c r="R2409" s="59" t="inlineStr">
        <is>
          <t>DESPESAS OPERACIONAIS</t>
        </is>
      </c>
      <c r="S2409" s="59" t="n">
        <v>4210299</v>
      </c>
      <c r="T2409" s="59" t="inlineStr">
        <is>
          <t>DESPESA DE VENDA</t>
        </is>
      </c>
      <c r="U2409" s="59" t="n">
        <v>1220</v>
      </c>
      <c r="W2409" s="59" t="n">
        <v>0</v>
      </c>
      <c r="X2409" s="59" t="inlineStr">
        <is>
          <t>NF  231 ETIQUETA  ADESIVA BRC - MILKA</t>
        </is>
      </c>
      <c r="Z2409" s="59">
        <f>IF($T2409="","",IFERROR(INDEX('Resumo Grupos'!$AC$3:$AC$200,MATCH($T2409,'Resumo Grupos'!$AB$3:$AB$200,0)),"n/d"))</f>
        <v/>
      </c>
      <c r="AA2409" s="59">
        <f>IF($T2409="","",IF(COUNTIF('Resumo Grupos'!$AE$3:$AE$40,$T2409)&gt;0,"NAO","SIM"))</f>
        <v/>
      </c>
    </row>
    <row r="2410" ht="12.75" customHeight="1" s="60">
      <c r="A2410" s="59" t="n">
        <v>1</v>
      </c>
      <c r="B2410" s="82" t="n">
        <v>46248</v>
      </c>
      <c r="C2410" s="82" t="n">
        <v>46267</v>
      </c>
      <c r="D2410" s="59" t="n">
        <v>1678</v>
      </c>
      <c r="E2410" s="59" t="inlineStr">
        <is>
          <t>AGM COMERCIO E DISTRIBUIDORA DE MATERIAS DE PERFUMARIA E LIMPEZA LTDA</t>
        </is>
      </c>
      <c r="F2410" s="59" t="n">
        <v>24</v>
      </c>
      <c r="G2410" s="59" t="inlineStr">
        <is>
          <t>Compra a Prazo - Boletos</t>
        </is>
      </c>
      <c r="H2410" s="59" t="n">
        <v>2110405</v>
      </c>
      <c r="I2410" s="59" t="inlineStr">
        <is>
          <t>CONTAS A PAGAR</t>
        </is>
      </c>
      <c r="J2410" s="59" t="n">
        <v>1545384</v>
      </c>
      <c r="L2410" s="59" t="n">
        <v>163847</v>
      </c>
      <c r="M2410" s="59" t="inlineStr">
        <is>
          <t>01</t>
        </is>
      </c>
      <c r="N2410" s="59" t="inlineStr">
        <is>
          <t>AVU</t>
        </is>
      </c>
      <c r="P2410" s="59" t="n">
        <v>103</v>
      </c>
      <c r="Q2410" s="59" t="inlineStr">
        <is>
          <t>MILKA FRANCIS</t>
        </is>
      </c>
      <c r="R2410" s="59" t="inlineStr">
        <is>
          <t>ESTOQUE DE MERCADORIAS</t>
        </is>
      </c>
      <c r="S2410" s="59" t="n">
        <v>1130101</v>
      </c>
      <c r="T2410" s="59" t="inlineStr">
        <is>
          <t>MERCADORIAS P/REVENDA</t>
        </is>
      </c>
      <c r="U2410" s="59" t="n">
        <v>854.25</v>
      </c>
      <c r="W2410" s="59" t="n">
        <v>0</v>
      </c>
      <c r="X2410" s="59" t="inlineStr">
        <is>
          <t>NF 163847 - MILKA</t>
        </is>
      </c>
      <c r="Z2410" s="59">
        <f>IF($T2410="","",IFERROR(INDEX('Resumo Grupos'!$AC$3:$AC$200,MATCH($T2410,'Resumo Grupos'!$AB$3:$AB$200,0)),"n/d"))</f>
        <v/>
      </c>
      <c r="AA2410" s="59">
        <f>IF($T2410="","",IF(COUNTIF('Resumo Grupos'!$AE$3:$AE$40,$T2410)&gt;0,"NAO","SIM"))</f>
        <v/>
      </c>
    </row>
    <row r="2411" ht="12.75" customHeight="1" s="60">
      <c r="A2411" s="59" t="n">
        <v>1</v>
      </c>
      <c r="B2411" s="82" t="n">
        <v>46234</v>
      </c>
      <c r="C2411" s="82" t="n">
        <v>46267</v>
      </c>
      <c r="D2411" s="59" t="n">
        <v>49</v>
      </c>
      <c r="E2411" s="59" t="inlineStr">
        <is>
          <t>AZEVEDO E SILVA LTDA</t>
        </is>
      </c>
      <c r="F2411" s="59" t="n">
        <v>34</v>
      </c>
      <c r="G2411" s="59" t="inlineStr">
        <is>
          <t>Transferencia Pix</t>
        </is>
      </c>
      <c r="H2411" s="59" t="n">
        <v>1110202</v>
      </c>
      <c r="I2411" s="59" t="inlineStr">
        <is>
          <t>BANCO ITAU Lj 01</t>
        </is>
      </c>
      <c r="J2411" s="59" t="n">
        <v>1477909</v>
      </c>
      <c r="L2411" s="59" t="n">
        <v>607088</v>
      </c>
      <c r="M2411" s="59" t="inlineStr">
        <is>
          <t>01</t>
        </is>
      </c>
      <c r="N2411" s="59" t="inlineStr">
        <is>
          <t>AVU</t>
        </is>
      </c>
      <c r="P2411" s="59" t="n">
        <v>101</v>
      </c>
      <c r="Q2411" s="59" t="inlineStr">
        <is>
          <t>KEILA LIMA</t>
        </is>
      </c>
      <c r="R2411" s="59" t="inlineStr">
        <is>
          <t>EMPRESTIMOS BANCARIOS</t>
        </is>
      </c>
      <c r="S2411" s="59" t="n">
        <v>2110901</v>
      </c>
      <c r="T2411" s="59" t="inlineStr">
        <is>
          <t>EMPRESTIMOS BANCARIOS A PAGAR</t>
        </is>
      </c>
      <c r="U2411" s="59" t="n">
        <v>16500</v>
      </c>
      <c r="W2411" s="59" t="n">
        <v>0</v>
      </c>
      <c r="X2411" s="59" t="inlineStr">
        <is>
          <t>PARC 10/48 EMPRESTIMO PARTE MO1 PAGAR P MO5 - KEILA</t>
        </is>
      </c>
      <c r="Z2411" s="59">
        <f>IF($T2411="","",IFERROR(INDEX('Resumo Grupos'!$AC$3:$AC$200,MATCH($T2411,'Resumo Grupos'!$AB$3:$AB$200,0)),"n/d"))</f>
        <v/>
      </c>
      <c r="AA2411" s="59">
        <f>IF($T2411="","",IF(COUNTIF('Resumo Grupos'!$AE$3:$AE$40,$T2411)&gt;0,"NAO","SIM"))</f>
        <v/>
      </c>
    </row>
    <row r="2412" ht="12.75" customHeight="1" s="60">
      <c r="A2412" s="59" t="n">
        <v>1</v>
      </c>
      <c r="B2412" s="82" t="n">
        <v>46241</v>
      </c>
      <c r="C2412" s="82" t="n">
        <v>46267</v>
      </c>
      <c r="D2412" s="59" t="n">
        <v>1624</v>
      </c>
      <c r="E2412" s="59" t="inlineStr">
        <is>
          <t>RISADINHA LTDA</t>
        </is>
      </c>
      <c r="F2412" s="59" t="n">
        <v>24</v>
      </c>
      <c r="G2412" s="59" t="inlineStr">
        <is>
          <t>Compra a Prazo - Boletos</t>
        </is>
      </c>
      <c r="H2412" s="59" t="n">
        <v>2110405</v>
      </c>
      <c r="I2412" s="59" t="inlineStr">
        <is>
          <t>CONTAS A PAGAR</t>
        </is>
      </c>
      <c r="J2412" s="59" t="n">
        <v>1513655</v>
      </c>
      <c r="L2412" s="59" t="n">
        <v>667391</v>
      </c>
      <c r="M2412" s="59" t="inlineStr">
        <is>
          <t>02</t>
        </is>
      </c>
      <c r="N2412" s="59" t="inlineStr">
        <is>
          <t>AVU</t>
        </is>
      </c>
      <c r="P2412" s="59" t="n">
        <v>103</v>
      </c>
      <c r="Q2412" s="59" t="inlineStr">
        <is>
          <t>MILKA FRANCIS</t>
        </is>
      </c>
      <c r="R2412" s="59" t="inlineStr">
        <is>
          <t>ESTOQUE DE MERCADORIAS</t>
        </is>
      </c>
      <c r="S2412" s="59" t="n">
        <v>1130101</v>
      </c>
      <c r="T2412" s="59" t="inlineStr">
        <is>
          <t>MERCADORIAS P/REVENDA</t>
        </is>
      </c>
      <c r="U2412" s="59" t="n">
        <v>939.0599999999999</v>
      </c>
      <c r="W2412" s="59" t="n">
        <v>0</v>
      </c>
      <c r="X2412" s="59" t="inlineStr">
        <is>
          <t>NF 667391-2 MILKA</t>
        </is>
      </c>
      <c r="Z2412" s="59">
        <f>IF($T2412="","",IFERROR(INDEX('Resumo Grupos'!$AC$3:$AC$200,MATCH($T2412,'Resumo Grupos'!$AB$3:$AB$200,0)),"n/d"))</f>
        <v/>
      </c>
      <c r="AA2412" s="59">
        <f>IF($T2412="","",IF(COUNTIF('Resumo Grupos'!$AE$3:$AE$40,$T2412)&gt;0,"NAO","SIM"))</f>
        <v/>
      </c>
    </row>
    <row r="2413" ht="12.75" customHeight="1" s="60">
      <c r="A2413" s="59" t="n">
        <v>1</v>
      </c>
      <c r="B2413" s="82" t="n">
        <v>46242</v>
      </c>
      <c r="C2413" s="82" t="n">
        <v>46267</v>
      </c>
      <c r="D2413" s="59" t="n">
        <v>1637</v>
      </c>
      <c r="E2413" s="59" t="inlineStr">
        <is>
          <t>ATACADAO S.A.</t>
        </is>
      </c>
      <c r="F2413" s="59" t="n">
        <v>24</v>
      </c>
      <c r="G2413" s="59" t="inlineStr">
        <is>
          <t>Compra a Prazo - Boletos</t>
        </is>
      </c>
      <c r="H2413" s="59" t="n">
        <v>2110405</v>
      </c>
      <c r="I2413" s="59" t="inlineStr">
        <is>
          <t>CONTAS A PAGAR</t>
        </is>
      </c>
      <c r="J2413" s="59" t="n">
        <v>1517325</v>
      </c>
      <c r="L2413" s="59" t="n">
        <v>1916563</v>
      </c>
      <c r="M2413" s="59" t="inlineStr">
        <is>
          <t>01</t>
        </is>
      </c>
      <c r="N2413" s="59" t="inlineStr">
        <is>
          <t>AVU</t>
        </is>
      </c>
      <c r="P2413" s="59" t="n">
        <v>103</v>
      </c>
      <c r="Q2413" s="59" t="inlineStr">
        <is>
          <t>MILKA FRANCIS</t>
        </is>
      </c>
      <c r="R2413" s="59" t="inlineStr">
        <is>
          <t>ESTOQUE DE MERCADORIAS</t>
        </is>
      </c>
      <c r="S2413" s="59" t="n">
        <v>1130101</v>
      </c>
      <c r="T2413" s="59" t="inlineStr">
        <is>
          <t>MERCADORIAS P/REVENDA</t>
        </is>
      </c>
      <c r="U2413" s="59" t="n">
        <v>2127.21</v>
      </c>
      <c r="W2413" s="59" t="n">
        <v>0</v>
      </c>
      <c r="X2413" s="59" t="inlineStr">
        <is>
          <t>NF 1916563 - MILKA</t>
        </is>
      </c>
      <c r="Z2413" s="59">
        <f>IF($T2413="","",IFERROR(INDEX('Resumo Grupos'!$AC$3:$AC$200,MATCH($T2413,'Resumo Grupos'!$AB$3:$AB$200,0)),"n/d"))</f>
        <v/>
      </c>
      <c r="AA2413" s="59">
        <f>IF($T2413="","",IF(COUNTIF('Resumo Grupos'!$AE$3:$AE$40,$T2413)&gt;0,"NAO","SIM"))</f>
        <v/>
      </c>
    </row>
    <row r="2414" ht="12.75" customHeight="1" s="60">
      <c r="A2414" s="59" t="n">
        <v>1</v>
      </c>
      <c r="B2414" s="82" t="n">
        <v>46242</v>
      </c>
      <c r="C2414" s="82" t="n">
        <v>46267</v>
      </c>
      <c r="D2414" s="59" t="n">
        <v>1667</v>
      </c>
      <c r="E2414" s="59" t="inlineStr">
        <is>
          <t>FENNIX BRASIL DISTRIBUIDORA DE PRODUTOS</t>
        </is>
      </c>
      <c r="F2414" s="59" t="n">
        <v>24</v>
      </c>
      <c r="G2414" s="59" t="inlineStr">
        <is>
          <t>Compra a Prazo - Boletos</t>
        </is>
      </c>
      <c r="H2414" s="59" t="n">
        <v>2110405</v>
      </c>
      <c r="I2414" s="59" t="inlineStr">
        <is>
          <t>CONTAS A PAGAR</t>
        </is>
      </c>
      <c r="J2414" s="59" t="n">
        <v>1517980</v>
      </c>
      <c r="L2414" s="59" t="n">
        <v>397841</v>
      </c>
      <c r="M2414" s="59" t="inlineStr">
        <is>
          <t>02</t>
        </is>
      </c>
      <c r="N2414" s="59" t="inlineStr">
        <is>
          <t>AVU</t>
        </is>
      </c>
      <c r="P2414" s="59" t="n">
        <v>103</v>
      </c>
      <c r="Q2414" s="59" t="inlineStr">
        <is>
          <t>MILKA FRANCIS</t>
        </is>
      </c>
      <c r="R2414" s="59" t="inlineStr">
        <is>
          <t>ESTOQUE DE MERCADORIAS</t>
        </is>
      </c>
      <c r="S2414" s="59" t="n">
        <v>1130101</v>
      </c>
      <c r="T2414" s="59" t="inlineStr">
        <is>
          <t>MERCADORIAS P/REVENDA</t>
        </is>
      </c>
      <c r="U2414" s="59" t="n">
        <v>611.73</v>
      </c>
      <c r="W2414" s="59" t="n">
        <v>0</v>
      </c>
      <c r="X2414" s="59" t="inlineStr">
        <is>
          <t>NF 397841-2 C/TARIFA INCLUSA - MILKA</t>
        </is>
      </c>
      <c r="Z2414" s="59">
        <f>IF($T2414="","",IFERROR(INDEX('Resumo Grupos'!$AC$3:$AC$200,MATCH($T2414,'Resumo Grupos'!$AB$3:$AB$200,0)),"n/d"))</f>
        <v/>
      </c>
      <c r="AA2414" s="59">
        <f>IF($T2414="","",IF(COUNTIF('Resumo Grupos'!$AE$3:$AE$40,$T2414)&gt;0,"NAO","SIM"))</f>
        <v/>
      </c>
    </row>
    <row r="2415" ht="12.75" customHeight="1" s="60">
      <c r="A2415" s="59" t="n">
        <v>1</v>
      </c>
      <c r="B2415" s="82" t="n">
        <v>46242</v>
      </c>
      <c r="C2415" s="82" t="n">
        <v>46267</v>
      </c>
      <c r="D2415" s="59" t="n">
        <v>967</v>
      </c>
      <c r="E2415" s="59" t="inlineStr">
        <is>
          <t>L. J. DA SILVA LTDA</t>
        </is>
      </c>
      <c r="F2415" s="59" t="n">
        <v>24</v>
      </c>
      <c r="G2415" s="59" t="inlineStr">
        <is>
          <t>Compra a Prazo - Boletos</t>
        </is>
      </c>
      <c r="H2415" s="59" t="n">
        <v>2110405</v>
      </c>
      <c r="I2415" s="59" t="inlineStr">
        <is>
          <t>CONTAS A PAGAR</t>
        </is>
      </c>
      <c r="J2415" s="59" t="n">
        <v>1518232</v>
      </c>
      <c r="L2415" s="59" t="n">
        <v>36539</v>
      </c>
      <c r="M2415" s="59" t="inlineStr">
        <is>
          <t>02</t>
        </is>
      </c>
      <c r="N2415" s="59" t="inlineStr">
        <is>
          <t>AVU</t>
        </is>
      </c>
      <c r="P2415" s="59" t="n">
        <v>103</v>
      </c>
      <c r="Q2415" s="59" t="inlineStr">
        <is>
          <t>MILKA FRANCIS</t>
        </is>
      </c>
      <c r="R2415" s="59" t="inlineStr">
        <is>
          <t>ESTOQUE DE MERCADORIAS</t>
        </is>
      </c>
      <c r="S2415" s="59" t="n">
        <v>1130101</v>
      </c>
      <c r="T2415" s="59" t="inlineStr">
        <is>
          <t>MERCADORIAS P/REVENDA</t>
        </is>
      </c>
      <c r="U2415" s="59" t="n">
        <v>2402.15</v>
      </c>
      <c r="W2415" s="59" t="n">
        <v>0</v>
      </c>
      <c r="X2415" s="59" t="inlineStr">
        <is>
          <t>48293-B/B  NF36539 TARIFA INCLUSA - MILKA</t>
        </is>
      </c>
      <c r="Z2415" s="59">
        <f>IF($T2415="","",IFERROR(INDEX('Resumo Grupos'!$AC$3:$AC$200,MATCH($T2415,'Resumo Grupos'!$AB$3:$AB$200,0)),"n/d"))</f>
        <v/>
      </c>
      <c r="AA2415" s="59">
        <f>IF($T2415="","",IF(COUNTIF('Resumo Grupos'!$AE$3:$AE$40,$T2415)&gt;0,"NAO","SIM"))</f>
        <v/>
      </c>
    </row>
    <row r="2416" ht="12.75" customHeight="1" s="60">
      <c r="A2416" s="59" t="n">
        <v>1</v>
      </c>
      <c r="B2416" s="82" t="n">
        <v>46246</v>
      </c>
      <c r="C2416" s="82" t="n">
        <v>46267</v>
      </c>
      <c r="D2416" s="59" t="n">
        <v>1601</v>
      </c>
      <c r="E2416" s="59" t="inlineStr">
        <is>
          <t>CB COMERCIO E DISTRIBUIDORA DE ALIMENTOS</t>
        </is>
      </c>
      <c r="F2416" s="59" t="n">
        <v>24</v>
      </c>
      <c r="G2416" s="59" t="inlineStr">
        <is>
          <t>Compra a Prazo - Boletos</t>
        </is>
      </c>
      <c r="H2416" s="59" t="n">
        <v>2110405</v>
      </c>
      <c r="I2416" s="59" t="inlineStr">
        <is>
          <t>CONTAS A PAGAR</t>
        </is>
      </c>
      <c r="J2416" s="59" t="n">
        <v>1537246</v>
      </c>
      <c r="L2416" s="59" t="n">
        <v>862283</v>
      </c>
      <c r="M2416" s="59" t="inlineStr">
        <is>
          <t>02</t>
        </is>
      </c>
      <c r="N2416" s="59" t="inlineStr">
        <is>
          <t>AVU</t>
        </is>
      </c>
      <c r="P2416" s="59" t="n">
        <v>103</v>
      </c>
      <c r="Q2416" s="59" t="inlineStr">
        <is>
          <t>MILKA FRANCIS</t>
        </is>
      </c>
      <c r="R2416" s="59" t="inlineStr">
        <is>
          <t>ESTOQUE DE MERCADORIAS</t>
        </is>
      </c>
      <c r="S2416" s="59" t="n">
        <v>1130101</v>
      </c>
      <c r="T2416" s="59" t="inlineStr">
        <is>
          <t>MERCADORIAS P/REVENDA</t>
        </is>
      </c>
      <c r="U2416" s="59" t="n">
        <v>947.55</v>
      </c>
      <c r="W2416" s="59" t="n">
        <v>0</v>
      </c>
      <c r="X2416" s="59" t="inlineStr">
        <is>
          <t>963323-B/C  NF862283 - MILKA</t>
        </is>
      </c>
      <c r="Z2416" s="59">
        <f>IF($T2416="","",IFERROR(INDEX('Resumo Grupos'!$AC$3:$AC$200,MATCH($T2416,'Resumo Grupos'!$AB$3:$AB$200,0)),"n/d"))</f>
        <v/>
      </c>
      <c r="AA2416" s="59">
        <f>IF($T2416="","",IF(COUNTIF('Resumo Grupos'!$AE$3:$AE$40,$T2416)&gt;0,"NAO","SIM"))</f>
        <v/>
      </c>
    </row>
    <row r="2417" ht="12.75" customHeight="1" s="60">
      <c r="A2417" s="59" t="n">
        <v>1</v>
      </c>
      <c r="B2417" s="82" t="n">
        <v>46246</v>
      </c>
      <c r="C2417" s="82" t="n">
        <v>46267</v>
      </c>
      <c r="D2417" s="59" t="n">
        <v>1227</v>
      </c>
      <c r="E2417" s="59" t="inlineStr">
        <is>
          <t>BENDUK COMERCIO E DISTRIBUIDORA DE PRODU</t>
        </is>
      </c>
      <c r="F2417" s="59" t="n">
        <v>24</v>
      </c>
      <c r="G2417" s="59" t="inlineStr">
        <is>
          <t>Compra a Prazo - Boletos</t>
        </is>
      </c>
      <c r="H2417" s="59" t="n">
        <v>2110405</v>
      </c>
      <c r="I2417" s="59" t="inlineStr">
        <is>
          <t>CONTAS A PAGAR</t>
        </is>
      </c>
      <c r="J2417" s="59" t="n">
        <v>1537260</v>
      </c>
      <c r="L2417" s="59" t="n">
        <v>18687</v>
      </c>
      <c r="M2417" s="59" t="inlineStr">
        <is>
          <t>01</t>
        </is>
      </c>
      <c r="N2417" s="59" t="inlineStr">
        <is>
          <t>AVU</t>
        </is>
      </c>
      <c r="P2417" s="59" t="n">
        <v>103</v>
      </c>
      <c r="Q2417" s="59" t="inlineStr">
        <is>
          <t>MILKA FRANCIS</t>
        </is>
      </c>
      <c r="R2417" s="59" t="inlineStr">
        <is>
          <t>ESTOQUE DE MERCADORIAS</t>
        </is>
      </c>
      <c r="S2417" s="59" t="n">
        <v>1130101</v>
      </c>
      <c r="T2417" s="59" t="inlineStr">
        <is>
          <t>MERCADORIAS P/REVENDA</t>
        </is>
      </c>
      <c r="U2417" s="59" t="n">
        <v>993</v>
      </c>
      <c r="W2417" s="59" t="n">
        <v>0</v>
      </c>
      <c r="X2417" s="59" t="inlineStr">
        <is>
          <t>NF 18687 - MILKA</t>
        </is>
      </c>
      <c r="Z2417" s="59">
        <f>IF($T2417="","",IFERROR(INDEX('Resumo Grupos'!$AC$3:$AC$200,MATCH($T2417,'Resumo Grupos'!$AB$3:$AB$200,0)),"n/d"))</f>
        <v/>
      </c>
      <c r="AA2417" s="59">
        <f>IF($T2417="","",IF(COUNTIF('Resumo Grupos'!$AE$3:$AE$40,$T2417)&gt;0,"NAO","SIM"))</f>
        <v/>
      </c>
    </row>
    <row r="2418" ht="12.75" customHeight="1" s="60">
      <c r="A2418" s="59" t="n">
        <v>1</v>
      </c>
      <c r="B2418" s="82" t="n">
        <v>46246</v>
      </c>
      <c r="C2418" s="82" t="n">
        <v>46267</v>
      </c>
      <c r="D2418" s="59" t="n">
        <v>1402</v>
      </c>
      <c r="E2418" s="59" t="inlineStr">
        <is>
          <t>TRIPLASTIK COMERCIAL</t>
        </is>
      </c>
      <c r="F2418" s="59" t="n">
        <v>24</v>
      </c>
      <c r="G2418" s="59" t="inlineStr">
        <is>
          <t>Compra a Prazo - Boletos</t>
        </is>
      </c>
      <c r="H2418" s="59" t="n">
        <v>2110405</v>
      </c>
      <c r="I2418" s="59" t="inlineStr">
        <is>
          <t>CONTAS A PAGAR</t>
        </is>
      </c>
      <c r="J2418" s="59" t="n">
        <v>1537790</v>
      </c>
      <c r="L2418" s="59" t="n">
        <v>4310</v>
      </c>
      <c r="M2418" s="59" t="inlineStr">
        <is>
          <t>01</t>
        </is>
      </c>
      <c r="N2418" s="59" t="inlineStr">
        <is>
          <t>AVU</t>
        </is>
      </c>
      <c r="P2418" s="59" t="n">
        <v>103</v>
      </c>
      <c r="Q2418" s="59" t="inlineStr">
        <is>
          <t>MILKA FRANCIS</t>
        </is>
      </c>
      <c r="R2418" s="59" t="inlineStr">
        <is>
          <t>DESPESAS OPERACIONAIS</t>
        </is>
      </c>
      <c r="S2418" s="59" t="n">
        <v>4210299</v>
      </c>
      <c r="T2418" s="59" t="inlineStr">
        <is>
          <t>DESPESA DE VENDA</t>
        </is>
      </c>
      <c r="U2418" s="59" t="n">
        <v>1722.3</v>
      </c>
      <c r="W2418" s="59" t="n">
        <v>0</v>
      </c>
      <c r="X2418" s="59" t="inlineStr">
        <is>
          <t>NF 4310 SACOLAS 15KG/10KG/5KG - MILKA</t>
        </is>
      </c>
      <c r="Z2418" s="59">
        <f>IF($T2418="","",IFERROR(INDEX('Resumo Grupos'!$AC$3:$AC$200,MATCH($T2418,'Resumo Grupos'!$AB$3:$AB$200,0)),"n/d"))</f>
        <v/>
      </c>
      <c r="AA2418" s="59">
        <f>IF($T2418="","",IF(COUNTIF('Resumo Grupos'!$AE$3:$AE$40,$T2418)&gt;0,"NAO","SIM"))</f>
        <v/>
      </c>
    </row>
    <row r="2419" ht="12.75" customHeight="1" s="60">
      <c r="A2419" s="59" t="n">
        <v>1</v>
      </c>
      <c r="B2419" s="82" t="n">
        <v>46247</v>
      </c>
      <c r="C2419" s="82" t="n">
        <v>46267</v>
      </c>
      <c r="D2419" s="59" t="n">
        <v>1608</v>
      </c>
      <c r="E2419" s="59" t="inlineStr">
        <is>
          <t>DISTRIBUIDORA LOPES LTDA</t>
        </is>
      </c>
      <c r="F2419" s="59" t="n">
        <v>24</v>
      </c>
      <c r="G2419" s="59" t="inlineStr">
        <is>
          <t>Compra a Prazo - Boletos</t>
        </is>
      </c>
      <c r="H2419" s="59" t="n">
        <v>2110405</v>
      </c>
      <c r="I2419" s="59" t="inlineStr">
        <is>
          <t>CONTAS A PAGAR</t>
        </is>
      </c>
      <c r="J2419" s="59" t="n">
        <v>1540511</v>
      </c>
      <c r="L2419" s="59" t="n">
        <v>1709723</v>
      </c>
      <c r="M2419" s="59" t="inlineStr">
        <is>
          <t>02</t>
        </is>
      </c>
      <c r="N2419" s="59" t="inlineStr">
        <is>
          <t>AVU</t>
        </is>
      </c>
      <c r="P2419" s="59" t="n">
        <v>103</v>
      </c>
      <c r="Q2419" s="59" t="inlineStr">
        <is>
          <t>MILKA FRANCIS</t>
        </is>
      </c>
      <c r="R2419" s="59" t="inlineStr">
        <is>
          <t>ESTOQUE DE MERCADORIAS</t>
        </is>
      </c>
      <c r="S2419" s="59" t="n">
        <v>1130101</v>
      </c>
      <c r="T2419" s="59" t="inlineStr">
        <is>
          <t>MERCADORIAS P/REVENDA</t>
        </is>
      </c>
      <c r="U2419" s="59" t="n">
        <v>684.25</v>
      </c>
      <c r="W2419" s="59" t="n">
        <v>0</v>
      </c>
      <c r="X2419" s="59" t="inlineStr">
        <is>
          <t>NF 1709723 -2 MILKA</t>
        </is>
      </c>
      <c r="Z2419" s="59">
        <f>IF($T2419="","",IFERROR(INDEX('Resumo Grupos'!$AC$3:$AC$200,MATCH($T2419,'Resumo Grupos'!$AB$3:$AB$200,0)),"n/d"))</f>
        <v/>
      </c>
      <c r="AA2419" s="59">
        <f>IF($T2419="","",IF(COUNTIF('Resumo Grupos'!$AE$3:$AE$40,$T2419)&gt;0,"NAO","SIM"))</f>
        <v/>
      </c>
    </row>
    <row r="2420" ht="12.75" customHeight="1" s="60">
      <c r="A2420" s="59" t="n">
        <v>1</v>
      </c>
      <c r="B2420" s="82" t="n">
        <v>46247</v>
      </c>
      <c r="C2420" s="82" t="n">
        <v>46267</v>
      </c>
      <c r="D2420" s="59" t="n">
        <v>1636</v>
      </c>
      <c r="E2420" s="59" t="inlineStr">
        <is>
          <t>DUNORTE DISTRIBUIDORA DE PRODUTOS DE CONSUMO LTDA</t>
        </is>
      </c>
      <c r="F2420" s="59" t="n">
        <v>24</v>
      </c>
      <c r="G2420" s="59" t="inlineStr">
        <is>
          <t>Compra a Prazo - Boletos</t>
        </is>
      </c>
      <c r="H2420" s="59" t="n">
        <v>2110405</v>
      </c>
      <c r="I2420" s="59" t="inlineStr">
        <is>
          <t>CONTAS A PAGAR</t>
        </is>
      </c>
      <c r="J2420" s="59" t="n">
        <v>1541185</v>
      </c>
      <c r="L2420" s="59" t="n">
        <v>3235765</v>
      </c>
      <c r="M2420" s="59" t="inlineStr">
        <is>
          <t>02</t>
        </is>
      </c>
      <c r="N2420" s="59" t="inlineStr">
        <is>
          <t>AVU</t>
        </is>
      </c>
      <c r="P2420" s="59" t="n">
        <v>103</v>
      </c>
      <c r="Q2420" s="59" t="inlineStr">
        <is>
          <t>MILKA FRANCIS</t>
        </is>
      </c>
      <c r="R2420" s="59" t="inlineStr">
        <is>
          <t>ESTOQUE DE MERCADORIAS</t>
        </is>
      </c>
      <c r="S2420" s="59" t="n">
        <v>1130101</v>
      </c>
      <c r="T2420" s="59" t="inlineStr">
        <is>
          <t>MERCADORIAS P/REVENDA</t>
        </is>
      </c>
      <c r="U2420" s="59" t="n">
        <v>1264.6</v>
      </c>
      <c r="W2420" s="59" t="n">
        <v>0</v>
      </c>
      <c r="X2420" s="59" t="inlineStr">
        <is>
          <t>NF 3235765 -2 MILKA</t>
        </is>
      </c>
      <c r="Z2420" s="59">
        <f>IF($T2420="","",IFERROR(INDEX('Resumo Grupos'!$AC$3:$AC$200,MATCH($T2420,'Resumo Grupos'!$AB$3:$AB$200,0)),"n/d"))</f>
        <v/>
      </c>
      <c r="AA2420" s="59">
        <f>IF($T2420="","",IF(COUNTIF('Resumo Grupos'!$AE$3:$AE$40,$T2420)&gt;0,"NAO","SIM"))</f>
        <v/>
      </c>
    </row>
    <row r="2421" ht="12.75" customHeight="1" s="60">
      <c r="A2421" s="59" t="n">
        <v>1</v>
      </c>
      <c r="B2421" s="82" t="n">
        <v>46247</v>
      </c>
      <c r="C2421" s="82" t="n">
        <v>46267</v>
      </c>
      <c r="D2421" s="59" t="n">
        <v>1107</v>
      </c>
      <c r="E2421" s="59" t="inlineStr">
        <is>
          <t>OESA COMERCIO E REPRESENTACOES S/A</t>
        </is>
      </c>
      <c r="F2421" s="59" t="n">
        <v>24</v>
      </c>
      <c r="G2421" s="59" t="inlineStr">
        <is>
          <t>Compra a Prazo - Boletos</t>
        </is>
      </c>
      <c r="H2421" s="59" t="n">
        <v>2110405</v>
      </c>
      <c r="I2421" s="59" t="inlineStr">
        <is>
          <t>CONTAS A PAGAR</t>
        </is>
      </c>
      <c r="J2421" s="59" t="n">
        <v>1542142</v>
      </c>
      <c r="L2421" s="59" t="n">
        <v>441856</v>
      </c>
      <c r="M2421" s="59" t="inlineStr">
        <is>
          <t>01</t>
        </is>
      </c>
      <c r="N2421" s="59" t="inlineStr">
        <is>
          <t>AVU</t>
        </is>
      </c>
      <c r="P2421" s="59" t="n">
        <v>103</v>
      </c>
      <c r="Q2421" s="59" t="inlineStr">
        <is>
          <t>MILKA FRANCIS</t>
        </is>
      </c>
      <c r="R2421" s="59" t="inlineStr">
        <is>
          <t>ESTOQUE DE MERCADORIAS</t>
        </is>
      </c>
      <c r="S2421" s="59" t="n">
        <v>1130101</v>
      </c>
      <c r="T2421" s="59" t="inlineStr">
        <is>
          <t>MERCADORIAS P/REVENDA</t>
        </is>
      </c>
      <c r="U2421" s="59" t="n">
        <v>836.55</v>
      </c>
      <c r="W2421" s="59" t="n">
        <v>0</v>
      </c>
      <c r="X2421" s="59" t="inlineStr">
        <is>
          <t>NF 441856 -1 MILKA</t>
        </is>
      </c>
      <c r="Z2421" s="59">
        <f>IF($T2421="","",IFERROR(INDEX('Resumo Grupos'!$AC$3:$AC$200,MATCH($T2421,'Resumo Grupos'!$AB$3:$AB$200,0)),"n/d"))</f>
        <v/>
      </c>
      <c r="AA2421" s="59">
        <f>IF($T2421="","",IF(COUNTIF('Resumo Grupos'!$AE$3:$AE$40,$T2421)&gt;0,"NAO","SIM"))</f>
        <v/>
      </c>
    </row>
    <row r="2422" ht="12.75" customHeight="1" s="60">
      <c r="A2422" s="59" t="n">
        <v>1</v>
      </c>
      <c r="B2422" s="82" t="n">
        <v>46247</v>
      </c>
      <c r="C2422" s="82" t="n">
        <v>46267</v>
      </c>
      <c r="D2422" s="59" t="n">
        <v>1749</v>
      </c>
      <c r="E2422" s="59" t="inlineStr">
        <is>
          <t>ORIENTE COM. ATACADISTA E REPRES. LTDA</t>
        </is>
      </c>
      <c r="F2422" s="59" t="n">
        <v>24</v>
      </c>
      <c r="G2422" s="59" t="inlineStr">
        <is>
          <t>Compra a Prazo - Boletos</t>
        </is>
      </c>
      <c r="H2422" s="59" t="n">
        <v>2110405</v>
      </c>
      <c r="I2422" s="59" t="inlineStr">
        <is>
          <t>CONTAS A PAGAR</t>
        </is>
      </c>
      <c r="J2422" s="59" t="n">
        <v>1542706</v>
      </c>
      <c r="L2422" s="59" t="n">
        <v>3389</v>
      </c>
      <c r="M2422" s="59" t="inlineStr">
        <is>
          <t>02</t>
        </is>
      </c>
      <c r="N2422" s="59" t="inlineStr">
        <is>
          <t>AVU</t>
        </is>
      </c>
      <c r="P2422" s="59" t="n">
        <v>103</v>
      </c>
      <c r="Q2422" s="59" t="inlineStr">
        <is>
          <t>MILKA FRANCIS</t>
        </is>
      </c>
      <c r="R2422" s="59" t="inlineStr">
        <is>
          <t>ESTOQUE DE MERCADORIAS</t>
        </is>
      </c>
      <c r="S2422" s="59" t="n">
        <v>1130101</v>
      </c>
      <c r="T2422" s="59" t="inlineStr">
        <is>
          <t>MERCADORIAS P/REVENDA</t>
        </is>
      </c>
      <c r="U2422" s="59" t="n">
        <v>815.45</v>
      </c>
      <c r="W2422" s="59" t="n">
        <v>0</v>
      </c>
      <c r="X2422" s="59" t="inlineStr">
        <is>
          <t>4101/2  NF3389 - MILKA</t>
        </is>
      </c>
      <c r="Z2422" s="59">
        <f>IF($T2422="","",IFERROR(INDEX('Resumo Grupos'!$AC$3:$AC$200,MATCH($T2422,'Resumo Grupos'!$AB$3:$AB$200,0)),"n/d"))</f>
        <v/>
      </c>
      <c r="AA2422" s="59">
        <f>IF($T2422="","",IF(COUNTIF('Resumo Grupos'!$AE$3:$AE$40,$T2422)&gt;0,"NAO","SIM"))</f>
        <v/>
      </c>
    </row>
    <row r="2423" ht="12.75" customHeight="1" s="60">
      <c r="A2423" s="59" t="n">
        <v>1</v>
      </c>
      <c r="B2423" s="82" t="n">
        <v>46247</v>
      </c>
      <c r="C2423" s="82" t="n">
        <v>46267</v>
      </c>
      <c r="D2423" s="59" t="n">
        <v>1136</v>
      </c>
      <c r="E2423" s="59" t="inlineStr">
        <is>
          <t>VIA CERTA IMPORTACAO E DISTRIBUICAO DE A</t>
        </is>
      </c>
      <c r="F2423" s="59" t="n">
        <v>24</v>
      </c>
      <c r="G2423" s="59" t="inlineStr">
        <is>
          <t>Compra a Prazo - Boletos</t>
        </is>
      </c>
      <c r="H2423" s="59" t="n">
        <v>2110405</v>
      </c>
      <c r="I2423" s="59" t="inlineStr">
        <is>
          <t>CONTAS A PAGAR</t>
        </is>
      </c>
      <c r="J2423" s="59" t="n">
        <v>1543942</v>
      </c>
      <c r="L2423" s="59" t="n">
        <v>53783</v>
      </c>
      <c r="M2423" s="59" t="inlineStr">
        <is>
          <t>01</t>
        </is>
      </c>
      <c r="N2423" s="59" t="inlineStr">
        <is>
          <t>AVU</t>
        </is>
      </c>
      <c r="P2423" s="59" t="n">
        <v>103</v>
      </c>
      <c r="Q2423" s="59" t="inlineStr">
        <is>
          <t>MILKA FRANCIS</t>
        </is>
      </c>
      <c r="R2423" s="59" t="inlineStr">
        <is>
          <t>ESTOQUE DE MERCADORIAS</t>
        </is>
      </c>
      <c r="S2423" s="59" t="n">
        <v>1130101</v>
      </c>
      <c r="T2423" s="59" t="inlineStr">
        <is>
          <t>MERCADORIAS P/REVENDA</t>
        </is>
      </c>
      <c r="U2423" s="59" t="n">
        <v>591.9400000000001</v>
      </c>
      <c r="W2423" s="59" t="n">
        <v>0</v>
      </c>
      <c r="X2423" s="59" t="inlineStr">
        <is>
          <t>NF 53783-1 MILKA</t>
        </is>
      </c>
      <c r="Z2423" s="59">
        <f>IF($T2423="","",IFERROR(INDEX('Resumo Grupos'!$AC$3:$AC$200,MATCH($T2423,'Resumo Grupos'!$AB$3:$AB$200,0)),"n/d"))</f>
        <v/>
      </c>
      <c r="AA2423" s="59">
        <f>IF($T2423="","",IF(COUNTIF('Resumo Grupos'!$AE$3:$AE$40,$T2423)&gt;0,"NAO","SIM"))</f>
        <v/>
      </c>
    </row>
    <row r="2424" ht="12.75" customHeight="1" s="60">
      <c r="A2424" s="59" t="n">
        <v>1</v>
      </c>
      <c r="B2424" s="82" t="n">
        <v>46248</v>
      </c>
      <c r="C2424" s="82" t="n">
        <v>46267</v>
      </c>
      <c r="D2424" s="59" t="n">
        <v>1612</v>
      </c>
      <c r="E2424" s="59" t="inlineStr">
        <is>
          <t>EMPRESA BRASILEIRA DE DISTRIBUICAO LTDA</t>
        </is>
      </c>
      <c r="F2424" s="59" t="n">
        <v>24</v>
      </c>
      <c r="G2424" s="59" t="inlineStr">
        <is>
          <t>Compra a Prazo - Boletos</t>
        </is>
      </c>
      <c r="H2424" s="59" t="n">
        <v>2110405</v>
      </c>
      <c r="I2424" s="59" t="inlineStr">
        <is>
          <t>CONTAS A PAGAR</t>
        </is>
      </c>
      <c r="J2424" s="59" t="n">
        <v>1546677</v>
      </c>
      <c r="L2424" s="59" t="n">
        <v>2309729</v>
      </c>
      <c r="M2424" s="59" t="inlineStr">
        <is>
          <t>01</t>
        </is>
      </c>
      <c r="N2424" s="59" t="inlineStr">
        <is>
          <t>AVU</t>
        </is>
      </c>
      <c r="P2424" s="59" t="n">
        <v>103</v>
      </c>
      <c r="Q2424" s="59" t="inlineStr">
        <is>
          <t>MILKA FRANCIS</t>
        </is>
      </c>
      <c r="R2424" s="59" t="inlineStr">
        <is>
          <t>ESTOQUE DE MERCADORIAS</t>
        </is>
      </c>
      <c r="S2424" s="59" t="n">
        <v>1130101</v>
      </c>
      <c r="T2424" s="59" t="inlineStr">
        <is>
          <t>MERCADORIAS P/REVENDA</t>
        </is>
      </c>
      <c r="U2424" s="59" t="n">
        <v>1200.77</v>
      </c>
      <c r="W2424" s="59" t="n">
        <v>0</v>
      </c>
      <c r="X2424" s="59" t="inlineStr">
        <is>
          <t>NF 2309729-1 MILKA</t>
        </is>
      </c>
      <c r="Z2424" s="59">
        <f>IF($T2424="","",IFERROR(INDEX('Resumo Grupos'!$AC$3:$AC$200,MATCH($T2424,'Resumo Grupos'!$AB$3:$AB$200,0)),"n/d"))</f>
        <v/>
      </c>
      <c r="AA2424" s="59">
        <f>IF($T2424="","",IF(COUNTIF('Resumo Grupos'!$AE$3:$AE$40,$T2424)&gt;0,"NAO","SIM"))</f>
        <v/>
      </c>
    </row>
    <row r="2425" ht="12.75" customHeight="1" s="60">
      <c r="A2425" s="59" t="n">
        <v>1</v>
      </c>
      <c r="B2425" s="82" t="n">
        <v>46249</v>
      </c>
      <c r="C2425" s="82" t="n">
        <v>46267</v>
      </c>
      <c r="D2425" s="59" t="n">
        <v>1613</v>
      </c>
      <c r="E2425" s="59" t="inlineStr">
        <is>
          <t>BRF S A</t>
        </is>
      </c>
      <c r="F2425" s="59" t="n">
        <v>24</v>
      </c>
      <c r="G2425" s="59" t="inlineStr">
        <is>
          <t>Compra a Prazo - Boletos</t>
        </is>
      </c>
      <c r="H2425" s="59" t="n">
        <v>2110405</v>
      </c>
      <c r="I2425" s="59" t="inlineStr">
        <is>
          <t>CONTAS A PAGAR</t>
        </is>
      </c>
      <c r="J2425" s="59" t="n">
        <v>1551828</v>
      </c>
      <c r="L2425" s="59" t="n">
        <v>1619134</v>
      </c>
      <c r="M2425" s="59" t="inlineStr">
        <is>
          <t>02</t>
        </is>
      </c>
      <c r="N2425" s="59" t="inlineStr">
        <is>
          <t>AVU</t>
        </is>
      </c>
      <c r="P2425" s="59" t="n">
        <v>103</v>
      </c>
      <c r="Q2425" s="59" t="inlineStr">
        <is>
          <t>MILKA FRANCIS</t>
        </is>
      </c>
      <c r="R2425" s="59" t="inlineStr">
        <is>
          <t>ESTOQUE DE MERCADORIAS</t>
        </is>
      </c>
      <c r="S2425" s="59" t="n">
        <v>1130101</v>
      </c>
      <c r="T2425" s="59" t="inlineStr">
        <is>
          <t>MERCADORIAS P/REVENDA</t>
        </is>
      </c>
      <c r="U2425" s="59" t="n">
        <v>3149.22</v>
      </c>
      <c r="W2425" s="59" t="n">
        <v>0</v>
      </c>
      <c r="X2425" s="59" t="inlineStr">
        <is>
          <t>NF 1619134 -02/02 MILKA</t>
        </is>
      </c>
      <c r="Z2425" s="59">
        <f>IF($T2425="","",IFERROR(INDEX('Resumo Grupos'!$AC$3:$AC$200,MATCH($T2425,'Resumo Grupos'!$AB$3:$AB$200,0)),"n/d"))</f>
        <v/>
      </c>
      <c r="AA2425" s="59">
        <f>IF($T2425="","",IF(COUNTIF('Resumo Grupos'!$AE$3:$AE$40,$T2425)&gt;0,"NAO","SIM"))</f>
        <v/>
      </c>
    </row>
    <row r="2426" ht="12.75" customHeight="1" s="60">
      <c r="A2426" s="59" t="n">
        <v>1</v>
      </c>
      <c r="B2426" s="82" t="n">
        <v>46253</v>
      </c>
      <c r="C2426" s="82" t="n">
        <v>46267</v>
      </c>
      <c r="D2426" s="59" t="n">
        <v>1608</v>
      </c>
      <c r="E2426" s="59" t="inlineStr">
        <is>
          <t>DISTRIBUIDORA LOPES LTDA</t>
        </is>
      </c>
      <c r="F2426" s="59" t="n">
        <v>24</v>
      </c>
      <c r="G2426" s="59" t="inlineStr">
        <is>
          <t>Compra a Prazo - Boletos</t>
        </is>
      </c>
      <c r="H2426" s="59" t="n">
        <v>2110405</v>
      </c>
      <c r="I2426" s="59" t="inlineStr">
        <is>
          <t>CONTAS A PAGAR</t>
        </is>
      </c>
      <c r="J2426" s="59" t="n">
        <v>1572200</v>
      </c>
      <c r="L2426" s="59" t="n">
        <v>1713960</v>
      </c>
      <c r="M2426" s="59" t="inlineStr">
        <is>
          <t>01</t>
        </is>
      </c>
      <c r="N2426" s="59" t="inlineStr">
        <is>
          <t>AVU</t>
        </is>
      </c>
      <c r="P2426" s="59" t="n">
        <v>103</v>
      </c>
      <c r="Q2426" s="59" t="inlineStr">
        <is>
          <t>MILKA FRANCIS</t>
        </is>
      </c>
      <c r="R2426" s="59" t="inlineStr">
        <is>
          <t>ESTOQUE DE MERCADORIAS</t>
        </is>
      </c>
      <c r="S2426" s="59" t="n">
        <v>1130101</v>
      </c>
      <c r="T2426" s="59" t="inlineStr">
        <is>
          <t>MERCADORIAS P/REVENDA</t>
        </is>
      </c>
      <c r="U2426" s="59" t="n">
        <v>932.54</v>
      </c>
      <c r="W2426" s="59" t="n">
        <v>0</v>
      </c>
      <c r="X2426" s="59" t="inlineStr">
        <is>
          <t>NF 1713960 -1 MILKA</t>
        </is>
      </c>
      <c r="Z2426" s="59">
        <f>IF($T2426="","",IFERROR(INDEX('Resumo Grupos'!$AC$3:$AC$200,MATCH($T2426,'Resumo Grupos'!$AB$3:$AB$200,0)),"n/d"))</f>
        <v/>
      </c>
      <c r="AA2426" s="59">
        <f>IF($T2426="","",IF(COUNTIF('Resumo Grupos'!$AE$3:$AE$40,$T2426)&gt;0,"NAO","SIM"))</f>
        <v/>
      </c>
    </row>
    <row r="2427" ht="12.75" customHeight="1" s="60">
      <c r="A2427" s="59" t="n">
        <v>1</v>
      </c>
      <c r="B2427" s="82" t="n">
        <v>46254</v>
      </c>
      <c r="C2427" s="82" t="n">
        <v>46267</v>
      </c>
      <c r="D2427" s="59" t="n">
        <v>1608</v>
      </c>
      <c r="E2427" s="59" t="inlineStr">
        <is>
          <t>DISTRIBUIDORA LOPES LTDA</t>
        </is>
      </c>
      <c r="F2427" s="59" t="n">
        <v>24</v>
      </c>
      <c r="G2427" s="59" t="inlineStr">
        <is>
          <t>Compra a Prazo - Boletos</t>
        </is>
      </c>
      <c r="H2427" s="59" t="n">
        <v>2110405</v>
      </c>
      <c r="I2427" s="59" t="inlineStr">
        <is>
          <t>CONTAS A PAGAR</t>
        </is>
      </c>
      <c r="J2427" s="59" t="n">
        <v>1576059</v>
      </c>
      <c r="L2427" s="59" t="n">
        <v>1713862</v>
      </c>
      <c r="M2427" s="59" t="inlineStr">
        <is>
          <t>01</t>
        </is>
      </c>
      <c r="N2427" s="59" t="inlineStr">
        <is>
          <t>AVU</t>
        </is>
      </c>
      <c r="P2427" s="59" t="n">
        <v>103</v>
      </c>
      <c r="Q2427" s="59" t="inlineStr">
        <is>
          <t>MILKA FRANCIS</t>
        </is>
      </c>
      <c r="R2427" s="59" t="inlineStr">
        <is>
          <t>ESTOQUE DE MERCADORIAS</t>
        </is>
      </c>
      <c r="S2427" s="59" t="n">
        <v>1130101</v>
      </c>
      <c r="T2427" s="59" t="inlineStr">
        <is>
          <t>MERCADORIAS P/REVENDA</t>
        </is>
      </c>
      <c r="U2427" s="59" t="n">
        <v>952.02</v>
      </c>
      <c r="W2427" s="59" t="n">
        <v>0</v>
      </c>
      <c r="X2427" s="59" t="inlineStr">
        <is>
          <t>NF 1713862 -1 MILKA</t>
        </is>
      </c>
      <c r="Z2427" s="59">
        <f>IF($T2427="","",IFERROR(INDEX('Resumo Grupos'!$AC$3:$AC$200,MATCH($T2427,'Resumo Grupos'!$AB$3:$AB$200,0)),"n/d"))</f>
        <v/>
      </c>
      <c r="AA2427" s="59">
        <f>IF($T2427="","",IF(COUNTIF('Resumo Grupos'!$AE$3:$AE$40,$T2427)&gt;0,"NAO","SIM"))</f>
        <v/>
      </c>
    </row>
    <row r="2428" ht="12.75" customHeight="1" s="60">
      <c r="A2428" s="59" t="n">
        <v>1</v>
      </c>
      <c r="B2428" s="82" t="n">
        <v>46255</v>
      </c>
      <c r="C2428" s="82" t="n">
        <v>46267</v>
      </c>
      <c r="D2428" s="59" t="n">
        <v>967</v>
      </c>
      <c r="E2428" s="59" t="inlineStr">
        <is>
          <t>L. J. DA SILVA LTDA</t>
        </is>
      </c>
      <c r="F2428" s="59" t="n">
        <v>24</v>
      </c>
      <c r="G2428" s="59" t="inlineStr">
        <is>
          <t>Compra a Prazo - Boletos</t>
        </is>
      </c>
      <c r="H2428" s="59" t="n">
        <v>2110405</v>
      </c>
      <c r="I2428" s="59" t="inlineStr">
        <is>
          <t>CONTAS A PAGAR</t>
        </is>
      </c>
      <c r="J2428" s="59" t="n">
        <v>1582001</v>
      </c>
      <c r="L2428" s="59" t="n">
        <v>37328</v>
      </c>
      <c r="M2428" s="59" t="inlineStr">
        <is>
          <t>01</t>
        </is>
      </c>
      <c r="N2428" s="59" t="inlineStr">
        <is>
          <t>AVU</t>
        </is>
      </c>
      <c r="P2428" s="59" t="n">
        <v>103</v>
      </c>
      <c r="Q2428" s="59" t="inlineStr">
        <is>
          <t>MILKA FRANCIS</t>
        </is>
      </c>
      <c r="R2428" s="59" t="inlineStr">
        <is>
          <t>ESTOQUE DE MERCADORIAS</t>
        </is>
      </c>
      <c r="S2428" s="59" t="n">
        <v>1130101</v>
      </c>
      <c r="T2428" s="59" t="inlineStr">
        <is>
          <t>MERCADORIAS P/REVENDA</t>
        </is>
      </c>
      <c r="U2428" s="59" t="n">
        <v>1334.15</v>
      </c>
      <c r="W2428" s="59" t="n">
        <v>0</v>
      </c>
      <c r="X2428" s="59" t="inlineStr">
        <is>
          <t>NF 49329-A/C  NF37328 - MILKA</t>
        </is>
      </c>
      <c r="Z2428" s="59">
        <f>IF($T2428="","",IFERROR(INDEX('Resumo Grupos'!$AC$3:$AC$200,MATCH($T2428,'Resumo Grupos'!$AB$3:$AB$200,0)),"n/d"))</f>
        <v/>
      </c>
      <c r="AA2428" s="59">
        <f>IF($T2428="","",IF(COUNTIF('Resumo Grupos'!$AE$3:$AE$40,$T2428)&gt;0,"NAO","SIM"))</f>
        <v/>
      </c>
    </row>
    <row r="2429" ht="12.75" customHeight="1" s="60">
      <c r="A2429" s="59" t="n">
        <v>1</v>
      </c>
      <c r="B2429" s="82" t="n">
        <v>46256</v>
      </c>
      <c r="C2429" s="82" t="n">
        <v>46267</v>
      </c>
      <c r="D2429" s="59" t="n">
        <v>10009</v>
      </c>
      <c r="E2429" s="59" t="inlineStr">
        <is>
          <t>NESTLÉ BRASIL LTDA.</t>
        </is>
      </c>
      <c r="F2429" s="59" t="n">
        <v>24</v>
      </c>
      <c r="G2429" s="59" t="inlineStr">
        <is>
          <t>Compra a Prazo - Boletos</t>
        </is>
      </c>
      <c r="H2429" s="59" t="n">
        <v>2110405</v>
      </c>
      <c r="I2429" s="59" t="inlineStr">
        <is>
          <t>CONTAS A PAGAR</t>
        </is>
      </c>
      <c r="J2429" s="59" t="n">
        <v>1585417</v>
      </c>
      <c r="L2429" s="59" t="n">
        <v>1441106</v>
      </c>
      <c r="M2429" s="59" t="inlineStr">
        <is>
          <t>01</t>
        </is>
      </c>
      <c r="N2429" s="59" t="inlineStr">
        <is>
          <t>AVU</t>
        </is>
      </c>
      <c r="P2429" s="59" t="n">
        <v>103</v>
      </c>
      <c r="Q2429" s="59" t="inlineStr">
        <is>
          <t>MILKA FRANCIS</t>
        </is>
      </c>
      <c r="R2429" s="59" t="inlineStr">
        <is>
          <t>ESTOQUE DE MERCADORIAS</t>
        </is>
      </c>
      <c r="S2429" s="59" t="n">
        <v>1130101</v>
      </c>
      <c r="T2429" s="59" t="inlineStr">
        <is>
          <t>MERCADORIAS P/REVENDA</t>
        </is>
      </c>
      <c r="U2429" s="59" t="n">
        <v>5430.04</v>
      </c>
      <c r="W2429" s="59" t="n">
        <v>0</v>
      </c>
      <c r="X2429" s="59" t="inlineStr">
        <is>
          <t>NF 1441106 - MILKA</t>
        </is>
      </c>
      <c r="Z2429" s="59">
        <f>IF($T2429="","",IFERROR(INDEX('Resumo Grupos'!$AC$3:$AC$200,MATCH($T2429,'Resumo Grupos'!$AB$3:$AB$200,0)),"n/d"))</f>
        <v/>
      </c>
      <c r="AA2429" s="59">
        <f>IF($T2429="","",IF(COUNTIF('Resumo Grupos'!$AE$3:$AE$40,$T2429)&gt;0,"NAO","SIM"))</f>
        <v/>
      </c>
    </row>
    <row r="2430" ht="12.75" customHeight="1" s="60">
      <c r="A2430" s="59" t="n">
        <v>1</v>
      </c>
      <c r="B2430" s="82" t="n">
        <v>46204</v>
      </c>
      <c r="C2430" s="82" t="n">
        <v>46268</v>
      </c>
      <c r="D2430" s="59" t="n">
        <v>607</v>
      </c>
      <c r="E2430" s="59" t="inlineStr">
        <is>
          <t>PRIME PET DISTRIBUIDORA LTDA</t>
        </is>
      </c>
      <c r="F2430" s="59" t="n">
        <v>24</v>
      </c>
      <c r="G2430" s="59" t="inlineStr">
        <is>
          <t>Compra a Prazo - Boletos</t>
        </is>
      </c>
      <c r="H2430" s="59" t="n">
        <v>2110101</v>
      </c>
      <c r="I2430" s="59" t="inlineStr">
        <is>
          <t>FORNECEDORES DE MERCADORIA</t>
        </is>
      </c>
      <c r="J2430" s="59" t="n">
        <v>1335231</v>
      </c>
      <c r="L2430" s="59" t="n">
        <v>11002</v>
      </c>
      <c r="M2430" s="59" t="inlineStr">
        <is>
          <t>05</t>
        </is>
      </c>
      <c r="N2430" s="59" t="inlineStr">
        <is>
          <t>NFE</t>
        </is>
      </c>
      <c r="P2430" s="59" t="n">
        <v>103</v>
      </c>
      <c r="Q2430" s="59" t="inlineStr">
        <is>
          <t>MILKA FRANCIS</t>
        </is>
      </c>
      <c r="R2430" s="59" t="inlineStr">
        <is>
          <t>ESTOQUE DE MERCADORIAS</t>
        </is>
      </c>
      <c r="S2430" s="59" t="n">
        <v>1130101</v>
      </c>
      <c r="T2430" s="59" t="inlineStr">
        <is>
          <t>MERCADORIAS P/REVENDA</t>
        </is>
      </c>
      <c r="U2430" s="59" t="n">
        <v>1849.57</v>
      </c>
      <c r="W2430" s="59" t="n">
        <v>0</v>
      </c>
      <c r="X2430" s="59" t="inlineStr">
        <is>
          <t xml:space="preserve">NF 11002-05/07 MILKA </t>
        </is>
      </c>
      <c r="Z2430" s="59">
        <f>IF($T2430="","",IFERROR(INDEX('Resumo Grupos'!$AC$3:$AC$200,MATCH($T2430,'Resumo Grupos'!$AB$3:$AB$200,0)),"n/d"))</f>
        <v/>
      </c>
      <c r="AA2430" s="59">
        <f>IF($T2430="","",IF(COUNTIF('Resumo Grupos'!$AE$3:$AE$40,$T2430)&gt;0,"NAO","SIM"))</f>
        <v/>
      </c>
    </row>
    <row r="2431" ht="12.75" customHeight="1" s="60">
      <c r="A2431" s="59" t="n">
        <v>1</v>
      </c>
      <c r="B2431" s="82" t="n">
        <v>46240</v>
      </c>
      <c r="C2431" s="82" t="n">
        <v>46268</v>
      </c>
      <c r="D2431" s="59" t="n">
        <v>1612</v>
      </c>
      <c r="E2431" s="59" t="inlineStr">
        <is>
          <t>EMPRESA BRASILEIRA DE DISTRIBUICAO LTDA</t>
        </is>
      </c>
      <c r="F2431" s="59" t="n">
        <v>24</v>
      </c>
      <c r="G2431" s="59" t="inlineStr">
        <is>
          <t>Compra a Prazo - Boletos</t>
        </is>
      </c>
      <c r="H2431" s="59" t="n">
        <v>2110405</v>
      </c>
      <c r="I2431" s="59" t="inlineStr">
        <is>
          <t>CONTAS A PAGAR</t>
        </is>
      </c>
      <c r="J2431" s="59" t="n">
        <v>1508279</v>
      </c>
      <c r="L2431" s="59" t="n">
        <v>2307727</v>
      </c>
      <c r="M2431" s="59" t="inlineStr">
        <is>
          <t>03</t>
        </is>
      </c>
      <c r="N2431" s="59" t="inlineStr">
        <is>
          <t>AVU</t>
        </is>
      </c>
      <c r="P2431" s="59" t="n">
        <v>103</v>
      </c>
      <c r="Q2431" s="59" t="inlineStr">
        <is>
          <t>MILKA FRANCIS</t>
        </is>
      </c>
      <c r="R2431" s="59" t="inlineStr">
        <is>
          <t>ESTOQUE DE MERCADORIAS</t>
        </is>
      </c>
      <c r="S2431" s="59" t="n">
        <v>1130101</v>
      </c>
      <c r="T2431" s="59" t="inlineStr">
        <is>
          <t>MERCADORIAS P/REVENDA</t>
        </is>
      </c>
      <c r="U2431" s="59" t="n">
        <v>1167.15</v>
      </c>
      <c r="W2431" s="59" t="n">
        <v>0</v>
      </c>
      <c r="X2431" s="59" t="inlineStr">
        <is>
          <t>NF 2307727-3 MILKA</t>
        </is>
      </c>
      <c r="Z2431" s="59">
        <f>IF($T2431="","",IFERROR(INDEX('Resumo Grupos'!$AC$3:$AC$200,MATCH($T2431,'Resumo Grupos'!$AB$3:$AB$200,0)),"n/d"))</f>
        <v/>
      </c>
      <c r="AA2431" s="59">
        <f>IF($T2431="","",IF(COUNTIF('Resumo Grupos'!$AE$3:$AE$40,$T2431)&gt;0,"NAO","SIM"))</f>
        <v/>
      </c>
    </row>
    <row r="2432" ht="12.75" customHeight="1" s="60">
      <c r="A2432" s="59" t="n">
        <v>1</v>
      </c>
      <c r="B2432" s="82" t="n">
        <v>46240</v>
      </c>
      <c r="C2432" s="82" t="n">
        <v>46268</v>
      </c>
      <c r="D2432" s="59" t="n">
        <v>1608</v>
      </c>
      <c r="E2432" s="59" t="inlineStr">
        <is>
          <t>DISTRIBUIDORA LOPES LTDA</t>
        </is>
      </c>
      <c r="F2432" s="59" t="n">
        <v>24</v>
      </c>
      <c r="G2432" s="59" t="inlineStr">
        <is>
          <t>Compra a Prazo - Boletos</t>
        </is>
      </c>
      <c r="H2432" s="59" t="n">
        <v>2110405</v>
      </c>
      <c r="I2432" s="59" t="inlineStr">
        <is>
          <t>CONTAS A PAGAR</t>
        </is>
      </c>
      <c r="J2432" s="59" t="n">
        <v>1508347</v>
      </c>
      <c r="L2432" s="59" t="n">
        <v>1706774</v>
      </c>
      <c r="M2432" s="59" t="inlineStr">
        <is>
          <t>03</t>
        </is>
      </c>
      <c r="N2432" s="59" t="inlineStr">
        <is>
          <t>AVU</t>
        </is>
      </c>
      <c r="P2432" s="59" t="n">
        <v>103</v>
      </c>
      <c r="Q2432" s="59" t="inlineStr">
        <is>
          <t>MILKA FRANCIS</t>
        </is>
      </c>
      <c r="R2432" s="59" t="inlineStr">
        <is>
          <t>ESTOQUE DE MERCADORIAS</t>
        </is>
      </c>
      <c r="S2432" s="59" t="n">
        <v>1130101</v>
      </c>
      <c r="T2432" s="59" t="inlineStr">
        <is>
          <t>MERCADORIAS P/REVENDA</t>
        </is>
      </c>
      <c r="U2432" s="59" t="n">
        <v>1141.92</v>
      </c>
      <c r="W2432" s="59" t="n">
        <v>0</v>
      </c>
      <c r="X2432" s="59" t="inlineStr">
        <is>
          <t>NF 1706774-3 C/DESCONTO NO BOLETO - MILKA</t>
        </is>
      </c>
      <c r="Z2432" s="59">
        <f>IF($T2432="","",IFERROR(INDEX('Resumo Grupos'!$AC$3:$AC$200,MATCH($T2432,'Resumo Grupos'!$AB$3:$AB$200,0)),"n/d"))</f>
        <v/>
      </c>
      <c r="AA2432" s="59">
        <f>IF($T2432="","",IF(COUNTIF('Resumo Grupos'!$AE$3:$AE$40,$T2432)&gt;0,"NAO","SIM"))</f>
        <v/>
      </c>
    </row>
    <row r="2433" ht="12.75" customHeight="1" s="60">
      <c r="A2433" s="59" t="n">
        <v>1</v>
      </c>
      <c r="B2433" s="82" t="n">
        <v>46240</v>
      </c>
      <c r="C2433" s="82" t="n">
        <v>46268</v>
      </c>
      <c r="D2433" s="59" t="n">
        <v>10017</v>
      </c>
      <c r="E2433" s="59" t="inlineStr">
        <is>
          <t>PIARARA COMERCIO, IMPORTACAO E EXPORTACAO LTDA</t>
        </is>
      </c>
      <c r="F2433" s="59" t="n">
        <v>24</v>
      </c>
      <c r="G2433" s="59" t="inlineStr">
        <is>
          <t>Compra a Prazo - Boletos</t>
        </is>
      </c>
      <c r="H2433" s="59" t="n">
        <v>2110405</v>
      </c>
      <c r="I2433" s="59" t="inlineStr">
        <is>
          <t>CONTAS A PAGAR</t>
        </is>
      </c>
      <c r="J2433" s="59" t="n">
        <v>1508414</v>
      </c>
      <c r="L2433" s="59" t="n">
        <v>195281</v>
      </c>
      <c r="M2433" s="59" t="inlineStr">
        <is>
          <t>03</t>
        </is>
      </c>
      <c r="N2433" s="59" t="inlineStr">
        <is>
          <t>AVU</t>
        </is>
      </c>
      <c r="P2433" s="59" t="n">
        <v>103</v>
      </c>
      <c r="Q2433" s="59" t="inlineStr">
        <is>
          <t>MILKA FRANCIS</t>
        </is>
      </c>
      <c r="R2433" s="59" t="inlineStr">
        <is>
          <t>ESTOQUE DE MERCADORIAS</t>
        </is>
      </c>
      <c r="S2433" s="59" t="n">
        <v>1130101</v>
      </c>
      <c r="T2433" s="59" t="inlineStr">
        <is>
          <t>MERCADORIAS P/REVENDA</t>
        </is>
      </c>
      <c r="U2433" s="59" t="n">
        <v>1164.11</v>
      </c>
      <c r="W2433" s="59" t="n">
        <v>0</v>
      </c>
      <c r="X2433" s="59" t="inlineStr">
        <is>
          <t>NF 195281-3 MILKA</t>
        </is>
      </c>
      <c r="Z2433" s="59">
        <f>IF($T2433="","",IFERROR(INDEX('Resumo Grupos'!$AC$3:$AC$200,MATCH($T2433,'Resumo Grupos'!$AB$3:$AB$200,0)),"n/d"))</f>
        <v/>
      </c>
      <c r="AA2433" s="59">
        <f>IF($T2433="","",IF(COUNTIF('Resumo Grupos'!$AE$3:$AE$40,$T2433)&gt;0,"NAO","SIM"))</f>
        <v/>
      </c>
    </row>
    <row r="2434" ht="12.75" customHeight="1" s="60">
      <c r="A2434" s="59" t="n">
        <v>1</v>
      </c>
      <c r="B2434" s="82" t="n">
        <v>46240</v>
      </c>
      <c r="C2434" s="82" t="n">
        <v>46268</v>
      </c>
      <c r="D2434" s="59" t="n">
        <v>557</v>
      </c>
      <c r="E2434" s="59" t="inlineStr">
        <is>
          <t xml:space="preserve">CONTA VIVO </t>
        </is>
      </c>
      <c r="F2434" s="59" t="n">
        <v>34</v>
      </c>
      <c r="G2434" s="59" t="inlineStr">
        <is>
          <t>Transferencia Pix</t>
        </is>
      </c>
      <c r="H2434" s="59" t="n">
        <v>2110405</v>
      </c>
      <c r="I2434" s="59" t="inlineStr">
        <is>
          <t>CONTAS A PAGAR</t>
        </is>
      </c>
      <c r="J2434" s="59" t="n">
        <v>1122744</v>
      </c>
      <c r="L2434" s="59" t="n">
        <v>469459</v>
      </c>
      <c r="M2434" s="59" t="inlineStr">
        <is>
          <t>06</t>
        </is>
      </c>
      <c r="N2434" s="59" t="inlineStr">
        <is>
          <t>AVU</t>
        </is>
      </c>
      <c r="P2434" s="59" t="n">
        <v>102</v>
      </c>
      <c r="Q2434" s="59" t="inlineStr">
        <is>
          <t>ANDREZA ANDRADE</t>
        </is>
      </c>
      <c r="R2434" s="59" t="inlineStr">
        <is>
          <t>DESPESAS OPERACIONAIS</t>
        </is>
      </c>
      <c r="S2434" s="59" t="n">
        <v>4210206</v>
      </c>
      <c r="T2434" s="59" t="inlineStr">
        <is>
          <t>TELEFONE</t>
        </is>
      </c>
      <c r="U2434" s="59" t="n">
        <v>258.62</v>
      </c>
      <c r="W2434" s="59" t="n">
        <v>0</v>
      </c>
      <c r="X2434" s="59" t="inlineStr">
        <is>
          <t>VIVO MO1 -ANDREZA</t>
        </is>
      </c>
      <c r="Z2434" s="59">
        <f>IF($T2434="","",IFERROR(INDEX('Resumo Grupos'!$AC$3:$AC$200,MATCH($T2434,'Resumo Grupos'!$AB$3:$AB$200,0)),"n/d"))</f>
        <v/>
      </c>
      <c r="AA2434" s="59">
        <f>IF($T2434="","",IF(COUNTIF('Resumo Grupos'!$AE$3:$AE$40,$T2434)&gt;0,"NAO","SIM"))</f>
        <v/>
      </c>
    </row>
    <row r="2435" ht="12.75" customHeight="1" s="60">
      <c r="A2435" s="59" t="n">
        <v>1</v>
      </c>
      <c r="B2435" s="82" t="n">
        <v>46241</v>
      </c>
      <c r="C2435" s="82" t="n">
        <v>46268</v>
      </c>
      <c r="D2435" s="59" t="n">
        <v>1626</v>
      </c>
      <c r="E2435" s="59" t="inlineStr">
        <is>
          <t>FENNIX BRASIL DISTRIBUIDORA DE PRODUTOS</t>
        </is>
      </c>
      <c r="F2435" s="59" t="n">
        <v>24</v>
      </c>
      <c r="G2435" s="59" t="inlineStr">
        <is>
          <t>Compra a Prazo - Boletos</t>
        </is>
      </c>
      <c r="H2435" s="59" t="n">
        <v>2110405</v>
      </c>
      <c r="I2435" s="59" t="inlineStr">
        <is>
          <t>CONTAS A PAGAR</t>
        </is>
      </c>
      <c r="J2435" s="59" t="n">
        <v>1513163</v>
      </c>
      <c r="L2435" s="59" t="n">
        <v>316329</v>
      </c>
      <c r="M2435" s="59" t="inlineStr">
        <is>
          <t>03</t>
        </is>
      </c>
      <c r="N2435" s="59" t="inlineStr">
        <is>
          <t>AVU</t>
        </is>
      </c>
      <c r="P2435" s="59" t="n">
        <v>103</v>
      </c>
      <c r="Q2435" s="59" t="inlineStr">
        <is>
          <t>MILKA FRANCIS</t>
        </is>
      </c>
      <c r="R2435" s="59" t="inlineStr">
        <is>
          <t>ESTOQUE DE MERCADORIAS</t>
        </is>
      </c>
      <c r="S2435" s="59" t="n">
        <v>1130101</v>
      </c>
      <c r="T2435" s="59" t="inlineStr">
        <is>
          <t>MERCADORIAS P/REVENDA</t>
        </is>
      </c>
      <c r="U2435" s="59" t="n">
        <v>1276.95</v>
      </c>
      <c r="W2435" s="59" t="n">
        <v>0</v>
      </c>
      <c r="X2435" s="59" t="inlineStr">
        <is>
          <t>NF316329-3 C/TARIFA INCLUSA - MILKA</t>
        </is>
      </c>
      <c r="Z2435" s="59">
        <f>IF($T2435="","",IFERROR(INDEX('Resumo Grupos'!$AC$3:$AC$200,MATCH($T2435,'Resumo Grupos'!$AB$3:$AB$200,0)),"n/d"))</f>
        <v/>
      </c>
      <c r="AA2435" s="59">
        <f>IF($T2435="","",IF(COUNTIF('Resumo Grupos'!$AE$3:$AE$40,$T2435)&gt;0,"NAO","SIM"))</f>
        <v/>
      </c>
    </row>
    <row r="2436" ht="12.75" customHeight="1" s="60">
      <c r="A2436" s="59" t="n">
        <v>1</v>
      </c>
      <c r="B2436" s="82" t="n">
        <v>46248</v>
      </c>
      <c r="C2436" s="82" t="n">
        <v>46268</v>
      </c>
      <c r="D2436" s="59" t="n">
        <v>10020</v>
      </c>
      <c r="E2436" s="59" t="inlineStr">
        <is>
          <t>E. SALES DO NASCIMENTO</t>
        </is>
      </c>
      <c r="F2436" s="59" t="n">
        <v>24</v>
      </c>
      <c r="G2436" s="59" t="inlineStr">
        <is>
          <t>Compra a Prazo - Boletos</t>
        </is>
      </c>
      <c r="H2436" s="59" t="n">
        <v>2110405</v>
      </c>
      <c r="I2436" s="59" t="inlineStr">
        <is>
          <t>CONTAS A PAGAR</t>
        </is>
      </c>
      <c r="J2436" s="59" t="n">
        <v>1546108</v>
      </c>
      <c r="L2436" s="59" t="n">
        <v>799</v>
      </c>
      <c r="M2436" s="59" t="inlineStr">
        <is>
          <t>02</t>
        </is>
      </c>
      <c r="N2436" s="59" t="inlineStr">
        <is>
          <t>AVU</t>
        </is>
      </c>
      <c r="P2436" s="59" t="n">
        <v>103</v>
      </c>
      <c r="Q2436" s="59" t="inlineStr">
        <is>
          <t>MILKA FRANCIS</t>
        </is>
      </c>
      <c r="R2436" s="59" t="inlineStr">
        <is>
          <t>ESTOQUE DE MERCADORIAS</t>
        </is>
      </c>
      <c r="S2436" s="59" t="n">
        <v>1130101</v>
      </c>
      <c r="T2436" s="59" t="inlineStr">
        <is>
          <t>MERCADORIAS P/REVENDA</t>
        </is>
      </c>
      <c r="U2436" s="59" t="n">
        <v>507.29</v>
      </c>
      <c r="W2436" s="59" t="n">
        <v>0</v>
      </c>
      <c r="X2436" s="59" t="inlineStr">
        <is>
          <t>NF 799-02 ARENA  AGROPET - MILKA</t>
        </is>
      </c>
      <c r="Z2436" s="59">
        <f>IF($T2436="","",IFERROR(INDEX('Resumo Grupos'!$AC$3:$AC$200,MATCH($T2436,'Resumo Grupos'!$AB$3:$AB$200,0)),"n/d"))</f>
        <v/>
      </c>
      <c r="AA2436" s="59">
        <f>IF($T2436="","",IF(COUNTIF('Resumo Grupos'!$AE$3:$AE$40,$T2436)&gt;0,"NAO","SIM"))</f>
        <v/>
      </c>
    </row>
    <row r="2437" ht="12.75" customHeight="1" s="60">
      <c r="A2437" s="59" t="n">
        <v>1</v>
      </c>
      <c r="B2437" s="82" t="n">
        <v>46246</v>
      </c>
      <c r="C2437" s="82" t="n">
        <v>46268</v>
      </c>
      <c r="D2437" s="59" t="n">
        <v>1659</v>
      </c>
      <c r="E2437" s="59" t="inlineStr">
        <is>
          <t>ADRIANA DISTRIBUIDORA DE PRODUTOS ALIMEN</t>
        </is>
      </c>
      <c r="F2437" s="59" t="n">
        <v>24</v>
      </c>
      <c r="G2437" s="59" t="inlineStr">
        <is>
          <t>Compra a Prazo - Boletos</t>
        </is>
      </c>
      <c r="H2437" s="59" t="n">
        <v>2110405</v>
      </c>
      <c r="I2437" s="59" t="inlineStr">
        <is>
          <t>CONTAS A PAGAR</t>
        </is>
      </c>
      <c r="J2437" s="59" t="n">
        <v>1535642</v>
      </c>
      <c r="L2437" s="59" t="n">
        <v>889987</v>
      </c>
      <c r="M2437" s="59" t="inlineStr">
        <is>
          <t>02</t>
        </is>
      </c>
      <c r="N2437" s="59" t="inlineStr">
        <is>
          <t>AVU</t>
        </is>
      </c>
      <c r="P2437" s="59" t="n">
        <v>103</v>
      </c>
      <c r="Q2437" s="59" t="inlineStr">
        <is>
          <t>MILKA FRANCIS</t>
        </is>
      </c>
      <c r="R2437" s="59" t="inlineStr">
        <is>
          <t>ESTOQUE DE MERCADORIAS</t>
        </is>
      </c>
      <c r="S2437" s="59" t="n">
        <v>1130101</v>
      </c>
      <c r="T2437" s="59" t="inlineStr">
        <is>
          <t>MERCADORIAS P/REVENDA</t>
        </is>
      </c>
      <c r="U2437" s="59" t="n">
        <v>345.95</v>
      </c>
      <c r="W2437" s="59" t="n">
        <v>0</v>
      </c>
      <c r="X2437" s="59" t="inlineStr">
        <is>
          <t>NF 889987-2 MILKA</t>
        </is>
      </c>
      <c r="Z2437" s="59">
        <f>IF($T2437="","",IFERROR(INDEX('Resumo Grupos'!$AC$3:$AC$200,MATCH($T2437,'Resumo Grupos'!$AB$3:$AB$200,0)),"n/d"))</f>
        <v/>
      </c>
      <c r="AA2437" s="59">
        <f>IF($T2437="","",IF(COUNTIF('Resumo Grupos'!$AE$3:$AE$40,$T2437)&gt;0,"NAO","SIM"))</f>
        <v/>
      </c>
    </row>
    <row r="2438" ht="12.75" customHeight="1" s="60">
      <c r="A2438" s="59" t="n">
        <v>1</v>
      </c>
      <c r="B2438" s="82" t="n">
        <v>46247</v>
      </c>
      <c r="C2438" s="82" t="n">
        <v>46268</v>
      </c>
      <c r="D2438" s="59" t="n">
        <v>1667</v>
      </c>
      <c r="E2438" s="59" t="inlineStr">
        <is>
          <t>FENNIX BRASIL DISTRIBUIDORA DE PRODUTOS</t>
        </is>
      </c>
      <c r="F2438" s="59" t="n">
        <v>24</v>
      </c>
      <c r="G2438" s="59" t="inlineStr">
        <is>
          <t>Compra a Prazo - Boletos</t>
        </is>
      </c>
      <c r="H2438" s="59" t="n">
        <v>2110405</v>
      </c>
      <c r="I2438" s="59" t="inlineStr">
        <is>
          <t>CONTAS A PAGAR</t>
        </is>
      </c>
      <c r="J2438" s="59" t="n">
        <v>1542918</v>
      </c>
      <c r="L2438" s="59" t="n">
        <v>398226</v>
      </c>
      <c r="M2438" s="59" t="inlineStr">
        <is>
          <t>01</t>
        </is>
      </c>
      <c r="N2438" s="59" t="inlineStr">
        <is>
          <t>AVU</t>
        </is>
      </c>
      <c r="P2438" s="59" t="n">
        <v>103</v>
      </c>
      <c r="Q2438" s="59" t="inlineStr">
        <is>
          <t>MILKA FRANCIS</t>
        </is>
      </c>
      <c r="R2438" s="59" t="inlineStr">
        <is>
          <t>ESTOQUE DE MERCADORIAS</t>
        </is>
      </c>
      <c r="S2438" s="59" t="n">
        <v>1130101</v>
      </c>
      <c r="T2438" s="59" t="inlineStr">
        <is>
          <t>MERCADORIAS P/REVENDA</t>
        </is>
      </c>
      <c r="U2438" s="59" t="n">
        <v>760.27</v>
      </c>
      <c r="W2438" s="59" t="n">
        <v>0</v>
      </c>
      <c r="X2438" s="59" t="inlineStr">
        <is>
          <t>NF  398226 -1 MILKA</t>
        </is>
      </c>
      <c r="Z2438" s="59">
        <f>IF($T2438="","",IFERROR(INDEX('Resumo Grupos'!$AC$3:$AC$200,MATCH($T2438,'Resumo Grupos'!$AB$3:$AB$200,0)),"n/d"))</f>
        <v/>
      </c>
      <c r="AA2438" s="59">
        <f>IF($T2438="","",IF(COUNTIF('Resumo Grupos'!$AE$3:$AE$40,$T2438)&gt;0,"NAO","SIM"))</f>
        <v/>
      </c>
    </row>
    <row r="2439" ht="12.75" customHeight="1" s="60">
      <c r="A2439" s="59" t="n">
        <v>1</v>
      </c>
      <c r="B2439" s="82" t="n">
        <v>46248</v>
      </c>
      <c r="C2439" s="82" t="n">
        <v>46268</v>
      </c>
      <c r="D2439" s="59" t="n">
        <v>1740</v>
      </c>
      <c r="E2439" s="59" t="inlineStr">
        <is>
          <t>OCIDENTAL COMERCIO DE FRIOS LTDA</t>
        </is>
      </c>
      <c r="F2439" s="59" t="n">
        <v>24</v>
      </c>
      <c r="G2439" s="59" t="inlineStr">
        <is>
          <t>Compra a Prazo - Boletos</t>
        </is>
      </c>
      <c r="H2439" s="59" t="n">
        <v>2110405</v>
      </c>
      <c r="I2439" s="59" t="inlineStr">
        <is>
          <t>CONTAS A PAGAR</t>
        </is>
      </c>
      <c r="J2439" s="59" t="n">
        <v>1547169</v>
      </c>
      <c r="L2439" s="59" t="n">
        <v>1258822</v>
      </c>
      <c r="M2439" s="59" t="inlineStr">
        <is>
          <t>01</t>
        </is>
      </c>
      <c r="N2439" s="59" t="inlineStr">
        <is>
          <t>AVU</t>
        </is>
      </c>
      <c r="P2439" s="59" t="n">
        <v>103</v>
      </c>
      <c r="Q2439" s="59" t="inlineStr">
        <is>
          <t>MILKA FRANCIS</t>
        </is>
      </c>
      <c r="R2439" s="59" t="inlineStr">
        <is>
          <t>ESTOQUE DE MERCADORIAS</t>
        </is>
      </c>
      <c r="S2439" s="59" t="n">
        <v>1130101</v>
      </c>
      <c r="T2439" s="59" t="inlineStr">
        <is>
          <t>MERCADORIAS P/REVENDA</t>
        </is>
      </c>
      <c r="U2439" s="59" t="n">
        <v>1067.22</v>
      </c>
      <c r="W2439" s="59" t="n">
        <v>0</v>
      </c>
      <c r="X2439" s="59" t="inlineStr">
        <is>
          <t>NF 1258822 - MILKA</t>
        </is>
      </c>
      <c r="Z2439" s="59">
        <f>IF($T2439="","",IFERROR(INDEX('Resumo Grupos'!$AC$3:$AC$200,MATCH($T2439,'Resumo Grupos'!$AB$3:$AB$200,0)),"n/d"))</f>
        <v/>
      </c>
      <c r="AA2439" s="59">
        <f>IF($T2439="","",IF(COUNTIF('Resumo Grupos'!$AE$3:$AE$40,$T2439)&gt;0,"NAO","SIM"))</f>
        <v/>
      </c>
    </row>
    <row r="2440" ht="12.75" customHeight="1" s="60">
      <c r="A2440" s="59" t="n">
        <v>1</v>
      </c>
      <c r="B2440" s="82" t="n">
        <v>46251</v>
      </c>
      <c r="C2440" s="82" t="n">
        <v>46268</v>
      </c>
      <c r="D2440" s="59" t="n">
        <v>1671</v>
      </c>
      <c r="E2440" s="59" t="inlineStr">
        <is>
          <t>TAPAJOS COM DE PERFUMARIA COSMETICOS E G</t>
        </is>
      </c>
      <c r="F2440" s="59" t="n">
        <v>24</v>
      </c>
      <c r="G2440" s="59" t="inlineStr">
        <is>
          <t>Compra a Prazo - Boletos</t>
        </is>
      </c>
      <c r="H2440" s="59" t="n">
        <v>2110405</v>
      </c>
      <c r="I2440" s="59" t="inlineStr">
        <is>
          <t>CONTAS A PAGAR</t>
        </is>
      </c>
      <c r="J2440" s="59" t="n">
        <v>1562446</v>
      </c>
      <c r="L2440" s="59" t="n">
        <v>586417</v>
      </c>
      <c r="M2440" s="59" t="inlineStr">
        <is>
          <t>02</t>
        </is>
      </c>
      <c r="N2440" s="59" t="inlineStr">
        <is>
          <t>AVU</t>
        </is>
      </c>
      <c r="P2440" s="59" t="n">
        <v>103</v>
      </c>
      <c r="Q2440" s="59" t="inlineStr">
        <is>
          <t>MILKA FRANCIS</t>
        </is>
      </c>
      <c r="R2440" s="59" t="inlineStr">
        <is>
          <t>ESTOQUE DE MERCADORIAS</t>
        </is>
      </c>
      <c r="S2440" s="59" t="n">
        <v>1130101</v>
      </c>
      <c r="T2440" s="59" t="inlineStr">
        <is>
          <t>MERCADORIAS P/REVENDA</t>
        </is>
      </c>
      <c r="U2440" s="59" t="n">
        <v>1586.84</v>
      </c>
      <c r="W2440" s="59" t="n">
        <v>0</v>
      </c>
      <c r="X2440" s="59" t="inlineStr">
        <is>
          <t>NF 586417-2 C/TARIFA - MILKA</t>
        </is>
      </c>
      <c r="Z2440" s="59">
        <f>IF($T2440="","",IFERROR(INDEX('Resumo Grupos'!$AC$3:$AC$200,MATCH($T2440,'Resumo Grupos'!$AB$3:$AB$200,0)),"n/d"))</f>
        <v/>
      </c>
      <c r="AA2440" s="59">
        <f>IF($T2440="","",IF(COUNTIF('Resumo Grupos'!$AE$3:$AE$40,$T2440)&gt;0,"NAO","SIM"))</f>
        <v/>
      </c>
    </row>
    <row r="2441" ht="12.75" customHeight="1" s="60">
      <c r="A2441" s="59" t="n">
        <v>1</v>
      </c>
      <c r="B2441" s="82" t="n">
        <v>46254</v>
      </c>
      <c r="C2441" s="82" t="n">
        <v>46268</v>
      </c>
      <c r="D2441" s="59" t="n">
        <v>1705</v>
      </c>
      <c r="E2441" s="59" t="inlineStr">
        <is>
          <t>BRASIL NORTE BEBIDAS S/A</t>
        </is>
      </c>
      <c r="F2441" s="59" t="n">
        <v>24</v>
      </c>
      <c r="G2441" s="59" t="inlineStr">
        <is>
          <t>Compra a Prazo - Boletos</t>
        </is>
      </c>
      <c r="H2441" s="59" t="n">
        <v>2110405</v>
      </c>
      <c r="I2441" s="59" t="inlineStr">
        <is>
          <t>CONTAS A PAGAR</t>
        </is>
      </c>
      <c r="J2441" s="59" t="n">
        <v>1576445</v>
      </c>
      <c r="L2441" s="59" t="n">
        <v>1255653</v>
      </c>
      <c r="M2441" s="59" t="inlineStr">
        <is>
          <t>01</t>
        </is>
      </c>
      <c r="N2441" s="59" t="inlineStr">
        <is>
          <t>AVU</t>
        </is>
      </c>
      <c r="P2441" s="59" t="n">
        <v>103</v>
      </c>
      <c r="Q2441" s="59" t="inlineStr">
        <is>
          <t>MILKA FRANCIS</t>
        </is>
      </c>
      <c r="R2441" s="59" t="inlineStr">
        <is>
          <t>ESTOQUE DE MERCADORIAS</t>
        </is>
      </c>
      <c r="S2441" s="59" t="n">
        <v>1130101</v>
      </c>
      <c r="T2441" s="59" t="inlineStr">
        <is>
          <t>MERCADORIAS P/REVENDA</t>
        </is>
      </c>
      <c r="U2441" s="59" t="n">
        <v>1801.74</v>
      </c>
      <c r="W2441" s="59" t="n">
        <v>0</v>
      </c>
      <c r="X2441" s="59" t="inlineStr">
        <is>
          <t>NF 1255653 COCA - MILKA</t>
        </is>
      </c>
      <c r="Z2441" s="59">
        <f>IF($T2441="","",IFERROR(INDEX('Resumo Grupos'!$AC$3:$AC$200,MATCH($T2441,'Resumo Grupos'!$AB$3:$AB$200,0)),"n/d"))</f>
        <v/>
      </c>
      <c r="AA2441" s="59">
        <f>IF($T2441="","",IF(COUNTIF('Resumo Grupos'!$AE$3:$AE$40,$T2441)&gt;0,"NAO","SIM"))</f>
        <v/>
      </c>
    </row>
    <row r="2442" ht="12.75" customHeight="1" s="60">
      <c r="A2442" s="59" t="n">
        <v>1</v>
      </c>
      <c r="B2442" s="82" t="n">
        <v>46254</v>
      </c>
      <c r="C2442" s="82" t="n">
        <v>46268</v>
      </c>
      <c r="D2442" s="59" t="n">
        <v>1136</v>
      </c>
      <c r="E2442" s="59" t="inlineStr">
        <is>
          <t>VIA CERTA IMPORTACAO E DISTRIBUICAO DE A</t>
        </is>
      </c>
      <c r="F2442" s="59" t="n">
        <v>24</v>
      </c>
      <c r="G2442" s="59" t="inlineStr">
        <is>
          <t>Compra a Prazo - Boletos</t>
        </is>
      </c>
      <c r="H2442" s="59" t="n">
        <v>2110405</v>
      </c>
      <c r="I2442" s="59" t="inlineStr">
        <is>
          <t>CONTAS A PAGAR</t>
        </is>
      </c>
      <c r="J2442" s="59" t="n">
        <v>1576686</v>
      </c>
      <c r="L2442" s="59" t="n">
        <v>54213</v>
      </c>
      <c r="M2442" s="59" t="inlineStr">
        <is>
          <t>01</t>
        </is>
      </c>
      <c r="N2442" s="59" t="inlineStr">
        <is>
          <t>AVU</t>
        </is>
      </c>
      <c r="P2442" s="59" t="n">
        <v>103</v>
      </c>
      <c r="Q2442" s="59" t="inlineStr">
        <is>
          <t>MILKA FRANCIS</t>
        </is>
      </c>
      <c r="R2442" s="59" t="inlineStr">
        <is>
          <t>ESTOQUE DE MERCADORIAS</t>
        </is>
      </c>
      <c r="S2442" s="59" t="n">
        <v>1130101</v>
      </c>
      <c r="T2442" s="59" t="inlineStr">
        <is>
          <t>MERCADORIAS P/REVENDA</t>
        </is>
      </c>
      <c r="U2442" s="59" t="n">
        <v>789.34</v>
      </c>
      <c r="W2442" s="59" t="n">
        <v>0</v>
      </c>
      <c r="X2442" s="59" t="inlineStr">
        <is>
          <t>NF 54213-1 MILKA</t>
        </is>
      </c>
      <c r="Z2442" s="59">
        <f>IF($T2442="","",IFERROR(INDEX('Resumo Grupos'!$AC$3:$AC$200,MATCH($T2442,'Resumo Grupos'!$AB$3:$AB$200,0)),"n/d"))</f>
        <v/>
      </c>
      <c r="AA2442" s="59">
        <f>IF($T2442="","",IF(COUNTIF('Resumo Grupos'!$AE$3:$AE$40,$T2442)&gt;0,"NAO","SIM"))</f>
        <v/>
      </c>
    </row>
    <row r="2443" ht="12.75" customHeight="1" s="60">
      <c r="A2443" s="59" t="n">
        <v>1</v>
      </c>
      <c r="B2443" s="82" t="n">
        <v>46254</v>
      </c>
      <c r="C2443" s="82" t="n">
        <v>46268</v>
      </c>
      <c r="D2443" s="59" t="n">
        <v>1705</v>
      </c>
      <c r="E2443" s="59" t="inlineStr">
        <is>
          <t>BRASIL NORTE BEBIDAS S/A</t>
        </is>
      </c>
      <c r="F2443" s="59" t="n">
        <v>24</v>
      </c>
      <c r="G2443" s="59" t="inlineStr">
        <is>
          <t>Compra a Prazo - Boletos</t>
        </is>
      </c>
      <c r="H2443" s="59" t="n">
        <v>2110405</v>
      </c>
      <c r="I2443" s="59" t="inlineStr">
        <is>
          <t>CONTAS A PAGAR</t>
        </is>
      </c>
      <c r="J2443" s="59" t="n">
        <v>1577270</v>
      </c>
      <c r="L2443" s="59" t="n">
        <v>1997304</v>
      </c>
      <c r="M2443" s="59" t="inlineStr">
        <is>
          <t>01</t>
        </is>
      </c>
      <c r="N2443" s="59" t="inlineStr">
        <is>
          <t>AVU</t>
        </is>
      </c>
      <c r="P2443" s="59" t="n">
        <v>103</v>
      </c>
      <c r="Q2443" s="59" t="inlineStr">
        <is>
          <t>MILKA FRANCIS</t>
        </is>
      </c>
      <c r="R2443" s="59" t="inlineStr">
        <is>
          <t>ESTOQUE DE MERCADORIAS</t>
        </is>
      </c>
      <c r="S2443" s="59" t="n">
        <v>1130101</v>
      </c>
      <c r="T2443" s="59" t="inlineStr">
        <is>
          <t>MERCADORIAS P/REVENDA</t>
        </is>
      </c>
      <c r="U2443" s="59" t="n">
        <v>7946.42</v>
      </c>
      <c r="W2443" s="59" t="n">
        <v>0</v>
      </c>
      <c r="X2443" s="59" t="inlineStr">
        <is>
          <t>NF 1997304 COCA  - MILKA</t>
        </is>
      </c>
      <c r="Z2443" s="59">
        <f>IF($T2443="","",IFERROR(INDEX('Resumo Grupos'!$AC$3:$AC$200,MATCH($T2443,'Resumo Grupos'!$AB$3:$AB$200,0)),"n/d"))</f>
        <v/>
      </c>
      <c r="AA2443" s="59">
        <f>IF($T2443="","",IF(COUNTIF('Resumo Grupos'!$AE$3:$AE$40,$T2443)&gt;0,"NAO","SIM"))</f>
        <v/>
      </c>
    </row>
    <row r="2444" ht="12.75" customHeight="1" s="60">
      <c r="A2444" s="59" t="n">
        <v>1</v>
      </c>
      <c r="B2444" s="82" t="n">
        <v>46254</v>
      </c>
      <c r="C2444" s="82" t="n">
        <v>46268</v>
      </c>
      <c r="D2444" s="59" t="n">
        <v>1699</v>
      </c>
      <c r="E2444" s="59" t="inlineStr">
        <is>
          <t>L S M COMERCIO DE ALIMENTOS E NAVEGACAO</t>
        </is>
      </c>
      <c r="F2444" s="59" t="n">
        <v>24</v>
      </c>
      <c r="G2444" s="59" t="inlineStr">
        <is>
          <t>Compra a Prazo - Boletos</t>
        </is>
      </c>
      <c r="H2444" s="59" t="n">
        <v>2110405</v>
      </c>
      <c r="I2444" s="59" t="inlineStr">
        <is>
          <t>CONTAS A PAGAR</t>
        </is>
      </c>
      <c r="J2444" s="59" t="n">
        <v>1577971</v>
      </c>
      <c r="L2444" s="59" t="n">
        <v>311353</v>
      </c>
      <c r="M2444" s="59" t="inlineStr">
        <is>
          <t>01</t>
        </is>
      </c>
      <c r="N2444" s="59" t="inlineStr">
        <is>
          <t>AVU</t>
        </is>
      </c>
      <c r="P2444" s="59" t="n">
        <v>103</v>
      </c>
      <c r="Q2444" s="59" t="inlineStr">
        <is>
          <t>MILKA FRANCIS</t>
        </is>
      </c>
      <c r="R2444" s="59" t="inlineStr">
        <is>
          <t>ESTOQUE DE MERCADORIAS</t>
        </is>
      </c>
      <c r="S2444" s="59" t="n">
        <v>1130101</v>
      </c>
      <c r="T2444" s="59" t="inlineStr">
        <is>
          <t>MERCADORIAS P/REVENDA</t>
        </is>
      </c>
      <c r="U2444" s="59" t="n">
        <v>633</v>
      </c>
      <c r="W2444" s="59" t="n">
        <v>0</v>
      </c>
      <c r="X2444" s="59" t="inlineStr">
        <is>
          <t>NF 311353-1 MILKA</t>
        </is>
      </c>
      <c r="Z2444" s="59">
        <f>IF($T2444="","",IFERROR(INDEX('Resumo Grupos'!$AC$3:$AC$200,MATCH($T2444,'Resumo Grupos'!$AB$3:$AB$200,0)),"n/d"))</f>
        <v/>
      </c>
      <c r="AA2444" s="59">
        <f>IF($T2444="","",IF(COUNTIF('Resumo Grupos'!$AE$3:$AE$40,$T2444)&gt;0,"NAO","SIM"))</f>
        <v/>
      </c>
    </row>
    <row r="2445" ht="12.75" customHeight="1" s="60">
      <c r="A2445" s="59" t="n">
        <v>1</v>
      </c>
      <c r="B2445" s="82" t="n">
        <v>46255</v>
      </c>
      <c r="C2445" s="82" t="n">
        <v>46268</v>
      </c>
      <c r="D2445" s="59" t="n">
        <v>1636</v>
      </c>
      <c r="E2445" s="59" t="inlineStr">
        <is>
          <t>DUNORTE DISTRIBUIDORA DE PRODUTOS DE CONSUMO LTDA</t>
        </is>
      </c>
      <c r="F2445" s="59" t="n">
        <v>24</v>
      </c>
      <c r="G2445" s="59" t="inlineStr">
        <is>
          <t>Compra a Prazo - Boletos</t>
        </is>
      </c>
      <c r="H2445" s="59" t="n">
        <v>2110101</v>
      </c>
      <c r="I2445" s="59" t="inlineStr">
        <is>
          <t>FORNECEDORES DE MERCADORIA</t>
        </is>
      </c>
      <c r="J2445" s="59" t="n">
        <v>1582273</v>
      </c>
      <c r="L2445" s="59" t="n">
        <v>3239532</v>
      </c>
      <c r="M2445" s="59" t="inlineStr">
        <is>
          <t>01</t>
        </is>
      </c>
      <c r="N2445" s="59" t="inlineStr">
        <is>
          <t>AVU</t>
        </is>
      </c>
      <c r="P2445" s="59" t="n">
        <v>103</v>
      </c>
      <c r="Q2445" s="59" t="inlineStr">
        <is>
          <t>MILKA FRANCIS</t>
        </is>
      </c>
      <c r="R2445" s="59" t="inlineStr">
        <is>
          <t>ESTOQUE DE MERCADORIAS</t>
        </is>
      </c>
      <c r="S2445" s="59" t="n">
        <v>1130101</v>
      </c>
      <c r="T2445" s="59" t="inlineStr">
        <is>
          <t>MERCADORIAS P/REVENDA</t>
        </is>
      </c>
      <c r="U2445" s="59" t="n">
        <v>1178.8</v>
      </c>
      <c r="W2445" s="59" t="n">
        <v>0</v>
      </c>
      <c r="X2445" s="59" t="inlineStr">
        <is>
          <t>NF 3239532-1 MILKA</t>
        </is>
      </c>
      <c r="Z2445" s="59">
        <f>IF($T2445="","",IFERROR(INDEX('Resumo Grupos'!$AC$3:$AC$200,MATCH($T2445,'Resumo Grupos'!$AB$3:$AB$200,0)),"n/d"))</f>
        <v/>
      </c>
      <c r="AA2445" s="59">
        <f>IF($T2445="","",IF(COUNTIF('Resumo Grupos'!$AE$3:$AE$40,$T2445)&gt;0,"NAO","SIM"))</f>
        <v/>
      </c>
    </row>
    <row r="2446" ht="12.75" customHeight="1" s="60">
      <c r="A2446" s="59" t="n">
        <v>1</v>
      </c>
      <c r="B2446" s="82" t="n">
        <v>46256</v>
      </c>
      <c r="C2446" s="82" t="n">
        <v>46268</v>
      </c>
      <c r="D2446" s="59" t="n">
        <v>1745</v>
      </c>
      <c r="E2446" s="59" t="inlineStr">
        <is>
          <t>TRES CORACOES ALIMENTOS S.A.</t>
        </is>
      </c>
      <c r="F2446" s="59" t="n">
        <v>24</v>
      </c>
      <c r="G2446" s="59" t="inlineStr">
        <is>
          <t>Compra a Prazo - Boletos</t>
        </is>
      </c>
      <c r="H2446" s="59" t="n">
        <v>2110405</v>
      </c>
      <c r="I2446" s="59" t="inlineStr">
        <is>
          <t>CONTAS A PAGAR</t>
        </is>
      </c>
      <c r="J2446" s="59" t="n">
        <v>1585478</v>
      </c>
      <c r="L2446" s="59" t="n">
        <v>357973</v>
      </c>
      <c r="M2446" s="59" t="inlineStr">
        <is>
          <t>01</t>
        </is>
      </c>
      <c r="N2446" s="59" t="inlineStr">
        <is>
          <t>AVU</t>
        </is>
      </c>
      <c r="P2446" s="59" t="n">
        <v>103</v>
      </c>
      <c r="Q2446" s="59" t="inlineStr">
        <is>
          <t>MILKA FRANCIS</t>
        </is>
      </c>
      <c r="R2446" s="59" t="inlineStr">
        <is>
          <t>ESTOQUE DE MERCADORIAS</t>
        </is>
      </c>
      <c r="S2446" s="59" t="n">
        <v>1130101</v>
      </c>
      <c r="T2446" s="59" t="inlineStr">
        <is>
          <t>MERCADORIAS P/REVENDA</t>
        </is>
      </c>
      <c r="U2446" s="59" t="n">
        <v>1581.44</v>
      </c>
      <c r="W2446" s="59" t="n">
        <v>0</v>
      </c>
      <c r="X2446" s="59" t="inlineStr">
        <is>
          <t>NF 357973 -1 MILKA</t>
        </is>
      </c>
      <c r="Z2446" s="59">
        <f>IF($T2446="","",IFERROR(INDEX('Resumo Grupos'!$AC$3:$AC$200,MATCH($T2446,'Resumo Grupos'!$AB$3:$AB$200,0)),"n/d"))</f>
        <v/>
      </c>
      <c r="AA2446" s="59">
        <f>IF($T2446="","",IF(COUNTIF('Resumo Grupos'!$AE$3:$AE$40,$T2446)&gt;0,"NAO","SIM"))</f>
        <v/>
      </c>
    </row>
    <row r="2447" ht="12.75" customHeight="1" s="60">
      <c r="A2447" s="59" t="n">
        <v>1</v>
      </c>
      <c r="B2447" s="82" t="n">
        <v>46256</v>
      </c>
      <c r="C2447" s="82" t="n">
        <v>46268</v>
      </c>
      <c r="D2447" s="59" t="n">
        <v>1270</v>
      </c>
      <c r="E2447" s="59" t="inlineStr">
        <is>
          <t>J. S. MOREIRA ALVES LTDA</t>
        </is>
      </c>
      <c r="F2447" s="59" t="n">
        <v>24</v>
      </c>
      <c r="G2447" s="59" t="inlineStr">
        <is>
          <t>Compra a Prazo - Boletos</t>
        </is>
      </c>
      <c r="H2447" s="59" t="n">
        <v>2110405</v>
      </c>
      <c r="I2447" s="59" t="inlineStr">
        <is>
          <t>CONTAS A PAGAR</t>
        </is>
      </c>
      <c r="J2447" s="59" t="n">
        <v>1585760</v>
      </c>
      <c r="L2447" s="59" t="n">
        <v>2811</v>
      </c>
      <c r="M2447" s="59" t="inlineStr">
        <is>
          <t>01</t>
        </is>
      </c>
      <c r="N2447" s="59" t="inlineStr">
        <is>
          <t>AVU</t>
        </is>
      </c>
      <c r="P2447" s="59" t="n">
        <v>103</v>
      </c>
      <c r="Q2447" s="59" t="inlineStr">
        <is>
          <t>MILKA FRANCIS</t>
        </is>
      </c>
      <c r="R2447" s="59" t="inlineStr">
        <is>
          <t>ESTOQUE DE MERCADORIAS</t>
        </is>
      </c>
      <c r="S2447" s="59" t="n">
        <v>1130101</v>
      </c>
      <c r="T2447" s="59" t="inlineStr">
        <is>
          <t>MERCADORIAS P/REVENDA</t>
        </is>
      </c>
      <c r="U2447" s="59" t="n">
        <v>460.5</v>
      </c>
      <c r="W2447" s="59" t="n">
        <v>0</v>
      </c>
      <c r="X2447" s="59" t="inlineStr">
        <is>
          <t>NF 2811 MESA FARTA - MILKA</t>
        </is>
      </c>
      <c r="Z2447" s="59">
        <f>IF($T2447="","",IFERROR(INDEX('Resumo Grupos'!$AC$3:$AC$200,MATCH($T2447,'Resumo Grupos'!$AB$3:$AB$200,0)),"n/d"))</f>
        <v/>
      </c>
      <c r="AA2447" s="59">
        <f>IF($T2447="","",IF(COUNTIF('Resumo Grupos'!$AE$3:$AE$40,$T2447)&gt;0,"NAO","SIM"))</f>
        <v/>
      </c>
    </row>
    <row r="2448" ht="12.75" customHeight="1" s="60">
      <c r="A2448" s="59" t="n">
        <v>1</v>
      </c>
      <c r="B2448" s="82" t="n">
        <v>46256</v>
      </c>
      <c r="C2448" s="82" t="n">
        <v>46268</v>
      </c>
      <c r="D2448" s="59" t="n">
        <v>1681</v>
      </c>
      <c r="E2448" s="59" t="inlineStr">
        <is>
          <t>FRIOTRANS COMERCIO E TRANSPORTES DE CARGAS LTDA</t>
        </is>
      </c>
      <c r="F2448" s="59" t="n">
        <v>24</v>
      </c>
      <c r="G2448" s="59" t="inlineStr">
        <is>
          <t>Compra a Prazo - Boletos</t>
        </is>
      </c>
      <c r="H2448" s="59" t="n">
        <v>2110405</v>
      </c>
      <c r="I2448" s="59" t="inlineStr">
        <is>
          <t>CONTAS A PAGAR</t>
        </is>
      </c>
      <c r="J2448" s="59" t="n">
        <v>1585871</v>
      </c>
      <c r="L2448" s="59" t="n">
        <v>39522</v>
      </c>
      <c r="M2448" s="59" t="inlineStr">
        <is>
          <t>01</t>
        </is>
      </c>
      <c r="N2448" s="59" t="inlineStr">
        <is>
          <t>AVU</t>
        </is>
      </c>
      <c r="P2448" s="59" t="n">
        <v>103</v>
      </c>
      <c r="Q2448" s="59" t="inlineStr">
        <is>
          <t>MILKA FRANCIS</t>
        </is>
      </c>
      <c r="R2448" s="59" t="inlineStr">
        <is>
          <t>ESTOQUE DE MERCADORIAS</t>
        </is>
      </c>
      <c r="S2448" s="59" t="n">
        <v>1130101</v>
      </c>
      <c r="T2448" s="59" t="inlineStr">
        <is>
          <t>MERCADORIAS P/REVENDA</t>
        </is>
      </c>
      <c r="U2448" s="59" t="n">
        <v>2917.84</v>
      </c>
      <c r="W2448" s="59" t="n">
        <v>0</v>
      </c>
      <c r="X2448" s="59" t="inlineStr">
        <is>
          <t>NF 39522 - MILKA</t>
        </is>
      </c>
      <c r="Z2448" s="59">
        <f>IF($T2448="","",IFERROR(INDEX('Resumo Grupos'!$AC$3:$AC$200,MATCH($T2448,'Resumo Grupos'!$AB$3:$AB$200,0)),"n/d"))</f>
        <v/>
      </c>
      <c r="AA2448" s="59">
        <f>IF($T2448="","",IF(COUNTIF('Resumo Grupos'!$AE$3:$AE$40,$T2448)&gt;0,"NAO","SIM"))</f>
        <v/>
      </c>
    </row>
    <row r="2449" ht="12.75" customHeight="1" s="60">
      <c r="A2449" s="59" t="n">
        <v>1</v>
      </c>
      <c r="B2449" s="82" t="n">
        <v>46256</v>
      </c>
      <c r="C2449" s="82" t="n">
        <v>46268</v>
      </c>
      <c r="D2449" s="59" t="n">
        <v>10002</v>
      </c>
      <c r="E2449" s="59" t="inlineStr">
        <is>
          <t>DA FRUTA DISTRIBUIDORA LTDA</t>
        </is>
      </c>
      <c r="F2449" s="59" t="n">
        <v>24</v>
      </c>
      <c r="G2449" s="59" t="inlineStr">
        <is>
          <t>Compra a Prazo - Boletos</t>
        </is>
      </c>
      <c r="H2449" s="59" t="n">
        <v>2110405</v>
      </c>
      <c r="I2449" s="59" t="inlineStr">
        <is>
          <t>CONTAS A PAGAR</t>
        </is>
      </c>
      <c r="J2449" s="59" t="n">
        <v>1585888</v>
      </c>
      <c r="L2449" s="59" t="n">
        <v>197688</v>
      </c>
      <c r="M2449" s="59" t="inlineStr">
        <is>
          <t>01</t>
        </is>
      </c>
      <c r="N2449" s="59" t="inlineStr">
        <is>
          <t>AVU</t>
        </is>
      </c>
      <c r="P2449" s="59" t="n">
        <v>103</v>
      </c>
      <c r="Q2449" s="59" t="inlineStr">
        <is>
          <t>MILKA FRANCIS</t>
        </is>
      </c>
      <c r="R2449" s="59" t="inlineStr">
        <is>
          <t>ESTOQUE DE MERCADORIAS</t>
        </is>
      </c>
      <c r="S2449" s="59" t="n">
        <v>1130101</v>
      </c>
      <c r="T2449" s="59" t="inlineStr">
        <is>
          <t>MERCADORIAS P/REVENDA</t>
        </is>
      </c>
      <c r="U2449" s="59" t="n">
        <v>1015.18</v>
      </c>
      <c r="W2449" s="59" t="n">
        <v>0</v>
      </c>
      <c r="X2449" s="59" t="inlineStr">
        <is>
          <t>NF 197688 - MILKA</t>
        </is>
      </c>
      <c r="Z2449" s="59">
        <f>IF($T2449="","",IFERROR(INDEX('Resumo Grupos'!$AC$3:$AC$200,MATCH($T2449,'Resumo Grupos'!$AB$3:$AB$200,0)),"n/d"))</f>
        <v/>
      </c>
      <c r="AA2449" s="59">
        <f>IF($T2449="","",IF(COUNTIF('Resumo Grupos'!$AE$3:$AE$40,$T2449)&gt;0,"NAO","SIM"))</f>
        <v/>
      </c>
    </row>
    <row r="2450" ht="12.75" customHeight="1" s="60">
      <c r="A2450" s="59" t="n">
        <v>1</v>
      </c>
      <c r="B2450" s="82" t="n">
        <v>46209</v>
      </c>
      <c r="C2450" s="82" t="n">
        <v>46269</v>
      </c>
      <c r="D2450" s="59" t="n">
        <v>816</v>
      </c>
      <c r="E2450" s="59" t="inlineStr">
        <is>
          <t>AUGUSTA - JUROS EMPRESTIMO</t>
        </is>
      </c>
      <c r="F2450" s="59" t="n">
        <v>34</v>
      </c>
      <c r="G2450" s="59" t="inlineStr">
        <is>
          <t>Transferencia Pix</t>
        </is>
      </c>
      <c r="H2450" s="59" t="n">
        <v>2110405</v>
      </c>
      <c r="I2450" s="59" t="inlineStr">
        <is>
          <t>CONTAS A PAGAR</t>
        </is>
      </c>
      <c r="J2450" s="59" t="n">
        <v>480233</v>
      </c>
      <c r="L2450" s="59" t="n">
        <v>216087</v>
      </c>
      <c r="M2450" s="59" t="inlineStr">
        <is>
          <t>06</t>
        </is>
      </c>
      <c r="N2450" s="59" t="inlineStr">
        <is>
          <t>AVU</t>
        </is>
      </c>
      <c r="P2450" s="59" t="n">
        <v>102</v>
      </c>
      <c r="Q2450" s="59" t="inlineStr">
        <is>
          <t>ANDREZA ANDRADE</t>
        </is>
      </c>
      <c r="R2450" s="59" t="inlineStr">
        <is>
          <t>DESPESAS NAO OPERACIONAIS</t>
        </is>
      </c>
      <c r="S2450" s="59" t="n">
        <v>4220199</v>
      </c>
      <c r="T2450" s="59" t="inlineStr">
        <is>
          <t>PAGAMENTOS OUTROS NAO OPERACIONAIS</t>
        </is>
      </c>
      <c r="U2450" s="59" t="n">
        <v>2000</v>
      </c>
      <c r="W2450" s="59" t="n">
        <v>0</v>
      </c>
      <c r="X2450" s="59" t="inlineStr">
        <is>
          <t xml:space="preserve">JUROS EMPRESTIMO AUGUSTA MO3 E MO4 </t>
        </is>
      </c>
      <c r="Z2450" s="59">
        <f>IF($T2450="","",IFERROR(INDEX('Resumo Grupos'!$AC$3:$AC$200,MATCH($T2450,'Resumo Grupos'!$AB$3:$AB$200,0)),"n/d"))</f>
        <v/>
      </c>
      <c r="AA2450" s="59">
        <f>IF($T2450="","",IF(COUNTIF('Resumo Grupos'!$AE$3:$AE$40,$T2450)&gt;0,"NAO","SIM"))</f>
        <v/>
      </c>
    </row>
    <row r="2451" ht="12.75" customHeight="1" s="60">
      <c r="A2451" s="59" t="n">
        <v>1</v>
      </c>
      <c r="B2451" s="82" t="n">
        <v>46238</v>
      </c>
      <c r="C2451" s="82" t="n">
        <v>46269</v>
      </c>
      <c r="D2451" s="59" t="n">
        <v>862</v>
      </c>
      <c r="E2451" s="59" t="inlineStr">
        <is>
          <t>ACL REPARACAO E TECNOLOGIA DA INFORMACAO LTDA</t>
        </is>
      </c>
      <c r="F2451" s="59" t="n">
        <v>24</v>
      </c>
      <c r="G2451" s="59" t="inlineStr">
        <is>
          <t>Compra a Prazo - Boletos</t>
        </is>
      </c>
      <c r="H2451" s="59" t="n">
        <v>2110405</v>
      </c>
      <c r="I2451" s="59" t="inlineStr">
        <is>
          <t>CONTAS A PAGAR</t>
        </is>
      </c>
      <c r="J2451" s="59" t="n">
        <v>1498819</v>
      </c>
      <c r="L2451" s="59" t="n">
        <v>614572</v>
      </c>
      <c r="M2451" s="59" t="inlineStr">
        <is>
          <t>02</t>
        </is>
      </c>
      <c r="N2451" s="59" t="inlineStr">
        <is>
          <t>AVU</t>
        </is>
      </c>
      <c r="P2451" s="59" t="n">
        <v>101</v>
      </c>
      <c r="Q2451" s="59" t="inlineStr">
        <is>
          <t>KEILA LIMA</t>
        </is>
      </c>
      <c r="R2451" s="59" t="inlineStr">
        <is>
          <t>DESPESAS OPERACIONAIS</t>
        </is>
      </c>
      <c r="S2451" s="59" t="n">
        <v>4210233</v>
      </c>
      <c r="T2451" s="59" t="inlineStr">
        <is>
          <t>MENSALIDADE TI</t>
        </is>
      </c>
      <c r="U2451" s="59" t="n">
        <v>270.9</v>
      </c>
      <c r="W2451" s="59" t="n">
        <v>0</v>
      </c>
      <c r="X2451" s="59" t="inlineStr">
        <is>
          <t>MENSALIDADE DO TI RUAN MO1 - KEILA</t>
        </is>
      </c>
      <c r="Z2451" s="59">
        <f>IF($T2451="","",IFERROR(INDEX('Resumo Grupos'!$AC$3:$AC$200,MATCH($T2451,'Resumo Grupos'!$AB$3:$AB$200,0)),"n/d"))</f>
        <v/>
      </c>
      <c r="AA2451" s="59">
        <f>IF($T2451="","",IF(COUNTIF('Resumo Grupos'!$AE$3:$AE$40,$T2451)&gt;0,"NAO","SIM"))</f>
        <v/>
      </c>
    </row>
    <row r="2452" ht="12.75" customHeight="1" s="60">
      <c r="A2452" s="59" t="n">
        <v>1</v>
      </c>
      <c r="B2452" s="82" t="n">
        <v>46238</v>
      </c>
      <c r="C2452" s="82" t="n">
        <v>46269</v>
      </c>
      <c r="D2452" s="59" t="n">
        <v>17</v>
      </c>
      <c r="E2452" s="59" t="inlineStr">
        <is>
          <t>NEYLIANE SILVA DE OLIVEIRA</t>
        </is>
      </c>
      <c r="F2452" s="59" t="n">
        <v>34</v>
      </c>
      <c r="G2452" s="59" t="inlineStr">
        <is>
          <t>Transferencia Pix</t>
        </is>
      </c>
      <c r="H2452" s="59" t="n">
        <v>2110405</v>
      </c>
      <c r="I2452" s="59" t="inlineStr">
        <is>
          <t>CONTAS A PAGAR</t>
        </is>
      </c>
      <c r="J2452" s="59" t="n">
        <v>1500762</v>
      </c>
      <c r="L2452" s="59" t="n">
        <v>615096</v>
      </c>
      <c r="M2452" s="59" t="inlineStr">
        <is>
          <t>02</t>
        </is>
      </c>
      <c r="N2452" s="59" t="inlineStr">
        <is>
          <t>AVU</t>
        </is>
      </c>
      <c r="P2452" s="59" t="n">
        <v>101</v>
      </c>
      <c r="Q2452" s="59" t="inlineStr">
        <is>
          <t>KEILA LIMA</t>
        </is>
      </c>
      <c r="R2452" s="59" t="inlineStr">
        <is>
          <t>DESPESAS OPERACIONAIS</t>
        </is>
      </c>
      <c r="S2452" s="59" t="n">
        <v>4210222</v>
      </c>
      <c r="T2452" s="59" t="inlineStr">
        <is>
          <t>TREINAMENTO/CONSULTORIAS</t>
        </is>
      </c>
      <c r="U2452" s="59" t="n">
        <v>514.36</v>
      </c>
      <c r="W2452" s="59" t="n">
        <v>0</v>
      </c>
      <c r="X2452" s="59" t="inlineStr">
        <is>
          <t>PAG DESPESA CURSOS E TELEFONE - KEILA</t>
        </is>
      </c>
      <c r="Z2452" s="59">
        <f>IF($T2452="","",IFERROR(INDEX('Resumo Grupos'!$AC$3:$AC$200,MATCH($T2452,'Resumo Grupos'!$AB$3:$AB$200,0)),"n/d"))</f>
        <v/>
      </c>
      <c r="AA2452" s="59">
        <f>IF($T2452="","",IF(COUNTIF('Resumo Grupos'!$AE$3:$AE$40,$T2452)&gt;0,"NAO","SIM"))</f>
        <v/>
      </c>
    </row>
    <row r="2453" ht="12.75" customHeight="1" s="60">
      <c r="A2453" s="59" t="n">
        <v>1</v>
      </c>
      <c r="B2453" s="82" t="n">
        <v>46241</v>
      </c>
      <c r="C2453" s="82" t="n">
        <v>46269</v>
      </c>
      <c r="D2453" s="59" t="n">
        <v>1608</v>
      </c>
      <c r="E2453" s="59" t="inlineStr">
        <is>
          <t>DISTRIBUIDORA LOPES LTDA</t>
        </is>
      </c>
      <c r="F2453" s="59" t="n">
        <v>24</v>
      </c>
      <c r="G2453" s="59" t="inlineStr">
        <is>
          <t>Compra a Prazo - Boletos</t>
        </is>
      </c>
      <c r="H2453" s="59" t="n">
        <v>2110405</v>
      </c>
      <c r="I2453" s="59" t="inlineStr">
        <is>
          <t>CONTAS A PAGAR</t>
        </is>
      </c>
      <c r="J2453" s="59" t="n">
        <v>1514839</v>
      </c>
      <c r="L2453" s="59" t="n">
        <v>1707352</v>
      </c>
      <c r="M2453" s="59" t="inlineStr">
        <is>
          <t>03</t>
        </is>
      </c>
      <c r="N2453" s="59" t="inlineStr">
        <is>
          <t>AVU</t>
        </is>
      </c>
      <c r="P2453" s="59" t="n">
        <v>103</v>
      </c>
      <c r="Q2453" s="59" t="inlineStr">
        <is>
          <t>MILKA FRANCIS</t>
        </is>
      </c>
      <c r="R2453" s="59" t="inlineStr">
        <is>
          <t>ESTOQUE DE MERCADORIAS</t>
        </is>
      </c>
      <c r="S2453" s="59" t="n">
        <v>1130101</v>
      </c>
      <c r="T2453" s="59" t="inlineStr">
        <is>
          <t>MERCADORIAS P/REVENDA</t>
        </is>
      </c>
      <c r="U2453" s="59" t="n">
        <v>953.13</v>
      </c>
      <c r="W2453" s="59" t="n">
        <v>0</v>
      </c>
      <c r="X2453" s="59" t="inlineStr">
        <is>
          <t>NF 1707352 -3 DESC. NO BOLETO - MILKA</t>
        </is>
      </c>
      <c r="Z2453" s="59">
        <f>IF($T2453="","",IFERROR(INDEX('Resumo Grupos'!$AC$3:$AC$200,MATCH($T2453,'Resumo Grupos'!$AB$3:$AB$200,0)),"n/d"))</f>
        <v/>
      </c>
      <c r="AA2453" s="59">
        <f>IF($T2453="","",IF(COUNTIF('Resumo Grupos'!$AE$3:$AE$40,$T2453)&gt;0,"NAO","SIM"))</f>
        <v/>
      </c>
    </row>
    <row r="2454" ht="12.75" customHeight="1" s="60">
      <c r="A2454" s="59" t="n">
        <v>1</v>
      </c>
      <c r="B2454" s="82" t="n">
        <v>46242</v>
      </c>
      <c r="C2454" s="82" t="n">
        <v>46269</v>
      </c>
      <c r="D2454" s="59" t="n">
        <v>1700</v>
      </c>
      <c r="E2454" s="59" t="inlineStr">
        <is>
          <t>MIKITOS IND.COM.DE GEN. ALIM. DO AM. LTD</t>
        </is>
      </c>
      <c r="F2454" s="59" t="n">
        <v>24</v>
      </c>
      <c r="G2454" s="59" t="inlineStr">
        <is>
          <t>Compra a Prazo - Boletos</t>
        </is>
      </c>
      <c r="H2454" s="59" t="n">
        <v>2110405</v>
      </c>
      <c r="I2454" s="59" t="inlineStr">
        <is>
          <t>CONTAS A PAGAR</t>
        </is>
      </c>
      <c r="J2454" s="59" t="n">
        <v>1518180</v>
      </c>
      <c r="L2454" s="59" t="n">
        <v>295194</v>
      </c>
      <c r="M2454" s="59" t="inlineStr">
        <is>
          <t>03</t>
        </is>
      </c>
      <c r="N2454" s="59" t="inlineStr">
        <is>
          <t>AVU</t>
        </is>
      </c>
      <c r="P2454" s="59" t="n">
        <v>103</v>
      </c>
      <c r="Q2454" s="59" t="inlineStr">
        <is>
          <t>MILKA FRANCIS</t>
        </is>
      </c>
      <c r="R2454" s="59" t="inlineStr">
        <is>
          <t>ESTOQUE DE MERCADORIAS</t>
        </is>
      </c>
      <c r="S2454" s="59" t="n">
        <v>1130101</v>
      </c>
      <c r="T2454" s="59" t="inlineStr">
        <is>
          <t>MERCADORIAS P/REVENDA</t>
        </is>
      </c>
      <c r="U2454" s="59" t="n">
        <v>687.96</v>
      </c>
      <c r="W2454" s="59" t="n">
        <v>0</v>
      </c>
      <c r="X2454" s="59" t="inlineStr">
        <is>
          <t>NF 295194-3 MILKA</t>
        </is>
      </c>
      <c r="Z2454" s="59">
        <f>IF($T2454="","",IFERROR(INDEX('Resumo Grupos'!$AC$3:$AC$200,MATCH($T2454,'Resumo Grupos'!$AB$3:$AB$200,0)),"n/d"))</f>
        <v/>
      </c>
      <c r="AA2454" s="59">
        <f>IF($T2454="","",IF(COUNTIF('Resumo Grupos'!$AE$3:$AE$40,$T2454)&gt;0,"NAO","SIM"))</f>
        <v/>
      </c>
    </row>
    <row r="2455" ht="12.75" customHeight="1" s="60">
      <c r="A2455" s="59" t="n">
        <v>1</v>
      </c>
      <c r="B2455" s="82" t="n">
        <v>46242</v>
      </c>
      <c r="C2455" s="82" t="n">
        <v>46269</v>
      </c>
      <c r="D2455" s="59" t="n">
        <v>1107</v>
      </c>
      <c r="E2455" s="59" t="inlineStr">
        <is>
          <t>OESA COMERCIO E REPRESENTACOES S/A</t>
        </is>
      </c>
      <c r="F2455" s="59" t="n">
        <v>24</v>
      </c>
      <c r="G2455" s="59" t="inlineStr">
        <is>
          <t>Compra a Prazo - Boletos</t>
        </is>
      </c>
      <c r="H2455" s="59" t="n">
        <v>2110405</v>
      </c>
      <c r="I2455" s="59" t="inlineStr">
        <is>
          <t>CONTAS A PAGAR</t>
        </is>
      </c>
      <c r="J2455" s="59" t="n">
        <v>1518289</v>
      </c>
      <c r="L2455" s="59" t="n">
        <v>439388</v>
      </c>
      <c r="M2455" s="59" t="inlineStr">
        <is>
          <t>02</t>
        </is>
      </c>
      <c r="N2455" s="59" t="inlineStr">
        <is>
          <t>AVU</t>
        </is>
      </c>
      <c r="P2455" s="59" t="n">
        <v>103</v>
      </c>
      <c r="Q2455" s="59" t="inlineStr">
        <is>
          <t>MILKA FRANCIS</t>
        </is>
      </c>
      <c r="R2455" s="59" t="inlineStr">
        <is>
          <t>ESTOQUE DE MERCADORIAS</t>
        </is>
      </c>
      <c r="S2455" s="59" t="n">
        <v>1130101</v>
      </c>
      <c r="T2455" s="59" t="inlineStr">
        <is>
          <t>MERCADORIAS P/REVENDA</t>
        </is>
      </c>
      <c r="U2455" s="59" t="n">
        <v>1099.43</v>
      </c>
      <c r="W2455" s="59" t="n">
        <v>0</v>
      </c>
      <c r="X2455" s="59" t="inlineStr">
        <is>
          <t>NF 439388-2 MILKA</t>
        </is>
      </c>
      <c r="Z2455" s="59">
        <f>IF($T2455="","",IFERROR(INDEX('Resumo Grupos'!$AC$3:$AC$200,MATCH($T2455,'Resumo Grupos'!$AB$3:$AB$200,0)),"n/d"))</f>
        <v/>
      </c>
      <c r="AA2455" s="59">
        <f>IF($T2455="","",IF(COUNTIF('Resumo Grupos'!$AE$3:$AE$40,$T2455)&gt;0,"NAO","SIM"))</f>
        <v/>
      </c>
    </row>
    <row r="2456" ht="12.75" customHeight="1" s="60">
      <c r="A2456" s="59" t="n">
        <v>1</v>
      </c>
      <c r="B2456" s="82" t="n">
        <v>46244</v>
      </c>
      <c r="C2456" s="82" t="n">
        <v>46269</v>
      </c>
      <c r="D2456" s="59" t="n">
        <v>1612</v>
      </c>
      <c r="E2456" s="59" t="inlineStr">
        <is>
          <t>EMPRESA BRASILEIRA DE DISTRIBUICAO LTDA</t>
        </is>
      </c>
      <c r="F2456" s="59" t="n">
        <v>24</v>
      </c>
      <c r="G2456" s="59" t="inlineStr">
        <is>
          <t>Compra a Prazo - Boletos</t>
        </is>
      </c>
      <c r="H2456" s="59" t="n">
        <v>2110405</v>
      </c>
      <c r="I2456" s="59" t="inlineStr">
        <is>
          <t>CONTAS A PAGAR</t>
        </is>
      </c>
      <c r="J2456" s="59" t="n">
        <v>1528938</v>
      </c>
      <c r="L2456" s="59" t="n">
        <v>2308194</v>
      </c>
      <c r="M2456" s="59" t="inlineStr">
        <is>
          <t>03</t>
        </is>
      </c>
      <c r="N2456" s="59" t="inlineStr">
        <is>
          <t>AVU</t>
        </is>
      </c>
      <c r="P2456" s="59" t="n">
        <v>103</v>
      </c>
      <c r="Q2456" s="59" t="inlineStr">
        <is>
          <t>MILKA FRANCIS</t>
        </is>
      </c>
      <c r="R2456" s="59" t="inlineStr">
        <is>
          <t>ESTOQUE DE MERCADORIAS</t>
        </is>
      </c>
      <c r="S2456" s="59" t="n">
        <v>1130101</v>
      </c>
      <c r="T2456" s="59" t="inlineStr">
        <is>
          <t>MERCADORIAS P/REVENDA</t>
        </is>
      </c>
      <c r="U2456" s="59" t="n">
        <v>625.83</v>
      </c>
      <c r="W2456" s="59" t="n">
        <v>0</v>
      </c>
      <c r="X2456" s="59" t="inlineStr">
        <is>
          <t>NF 2308194-3 EBD - MILKA</t>
        </is>
      </c>
      <c r="Z2456" s="59">
        <f>IF($T2456="","",IFERROR(INDEX('Resumo Grupos'!$AC$3:$AC$200,MATCH($T2456,'Resumo Grupos'!$AB$3:$AB$200,0)),"n/d"))</f>
        <v/>
      </c>
      <c r="AA2456" s="59">
        <f>IF($T2456="","",IF(COUNTIF('Resumo Grupos'!$AE$3:$AE$40,$T2456)&gt;0,"NAO","SIM"))</f>
        <v/>
      </c>
    </row>
    <row r="2457" ht="12.75" customHeight="1" s="60">
      <c r="A2457" s="59" t="n">
        <v>1</v>
      </c>
      <c r="B2457" s="82" t="n">
        <v>46249</v>
      </c>
      <c r="C2457" s="82" t="n">
        <v>46269</v>
      </c>
      <c r="D2457" s="59" t="n">
        <v>1815</v>
      </c>
      <c r="E2457" s="59" t="inlineStr">
        <is>
          <t>J G COMERCIO DE PRODUTOS ALIMENTICIOS LTDA</t>
        </is>
      </c>
      <c r="F2457" s="59" t="n">
        <v>24</v>
      </c>
      <c r="G2457" s="59" t="inlineStr">
        <is>
          <t>Compra a Prazo - Boletos</t>
        </is>
      </c>
      <c r="H2457" s="59" t="n">
        <v>2110405</v>
      </c>
      <c r="I2457" s="59" t="inlineStr">
        <is>
          <t>CONTAS A PAGAR</t>
        </is>
      </c>
      <c r="J2457" s="59" t="n">
        <v>1552021</v>
      </c>
      <c r="L2457" s="59" t="n">
        <v>397850</v>
      </c>
      <c r="M2457" s="59" t="inlineStr">
        <is>
          <t>03</t>
        </is>
      </c>
      <c r="N2457" s="59" t="inlineStr">
        <is>
          <t>AVU</t>
        </is>
      </c>
      <c r="P2457" s="59" t="n">
        <v>103</v>
      </c>
      <c r="Q2457" s="59" t="inlineStr">
        <is>
          <t>MILKA FRANCIS</t>
        </is>
      </c>
      <c r="R2457" s="59" t="inlineStr">
        <is>
          <t>ESTOQUE DE MERCADORIAS</t>
        </is>
      </c>
      <c r="S2457" s="59" t="n">
        <v>1130101</v>
      </c>
      <c r="T2457" s="59" t="inlineStr">
        <is>
          <t>MERCADORIAS P/REVENDA</t>
        </is>
      </c>
      <c r="U2457" s="59" t="n">
        <v>466</v>
      </c>
      <c r="W2457" s="59" t="n">
        <v>0</v>
      </c>
      <c r="X2457" s="59" t="inlineStr">
        <is>
          <t>462480-C/C NF397850 MASTERFRIGO - MILKA</t>
        </is>
      </c>
      <c r="Z2457" s="59">
        <f>IF($T2457="","",IFERROR(INDEX('Resumo Grupos'!$AC$3:$AC$200,MATCH($T2457,'Resumo Grupos'!$AB$3:$AB$200,0)),"n/d"))</f>
        <v/>
      </c>
      <c r="AA2457" s="59">
        <f>IF($T2457="","",IF(COUNTIF('Resumo Grupos'!$AE$3:$AE$40,$T2457)&gt;0,"NAO","SIM"))</f>
        <v/>
      </c>
    </row>
    <row r="2458" ht="12.75" customHeight="1" s="60">
      <c r="A2458" s="59" t="n">
        <v>1</v>
      </c>
      <c r="B2458" s="82" t="n">
        <v>46251</v>
      </c>
      <c r="C2458" s="82" t="n">
        <v>46269</v>
      </c>
      <c r="D2458" s="59" t="n">
        <v>1636</v>
      </c>
      <c r="E2458" s="59" t="inlineStr">
        <is>
          <t>DUNORTE DISTRIBUIDORA DE PRODUTOS DE CONSUMO LTDA</t>
        </is>
      </c>
      <c r="F2458" s="59" t="n">
        <v>24</v>
      </c>
      <c r="G2458" s="59" t="inlineStr">
        <is>
          <t>Compra a Prazo - Boletos</t>
        </is>
      </c>
      <c r="H2458" s="59" t="n">
        <v>2110405</v>
      </c>
      <c r="I2458" s="59" t="inlineStr">
        <is>
          <t>CONTAS A PAGAR</t>
        </is>
      </c>
      <c r="J2458" s="59" t="n">
        <v>1561641</v>
      </c>
      <c r="L2458" s="59" t="n">
        <v>3237031</v>
      </c>
      <c r="M2458" s="59" t="inlineStr">
        <is>
          <t>02</t>
        </is>
      </c>
      <c r="N2458" s="59" t="inlineStr">
        <is>
          <t>AVU</t>
        </is>
      </c>
      <c r="P2458" s="59" t="n">
        <v>103</v>
      </c>
      <c r="Q2458" s="59" t="inlineStr">
        <is>
          <t>MILKA FRANCIS</t>
        </is>
      </c>
      <c r="R2458" s="59" t="inlineStr">
        <is>
          <t>ESTOQUE DE MERCADORIAS</t>
        </is>
      </c>
      <c r="S2458" s="59" t="n">
        <v>1130101</v>
      </c>
      <c r="T2458" s="59" t="inlineStr">
        <is>
          <t>MERCADORIAS P/REVENDA</t>
        </is>
      </c>
      <c r="U2458" s="59" t="n">
        <v>699.99</v>
      </c>
      <c r="W2458" s="59" t="n">
        <v>0</v>
      </c>
      <c r="X2458" s="59" t="inlineStr">
        <is>
          <t>NF 3237031 -2 C/TARIFA INCLUSA - MILKA</t>
        </is>
      </c>
      <c r="Z2458" s="59">
        <f>IF($T2458="","",IFERROR(INDEX('Resumo Grupos'!$AC$3:$AC$200,MATCH($T2458,'Resumo Grupos'!$AB$3:$AB$200,0)),"n/d"))</f>
        <v/>
      </c>
      <c r="AA2458" s="59">
        <f>IF($T2458="","",IF(COUNTIF('Resumo Grupos'!$AE$3:$AE$40,$T2458)&gt;0,"NAO","SIM"))</f>
        <v/>
      </c>
    </row>
    <row r="2459" ht="12.75" customHeight="1" s="60">
      <c r="A2459" s="59" t="n">
        <v>1</v>
      </c>
      <c r="B2459" s="82" t="n">
        <v>46251</v>
      </c>
      <c r="C2459" s="82" t="n">
        <v>46269</v>
      </c>
      <c r="D2459" s="59" t="n">
        <v>1636</v>
      </c>
      <c r="E2459" s="59" t="inlineStr">
        <is>
          <t>DUNORTE DISTRIBUIDORA DE PRODUTOS DE CONSUMO LTDA</t>
        </is>
      </c>
      <c r="F2459" s="59" t="n">
        <v>24</v>
      </c>
      <c r="G2459" s="59" t="inlineStr">
        <is>
          <t>Compra a Prazo - Boletos</t>
        </is>
      </c>
      <c r="H2459" s="59" t="n">
        <v>2110405</v>
      </c>
      <c r="I2459" s="59" t="inlineStr">
        <is>
          <t>CONTAS A PAGAR</t>
        </is>
      </c>
      <c r="J2459" s="59" t="n">
        <v>1561678</v>
      </c>
      <c r="L2459" s="59" t="n">
        <v>3237032</v>
      </c>
      <c r="M2459" s="59" t="inlineStr">
        <is>
          <t>01</t>
        </is>
      </c>
      <c r="N2459" s="59" t="inlineStr">
        <is>
          <t>AVU</t>
        </is>
      </c>
      <c r="P2459" s="59" t="n">
        <v>103</v>
      </c>
      <c r="Q2459" s="59" t="inlineStr">
        <is>
          <t>MILKA FRANCIS</t>
        </is>
      </c>
      <c r="R2459" s="59" t="inlineStr">
        <is>
          <t>ESTOQUE DE MERCADORIAS</t>
        </is>
      </c>
      <c r="S2459" s="59" t="n">
        <v>1130101</v>
      </c>
      <c r="T2459" s="59" t="inlineStr">
        <is>
          <t>MERCADORIAS P/REVENDA</t>
        </is>
      </c>
      <c r="U2459" s="59" t="n">
        <v>807.0599999999999</v>
      </c>
      <c r="W2459" s="59" t="n">
        <v>0</v>
      </c>
      <c r="X2459" s="59" t="inlineStr">
        <is>
          <t>NF 3237032-1 MILKA</t>
        </is>
      </c>
      <c r="Z2459" s="59">
        <f>IF($T2459="","",IFERROR(INDEX('Resumo Grupos'!$AC$3:$AC$200,MATCH($T2459,'Resumo Grupos'!$AB$3:$AB$200,0)),"n/d"))</f>
        <v/>
      </c>
      <c r="AA2459" s="59">
        <f>IF($T2459="","",IF(COUNTIF('Resumo Grupos'!$AE$3:$AE$40,$T2459)&gt;0,"NAO","SIM"))</f>
        <v/>
      </c>
    </row>
    <row r="2460" ht="12.75" customHeight="1" s="60">
      <c r="A2460" s="59" t="n">
        <v>1</v>
      </c>
      <c r="B2460" s="82" t="n">
        <v>46253</v>
      </c>
      <c r="C2460" s="82" t="n">
        <v>46269</v>
      </c>
      <c r="D2460" s="59" t="n">
        <v>1107</v>
      </c>
      <c r="E2460" s="59" t="inlineStr">
        <is>
          <t>OESA COMERCIO E REPRESENTACOES S/A</t>
        </is>
      </c>
      <c r="F2460" s="59" t="n">
        <v>24</v>
      </c>
      <c r="G2460" s="59" t="inlineStr">
        <is>
          <t>Compra a Prazo - Boletos</t>
        </is>
      </c>
      <c r="H2460" s="59" t="n">
        <v>2110405</v>
      </c>
      <c r="I2460" s="59" t="inlineStr">
        <is>
          <t>CONTAS A PAGAR</t>
        </is>
      </c>
      <c r="J2460" s="59" t="n">
        <v>1570967</v>
      </c>
      <c r="L2460" s="59" t="n">
        <v>443157</v>
      </c>
      <c r="M2460" s="59" t="inlineStr">
        <is>
          <t>01</t>
        </is>
      </c>
      <c r="N2460" s="59" t="inlineStr">
        <is>
          <t>AVU</t>
        </is>
      </c>
      <c r="P2460" s="59" t="n">
        <v>103</v>
      </c>
      <c r="Q2460" s="59" t="inlineStr">
        <is>
          <t>MILKA FRANCIS</t>
        </is>
      </c>
      <c r="R2460" s="59" t="inlineStr">
        <is>
          <t>ESTOQUE DE MERCADORIAS</t>
        </is>
      </c>
      <c r="S2460" s="59" t="n">
        <v>1130101</v>
      </c>
      <c r="T2460" s="59" t="inlineStr">
        <is>
          <t>MERCADORIAS P/REVENDA</t>
        </is>
      </c>
      <c r="U2460" s="59" t="n">
        <v>584.55</v>
      </c>
      <c r="W2460" s="59" t="n">
        <v>0</v>
      </c>
      <c r="X2460" s="59" t="inlineStr">
        <is>
          <t>NF 443157 - MILKA</t>
        </is>
      </c>
      <c r="Z2460" s="59">
        <f>IF($T2460="","",IFERROR(INDEX('Resumo Grupos'!$AC$3:$AC$200,MATCH($T2460,'Resumo Grupos'!$AB$3:$AB$200,0)),"n/d"))</f>
        <v/>
      </c>
      <c r="AA2460" s="59">
        <f>IF($T2460="","",IF(COUNTIF('Resumo Grupos'!$AE$3:$AE$40,$T2460)&gt;0,"NAO","SIM"))</f>
        <v/>
      </c>
    </row>
    <row r="2461" ht="12.75" customHeight="1" s="60">
      <c r="A2461" s="59" t="n">
        <v>1</v>
      </c>
      <c r="B2461" s="82" t="n">
        <v>46253</v>
      </c>
      <c r="C2461" s="82" t="n">
        <v>46269</v>
      </c>
      <c r="D2461" s="59" t="n">
        <v>10017</v>
      </c>
      <c r="E2461" s="59" t="inlineStr">
        <is>
          <t>PIARARA COMERCIO, IMPORTACAO E EXPORTACAO LTDA</t>
        </is>
      </c>
      <c r="F2461" s="59" t="n">
        <v>24</v>
      </c>
      <c r="G2461" s="59" t="inlineStr">
        <is>
          <t>Compra a Prazo - Boletos</t>
        </is>
      </c>
      <c r="H2461" s="59" t="n">
        <v>2110405</v>
      </c>
      <c r="I2461" s="59" t="inlineStr">
        <is>
          <t>CONTAS A PAGAR</t>
        </is>
      </c>
      <c r="J2461" s="59" t="n">
        <v>1571575</v>
      </c>
      <c r="L2461" s="59" t="n">
        <v>195456</v>
      </c>
      <c r="M2461" s="59" t="inlineStr">
        <is>
          <t>02</t>
        </is>
      </c>
      <c r="N2461" s="59" t="inlineStr">
        <is>
          <t>AVU</t>
        </is>
      </c>
      <c r="P2461" s="59" t="n">
        <v>103</v>
      </c>
      <c r="Q2461" s="59" t="inlineStr">
        <is>
          <t>MILKA FRANCIS</t>
        </is>
      </c>
      <c r="R2461" s="59" t="inlineStr">
        <is>
          <t>ESTOQUE DE MERCADORIAS</t>
        </is>
      </c>
      <c r="S2461" s="59" t="n">
        <v>1130101</v>
      </c>
      <c r="T2461" s="59" t="inlineStr">
        <is>
          <t>MERCADORIAS P/REVENDA</t>
        </is>
      </c>
      <c r="U2461" s="59" t="n">
        <v>792.22</v>
      </c>
      <c r="W2461" s="59" t="n">
        <v>0</v>
      </c>
      <c r="X2461" s="59" t="inlineStr">
        <is>
          <t>NF 195456-2 MILKA</t>
        </is>
      </c>
      <c r="Z2461" s="59">
        <f>IF($T2461="","",IFERROR(INDEX('Resumo Grupos'!$AC$3:$AC$200,MATCH($T2461,'Resumo Grupos'!$AB$3:$AB$200,0)),"n/d"))</f>
        <v/>
      </c>
      <c r="AA2461" s="59">
        <f>IF($T2461="","",IF(COUNTIF('Resumo Grupos'!$AE$3:$AE$40,$T2461)&gt;0,"NAO","SIM"))</f>
        <v/>
      </c>
    </row>
    <row r="2462" ht="12.75" customHeight="1" s="60">
      <c r="A2462" s="59" t="n">
        <v>1</v>
      </c>
      <c r="B2462" s="82" t="n">
        <v>46254</v>
      </c>
      <c r="C2462" s="82" t="n">
        <v>46269</v>
      </c>
      <c r="D2462" s="59" t="n">
        <v>1608</v>
      </c>
      <c r="E2462" s="59" t="inlineStr">
        <is>
          <t>DISTRIBUIDORA LOPES LTDA</t>
        </is>
      </c>
      <c r="F2462" s="59" t="n">
        <v>24</v>
      </c>
      <c r="G2462" s="59" t="inlineStr">
        <is>
          <t>Compra a Prazo - Boletos</t>
        </is>
      </c>
      <c r="H2462" s="59" t="n">
        <v>2110405</v>
      </c>
      <c r="I2462" s="59" t="inlineStr">
        <is>
          <t>CONTAS A PAGAR</t>
        </is>
      </c>
      <c r="J2462" s="59" t="n">
        <v>1575885</v>
      </c>
      <c r="L2462" s="59" t="n">
        <v>1711227</v>
      </c>
      <c r="M2462" s="59" t="inlineStr">
        <is>
          <t>02</t>
        </is>
      </c>
      <c r="N2462" s="59" t="inlineStr">
        <is>
          <t>AVU</t>
        </is>
      </c>
      <c r="P2462" s="59" t="n">
        <v>103</v>
      </c>
      <c r="Q2462" s="59" t="inlineStr">
        <is>
          <t>MILKA FRANCIS</t>
        </is>
      </c>
      <c r="R2462" s="59" t="inlineStr">
        <is>
          <t>ESTOQUE DE MERCADORIAS</t>
        </is>
      </c>
      <c r="S2462" s="59" t="n">
        <v>1130101</v>
      </c>
      <c r="T2462" s="59" t="inlineStr">
        <is>
          <t>MERCADORIAS P/REVENDA</t>
        </is>
      </c>
      <c r="U2462" s="59" t="n">
        <v>753.33</v>
      </c>
      <c r="W2462" s="59" t="n">
        <v>0</v>
      </c>
      <c r="X2462" s="59" t="inlineStr">
        <is>
          <t>NF 1711227-2 MILKA</t>
        </is>
      </c>
      <c r="Z2462" s="59">
        <f>IF($T2462="","",IFERROR(INDEX('Resumo Grupos'!$AC$3:$AC$200,MATCH($T2462,'Resumo Grupos'!$AB$3:$AB$200,0)),"n/d"))</f>
        <v/>
      </c>
      <c r="AA2462" s="59">
        <f>IF($T2462="","",IF(COUNTIF('Resumo Grupos'!$AE$3:$AE$40,$T2462)&gt;0,"NAO","SIM"))</f>
        <v/>
      </c>
    </row>
    <row r="2463" ht="12.75" customHeight="1" s="60">
      <c r="A2463" s="59" t="n">
        <v>1</v>
      </c>
      <c r="B2463" s="82" t="n">
        <v>46255</v>
      </c>
      <c r="C2463" s="82" t="n">
        <v>46269</v>
      </c>
      <c r="D2463" s="59" t="n">
        <v>1634</v>
      </c>
      <c r="E2463" s="59" t="inlineStr">
        <is>
          <t>FH DISTRIBUIDORA DE ALIM. E BEBIDAS LTDA</t>
        </is>
      </c>
      <c r="F2463" s="59" t="n">
        <v>24</v>
      </c>
      <c r="G2463" s="59" t="inlineStr">
        <is>
          <t>Compra a Prazo - Boletos</t>
        </is>
      </c>
      <c r="H2463" s="59" t="n">
        <v>2110405</v>
      </c>
      <c r="I2463" s="59" t="inlineStr">
        <is>
          <t>CONTAS A PAGAR</t>
        </is>
      </c>
      <c r="J2463" s="59" t="n">
        <v>1582023</v>
      </c>
      <c r="L2463" s="59" t="n">
        <v>330734</v>
      </c>
      <c r="M2463" s="59" t="inlineStr">
        <is>
          <t>01</t>
        </is>
      </c>
      <c r="N2463" s="59" t="inlineStr">
        <is>
          <t>AVU</t>
        </is>
      </c>
      <c r="P2463" s="59" t="n">
        <v>103</v>
      </c>
      <c r="Q2463" s="59" t="inlineStr">
        <is>
          <t>MILKA FRANCIS</t>
        </is>
      </c>
      <c r="R2463" s="59" t="inlineStr">
        <is>
          <t>ESTOQUE DE MERCADORIAS</t>
        </is>
      </c>
      <c r="S2463" s="59" t="n">
        <v>1130101</v>
      </c>
      <c r="T2463" s="59" t="inlineStr">
        <is>
          <t>MERCADORIAS P/REVENDA</t>
        </is>
      </c>
      <c r="U2463" s="59" t="n">
        <v>1232.16</v>
      </c>
      <c r="W2463" s="59" t="n">
        <v>0</v>
      </c>
      <c r="X2463" s="59" t="inlineStr">
        <is>
          <t>NF 330734-1 MILKA</t>
        </is>
      </c>
      <c r="Z2463" s="59">
        <f>IF($T2463="","",IFERROR(INDEX('Resumo Grupos'!$AC$3:$AC$200,MATCH($T2463,'Resumo Grupos'!$AB$3:$AB$200,0)),"n/d"))</f>
        <v/>
      </c>
      <c r="AA2463" s="59">
        <f>IF($T2463="","",IF(COUNTIF('Resumo Grupos'!$AE$3:$AE$40,$T2463)&gt;0,"NAO","SIM"))</f>
        <v/>
      </c>
    </row>
    <row r="2464" ht="12.75" customHeight="1" s="60">
      <c r="A2464" s="59" t="n">
        <v>1</v>
      </c>
      <c r="B2464" s="82" t="n">
        <v>46255</v>
      </c>
      <c r="C2464" s="82" t="n">
        <v>46269</v>
      </c>
      <c r="D2464" s="59" t="n">
        <v>703</v>
      </c>
      <c r="E2464" s="59" t="inlineStr">
        <is>
          <t>NEXUS DISTRIBUIDORA</t>
        </is>
      </c>
      <c r="F2464" s="59" t="n">
        <v>24</v>
      </c>
      <c r="G2464" s="59" t="inlineStr">
        <is>
          <t>Compra a Prazo - Boletos</t>
        </is>
      </c>
      <c r="H2464" s="59" t="n">
        <v>2110405</v>
      </c>
      <c r="I2464" s="59" t="inlineStr">
        <is>
          <t>CONTAS A PAGAR</t>
        </is>
      </c>
      <c r="J2464" s="59" t="n">
        <v>1582062</v>
      </c>
      <c r="L2464" s="59" t="n">
        <v>103073</v>
      </c>
      <c r="M2464" s="59" t="inlineStr">
        <is>
          <t>01</t>
        </is>
      </c>
      <c r="N2464" s="59" t="inlineStr">
        <is>
          <t>AVU</t>
        </is>
      </c>
      <c r="P2464" s="59" t="n">
        <v>103</v>
      </c>
      <c r="Q2464" s="59" t="inlineStr">
        <is>
          <t>MILKA FRANCIS</t>
        </is>
      </c>
      <c r="R2464" s="59" t="inlineStr">
        <is>
          <t>ESTOQUE DE MERCADORIAS</t>
        </is>
      </c>
      <c r="S2464" s="59" t="n">
        <v>1130101</v>
      </c>
      <c r="T2464" s="59" t="inlineStr">
        <is>
          <t>MERCADORIAS P/REVENDA</t>
        </is>
      </c>
      <c r="U2464" s="59" t="n">
        <v>431.28</v>
      </c>
      <c r="W2464" s="59" t="n">
        <v>0</v>
      </c>
      <c r="X2464" s="59" t="inlineStr">
        <is>
          <t>NF 103073 - MILKA</t>
        </is>
      </c>
      <c r="Z2464" s="59">
        <f>IF($T2464="","",IFERROR(INDEX('Resumo Grupos'!$AC$3:$AC$200,MATCH($T2464,'Resumo Grupos'!$AB$3:$AB$200,0)),"n/d"))</f>
        <v/>
      </c>
      <c r="AA2464" s="59">
        <f>IF($T2464="","",IF(COUNTIF('Resumo Grupos'!$AE$3:$AE$40,$T2464)&gt;0,"NAO","SIM"))</f>
        <v/>
      </c>
    </row>
    <row r="2465" ht="12.75" customHeight="1" s="60">
      <c r="A2465" s="59" t="n">
        <v>1</v>
      </c>
      <c r="B2465" s="82" t="n">
        <v>46256</v>
      </c>
      <c r="C2465" s="82" t="n">
        <v>46269</v>
      </c>
      <c r="D2465" s="59" t="n">
        <v>1659</v>
      </c>
      <c r="E2465" s="59" t="inlineStr">
        <is>
          <t>ADRIANA DISTRIBUIDORA DE PRODUTOS ALIMEN</t>
        </is>
      </c>
      <c r="F2465" s="59" t="n">
        <v>24</v>
      </c>
      <c r="G2465" s="59" t="inlineStr">
        <is>
          <t>Compra a Prazo - Boletos</t>
        </is>
      </c>
      <c r="H2465" s="59" t="n">
        <v>2110405</v>
      </c>
      <c r="I2465" s="59" t="inlineStr">
        <is>
          <t>CONTAS A PAGAR</t>
        </is>
      </c>
      <c r="J2465" s="59" t="n">
        <v>1585364</v>
      </c>
      <c r="L2465" s="59" t="n">
        <v>891630</v>
      </c>
      <c r="M2465" s="59" t="inlineStr">
        <is>
          <t>01</t>
        </is>
      </c>
      <c r="N2465" s="59" t="inlineStr">
        <is>
          <t>AVU</t>
        </is>
      </c>
      <c r="P2465" s="59" t="n">
        <v>103</v>
      </c>
      <c r="Q2465" s="59" t="inlineStr">
        <is>
          <t>MILKA FRANCIS</t>
        </is>
      </c>
      <c r="R2465" s="59" t="inlineStr">
        <is>
          <t>ESTOQUE DE MERCADORIAS</t>
        </is>
      </c>
      <c r="S2465" s="59" t="n">
        <v>1130101</v>
      </c>
      <c r="T2465" s="59" t="inlineStr">
        <is>
          <t>MERCADORIAS P/REVENDA</t>
        </is>
      </c>
      <c r="U2465" s="59" t="n">
        <v>1167.28</v>
      </c>
      <c r="W2465" s="59" t="n">
        <v>0</v>
      </c>
      <c r="X2465" s="59" t="inlineStr">
        <is>
          <t>NF 891630-1 MILKA</t>
        </is>
      </c>
      <c r="Z2465" s="59">
        <f>IF($T2465="","",IFERROR(INDEX('Resumo Grupos'!$AC$3:$AC$200,MATCH($T2465,'Resumo Grupos'!$AB$3:$AB$200,0)),"n/d"))</f>
        <v/>
      </c>
      <c r="AA2465" s="59">
        <f>IF($T2465="","",IF(COUNTIF('Resumo Grupos'!$AE$3:$AE$40,$T2465)&gt;0,"NAO","SIM"))</f>
        <v/>
      </c>
    </row>
    <row r="2466" ht="12.75" customHeight="1" s="60">
      <c r="A2466" s="59" t="n">
        <v>1</v>
      </c>
      <c r="B2466" s="82" t="n">
        <v>46256</v>
      </c>
      <c r="C2466" s="82" t="n">
        <v>46269</v>
      </c>
      <c r="D2466" s="59" t="n">
        <v>1667</v>
      </c>
      <c r="E2466" s="59" t="inlineStr">
        <is>
          <t>FENNIX BRASIL DISTRIBUIDORA DE PRODUTOS</t>
        </is>
      </c>
      <c r="F2466" s="59" t="n">
        <v>24</v>
      </c>
      <c r="G2466" s="59" t="inlineStr">
        <is>
          <t>Compra a Prazo - Boletos</t>
        </is>
      </c>
      <c r="H2466" s="59" t="n">
        <v>2110405</v>
      </c>
      <c r="I2466" s="59" t="inlineStr">
        <is>
          <t>CONTAS A PAGAR</t>
        </is>
      </c>
      <c r="J2466" s="59" t="n">
        <v>1585385</v>
      </c>
      <c r="L2466" s="59" t="n">
        <v>398654</v>
      </c>
      <c r="M2466" s="59" t="inlineStr">
        <is>
          <t>01</t>
        </is>
      </c>
      <c r="N2466" s="59" t="inlineStr">
        <is>
          <t>AVU</t>
        </is>
      </c>
      <c r="P2466" s="59" t="n">
        <v>103</v>
      </c>
      <c r="Q2466" s="59" t="inlineStr">
        <is>
          <t>MILKA FRANCIS</t>
        </is>
      </c>
      <c r="R2466" s="59" t="inlineStr">
        <is>
          <t>ESTOQUE DE MERCADORIAS</t>
        </is>
      </c>
      <c r="S2466" s="59" t="n">
        <v>1130101</v>
      </c>
      <c r="T2466" s="59" t="inlineStr">
        <is>
          <t>MERCADORIAS P/REVENDA</t>
        </is>
      </c>
      <c r="U2466" s="59" t="n">
        <v>684.25</v>
      </c>
      <c r="W2466" s="59" t="n">
        <v>0</v>
      </c>
      <c r="X2466" s="59" t="inlineStr">
        <is>
          <t>NF 398654 -1 TARIFA INCLUSA - MILKA</t>
        </is>
      </c>
      <c r="Z2466" s="59">
        <f>IF($T2466="","",IFERROR(INDEX('Resumo Grupos'!$AC$3:$AC$200,MATCH($T2466,'Resumo Grupos'!$AB$3:$AB$200,0)),"n/d"))</f>
        <v/>
      </c>
      <c r="AA2466" s="59">
        <f>IF($T2466="","",IF(COUNTIF('Resumo Grupos'!$AE$3:$AE$40,$T2466)&gt;0,"NAO","SIM"))</f>
        <v/>
      </c>
    </row>
    <row r="2467" ht="12.75" customHeight="1" s="60">
      <c r="A2467" s="59" t="n">
        <v>1</v>
      </c>
      <c r="B2467" s="82" t="n">
        <v>46256</v>
      </c>
      <c r="C2467" s="82" t="n">
        <v>46269</v>
      </c>
      <c r="D2467" s="59" t="n">
        <v>1666</v>
      </c>
      <c r="E2467" s="59" t="inlineStr">
        <is>
          <t>SOUZA CRUZ LTDA.</t>
        </is>
      </c>
      <c r="F2467" s="59" t="n">
        <v>24</v>
      </c>
      <c r="G2467" s="59" t="inlineStr">
        <is>
          <t>Compra a Prazo - Boletos</t>
        </is>
      </c>
      <c r="H2467" s="59" t="n">
        <v>2110405</v>
      </c>
      <c r="I2467" s="59" t="inlineStr">
        <is>
          <t>CONTAS A PAGAR</t>
        </is>
      </c>
      <c r="J2467" s="59" t="n">
        <v>1585825</v>
      </c>
      <c r="L2467" s="59" t="n">
        <v>571038</v>
      </c>
      <c r="M2467" s="59" t="inlineStr">
        <is>
          <t>01</t>
        </is>
      </c>
      <c r="N2467" s="59" t="inlineStr">
        <is>
          <t>AVU</t>
        </is>
      </c>
      <c r="P2467" s="59" t="n">
        <v>103</v>
      </c>
      <c r="Q2467" s="59" t="inlineStr">
        <is>
          <t>MILKA FRANCIS</t>
        </is>
      </c>
      <c r="R2467" s="59" t="inlineStr">
        <is>
          <t>ESTOQUE DE MERCADORIAS</t>
        </is>
      </c>
      <c r="S2467" s="59" t="n">
        <v>1130101</v>
      </c>
      <c r="T2467" s="59" t="inlineStr">
        <is>
          <t>MERCADORIAS P/REVENDA</t>
        </is>
      </c>
      <c r="U2467" s="59" t="n">
        <v>963.49</v>
      </c>
      <c r="W2467" s="59" t="n">
        <v>0</v>
      </c>
      <c r="X2467" s="59" t="inlineStr">
        <is>
          <t>NF 571038 TARIFA PRIME INCLUSA - MILKA</t>
        </is>
      </c>
      <c r="Z2467" s="59">
        <f>IF($T2467="","",IFERROR(INDEX('Resumo Grupos'!$AC$3:$AC$200,MATCH($T2467,'Resumo Grupos'!$AB$3:$AB$200,0)),"n/d"))</f>
        <v/>
      </c>
      <c r="AA2467" s="59">
        <f>IF($T2467="","",IF(COUNTIF('Resumo Grupos'!$AE$3:$AE$40,$T2467)&gt;0,"NAO","SIM"))</f>
        <v/>
      </c>
    </row>
    <row r="2468" ht="12.75" customHeight="1" s="60">
      <c r="A2468" s="59" t="n">
        <v>1</v>
      </c>
      <c r="B2468" s="82" t="n">
        <v>46256</v>
      </c>
      <c r="C2468" s="82" t="n">
        <v>46269</v>
      </c>
      <c r="D2468" s="59" t="n">
        <v>1114</v>
      </c>
      <c r="E2468" s="59" t="inlineStr">
        <is>
          <t>NT INDUSTRIA E COMERCIO DE PANIFICACAO L</t>
        </is>
      </c>
      <c r="F2468" s="59" t="n">
        <v>24</v>
      </c>
      <c r="G2468" s="59" t="inlineStr">
        <is>
          <t>Compra a Prazo - Boletos</t>
        </is>
      </c>
      <c r="H2468" s="59" t="n">
        <v>2110405</v>
      </c>
      <c r="I2468" s="59" t="inlineStr">
        <is>
          <t>CONTAS A PAGAR</t>
        </is>
      </c>
      <c r="J2468" s="59" t="n">
        <v>1585897</v>
      </c>
      <c r="L2468" s="59" t="n">
        <v>44559</v>
      </c>
      <c r="M2468" s="59" t="inlineStr">
        <is>
          <t>01</t>
        </is>
      </c>
      <c r="N2468" s="59" t="inlineStr">
        <is>
          <t>AVU</t>
        </is>
      </c>
      <c r="P2468" s="59" t="n">
        <v>103</v>
      </c>
      <c r="Q2468" s="59" t="inlineStr">
        <is>
          <t>MILKA FRANCIS</t>
        </is>
      </c>
      <c r="R2468" s="59" t="inlineStr">
        <is>
          <t>ESTOQUE DE MERCADORIAS</t>
        </is>
      </c>
      <c r="S2468" s="59" t="n">
        <v>1130101</v>
      </c>
      <c r="T2468" s="59" t="inlineStr">
        <is>
          <t>MERCADORIAS P/REVENDA</t>
        </is>
      </c>
      <c r="U2468" s="59" t="n">
        <v>4339.8</v>
      </c>
      <c r="W2468" s="59" t="n">
        <v>0</v>
      </c>
      <c r="X2468" s="59" t="inlineStr">
        <is>
          <t>NF44559 - MILKA</t>
        </is>
      </c>
      <c r="Z2468" s="59">
        <f>IF($T2468="","",IFERROR(INDEX('Resumo Grupos'!$AC$3:$AC$200,MATCH($T2468,'Resumo Grupos'!$AB$3:$AB$200,0)),"n/d"))</f>
        <v/>
      </c>
      <c r="AA2468" s="59">
        <f>IF($T2468="","",IF(COUNTIF('Resumo Grupos'!$AE$3:$AE$40,$T2468)&gt;0,"NAO","SIM"))</f>
        <v/>
      </c>
    </row>
    <row r="2469" ht="12.75" customHeight="1" s="60">
      <c r="A2469" s="59" t="n">
        <v>1</v>
      </c>
      <c r="B2469" s="82" t="n">
        <v>46185</v>
      </c>
      <c r="C2469" s="82" t="n">
        <v>46270</v>
      </c>
      <c r="D2469" s="59" t="n">
        <v>1768</v>
      </c>
      <c r="E2469" s="59" t="inlineStr">
        <is>
          <t>GOLD SERVICE</t>
        </is>
      </c>
      <c r="F2469" s="59" t="n">
        <v>34</v>
      </c>
      <c r="G2469" s="59" t="inlineStr">
        <is>
          <t>Transferencia Pix</t>
        </is>
      </c>
      <c r="H2469" s="59" t="n">
        <v>1110202</v>
      </c>
      <c r="I2469" s="59" t="inlineStr">
        <is>
          <t>BANCO ITAU Lj 01</t>
        </is>
      </c>
      <c r="J2469" s="59" t="n">
        <v>1240158</v>
      </c>
      <c r="L2469" s="59" t="n">
        <v>515079</v>
      </c>
      <c r="M2469" s="59" t="inlineStr">
        <is>
          <t>03</t>
        </is>
      </c>
      <c r="N2469" s="59" t="inlineStr">
        <is>
          <t>AVU</t>
        </is>
      </c>
      <c r="P2469" s="59" t="n">
        <v>102</v>
      </c>
      <c r="Q2469" s="59" t="inlineStr">
        <is>
          <t>ANDREZA ANDRADE</t>
        </is>
      </c>
      <c r="R2469" s="59" t="inlineStr">
        <is>
          <t>DESPESAS OPERACIONAIS</t>
        </is>
      </c>
      <c r="S2469" s="59" t="n">
        <v>4210202</v>
      </c>
      <c r="T2469" s="59" t="inlineStr">
        <is>
          <t>HONORARIOS CONTABEIS</t>
        </is>
      </c>
      <c r="U2469" s="59" t="n">
        <v>2431.5</v>
      </c>
      <c r="W2469" s="59" t="n">
        <v>0</v>
      </c>
      <c r="X2469" s="59" t="inlineStr">
        <is>
          <t>MENSALIDADE GOLD MO1-ANDREZA</t>
        </is>
      </c>
      <c r="Z2469" s="59">
        <f>IF($T2469="","",IFERROR(INDEX('Resumo Grupos'!$AC$3:$AC$200,MATCH($T2469,'Resumo Grupos'!$AB$3:$AB$200,0)),"n/d"))</f>
        <v/>
      </c>
      <c r="AA2469" s="59">
        <f>IF($T2469="","",IF(COUNTIF('Resumo Grupos'!$AE$3:$AE$40,$T2469)&gt;0,"NAO","SIM"))</f>
        <v/>
      </c>
    </row>
    <row r="2470" ht="12.75" customHeight="1" s="60">
      <c r="A2470" s="59" t="n">
        <v>1</v>
      </c>
      <c r="B2470" s="82" t="n">
        <v>46209</v>
      </c>
      <c r="C2470" s="82" t="n">
        <v>46270</v>
      </c>
      <c r="D2470" s="59" t="n">
        <v>714</v>
      </c>
      <c r="E2470" s="59" t="inlineStr">
        <is>
          <t>CARMEM ELIZA</t>
        </is>
      </c>
      <c r="F2470" s="59" t="n">
        <v>34</v>
      </c>
      <c r="G2470" s="59" t="inlineStr">
        <is>
          <t>Transferencia Pix</t>
        </is>
      </c>
      <c r="H2470" s="59" t="n">
        <v>2110405</v>
      </c>
      <c r="I2470" s="59" t="inlineStr">
        <is>
          <t>CONTAS A PAGAR</t>
        </is>
      </c>
      <c r="J2470" s="59" t="n">
        <v>1207135</v>
      </c>
      <c r="L2470" s="59" t="n">
        <v>502146</v>
      </c>
      <c r="M2470" s="59" t="inlineStr">
        <is>
          <t>04</t>
        </is>
      </c>
      <c r="N2470" s="59" t="inlineStr">
        <is>
          <t>AVU</t>
        </is>
      </c>
      <c r="P2470" s="59" t="n">
        <v>102</v>
      </c>
      <c r="Q2470" s="59" t="inlineStr">
        <is>
          <t>ANDREZA ANDRADE</t>
        </is>
      </c>
      <c r="R2470" s="59" t="inlineStr">
        <is>
          <t>DESPESAS COMERCIAIS</t>
        </is>
      </c>
      <c r="S2470" s="59" t="n">
        <v>4210111</v>
      </c>
      <c r="T2470" s="59" t="inlineStr">
        <is>
          <t>ALUGUEIS PAGOS A PF</t>
        </is>
      </c>
      <c r="U2470" s="59" t="n">
        <v>3000</v>
      </c>
      <c r="W2470" s="59" t="n">
        <v>0</v>
      </c>
      <c r="X2470" s="59" t="inlineStr">
        <is>
          <t xml:space="preserve">ALUGUEL MO1 - </t>
        </is>
      </c>
      <c r="Z2470" s="59">
        <f>IF($T2470="","",IFERROR(INDEX('Resumo Grupos'!$AC$3:$AC$200,MATCH($T2470,'Resumo Grupos'!$AB$3:$AB$200,0)),"n/d"))</f>
        <v/>
      </c>
      <c r="AA2470" s="59">
        <f>IF($T2470="","",IF(COUNTIF('Resumo Grupos'!$AE$3:$AE$40,$T2470)&gt;0,"NAO","SIM"))</f>
        <v/>
      </c>
    </row>
    <row r="2471" ht="12.75" customHeight="1" s="60">
      <c r="A2471" s="59" t="n">
        <v>1</v>
      </c>
      <c r="B2471" s="82" t="n">
        <v>46209</v>
      </c>
      <c r="C2471" s="82" t="n">
        <v>46270</v>
      </c>
      <c r="D2471" s="59" t="n">
        <v>16</v>
      </c>
      <c r="E2471" s="59" t="inlineStr">
        <is>
          <t>RENATO DE OLIVEIRA AZEVEDO</t>
        </is>
      </c>
      <c r="F2471" s="59" t="n">
        <v>34</v>
      </c>
      <c r="G2471" s="59" t="inlineStr">
        <is>
          <t>Transferencia Pix</t>
        </is>
      </c>
      <c r="H2471" s="59" t="n">
        <v>2110405</v>
      </c>
      <c r="I2471" s="59" t="inlineStr">
        <is>
          <t>CONTAS A PAGAR</t>
        </is>
      </c>
      <c r="J2471" s="59" t="n">
        <v>1207139</v>
      </c>
      <c r="L2471" s="59" t="n">
        <v>502148</v>
      </c>
      <c r="M2471" s="59" t="inlineStr">
        <is>
          <t>04</t>
        </is>
      </c>
      <c r="N2471" s="59" t="inlineStr">
        <is>
          <t>AVU</t>
        </is>
      </c>
      <c r="P2471" s="59" t="n">
        <v>102</v>
      </c>
      <c r="Q2471" s="59" t="inlineStr">
        <is>
          <t>ANDREZA ANDRADE</t>
        </is>
      </c>
      <c r="R2471" s="59" t="inlineStr">
        <is>
          <t>DESPESAS NAO OPERACIONAIS</t>
        </is>
      </c>
      <c r="S2471" s="59" t="n">
        <v>4220199</v>
      </c>
      <c r="T2471" s="59" t="inlineStr">
        <is>
          <t>PAGAMENTOS OUTROS NAO OPERACIONAIS</t>
        </is>
      </c>
      <c r="U2471" s="59" t="n">
        <v>350</v>
      </c>
      <c r="W2471" s="59" t="n">
        <v>0</v>
      </c>
      <c r="X2471" s="59" t="inlineStr">
        <is>
          <t>ALUGUEL MO1 NAO SOMAR</t>
        </is>
      </c>
      <c r="Z2471" s="59">
        <f>IF($T2471="","",IFERROR(INDEX('Resumo Grupos'!$AC$3:$AC$200,MATCH($T2471,'Resumo Grupos'!$AB$3:$AB$200,0)),"n/d"))</f>
        <v/>
      </c>
      <c r="AA2471" s="59">
        <f>IF($T2471="","",IF(COUNTIF('Resumo Grupos'!$AE$3:$AE$40,$T2471)&gt;0,"NAO","SIM"))</f>
        <v/>
      </c>
    </row>
    <row r="2472" ht="12.75" customHeight="1" s="60">
      <c r="A2472" s="59" t="n">
        <v>1</v>
      </c>
      <c r="B2472" s="82" t="n">
        <v>46226</v>
      </c>
      <c r="C2472" s="82" t="n">
        <v>46270</v>
      </c>
      <c r="D2472" s="59" t="n">
        <v>10011</v>
      </c>
      <c r="E2472" s="59" t="inlineStr">
        <is>
          <t>OPPORTUNITY ALIMENTOS PARA ANIMAIS LTDA</t>
        </is>
      </c>
      <c r="F2472" s="59" t="n">
        <v>24</v>
      </c>
      <c r="G2472" s="59" t="inlineStr">
        <is>
          <t>Compra a Prazo - Boletos</t>
        </is>
      </c>
      <c r="H2472" s="59" t="n">
        <v>2110405</v>
      </c>
      <c r="I2472" s="59" t="inlineStr">
        <is>
          <t>CONTAS A PAGAR</t>
        </is>
      </c>
      <c r="J2472" s="59" t="n">
        <v>1440273</v>
      </c>
      <c r="L2472" s="59" t="n">
        <v>592643</v>
      </c>
      <c r="M2472" s="59" t="inlineStr">
        <is>
          <t>03</t>
        </is>
      </c>
      <c r="N2472" s="59" t="inlineStr">
        <is>
          <t>AVU</t>
        </is>
      </c>
      <c r="P2472" s="59" t="n">
        <v>104</v>
      </c>
      <c r="Q2472" s="59" t="inlineStr">
        <is>
          <t>DEBORA COSTA</t>
        </is>
      </c>
      <c r="R2472" s="59" t="inlineStr">
        <is>
          <t>ESTOQUE DE MERCADORIAS</t>
        </is>
      </c>
      <c r="S2472" s="59" t="n">
        <v>1130101</v>
      </c>
      <c r="T2472" s="59" t="inlineStr">
        <is>
          <t>MERCADORIAS P/REVENDA</t>
        </is>
      </c>
      <c r="U2472" s="59" t="n">
        <v>562.9299999999999</v>
      </c>
      <c r="W2472" s="59" t="n">
        <v>0</v>
      </c>
      <c r="X2472" s="59" t="inlineStr">
        <is>
          <t>NF 34780 - DEBORA</t>
        </is>
      </c>
      <c r="Z2472" s="59">
        <f>IF($T2472="","",IFERROR(INDEX('Resumo Grupos'!$AC$3:$AC$200,MATCH($T2472,'Resumo Grupos'!$AB$3:$AB$200,0)),"n/d"))</f>
        <v/>
      </c>
      <c r="AA2472" s="59">
        <f>IF($T2472="","",IF(COUNTIF('Resumo Grupos'!$AE$3:$AE$40,$T2472)&gt;0,"NAO","SIM"))</f>
        <v/>
      </c>
    </row>
    <row r="2473" ht="12.75" customHeight="1" s="60">
      <c r="A2473" s="59" t="n">
        <v>1</v>
      </c>
      <c r="B2473" s="82" t="n">
        <v>46228</v>
      </c>
      <c r="C2473" s="82" t="n">
        <v>46270</v>
      </c>
      <c r="D2473" s="59" t="n">
        <v>1061</v>
      </c>
      <c r="E2473" s="59" t="inlineStr">
        <is>
          <t xml:space="preserve">ELIANA SILVA DE OLIVEIRA </t>
        </is>
      </c>
      <c r="F2473" s="59" t="n">
        <v>34</v>
      </c>
      <c r="G2473" s="59" t="inlineStr">
        <is>
          <t>Transferencia Pix</t>
        </is>
      </c>
      <c r="H2473" s="59" t="n">
        <v>1110202</v>
      </c>
      <c r="I2473" s="59" t="inlineStr">
        <is>
          <t>BANCO ITAU Lj 01</t>
        </is>
      </c>
      <c r="J2473" s="59" t="n">
        <v>1448839</v>
      </c>
      <c r="L2473" s="59" t="n">
        <v>596058</v>
      </c>
      <c r="M2473" s="59" t="inlineStr">
        <is>
          <t>02</t>
        </is>
      </c>
      <c r="N2473" s="59" t="inlineStr">
        <is>
          <t>AVU</t>
        </is>
      </c>
      <c r="P2473" s="59" t="n">
        <v>101</v>
      </c>
      <c r="Q2473" s="59" t="inlineStr">
        <is>
          <t>KEILA LIMA</t>
        </is>
      </c>
      <c r="R2473" s="59" t="inlineStr">
        <is>
          <t>DESPESAS NAO OPERACIONAIS</t>
        </is>
      </c>
      <c r="S2473" s="59" t="n">
        <v>4220199</v>
      </c>
      <c r="T2473" s="59" t="inlineStr">
        <is>
          <t>PAGAMENTOS OUTROS NAO OPERACIONAIS</t>
        </is>
      </c>
      <c r="U2473" s="59" t="n">
        <v>1500</v>
      </c>
      <c r="W2473" s="59" t="n">
        <v>0</v>
      </c>
      <c r="X2473" s="59" t="inlineStr">
        <is>
          <t>SALARIO ELIANA LOJAS - ESO - KEILA</t>
        </is>
      </c>
      <c r="Z2473" s="59">
        <f>IF($T2473="","",IFERROR(INDEX('Resumo Grupos'!$AC$3:$AC$200,MATCH($T2473,'Resumo Grupos'!$AB$3:$AB$200,0)),"n/d"))</f>
        <v/>
      </c>
      <c r="AA2473" s="59">
        <f>IF($T2473="","",IF(COUNTIF('Resumo Grupos'!$AE$3:$AE$40,$T2473)&gt;0,"NAO","SIM"))</f>
        <v/>
      </c>
    </row>
    <row r="2474" ht="12.75" customHeight="1" s="60">
      <c r="A2474" s="59" t="n">
        <v>1</v>
      </c>
      <c r="B2474" s="82" t="n">
        <v>46228</v>
      </c>
      <c r="C2474" s="82" t="n">
        <v>46270</v>
      </c>
      <c r="D2474" s="59" t="n">
        <v>16</v>
      </c>
      <c r="E2474" s="59" t="inlineStr">
        <is>
          <t>RENATO DE OLIVEIRA AZEVEDO</t>
        </is>
      </c>
      <c r="F2474" s="59" t="n">
        <v>34</v>
      </c>
      <c r="G2474" s="59" t="inlineStr">
        <is>
          <t>Transferencia Pix</t>
        </is>
      </c>
      <c r="H2474" s="59" t="n">
        <v>2110405</v>
      </c>
      <c r="I2474" s="59" t="inlineStr">
        <is>
          <t>CONTAS A PAGAR</t>
        </is>
      </c>
      <c r="J2474" s="59" t="n">
        <v>1448856</v>
      </c>
      <c r="L2474" s="59" t="n">
        <v>596062</v>
      </c>
      <c r="M2474" s="59" t="inlineStr">
        <is>
          <t>02</t>
        </is>
      </c>
      <c r="N2474" s="59" t="inlineStr">
        <is>
          <t>AVU</t>
        </is>
      </c>
      <c r="P2474" s="59" t="n">
        <v>101</v>
      </c>
      <c r="Q2474" s="59" t="inlineStr">
        <is>
          <t>KEILA LIMA</t>
        </is>
      </c>
      <c r="R2474" s="59" t="inlineStr">
        <is>
          <t>DESPESAS COM PESSOAL</t>
        </is>
      </c>
      <c r="S2474" s="59" t="n">
        <v>4210301</v>
      </c>
      <c r="T2474" s="59" t="inlineStr">
        <is>
          <t>SALARIOS</t>
        </is>
      </c>
      <c r="U2474" s="59" t="n">
        <v>500</v>
      </c>
      <c r="W2474" s="59" t="n">
        <v>0</v>
      </c>
      <c r="X2474" s="59" t="inlineStr">
        <is>
          <t>PG SALARIO 08/26 RENATO MO1 - KEILA</t>
        </is>
      </c>
      <c r="Z2474" s="59">
        <f>IF($T2474="","",IFERROR(INDEX('Resumo Grupos'!$AC$3:$AC$200,MATCH($T2474,'Resumo Grupos'!$AB$3:$AB$200,0)),"n/d"))</f>
        <v/>
      </c>
      <c r="AA2474" s="59">
        <f>IF($T2474="","",IF(COUNTIF('Resumo Grupos'!$AE$3:$AE$40,$T2474)&gt;0,"NAO","SIM"))</f>
        <v/>
      </c>
    </row>
    <row r="2475" ht="12.75" customHeight="1" s="60">
      <c r="A2475" s="59" t="n">
        <v>1</v>
      </c>
      <c r="B2475" s="82" t="n">
        <v>46232</v>
      </c>
      <c r="C2475" s="82" t="n">
        <v>46270</v>
      </c>
      <c r="D2475" s="59" t="n">
        <v>714</v>
      </c>
      <c r="E2475" s="59" t="inlineStr">
        <is>
          <t>CARMEM ELIZA</t>
        </is>
      </c>
      <c r="F2475" s="59" t="n">
        <v>34</v>
      </c>
      <c r="G2475" s="59" t="inlineStr">
        <is>
          <t>Transferencia Pix</t>
        </is>
      </c>
      <c r="H2475" s="59" t="n">
        <v>2110405</v>
      </c>
      <c r="I2475" s="59" t="inlineStr">
        <is>
          <t>CONTAS A PAGAR</t>
        </is>
      </c>
      <c r="J2475" s="59" t="n">
        <v>1470158</v>
      </c>
      <c r="L2475" s="59" t="n">
        <v>604127</v>
      </c>
      <c r="M2475" s="59" t="inlineStr">
        <is>
          <t>02</t>
        </is>
      </c>
      <c r="N2475" s="59" t="inlineStr">
        <is>
          <t>AVU</t>
        </is>
      </c>
      <c r="P2475" s="59" t="n">
        <v>101</v>
      </c>
      <c r="Q2475" s="59" t="inlineStr">
        <is>
          <t>KEILA LIMA</t>
        </is>
      </c>
      <c r="R2475" s="59" t="inlineStr">
        <is>
          <t>DESPESAS NAO OPERACIONAIS</t>
        </is>
      </c>
      <c r="S2475" s="59" t="n">
        <v>4220199</v>
      </c>
      <c r="T2475" s="59" t="inlineStr">
        <is>
          <t>PAGAMENTOS OUTROS NAO OPERACIONAIS</t>
        </is>
      </c>
      <c r="U2475" s="59" t="n">
        <v>6150</v>
      </c>
      <c r="W2475" s="59" t="n">
        <v>0</v>
      </c>
      <c r="X2475" s="59" t="inlineStr">
        <is>
          <t xml:space="preserve">ALUGUEL NAO SOMAR MO1 </t>
        </is>
      </c>
      <c r="Z2475" s="59">
        <f>IF($T2475="","",IFERROR(INDEX('Resumo Grupos'!$AC$3:$AC$200,MATCH($T2475,'Resumo Grupos'!$AB$3:$AB$200,0)),"n/d"))</f>
        <v/>
      </c>
      <c r="AA2475" s="59">
        <f>IF($T2475="","",IF(COUNTIF('Resumo Grupos'!$AE$3:$AE$40,$T2475)&gt;0,"NAO","SIM"))</f>
        <v/>
      </c>
    </row>
    <row r="2476" ht="12.75" customHeight="1" s="60">
      <c r="A2476" s="59" t="n">
        <v>1</v>
      </c>
      <c r="B2476" s="82" t="n">
        <v>46239</v>
      </c>
      <c r="C2476" s="82" t="n">
        <v>46270</v>
      </c>
      <c r="D2476" s="59" t="n">
        <v>17</v>
      </c>
      <c r="E2476" s="59" t="inlineStr">
        <is>
          <t>NEYLIANE SILVA DE OLIVEIRA</t>
        </is>
      </c>
      <c r="F2476" s="59" t="n">
        <v>24</v>
      </c>
      <c r="G2476" s="59" t="inlineStr">
        <is>
          <t>Compra a Prazo - Boletos</t>
        </is>
      </c>
      <c r="H2476" s="59" t="n">
        <v>1110202</v>
      </c>
      <c r="I2476" s="59" t="inlineStr">
        <is>
          <t>BANCO ITAU Lj 01</t>
        </is>
      </c>
      <c r="J2476" s="59" t="n">
        <v>1359969</v>
      </c>
      <c r="L2476" s="59" t="n">
        <v>561604</v>
      </c>
      <c r="M2476" s="59" t="inlineStr">
        <is>
          <t>03</t>
        </is>
      </c>
      <c r="N2476" s="59" t="inlineStr">
        <is>
          <t>AVU</t>
        </is>
      </c>
      <c r="P2476" s="59" t="n">
        <v>102</v>
      </c>
      <c r="Q2476" s="59" t="inlineStr">
        <is>
          <t>ANDREZA ANDRADE</t>
        </is>
      </c>
      <c r="R2476" s="59" t="inlineStr">
        <is>
          <t>DESPESAS NAO OPERACIONAIS</t>
        </is>
      </c>
      <c r="S2476" s="59" t="n">
        <v>4220199</v>
      </c>
      <c r="T2476" s="59" t="inlineStr">
        <is>
          <t>PAGAMENTOS OUTROS NAO OPERACIONAIS</t>
        </is>
      </c>
      <c r="U2476" s="59" t="n">
        <v>631.05</v>
      </c>
      <c r="W2476" s="59" t="n">
        <v>0</v>
      </c>
      <c r="X2476" s="59" t="inlineStr">
        <is>
          <t>PL NEILA CONDOMINIO - ANDREZA</t>
        </is>
      </c>
      <c r="Z2476" s="59">
        <f>IF($T2476="","",IFERROR(INDEX('Resumo Grupos'!$AC$3:$AC$200,MATCH($T2476,'Resumo Grupos'!$AB$3:$AB$200,0)),"n/d"))</f>
        <v/>
      </c>
      <c r="AA2476" s="59">
        <f>IF($T2476="","",IF(COUNTIF('Resumo Grupos'!$AE$3:$AE$40,$T2476)&gt;0,"NAO","SIM"))</f>
        <v/>
      </c>
    </row>
    <row r="2477" ht="12.75" customHeight="1" s="60">
      <c r="A2477" s="59" t="n">
        <v>1</v>
      </c>
      <c r="B2477" s="82" t="n">
        <v>46240</v>
      </c>
      <c r="C2477" s="82" t="n">
        <v>46270</v>
      </c>
      <c r="D2477" s="59" t="n">
        <v>1659</v>
      </c>
      <c r="E2477" s="59" t="inlineStr">
        <is>
          <t>ADRIANA DISTRIBUIDORA DE PRODUTOS ALIMEN</t>
        </is>
      </c>
      <c r="F2477" s="59" t="n">
        <v>24</v>
      </c>
      <c r="G2477" s="59" t="inlineStr">
        <is>
          <t>Compra a Prazo - Boletos</t>
        </is>
      </c>
      <c r="H2477" s="59" t="n">
        <v>2110405</v>
      </c>
      <c r="I2477" s="59" t="inlineStr">
        <is>
          <t>CONTAS A PAGAR</t>
        </is>
      </c>
      <c r="J2477" s="59" t="n">
        <v>1508900</v>
      </c>
      <c r="L2477" s="59" t="n">
        <v>889410</v>
      </c>
      <c r="M2477" s="59" t="inlineStr">
        <is>
          <t>03</t>
        </is>
      </c>
      <c r="N2477" s="59" t="inlineStr">
        <is>
          <t>AVU</t>
        </is>
      </c>
      <c r="P2477" s="59" t="n">
        <v>103</v>
      </c>
      <c r="Q2477" s="59" t="inlineStr">
        <is>
          <t>MILKA FRANCIS</t>
        </is>
      </c>
      <c r="R2477" s="59" t="inlineStr">
        <is>
          <t>ESTOQUE DE MERCADORIAS</t>
        </is>
      </c>
      <c r="S2477" s="59" t="n">
        <v>1130101</v>
      </c>
      <c r="T2477" s="59" t="inlineStr">
        <is>
          <t>MERCADORIAS P/REVENDA</t>
        </is>
      </c>
      <c r="U2477" s="59" t="n">
        <v>1452.44</v>
      </c>
      <c r="W2477" s="59" t="n">
        <v>0</v>
      </c>
      <c r="X2477" s="59" t="inlineStr">
        <is>
          <t>NF 889410-3 MILKA</t>
        </is>
      </c>
      <c r="Z2477" s="59">
        <f>IF($T2477="","",IFERROR(INDEX('Resumo Grupos'!$AC$3:$AC$200,MATCH($T2477,'Resumo Grupos'!$AB$3:$AB$200,0)),"n/d"))</f>
        <v/>
      </c>
      <c r="AA2477" s="59">
        <f>IF($T2477="","",IF(COUNTIF('Resumo Grupos'!$AE$3:$AE$40,$T2477)&gt;0,"NAO","SIM"))</f>
        <v/>
      </c>
    </row>
    <row r="2478" ht="12.75" customHeight="1" s="60">
      <c r="A2478" s="59" t="n">
        <v>1</v>
      </c>
      <c r="B2478" s="82" t="n">
        <v>46241</v>
      </c>
      <c r="C2478" s="82" t="n">
        <v>46270</v>
      </c>
      <c r="D2478" s="59" t="n">
        <v>1195</v>
      </c>
      <c r="E2478" s="59" t="inlineStr">
        <is>
          <t>PLURAL GEST EM P DE SAUDE LTDA</t>
        </is>
      </c>
      <c r="F2478" s="59" t="n">
        <v>24</v>
      </c>
      <c r="G2478" s="59" t="inlineStr">
        <is>
          <t>Compra a Prazo - Boletos</t>
        </is>
      </c>
      <c r="H2478" s="59" t="n">
        <v>2110405</v>
      </c>
      <c r="I2478" s="59" t="inlineStr">
        <is>
          <t>CONTAS A PAGAR</t>
        </is>
      </c>
      <c r="J2478" s="59" t="n">
        <v>1152372</v>
      </c>
      <c r="L2478" s="59" t="n">
        <v>480964</v>
      </c>
      <c r="M2478" s="59" t="inlineStr">
        <is>
          <t>03</t>
        </is>
      </c>
      <c r="N2478" s="59" t="inlineStr">
        <is>
          <t>AVU</t>
        </is>
      </c>
      <c r="P2478" s="59" t="n">
        <v>102</v>
      </c>
      <c r="Q2478" s="59" t="inlineStr">
        <is>
          <t>ANDREZA ANDRADE</t>
        </is>
      </c>
      <c r="R2478" s="59" t="inlineStr">
        <is>
          <t>DESPESAS COM PESSOAL</t>
        </is>
      </c>
      <c r="S2478" s="59" t="n">
        <v>4210311</v>
      </c>
      <c r="T2478" s="59" t="inlineStr">
        <is>
          <t>PLANOS DE SAUDE</t>
        </is>
      </c>
      <c r="U2478" s="59" t="n">
        <v>3001.44</v>
      </c>
      <c r="W2478" s="59" t="n">
        <v>0</v>
      </c>
      <c r="X2478" s="59" t="inlineStr">
        <is>
          <t xml:space="preserve">PLANO DE SAUDE - KEILA ELIANA HELIO THAIRINE DAVID </t>
        </is>
      </c>
      <c r="Z2478" s="59">
        <f>IF($T2478="","",IFERROR(INDEX('Resumo Grupos'!$AC$3:$AC$200,MATCH($T2478,'Resumo Grupos'!$AB$3:$AB$200,0)),"n/d"))</f>
        <v/>
      </c>
      <c r="AA2478" s="59">
        <f>IF($T2478="","",IF(COUNTIF('Resumo Grupos'!$AE$3:$AE$40,$T2478)&gt;0,"NAO","SIM"))</f>
        <v/>
      </c>
    </row>
    <row r="2479" ht="12.75" customHeight="1" s="60">
      <c r="A2479" s="59" t="n">
        <v>1</v>
      </c>
      <c r="B2479" s="82" t="n">
        <v>46242</v>
      </c>
      <c r="C2479" s="82" t="n">
        <v>46270</v>
      </c>
      <c r="D2479" s="59" t="n">
        <v>1708</v>
      </c>
      <c r="E2479" s="59" t="inlineStr">
        <is>
          <t>SUPER CANCUN COMERCIO DE PRODUTOS ALIMEN</t>
        </is>
      </c>
      <c r="F2479" s="59" t="n">
        <v>24</v>
      </c>
      <c r="G2479" s="59" t="inlineStr">
        <is>
          <t>Compra a Prazo - Boletos</t>
        </is>
      </c>
      <c r="H2479" s="59" t="n">
        <v>2110405</v>
      </c>
      <c r="I2479" s="59" t="inlineStr">
        <is>
          <t>CONTAS A PAGAR</t>
        </is>
      </c>
      <c r="J2479" s="59" t="n">
        <v>1518534</v>
      </c>
      <c r="L2479" s="59" t="n">
        <v>264963</v>
      </c>
      <c r="M2479" s="59" t="inlineStr">
        <is>
          <t>03</t>
        </is>
      </c>
      <c r="N2479" s="59" t="inlineStr">
        <is>
          <t>AVU</t>
        </is>
      </c>
      <c r="P2479" s="59" t="n">
        <v>103</v>
      </c>
      <c r="Q2479" s="59" t="inlineStr">
        <is>
          <t>MILKA FRANCIS</t>
        </is>
      </c>
      <c r="R2479" s="59" t="inlineStr">
        <is>
          <t>ESTOQUE DE MERCADORIAS</t>
        </is>
      </c>
      <c r="S2479" s="59" t="n">
        <v>1130101</v>
      </c>
      <c r="T2479" s="59" t="inlineStr">
        <is>
          <t>MERCADORIAS P/REVENDA</t>
        </is>
      </c>
      <c r="U2479" s="59" t="n">
        <v>721.52</v>
      </c>
      <c r="W2479" s="59" t="n">
        <v>0</v>
      </c>
      <c r="X2479" s="59" t="inlineStr">
        <is>
          <t>NF 264963-3 MILKA</t>
        </is>
      </c>
      <c r="Z2479" s="59">
        <f>IF($T2479="","",IFERROR(INDEX('Resumo Grupos'!$AC$3:$AC$200,MATCH($T2479,'Resumo Grupos'!$AB$3:$AB$200,0)),"n/d"))</f>
        <v/>
      </c>
      <c r="AA2479" s="59">
        <f>IF($T2479="","",IF(COUNTIF('Resumo Grupos'!$AE$3:$AE$40,$T2479)&gt;0,"NAO","SIM"))</f>
        <v/>
      </c>
    </row>
    <row r="2480" ht="12.75" customHeight="1" s="60">
      <c r="A2480" s="59" t="n">
        <v>1</v>
      </c>
      <c r="B2480" s="82" t="n">
        <v>46244</v>
      </c>
      <c r="C2480" s="82" t="n">
        <v>46270</v>
      </c>
      <c r="D2480" s="59" t="n">
        <v>1061</v>
      </c>
      <c r="E2480" s="59" t="inlineStr">
        <is>
          <t xml:space="preserve">ELIANA SILVA DE OLIVEIRA </t>
        </is>
      </c>
      <c r="F2480" s="59" t="n">
        <v>34</v>
      </c>
      <c r="G2480" s="59" t="inlineStr">
        <is>
          <t>Transferencia Pix</t>
        </is>
      </c>
      <c r="H2480" s="59" t="n">
        <v>2110405</v>
      </c>
      <c r="I2480" s="59" t="inlineStr">
        <is>
          <t>CONTAS A PAGAR</t>
        </is>
      </c>
      <c r="J2480" s="59" t="n">
        <v>1448819</v>
      </c>
      <c r="L2480" s="59" t="n">
        <v>596052</v>
      </c>
      <c r="M2480" s="59" t="inlineStr">
        <is>
          <t>03</t>
        </is>
      </c>
      <c r="N2480" s="59" t="inlineStr">
        <is>
          <t>AVU</t>
        </is>
      </c>
      <c r="P2480" s="59" t="n">
        <v>101</v>
      </c>
      <c r="Q2480" s="59" t="inlineStr">
        <is>
          <t>KEILA LIMA</t>
        </is>
      </c>
      <c r="R2480" s="59" t="inlineStr">
        <is>
          <t>DESPESAS COM PESSOAL</t>
        </is>
      </c>
      <c r="S2480" s="59" t="n">
        <v>4210301</v>
      </c>
      <c r="T2480" s="59" t="inlineStr">
        <is>
          <t>SALARIOS</t>
        </is>
      </c>
      <c r="U2480" s="59" t="n">
        <v>750.97</v>
      </c>
      <c r="W2480" s="59" t="n">
        <v>0</v>
      </c>
      <c r="X2480" s="59" t="inlineStr">
        <is>
          <t>PAG SALARIO MO1 PARTE 08/26 - KEILA</t>
        </is>
      </c>
      <c r="Z2480" s="59">
        <f>IF($T2480="","",IFERROR(INDEX('Resumo Grupos'!$AC$3:$AC$200,MATCH($T2480,'Resumo Grupos'!$AB$3:$AB$200,0)),"n/d"))</f>
        <v/>
      </c>
      <c r="AA2480" s="59">
        <f>IF($T2480="","",IF(COUNTIF('Resumo Grupos'!$AE$3:$AE$40,$T2480)&gt;0,"NAO","SIM"))</f>
        <v/>
      </c>
    </row>
    <row r="2481" ht="12.75" customHeight="1" s="60">
      <c r="A2481" s="59" t="n">
        <v>1</v>
      </c>
      <c r="B2481" s="82" t="n">
        <v>46255</v>
      </c>
      <c r="C2481" s="82" t="n">
        <v>46270</v>
      </c>
      <c r="D2481" s="59" t="n">
        <v>1718</v>
      </c>
      <c r="E2481" s="59" t="inlineStr">
        <is>
          <t>DISTRIBUIDORA FARIAS LTDA.</t>
        </is>
      </c>
      <c r="F2481" s="59" t="n">
        <v>24</v>
      </c>
      <c r="G2481" s="59" t="inlineStr">
        <is>
          <t>Compra a Prazo - Boletos</t>
        </is>
      </c>
      <c r="H2481" s="59" t="n">
        <v>2110405</v>
      </c>
      <c r="I2481" s="59" t="inlineStr">
        <is>
          <t>CONTAS A PAGAR</t>
        </is>
      </c>
      <c r="J2481" s="59" t="n">
        <v>1581946</v>
      </c>
      <c r="L2481" s="59" t="n">
        <v>690674</v>
      </c>
      <c r="M2481" s="59" t="inlineStr">
        <is>
          <t>01</t>
        </is>
      </c>
      <c r="N2481" s="59" t="inlineStr">
        <is>
          <t>AVU</t>
        </is>
      </c>
      <c r="P2481" s="59" t="n">
        <v>103</v>
      </c>
      <c r="Q2481" s="59" t="inlineStr">
        <is>
          <t>MILKA FRANCIS</t>
        </is>
      </c>
      <c r="R2481" s="59" t="inlineStr">
        <is>
          <t>ESTOQUE DE MERCADORIAS</t>
        </is>
      </c>
      <c r="S2481" s="59" t="n">
        <v>1130101</v>
      </c>
      <c r="T2481" s="59" t="inlineStr">
        <is>
          <t>MERCADORIAS P/REVENDA</t>
        </is>
      </c>
      <c r="U2481" s="59" t="n">
        <v>396.53</v>
      </c>
      <c r="W2481" s="59" t="n">
        <v>0</v>
      </c>
      <c r="X2481" s="59" t="inlineStr">
        <is>
          <t>815076-A/C  NF690674 - MILKA</t>
        </is>
      </c>
      <c r="Z2481" s="59">
        <f>IF($T2481="","",IFERROR(INDEX('Resumo Grupos'!$AC$3:$AC$200,MATCH($T2481,'Resumo Grupos'!$AB$3:$AB$200,0)),"n/d"))</f>
        <v/>
      </c>
      <c r="AA2481" s="59">
        <f>IF($T2481="","",IF(COUNTIF('Resumo Grupos'!$AE$3:$AE$40,$T2481)&gt;0,"NAO","SIM"))</f>
        <v/>
      </c>
    </row>
    <row r="2482" ht="12.75" customHeight="1" s="60">
      <c r="A2482" s="59" t="n">
        <v>1</v>
      </c>
      <c r="B2482" s="82" t="n">
        <v>46224</v>
      </c>
      <c r="C2482" s="82" t="n">
        <v>46271</v>
      </c>
      <c r="D2482" s="59" t="n">
        <v>607</v>
      </c>
      <c r="E2482" s="59" t="inlineStr">
        <is>
          <t>PRIME PET DISTRIBUIDORA LTDA</t>
        </is>
      </c>
      <c r="F2482" s="59" t="n">
        <v>24</v>
      </c>
      <c r="G2482" s="59" t="inlineStr">
        <is>
          <t>Compra a Prazo - Boletos</t>
        </is>
      </c>
      <c r="H2482" s="59" t="n">
        <v>2110405</v>
      </c>
      <c r="I2482" s="59" t="inlineStr">
        <is>
          <t>CONTAS A PAGAR</t>
        </is>
      </c>
      <c r="J2482" s="59" t="n">
        <v>1429152</v>
      </c>
      <c r="L2482" s="59" t="n">
        <v>11134</v>
      </c>
      <c r="M2482" s="59" t="inlineStr">
        <is>
          <t>03</t>
        </is>
      </c>
      <c r="N2482" s="59" t="inlineStr">
        <is>
          <t>AVU</t>
        </is>
      </c>
      <c r="P2482" s="59" t="n">
        <v>103</v>
      </c>
      <c r="Q2482" s="59" t="inlineStr">
        <is>
          <t>MILKA FRANCIS</t>
        </is>
      </c>
      <c r="R2482" s="59" t="inlineStr">
        <is>
          <t>ESTOQUE DE MERCADORIAS</t>
        </is>
      </c>
      <c r="S2482" s="59" t="n">
        <v>1130101</v>
      </c>
      <c r="T2482" s="59" t="inlineStr">
        <is>
          <t>MERCADORIAS P/REVENDA</t>
        </is>
      </c>
      <c r="U2482" s="59" t="n">
        <v>911.85</v>
      </c>
      <c r="W2482" s="59" t="n">
        <v>0</v>
      </c>
      <c r="X2482" s="59" t="inlineStr">
        <is>
          <t>NF 11134 -03/06  MILKA</t>
        </is>
      </c>
      <c r="Z2482" s="59">
        <f>IF($T2482="","",IFERROR(INDEX('Resumo Grupos'!$AC$3:$AC$200,MATCH($T2482,'Resumo Grupos'!$AB$3:$AB$200,0)),"n/d"))</f>
        <v/>
      </c>
      <c r="AA2482" s="59">
        <f>IF($T2482="","",IF(COUNTIF('Resumo Grupos'!$AE$3:$AE$40,$T2482)&gt;0,"NAO","SIM"))</f>
        <v/>
      </c>
    </row>
    <row r="2483" ht="12.75" customHeight="1" s="60">
      <c r="A2483" s="59" t="n">
        <v>1</v>
      </c>
      <c r="B2483" s="82" t="n">
        <v>46246</v>
      </c>
      <c r="C2483" s="82" t="n">
        <v>46271</v>
      </c>
      <c r="D2483" s="59" t="n">
        <v>17</v>
      </c>
      <c r="E2483" s="59" t="inlineStr">
        <is>
          <t>NEYLIANE SILVA DE OLIVEIRA</t>
        </is>
      </c>
      <c r="F2483" s="59" t="n">
        <v>24</v>
      </c>
      <c r="G2483" s="59" t="inlineStr">
        <is>
          <t>Compra a Prazo - Boletos</t>
        </is>
      </c>
      <c r="H2483" s="59" t="n">
        <v>2110405</v>
      </c>
      <c r="I2483" s="59" t="inlineStr">
        <is>
          <t>CONTAS A PAGAR</t>
        </is>
      </c>
      <c r="J2483" s="59" t="n">
        <v>1323809</v>
      </c>
      <c r="L2483" s="59" t="n">
        <v>548260</v>
      </c>
      <c r="M2483" s="59" t="inlineStr">
        <is>
          <t>03</t>
        </is>
      </c>
      <c r="N2483" s="59" t="inlineStr">
        <is>
          <t>AVU</t>
        </is>
      </c>
      <c r="P2483" s="59" t="n">
        <v>101</v>
      </c>
      <c r="Q2483" s="59" t="inlineStr">
        <is>
          <t>KEILA LIMA</t>
        </is>
      </c>
      <c r="R2483" s="59" t="inlineStr">
        <is>
          <t>DESPESAS NAO OPERACIONAIS</t>
        </is>
      </c>
      <c r="S2483" s="59" t="n">
        <v>4220199</v>
      </c>
      <c r="T2483" s="59" t="inlineStr">
        <is>
          <t>PAGAMENTOS OUTROS NAO OPERACIONAIS</t>
        </is>
      </c>
      <c r="U2483" s="59" t="n">
        <v>800</v>
      </c>
      <c r="W2483" s="59" t="n">
        <v>0</v>
      </c>
      <c r="X2483" s="59" t="inlineStr">
        <is>
          <t>PREVIA PL NEILA ENERGIA - KEILA</t>
        </is>
      </c>
      <c r="Z2483" s="59">
        <f>IF($T2483="","",IFERROR(INDEX('Resumo Grupos'!$AC$3:$AC$200,MATCH($T2483,'Resumo Grupos'!$AB$3:$AB$200,0)),"n/d"))</f>
        <v/>
      </c>
      <c r="AA2483" s="59">
        <f>IF($T2483="","",IF(COUNTIF('Resumo Grupos'!$AE$3:$AE$40,$T2483)&gt;0,"NAO","SIM"))</f>
        <v/>
      </c>
    </row>
    <row r="2484" ht="12.75" customHeight="1" s="60">
      <c r="A2484" s="59" t="n">
        <v>1</v>
      </c>
      <c r="B2484" s="82" t="n">
        <v>46255</v>
      </c>
      <c r="C2484" s="82" t="n">
        <v>46271</v>
      </c>
      <c r="D2484" s="59" t="n">
        <v>1711</v>
      </c>
      <c r="E2484" s="59" t="inlineStr">
        <is>
          <t>J. A. F. DE LIMA</t>
        </is>
      </c>
      <c r="F2484" s="59" t="n">
        <v>24</v>
      </c>
      <c r="G2484" s="59" t="inlineStr">
        <is>
          <t>Compra a Prazo - Boletos</t>
        </is>
      </c>
      <c r="H2484" s="59" t="n">
        <v>2110405</v>
      </c>
      <c r="I2484" s="59" t="inlineStr">
        <is>
          <t>CONTAS A PAGAR</t>
        </is>
      </c>
      <c r="J2484" s="59" t="n">
        <v>1581907</v>
      </c>
      <c r="L2484" s="59" t="n">
        <v>160299</v>
      </c>
      <c r="M2484" s="59" t="inlineStr">
        <is>
          <t>01</t>
        </is>
      </c>
      <c r="N2484" s="59" t="inlineStr">
        <is>
          <t>AVU</t>
        </is>
      </c>
      <c r="P2484" s="59" t="n">
        <v>103</v>
      </c>
      <c r="Q2484" s="59" t="inlineStr">
        <is>
          <t>MILKA FRANCIS</t>
        </is>
      </c>
      <c r="R2484" s="59" t="inlineStr">
        <is>
          <t>ESTOQUE DE MERCADORIAS</t>
        </is>
      </c>
      <c r="S2484" s="59" t="n">
        <v>1130101</v>
      </c>
      <c r="T2484" s="59" t="inlineStr">
        <is>
          <t>MERCADORIAS P/REVENDA</t>
        </is>
      </c>
      <c r="U2484" s="59" t="n">
        <v>1127.55</v>
      </c>
      <c r="W2484" s="59" t="n">
        <v>0</v>
      </c>
      <c r="X2484" s="59" t="inlineStr">
        <is>
          <t>NF 160299-1 MILKA</t>
        </is>
      </c>
      <c r="Z2484" s="59">
        <f>IF($T2484="","",IFERROR(INDEX('Resumo Grupos'!$AC$3:$AC$200,MATCH($T2484,'Resumo Grupos'!$AB$3:$AB$200,0)),"n/d"))</f>
        <v/>
      </c>
      <c r="AA2484" s="59">
        <f>IF($T2484="","",IF(COUNTIF('Resumo Grupos'!$AE$3:$AE$40,$T2484)&gt;0,"NAO","SIM"))</f>
        <v/>
      </c>
    </row>
    <row r="2485" ht="12.75" customHeight="1" s="60">
      <c r="A2485" s="59" t="n">
        <v>1</v>
      </c>
      <c r="B2485" s="82" t="n">
        <v>46228</v>
      </c>
      <c r="C2485" s="82" t="n">
        <v>46272</v>
      </c>
      <c r="D2485" s="59" t="n">
        <v>1409</v>
      </c>
      <c r="E2485" s="59" t="inlineStr">
        <is>
          <t>NORTE DISTRIBUIDORA DE ACUMULADORES E AC</t>
        </is>
      </c>
      <c r="F2485" s="59" t="n">
        <v>24</v>
      </c>
      <c r="G2485" s="59" t="inlineStr">
        <is>
          <t>Compra a Prazo - Boletos</t>
        </is>
      </c>
      <c r="H2485" s="59" t="n">
        <v>1110202</v>
      </c>
      <c r="I2485" s="59" t="inlineStr">
        <is>
          <t>BANCO ITAU Lj 01</t>
        </is>
      </c>
      <c r="J2485" s="59" t="n">
        <v>1450142</v>
      </c>
      <c r="L2485" s="59" t="n">
        <v>105914</v>
      </c>
      <c r="M2485" s="59" t="inlineStr">
        <is>
          <t>02</t>
        </is>
      </c>
      <c r="N2485" s="59" t="inlineStr">
        <is>
          <t>AVU</t>
        </is>
      </c>
      <c r="P2485" s="59" t="n">
        <v>103</v>
      </c>
      <c r="Q2485" s="59" t="inlineStr">
        <is>
          <t>MILKA FRANCIS</t>
        </is>
      </c>
      <c r="R2485" s="59" t="inlineStr">
        <is>
          <t>ESTOQUE DE MERCADORIAS</t>
        </is>
      </c>
      <c r="S2485" s="59" t="n">
        <v>1130101</v>
      </c>
      <c r="T2485" s="59" t="inlineStr">
        <is>
          <t>MERCADORIAS P/REVENDA</t>
        </is>
      </c>
      <c r="U2485" s="59" t="n">
        <v>306</v>
      </c>
      <c r="W2485" s="59" t="n">
        <v>0</v>
      </c>
      <c r="X2485" s="59" t="inlineStr">
        <is>
          <t>NF 105914 -2/3 MOURA -  MILKA</t>
        </is>
      </c>
      <c r="Z2485" s="59">
        <f>IF($T2485="","",IFERROR(INDEX('Resumo Grupos'!$AC$3:$AC$200,MATCH($T2485,'Resumo Grupos'!$AB$3:$AB$200,0)),"n/d"))</f>
        <v/>
      </c>
      <c r="AA2485" s="59">
        <f>IF($T2485="","",IF(COUNTIF('Resumo Grupos'!$AE$3:$AE$40,$T2485)&gt;0,"NAO","SIM"))</f>
        <v/>
      </c>
    </row>
    <row r="2486" ht="12.75" customHeight="1" s="60">
      <c r="A2486" s="59" t="n">
        <v>1</v>
      </c>
      <c r="B2486" s="82" t="n">
        <v>46240</v>
      </c>
      <c r="C2486" s="82" t="n">
        <v>46272</v>
      </c>
      <c r="D2486" s="59" t="n">
        <v>1671</v>
      </c>
      <c r="E2486" s="59" t="inlineStr">
        <is>
          <t>TAPAJOS COM DE PERFUMARIA COSMETICOS E G</t>
        </is>
      </c>
      <c r="F2486" s="59" t="n">
        <v>24</v>
      </c>
      <c r="G2486" s="59" t="inlineStr">
        <is>
          <t>Compra a Prazo - Boletos</t>
        </is>
      </c>
      <c r="H2486" s="59" t="n">
        <v>2110405</v>
      </c>
      <c r="I2486" s="59" t="inlineStr">
        <is>
          <t>CONTAS A PAGAR</t>
        </is>
      </c>
      <c r="J2486" s="59" t="n">
        <v>1508432</v>
      </c>
      <c r="L2486" s="59" t="n">
        <v>582245</v>
      </c>
      <c r="M2486" s="59" t="inlineStr">
        <is>
          <t>02</t>
        </is>
      </c>
      <c r="N2486" s="59" t="inlineStr">
        <is>
          <t>AVU</t>
        </is>
      </c>
      <c r="P2486" s="59" t="n">
        <v>103</v>
      </c>
      <c r="Q2486" s="59" t="inlineStr">
        <is>
          <t>MILKA FRANCIS</t>
        </is>
      </c>
      <c r="R2486" s="59" t="inlineStr">
        <is>
          <t>ESTOQUE DE MERCADORIAS</t>
        </is>
      </c>
      <c r="S2486" s="59" t="n">
        <v>1130101</v>
      </c>
      <c r="T2486" s="59" t="inlineStr">
        <is>
          <t>MERCADORIAS P/REVENDA</t>
        </is>
      </c>
      <c r="U2486" s="59" t="n">
        <v>1020.15</v>
      </c>
      <c r="W2486" s="59" t="n">
        <v>0</v>
      </c>
      <c r="X2486" s="59" t="inlineStr">
        <is>
          <t>NF 585245-2 MILKA</t>
        </is>
      </c>
      <c r="Z2486" s="59">
        <f>IF($T2486="","",IFERROR(INDEX('Resumo Grupos'!$AC$3:$AC$200,MATCH($T2486,'Resumo Grupos'!$AB$3:$AB$200,0)),"n/d"))</f>
        <v/>
      </c>
      <c r="AA2486" s="59">
        <f>IF($T2486="","",IF(COUNTIF('Resumo Grupos'!$AE$3:$AE$40,$T2486)&gt;0,"NAO","SIM"))</f>
        <v/>
      </c>
    </row>
    <row r="2487" ht="12.75" customHeight="1" s="60">
      <c r="A2487" s="59" t="n">
        <v>1</v>
      </c>
      <c r="B2487" s="82" t="n">
        <v>46246</v>
      </c>
      <c r="C2487" s="82" t="n">
        <v>46272</v>
      </c>
      <c r="D2487" s="59" t="n">
        <v>1636</v>
      </c>
      <c r="E2487" s="59" t="inlineStr">
        <is>
          <t>DUNORTE DISTRIBUIDORA DE PRODUTOS DE CONSUMO LTDA</t>
        </is>
      </c>
      <c r="F2487" s="59" t="n">
        <v>24</v>
      </c>
      <c r="G2487" s="59" t="inlineStr">
        <is>
          <t>Compra a Prazo - Boletos</t>
        </is>
      </c>
      <c r="H2487" s="59" t="n">
        <v>2110405</v>
      </c>
      <c r="I2487" s="59" t="inlineStr">
        <is>
          <t>CONTAS A PAGAR</t>
        </is>
      </c>
      <c r="J2487" s="59" t="n">
        <v>1536369</v>
      </c>
      <c r="L2487" s="59" t="n">
        <v>3234290</v>
      </c>
      <c r="M2487" s="59" t="inlineStr">
        <is>
          <t>03</t>
        </is>
      </c>
      <c r="N2487" s="59" t="inlineStr">
        <is>
          <t>AVU</t>
        </is>
      </c>
      <c r="P2487" s="59" t="n">
        <v>103</v>
      </c>
      <c r="Q2487" s="59" t="inlineStr">
        <is>
          <t>MILKA FRANCIS</t>
        </is>
      </c>
      <c r="R2487" s="59" t="inlineStr">
        <is>
          <t>ESTOQUE DE MERCADORIAS</t>
        </is>
      </c>
      <c r="S2487" s="59" t="n">
        <v>1130101</v>
      </c>
      <c r="T2487" s="59" t="inlineStr">
        <is>
          <t>MERCADORIAS P/REVENDA</t>
        </is>
      </c>
      <c r="U2487" s="59" t="n">
        <v>727.99</v>
      </c>
      <c r="W2487" s="59" t="n">
        <v>0</v>
      </c>
      <c r="X2487" s="59" t="inlineStr">
        <is>
          <t>NF 3234290-3 C/TAXA INCLUSA - MILKA</t>
        </is>
      </c>
      <c r="Z2487" s="59">
        <f>IF($T2487="","",IFERROR(INDEX('Resumo Grupos'!$AC$3:$AC$200,MATCH($T2487,'Resumo Grupos'!$AB$3:$AB$200,0)),"n/d"))</f>
        <v/>
      </c>
      <c r="AA2487" s="59">
        <f>IF($T2487="","",IF(COUNTIF('Resumo Grupos'!$AE$3:$AE$40,$T2487)&gt;0,"NAO","SIM"))</f>
        <v/>
      </c>
    </row>
    <row r="2488" ht="12.75" customHeight="1" s="60">
      <c r="A2488" s="59" t="n">
        <v>1</v>
      </c>
      <c r="B2488" s="82" t="n">
        <v>46249</v>
      </c>
      <c r="C2488" s="82" t="n">
        <v>46272</v>
      </c>
      <c r="D2488" s="59" t="n">
        <v>10011</v>
      </c>
      <c r="E2488" s="59" t="inlineStr">
        <is>
          <t>OPPORTUNITY ALIMENTOS PARA ANIMAIS LTDA</t>
        </is>
      </c>
      <c r="F2488" s="59" t="n">
        <v>24</v>
      </c>
      <c r="G2488" s="59" t="inlineStr">
        <is>
          <t>Compra a Prazo - Boletos</t>
        </is>
      </c>
      <c r="H2488" s="59" t="n">
        <v>2110405</v>
      </c>
      <c r="I2488" s="59" t="inlineStr">
        <is>
          <t>CONTAS A PAGAR</t>
        </is>
      </c>
      <c r="J2488" s="59" t="n">
        <v>1552267</v>
      </c>
      <c r="L2488" s="59" t="n">
        <v>35160</v>
      </c>
      <c r="M2488" s="59" t="inlineStr">
        <is>
          <t>02</t>
        </is>
      </c>
      <c r="N2488" s="59" t="inlineStr">
        <is>
          <t>AVU</t>
        </is>
      </c>
      <c r="P2488" s="59" t="n">
        <v>103</v>
      </c>
      <c r="Q2488" s="59" t="inlineStr">
        <is>
          <t>MILKA FRANCIS</t>
        </is>
      </c>
      <c r="R2488" s="59" t="inlineStr">
        <is>
          <t>ESTOQUE DE MERCADORIAS</t>
        </is>
      </c>
      <c r="S2488" s="59" t="n">
        <v>1130101</v>
      </c>
      <c r="T2488" s="59" t="inlineStr">
        <is>
          <t>MERCADORIAS P/REVENDA</t>
        </is>
      </c>
      <c r="U2488" s="59" t="n">
        <v>2836.78</v>
      </c>
      <c r="W2488" s="59" t="n">
        <v>0</v>
      </c>
      <c r="X2488" s="59" t="inlineStr">
        <is>
          <t>NF 35160-2 MILKA</t>
        </is>
      </c>
      <c r="Z2488" s="59">
        <f>IF($T2488="","",IFERROR(INDEX('Resumo Grupos'!$AC$3:$AC$200,MATCH($T2488,'Resumo Grupos'!$AB$3:$AB$200,0)),"n/d"))</f>
        <v/>
      </c>
      <c r="AA2488" s="59">
        <f>IF($T2488="","",IF(COUNTIF('Resumo Grupos'!$AE$3:$AE$40,$T2488)&gt;0,"NAO","SIM"))</f>
        <v/>
      </c>
    </row>
    <row r="2489" ht="12.75" customHeight="1" s="60">
      <c r="A2489" s="59" t="n">
        <v>1</v>
      </c>
      <c r="B2489" s="82" t="n">
        <v>46252</v>
      </c>
      <c r="C2489" s="82" t="n">
        <v>46272</v>
      </c>
      <c r="D2489" s="59" t="n">
        <v>1196</v>
      </c>
      <c r="E2489" s="59" t="inlineStr">
        <is>
          <t>VICTORIA COMERCIO INTERNACIONAL DE ALIME</t>
        </is>
      </c>
      <c r="F2489" s="59" t="n">
        <v>24</v>
      </c>
      <c r="G2489" s="59" t="inlineStr">
        <is>
          <t>Compra a Prazo - Boletos</t>
        </is>
      </c>
      <c r="H2489" s="59" t="n">
        <v>2110405</v>
      </c>
      <c r="I2489" s="59" t="inlineStr">
        <is>
          <t>CONTAS A PAGAR</t>
        </is>
      </c>
      <c r="J2489" s="59" t="n">
        <v>1567568</v>
      </c>
      <c r="L2489" s="59" t="n">
        <v>12863</v>
      </c>
      <c r="M2489" s="59" t="inlineStr">
        <is>
          <t>02</t>
        </is>
      </c>
      <c r="N2489" s="59" t="inlineStr">
        <is>
          <t>AVU</t>
        </is>
      </c>
      <c r="P2489" s="59" t="n">
        <v>103</v>
      </c>
      <c r="Q2489" s="59" t="inlineStr">
        <is>
          <t>MILKA FRANCIS</t>
        </is>
      </c>
      <c r="R2489" s="59" t="inlineStr">
        <is>
          <t>ESTOQUE DE MERCADORIAS</t>
        </is>
      </c>
      <c r="S2489" s="59" t="n">
        <v>1130101</v>
      </c>
      <c r="T2489" s="59" t="inlineStr">
        <is>
          <t>MERCADORIAS P/REVENDA</t>
        </is>
      </c>
      <c r="U2489" s="59" t="n">
        <v>919.34</v>
      </c>
      <c r="W2489" s="59" t="n">
        <v>0</v>
      </c>
      <c r="X2489" s="59" t="inlineStr">
        <is>
          <t>13480-B/B  NF12863 - MILKA</t>
        </is>
      </c>
      <c r="Z2489" s="59">
        <f>IF($T2489="","",IFERROR(INDEX('Resumo Grupos'!$AC$3:$AC$200,MATCH($T2489,'Resumo Grupos'!$AB$3:$AB$200,0)),"n/d"))</f>
        <v/>
      </c>
      <c r="AA2489" s="59">
        <f>IF($T2489="","",IF(COUNTIF('Resumo Grupos'!$AE$3:$AE$40,$T2489)&gt;0,"NAO","SIM"))</f>
        <v/>
      </c>
    </row>
    <row r="2490" ht="12.75" customHeight="1" s="60">
      <c r="A2490" s="59" t="n">
        <v>1</v>
      </c>
      <c r="B2490" s="82" t="n">
        <v>46252</v>
      </c>
      <c r="C2490" s="82" t="n">
        <v>46272</v>
      </c>
      <c r="D2490" s="59" t="n">
        <v>1921</v>
      </c>
      <c r="E2490" s="59" t="inlineStr">
        <is>
          <t>BF COMERCIO DE ALIMENTOS REPRESENTACAO L</t>
        </is>
      </c>
      <c r="F2490" s="59" t="n">
        <v>24</v>
      </c>
      <c r="G2490" s="59" t="inlineStr">
        <is>
          <t>Compra a Prazo - Boletos</t>
        </is>
      </c>
      <c r="H2490" s="59" t="n">
        <v>2110405</v>
      </c>
      <c r="I2490" s="59" t="inlineStr">
        <is>
          <t>CONTAS A PAGAR</t>
        </is>
      </c>
      <c r="J2490" s="59" t="n">
        <v>1568268</v>
      </c>
      <c r="L2490" s="59" t="n">
        <v>21280</v>
      </c>
      <c r="M2490" s="59" t="inlineStr">
        <is>
          <t>01</t>
        </is>
      </c>
      <c r="N2490" s="59" t="inlineStr">
        <is>
          <t>AVU</t>
        </is>
      </c>
      <c r="P2490" s="59" t="n">
        <v>103</v>
      </c>
      <c r="Q2490" s="59" t="inlineStr">
        <is>
          <t>MILKA FRANCIS</t>
        </is>
      </c>
      <c r="R2490" s="59" t="inlineStr">
        <is>
          <t>ESTOQUE DE MERCADORIAS</t>
        </is>
      </c>
      <c r="S2490" s="59" t="n">
        <v>1130101</v>
      </c>
      <c r="T2490" s="59" t="inlineStr">
        <is>
          <t>MERCADORIAS P/REVENDA</t>
        </is>
      </c>
      <c r="U2490" s="59" t="n">
        <v>677.64</v>
      </c>
      <c r="W2490" s="59" t="n">
        <v>0</v>
      </c>
      <c r="X2490" s="59" t="inlineStr">
        <is>
          <t>13724-A/B  NF21280 - MILKA</t>
        </is>
      </c>
      <c r="Z2490" s="59">
        <f>IF($T2490="","",IFERROR(INDEX('Resumo Grupos'!$AC$3:$AC$200,MATCH($T2490,'Resumo Grupos'!$AB$3:$AB$200,0)),"n/d"))</f>
        <v/>
      </c>
      <c r="AA2490" s="59">
        <f>IF($T2490="","",IF(COUNTIF('Resumo Grupos'!$AE$3:$AE$40,$T2490)&gt;0,"NAO","SIM"))</f>
        <v/>
      </c>
    </row>
    <row r="2491" ht="12.75" customHeight="1" s="60">
      <c r="A2491" s="59" t="n">
        <v>1</v>
      </c>
      <c r="B2491" s="82" t="n">
        <v>46253</v>
      </c>
      <c r="C2491" s="82" t="n">
        <v>46272</v>
      </c>
      <c r="D2491" s="59" t="n">
        <v>957</v>
      </c>
      <c r="E2491" s="59" t="inlineStr">
        <is>
          <t>FUNNY PET DISTRIBUIDORA DE ALIMENTOS PAR</t>
        </is>
      </c>
      <c r="F2491" s="59" t="n">
        <v>24</v>
      </c>
      <c r="G2491" s="59" t="inlineStr">
        <is>
          <t>Compra a Prazo - Boletos</t>
        </is>
      </c>
      <c r="H2491" s="59" t="n">
        <v>2110405</v>
      </c>
      <c r="I2491" s="59" t="inlineStr">
        <is>
          <t>CONTAS A PAGAR</t>
        </is>
      </c>
      <c r="J2491" s="59" t="n">
        <v>1571005</v>
      </c>
      <c r="L2491" s="59" t="n">
        <v>21714</v>
      </c>
      <c r="M2491" s="59" t="inlineStr">
        <is>
          <t>01</t>
        </is>
      </c>
      <c r="N2491" s="59" t="inlineStr">
        <is>
          <t>AVU</t>
        </is>
      </c>
      <c r="P2491" s="59" t="n">
        <v>103</v>
      </c>
      <c r="Q2491" s="59" t="inlineStr">
        <is>
          <t>MILKA FRANCIS</t>
        </is>
      </c>
      <c r="R2491" s="59" t="inlineStr">
        <is>
          <t>ESTOQUE DE MERCADORIAS</t>
        </is>
      </c>
      <c r="S2491" s="59" t="n">
        <v>1130101</v>
      </c>
      <c r="T2491" s="59" t="inlineStr">
        <is>
          <t>MERCADORIAS P/REVENDA</t>
        </is>
      </c>
      <c r="U2491" s="59" t="n">
        <v>704.9</v>
      </c>
      <c r="W2491" s="59" t="n">
        <v>0</v>
      </c>
      <c r="X2491" s="59" t="inlineStr">
        <is>
          <t>NF 21714-1 MILKA</t>
        </is>
      </c>
      <c r="Z2491" s="59">
        <f>IF($T2491="","",IFERROR(INDEX('Resumo Grupos'!$AC$3:$AC$200,MATCH($T2491,'Resumo Grupos'!$AB$3:$AB$200,0)),"n/d"))</f>
        <v/>
      </c>
      <c r="AA2491" s="59">
        <f>IF($T2491="","",IF(COUNTIF('Resumo Grupos'!$AE$3:$AE$40,$T2491)&gt;0,"NAO","SIM"))</f>
        <v/>
      </c>
    </row>
    <row r="2492" ht="12.75" customHeight="1" s="60">
      <c r="A2492" s="59" t="n">
        <v>1</v>
      </c>
      <c r="B2492" s="82" t="n">
        <v>46253</v>
      </c>
      <c r="C2492" s="82" t="n">
        <v>46272</v>
      </c>
      <c r="D2492" s="59" t="n">
        <v>1636</v>
      </c>
      <c r="E2492" s="59" t="inlineStr">
        <is>
          <t>DUNORTE DISTRIBUIDORA DE PRODUTOS DE CONSUMO LTDA</t>
        </is>
      </c>
      <c r="F2492" s="59" t="n">
        <v>24</v>
      </c>
      <c r="G2492" s="59" t="inlineStr">
        <is>
          <t>Compra a Prazo - Boletos</t>
        </is>
      </c>
      <c r="H2492" s="59" t="n">
        <v>2110405</v>
      </c>
      <c r="I2492" s="59" t="inlineStr">
        <is>
          <t>CONTAS A PAGAR</t>
        </is>
      </c>
      <c r="J2492" s="59" t="n">
        <v>1571378</v>
      </c>
      <c r="L2492" s="59" t="n">
        <v>3237635</v>
      </c>
      <c r="M2492" s="59" t="inlineStr">
        <is>
          <t>01</t>
        </is>
      </c>
      <c r="N2492" s="59" t="inlineStr">
        <is>
          <t>AVU</t>
        </is>
      </c>
      <c r="P2492" s="59" t="n">
        <v>103</v>
      </c>
      <c r="Q2492" s="59" t="inlineStr">
        <is>
          <t>MILKA FRANCIS</t>
        </is>
      </c>
      <c r="R2492" s="59" t="inlineStr">
        <is>
          <t>ESTOQUE DE MERCADORIAS</t>
        </is>
      </c>
      <c r="S2492" s="59" t="n">
        <v>1130101</v>
      </c>
      <c r="T2492" s="59" t="inlineStr">
        <is>
          <t>MERCADORIAS P/REVENDA</t>
        </is>
      </c>
      <c r="U2492" s="59" t="n">
        <v>594.5599999999999</v>
      </c>
      <c r="W2492" s="59" t="n">
        <v>0</v>
      </c>
      <c r="X2492" s="59" t="inlineStr">
        <is>
          <t>NF 3237635 - MILKA</t>
        </is>
      </c>
      <c r="Z2492" s="59">
        <f>IF($T2492="","",IFERROR(INDEX('Resumo Grupos'!$AC$3:$AC$200,MATCH($T2492,'Resumo Grupos'!$AB$3:$AB$200,0)),"n/d"))</f>
        <v/>
      </c>
      <c r="AA2492" s="59">
        <f>IF($T2492="","",IF(COUNTIF('Resumo Grupos'!$AE$3:$AE$40,$T2492)&gt;0,"NAO","SIM"))</f>
        <v/>
      </c>
    </row>
    <row r="2493" ht="12.75" customHeight="1" s="60">
      <c r="A2493" s="59" t="n">
        <v>1</v>
      </c>
      <c r="B2493" s="82" t="n">
        <v>46254</v>
      </c>
      <c r="C2493" s="82" t="n">
        <v>46272</v>
      </c>
      <c r="D2493" s="59" t="n">
        <v>1626</v>
      </c>
      <c r="E2493" s="59" t="inlineStr">
        <is>
          <t>FENNIX BRASIL DISTRIBUIDORA DE PRODUTOS</t>
        </is>
      </c>
      <c r="F2493" s="59" t="n">
        <v>24</v>
      </c>
      <c r="G2493" s="59" t="inlineStr">
        <is>
          <t>Compra a Prazo - Boletos</t>
        </is>
      </c>
      <c r="H2493" s="59" t="n">
        <v>2110405</v>
      </c>
      <c r="I2493" s="59" t="inlineStr">
        <is>
          <t>CONTAS A PAGAR</t>
        </is>
      </c>
      <c r="J2493" s="59" t="n">
        <v>1575983</v>
      </c>
      <c r="L2493" s="59" t="n">
        <v>317365</v>
      </c>
      <c r="M2493" s="59" t="inlineStr">
        <is>
          <t>02</t>
        </is>
      </c>
      <c r="N2493" s="59" t="inlineStr">
        <is>
          <t>AVU</t>
        </is>
      </c>
      <c r="P2493" s="59" t="n">
        <v>103</v>
      </c>
      <c r="Q2493" s="59" t="inlineStr">
        <is>
          <t>MILKA FRANCIS</t>
        </is>
      </c>
      <c r="R2493" s="59" t="inlineStr">
        <is>
          <t>ESTOQUE DE MERCADORIAS</t>
        </is>
      </c>
      <c r="S2493" s="59" t="n">
        <v>1130101</v>
      </c>
      <c r="T2493" s="59" t="inlineStr">
        <is>
          <t>MERCADORIAS P/REVENDA</t>
        </is>
      </c>
      <c r="U2493" s="59" t="n">
        <v>989.33</v>
      </c>
      <c r="W2493" s="59" t="n">
        <v>0</v>
      </c>
      <c r="X2493" s="59" t="inlineStr">
        <is>
          <t>NF 317365-2 MILKA</t>
        </is>
      </c>
      <c r="Z2493" s="59">
        <f>IF($T2493="","",IFERROR(INDEX('Resumo Grupos'!$AC$3:$AC$200,MATCH($T2493,'Resumo Grupos'!$AB$3:$AB$200,0)),"n/d"))</f>
        <v/>
      </c>
      <c r="AA2493" s="59">
        <f>IF($T2493="","",IF(COUNTIF('Resumo Grupos'!$AE$3:$AE$40,$T2493)&gt;0,"NAO","SIM"))</f>
        <v/>
      </c>
    </row>
    <row r="2494" ht="12.75" customHeight="1" s="60">
      <c r="A2494" s="59" t="n">
        <v>1</v>
      </c>
      <c r="B2494" s="82" t="n">
        <v>46255</v>
      </c>
      <c r="C2494" s="82" t="n">
        <v>46272</v>
      </c>
      <c r="D2494" s="59" t="n">
        <v>1616</v>
      </c>
      <c r="E2494" s="59" t="inlineStr">
        <is>
          <t>DURAES DISTRIBUIDORA DE ESTIVAS LTDA</t>
        </is>
      </c>
      <c r="F2494" s="59" t="n">
        <v>24</v>
      </c>
      <c r="G2494" s="59" t="inlineStr">
        <is>
          <t>Compra a Prazo - Boletos</t>
        </is>
      </c>
      <c r="H2494" s="59" t="n">
        <v>2110405</v>
      </c>
      <c r="I2494" s="59" t="inlineStr">
        <is>
          <t>CONTAS A PAGAR</t>
        </is>
      </c>
      <c r="J2494" s="59" t="n">
        <v>1580851</v>
      </c>
      <c r="L2494" s="59" t="n">
        <v>654912</v>
      </c>
      <c r="M2494" s="59" t="inlineStr">
        <is>
          <t>02</t>
        </is>
      </c>
      <c r="N2494" s="59" t="inlineStr">
        <is>
          <t>AVU</t>
        </is>
      </c>
      <c r="P2494" s="59" t="n">
        <v>103</v>
      </c>
      <c r="Q2494" s="59" t="inlineStr">
        <is>
          <t>MILKA FRANCIS</t>
        </is>
      </c>
      <c r="R2494" s="59" t="inlineStr">
        <is>
          <t>ESTOQUE DE MERCADORIAS</t>
        </is>
      </c>
      <c r="S2494" s="59" t="n">
        <v>1130101</v>
      </c>
      <c r="T2494" s="59" t="inlineStr">
        <is>
          <t>MERCADORIAS P/REVENDA</t>
        </is>
      </c>
      <c r="U2494" s="59" t="n">
        <v>573.72</v>
      </c>
      <c r="W2494" s="59" t="n">
        <v>0</v>
      </c>
      <c r="X2494" s="59" t="inlineStr">
        <is>
          <t>NF 654912-2 MILKA</t>
        </is>
      </c>
      <c r="Z2494" s="59">
        <f>IF($T2494="","",IFERROR(INDEX('Resumo Grupos'!$AC$3:$AC$200,MATCH($T2494,'Resumo Grupos'!$AB$3:$AB$200,0)),"n/d"))</f>
        <v/>
      </c>
      <c r="AA2494" s="59">
        <f>IF($T2494="","",IF(COUNTIF('Resumo Grupos'!$AE$3:$AE$40,$T2494)&gt;0,"NAO","SIM"))</f>
        <v/>
      </c>
    </row>
    <row r="2495" ht="12.75" customHeight="1" s="60">
      <c r="A2495" s="59" t="n">
        <v>1</v>
      </c>
      <c r="B2495" s="82" t="n">
        <v>46255</v>
      </c>
      <c r="C2495" s="82" t="n">
        <v>46272</v>
      </c>
      <c r="D2495" s="59" t="n">
        <v>1616</v>
      </c>
      <c r="E2495" s="59" t="inlineStr">
        <is>
          <t>DURAES DISTRIBUIDORA DE ESTIVAS LTDA</t>
        </is>
      </c>
      <c r="F2495" s="59" t="n">
        <v>24</v>
      </c>
      <c r="G2495" s="59" t="inlineStr">
        <is>
          <t>Compra a Prazo - Boletos</t>
        </is>
      </c>
      <c r="H2495" s="59" t="n">
        <v>2110405</v>
      </c>
      <c r="I2495" s="59" t="inlineStr">
        <is>
          <t>CONTAS A PAGAR</t>
        </is>
      </c>
      <c r="J2495" s="59" t="n">
        <v>1581039</v>
      </c>
      <c r="L2495" s="59" t="n">
        <v>654913</v>
      </c>
      <c r="M2495" s="59" t="inlineStr">
        <is>
          <t>02</t>
        </is>
      </c>
      <c r="N2495" s="59" t="inlineStr">
        <is>
          <t>AVU</t>
        </is>
      </c>
      <c r="P2495" s="59" t="n">
        <v>103</v>
      </c>
      <c r="Q2495" s="59" t="inlineStr">
        <is>
          <t>MILKA FRANCIS</t>
        </is>
      </c>
      <c r="R2495" s="59" t="inlineStr">
        <is>
          <t>ESTOQUE DE MERCADORIAS</t>
        </is>
      </c>
      <c r="S2495" s="59" t="n">
        <v>1130101</v>
      </c>
      <c r="T2495" s="59" t="inlineStr">
        <is>
          <t>MERCADORIAS P/REVENDA</t>
        </is>
      </c>
      <c r="U2495" s="59" t="n">
        <v>759.74</v>
      </c>
      <c r="W2495" s="59" t="n">
        <v>0</v>
      </c>
      <c r="X2495" s="59" t="inlineStr">
        <is>
          <t>NF 654913-2  MILKA</t>
        </is>
      </c>
      <c r="Z2495" s="59">
        <f>IF($T2495="","",IFERROR(INDEX('Resumo Grupos'!$AC$3:$AC$200,MATCH($T2495,'Resumo Grupos'!$AB$3:$AB$200,0)),"n/d"))</f>
        <v/>
      </c>
      <c r="AA2495" s="59">
        <f>IF($T2495="","",IF(COUNTIF('Resumo Grupos'!$AE$3:$AE$40,$T2495)&gt;0,"NAO","SIM"))</f>
        <v/>
      </c>
    </row>
    <row r="2496" ht="12.75" customHeight="1" s="60">
      <c r="A2496" s="59" t="n">
        <v>1</v>
      </c>
      <c r="B2496" s="82" t="n">
        <v>46255</v>
      </c>
      <c r="C2496" s="82" t="n">
        <v>46272</v>
      </c>
      <c r="D2496" s="59" t="n">
        <v>10037</v>
      </c>
      <c r="E2496" s="59" t="inlineStr">
        <is>
          <t>FORTVET DISTRIBUIDORA LTDA</t>
        </is>
      </c>
      <c r="F2496" s="59" t="n">
        <v>24</v>
      </c>
      <c r="G2496" s="59" t="inlineStr">
        <is>
          <t>Compra a Prazo - Boletos</t>
        </is>
      </c>
      <c r="H2496" s="59" t="n">
        <v>2110405</v>
      </c>
      <c r="I2496" s="59" t="inlineStr">
        <is>
          <t>CONTAS A PAGAR</t>
        </is>
      </c>
      <c r="J2496" s="59" t="n">
        <v>1581853</v>
      </c>
      <c r="L2496" s="59" t="n">
        <v>3216</v>
      </c>
      <c r="M2496" s="59" t="inlineStr">
        <is>
          <t>01</t>
        </is>
      </c>
      <c r="N2496" s="59" t="inlineStr">
        <is>
          <t>AVU</t>
        </is>
      </c>
      <c r="P2496" s="59" t="n">
        <v>103</v>
      </c>
      <c r="Q2496" s="59" t="inlineStr">
        <is>
          <t>MILKA FRANCIS</t>
        </is>
      </c>
      <c r="R2496" s="59" t="inlineStr">
        <is>
          <t>ESTOQUE DE MERCADORIAS</t>
        </is>
      </c>
      <c r="S2496" s="59" t="n">
        <v>1130101</v>
      </c>
      <c r="T2496" s="59" t="inlineStr">
        <is>
          <t>MERCADORIAS P/REVENDA</t>
        </is>
      </c>
      <c r="U2496" s="59" t="n">
        <v>733.0700000000001</v>
      </c>
      <c r="W2496" s="59" t="n">
        <v>0</v>
      </c>
      <c r="X2496" s="59" t="inlineStr">
        <is>
          <t>NF3216-1 MILKA</t>
        </is>
      </c>
      <c r="Z2496" s="59">
        <f>IF($T2496="","",IFERROR(INDEX('Resumo Grupos'!$AC$3:$AC$200,MATCH($T2496,'Resumo Grupos'!$AB$3:$AB$200,0)),"n/d"))</f>
        <v/>
      </c>
      <c r="AA2496" s="59">
        <f>IF($T2496="","",IF(COUNTIF('Resumo Grupos'!$AE$3:$AE$40,$T2496)&gt;0,"NAO","SIM"))</f>
        <v/>
      </c>
    </row>
    <row r="2497" ht="12.75" customHeight="1" s="60">
      <c r="A2497" s="59" t="n">
        <v>1</v>
      </c>
      <c r="B2497" s="82" t="n">
        <v>46255</v>
      </c>
      <c r="C2497" s="82" t="n">
        <v>46272</v>
      </c>
      <c r="D2497" s="59" t="n">
        <v>10037</v>
      </c>
      <c r="E2497" s="59" t="inlineStr">
        <is>
          <t>FORTVET DISTRIBUIDORA LTDA</t>
        </is>
      </c>
      <c r="F2497" s="59" t="n">
        <v>24</v>
      </c>
      <c r="G2497" s="59" t="inlineStr">
        <is>
          <t>Compra a Prazo - Boletos</t>
        </is>
      </c>
      <c r="H2497" s="59" t="n">
        <v>2110405</v>
      </c>
      <c r="I2497" s="59" t="inlineStr">
        <is>
          <t>CONTAS A PAGAR</t>
        </is>
      </c>
      <c r="J2497" s="59" t="n">
        <v>1581875</v>
      </c>
      <c r="L2497" s="59" t="n">
        <v>3215</v>
      </c>
      <c r="M2497" s="59" t="inlineStr">
        <is>
          <t>01</t>
        </is>
      </c>
      <c r="N2497" s="59" t="inlineStr">
        <is>
          <t>AVU</t>
        </is>
      </c>
      <c r="P2497" s="59" t="n">
        <v>103</v>
      </c>
      <c r="Q2497" s="59" t="inlineStr">
        <is>
          <t>MILKA FRANCIS</t>
        </is>
      </c>
      <c r="R2497" s="59" t="inlineStr">
        <is>
          <t>ESTOQUE DE MERCADORIAS</t>
        </is>
      </c>
      <c r="S2497" s="59" t="n">
        <v>1130101</v>
      </c>
      <c r="T2497" s="59" t="inlineStr">
        <is>
          <t>MERCADORIAS P/REVENDA</t>
        </is>
      </c>
      <c r="U2497" s="59" t="n">
        <v>477.65</v>
      </c>
      <c r="W2497" s="59" t="n">
        <v>0</v>
      </c>
      <c r="X2497" s="59" t="inlineStr">
        <is>
          <t>NF 3215-1 MILKA</t>
        </is>
      </c>
      <c r="Z2497" s="59">
        <f>IF($T2497="","",IFERROR(INDEX('Resumo Grupos'!$AC$3:$AC$200,MATCH($T2497,'Resumo Grupos'!$AB$3:$AB$200,0)),"n/d"))</f>
        <v/>
      </c>
      <c r="AA2497" s="59">
        <f>IF($T2497="","",IF(COUNTIF('Resumo Grupos'!$AE$3:$AE$40,$T2497)&gt;0,"NAO","SIM"))</f>
        <v/>
      </c>
    </row>
    <row r="2498" ht="12.75" customHeight="1" s="60">
      <c r="A2498" s="59" t="n">
        <v>1</v>
      </c>
      <c r="B2498" s="82" t="n">
        <v>46256</v>
      </c>
      <c r="C2498" s="82" t="n">
        <v>46272</v>
      </c>
      <c r="D2498" s="59" t="n">
        <v>1739</v>
      </c>
      <c r="E2498" s="59" t="inlineStr">
        <is>
          <t>SABIA COMERCIO DE COSMETICOS LTDA</t>
        </is>
      </c>
      <c r="F2498" s="59" t="n">
        <v>24</v>
      </c>
      <c r="G2498" s="59" t="inlineStr">
        <is>
          <t>Compra a Prazo - Boletos</t>
        </is>
      </c>
      <c r="H2498" s="59" t="n">
        <v>2110405</v>
      </c>
      <c r="I2498" s="59" t="inlineStr">
        <is>
          <t>CONTAS A PAGAR</t>
        </is>
      </c>
      <c r="J2498" s="59" t="n">
        <v>1585194</v>
      </c>
      <c r="L2498" s="59" t="n">
        <v>255211</v>
      </c>
      <c r="M2498" s="59" t="inlineStr">
        <is>
          <t>02</t>
        </is>
      </c>
      <c r="N2498" s="59" t="inlineStr">
        <is>
          <t>AVU</t>
        </is>
      </c>
      <c r="P2498" s="59" t="n">
        <v>103</v>
      </c>
      <c r="Q2498" s="59" t="inlineStr">
        <is>
          <t>MILKA FRANCIS</t>
        </is>
      </c>
      <c r="R2498" s="59" t="inlineStr">
        <is>
          <t>ESTOQUE DE MERCADORIAS</t>
        </is>
      </c>
      <c r="S2498" s="59" t="n">
        <v>1130101</v>
      </c>
      <c r="T2498" s="59" t="inlineStr">
        <is>
          <t>MERCADORIAS P/REVENDA</t>
        </is>
      </c>
      <c r="U2498" s="59" t="n">
        <v>614.0599999999999</v>
      </c>
      <c r="W2498" s="59" t="n">
        <v>0</v>
      </c>
      <c r="X2498" s="59" t="inlineStr">
        <is>
          <t>NF 255211-2 MILKA</t>
        </is>
      </c>
      <c r="Z2498" s="59">
        <f>IF($T2498="","",IFERROR(INDEX('Resumo Grupos'!$AC$3:$AC$200,MATCH($T2498,'Resumo Grupos'!$AB$3:$AB$200,0)),"n/d"))</f>
        <v/>
      </c>
      <c r="AA2498" s="59">
        <f>IF($T2498="","",IF(COUNTIF('Resumo Grupos'!$AE$3:$AE$40,$T2498)&gt;0,"NAO","SIM"))</f>
        <v/>
      </c>
    </row>
    <row r="2499" ht="12.75" customHeight="1" s="60">
      <c r="A2499" s="59" t="n">
        <v>1</v>
      </c>
      <c r="B2499" s="82" t="n">
        <v>46240</v>
      </c>
      <c r="C2499" s="82" t="n">
        <v>46273</v>
      </c>
      <c r="D2499" s="59" t="n">
        <v>1637</v>
      </c>
      <c r="E2499" s="59" t="inlineStr">
        <is>
          <t>ATACADAO S.A.</t>
        </is>
      </c>
      <c r="F2499" s="59" t="n">
        <v>24</v>
      </c>
      <c r="G2499" s="59" t="inlineStr">
        <is>
          <t>Compra a Prazo - Boletos</t>
        </is>
      </c>
      <c r="H2499" s="59" t="n">
        <v>2110405</v>
      </c>
      <c r="I2499" s="59" t="inlineStr">
        <is>
          <t>CONTAS A PAGAR</t>
        </is>
      </c>
      <c r="J2499" s="59" t="n">
        <v>1509594</v>
      </c>
      <c r="L2499" s="59" t="n">
        <v>1915889</v>
      </c>
      <c r="M2499" s="59" t="inlineStr">
        <is>
          <t>01</t>
        </is>
      </c>
      <c r="N2499" s="59" t="inlineStr">
        <is>
          <t>AVU</t>
        </is>
      </c>
      <c r="P2499" s="59" t="n">
        <v>103</v>
      </c>
      <c r="Q2499" s="59" t="inlineStr">
        <is>
          <t>MILKA FRANCIS</t>
        </is>
      </c>
      <c r="R2499" s="59" t="inlineStr">
        <is>
          <t>ESTOQUE DE MERCADORIAS</t>
        </is>
      </c>
      <c r="S2499" s="59" t="n">
        <v>1130101</v>
      </c>
      <c r="T2499" s="59" t="inlineStr">
        <is>
          <t>MERCADORIAS P/REVENDA</t>
        </is>
      </c>
      <c r="U2499" s="59" t="n">
        <v>2022.5</v>
      </c>
      <c r="W2499" s="59" t="n">
        <v>0</v>
      </c>
      <c r="X2499" s="59" t="inlineStr">
        <is>
          <t>NF 1915889 - MILKA</t>
        </is>
      </c>
      <c r="Z2499" s="59">
        <f>IF($T2499="","",IFERROR(INDEX('Resumo Grupos'!$AC$3:$AC$200,MATCH($T2499,'Resumo Grupos'!$AB$3:$AB$200,0)),"n/d"))</f>
        <v/>
      </c>
      <c r="AA2499" s="59">
        <f>IF($T2499="","",IF(COUNTIF('Resumo Grupos'!$AE$3:$AE$40,$T2499)&gt;0,"NAO","SIM"))</f>
        <v/>
      </c>
    </row>
    <row r="2500" ht="12.75" customHeight="1" s="60">
      <c r="A2500" s="59" t="n">
        <v>1</v>
      </c>
      <c r="B2500" s="82" t="n">
        <v>46240</v>
      </c>
      <c r="C2500" s="82" t="n">
        <v>46273</v>
      </c>
      <c r="D2500" s="59" t="n">
        <v>1637</v>
      </c>
      <c r="E2500" s="59" t="inlineStr">
        <is>
          <t>ATACADAO S.A.</t>
        </is>
      </c>
      <c r="F2500" s="59" t="n">
        <v>24</v>
      </c>
      <c r="G2500" s="59" t="inlineStr">
        <is>
          <t>Compra a Prazo - Boletos</t>
        </is>
      </c>
      <c r="H2500" s="59" t="n">
        <v>2110405</v>
      </c>
      <c r="I2500" s="59" t="inlineStr">
        <is>
          <t>CONTAS A PAGAR</t>
        </is>
      </c>
      <c r="J2500" s="59" t="n">
        <v>1509701</v>
      </c>
      <c r="L2500" s="59" t="n">
        <v>1915886</v>
      </c>
      <c r="M2500" s="59" t="inlineStr">
        <is>
          <t>01</t>
        </is>
      </c>
      <c r="N2500" s="59" t="inlineStr">
        <is>
          <t>AVU</t>
        </is>
      </c>
      <c r="P2500" s="59" t="n">
        <v>103</v>
      </c>
      <c r="Q2500" s="59" t="inlineStr">
        <is>
          <t>MILKA FRANCIS</t>
        </is>
      </c>
      <c r="R2500" s="59" t="inlineStr">
        <is>
          <t>ESTOQUE DE MERCADORIAS</t>
        </is>
      </c>
      <c r="S2500" s="59" t="n">
        <v>1130101</v>
      </c>
      <c r="T2500" s="59" t="inlineStr">
        <is>
          <t>MERCADORIAS P/REVENDA</t>
        </is>
      </c>
      <c r="U2500" s="59" t="n">
        <v>1795</v>
      </c>
      <c r="W2500" s="59" t="n">
        <v>0</v>
      </c>
      <c r="X2500" s="59" t="inlineStr">
        <is>
          <t>NF 1915886 - MILKA</t>
        </is>
      </c>
      <c r="Z2500" s="59">
        <f>IF($T2500="","",IFERROR(INDEX('Resumo Grupos'!$AC$3:$AC$200,MATCH($T2500,'Resumo Grupos'!$AB$3:$AB$200,0)),"n/d"))</f>
        <v/>
      </c>
      <c r="AA2500" s="59">
        <f>IF($T2500="","",IF(COUNTIF('Resumo Grupos'!$AE$3:$AE$40,$T2500)&gt;0,"NAO","SIM"))</f>
        <v/>
      </c>
    </row>
    <row r="2501" ht="12.75" customHeight="1" s="60">
      <c r="A2501" s="59" t="n">
        <v>1</v>
      </c>
      <c r="B2501" s="82" t="n">
        <v>46248</v>
      </c>
      <c r="C2501" s="82" t="n">
        <v>46273</v>
      </c>
      <c r="D2501" s="59" t="n">
        <v>1637</v>
      </c>
      <c r="E2501" s="59" t="inlineStr">
        <is>
          <t>ATACADAO S.A.</t>
        </is>
      </c>
      <c r="F2501" s="59" t="n">
        <v>24</v>
      </c>
      <c r="G2501" s="59" t="inlineStr">
        <is>
          <t>Compra a Prazo - Boletos</t>
        </is>
      </c>
      <c r="H2501" s="59" t="n">
        <v>2110405</v>
      </c>
      <c r="I2501" s="59" t="inlineStr">
        <is>
          <t>CONTAS A PAGAR</t>
        </is>
      </c>
      <c r="J2501" s="59" t="n">
        <v>1545628</v>
      </c>
      <c r="L2501" s="59" t="n">
        <v>1917923</v>
      </c>
      <c r="M2501" s="59" t="inlineStr">
        <is>
          <t>01</t>
        </is>
      </c>
      <c r="N2501" s="59" t="inlineStr">
        <is>
          <t>AVU</t>
        </is>
      </c>
      <c r="P2501" s="59" t="n">
        <v>103</v>
      </c>
      <c r="Q2501" s="59" t="inlineStr">
        <is>
          <t>MILKA FRANCIS</t>
        </is>
      </c>
      <c r="R2501" s="59" t="inlineStr">
        <is>
          <t>ESTOQUE DE MERCADORIAS</t>
        </is>
      </c>
      <c r="S2501" s="59" t="n">
        <v>1130101</v>
      </c>
      <c r="T2501" s="59" t="inlineStr">
        <is>
          <t>MERCADORIAS P/REVENDA</t>
        </is>
      </c>
      <c r="U2501" s="59" t="n">
        <v>899.66</v>
      </c>
      <c r="W2501" s="59" t="n">
        <v>0</v>
      </c>
      <c r="X2501" s="59" t="inlineStr">
        <is>
          <t>NF 1917923 - MILKA</t>
        </is>
      </c>
      <c r="Z2501" s="59">
        <f>IF($T2501="","",IFERROR(INDEX('Resumo Grupos'!$AC$3:$AC$200,MATCH($T2501,'Resumo Grupos'!$AB$3:$AB$200,0)),"n/d"))</f>
        <v/>
      </c>
      <c r="AA2501" s="59">
        <f>IF($T2501="","",IF(COUNTIF('Resumo Grupos'!$AE$3:$AE$40,$T2501)&gt;0,"NAO","SIM"))</f>
        <v/>
      </c>
    </row>
    <row r="2502" ht="12.75" customHeight="1" s="60">
      <c r="A2502" s="59" t="n">
        <v>1</v>
      </c>
      <c r="B2502" s="82" t="n">
        <v>46246</v>
      </c>
      <c r="C2502" s="82" t="n">
        <v>46273</v>
      </c>
      <c r="D2502" s="59" t="n">
        <v>911</v>
      </c>
      <c r="E2502" s="59" t="inlineStr">
        <is>
          <t>FEMAR IND E COM DE BEBIDAS LTDA</t>
        </is>
      </c>
      <c r="F2502" s="59" t="n">
        <v>24</v>
      </c>
      <c r="G2502" s="59" t="inlineStr">
        <is>
          <t>Compra a Prazo - Boletos</t>
        </is>
      </c>
      <c r="H2502" s="59" t="n">
        <v>2110405</v>
      </c>
      <c r="I2502" s="59" t="inlineStr">
        <is>
          <t>CONTAS A PAGAR</t>
        </is>
      </c>
      <c r="J2502" s="59" t="n">
        <v>1537558</v>
      </c>
      <c r="L2502" s="59" t="n">
        <v>56171</v>
      </c>
      <c r="M2502" s="59" t="inlineStr">
        <is>
          <t>01</t>
        </is>
      </c>
      <c r="N2502" s="59" t="inlineStr">
        <is>
          <t>AVU</t>
        </is>
      </c>
      <c r="P2502" s="59" t="n">
        <v>103</v>
      </c>
      <c r="Q2502" s="59" t="inlineStr">
        <is>
          <t>MILKA FRANCIS</t>
        </is>
      </c>
      <c r="R2502" s="59" t="inlineStr">
        <is>
          <t>ESTOQUE DE MERCADORIAS</t>
        </is>
      </c>
      <c r="S2502" s="59" t="n">
        <v>1130101</v>
      </c>
      <c r="T2502" s="59" t="inlineStr">
        <is>
          <t>MERCADORIAS P/REVENDA</t>
        </is>
      </c>
      <c r="U2502" s="59" t="n">
        <v>802.03</v>
      </c>
      <c r="W2502" s="59" t="n">
        <v>0</v>
      </c>
      <c r="X2502" s="59" t="inlineStr">
        <is>
          <t>NF 56171 - MILKA</t>
        </is>
      </c>
      <c r="Z2502" s="59">
        <f>IF($T2502="","",IFERROR(INDEX('Resumo Grupos'!$AC$3:$AC$200,MATCH($T2502,'Resumo Grupos'!$AB$3:$AB$200,0)),"n/d"))</f>
        <v/>
      </c>
      <c r="AA2502" s="59">
        <f>IF($T2502="","",IF(COUNTIF('Resumo Grupos'!$AE$3:$AE$40,$T2502)&gt;0,"NAO","SIM"))</f>
        <v/>
      </c>
    </row>
    <row r="2503" ht="12.75" customHeight="1" s="60">
      <c r="A2503" s="59" t="n">
        <v>1</v>
      </c>
      <c r="B2503" s="82" t="n">
        <v>46248</v>
      </c>
      <c r="C2503" s="82" t="n">
        <v>46273</v>
      </c>
      <c r="D2503" s="59" t="n">
        <v>1637</v>
      </c>
      <c r="E2503" s="59" t="inlineStr">
        <is>
          <t>ATACADAO S.A.</t>
        </is>
      </c>
      <c r="F2503" s="59" t="n">
        <v>24</v>
      </c>
      <c r="G2503" s="59" t="inlineStr">
        <is>
          <t>Compra a Prazo - Boletos</t>
        </is>
      </c>
      <c r="H2503" s="59" t="n">
        <v>2110405</v>
      </c>
      <c r="I2503" s="59" t="inlineStr">
        <is>
          <t>CONTAS A PAGAR</t>
        </is>
      </c>
      <c r="J2503" s="59" t="n">
        <v>1545744</v>
      </c>
      <c r="L2503" s="59" t="n">
        <v>1917926</v>
      </c>
      <c r="M2503" s="59" t="inlineStr">
        <is>
          <t>01</t>
        </is>
      </c>
      <c r="N2503" s="59" t="inlineStr">
        <is>
          <t>AVU</t>
        </is>
      </c>
      <c r="P2503" s="59" t="n">
        <v>103</v>
      </c>
      <c r="Q2503" s="59" t="inlineStr">
        <is>
          <t>MILKA FRANCIS</t>
        </is>
      </c>
      <c r="R2503" s="59" t="inlineStr">
        <is>
          <t>ESTOQUE DE MERCADORIAS</t>
        </is>
      </c>
      <c r="S2503" s="59" t="n">
        <v>1130101</v>
      </c>
      <c r="T2503" s="59" t="inlineStr">
        <is>
          <t>MERCADORIAS P/REVENDA</t>
        </is>
      </c>
      <c r="U2503" s="59" t="n">
        <v>428.17</v>
      </c>
      <c r="W2503" s="59" t="n">
        <v>0</v>
      </c>
      <c r="X2503" s="59" t="inlineStr">
        <is>
          <t>NF 1917926 - MILKA</t>
        </is>
      </c>
      <c r="Z2503" s="59">
        <f>IF($T2503="","",IFERROR(INDEX('Resumo Grupos'!$AC$3:$AC$200,MATCH($T2503,'Resumo Grupos'!$AB$3:$AB$200,0)),"n/d"))</f>
        <v/>
      </c>
      <c r="AA2503" s="59">
        <f>IF($T2503="","",IF(COUNTIF('Resumo Grupos'!$AE$3:$AE$40,$T2503)&gt;0,"NAO","SIM"))</f>
        <v/>
      </c>
    </row>
    <row r="2504" ht="12.75" customHeight="1" s="60">
      <c r="A2504" s="59" t="n">
        <v>1</v>
      </c>
      <c r="B2504" s="82" t="n">
        <v>46248</v>
      </c>
      <c r="C2504" s="82" t="n">
        <v>46273</v>
      </c>
      <c r="D2504" s="59" t="n">
        <v>1637</v>
      </c>
      <c r="E2504" s="59" t="inlineStr">
        <is>
          <t>ATACADAO S.A.</t>
        </is>
      </c>
      <c r="F2504" s="59" t="n">
        <v>24</v>
      </c>
      <c r="G2504" s="59" t="inlineStr">
        <is>
          <t>Compra a Prazo - Boletos</t>
        </is>
      </c>
      <c r="H2504" s="59" t="n">
        <v>2110405</v>
      </c>
      <c r="I2504" s="59" t="inlineStr">
        <is>
          <t>CONTAS A PAGAR</t>
        </is>
      </c>
      <c r="J2504" s="59" t="n">
        <v>1545854</v>
      </c>
      <c r="L2504" s="59" t="n">
        <v>1919060</v>
      </c>
      <c r="M2504" s="59" t="inlineStr">
        <is>
          <t>01</t>
        </is>
      </c>
      <c r="N2504" s="59" t="inlineStr">
        <is>
          <t>AVU</t>
        </is>
      </c>
      <c r="P2504" s="59" t="n">
        <v>103</v>
      </c>
      <c r="Q2504" s="59" t="inlineStr">
        <is>
          <t>MILKA FRANCIS</t>
        </is>
      </c>
      <c r="R2504" s="59" t="inlineStr">
        <is>
          <t>ESTOQUE DE MERCADORIAS</t>
        </is>
      </c>
      <c r="S2504" s="59" t="n">
        <v>1130101</v>
      </c>
      <c r="T2504" s="59" t="inlineStr">
        <is>
          <t>MERCADORIAS P/REVENDA</t>
        </is>
      </c>
      <c r="U2504" s="59" t="n">
        <v>1812.23</v>
      </c>
      <c r="W2504" s="59" t="n">
        <v>0</v>
      </c>
      <c r="X2504" s="59" t="inlineStr">
        <is>
          <t>NF 1919060 - MILKA</t>
        </is>
      </c>
      <c r="Z2504" s="59">
        <f>IF($T2504="","",IFERROR(INDEX('Resumo Grupos'!$AC$3:$AC$200,MATCH($T2504,'Resumo Grupos'!$AB$3:$AB$200,0)),"n/d"))</f>
        <v/>
      </c>
      <c r="AA2504" s="59">
        <f>IF($T2504="","",IF(COUNTIF('Resumo Grupos'!$AE$3:$AE$40,$T2504)&gt;0,"NAO","SIM"))</f>
        <v/>
      </c>
    </row>
    <row r="2505" ht="12.75" customHeight="1" s="60">
      <c r="A2505" s="59" t="n">
        <v>1</v>
      </c>
      <c r="B2505" s="82" t="n">
        <v>46248</v>
      </c>
      <c r="C2505" s="82" t="n">
        <v>46273</v>
      </c>
      <c r="D2505" s="59" t="n">
        <v>1699</v>
      </c>
      <c r="E2505" s="59" t="inlineStr">
        <is>
          <t>L S M COMERCIO DE ALIMENTOS E NAVEGACAO</t>
        </is>
      </c>
      <c r="F2505" s="59" t="n">
        <v>24</v>
      </c>
      <c r="G2505" s="59" t="inlineStr">
        <is>
          <t>Compra a Prazo - Boletos</t>
        </is>
      </c>
      <c r="H2505" s="59" t="n">
        <v>2110405</v>
      </c>
      <c r="I2505" s="59" t="inlineStr">
        <is>
          <t>CONTAS A PAGAR</t>
        </is>
      </c>
      <c r="J2505" s="59" t="n">
        <v>1545933</v>
      </c>
      <c r="L2505" s="59" t="n">
        <v>311117</v>
      </c>
      <c r="M2505" s="59" t="inlineStr">
        <is>
          <t>02</t>
        </is>
      </c>
      <c r="N2505" s="59" t="inlineStr">
        <is>
          <t>AVU</t>
        </is>
      </c>
      <c r="P2505" s="59" t="n">
        <v>103</v>
      </c>
      <c r="Q2505" s="59" t="inlineStr">
        <is>
          <t>MILKA FRANCIS</t>
        </is>
      </c>
      <c r="R2505" s="59" t="inlineStr">
        <is>
          <t>ESTOQUE DE MERCADORIAS</t>
        </is>
      </c>
      <c r="S2505" s="59" t="n">
        <v>1130101</v>
      </c>
      <c r="T2505" s="59" t="inlineStr">
        <is>
          <t>MERCADORIAS P/REVENDA</t>
        </is>
      </c>
      <c r="U2505" s="59" t="n">
        <v>1256.37</v>
      </c>
      <c r="W2505" s="59" t="n">
        <v>0</v>
      </c>
      <c r="X2505" s="59" t="inlineStr">
        <is>
          <t>NF 311117-2 MILKA</t>
        </is>
      </c>
      <c r="Z2505" s="59">
        <f>IF($T2505="","",IFERROR(INDEX('Resumo Grupos'!$AC$3:$AC$200,MATCH($T2505,'Resumo Grupos'!$AB$3:$AB$200,0)),"n/d"))</f>
        <v/>
      </c>
      <c r="AA2505" s="59">
        <f>IF($T2505="","",IF(COUNTIF('Resumo Grupos'!$AE$3:$AE$40,$T2505)&gt;0,"NAO","SIM"))</f>
        <v/>
      </c>
    </row>
    <row r="2506" ht="12.75" customHeight="1" s="60">
      <c r="A2506" s="59" t="n">
        <v>1</v>
      </c>
      <c r="B2506" s="82" t="n">
        <v>46252</v>
      </c>
      <c r="C2506" s="82" t="n">
        <v>46273</v>
      </c>
      <c r="D2506" s="59" t="n">
        <v>1666</v>
      </c>
      <c r="E2506" s="59" t="inlineStr">
        <is>
          <t>SOUZA CRUZ LTDA.</t>
        </is>
      </c>
      <c r="F2506" s="59" t="n">
        <v>24</v>
      </c>
      <c r="G2506" s="59" t="inlineStr">
        <is>
          <t>Compra a Prazo - Boletos</t>
        </is>
      </c>
      <c r="H2506" s="59" t="n">
        <v>2110405</v>
      </c>
      <c r="I2506" s="59" t="inlineStr">
        <is>
          <t>CONTAS A PAGAR</t>
        </is>
      </c>
      <c r="J2506" s="59" t="n">
        <v>1567634</v>
      </c>
      <c r="L2506" s="59" t="n">
        <v>570378</v>
      </c>
      <c r="M2506" s="59" t="inlineStr">
        <is>
          <t>03</t>
        </is>
      </c>
      <c r="N2506" s="59" t="inlineStr">
        <is>
          <t>AVU</t>
        </is>
      </c>
      <c r="P2506" s="59" t="n">
        <v>103</v>
      </c>
      <c r="Q2506" s="59" t="inlineStr">
        <is>
          <t>MILKA FRANCIS</t>
        </is>
      </c>
      <c r="R2506" s="59" t="inlineStr">
        <is>
          <t>ESTOQUE DE MERCADORIAS</t>
        </is>
      </c>
      <c r="S2506" s="59" t="n">
        <v>1130101</v>
      </c>
      <c r="T2506" s="59" t="inlineStr">
        <is>
          <t>MERCADORIAS P/REVENDA</t>
        </is>
      </c>
      <c r="U2506" s="59" t="n">
        <v>7010.81</v>
      </c>
      <c r="W2506" s="59" t="n">
        <v>0</v>
      </c>
      <c r="X2506" s="59" t="inlineStr">
        <is>
          <t>NF 586417 -03 MILKA</t>
        </is>
      </c>
      <c r="Z2506" s="59">
        <f>IF($T2506="","",IFERROR(INDEX('Resumo Grupos'!$AC$3:$AC$200,MATCH($T2506,'Resumo Grupos'!$AB$3:$AB$200,0)),"n/d"))</f>
        <v/>
      </c>
      <c r="AA2506" s="59">
        <f>IF($T2506="","",IF(COUNTIF('Resumo Grupos'!$AE$3:$AE$40,$T2506)&gt;0,"NAO","SIM"))</f>
        <v/>
      </c>
    </row>
    <row r="2507" ht="12.75" customHeight="1" s="60">
      <c r="A2507" s="59" t="n">
        <v>1</v>
      </c>
      <c r="B2507" s="82" t="n">
        <v>46253</v>
      </c>
      <c r="C2507" s="82" t="n">
        <v>46273</v>
      </c>
      <c r="D2507" s="59" t="n">
        <v>1637</v>
      </c>
      <c r="E2507" s="59" t="inlineStr">
        <is>
          <t>ATACADAO S.A.</t>
        </is>
      </c>
      <c r="F2507" s="59" t="n">
        <v>24</v>
      </c>
      <c r="G2507" s="59" t="inlineStr">
        <is>
          <t>Compra a Prazo - Boletos</t>
        </is>
      </c>
      <c r="H2507" s="59" t="n">
        <v>2110405</v>
      </c>
      <c r="I2507" s="59" t="inlineStr">
        <is>
          <t>CONTAS A PAGAR</t>
        </is>
      </c>
      <c r="J2507" s="59" t="n">
        <v>1570706</v>
      </c>
      <c r="L2507" s="59" t="n">
        <v>1921243</v>
      </c>
      <c r="M2507" s="59" t="inlineStr">
        <is>
          <t>01</t>
        </is>
      </c>
      <c r="N2507" s="59" t="inlineStr">
        <is>
          <t>AVU</t>
        </is>
      </c>
      <c r="P2507" s="59" t="n">
        <v>103</v>
      </c>
      <c r="Q2507" s="59" t="inlineStr">
        <is>
          <t>MILKA FRANCIS</t>
        </is>
      </c>
      <c r="R2507" s="59" t="inlineStr">
        <is>
          <t>ESTOQUE DE MERCADORIAS</t>
        </is>
      </c>
      <c r="S2507" s="59" t="n">
        <v>1130101</v>
      </c>
      <c r="T2507" s="59" t="inlineStr">
        <is>
          <t>MERCADORIAS P/REVENDA</t>
        </is>
      </c>
      <c r="U2507" s="59" t="n">
        <v>799.11</v>
      </c>
      <c r="W2507" s="59" t="n">
        <v>0</v>
      </c>
      <c r="X2507" s="59" t="inlineStr">
        <is>
          <t>NF 1921243 - MILKA</t>
        </is>
      </c>
      <c r="Z2507" s="59">
        <f>IF($T2507="","",IFERROR(INDEX('Resumo Grupos'!$AC$3:$AC$200,MATCH($T2507,'Resumo Grupos'!$AB$3:$AB$200,0)),"n/d"))</f>
        <v/>
      </c>
      <c r="AA2507" s="59">
        <f>IF($T2507="","",IF(COUNTIF('Resumo Grupos'!$AE$3:$AE$40,$T2507)&gt;0,"NAO","SIM"))</f>
        <v/>
      </c>
    </row>
    <row r="2508" ht="36.75" customHeight="1" s="60">
      <c r="A2508" s="70" t="n">
        <v>1</v>
      </c>
      <c r="B2508" s="71" t="n">
        <v>46255</v>
      </c>
      <c r="C2508" s="71" t="n">
        <v>46273</v>
      </c>
      <c r="D2508" s="70" t="n">
        <v>1461</v>
      </c>
      <c r="E2508" s="72" t="inlineStr">
        <is>
          <t>TRIPLASTIK VAREJO</t>
        </is>
      </c>
      <c r="F2508" s="70" t="n">
        <v>24</v>
      </c>
      <c r="G2508" s="72" t="inlineStr">
        <is>
          <t>Compra a Prazo - Boletos</t>
        </is>
      </c>
      <c r="H2508" s="70" t="n">
        <v>2110405</v>
      </c>
      <c r="I2508" s="72" t="inlineStr">
        <is>
          <t>CONTAS A PAGAR</t>
        </is>
      </c>
      <c r="J2508" s="70" t="n">
        <v>1580614</v>
      </c>
      <c r="L2508" s="70" t="n">
        <v>3365</v>
      </c>
      <c r="M2508" s="72" t="inlineStr">
        <is>
          <t>01</t>
        </is>
      </c>
      <c r="N2508" s="72" t="inlineStr">
        <is>
          <t>AVU</t>
        </is>
      </c>
      <c r="P2508" s="70" t="n">
        <v>103</v>
      </c>
      <c r="Q2508" s="72" t="inlineStr">
        <is>
          <t>MILKA FRANCIS</t>
        </is>
      </c>
      <c r="R2508" s="72" t="inlineStr">
        <is>
          <t>DESPESAS OPERACIONAIS</t>
        </is>
      </c>
      <c r="S2508" s="70" t="n">
        <v>4210299</v>
      </c>
      <c r="T2508" s="72" t="inlineStr">
        <is>
          <t>DESPESA DE VENDA</t>
        </is>
      </c>
      <c r="U2508" s="73" t="n">
        <v>914.04</v>
      </c>
      <c r="W2508" s="73" t="n">
        <v>0</v>
      </c>
      <c r="X2508" s="72" t="inlineStr">
        <is>
          <t>NF3365 /BOBINAS E SACOLAS /USO E CONSUMO VENDA - MILKA</t>
        </is>
      </c>
      <c r="Z2508" s="59">
        <f>IF($T2508="","",IFERROR(INDEX('Resumo Grupos'!$AC$3:$AC$200,MATCH($T2508,'Resumo Grupos'!$AB$3:$AB$200,0)),"n/d"))</f>
        <v/>
      </c>
      <c r="AA2508" s="59">
        <f>IF($T2508="","",IF(COUNTIF('Resumo Grupos'!$AE$3:$AE$40,$T2508)&gt;0,"NAO","SIM"))</f>
        <v/>
      </c>
    </row>
    <row r="2509" ht="54.75" customHeight="1" s="60">
      <c r="A2509" s="70" t="n">
        <v>1</v>
      </c>
      <c r="B2509" s="71" t="n">
        <v>46255</v>
      </c>
      <c r="C2509" s="71" t="n">
        <v>46273</v>
      </c>
      <c r="D2509" s="70" t="n">
        <v>10014</v>
      </c>
      <c r="E2509" s="72" t="inlineStr">
        <is>
          <t>MARCLEY MACHADO CHAVES</t>
        </is>
      </c>
      <c r="F2509" s="70" t="n">
        <v>24</v>
      </c>
      <c r="G2509" s="72" t="inlineStr">
        <is>
          <t>Compra a Prazo - Boletos</t>
        </is>
      </c>
      <c r="H2509" s="70" t="n">
        <v>2110405</v>
      </c>
      <c r="I2509" s="72" t="inlineStr">
        <is>
          <t>CONTAS A PAGAR</t>
        </is>
      </c>
      <c r="J2509" s="70" t="n">
        <v>1581921</v>
      </c>
      <c r="L2509" s="70" t="n">
        <v>3582</v>
      </c>
      <c r="M2509" s="72" t="inlineStr">
        <is>
          <t>01</t>
        </is>
      </c>
      <c r="N2509" s="72" t="inlineStr">
        <is>
          <t>AVU</t>
        </is>
      </c>
      <c r="P2509" s="70" t="n">
        <v>103</v>
      </c>
      <c r="Q2509" s="72" t="inlineStr">
        <is>
          <t>MILKA FRANCIS</t>
        </is>
      </c>
      <c r="R2509" s="72" t="inlineStr">
        <is>
          <t>ESTOQUE DE MERCADORIAS</t>
        </is>
      </c>
      <c r="S2509" s="70" t="n">
        <v>1130101</v>
      </c>
      <c r="T2509" s="72" t="inlineStr">
        <is>
          <t>MERCADORIAS P/REVENDA</t>
        </is>
      </c>
      <c r="U2509" s="73" t="n">
        <v>651.3200000000001</v>
      </c>
      <c r="W2509" s="73" t="n">
        <v>0</v>
      </c>
      <c r="X2509" s="72" t="inlineStr">
        <is>
          <t>NF 3582 - 1 MILKA</t>
        </is>
      </c>
      <c r="Z2509" s="59">
        <f>IF($T2509="","",IFERROR(INDEX('Resumo Grupos'!$AC$3:$AC$200,MATCH($T2509,'Resumo Grupos'!$AB$3:$AB$200,0)),"n/d"))</f>
        <v/>
      </c>
      <c r="AA2509" s="59">
        <f>IF($T2509="","",IF(COUNTIF('Resumo Grupos'!$AE$3:$AE$40,$T2509)&gt;0,"NAO","SIM"))</f>
        <v/>
      </c>
    </row>
    <row r="2510" ht="54.75" customHeight="1" s="60">
      <c r="A2510" s="70" t="n">
        <v>1</v>
      </c>
      <c r="B2510" s="71" t="n">
        <v>46255</v>
      </c>
      <c r="C2510" s="71" t="n">
        <v>46273</v>
      </c>
      <c r="D2510" s="70" t="n">
        <v>1668</v>
      </c>
      <c r="E2510" s="72" t="inlineStr">
        <is>
          <t>NATUREZA COMERCIO DE DESCARTAVEIS LTDA</t>
        </is>
      </c>
      <c r="F2510" s="70" t="n">
        <v>24</v>
      </c>
      <c r="G2510" s="72" t="inlineStr">
        <is>
          <t>Compra a Prazo - Boletos</t>
        </is>
      </c>
      <c r="H2510" s="70" t="n">
        <v>2110405</v>
      </c>
      <c r="I2510" s="72" t="inlineStr">
        <is>
          <t>CONTAS A PAGAR</t>
        </is>
      </c>
      <c r="J2510" s="70" t="n">
        <v>1582091</v>
      </c>
      <c r="L2510" s="70" t="n">
        <v>750484</v>
      </c>
      <c r="M2510" s="72" t="inlineStr">
        <is>
          <t>02</t>
        </is>
      </c>
      <c r="N2510" s="72" t="inlineStr">
        <is>
          <t>AVU</t>
        </is>
      </c>
      <c r="P2510" s="70" t="n">
        <v>103</v>
      </c>
      <c r="Q2510" s="72" t="inlineStr">
        <is>
          <t>MILKA FRANCIS</t>
        </is>
      </c>
      <c r="R2510" s="72" t="inlineStr">
        <is>
          <t>ESTOQUE DE MERCADORIAS</t>
        </is>
      </c>
      <c r="S2510" s="70" t="n">
        <v>1130101</v>
      </c>
      <c r="T2510" s="72" t="inlineStr">
        <is>
          <t>MERCADORIAS P/REVENDA</t>
        </is>
      </c>
      <c r="U2510" s="73" t="n">
        <v>983.0700000000001</v>
      </c>
      <c r="W2510" s="73" t="n">
        <v>0</v>
      </c>
      <c r="X2510" s="72" t="inlineStr">
        <is>
          <t>NF750484-2 MILKA</t>
        </is>
      </c>
      <c r="Z2510" s="59">
        <f>IF($T2510="","",IFERROR(INDEX('Resumo Grupos'!$AC$3:$AC$200,MATCH($T2510,'Resumo Grupos'!$AB$3:$AB$200,0)),"n/d"))</f>
        <v/>
      </c>
      <c r="AA2510" s="59">
        <f>IF($T2510="","",IF(COUNTIF('Resumo Grupos'!$AE$3:$AE$40,$T2510)&gt;0,"NAO","SIM"))</f>
        <v/>
      </c>
    </row>
    <row r="2511" ht="54.75" customHeight="1" s="60">
      <c r="A2511" s="70" t="n">
        <v>1</v>
      </c>
      <c r="B2511" s="71" t="n">
        <v>46255</v>
      </c>
      <c r="C2511" s="71" t="n">
        <v>46273</v>
      </c>
      <c r="D2511" s="70" t="n">
        <v>1668</v>
      </c>
      <c r="E2511" s="72" t="inlineStr">
        <is>
          <t>NATUREZA COMERCIO DE DESCARTAVEIS LTDA</t>
        </is>
      </c>
      <c r="F2511" s="70" t="n">
        <v>24</v>
      </c>
      <c r="G2511" s="72" t="inlineStr">
        <is>
          <t>Compra a Prazo - Boletos</t>
        </is>
      </c>
      <c r="H2511" s="70" t="n">
        <v>2110405</v>
      </c>
      <c r="I2511" s="72" t="inlineStr">
        <is>
          <t>CONTAS A PAGAR</t>
        </is>
      </c>
      <c r="J2511" s="70" t="n">
        <v>1582110</v>
      </c>
      <c r="L2511" s="70" t="n">
        <v>750483</v>
      </c>
      <c r="M2511" s="72" t="inlineStr">
        <is>
          <t>02</t>
        </is>
      </c>
      <c r="N2511" s="72" t="inlineStr">
        <is>
          <t>AVU</t>
        </is>
      </c>
      <c r="P2511" s="70" t="n">
        <v>103</v>
      </c>
      <c r="Q2511" s="72" t="inlineStr">
        <is>
          <t>MILKA FRANCIS</t>
        </is>
      </c>
      <c r="R2511" s="72" t="inlineStr">
        <is>
          <t>DESPESAS OPERACIONAIS</t>
        </is>
      </c>
      <c r="S2511" s="70" t="n">
        <v>4210299</v>
      </c>
      <c r="T2511" s="72" t="inlineStr">
        <is>
          <t>DESPESA DE VENDA</t>
        </is>
      </c>
      <c r="U2511" s="73" t="n">
        <v>1304.13</v>
      </c>
      <c r="W2511" s="73" t="n">
        <v>0</v>
      </c>
      <c r="X2511" s="72" t="inlineStr">
        <is>
          <t>NF 750483 -2 SACO PAPEL/ COPO300ML/ POTE145ML/ MASCARA/ LUVA - MILKA</t>
        </is>
      </c>
      <c r="Z2511" s="59">
        <f>IF($T2511="","",IFERROR(INDEX('Resumo Grupos'!$AC$3:$AC$200,MATCH($T2511,'Resumo Grupos'!$AB$3:$AB$200,0)),"n/d"))</f>
        <v/>
      </c>
      <c r="AA2511" s="59">
        <f>IF($T2511="","",IF(COUNTIF('Resumo Grupos'!$AE$3:$AE$40,$T2511)&gt;0,"NAO","SIM"))</f>
        <v/>
      </c>
    </row>
    <row r="2512" ht="45.75" customHeight="1" s="60">
      <c r="A2512" s="70" t="n">
        <v>1</v>
      </c>
      <c r="B2512" s="71" t="n">
        <v>46256</v>
      </c>
      <c r="C2512" s="71" t="n">
        <v>46273</v>
      </c>
      <c r="D2512" s="70" t="n">
        <v>1668</v>
      </c>
      <c r="E2512" s="72" t="inlineStr">
        <is>
          <t>NATUREZA COMERCIO DE DESCARTAVEIS LTDA</t>
        </is>
      </c>
      <c r="F2512" s="70" t="n">
        <v>24</v>
      </c>
      <c r="G2512" s="72" t="inlineStr">
        <is>
          <t>Compra a Prazo - Boletos</t>
        </is>
      </c>
      <c r="H2512" s="70" t="n">
        <v>2110405</v>
      </c>
      <c r="I2512" s="72" t="inlineStr">
        <is>
          <t>CONTAS A PAGAR</t>
        </is>
      </c>
      <c r="J2512" s="70" t="n">
        <v>1585174</v>
      </c>
      <c r="L2512" s="70" t="n">
        <v>750485</v>
      </c>
      <c r="M2512" s="72" t="inlineStr">
        <is>
          <t>01</t>
        </is>
      </c>
      <c r="N2512" s="72" t="inlineStr">
        <is>
          <t>AVU</t>
        </is>
      </c>
      <c r="P2512" s="70" t="n">
        <v>103</v>
      </c>
      <c r="Q2512" s="72" t="inlineStr">
        <is>
          <t>MILKA FRANCIS</t>
        </is>
      </c>
      <c r="R2512" s="72" t="inlineStr">
        <is>
          <t>ESTOQUE DE MERCADORIAS</t>
        </is>
      </c>
      <c r="S2512" s="70" t="n">
        <v>1130101</v>
      </c>
      <c r="T2512" s="72" t="inlineStr">
        <is>
          <t>MERCADORIAS P/REVENDA</t>
        </is>
      </c>
      <c r="U2512" s="73" t="n">
        <v>806.75</v>
      </c>
      <c r="W2512" s="73" t="n">
        <v>0</v>
      </c>
      <c r="X2512" s="72" t="inlineStr">
        <is>
          <t>NF 750485 - MILKA</t>
        </is>
      </c>
      <c r="Z2512" s="59">
        <f>IF($T2512="","",IFERROR(INDEX('Resumo Grupos'!$AC$3:$AC$200,MATCH($T2512,'Resumo Grupos'!$AB$3:$AB$200,0)),"n/d"))</f>
        <v/>
      </c>
      <c r="AA2512" s="59">
        <f>IF($T2512="","",IF(COUNTIF('Resumo Grupos'!$AE$3:$AE$40,$T2512)&gt;0,"NAO","SIM"))</f>
        <v/>
      </c>
    </row>
    <row r="2513" ht="54.75" customHeight="1" s="60">
      <c r="A2513" s="70" t="n">
        <v>1</v>
      </c>
      <c r="B2513" s="71" t="n">
        <v>46256</v>
      </c>
      <c r="C2513" s="71" t="n">
        <v>46273</v>
      </c>
      <c r="D2513" s="70" t="n">
        <v>1657</v>
      </c>
      <c r="E2513" s="72" t="inlineStr">
        <is>
          <t>IRMÃOS LIMA  ATACADO  DE ALIMENTOS LTDA</t>
        </is>
      </c>
      <c r="F2513" s="70" t="n">
        <v>24</v>
      </c>
      <c r="G2513" s="72" t="inlineStr">
        <is>
          <t>Compra a Prazo - Boletos</t>
        </is>
      </c>
      <c r="H2513" s="70" t="n">
        <v>2110405</v>
      </c>
      <c r="I2513" s="72" t="inlineStr">
        <is>
          <t>CONTAS A PAGAR</t>
        </is>
      </c>
      <c r="J2513" s="70" t="n">
        <v>1585243</v>
      </c>
      <c r="L2513" s="70" t="n">
        <v>297570</v>
      </c>
      <c r="M2513" s="72" t="inlineStr">
        <is>
          <t>02</t>
        </is>
      </c>
      <c r="N2513" s="72" t="inlineStr">
        <is>
          <t>AVU</t>
        </is>
      </c>
      <c r="P2513" s="70" t="n">
        <v>103</v>
      </c>
      <c r="Q2513" s="72" t="inlineStr">
        <is>
          <t>MILKA FRANCIS</t>
        </is>
      </c>
      <c r="R2513" s="72" t="inlineStr">
        <is>
          <t>ESTOQUE DE MERCADORIAS</t>
        </is>
      </c>
      <c r="S2513" s="70" t="n">
        <v>1130101</v>
      </c>
      <c r="T2513" s="72" t="inlineStr">
        <is>
          <t>MERCADORIAS P/REVENDA</t>
        </is>
      </c>
      <c r="U2513" s="73" t="n">
        <v>1062.06</v>
      </c>
      <c r="W2513" s="73" t="n">
        <v>0</v>
      </c>
      <c r="X2513" s="72" t="inlineStr">
        <is>
          <t>378915-B/C  NF297570 - MILKA</t>
        </is>
      </c>
      <c r="Z2513" s="59">
        <f>IF($T2513="","",IFERROR(INDEX('Resumo Grupos'!$AC$3:$AC$200,MATCH($T2513,'Resumo Grupos'!$AB$3:$AB$200,0)),"n/d"))</f>
        <v/>
      </c>
      <c r="AA2513" s="59">
        <f>IF($T2513="","",IF(COUNTIF('Resumo Grupos'!$AE$3:$AE$40,$T2513)&gt;0,"NAO","SIM"))</f>
        <v/>
      </c>
    </row>
    <row r="2514" ht="45.75" customHeight="1" s="60">
      <c r="A2514" s="70" t="n">
        <v>1</v>
      </c>
      <c r="B2514" s="71" t="n">
        <v>46248</v>
      </c>
      <c r="C2514" s="71" t="n">
        <v>46274</v>
      </c>
      <c r="D2514" s="70" t="n">
        <v>1720</v>
      </c>
      <c r="E2514" s="72" t="inlineStr">
        <is>
          <t>AGM INDUSTRIA COMERCIO E REPRESENTACAO LTDA</t>
        </is>
      </c>
      <c r="F2514" s="70" t="n">
        <v>24</v>
      </c>
      <c r="G2514" s="72" t="inlineStr">
        <is>
          <t>Compra a Prazo - Boletos</t>
        </is>
      </c>
      <c r="H2514" s="70" t="n">
        <v>2110405</v>
      </c>
      <c r="I2514" s="72" t="inlineStr">
        <is>
          <t>CONTAS A PAGAR</t>
        </is>
      </c>
      <c r="J2514" s="70" t="n">
        <v>1545370</v>
      </c>
      <c r="L2514" s="70" t="n">
        <v>48158</v>
      </c>
      <c r="M2514" s="72" t="inlineStr">
        <is>
          <t>01</t>
        </is>
      </c>
      <c r="N2514" s="72" t="inlineStr">
        <is>
          <t>AVU</t>
        </is>
      </c>
      <c r="P2514" s="70" t="n">
        <v>103</v>
      </c>
      <c r="Q2514" s="72" t="inlineStr">
        <is>
          <t>MILKA FRANCIS</t>
        </is>
      </c>
      <c r="R2514" s="72" t="inlineStr">
        <is>
          <t>ESTOQUE DE MERCADORIAS</t>
        </is>
      </c>
      <c r="S2514" s="70" t="n">
        <v>1130101</v>
      </c>
      <c r="T2514" s="72" t="inlineStr">
        <is>
          <t>MERCADORIAS P/REVENDA</t>
        </is>
      </c>
      <c r="U2514" s="73" t="n">
        <v>1146</v>
      </c>
      <c r="W2514" s="73" t="n">
        <v>0</v>
      </c>
      <c r="X2514" s="72" t="inlineStr">
        <is>
          <t>NF 48158 - MILKA</t>
        </is>
      </c>
      <c r="Z2514" s="59">
        <f>IF($T2514="","",IFERROR(INDEX('Resumo Grupos'!$AC$3:$AC$200,MATCH($T2514,'Resumo Grupos'!$AB$3:$AB$200,0)),"n/d"))</f>
        <v/>
      </c>
      <c r="AA2514" s="59">
        <f>IF($T2514="","",IF(COUNTIF('Resumo Grupos'!$AE$3:$AE$40,$T2514)&gt;0,"NAO","SIM"))</f>
        <v/>
      </c>
    </row>
    <row r="2515" ht="54.75" customHeight="1" s="60">
      <c r="A2515" s="70" t="n">
        <v>1</v>
      </c>
      <c r="B2515" s="71" t="n">
        <v>46218</v>
      </c>
      <c r="C2515" s="71" t="n">
        <v>46274</v>
      </c>
      <c r="D2515" s="70" t="n">
        <v>957</v>
      </c>
      <c r="E2515" s="72" t="inlineStr">
        <is>
          <t>FUNNY PET DISTRIBUIDORA DE ALIMENTOS PAR</t>
        </is>
      </c>
      <c r="F2515" s="70" t="n">
        <v>24</v>
      </c>
      <c r="G2515" s="72" t="inlineStr">
        <is>
          <t>Compra a Prazo - Boletos</t>
        </is>
      </c>
      <c r="H2515" s="70" t="n">
        <v>2110405</v>
      </c>
      <c r="I2515" s="72" t="inlineStr">
        <is>
          <t>CONTAS A PAGAR</t>
        </is>
      </c>
      <c r="J2515" s="70" t="n">
        <v>1402047</v>
      </c>
      <c r="L2515" s="70" t="n">
        <v>21047</v>
      </c>
      <c r="M2515" s="72" t="inlineStr">
        <is>
          <t>03</t>
        </is>
      </c>
      <c r="N2515" s="72" t="inlineStr">
        <is>
          <t>AVU</t>
        </is>
      </c>
      <c r="P2515" s="70" t="n">
        <v>103</v>
      </c>
      <c r="Q2515" s="72" t="inlineStr">
        <is>
          <t>MILKA FRANCIS</t>
        </is>
      </c>
      <c r="R2515" s="72" t="inlineStr">
        <is>
          <t>ESTOQUE DE MERCADORIAS</t>
        </is>
      </c>
      <c r="S2515" s="70" t="n">
        <v>1130101</v>
      </c>
      <c r="T2515" s="72" t="inlineStr">
        <is>
          <t>MERCADORIAS P/REVENDA</t>
        </is>
      </c>
      <c r="U2515" s="73" t="n">
        <v>2186.19</v>
      </c>
      <c r="W2515" s="73" t="n">
        <v>0</v>
      </c>
      <c r="X2515" s="72" t="inlineStr">
        <is>
          <t>NF 21047-3 MILKA</t>
        </is>
      </c>
      <c r="Z2515" s="59">
        <f>IF($T2515="","",IFERROR(INDEX('Resumo Grupos'!$AC$3:$AC$200,MATCH($T2515,'Resumo Grupos'!$AB$3:$AB$200,0)),"n/d"))</f>
        <v/>
      </c>
      <c r="AA2515" s="59">
        <f>IF($T2515="","",IF(COUNTIF('Resumo Grupos'!$AE$3:$AE$40,$T2515)&gt;0,"NAO","SIM"))</f>
        <v/>
      </c>
    </row>
    <row r="2516" ht="63.75" customHeight="1" s="60">
      <c r="A2516" s="70" t="n">
        <v>1</v>
      </c>
      <c r="B2516" s="71" t="n">
        <v>46241</v>
      </c>
      <c r="C2516" s="71" t="n">
        <v>46274</v>
      </c>
      <c r="D2516" s="70" t="n">
        <v>1624</v>
      </c>
      <c r="E2516" s="72" t="inlineStr">
        <is>
          <t>RISADINHA LTDA</t>
        </is>
      </c>
      <c r="F2516" s="70" t="n">
        <v>24</v>
      </c>
      <c r="G2516" s="72" t="inlineStr">
        <is>
          <t>Compra a Prazo - Boletos</t>
        </is>
      </c>
      <c r="H2516" s="70" t="n">
        <v>2110405</v>
      </c>
      <c r="I2516" s="72" t="inlineStr">
        <is>
          <t>CONTAS A PAGAR</t>
        </is>
      </c>
      <c r="J2516" s="70" t="n">
        <v>1513655</v>
      </c>
      <c r="L2516" s="70" t="n">
        <v>667391</v>
      </c>
      <c r="M2516" s="72" t="inlineStr">
        <is>
          <t>03</t>
        </is>
      </c>
      <c r="N2516" s="72" t="inlineStr">
        <is>
          <t>AVU</t>
        </is>
      </c>
      <c r="P2516" s="70" t="n">
        <v>103</v>
      </c>
      <c r="Q2516" s="72" t="inlineStr">
        <is>
          <t>MILKA FRANCIS</t>
        </is>
      </c>
      <c r="R2516" s="72" t="inlineStr">
        <is>
          <t>ESTOQUE DE MERCADORIAS</t>
        </is>
      </c>
      <c r="S2516" s="70" t="n">
        <v>1130101</v>
      </c>
      <c r="T2516" s="72" t="inlineStr">
        <is>
          <t>MERCADORIAS P/REVENDA</t>
        </is>
      </c>
      <c r="U2516" s="73" t="n">
        <v>939.0599999999999</v>
      </c>
      <c r="W2516" s="73" t="n">
        <v>0</v>
      </c>
      <c r="X2516" s="72" t="inlineStr">
        <is>
          <t>NF 667391-3 MILKA</t>
        </is>
      </c>
      <c r="Z2516" s="59">
        <f>IF($T2516="","",IFERROR(INDEX('Resumo Grupos'!$AC$3:$AC$200,MATCH($T2516,'Resumo Grupos'!$AB$3:$AB$200,0)),"n/d"))</f>
        <v/>
      </c>
      <c r="AA2516" s="59">
        <f>IF($T2516="","",IF(COUNTIF('Resumo Grupos'!$AE$3:$AE$40,$T2516)&gt;0,"NAO","SIM"))</f>
        <v/>
      </c>
    </row>
    <row r="2517" ht="45.75" customHeight="1" s="60">
      <c r="A2517" s="70" t="n">
        <v>1</v>
      </c>
      <c r="B2517" s="71" t="n">
        <v>46242</v>
      </c>
      <c r="C2517" s="71" t="n">
        <v>46274</v>
      </c>
      <c r="D2517" s="70" t="n">
        <v>1637</v>
      </c>
      <c r="E2517" s="72" t="inlineStr">
        <is>
          <t>ATACADAO S.A.</t>
        </is>
      </c>
      <c r="F2517" s="70" t="n">
        <v>24</v>
      </c>
      <c r="G2517" s="72" t="inlineStr">
        <is>
          <t>Compra a Prazo - Boletos</t>
        </is>
      </c>
      <c r="H2517" s="70" t="n">
        <v>2110405</v>
      </c>
      <c r="I2517" s="72" t="inlineStr">
        <is>
          <t>CONTAS A PAGAR</t>
        </is>
      </c>
      <c r="J2517" s="70" t="n">
        <v>1517287</v>
      </c>
      <c r="L2517" s="70" t="n">
        <v>1916564</v>
      </c>
      <c r="M2517" s="72" t="inlineStr">
        <is>
          <t>01</t>
        </is>
      </c>
      <c r="N2517" s="72" t="inlineStr">
        <is>
          <t>AVU</t>
        </is>
      </c>
      <c r="P2517" s="70" t="n">
        <v>103</v>
      </c>
      <c r="Q2517" s="72" t="inlineStr">
        <is>
          <t>MILKA FRANCIS</t>
        </is>
      </c>
      <c r="R2517" s="72" t="inlineStr">
        <is>
          <t>ESTOQUE DE MERCADORIAS</t>
        </is>
      </c>
      <c r="S2517" s="70" t="n">
        <v>1130101</v>
      </c>
      <c r="T2517" s="72" t="inlineStr">
        <is>
          <t>MERCADORIAS P/REVENDA</t>
        </is>
      </c>
      <c r="U2517" s="73" t="n">
        <v>1980.22</v>
      </c>
      <c r="W2517" s="73" t="n">
        <v>0</v>
      </c>
      <c r="X2517" s="72" t="inlineStr">
        <is>
          <t>NF 1916564 - MILKA</t>
        </is>
      </c>
      <c r="Z2517" s="59">
        <f>IF($T2517="","",IFERROR(INDEX('Resumo Grupos'!$AC$3:$AC$200,MATCH($T2517,'Resumo Grupos'!$AB$3:$AB$200,0)),"n/d"))</f>
        <v/>
      </c>
      <c r="AA2517" s="59">
        <f>IF($T2517="","",IF(COUNTIF('Resumo Grupos'!$AE$3:$AE$40,$T2517)&gt;0,"NAO","SIM"))</f>
        <v/>
      </c>
    </row>
    <row r="2518" ht="54.75" customHeight="1" s="60">
      <c r="A2518" s="70" t="n">
        <v>1</v>
      </c>
      <c r="B2518" s="71" t="n">
        <v>46246</v>
      </c>
      <c r="C2518" s="71" t="n">
        <v>46274</v>
      </c>
      <c r="D2518" s="70" t="n">
        <v>1601</v>
      </c>
      <c r="E2518" s="72" t="inlineStr">
        <is>
          <t>CB COMERCIO E DISTRIBUIDORA DE ALIMENTOS</t>
        </is>
      </c>
      <c r="F2518" s="70" t="n">
        <v>24</v>
      </c>
      <c r="G2518" s="72" t="inlineStr">
        <is>
          <t>Compra a Prazo - Boletos</t>
        </is>
      </c>
      <c r="H2518" s="70" t="n">
        <v>2110405</v>
      </c>
      <c r="I2518" s="72" t="inlineStr">
        <is>
          <t>CONTAS A PAGAR</t>
        </is>
      </c>
      <c r="J2518" s="70" t="n">
        <v>1537246</v>
      </c>
      <c r="L2518" s="70" t="n">
        <v>862283</v>
      </c>
      <c r="M2518" s="72" t="inlineStr">
        <is>
          <t>03</t>
        </is>
      </c>
      <c r="N2518" s="72" t="inlineStr">
        <is>
          <t>AVU</t>
        </is>
      </c>
      <c r="P2518" s="70" t="n">
        <v>103</v>
      </c>
      <c r="Q2518" s="72" t="inlineStr">
        <is>
          <t>MILKA FRANCIS</t>
        </is>
      </c>
      <c r="R2518" s="72" t="inlineStr">
        <is>
          <t>ESTOQUE DE MERCADORIAS</t>
        </is>
      </c>
      <c r="S2518" s="70" t="n">
        <v>1130101</v>
      </c>
      <c r="T2518" s="72" t="inlineStr">
        <is>
          <t>MERCADORIAS P/REVENDA</t>
        </is>
      </c>
      <c r="U2518" s="73" t="n">
        <v>947.5599999999999</v>
      </c>
      <c r="W2518" s="73" t="n">
        <v>0</v>
      </c>
      <c r="X2518" s="72" t="inlineStr">
        <is>
          <t>963323-C/C  NF862283 - MILKA</t>
        </is>
      </c>
      <c r="Z2518" s="59">
        <f>IF($T2518="","",IFERROR(INDEX('Resumo Grupos'!$AC$3:$AC$200,MATCH($T2518,'Resumo Grupos'!$AB$3:$AB$200,0)),"n/d"))</f>
        <v/>
      </c>
      <c r="AA2518" s="59">
        <f>IF($T2518="","",IF(COUNTIF('Resumo Grupos'!$AE$3:$AE$40,$T2518)&gt;0,"NAO","SIM"))</f>
        <v/>
      </c>
    </row>
    <row r="2519" ht="54.75" customHeight="1" s="60">
      <c r="A2519" s="70" t="n">
        <v>1</v>
      </c>
      <c r="B2519" s="71" t="n">
        <v>46247</v>
      </c>
      <c r="C2519" s="71" t="n">
        <v>46274</v>
      </c>
      <c r="D2519" s="70" t="n">
        <v>1608</v>
      </c>
      <c r="E2519" s="72" t="inlineStr">
        <is>
          <t>DISTRIBUIDORA LOPES LTDA</t>
        </is>
      </c>
      <c r="F2519" s="70" t="n">
        <v>24</v>
      </c>
      <c r="G2519" s="72" t="inlineStr">
        <is>
          <t>Compra a Prazo - Boletos</t>
        </is>
      </c>
      <c r="H2519" s="70" t="n">
        <v>2110405</v>
      </c>
      <c r="I2519" s="72" t="inlineStr">
        <is>
          <t>CONTAS A PAGAR</t>
        </is>
      </c>
      <c r="J2519" s="70" t="n">
        <v>1540511</v>
      </c>
      <c r="L2519" s="70" t="n">
        <v>1709723</v>
      </c>
      <c r="M2519" s="72" t="inlineStr">
        <is>
          <t>03</t>
        </is>
      </c>
      <c r="N2519" s="72" t="inlineStr">
        <is>
          <t>AVU</t>
        </is>
      </c>
      <c r="P2519" s="70" t="n">
        <v>103</v>
      </c>
      <c r="Q2519" s="72" t="inlineStr">
        <is>
          <t>MILKA FRANCIS</t>
        </is>
      </c>
      <c r="R2519" s="72" t="inlineStr">
        <is>
          <t>ESTOQUE DE MERCADORIAS</t>
        </is>
      </c>
      <c r="S2519" s="70" t="n">
        <v>1130101</v>
      </c>
      <c r="T2519" s="72" t="inlineStr">
        <is>
          <t>MERCADORIAS P/REVENDA</t>
        </is>
      </c>
      <c r="U2519" s="73" t="n">
        <v>684.25</v>
      </c>
      <c r="W2519" s="73" t="n">
        <v>0</v>
      </c>
      <c r="X2519" s="72" t="inlineStr">
        <is>
          <t>NF 1709723 -3 MILKA</t>
        </is>
      </c>
      <c r="Z2519" s="59">
        <f>IF($T2519="","",IFERROR(INDEX('Resumo Grupos'!$AC$3:$AC$200,MATCH($T2519,'Resumo Grupos'!$AB$3:$AB$200,0)),"n/d"))</f>
        <v/>
      </c>
      <c r="AA2519" s="59">
        <f>IF($T2519="","",IF(COUNTIF('Resumo Grupos'!$AE$3:$AE$40,$T2519)&gt;0,"NAO","SIM"))</f>
        <v/>
      </c>
    </row>
    <row r="2520" ht="54.75" customHeight="1" s="60">
      <c r="A2520" s="70" t="n">
        <v>1</v>
      </c>
      <c r="B2520" s="71" t="n">
        <v>46247</v>
      </c>
      <c r="C2520" s="71" t="n">
        <v>46274</v>
      </c>
      <c r="D2520" s="70" t="n">
        <v>1636</v>
      </c>
      <c r="E2520" s="72" t="inlineStr">
        <is>
          <t>DUNORTE DISTRIBUIDORA DE PRODUTOS DE CONSUMO LTDA</t>
        </is>
      </c>
      <c r="F2520" s="70" t="n">
        <v>24</v>
      </c>
      <c r="G2520" s="72" t="inlineStr">
        <is>
          <t>Compra a Prazo - Boletos</t>
        </is>
      </c>
      <c r="H2520" s="70" t="n">
        <v>2110405</v>
      </c>
      <c r="I2520" s="72" t="inlineStr">
        <is>
          <t>CONTAS A PAGAR</t>
        </is>
      </c>
      <c r="J2520" s="70" t="n">
        <v>1541185</v>
      </c>
      <c r="L2520" s="70" t="n">
        <v>3235765</v>
      </c>
      <c r="M2520" s="72" t="inlineStr">
        <is>
          <t>03</t>
        </is>
      </c>
      <c r="N2520" s="72" t="inlineStr">
        <is>
          <t>AVU</t>
        </is>
      </c>
      <c r="P2520" s="70" t="n">
        <v>103</v>
      </c>
      <c r="Q2520" s="72" t="inlineStr">
        <is>
          <t>MILKA FRANCIS</t>
        </is>
      </c>
      <c r="R2520" s="72" t="inlineStr">
        <is>
          <t>ESTOQUE DE MERCADORIAS</t>
        </is>
      </c>
      <c r="S2520" s="70" t="n">
        <v>1130101</v>
      </c>
      <c r="T2520" s="72" t="inlineStr">
        <is>
          <t>MERCADORIAS P/REVENDA</t>
        </is>
      </c>
      <c r="U2520" s="73" t="n">
        <v>1264.6</v>
      </c>
      <c r="W2520" s="73" t="n">
        <v>0</v>
      </c>
      <c r="X2520" s="72" t="inlineStr">
        <is>
          <t>NF 3235765 -3 MILKA</t>
        </is>
      </c>
      <c r="Z2520" s="59">
        <f>IF($T2520="","",IFERROR(INDEX('Resumo Grupos'!$AC$3:$AC$200,MATCH($T2520,'Resumo Grupos'!$AB$3:$AB$200,0)),"n/d"))</f>
        <v/>
      </c>
      <c r="AA2520" s="59">
        <f>IF($T2520="","",IF(COUNTIF('Resumo Grupos'!$AE$3:$AE$40,$T2520)&gt;0,"NAO","SIM"))</f>
        <v/>
      </c>
    </row>
    <row r="2521" ht="45.75" customHeight="1" s="60">
      <c r="A2521" s="70" t="n">
        <v>1</v>
      </c>
      <c r="B2521" s="71" t="n">
        <v>46247</v>
      </c>
      <c r="C2521" s="71" t="n">
        <v>46274</v>
      </c>
      <c r="D2521" s="70" t="n">
        <v>1107</v>
      </c>
      <c r="E2521" s="72" t="inlineStr">
        <is>
          <t>OESA COMERCIO E REPRESENTACOES S/A</t>
        </is>
      </c>
      <c r="F2521" s="70" t="n">
        <v>24</v>
      </c>
      <c r="G2521" s="72" t="inlineStr">
        <is>
          <t>Compra a Prazo - Boletos</t>
        </is>
      </c>
      <c r="H2521" s="70" t="n">
        <v>2110405</v>
      </c>
      <c r="I2521" s="72" t="inlineStr">
        <is>
          <t>CONTAS A PAGAR</t>
        </is>
      </c>
      <c r="J2521" s="70" t="n">
        <v>1542142</v>
      </c>
      <c r="L2521" s="70" t="n">
        <v>441856</v>
      </c>
      <c r="M2521" s="72" t="inlineStr">
        <is>
          <t>02</t>
        </is>
      </c>
      <c r="N2521" s="72" t="inlineStr">
        <is>
          <t>AVU</t>
        </is>
      </c>
      <c r="P2521" s="70" t="n">
        <v>103</v>
      </c>
      <c r="Q2521" s="72" t="inlineStr">
        <is>
          <t>MILKA FRANCIS</t>
        </is>
      </c>
      <c r="R2521" s="72" t="inlineStr">
        <is>
          <t>ESTOQUE DE MERCADORIAS</t>
        </is>
      </c>
      <c r="S2521" s="70" t="n">
        <v>1130101</v>
      </c>
      <c r="T2521" s="72" t="inlineStr">
        <is>
          <t>MERCADORIAS P/REVENDA</t>
        </is>
      </c>
      <c r="U2521" s="73" t="n">
        <v>836.55</v>
      </c>
      <c r="W2521" s="73" t="n">
        <v>0</v>
      </c>
      <c r="X2521" s="72" t="inlineStr">
        <is>
          <t>NF 441856 -2 MILKA</t>
        </is>
      </c>
      <c r="Z2521" s="59">
        <f>IF($T2521="","",IFERROR(INDEX('Resumo Grupos'!$AC$3:$AC$200,MATCH($T2521,'Resumo Grupos'!$AB$3:$AB$200,0)),"n/d"))</f>
        <v/>
      </c>
      <c r="AA2521" s="59">
        <f>IF($T2521="","",IF(COUNTIF('Resumo Grupos'!$AE$3:$AE$40,$T2521)&gt;0,"NAO","SIM"))</f>
        <v/>
      </c>
    </row>
    <row r="2522" ht="36.75" customHeight="1" s="60">
      <c r="A2522" s="70" t="n">
        <v>1</v>
      </c>
      <c r="B2522" s="71" t="n">
        <v>46247</v>
      </c>
      <c r="C2522" s="71" t="n">
        <v>46274</v>
      </c>
      <c r="D2522" s="70" t="n">
        <v>1136</v>
      </c>
      <c r="E2522" s="72" t="inlineStr">
        <is>
          <t>VIA CERTA IMPORTACAO E DISTRIBUICAO DE A</t>
        </is>
      </c>
      <c r="F2522" s="70" t="n">
        <v>24</v>
      </c>
      <c r="G2522" s="72" t="inlineStr">
        <is>
          <t>Compra a Prazo - Boletos</t>
        </is>
      </c>
      <c r="H2522" s="70" t="n">
        <v>2110405</v>
      </c>
      <c r="I2522" s="72" t="inlineStr">
        <is>
          <t>CONTAS A PAGAR</t>
        </is>
      </c>
      <c r="J2522" s="70" t="n">
        <v>1543942</v>
      </c>
      <c r="L2522" s="70" t="n">
        <v>53783</v>
      </c>
      <c r="M2522" s="72" t="inlineStr">
        <is>
          <t>02</t>
        </is>
      </c>
      <c r="N2522" s="72" t="inlineStr">
        <is>
          <t>AVU</t>
        </is>
      </c>
      <c r="P2522" s="70" t="n">
        <v>103</v>
      </c>
      <c r="Q2522" s="72" t="inlineStr">
        <is>
          <t>MILKA FRANCIS</t>
        </is>
      </c>
      <c r="R2522" s="72" t="inlineStr">
        <is>
          <t>ESTOQUE DE MERCADORIAS</t>
        </is>
      </c>
      <c r="S2522" s="70" t="n">
        <v>1130101</v>
      </c>
      <c r="T2522" s="72" t="inlineStr">
        <is>
          <t>MERCADORIAS P/REVENDA</t>
        </is>
      </c>
      <c r="U2522" s="73" t="n">
        <v>591.95</v>
      </c>
      <c r="W2522" s="73" t="n">
        <v>0</v>
      </c>
      <c r="X2522" s="72" t="inlineStr">
        <is>
          <t>NF 53783-2 MILKA</t>
        </is>
      </c>
      <c r="Z2522" s="59">
        <f>IF($T2522="","",IFERROR(INDEX('Resumo Grupos'!$AC$3:$AC$200,MATCH($T2522,'Resumo Grupos'!$AB$3:$AB$200,0)),"n/d"))</f>
        <v/>
      </c>
      <c r="AA2522" s="59">
        <f>IF($T2522="","",IF(COUNTIF('Resumo Grupos'!$AE$3:$AE$40,$T2522)&gt;0,"NAO","SIM"))</f>
        <v/>
      </c>
    </row>
    <row r="2523" ht="45.75" customHeight="1" s="60">
      <c r="A2523" s="70" t="n">
        <v>1</v>
      </c>
      <c r="B2523" s="71" t="n">
        <v>46248</v>
      </c>
      <c r="C2523" s="71" t="n">
        <v>46274</v>
      </c>
      <c r="D2523" s="70" t="n">
        <v>1612</v>
      </c>
      <c r="E2523" s="72" t="inlineStr">
        <is>
          <t>EMPRESA BRASILEIRA DE DISTRIBUICAO LTDA</t>
        </is>
      </c>
      <c r="F2523" s="70" t="n">
        <v>24</v>
      </c>
      <c r="G2523" s="72" t="inlineStr">
        <is>
          <t>Compra a Prazo - Boletos</t>
        </is>
      </c>
      <c r="H2523" s="70" t="n">
        <v>2110405</v>
      </c>
      <c r="I2523" s="72" t="inlineStr">
        <is>
          <t>CONTAS A PAGAR</t>
        </is>
      </c>
      <c r="J2523" s="70" t="n">
        <v>1546677</v>
      </c>
      <c r="L2523" s="70" t="n">
        <v>2309729</v>
      </c>
      <c r="M2523" s="72" t="inlineStr">
        <is>
          <t>02</t>
        </is>
      </c>
      <c r="N2523" s="72" t="inlineStr">
        <is>
          <t>AVU</t>
        </is>
      </c>
      <c r="P2523" s="70" t="n">
        <v>103</v>
      </c>
      <c r="Q2523" s="72" t="inlineStr">
        <is>
          <t>MILKA FRANCIS</t>
        </is>
      </c>
      <c r="R2523" s="72" t="inlineStr">
        <is>
          <t>ESTOQUE DE MERCADORIAS</t>
        </is>
      </c>
      <c r="S2523" s="70" t="n">
        <v>1130101</v>
      </c>
      <c r="T2523" s="72" t="inlineStr">
        <is>
          <t>MERCADORIAS P/REVENDA</t>
        </is>
      </c>
      <c r="U2523" s="73" t="n">
        <v>1200.77</v>
      </c>
      <c r="W2523" s="73" t="n">
        <v>0</v>
      </c>
      <c r="X2523" s="72" t="inlineStr">
        <is>
          <t>NF 2309729-2 MILKA</t>
        </is>
      </c>
      <c r="Z2523" s="59">
        <f>IF($T2523="","",IFERROR(INDEX('Resumo Grupos'!$AC$3:$AC$200,MATCH($T2523,'Resumo Grupos'!$AB$3:$AB$200,0)),"n/d"))</f>
        <v/>
      </c>
      <c r="AA2523" s="59">
        <f>IF($T2523="","",IF(COUNTIF('Resumo Grupos'!$AE$3:$AE$40,$T2523)&gt;0,"NAO","SIM"))</f>
        <v/>
      </c>
    </row>
    <row r="2524" ht="36.75" customHeight="1" s="60">
      <c r="A2524" s="70" t="n">
        <v>1</v>
      </c>
      <c r="B2524" s="71" t="n">
        <v>46253</v>
      </c>
      <c r="C2524" s="71" t="n">
        <v>46274</v>
      </c>
      <c r="D2524" s="70" t="n">
        <v>1608</v>
      </c>
      <c r="E2524" s="72" t="inlineStr">
        <is>
          <t>DISTRIBUIDORA LOPES LTDA</t>
        </is>
      </c>
      <c r="F2524" s="70" t="n">
        <v>24</v>
      </c>
      <c r="G2524" s="72" t="inlineStr">
        <is>
          <t>Compra a Prazo - Boletos</t>
        </is>
      </c>
      <c r="H2524" s="70" t="n">
        <v>2110405</v>
      </c>
      <c r="I2524" s="72" t="inlineStr">
        <is>
          <t>CONTAS A PAGAR</t>
        </is>
      </c>
      <c r="J2524" s="70" t="n">
        <v>1572200</v>
      </c>
      <c r="L2524" s="70" t="n">
        <v>1713960</v>
      </c>
      <c r="M2524" s="72" t="inlineStr">
        <is>
          <t>02</t>
        </is>
      </c>
      <c r="N2524" s="72" t="inlineStr">
        <is>
          <t>AVU</t>
        </is>
      </c>
      <c r="P2524" s="70" t="n">
        <v>103</v>
      </c>
      <c r="Q2524" s="72" t="inlineStr">
        <is>
          <t>MILKA FRANCIS</t>
        </is>
      </c>
      <c r="R2524" s="72" t="inlineStr">
        <is>
          <t>ESTOQUE DE MERCADORIAS</t>
        </is>
      </c>
      <c r="S2524" s="70" t="n">
        <v>1130101</v>
      </c>
      <c r="T2524" s="72" t="inlineStr">
        <is>
          <t>MERCADORIAS P/REVENDA</t>
        </is>
      </c>
      <c r="U2524" s="73" t="n">
        <v>932.55</v>
      </c>
      <c r="W2524" s="73" t="n">
        <v>0</v>
      </c>
      <c r="X2524" s="72" t="inlineStr">
        <is>
          <t>NF 1713960 -2 MILKA</t>
        </is>
      </c>
      <c r="Z2524" s="59">
        <f>IF($T2524="","",IFERROR(INDEX('Resumo Grupos'!$AC$3:$AC$200,MATCH($T2524,'Resumo Grupos'!$AB$3:$AB$200,0)),"n/d"))</f>
        <v/>
      </c>
      <c r="AA2524" s="59">
        <f>IF($T2524="","",IF(COUNTIF('Resumo Grupos'!$AE$3:$AE$40,$T2524)&gt;0,"NAO","SIM"))</f>
        <v/>
      </c>
    </row>
    <row r="2525" ht="45.75" customHeight="1" s="60">
      <c r="A2525" s="70" t="n">
        <v>1</v>
      </c>
      <c r="B2525" s="71" t="n">
        <v>46254</v>
      </c>
      <c r="C2525" s="71" t="n">
        <v>46274</v>
      </c>
      <c r="D2525" s="70" t="n">
        <v>1608</v>
      </c>
      <c r="E2525" s="72" t="inlineStr">
        <is>
          <t>DISTRIBUIDORA LOPES LTDA</t>
        </is>
      </c>
      <c r="F2525" s="70" t="n">
        <v>24</v>
      </c>
      <c r="G2525" s="72" t="inlineStr">
        <is>
          <t>Compra a Prazo - Boletos</t>
        </is>
      </c>
      <c r="H2525" s="70" t="n">
        <v>2110405</v>
      </c>
      <c r="I2525" s="72" t="inlineStr">
        <is>
          <t>CONTAS A PAGAR</t>
        </is>
      </c>
      <c r="J2525" s="70" t="n">
        <v>1576059</v>
      </c>
      <c r="L2525" s="70" t="n">
        <v>1713862</v>
      </c>
      <c r="M2525" s="72" t="inlineStr">
        <is>
          <t>02</t>
        </is>
      </c>
      <c r="N2525" s="72" t="inlineStr">
        <is>
          <t>AVU</t>
        </is>
      </c>
      <c r="P2525" s="70" t="n">
        <v>103</v>
      </c>
      <c r="Q2525" s="72" t="inlineStr">
        <is>
          <t>MILKA FRANCIS</t>
        </is>
      </c>
      <c r="R2525" s="72" t="inlineStr">
        <is>
          <t>ESTOQUE DE MERCADORIAS</t>
        </is>
      </c>
      <c r="S2525" s="70" t="n">
        <v>1130101</v>
      </c>
      <c r="T2525" s="72" t="inlineStr">
        <is>
          <t>MERCADORIAS P/REVENDA</t>
        </is>
      </c>
      <c r="U2525" s="73" t="n">
        <v>952.02</v>
      </c>
      <c r="W2525" s="73" t="n">
        <v>0</v>
      </c>
      <c r="X2525" s="72" t="inlineStr">
        <is>
          <t>NF 1713862 -2 MILKA</t>
        </is>
      </c>
      <c r="Z2525" s="59">
        <f>IF($T2525="","",IFERROR(INDEX('Resumo Grupos'!$AC$3:$AC$200,MATCH($T2525,'Resumo Grupos'!$AB$3:$AB$200,0)),"n/d"))</f>
        <v/>
      </c>
      <c r="AA2525" s="59">
        <f>IF($T2525="","",IF(COUNTIF('Resumo Grupos'!$AE$3:$AE$40,$T2525)&gt;0,"NAO","SIM"))</f>
        <v/>
      </c>
    </row>
    <row r="2526" ht="36.75" customHeight="1" s="60">
      <c r="A2526" s="70" t="n">
        <v>1</v>
      </c>
      <c r="B2526" s="71" t="n">
        <v>46255</v>
      </c>
      <c r="C2526" s="71" t="n">
        <v>46274</v>
      </c>
      <c r="D2526" s="70" t="n">
        <v>1601</v>
      </c>
      <c r="E2526" s="72" t="inlineStr">
        <is>
          <t>CB COMERCIO E DISTRIBUIDORA DE ALIMENTOS</t>
        </is>
      </c>
      <c r="F2526" s="70" t="n">
        <v>24</v>
      </c>
      <c r="G2526" s="72" t="inlineStr">
        <is>
          <t>Compra a Prazo - Boletos</t>
        </is>
      </c>
      <c r="H2526" s="70" t="n">
        <v>2110405</v>
      </c>
      <c r="I2526" s="72" t="inlineStr">
        <is>
          <t>CONTAS A PAGAR</t>
        </is>
      </c>
      <c r="J2526" s="70" t="n">
        <v>1581823</v>
      </c>
      <c r="L2526" s="70" t="n">
        <v>864975</v>
      </c>
      <c r="M2526" s="72" t="inlineStr">
        <is>
          <t>01</t>
        </is>
      </c>
      <c r="N2526" s="72" t="inlineStr">
        <is>
          <t>AVU</t>
        </is>
      </c>
      <c r="P2526" s="70" t="n">
        <v>103</v>
      </c>
      <c r="Q2526" s="72" t="inlineStr">
        <is>
          <t>MILKA FRANCIS</t>
        </is>
      </c>
      <c r="R2526" s="72" t="inlineStr">
        <is>
          <t>ESTOQUE DE MERCADORIAS</t>
        </is>
      </c>
      <c r="S2526" s="70" t="n">
        <v>1130101</v>
      </c>
      <c r="T2526" s="72" t="inlineStr">
        <is>
          <t>MERCADORIAS P/REVENDA</t>
        </is>
      </c>
      <c r="U2526" s="73" t="n">
        <v>802.25</v>
      </c>
      <c r="W2526" s="73" t="n">
        <v>0</v>
      </c>
      <c r="X2526" s="72" t="inlineStr">
        <is>
          <t>NF 864975 - MILKA</t>
        </is>
      </c>
      <c r="Z2526" s="59">
        <f>IF($T2526="","",IFERROR(INDEX('Resumo Grupos'!$AC$3:$AC$200,MATCH($T2526,'Resumo Grupos'!$AB$3:$AB$200,0)),"n/d"))</f>
        <v/>
      </c>
      <c r="AA2526" s="59">
        <f>IF($T2526="","",IF(COUNTIF('Resumo Grupos'!$AE$3:$AE$40,$T2526)&gt;0,"NAO","SIM"))</f>
        <v/>
      </c>
    </row>
    <row r="2527" ht="54.75" customHeight="1" s="60">
      <c r="A2527" s="70" t="n">
        <v>1</v>
      </c>
      <c r="B2527" s="71" t="n">
        <v>46255</v>
      </c>
      <c r="C2527" s="71" t="n">
        <v>46274</v>
      </c>
      <c r="D2527" s="70" t="n">
        <v>967</v>
      </c>
      <c r="E2527" s="72" t="inlineStr">
        <is>
          <t>L. J. DA SILVA LTDA</t>
        </is>
      </c>
      <c r="F2527" s="70" t="n">
        <v>24</v>
      </c>
      <c r="G2527" s="72" t="inlineStr">
        <is>
          <t>Compra a Prazo - Boletos</t>
        </is>
      </c>
      <c r="H2527" s="70" t="n">
        <v>2110405</v>
      </c>
      <c r="I2527" s="72" t="inlineStr">
        <is>
          <t>CONTAS A PAGAR</t>
        </is>
      </c>
      <c r="J2527" s="70" t="n">
        <v>1582001</v>
      </c>
      <c r="L2527" s="70" t="n">
        <v>37328</v>
      </c>
      <c r="M2527" s="72" t="inlineStr">
        <is>
          <t>02</t>
        </is>
      </c>
      <c r="N2527" s="72" t="inlineStr">
        <is>
          <t>AVU</t>
        </is>
      </c>
      <c r="P2527" s="70" t="n">
        <v>103</v>
      </c>
      <c r="Q2527" s="72" t="inlineStr">
        <is>
          <t>MILKA FRANCIS</t>
        </is>
      </c>
      <c r="R2527" s="72" t="inlineStr">
        <is>
          <t>ESTOQUE DE MERCADORIAS</t>
        </is>
      </c>
      <c r="S2527" s="70" t="n">
        <v>1130101</v>
      </c>
      <c r="T2527" s="72" t="inlineStr">
        <is>
          <t>MERCADORIAS P/REVENDA</t>
        </is>
      </c>
      <c r="U2527" s="73" t="n">
        <v>1334.15</v>
      </c>
      <c r="W2527" s="73" t="n">
        <v>0</v>
      </c>
      <c r="X2527" s="72" t="inlineStr">
        <is>
          <t>NF 49329-B/C  NF37328 - MILKA</t>
        </is>
      </c>
      <c r="Z2527" s="59">
        <f>IF($T2527="","",IFERROR(INDEX('Resumo Grupos'!$AC$3:$AC$200,MATCH($T2527,'Resumo Grupos'!$AB$3:$AB$200,0)),"n/d"))</f>
        <v/>
      </c>
      <c r="AA2527" s="59">
        <f>IF($T2527="","",IF(COUNTIF('Resumo Grupos'!$AE$3:$AE$40,$T2527)&gt;0,"NAO","SIM"))</f>
        <v/>
      </c>
    </row>
    <row r="2528" ht="36.75" customHeight="1" s="60">
      <c r="A2528" s="70" t="n">
        <v>1</v>
      </c>
      <c r="B2528" s="71" t="n">
        <v>46256</v>
      </c>
      <c r="C2528" s="71" t="n">
        <v>46274</v>
      </c>
      <c r="D2528" s="70" t="n">
        <v>10009</v>
      </c>
      <c r="E2528" s="72" t="inlineStr">
        <is>
          <t>NESTLÉ BRASIL LTDA.</t>
        </is>
      </c>
      <c r="F2528" s="70" t="n">
        <v>24</v>
      </c>
      <c r="G2528" s="72" t="inlineStr">
        <is>
          <t>Compra a Prazo - Boletos</t>
        </is>
      </c>
      <c r="H2528" s="70" t="n">
        <v>2110405</v>
      </c>
      <c r="I2528" s="72" t="inlineStr">
        <is>
          <t>CONTAS A PAGAR</t>
        </is>
      </c>
      <c r="J2528" s="70" t="n">
        <v>1585450</v>
      </c>
      <c r="L2528" s="70" t="n">
        <v>1441035</v>
      </c>
      <c r="M2528" s="72" t="inlineStr">
        <is>
          <t>01</t>
        </is>
      </c>
      <c r="N2528" s="72" t="inlineStr">
        <is>
          <t>AVU</t>
        </is>
      </c>
      <c r="P2528" s="70" t="n">
        <v>103</v>
      </c>
      <c r="Q2528" s="72" t="inlineStr">
        <is>
          <t>MILKA FRANCIS</t>
        </is>
      </c>
      <c r="R2528" s="72" t="inlineStr">
        <is>
          <t>ESTOQUE DE MERCADORIAS</t>
        </is>
      </c>
      <c r="S2528" s="70" t="n">
        <v>1130101</v>
      </c>
      <c r="T2528" s="72" t="inlineStr">
        <is>
          <t>MERCADORIAS P/REVENDA</t>
        </is>
      </c>
      <c r="U2528" s="73" t="n">
        <v>4825.35</v>
      </c>
      <c r="W2528" s="73" t="n">
        <v>0</v>
      </c>
      <c r="X2528" s="72" t="inlineStr">
        <is>
          <t>NF 1441035 - MILKA</t>
        </is>
      </c>
      <c r="Z2528" s="59">
        <f>IF($T2528="","",IFERROR(INDEX('Resumo Grupos'!$AC$3:$AC$200,MATCH($T2528,'Resumo Grupos'!$AB$3:$AB$200,0)),"n/d"))</f>
        <v/>
      </c>
      <c r="AA2528" s="59">
        <f>IF($T2528="","",IF(COUNTIF('Resumo Grupos'!$AE$3:$AE$40,$T2528)&gt;0,"NAO","SIM"))</f>
        <v/>
      </c>
    </row>
    <row r="2529" ht="45.75" customHeight="1" s="60">
      <c r="A2529" s="70" t="n">
        <v>1</v>
      </c>
      <c r="B2529" s="71" t="n">
        <v>46029</v>
      </c>
      <c r="C2529" s="71" t="n">
        <v>46275</v>
      </c>
      <c r="D2529" s="70" t="n">
        <v>105</v>
      </c>
      <c r="E2529" s="72" t="inlineStr">
        <is>
          <t>ANDERSON SILVA - BOY</t>
        </is>
      </c>
      <c r="F2529" s="70" t="n">
        <v>46</v>
      </c>
      <c r="G2529" s="72" t="inlineStr">
        <is>
          <t>Cartao Sant 1 Velho 9336 venc 10</t>
        </is>
      </c>
      <c r="H2529" s="70" t="n">
        <v>2110405</v>
      </c>
      <c r="I2529" s="72" t="inlineStr">
        <is>
          <t>CONTAS A PAGAR</t>
        </is>
      </c>
      <c r="J2529" s="70" t="n">
        <v>651504</v>
      </c>
      <c r="L2529" s="70" t="n">
        <v>287048</v>
      </c>
      <c r="M2529" s="72" t="inlineStr">
        <is>
          <t>08</t>
        </is>
      </c>
      <c r="N2529" s="72" t="inlineStr">
        <is>
          <t>AVU</t>
        </is>
      </c>
      <c r="P2529" s="70" t="n">
        <v>101</v>
      </c>
      <c r="Q2529" s="72" t="inlineStr">
        <is>
          <t>KEILA LIMA</t>
        </is>
      </c>
      <c r="R2529" s="72" t="inlineStr">
        <is>
          <t>DESPESAS NAO OPERACIONAIS</t>
        </is>
      </c>
      <c r="S2529" s="70" t="n">
        <v>4220199</v>
      </c>
      <c r="T2529" s="72" t="inlineStr">
        <is>
          <t>PAGAMENTOS OUTROS NAO OPERACIONAIS</t>
        </is>
      </c>
      <c r="U2529" s="73" t="n">
        <v>1567.08</v>
      </c>
      <c r="W2529" s="73" t="n">
        <v>0</v>
      </c>
      <c r="X2529" s="72" t="inlineStr">
        <is>
          <t>COMPRAS FUNC ANDERSON PARC 08/12 - KEILA</t>
        </is>
      </c>
      <c r="Z2529" s="59">
        <f>IF($T2529="","",IFERROR(INDEX('Resumo Grupos'!$AC$3:$AC$200,MATCH($T2529,'Resumo Grupos'!$AB$3:$AB$200,0)),"n/d"))</f>
        <v/>
      </c>
      <c r="AA2529" s="59">
        <f>IF($T2529="","",IF(COUNTIF('Resumo Grupos'!$AE$3:$AE$40,$T2529)&gt;0,"NAO","SIM"))</f>
        <v/>
      </c>
    </row>
    <row r="2530" ht="45.75" customHeight="1" s="60">
      <c r="A2530" s="70" t="n">
        <v>1</v>
      </c>
      <c r="B2530" s="71" t="n">
        <v>46135</v>
      </c>
      <c r="C2530" s="71" t="n">
        <v>46275</v>
      </c>
      <c r="D2530" s="70" t="n">
        <v>1758</v>
      </c>
      <c r="E2530" s="72" t="inlineStr">
        <is>
          <t>DESPESA OPER LOJA</t>
        </is>
      </c>
      <c r="F2530" s="70" t="n">
        <v>46</v>
      </c>
      <c r="G2530" s="72" t="inlineStr">
        <is>
          <t>Cartao Sant 1 Velho 9336 venc 10</t>
        </is>
      </c>
      <c r="H2530" s="70" t="n">
        <v>2110405</v>
      </c>
      <c r="I2530" s="72" t="inlineStr">
        <is>
          <t>CONTAS A PAGAR</t>
        </is>
      </c>
      <c r="J2530" s="70" t="n">
        <v>993744</v>
      </c>
      <c r="L2530" s="70" t="n">
        <v>420093</v>
      </c>
      <c r="M2530" s="72" t="inlineStr">
        <is>
          <t>05</t>
        </is>
      </c>
      <c r="N2530" s="72" t="inlineStr">
        <is>
          <t>AVU</t>
        </is>
      </c>
      <c r="P2530" s="70" t="n">
        <v>101</v>
      </c>
      <c r="Q2530" s="72" t="inlineStr">
        <is>
          <t>KEILA LIMA</t>
        </is>
      </c>
      <c r="R2530" s="72" t="inlineStr">
        <is>
          <t>DESPESAS NAO OPERACIONAIS</t>
        </is>
      </c>
      <c r="S2530" s="70" t="n">
        <v>4220199</v>
      </c>
      <c r="T2530" s="72" t="inlineStr">
        <is>
          <t>PAGAMENTOS OUTROS NAO OPERACIONAIS</t>
        </is>
      </c>
      <c r="U2530" s="73" t="n">
        <v>130</v>
      </c>
      <c r="W2530" s="73" t="n">
        <v>0</v>
      </c>
      <c r="X2530" s="72" t="inlineStr">
        <is>
          <t>OUTROS DESP MO1 FUNCIONARIO PARC 05/06</t>
        </is>
      </c>
      <c r="Z2530" s="59">
        <f>IF($T2530="","",IFERROR(INDEX('Resumo Grupos'!$AC$3:$AC$200,MATCH($T2530,'Resumo Grupos'!$AB$3:$AB$200,0)),"n/d"))</f>
        <v/>
      </c>
      <c r="AA2530" s="59">
        <f>IF($T2530="","",IF(COUNTIF('Resumo Grupos'!$AE$3:$AE$40,$T2530)&gt;0,"NAO","SIM"))</f>
        <v/>
      </c>
    </row>
    <row r="2531" ht="45.75" customHeight="1" s="60">
      <c r="A2531" s="70" t="n">
        <v>1</v>
      </c>
      <c r="B2531" s="71" t="n">
        <v>46153</v>
      </c>
      <c r="C2531" s="71" t="n">
        <v>46275</v>
      </c>
      <c r="D2531" s="70" t="n">
        <v>1898</v>
      </c>
      <c r="E2531" s="72" t="inlineStr">
        <is>
          <t>BF COMERCIO DE EQUIP. E SUP DE INFO LTDA</t>
        </is>
      </c>
      <c r="F2531" s="70" t="n">
        <v>46</v>
      </c>
      <c r="G2531" s="72" t="inlineStr">
        <is>
          <t>Cartao Sant 1 Velho 9336 venc 10</t>
        </is>
      </c>
      <c r="H2531" s="70" t="n">
        <v>2110405</v>
      </c>
      <c r="I2531" s="72" t="inlineStr">
        <is>
          <t>CONTAS A PAGAR</t>
        </is>
      </c>
      <c r="J2531" s="70" t="n">
        <v>1230688</v>
      </c>
      <c r="L2531" s="70" t="n">
        <v>5484</v>
      </c>
      <c r="M2531" s="72" t="inlineStr">
        <is>
          <t>04</t>
        </is>
      </c>
      <c r="N2531" s="72" t="inlineStr">
        <is>
          <t>AVU</t>
        </is>
      </c>
      <c r="P2531" s="70" t="n">
        <v>101</v>
      </c>
      <c r="Q2531" s="72" t="inlineStr">
        <is>
          <t>KEILA LIMA</t>
        </is>
      </c>
      <c r="R2531" s="72" t="inlineStr">
        <is>
          <t>DESPESAS OPERACIONAIS</t>
        </is>
      </c>
      <c r="S2531" s="70" t="n">
        <v>4210205</v>
      </c>
      <c r="T2531" s="72" t="inlineStr">
        <is>
          <t>MATERIAL DE ESCRITORIO</t>
        </is>
      </c>
      <c r="U2531" s="73" t="n">
        <v>120.13</v>
      </c>
      <c r="W2531" s="73" t="n">
        <v>0</v>
      </c>
      <c r="X2531" s="72" t="inlineStr">
        <is>
          <t>NF 5484 PARC 04/04 TONNER ESCR - KEILA</t>
        </is>
      </c>
      <c r="Z2531" s="59">
        <f>IF($T2531="","",IFERROR(INDEX('Resumo Grupos'!$AC$3:$AC$200,MATCH($T2531,'Resumo Grupos'!$AB$3:$AB$200,0)),"n/d"))</f>
        <v/>
      </c>
      <c r="AA2531" s="59">
        <f>IF($T2531="","",IF(COUNTIF('Resumo Grupos'!$AE$3:$AE$40,$T2531)&gt;0,"NAO","SIM"))</f>
        <v/>
      </c>
    </row>
    <row r="2532" ht="45.75" customHeight="1" s="60">
      <c r="A2532" s="70" t="n">
        <v>1</v>
      </c>
      <c r="B2532" s="71" t="n">
        <v>46183</v>
      </c>
      <c r="C2532" s="71" t="n">
        <v>46275</v>
      </c>
      <c r="D2532" s="70" t="n">
        <v>1747</v>
      </c>
      <c r="E2532" s="72" t="inlineStr">
        <is>
          <t>SV INSTALACOES LTDA</t>
        </is>
      </c>
      <c r="F2532" s="70" t="n">
        <v>46</v>
      </c>
      <c r="G2532" s="72" t="inlineStr">
        <is>
          <t>Cartao Sant 1 Velho 9336 venc 10</t>
        </is>
      </c>
      <c r="H2532" s="70" t="n">
        <v>2110405</v>
      </c>
      <c r="I2532" s="72" t="inlineStr">
        <is>
          <t>CONTAS A PAGAR</t>
        </is>
      </c>
      <c r="J2532" s="70" t="n">
        <v>1231737</v>
      </c>
      <c r="L2532" s="70" t="n">
        <v>1529878</v>
      </c>
      <c r="M2532" s="72" t="inlineStr">
        <is>
          <t>03</t>
        </is>
      </c>
      <c r="N2532" s="72" t="inlineStr">
        <is>
          <t>AVU</t>
        </is>
      </c>
      <c r="P2532" s="70" t="n">
        <v>101</v>
      </c>
      <c r="Q2532" s="72" t="inlineStr">
        <is>
          <t>KEILA LIMA</t>
        </is>
      </c>
      <c r="R2532" s="72" t="inlineStr">
        <is>
          <t>DESPESAS COM PESSOAL</t>
        </is>
      </c>
      <c r="S2532" s="70" t="n">
        <v>4210317</v>
      </c>
      <c r="T2532" s="72" t="inlineStr">
        <is>
          <t>EPI - FUNCIONARIOS</t>
        </is>
      </c>
      <c r="U2532" s="73" t="n">
        <v>116.07</v>
      </c>
      <c r="W2532" s="73" t="n">
        <v>0</v>
      </c>
      <c r="X2532" s="72" t="inlineStr">
        <is>
          <t>NF 1529878 - BOTAS ACOUGUEIROS - KEILA</t>
        </is>
      </c>
      <c r="Z2532" s="59">
        <f>IF($T2532="","",IFERROR(INDEX('Resumo Grupos'!$AC$3:$AC$200,MATCH($T2532,'Resumo Grupos'!$AB$3:$AB$200,0)),"n/d"))</f>
        <v/>
      </c>
      <c r="AA2532" s="59">
        <f>IF($T2532="","",IF(COUNTIF('Resumo Grupos'!$AE$3:$AE$40,$T2532)&gt;0,"NAO","SIM"))</f>
        <v/>
      </c>
    </row>
    <row r="2533" ht="45.75" customHeight="1" s="60">
      <c r="A2533" s="70" t="n">
        <v>1</v>
      </c>
      <c r="B2533" s="71" t="n">
        <v>46192</v>
      </c>
      <c r="C2533" s="71" t="n">
        <v>46275</v>
      </c>
      <c r="D2533" s="70" t="n">
        <v>957</v>
      </c>
      <c r="E2533" s="72" t="inlineStr">
        <is>
          <t>FUNNY PET DISTRIBUIDORA DE ALIMENTOS PAR</t>
        </is>
      </c>
      <c r="F2533" s="70" t="n">
        <v>24</v>
      </c>
      <c r="G2533" s="72" t="inlineStr">
        <is>
          <t>Compra a Prazo - Boletos</t>
        </is>
      </c>
      <c r="H2533" s="70" t="n">
        <v>2110101</v>
      </c>
      <c r="I2533" s="72" t="inlineStr">
        <is>
          <t>FORNECEDORES DE MERCADORIA</t>
        </is>
      </c>
      <c r="J2533" s="70" t="n">
        <v>1273631</v>
      </c>
      <c r="L2533" s="70" t="n">
        <v>20459</v>
      </c>
      <c r="M2533" s="72" t="inlineStr">
        <is>
          <t>01</t>
        </is>
      </c>
      <c r="N2533" s="72" t="inlineStr">
        <is>
          <t>NFE</t>
        </is>
      </c>
      <c r="P2533" s="70" t="n">
        <v>103</v>
      </c>
      <c r="Q2533" s="72" t="inlineStr">
        <is>
          <t>MILKA FRANCIS</t>
        </is>
      </c>
      <c r="R2533" s="72" t="inlineStr">
        <is>
          <t>ESTOQUE DE MERCADORIAS</t>
        </is>
      </c>
      <c r="S2533" s="70" t="n">
        <v>1130101</v>
      </c>
      <c r="T2533" s="72" t="inlineStr">
        <is>
          <t>MERCADORIAS P/REVENDA</t>
        </is>
      </c>
      <c r="U2533" s="73" t="n">
        <v>1725.68</v>
      </c>
      <c r="W2533" s="73" t="n">
        <v>0</v>
      </c>
      <c r="X2533" s="72" t="inlineStr">
        <is>
          <t>NF 20459-1 MILKA</t>
        </is>
      </c>
      <c r="Z2533" s="59">
        <f>IF($T2533="","",IFERROR(INDEX('Resumo Grupos'!$AC$3:$AC$200,MATCH($T2533,'Resumo Grupos'!$AB$3:$AB$200,0)),"n/d"))</f>
        <v/>
      </c>
      <c r="AA2533" s="59">
        <f>IF($T2533="","",IF(COUNTIF('Resumo Grupos'!$AE$3:$AE$40,$T2533)&gt;0,"NAO","SIM"))</f>
        <v/>
      </c>
    </row>
    <row r="2534" ht="36.75" customHeight="1" s="60">
      <c r="A2534" s="70" t="n">
        <v>1</v>
      </c>
      <c r="B2534" s="71" t="n">
        <v>46204</v>
      </c>
      <c r="C2534" s="71" t="n">
        <v>46275</v>
      </c>
      <c r="D2534" s="70" t="n">
        <v>1008</v>
      </c>
      <c r="E2534" s="72" t="inlineStr">
        <is>
          <t>A5 COMERCIO DE EQUIPAMENTOS LTDA</t>
        </is>
      </c>
      <c r="F2534" s="70" t="n">
        <v>46</v>
      </c>
      <c r="G2534" s="72" t="inlineStr">
        <is>
          <t>Cartao Sant 1 Velho 9336 venc 10</t>
        </is>
      </c>
      <c r="H2534" s="70" t="n">
        <v>2110405</v>
      </c>
      <c r="I2534" s="72" t="inlineStr">
        <is>
          <t>CONTAS A PAGAR</t>
        </is>
      </c>
      <c r="J2534" s="70" t="n">
        <v>1336323</v>
      </c>
      <c r="L2534" s="70" t="n">
        <v>1657</v>
      </c>
      <c r="M2534" s="72" t="inlineStr">
        <is>
          <t>02</t>
        </is>
      </c>
      <c r="N2534" s="72" t="inlineStr">
        <is>
          <t>AVU</t>
        </is>
      </c>
      <c r="P2534" s="70" t="n">
        <v>101</v>
      </c>
      <c r="Q2534" s="72" t="inlineStr">
        <is>
          <t>KEILA LIMA</t>
        </is>
      </c>
      <c r="R2534" s="72" t="inlineStr">
        <is>
          <t>DESPESAS OPERACIONAIS</t>
        </is>
      </c>
      <c r="S2534" s="70" t="n">
        <v>4210232</v>
      </c>
      <c r="T2534" s="72" t="inlineStr">
        <is>
          <t>MANUTENÇÃO EQUIPAMENTOS DE INFORMATICA</t>
        </is>
      </c>
      <c r="U2534" s="73" t="n">
        <v>208</v>
      </c>
      <c r="W2534" s="73" t="n">
        <v>0</v>
      </c>
      <c r="X2534" s="72" t="inlineStr">
        <is>
          <t>PARC 02/10 BALANCA CX 4 MO1 - KEILA</t>
        </is>
      </c>
      <c r="Z2534" s="59">
        <f>IF($T2534="","",IFERROR(INDEX('Resumo Grupos'!$AC$3:$AC$200,MATCH($T2534,'Resumo Grupos'!$AB$3:$AB$200,0)),"n/d"))</f>
        <v/>
      </c>
      <c r="AA2534" s="59">
        <f>IF($T2534="","",IF(COUNTIF('Resumo Grupos'!$AE$3:$AE$40,$T2534)&gt;0,"NAO","SIM"))</f>
        <v/>
      </c>
    </row>
    <row r="2535" ht="54.75" customHeight="1" s="60">
      <c r="A2535" s="70" t="n">
        <v>1</v>
      </c>
      <c r="B2535" s="71" t="n">
        <v>46211</v>
      </c>
      <c r="C2535" s="71" t="n">
        <v>46275</v>
      </c>
      <c r="D2535" s="70" t="n">
        <v>10026</v>
      </c>
      <c r="E2535" s="72" t="inlineStr">
        <is>
          <t>SWTL SERVICOS DE INFORMATICA LTDA</t>
        </is>
      </c>
      <c r="F2535" s="70" t="n">
        <v>24</v>
      </c>
      <c r="G2535" s="72" t="inlineStr">
        <is>
          <t>Compra a Prazo - Boletos</t>
        </is>
      </c>
      <c r="H2535" s="70" t="n">
        <v>1110202</v>
      </c>
      <c r="I2535" s="72" t="inlineStr">
        <is>
          <t>BANCO ITAU Lj 01</t>
        </is>
      </c>
      <c r="J2535" s="70" t="n">
        <v>1370737</v>
      </c>
      <c r="L2535" s="70" t="n">
        <v>565779</v>
      </c>
      <c r="M2535" s="72" t="inlineStr">
        <is>
          <t>02</t>
        </is>
      </c>
      <c r="N2535" s="72" t="inlineStr">
        <is>
          <t>AVU</t>
        </is>
      </c>
      <c r="P2535" s="70" t="n">
        <v>101</v>
      </c>
      <c r="Q2535" s="72" t="inlineStr">
        <is>
          <t>KEILA LIMA</t>
        </is>
      </c>
      <c r="R2535" s="72" t="inlineStr">
        <is>
          <t>DESPESAS OPERACIONAIS</t>
        </is>
      </c>
      <c r="S2535" s="70" t="n">
        <v>4210222</v>
      </c>
      <c r="T2535" s="72" t="inlineStr">
        <is>
          <t>TREINAMENTO/CONSULTORIAS</t>
        </is>
      </c>
      <c r="U2535" s="73" t="n">
        <v>666.67</v>
      </c>
      <c r="W2535" s="73" t="n">
        <v>0</v>
      </c>
      <c r="X2535" s="72" t="inlineStr">
        <is>
          <t>MENSALIDADE CONSULTORIA CISS PARTE MO1 - KELA</t>
        </is>
      </c>
      <c r="Z2535" s="59">
        <f>IF($T2535="","",IFERROR(INDEX('Resumo Grupos'!$AC$3:$AC$200,MATCH($T2535,'Resumo Grupos'!$AB$3:$AB$200,0)),"n/d"))</f>
        <v/>
      </c>
      <c r="AA2535" s="59">
        <f>IF($T2535="","",IF(COUNTIF('Resumo Grupos'!$AE$3:$AE$40,$T2535)&gt;0,"NAO","SIM"))</f>
        <v/>
      </c>
    </row>
    <row r="2536" ht="45.75" customHeight="1" s="60">
      <c r="A2536" s="70" t="n">
        <v>1</v>
      </c>
      <c r="B2536" s="71" t="n">
        <v>46211</v>
      </c>
      <c r="C2536" s="71" t="n">
        <v>46275</v>
      </c>
      <c r="D2536" s="70" t="n">
        <v>10026</v>
      </c>
      <c r="E2536" s="72" t="inlineStr">
        <is>
          <t>SWTL SERVICOS DE INFORMATICA LTDA</t>
        </is>
      </c>
      <c r="F2536" s="70" t="n">
        <v>24</v>
      </c>
      <c r="G2536" s="72" t="inlineStr">
        <is>
          <t>Compra a Prazo - Boletos</t>
        </is>
      </c>
      <c r="H2536" s="70" t="n">
        <v>2110405</v>
      </c>
      <c r="I2536" s="72" t="inlineStr">
        <is>
          <t>CONTAS A PAGAR</t>
        </is>
      </c>
      <c r="J2536" s="70" t="n">
        <v>1370749</v>
      </c>
      <c r="L2536" s="70" t="n">
        <v>565780</v>
      </c>
      <c r="M2536" s="72" t="inlineStr">
        <is>
          <t>02</t>
        </is>
      </c>
      <c r="N2536" s="72" t="inlineStr">
        <is>
          <t>AVU</t>
        </is>
      </c>
      <c r="P2536" s="70" t="n">
        <v>101</v>
      </c>
      <c r="Q2536" s="72" t="inlineStr">
        <is>
          <t>KEILA LIMA</t>
        </is>
      </c>
      <c r="R2536" s="72" t="inlineStr">
        <is>
          <t>DESPESAS NAO OPERACIONAIS</t>
        </is>
      </c>
      <c r="S2536" s="70" t="n">
        <v>4220199</v>
      </c>
      <c r="T2536" s="72" t="inlineStr">
        <is>
          <t>PAGAMENTOS OUTROS NAO OPERACIONAIS</t>
        </is>
      </c>
      <c r="U2536" s="73" t="n">
        <v>2000</v>
      </c>
      <c r="W2536" s="73" t="n">
        <v>0</v>
      </c>
      <c r="X2536" s="72" t="inlineStr">
        <is>
          <t>MENSALIDADE CONSULTORIA CISS LOJAS NAO SO - KELA</t>
        </is>
      </c>
      <c r="Z2536" s="59">
        <f>IF($T2536="","",IFERROR(INDEX('Resumo Grupos'!$AC$3:$AC$200,MATCH($T2536,'Resumo Grupos'!$AB$3:$AB$200,0)),"n/d"))</f>
        <v/>
      </c>
      <c r="AA2536" s="59">
        <f>IF($T2536="","",IF(COUNTIF('Resumo Grupos'!$AE$3:$AE$40,$T2536)&gt;0,"NAO","SIM"))</f>
        <v/>
      </c>
    </row>
    <row r="2537" ht="45.75" customHeight="1" s="60">
      <c r="A2537" s="70" t="n">
        <v>1</v>
      </c>
      <c r="B2537" s="71" t="n">
        <v>46213</v>
      </c>
      <c r="C2537" s="71" t="n">
        <v>46275</v>
      </c>
      <c r="D2537" s="70" t="n">
        <v>1914</v>
      </c>
      <c r="E2537" s="72" t="inlineStr">
        <is>
          <t>CAP-COMERCIO DE EQUIPAMENTOS DE INFORMAT</t>
        </is>
      </c>
      <c r="F2537" s="70" t="n">
        <v>46</v>
      </c>
      <c r="G2537" s="72" t="inlineStr">
        <is>
          <t>Cartao Sant 1 Velho 9336 venc 10</t>
        </is>
      </c>
      <c r="H2537" s="70" t="n">
        <v>1110202</v>
      </c>
      <c r="I2537" s="72" t="inlineStr">
        <is>
          <t>BANCO ITAU Lj 01</t>
        </is>
      </c>
      <c r="J2537" s="70" t="n">
        <v>1377369</v>
      </c>
      <c r="L2537" s="70" t="n">
        <v>28968</v>
      </c>
      <c r="M2537" s="72" t="inlineStr">
        <is>
          <t>02</t>
        </is>
      </c>
      <c r="N2537" s="72" t="inlineStr">
        <is>
          <t>AVU</t>
        </is>
      </c>
      <c r="P2537" s="70" t="n">
        <v>101</v>
      </c>
      <c r="Q2537" s="72" t="inlineStr">
        <is>
          <t>KEILA LIMA</t>
        </is>
      </c>
      <c r="R2537" s="72" t="inlineStr">
        <is>
          <t>DESPESAS OPERACIONAIS</t>
        </is>
      </c>
      <c r="S2537" s="70" t="n">
        <v>4210232</v>
      </c>
      <c r="T2537" s="72" t="inlineStr">
        <is>
          <t>MANUTENÇÃO EQUIPAMENTOS DE INFORMATICA</t>
        </is>
      </c>
      <c r="U2537" s="73" t="n">
        <v>935.28</v>
      </c>
      <c r="W2537" s="73" t="n">
        <v>0</v>
      </c>
      <c r="X2537" s="72" t="inlineStr">
        <is>
          <t>NF 28968 PARC2/3 2 LEITOR CX 1 E CX 4 MO1 - KEILA</t>
        </is>
      </c>
      <c r="Z2537" s="59">
        <f>IF($T2537="","",IFERROR(INDEX('Resumo Grupos'!$AC$3:$AC$200,MATCH($T2537,'Resumo Grupos'!$AB$3:$AB$200,0)),"n/d"))</f>
        <v/>
      </c>
      <c r="AA2537" s="59">
        <f>IF($T2537="","",IF(COUNTIF('Resumo Grupos'!$AE$3:$AE$40,$T2537)&gt;0,"NAO","SIM"))</f>
        <v/>
      </c>
    </row>
    <row r="2538" ht="63.75" customHeight="1" s="60">
      <c r="A2538" s="70" t="n">
        <v>1</v>
      </c>
      <c r="B2538" s="71" t="n">
        <v>46199</v>
      </c>
      <c r="C2538" s="71" t="n">
        <v>46275</v>
      </c>
      <c r="D2538" s="70" t="n">
        <v>1758</v>
      </c>
      <c r="E2538" s="72" t="inlineStr">
        <is>
          <t>DESPESA OPER LOJA</t>
        </is>
      </c>
      <c r="F2538" s="70" t="n">
        <v>46</v>
      </c>
      <c r="G2538" s="72" t="inlineStr">
        <is>
          <t>Cartao Sant 1 Velho 9336 venc 10</t>
        </is>
      </c>
      <c r="H2538" s="70" t="n">
        <v>1110202</v>
      </c>
      <c r="I2538" s="72" t="inlineStr">
        <is>
          <t>BANCO ITAU Lj 01</t>
        </is>
      </c>
      <c r="J2538" s="70" t="n">
        <v>1378055</v>
      </c>
      <c r="L2538" s="70" t="n">
        <v>568065</v>
      </c>
      <c r="M2538" s="72" t="inlineStr">
        <is>
          <t>03</t>
        </is>
      </c>
      <c r="N2538" s="72" t="inlineStr">
        <is>
          <t>AVU</t>
        </is>
      </c>
      <c r="P2538" s="70" t="n">
        <v>101</v>
      </c>
      <c r="Q2538" s="72" t="inlineStr">
        <is>
          <t>KEILA LIMA</t>
        </is>
      </c>
      <c r="R2538" s="72" t="inlineStr">
        <is>
          <t>DESPESAS OPERACIONAIS</t>
        </is>
      </c>
      <c r="S2538" s="70" t="n">
        <v>4210227</v>
      </c>
      <c r="T2538" s="72" t="inlineStr">
        <is>
          <t>DESPESAS LOJA</t>
        </is>
      </c>
      <c r="U2538" s="73" t="n">
        <v>429.64</v>
      </c>
      <c r="W2538" s="73" t="n">
        <v>0</v>
      </c>
      <c r="X2538" s="72" t="inlineStr">
        <is>
          <t>PARC 03/05 DESPESA MINEIRO - KEILA</t>
        </is>
      </c>
      <c r="Z2538" s="59">
        <f>IF($T2538="","",IFERROR(INDEX('Resumo Grupos'!$AC$3:$AC$200,MATCH($T2538,'Resumo Grupos'!$AB$3:$AB$200,0)),"n/d"))</f>
        <v/>
      </c>
      <c r="AA2538" s="59">
        <f>IF($T2538="","",IF(COUNTIF('Resumo Grupos'!$AE$3:$AE$40,$T2538)&gt;0,"NAO","SIM"))</f>
        <v/>
      </c>
    </row>
    <row r="2539" ht="27.75" customHeight="1" s="60">
      <c r="A2539" s="70" t="n">
        <v>1</v>
      </c>
      <c r="B2539" s="71" t="n">
        <v>46213</v>
      </c>
      <c r="C2539" s="71" t="n">
        <v>46275</v>
      </c>
      <c r="D2539" s="70" t="n">
        <v>1465</v>
      </c>
      <c r="E2539" s="72" t="inlineStr">
        <is>
          <t>HAVAN S.A.</t>
        </is>
      </c>
      <c r="F2539" s="70" t="n">
        <v>46</v>
      </c>
      <c r="G2539" s="72" t="inlineStr">
        <is>
          <t>Cartao Sant 1 Velho 9336 venc 10</t>
        </is>
      </c>
      <c r="H2539" s="70" t="n">
        <v>1110202</v>
      </c>
      <c r="I2539" s="72" t="inlineStr">
        <is>
          <t>BANCO ITAU Lj 01</t>
        </is>
      </c>
      <c r="J2539" s="70" t="n">
        <v>1378075</v>
      </c>
      <c r="L2539" s="70" t="n">
        <v>568085</v>
      </c>
      <c r="M2539" s="72" t="inlineStr">
        <is>
          <t>02</t>
        </is>
      </c>
      <c r="N2539" s="72" t="inlineStr">
        <is>
          <t>AVU</t>
        </is>
      </c>
      <c r="P2539" s="70" t="n">
        <v>101</v>
      </c>
      <c r="Q2539" s="72" t="inlineStr">
        <is>
          <t>KEILA LIMA</t>
        </is>
      </c>
      <c r="R2539" s="72" t="inlineStr">
        <is>
          <t>DESPESAS OPERACIONAIS</t>
        </is>
      </c>
      <c r="S2539" s="70" t="n">
        <v>4210228</v>
      </c>
      <c r="T2539" s="72" t="inlineStr">
        <is>
          <t>DESPESAS PADARIA</t>
        </is>
      </c>
      <c r="U2539" s="73" t="n">
        <v>86.76000000000001</v>
      </c>
      <c r="W2539" s="73" t="n">
        <v>0</v>
      </c>
      <c r="X2539" s="72" t="inlineStr">
        <is>
          <t>PARC 03/03 LIQUIDIFICADOR PADARIA MO1 - KEILA</t>
        </is>
      </c>
      <c r="Z2539" s="59">
        <f>IF($T2539="","",IFERROR(INDEX('Resumo Grupos'!$AC$3:$AC$200,MATCH($T2539,'Resumo Grupos'!$AB$3:$AB$200,0)),"n/d"))</f>
        <v/>
      </c>
      <c r="AA2539" s="59">
        <f>IF($T2539="","",IF(COUNTIF('Resumo Grupos'!$AE$3:$AE$40,$T2539)&gt;0,"NAO","SIM"))</f>
        <v/>
      </c>
    </row>
    <row r="2540" ht="63.75" customHeight="1" s="60">
      <c r="A2540" s="70" t="n">
        <v>1</v>
      </c>
      <c r="B2540" s="71" t="n">
        <v>46183</v>
      </c>
      <c r="C2540" s="71" t="n">
        <v>46275</v>
      </c>
      <c r="D2540" s="70" t="n">
        <v>16</v>
      </c>
      <c r="E2540" s="72" t="inlineStr">
        <is>
          <t>RENATO DE OLIVEIRA AZEVEDO</t>
        </is>
      </c>
      <c r="F2540" s="70" t="n">
        <v>46</v>
      </c>
      <c r="G2540" s="72" t="inlineStr">
        <is>
          <t>Cartao Sant 1 Velho 9336 venc 10</t>
        </is>
      </c>
      <c r="H2540" s="70" t="n">
        <v>1110202</v>
      </c>
      <c r="I2540" s="72" t="inlineStr">
        <is>
          <t>BANCO ITAU Lj 01</t>
        </is>
      </c>
      <c r="J2540" s="70" t="n">
        <v>1378230</v>
      </c>
      <c r="L2540" s="70" t="n">
        <v>568166</v>
      </c>
      <c r="M2540" s="72" t="inlineStr">
        <is>
          <t>03</t>
        </is>
      </c>
      <c r="N2540" s="72" t="inlineStr">
        <is>
          <t>AVU</t>
        </is>
      </c>
      <c r="P2540" s="70" t="n">
        <v>101</v>
      </c>
      <c r="Q2540" s="72" t="inlineStr">
        <is>
          <t>KEILA LIMA</t>
        </is>
      </c>
      <c r="R2540" s="72" t="inlineStr">
        <is>
          <t>DESPESAS NAO OPERACIONAIS</t>
        </is>
      </c>
      <c r="S2540" s="70" t="n">
        <v>4220199</v>
      </c>
      <c r="T2540" s="72" t="inlineStr">
        <is>
          <t>PAGAMENTOS OUTROS NAO OPERACIONAIS</t>
        </is>
      </c>
      <c r="U2540" s="73" t="n">
        <v>331.61</v>
      </c>
      <c r="W2540" s="73" t="n">
        <v>0</v>
      </c>
      <c r="X2540" s="72" t="inlineStr">
        <is>
          <t>PL RENATO PARC 03/03 - KEILA</t>
        </is>
      </c>
      <c r="Z2540" s="59">
        <f>IF($T2540="","",IFERROR(INDEX('Resumo Grupos'!$AC$3:$AC$200,MATCH($T2540,'Resumo Grupos'!$AB$3:$AB$200,0)),"n/d"))</f>
        <v/>
      </c>
      <c r="AA2540" s="59">
        <f>IF($T2540="","",IF(COUNTIF('Resumo Grupos'!$AE$3:$AE$40,$T2540)&gt;0,"NAO","SIM"))</f>
        <v/>
      </c>
    </row>
    <row r="2541" ht="36.75" customHeight="1" s="60">
      <c r="A2541" s="70" t="n">
        <v>1</v>
      </c>
      <c r="B2541" s="71" t="n">
        <v>46174</v>
      </c>
      <c r="C2541" s="71" t="n">
        <v>46275</v>
      </c>
      <c r="D2541" s="70" t="n">
        <v>1933</v>
      </c>
      <c r="E2541" s="72" t="inlineStr">
        <is>
          <t>NEY MATERIAL DE CONSTRUCAO</t>
        </is>
      </c>
      <c r="F2541" s="70" t="n">
        <v>46</v>
      </c>
      <c r="G2541" s="72" t="inlineStr">
        <is>
          <t>Cartao Sant 1 Velho 9336 venc 10</t>
        </is>
      </c>
      <c r="H2541" s="70" t="n">
        <v>2110405</v>
      </c>
      <c r="I2541" s="72" t="inlineStr">
        <is>
          <t>CONTAS A PAGAR</t>
        </is>
      </c>
      <c r="J2541" s="70" t="n">
        <v>1382032</v>
      </c>
      <c r="L2541" s="70" t="n">
        <v>570381</v>
      </c>
      <c r="M2541" s="72" t="inlineStr">
        <is>
          <t>03</t>
        </is>
      </c>
      <c r="N2541" s="72" t="inlineStr">
        <is>
          <t>AVU</t>
        </is>
      </c>
      <c r="P2541" s="70" t="n">
        <v>101</v>
      </c>
      <c r="Q2541" s="72" t="inlineStr">
        <is>
          <t>KEILA LIMA</t>
        </is>
      </c>
      <c r="R2541" s="72" t="inlineStr">
        <is>
          <t>DESPESAS NAO OPERACIONAIS</t>
        </is>
      </c>
      <c r="S2541" s="70" t="n">
        <v>4220199</v>
      </c>
      <c r="T2541" s="72" t="inlineStr">
        <is>
          <t>PAGAMENTOS OUTROS NAO OPERACIONAIS</t>
        </is>
      </c>
      <c r="U2541" s="73" t="n">
        <v>600</v>
      </c>
      <c r="W2541" s="73" t="n">
        <v>0</v>
      </c>
      <c r="X2541" s="72" t="inlineStr">
        <is>
          <t xml:space="preserve">OUTROS ANDERSON PARC 01/03 MATERIAL CONSTRUCAO </t>
        </is>
      </c>
      <c r="Z2541" s="59">
        <f>IF($T2541="","",IFERROR(INDEX('Resumo Grupos'!$AC$3:$AC$200,MATCH($T2541,'Resumo Grupos'!$AB$3:$AB$200,0)),"n/d"))</f>
        <v/>
      </c>
      <c r="AA2541" s="59">
        <f>IF($T2541="","",IF(COUNTIF('Resumo Grupos'!$AE$3:$AE$40,$T2541)&gt;0,"NAO","SIM"))</f>
        <v/>
      </c>
    </row>
    <row r="2542" ht="45.75" customHeight="1" s="60">
      <c r="A2542" s="70" t="n">
        <v>1</v>
      </c>
      <c r="B2542" s="71" t="n">
        <v>46216</v>
      </c>
      <c r="C2542" s="71" t="n">
        <v>46275</v>
      </c>
      <c r="D2542" s="70" t="n">
        <v>1717</v>
      </c>
      <c r="E2542" s="72" t="inlineStr">
        <is>
          <t>SUPERMERCADOS DB LTDA</t>
        </is>
      </c>
      <c r="F2542" s="70" t="n">
        <v>46</v>
      </c>
      <c r="G2542" s="72" t="inlineStr">
        <is>
          <t>Cartao Sant 1 Velho 9336 venc 10</t>
        </is>
      </c>
      <c r="H2542" s="70" t="n">
        <v>1110202</v>
      </c>
      <c r="I2542" s="72" t="inlineStr">
        <is>
          <t>BANCO ITAU Lj 01</t>
        </is>
      </c>
      <c r="J2542" s="70" t="n">
        <v>1394062</v>
      </c>
      <c r="L2542" s="70" t="n">
        <v>51412</v>
      </c>
      <c r="M2542" s="72" t="inlineStr">
        <is>
          <t>02</t>
        </is>
      </c>
      <c r="N2542" s="72" t="inlineStr">
        <is>
          <t>AVU</t>
        </is>
      </c>
      <c r="P2542" s="70" t="n">
        <v>103</v>
      </c>
      <c r="Q2542" s="72" t="inlineStr">
        <is>
          <t>MILKA FRANCIS</t>
        </is>
      </c>
      <c r="R2542" s="72" t="inlineStr">
        <is>
          <t>ESTOQUE DE MERCADORIAS</t>
        </is>
      </c>
      <c r="S2542" s="70" t="n">
        <v>1130101</v>
      </c>
      <c r="T2542" s="72" t="inlineStr">
        <is>
          <t>MERCADORIAS P/REVENDA</t>
        </is>
      </c>
      <c r="U2542" s="73" t="n">
        <v>319.2</v>
      </c>
      <c r="W2542" s="73" t="n">
        <v>0</v>
      </c>
      <c r="X2542" s="72" t="inlineStr">
        <is>
          <t>NF51412 / PARC. 02/03  - MILKA</t>
        </is>
      </c>
      <c r="Z2542" s="59">
        <f>IF($T2542="","",IFERROR(INDEX('Resumo Grupos'!$AC$3:$AC$200,MATCH($T2542,'Resumo Grupos'!$AB$3:$AB$200,0)),"n/d"))</f>
        <v/>
      </c>
      <c r="AA2542" s="59">
        <f>IF($T2542="","",IF(COUNTIF('Resumo Grupos'!$AE$3:$AE$40,$T2542)&gt;0,"NAO","SIM"))</f>
        <v/>
      </c>
    </row>
    <row r="2543" ht="36.75" customHeight="1" s="60">
      <c r="A2543" s="70" t="n">
        <v>1</v>
      </c>
      <c r="B2543" s="71" t="n">
        <v>46234</v>
      </c>
      <c r="C2543" s="71" t="n">
        <v>46275</v>
      </c>
      <c r="D2543" s="70" t="n">
        <v>608</v>
      </c>
      <c r="E2543" s="72" t="inlineStr">
        <is>
          <t>ATELECOMUNICACOES E ELETRONICA MELO LTD</t>
        </is>
      </c>
      <c r="F2543" s="70" t="n">
        <v>46</v>
      </c>
      <c r="G2543" s="72" t="inlineStr">
        <is>
          <t>Cartao Sant 1 Velho 9336 venc 10</t>
        </is>
      </c>
      <c r="H2543" s="70" t="n">
        <v>1110202</v>
      </c>
      <c r="I2543" s="72" t="inlineStr">
        <is>
          <t>BANCO ITAU Lj 01</t>
        </is>
      </c>
      <c r="J2543" s="70" t="n">
        <v>1477562</v>
      </c>
      <c r="L2543" s="70" t="n">
        <v>1681242</v>
      </c>
      <c r="M2543" s="72" t="inlineStr">
        <is>
          <t>01</t>
        </is>
      </c>
      <c r="N2543" s="72" t="inlineStr">
        <is>
          <t>AVU</t>
        </is>
      </c>
      <c r="P2543" s="70" t="n">
        <v>101</v>
      </c>
      <c r="Q2543" s="72" t="inlineStr">
        <is>
          <t>KEILA LIMA</t>
        </is>
      </c>
      <c r="R2543" s="72" t="inlineStr">
        <is>
          <t>DESPESAS OPERACIONAIS</t>
        </is>
      </c>
      <c r="S2543" s="70" t="n">
        <v>4210232</v>
      </c>
      <c r="T2543" s="72" t="inlineStr">
        <is>
          <t>MANUTENÇÃO EQUIPAMENTOS DE INFORMATICA</t>
        </is>
      </c>
      <c r="U2543" s="73" t="n">
        <v>315.62</v>
      </c>
      <c r="W2543" s="73" t="n">
        <v>0</v>
      </c>
      <c r="X2543" s="72" t="inlineStr">
        <is>
          <t>NF 168124 - DESP COMPRA DE SWITCH SERVIDOR MO1 - KE</t>
        </is>
      </c>
      <c r="Z2543" s="59">
        <f>IF($T2543="","",IFERROR(INDEX('Resumo Grupos'!$AC$3:$AC$200,MATCH($T2543,'Resumo Grupos'!$AB$3:$AB$200,0)),"n/d"))</f>
        <v/>
      </c>
      <c r="AA2543" s="59">
        <f>IF($T2543="","",IF(COUNTIF('Resumo Grupos'!$AE$3:$AE$40,$T2543)&gt;0,"NAO","SIM"))</f>
        <v/>
      </c>
    </row>
    <row r="2544" ht="45.75" customHeight="1" s="60">
      <c r="A2544" s="70" t="n">
        <v>1</v>
      </c>
      <c r="B2544" s="71" t="n">
        <v>46244</v>
      </c>
      <c r="C2544" s="71" t="n">
        <v>46275</v>
      </c>
      <c r="D2544" s="70" t="n">
        <v>48</v>
      </c>
      <c r="E2544" s="72" t="inlineStr">
        <is>
          <t>NEYLIANE S DE OLIVEIRA &amp; CIA LTDA</t>
        </is>
      </c>
      <c r="F2544" s="70" t="n">
        <v>46</v>
      </c>
      <c r="G2544" s="72" t="inlineStr">
        <is>
          <t>Cartao Sant 1 Velho 9336 venc 10</t>
        </is>
      </c>
      <c r="H2544" s="70" t="n">
        <v>2110405</v>
      </c>
      <c r="I2544" s="72" t="inlineStr">
        <is>
          <t>CONTAS A PAGAR</t>
        </is>
      </c>
      <c r="J2544" s="70" t="n">
        <v>1529925</v>
      </c>
      <c r="L2544" s="70" t="n">
        <v>71341</v>
      </c>
      <c r="M2544" s="72" t="inlineStr">
        <is>
          <t>01</t>
        </is>
      </c>
      <c r="N2544" s="72" t="inlineStr">
        <is>
          <t>AVU</t>
        </is>
      </c>
      <c r="P2544" s="70" t="n">
        <v>101</v>
      </c>
      <c r="Q2544" s="72" t="inlineStr">
        <is>
          <t>KEILA LIMA</t>
        </is>
      </c>
      <c r="R2544" s="72" t="inlineStr">
        <is>
          <t>DESPESAS OPERACIONAIS</t>
        </is>
      </c>
      <c r="S2544" s="70" t="n">
        <v>4210228</v>
      </c>
      <c r="T2544" s="72" t="inlineStr">
        <is>
          <t>DESPESAS PADARIA</t>
        </is>
      </c>
      <c r="U2544" s="73" t="n">
        <v>29.98</v>
      </c>
      <c r="W2544" s="73" t="n">
        <v>0</v>
      </c>
      <c r="X2544" s="72" t="inlineStr">
        <is>
          <t>NFC-E 71341 DESPESA PADARIA PINCEL USO E CONSUO - KI</t>
        </is>
      </c>
      <c r="Z2544" s="59">
        <f>IF($T2544="","",IFERROR(INDEX('Resumo Grupos'!$AC$3:$AC$200,MATCH($T2544,'Resumo Grupos'!$AB$3:$AB$200,0)),"n/d"))</f>
        <v/>
      </c>
      <c r="AA2544" s="59">
        <f>IF($T2544="","",IF(COUNTIF('Resumo Grupos'!$AE$3:$AE$40,$T2544)&gt;0,"NAO","SIM"))</f>
        <v/>
      </c>
    </row>
    <row r="2545" ht="45.75" customHeight="1" s="60">
      <c r="A2545" s="70" t="n">
        <v>1</v>
      </c>
      <c r="B2545" s="71" t="n">
        <v>46241</v>
      </c>
      <c r="C2545" s="71" t="n">
        <v>46275</v>
      </c>
      <c r="D2545" s="70" t="n">
        <v>17</v>
      </c>
      <c r="E2545" s="72" t="inlineStr">
        <is>
          <t>NEYLIANE SILVA DE OLIVEIRA</t>
        </is>
      </c>
      <c r="F2545" s="70" t="n">
        <v>34</v>
      </c>
      <c r="G2545" s="72" t="inlineStr">
        <is>
          <t>Transferencia Pix</t>
        </is>
      </c>
      <c r="H2545" s="70" t="n">
        <v>2110405</v>
      </c>
      <c r="I2545" s="72" t="inlineStr">
        <is>
          <t>CONTAS A PAGAR</t>
        </is>
      </c>
      <c r="J2545" s="70" t="n">
        <v>1512942</v>
      </c>
      <c r="L2545" s="70" t="n">
        <v>619809</v>
      </c>
      <c r="M2545" s="72" t="inlineStr">
        <is>
          <t>03</t>
        </is>
      </c>
      <c r="N2545" s="72" t="inlineStr">
        <is>
          <t>AVU</t>
        </is>
      </c>
      <c r="P2545" s="70" t="n">
        <v>101</v>
      </c>
      <c r="Q2545" s="72" t="inlineStr">
        <is>
          <t>KEILA LIMA</t>
        </is>
      </c>
      <c r="R2545" s="72" t="inlineStr">
        <is>
          <t>DESPESAS NAO OPERACIONAIS</t>
        </is>
      </c>
      <c r="S2545" s="70" t="n">
        <v>4220199</v>
      </c>
      <c r="T2545" s="72" t="inlineStr">
        <is>
          <t>PAGAMENTOS OUTROS NAO OPERACIONAIS</t>
        </is>
      </c>
      <c r="U2545" s="73" t="n">
        <v>150</v>
      </c>
      <c r="W2545" s="73" t="n">
        <v>0</v>
      </c>
      <c r="X2545" s="72" t="inlineStr">
        <is>
          <t>PL NEILA MENS CONTADOR KAMILLA - KEILA</t>
        </is>
      </c>
      <c r="Z2545" s="59">
        <f>IF($T2545="","",IFERROR(INDEX('Resumo Grupos'!$AC$3:$AC$200,MATCH($T2545,'Resumo Grupos'!$AB$3:$AB$200,0)),"n/d"))</f>
        <v/>
      </c>
      <c r="AA2545" s="59">
        <f>IF($T2545="","",IF(COUNTIF('Resumo Grupos'!$AE$3:$AE$40,$T2545)&gt;0,"NAO","SIM"))</f>
        <v/>
      </c>
    </row>
    <row r="2546" ht="45.75" customHeight="1" s="60">
      <c r="A2546" s="70" t="n">
        <v>1</v>
      </c>
      <c r="B2546" s="71" t="n">
        <v>46239</v>
      </c>
      <c r="C2546" s="71" t="n">
        <v>46275</v>
      </c>
      <c r="D2546" s="70" t="n">
        <v>1835</v>
      </c>
      <c r="E2546" s="72" t="inlineStr">
        <is>
          <t>LOJA DO REI COMERCIO DE MATERIAL DE CONS</t>
        </is>
      </c>
      <c r="F2546" s="70" t="n">
        <v>46</v>
      </c>
      <c r="G2546" s="72" t="inlineStr">
        <is>
          <t>Cartao Sant 1 Velho 9336 venc 10</t>
        </is>
      </c>
      <c r="H2546" s="70" t="n">
        <v>2110405</v>
      </c>
      <c r="I2546" s="72" t="inlineStr">
        <is>
          <t>CONTAS A PAGAR</t>
        </is>
      </c>
      <c r="J2546" s="70" t="n">
        <v>1513114</v>
      </c>
      <c r="L2546" s="70" t="n">
        <v>108950</v>
      </c>
      <c r="M2546" s="72" t="inlineStr">
        <is>
          <t>01</t>
        </is>
      </c>
      <c r="N2546" s="72" t="inlineStr">
        <is>
          <t>AVU</t>
        </is>
      </c>
      <c r="P2546" s="70" t="n">
        <v>101</v>
      </c>
      <c r="Q2546" s="72" t="inlineStr">
        <is>
          <t>KEILA LIMA</t>
        </is>
      </c>
      <c r="R2546" s="72" t="inlineStr">
        <is>
          <t>DESPESAS OPERACIONAIS</t>
        </is>
      </c>
      <c r="S2546" s="70" t="n">
        <v>4210228</v>
      </c>
      <c r="T2546" s="72" t="inlineStr">
        <is>
          <t>DESPESAS PADARIA</t>
        </is>
      </c>
      <c r="U2546" s="73" t="n">
        <v>52.51</v>
      </c>
      <c r="W2546" s="73" t="n">
        <v>0</v>
      </c>
      <c r="X2546" s="72" t="inlineStr">
        <is>
          <t xml:space="preserve">NF 108950 DESPESA PADARIA PUVERIZADOR USO E CONS </t>
        </is>
      </c>
      <c r="Z2546" s="59">
        <f>IF($T2546="","",IFERROR(INDEX('Resumo Grupos'!$AC$3:$AC$200,MATCH($T2546,'Resumo Grupos'!$AB$3:$AB$200,0)),"n/d"))</f>
        <v/>
      </c>
      <c r="AA2546" s="59">
        <f>IF($T2546="","",IF(COUNTIF('Resumo Grupos'!$AE$3:$AE$40,$T2546)&gt;0,"NAO","SIM"))</f>
        <v/>
      </c>
    </row>
    <row r="2547" ht="45.75" customHeight="1" s="60">
      <c r="A2547" s="70" t="n">
        <v>1</v>
      </c>
      <c r="B2547" s="71" t="n">
        <v>46242</v>
      </c>
      <c r="C2547" s="71" t="n">
        <v>46275</v>
      </c>
      <c r="D2547" s="70" t="n">
        <v>957</v>
      </c>
      <c r="E2547" s="72" t="inlineStr">
        <is>
          <t>FUNNY PET DISTRIBUIDORA DE ALIMENTOS PAR</t>
        </is>
      </c>
      <c r="F2547" s="70" t="n">
        <v>24</v>
      </c>
      <c r="G2547" s="72" t="inlineStr">
        <is>
          <t>Compra a Prazo - Boletos</t>
        </is>
      </c>
      <c r="H2547" s="70" t="n">
        <v>2110405</v>
      </c>
      <c r="I2547" s="72" t="inlineStr">
        <is>
          <t>CONTAS A PAGAR</t>
        </is>
      </c>
      <c r="J2547" s="70" t="n">
        <v>1517801</v>
      </c>
      <c r="L2547" s="70" t="n">
        <v>21578</v>
      </c>
      <c r="M2547" s="72" t="inlineStr">
        <is>
          <t>02</t>
        </is>
      </c>
      <c r="N2547" s="72" t="inlineStr">
        <is>
          <t>AVU</t>
        </is>
      </c>
      <c r="P2547" s="70" t="n">
        <v>103</v>
      </c>
      <c r="Q2547" s="72" t="inlineStr">
        <is>
          <t>MILKA FRANCIS</t>
        </is>
      </c>
      <c r="R2547" s="72" t="inlineStr">
        <is>
          <t>ESTOQUE DE MERCADORIAS</t>
        </is>
      </c>
      <c r="S2547" s="70" t="n">
        <v>1130101</v>
      </c>
      <c r="T2547" s="72" t="inlineStr">
        <is>
          <t>MERCADORIAS P/REVENDA</t>
        </is>
      </c>
      <c r="U2547" s="73" t="n">
        <v>3429</v>
      </c>
      <c r="W2547" s="73" t="n">
        <v>0</v>
      </c>
      <c r="X2547" s="72" t="inlineStr">
        <is>
          <t>NF 21578-2 MILKA</t>
        </is>
      </c>
      <c r="Z2547" s="59">
        <f>IF($T2547="","",IFERROR(INDEX('Resumo Grupos'!$AC$3:$AC$200,MATCH($T2547,'Resumo Grupos'!$AB$3:$AB$200,0)),"n/d"))</f>
        <v/>
      </c>
      <c r="AA2547" s="59">
        <f>IF($T2547="","",IF(COUNTIF('Resumo Grupos'!$AE$3:$AE$40,$T2547)&gt;0,"NAO","SIM"))</f>
        <v/>
      </c>
    </row>
    <row r="2548" ht="18.75" customHeight="1" s="60">
      <c r="A2548" s="70" t="n">
        <v>1</v>
      </c>
      <c r="B2548" s="71" t="n">
        <v>46199</v>
      </c>
      <c r="C2548" s="71" t="n">
        <v>46275</v>
      </c>
      <c r="D2548" s="70" t="n">
        <v>1242</v>
      </c>
      <c r="E2548" s="72" t="inlineStr">
        <is>
          <t>GLG COMERCIO E INDUSTRIA DO VESTUARIO LTDA</t>
        </is>
      </c>
      <c r="F2548" s="70" t="n">
        <v>46</v>
      </c>
      <c r="G2548" s="72" t="inlineStr">
        <is>
          <t>Cartao Sant 1 Velho 9336 venc 10</t>
        </is>
      </c>
      <c r="H2548" s="70" t="n">
        <v>2110405</v>
      </c>
      <c r="I2548" s="72" t="inlineStr">
        <is>
          <t>CONTAS A PAGAR</t>
        </is>
      </c>
      <c r="J2548" s="70" t="n">
        <v>1529016</v>
      </c>
      <c r="L2548" s="70" t="n">
        <v>625769</v>
      </c>
      <c r="M2548" s="72" t="inlineStr">
        <is>
          <t>02</t>
        </is>
      </c>
      <c r="N2548" s="72" t="inlineStr">
        <is>
          <t>AVU</t>
        </is>
      </c>
      <c r="P2548" s="70" t="n">
        <v>101</v>
      </c>
      <c r="Q2548" s="72" t="inlineStr">
        <is>
          <t>KEILA LIMA</t>
        </is>
      </c>
      <c r="R2548" s="72" t="inlineStr">
        <is>
          <t>DESPESAS NAO OPERACIONAIS</t>
        </is>
      </c>
      <c r="S2548" s="70" t="n">
        <v>4220199</v>
      </c>
      <c r="T2548" s="72" t="inlineStr">
        <is>
          <t>PAGAMENTOS OUTROS NAO OPERACIONAIS</t>
        </is>
      </c>
      <c r="U2548" s="73" t="n">
        <v>160</v>
      </c>
      <c r="W2548" s="73" t="n">
        <v>0</v>
      </c>
      <c r="X2548" s="72" t="n"/>
      <c r="Z2548" s="59">
        <f>IF($T2548="","",IFERROR(INDEX('Resumo Grupos'!$AC$3:$AC$200,MATCH($T2548,'Resumo Grupos'!$AB$3:$AB$200,0)),"n/d"))</f>
        <v/>
      </c>
      <c r="AA2548" s="59">
        <f>IF($T2548="","",IF(COUNTIF('Resumo Grupos'!$AE$3:$AE$40,$T2548)&gt;0,"NAO","SIM"))</f>
        <v/>
      </c>
    </row>
    <row r="2549" ht="45.75" customHeight="1" s="60">
      <c r="A2549" s="70" t="n">
        <v>1</v>
      </c>
      <c r="B2549" s="71" t="n">
        <v>46244</v>
      </c>
      <c r="C2549" s="71" t="n">
        <v>46275</v>
      </c>
      <c r="D2549" s="70" t="n">
        <v>1105</v>
      </c>
      <c r="E2549" s="72" t="inlineStr">
        <is>
          <t xml:space="preserve">LEO MOTO PECAS </t>
        </is>
      </c>
      <c r="F2549" s="70" t="n">
        <v>36</v>
      </c>
      <c r="G2549" s="72" t="inlineStr">
        <is>
          <t>Cartao BB 1 Novo Visa 0499 Venc 25</t>
        </is>
      </c>
      <c r="H2549" s="70" t="n">
        <v>2110405</v>
      </c>
      <c r="I2549" s="72" t="inlineStr">
        <is>
          <t>CONTAS A PAGAR</t>
        </is>
      </c>
      <c r="J2549" s="70" t="n">
        <v>1529935</v>
      </c>
      <c r="L2549" s="70" t="n">
        <v>1663</v>
      </c>
      <c r="M2549" s="72" t="inlineStr">
        <is>
          <t>01</t>
        </is>
      </c>
      <c r="N2549" s="72" t="inlineStr">
        <is>
          <t>AVU</t>
        </is>
      </c>
      <c r="P2549" s="70" t="n">
        <v>101</v>
      </c>
      <c r="Q2549" s="72" t="inlineStr">
        <is>
          <t>KEILA LIMA</t>
        </is>
      </c>
      <c r="R2549" s="72" t="inlineStr">
        <is>
          <t>DESPESAS OPERACIONAIS</t>
        </is>
      </c>
      <c r="S2549" s="70" t="n">
        <v>4210208</v>
      </c>
      <c r="T2549" s="72" t="inlineStr">
        <is>
          <t>MANUTENCAO VEICULOS</t>
        </is>
      </c>
      <c r="U2549" s="73" t="n">
        <v>45</v>
      </c>
      <c r="W2549" s="73" t="n">
        <v>0</v>
      </c>
      <c r="X2549" s="72" t="inlineStr">
        <is>
          <t>NFCE 1663 OLEO MOTO DELIVERY MO1 - KEILA</t>
        </is>
      </c>
      <c r="Z2549" s="59">
        <f>IF($T2549="","",IFERROR(INDEX('Resumo Grupos'!$AC$3:$AC$200,MATCH($T2549,'Resumo Grupos'!$AB$3:$AB$200,0)),"n/d"))</f>
        <v/>
      </c>
      <c r="AA2549" s="59">
        <f>IF($T2549="","",IF(COUNTIF('Resumo Grupos'!$AE$3:$AE$40,$T2549)&gt;0,"NAO","SIM"))</f>
        <v/>
      </c>
    </row>
    <row r="2550" ht="36.75" customHeight="1" s="60">
      <c r="A2550" s="70" t="n">
        <v>1</v>
      </c>
      <c r="B2550" s="71" t="n">
        <v>46246</v>
      </c>
      <c r="C2550" s="71" t="n">
        <v>46275</v>
      </c>
      <c r="D2550" s="70" t="n">
        <v>1659</v>
      </c>
      <c r="E2550" s="72" t="inlineStr">
        <is>
          <t>ADRIANA DISTRIBUIDORA DE PRODUTOS ALIMEN</t>
        </is>
      </c>
      <c r="F2550" s="70" t="n">
        <v>24</v>
      </c>
      <c r="G2550" s="72" t="inlineStr">
        <is>
          <t>Compra a Prazo - Boletos</t>
        </is>
      </c>
      <c r="H2550" s="70" t="n">
        <v>2110405</v>
      </c>
      <c r="I2550" s="72" t="inlineStr">
        <is>
          <t>CONTAS A PAGAR</t>
        </is>
      </c>
      <c r="J2550" s="70" t="n">
        <v>1535642</v>
      </c>
      <c r="L2550" s="70" t="n">
        <v>889987</v>
      </c>
      <c r="M2550" s="72" t="inlineStr">
        <is>
          <t>03</t>
        </is>
      </c>
      <c r="N2550" s="72" t="inlineStr">
        <is>
          <t>AVU</t>
        </is>
      </c>
      <c r="P2550" s="70" t="n">
        <v>103</v>
      </c>
      <c r="Q2550" s="72" t="inlineStr">
        <is>
          <t>MILKA FRANCIS</t>
        </is>
      </c>
      <c r="R2550" s="72" t="inlineStr">
        <is>
          <t>ESTOQUE DE MERCADORIAS</t>
        </is>
      </c>
      <c r="S2550" s="70" t="n">
        <v>1130101</v>
      </c>
      <c r="T2550" s="72" t="inlineStr">
        <is>
          <t>MERCADORIAS P/REVENDA</t>
        </is>
      </c>
      <c r="U2550" s="73" t="n">
        <v>345.95</v>
      </c>
      <c r="W2550" s="73" t="n">
        <v>0</v>
      </c>
      <c r="X2550" s="72" t="inlineStr">
        <is>
          <t>NF 889987-3 MILKA</t>
        </is>
      </c>
      <c r="Z2550" s="59">
        <f>IF($T2550="","",IFERROR(INDEX('Resumo Grupos'!$AC$3:$AC$200,MATCH($T2550,'Resumo Grupos'!$AB$3:$AB$200,0)),"n/d"))</f>
        <v/>
      </c>
      <c r="AA2550" s="59">
        <f>IF($T2550="","",IF(COUNTIF('Resumo Grupos'!$AE$3:$AE$40,$T2550)&gt;0,"NAO","SIM"))</f>
        <v/>
      </c>
    </row>
    <row r="2551" ht="45.75" customHeight="1" s="60">
      <c r="A2551" s="70" t="n">
        <v>1</v>
      </c>
      <c r="B2551" s="71" t="n">
        <v>46246</v>
      </c>
      <c r="C2551" s="71" t="n">
        <v>46275</v>
      </c>
      <c r="D2551" s="70" t="n">
        <v>1390</v>
      </c>
      <c r="E2551" s="72" t="inlineStr">
        <is>
          <t>SMV COMERCIO DE PRODUTOS ALIMENTICIOS LT</t>
        </is>
      </c>
      <c r="F2551" s="70" t="n">
        <v>24</v>
      </c>
      <c r="G2551" s="72" t="inlineStr">
        <is>
          <t>Compra a Prazo - Boletos</t>
        </is>
      </c>
      <c r="H2551" s="70" t="n">
        <v>2110405</v>
      </c>
      <c r="I2551" s="72" t="inlineStr">
        <is>
          <t>CONTAS A PAGAR</t>
        </is>
      </c>
      <c r="J2551" s="70" t="n">
        <v>1537290</v>
      </c>
      <c r="L2551" s="70" t="n">
        <v>7184</v>
      </c>
      <c r="M2551" s="72" t="inlineStr">
        <is>
          <t>01</t>
        </is>
      </c>
      <c r="N2551" s="72" t="inlineStr">
        <is>
          <t>AVU</t>
        </is>
      </c>
      <c r="P2551" s="70" t="n">
        <v>103</v>
      </c>
      <c r="Q2551" s="72" t="inlineStr">
        <is>
          <t>MILKA FRANCIS</t>
        </is>
      </c>
      <c r="R2551" s="72" t="inlineStr">
        <is>
          <t>ESTOQUE DE MERCADORIAS</t>
        </is>
      </c>
      <c r="S2551" s="70" t="n">
        <v>1130101</v>
      </c>
      <c r="T2551" s="72" t="inlineStr">
        <is>
          <t>MERCADORIAS P/REVENDA</t>
        </is>
      </c>
      <c r="U2551" s="73" t="n">
        <v>463.74</v>
      </c>
      <c r="W2551" s="73" t="n">
        <v>0</v>
      </c>
      <c r="X2551" s="72" t="inlineStr">
        <is>
          <t>7520-1/3  NF7184 - MILKA</t>
        </is>
      </c>
      <c r="Z2551" s="59">
        <f>IF($T2551="","",IFERROR(INDEX('Resumo Grupos'!$AC$3:$AC$200,MATCH($T2551,'Resumo Grupos'!$AB$3:$AB$200,0)),"n/d"))</f>
        <v/>
      </c>
      <c r="AA2551" s="59">
        <f>IF($T2551="","",IF(COUNTIF('Resumo Grupos'!$AE$3:$AE$40,$T2551)&gt;0,"NAO","SIM"))</f>
        <v/>
      </c>
    </row>
    <row r="2552" ht="45.75" customHeight="1" s="60">
      <c r="A2552" s="70" t="n">
        <v>1</v>
      </c>
      <c r="B2552" s="71" t="n">
        <v>46239</v>
      </c>
      <c r="C2552" s="71" t="n">
        <v>46275</v>
      </c>
      <c r="D2552" s="70" t="n">
        <v>1832</v>
      </c>
      <c r="E2552" s="72" t="inlineStr">
        <is>
          <t>RCR RIBEIRO ME</t>
        </is>
      </c>
      <c r="F2552" s="70" t="n">
        <v>46</v>
      </c>
      <c r="G2552" s="72" t="inlineStr">
        <is>
          <t>Cartao Sant 1 Velho 9336 venc 10</t>
        </is>
      </c>
      <c r="H2552" s="70" t="n">
        <v>2110405</v>
      </c>
      <c r="I2552" s="72" t="inlineStr">
        <is>
          <t>CONTAS A PAGAR</t>
        </is>
      </c>
      <c r="J2552" s="70" t="n">
        <v>1540679</v>
      </c>
      <c r="L2552" s="70" t="n">
        <v>889850</v>
      </c>
      <c r="M2552" s="72" t="inlineStr">
        <is>
          <t>01</t>
        </is>
      </c>
      <c r="N2552" s="72" t="inlineStr">
        <is>
          <t>AVU</t>
        </is>
      </c>
      <c r="P2552" s="70" t="n">
        <v>101</v>
      </c>
      <c r="Q2552" s="72" t="inlineStr">
        <is>
          <t>KEILA LIMA</t>
        </is>
      </c>
      <c r="R2552" s="72" t="inlineStr">
        <is>
          <t>DESPESAS OPERACIONAIS</t>
        </is>
      </c>
      <c r="S2552" s="70" t="n">
        <v>4210228</v>
      </c>
      <c r="T2552" s="72" t="inlineStr">
        <is>
          <t>DESPESAS PADARIA</t>
        </is>
      </c>
      <c r="U2552" s="73" t="n">
        <v>37</v>
      </c>
      <c r="W2552" s="73" t="n">
        <v>0</v>
      </c>
      <c r="X2552" s="72" t="inlineStr">
        <is>
          <t xml:space="preserve">NFCE 88985 DESPESA PADARIA DESCASCADOR DE LEGUM  </t>
        </is>
      </c>
      <c r="Z2552" s="59">
        <f>IF($T2552="","",IFERROR(INDEX('Resumo Grupos'!$AC$3:$AC$200,MATCH($T2552,'Resumo Grupos'!$AB$3:$AB$200,0)),"n/d"))</f>
        <v/>
      </c>
      <c r="AA2552" s="59">
        <f>IF($T2552="","",IF(COUNTIF('Resumo Grupos'!$AE$3:$AE$40,$T2552)&gt;0,"NAO","SIM"))</f>
        <v/>
      </c>
    </row>
    <row r="2553" ht="45.75" customHeight="1" s="60">
      <c r="A2553" s="70" t="n">
        <v>1</v>
      </c>
      <c r="B2553" s="71" t="n">
        <v>46247</v>
      </c>
      <c r="C2553" s="71" t="n">
        <v>46275</v>
      </c>
      <c r="D2553" s="70" t="n">
        <v>1667</v>
      </c>
      <c r="E2553" s="72" t="inlineStr">
        <is>
          <t>FENNIX BRASIL DISTRIBUIDORA DE PRODUTOS</t>
        </is>
      </c>
      <c r="F2553" s="70" t="n">
        <v>24</v>
      </c>
      <c r="G2553" s="72" t="inlineStr">
        <is>
          <t>Compra a Prazo - Boletos</t>
        </is>
      </c>
      <c r="H2553" s="70" t="n">
        <v>2110405</v>
      </c>
      <c r="I2553" s="72" t="inlineStr">
        <is>
          <t>CONTAS A PAGAR</t>
        </is>
      </c>
      <c r="J2553" s="70" t="n">
        <v>1542918</v>
      </c>
      <c r="L2553" s="70" t="n">
        <v>398226</v>
      </c>
      <c r="M2553" s="72" t="inlineStr">
        <is>
          <t>02</t>
        </is>
      </c>
      <c r="N2553" s="72" t="inlineStr">
        <is>
          <t>AVU</t>
        </is>
      </c>
      <c r="P2553" s="70" t="n">
        <v>103</v>
      </c>
      <c r="Q2553" s="72" t="inlineStr">
        <is>
          <t>MILKA FRANCIS</t>
        </is>
      </c>
      <c r="R2553" s="72" t="inlineStr">
        <is>
          <t>ESTOQUE DE MERCADORIAS</t>
        </is>
      </c>
      <c r="S2553" s="70" t="n">
        <v>1130101</v>
      </c>
      <c r="T2553" s="72" t="inlineStr">
        <is>
          <t>MERCADORIAS P/REVENDA</t>
        </is>
      </c>
      <c r="U2553" s="73" t="n">
        <v>760.27</v>
      </c>
      <c r="W2553" s="73" t="n">
        <v>0</v>
      </c>
      <c r="X2553" s="72" t="inlineStr">
        <is>
          <t>NF  398226 -2 MILKA</t>
        </is>
      </c>
      <c r="Z2553" s="59">
        <f>IF($T2553="","",IFERROR(INDEX('Resumo Grupos'!$AC$3:$AC$200,MATCH($T2553,'Resumo Grupos'!$AB$3:$AB$200,0)),"n/d"))</f>
        <v/>
      </c>
      <c r="AA2553" s="59">
        <f>IF($T2553="","",IF(COUNTIF('Resumo Grupos'!$AE$3:$AE$40,$T2553)&gt;0,"NAO","SIM"))</f>
        <v/>
      </c>
    </row>
    <row r="2554" ht="54.75" customHeight="1" s="60">
      <c r="A2554" s="70" t="n">
        <v>1</v>
      </c>
      <c r="B2554" s="71" t="n">
        <v>46248</v>
      </c>
      <c r="C2554" s="71" t="n">
        <v>46275</v>
      </c>
      <c r="D2554" s="70" t="n">
        <v>10020</v>
      </c>
      <c r="E2554" s="72" t="inlineStr">
        <is>
          <t>E. SALES DO NASCIMENTO</t>
        </is>
      </c>
      <c r="F2554" s="70" t="n">
        <v>24</v>
      </c>
      <c r="G2554" s="72" t="inlineStr">
        <is>
          <t>Compra a Prazo - Boletos</t>
        </is>
      </c>
      <c r="H2554" s="70" t="n">
        <v>2110405</v>
      </c>
      <c r="I2554" s="72" t="inlineStr">
        <is>
          <t>CONTAS A PAGAR</t>
        </is>
      </c>
      <c r="J2554" s="70" t="n">
        <v>1546108</v>
      </c>
      <c r="L2554" s="70" t="n">
        <v>799</v>
      </c>
      <c r="M2554" s="72" t="inlineStr">
        <is>
          <t>03</t>
        </is>
      </c>
      <c r="N2554" s="72" t="inlineStr">
        <is>
          <t>AVU</t>
        </is>
      </c>
      <c r="P2554" s="70" t="n">
        <v>103</v>
      </c>
      <c r="Q2554" s="72" t="inlineStr">
        <is>
          <t>MILKA FRANCIS</t>
        </is>
      </c>
      <c r="R2554" s="72" t="inlineStr">
        <is>
          <t>ESTOQUE DE MERCADORIAS</t>
        </is>
      </c>
      <c r="S2554" s="70" t="n">
        <v>1130101</v>
      </c>
      <c r="T2554" s="72" t="inlineStr">
        <is>
          <t>MERCADORIAS P/REVENDA</t>
        </is>
      </c>
      <c r="U2554" s="73" t="n">
        <v>507.29</v>
      </c>
      <c r="W2554" s="73" t="n">
        <v>0</v>
      </c>
      <c r="X2554" s="72" t="inlineStr">
        <is>
          <t>NF 799-03 ARENA  AGROPET - MILKA</t>
        </is>
      </c>
      <c r="Z2554" s="59">
        <f>IF($T2554="","",IFERROR(INDEX('Resumo Grupos'!$AC$3:$AC$200,MATCH($T2554,'Resumo Grupos'!$AB$3:$AB$200,0)),"n/d"))</f>
        <v/>
      </c>
      <c r="AA2554" s="59">
        <f>IF($T2554="","",IF(COUNTIF('Resumo Grupos'!$AE$3:$AE$40,$T2554)&gt;0,"NAO","SIM"))</f>
        <v/>
      </c>
    </row>
    <row r="2555" ht="54.75" customHeight="1" s="60">
      <c r="A2555" s="70" t="n">
        <v>1</v>
      </c>
      <c r="B2555" s="71" t="n">
        <v>46248</v>
      </c>
      <c r="C2555" s="71" t="n">
        <v>46275</v>
      </c>
      <c r="D2555" s="70" t="n">
        <v>10012</v>
      </c>
      <c r="E2555" s="72" t="inlineStr">
        <is>
          <t>SB COMERCIO LTDA</t>
        </is>
      </c>
      <c r="F2555" s="70" t="n">
        <v>24</v>
      </c>
      <c r="G2555" s="72" t="inlineStr">
        <is>
          <t>Compra a Prazo - Boletos</t>
        </is>
      </c>
      <c r="H2555" s="70" t="n">
        <v>2110405</v>
      </c>
      <c r="I2555" s="72" t="inlineStr">
        <is>
          <t>CONTAS A PAGAR</t>
        </is>
      </c>
      <c r="J2555" s="70" t="n">
        <v>1546127</v>
      </c>
      <c r="L2555" s="70" t="n">
        <v>1965727</v>
      </c>
      <c r="M2555" s="72" t="inlineStr">
        <is>
          <t>01</t>
        </is>
      </c>
      <c r="N2555" s="72" t="inlineStr">
        <is>
          <t>AVU</t>
        </is>
      </c>
      <c r="P2555" s="70" t="n">
        <v>103</v>
      </c>
      <c r="Q2555" s="72" t="inlineStr">
        <is>
          <t>MILKA FRANCIS</t>
        </is>
      </c>
      <c r="R2555" s="72" t="inlineStr">
        <is>
          <t>ESTOQUE DE MERCADORIAS</t>
        </is>
      </c>
      <c r="S2555" s="70" t="n">
        <v>1130101</v>
      </c>
      <c r="T2555" s="72" t="inlineStr">
        <is>
          <t>MERCADORIAS P/REVENDA</t>
        </is>
      </c>
      <c r="U2555" s="73" t="n">
        <v>1236.25</v>
      </c>
      <c r="W2555" s="73" t="n">
        <v>0</v>
      </c>
      <c r="X2555" s="72" t="inlineStr">
        <is>
          <t>NF 1965727 -1 MILKA</t>
        </is>
      </c>
      <c r="Z2555" s="59">
        <f>IF($T2555="","",IFERROR(INDEX('Resumo Grupos'!$AC$3:$AC$200,MATCH($T2555,'Resumo Grupos'!$AB$3:$AB$200,0)),"n/d"))</f>
        <v/>
      </c>
      <c r="AA2555" s="59">
        <f>IF($T2555="","",IF(COUNTIF('Resumo Grupos'!$AE$3:$AE$40,$T2555)&gt;0,"NAO","SIM"))</f>
        <v/>
      </c>
    </row>
    <row r="2556" ht="54.75" customHeight="1" s="60">
      <c r="A2556" s="70" t="n">
        <v>1</v>
      </c>
      <c r="B2556" s="71" t="n">
        <v>46248</v>
      </c>
      <c r="C2556" s="71" t="n">
        <v>46275</v>
      </c>
      <c r="D2556" s="70" t="n">
        <v>862</v>
      </c>
      <c r="E2556" s="72" t="inlineStr">
        <is>
          <t>ACL REPARACAO E TECNOLOGIA DA INFORMACAO LTDA</t>
        </is>
      </c>
      <c r="F2556" s="70" t="n">
        <v>46</v>
      </c>
      <c r="G2556" s="72" t="inlineStr">
        <is>
          <t>Cartao Sant 1 Velho 9336 venc 10</t>
        </is>
      </c>
      <c r="H2556" s="70" t="n">
        <v>2110405</v>
      </c>
      <c r="I2556" s="72" t="inlineStr">
        <is>
          <t>CONTAS A PAGAR</t>
        </is>
      </c>
      <c r="J2556" s="70" t="n">
        <v>1551728</v>
      </c>
      <c r="L2556" s="70" t="n">
        <v>634573</v>
      </c>
      <c r="M2556" s="72" t="inlineStr">
        <is>
          <t>01</t>
        </is>
      </c>
      <c r="N2556" s="72" t="inlineStr">
        <is>
          <t>AVU</t>
        </is>
      </c>
      <c r="P2556" s="70" t="n">
        <v>101</v>
      </c>
      <c r="Q2556" s="72" t="inlineStr">
        <is>
          <t>KEILA LIMA</t>
        </is>
      </c>
      <c r="R2556" s="72" t="inlineStr">
        <is>
          <t>DESPESAS OPERACIONAIS</t>
        </is>
      </c>
      <c r="S2556" s="70" t="n">
        <v>4210232</v>
      </c>
      <c r="T2556" s="72" t="inlineStr">
        <is>
          <t>MANUTENÇÃO EQUIPAMENTOS DE INFORMATICA</t>
        </is>
      </c>
      <c r="U2556" s="73" t="n">
        <v>400</v>
      </c>
      <c r="W2556" s="73" t="n">
        <v>0</v>
      </c>
      <c r="X2556" s="72" t="inlineStr">
        <is>
          <t>PARC 01/04 2 FONTE RESERVA SERVIDOR  MO1 CONSERTO</t>
        </is>
      </c>
      <c r="Z2556" s="59">
        <f>IF($T2556="","",IFERROR(INDEX('Resumo Grupos'!$AC$3:$AC$200,MATCH($T2556,'Resumo Grupos'!$AB$3:$AB$200,0)),"n/d"))</f>
        <v/>
      </c>
      <c r="AA2556" s="59">
        <f>IF($T2556="","",IF(COUNTIF('Resumo Grupos'!$AE$3:$AE$40,$T2556)&gt;0,"NAO","SIM"))</f>
        <v/>
      </c>
    </row>
    <row r="2557" ht="54.75" customHeight="1" s="60">
      <c r="A2557" s="70" t="n">
        <v>1</v>
      </c>
      <c r="B2557" s="71" t="n">
        <v>46251</v>
      </c>
      <c r="C2557" s="71" t="n">
        <v>46275</v>
      </c>
      <c r="D2557" s="70" t="n">
        <v>1671</v>
      </c>
      <c r="E2557" s="72" t="inlineStr">
        <is>
          <t>TAPAJOS COM DE PERFUMARIA COSMETICOS E G</t>
        </is>
      </c>
      <c r="F2557" s="70" t="n">
        <v>24</v>
      </c>
      <c r="G2557" s="72" t="inlineStr">
        <is>
          <t>Compra a Prazo - Boletos</t>
        </is>
      </c>
      <c r="H2557" s="70" t="n">
        <v>2110405</v>
      </c>
      <c r="I2557" s="72" t="inlineStr">
        <is>
          <t>CONTAS A PAGAR</t>
        </is>
      </c>
      <c r="J2557" s="70" t="n">
        <v>1562446</v>
      </c>
      <c r="L2557" s="70" t="n">
        <v>586417</v>
      </c>
      <c r="M2557" s="72" t="inlineStr">
        <is>
          <t>03</t>
        </is>
      </c>
      <c r="N2557" s="72" t="inlineStr">
        <is>
          <t>AVU</t>
        </is>
      </c>
      <c r="P2557" s="70" t="n">
        <v>103</v>
      </c>
      <c r="Q2557" s="72" t="inlineStr">
        <is>
          <t>MILKA FRANCIS</t>
        </is>
      </c>
      <c r="R2557" s="72" t="inlineStr">
        <is>
          <t>ESTOQUE DE MERCADORIAS</t>
        </is>
      </c>
      <c r="S2557" s="70" t="n">
        <v>1130101</v>
      </c>
      <c r="T2557" s="72" t="inlineStr">
        <is>
          <t>MERCADORIAS P/REVENDA</t>
        </is>
      </c>
      <c r="U2557" s="73" t="n">
        <v>1586.84</v>
      </c>
      <c r="W2557" s="73" t="n">
        <v>0</v>
      </c>
      <c r="X2557" s="72" t="inlineStr">
        <is>
          <t>NF 586417-3 C/TARIFA - MILKA</t>
        </is>
      </c>
      <c r="Z2557" s="59">
        <f>IF($T2557="","",IFERROR(INDEX('Resumo Grupos'!$AC$3:$AC$200,MATCH($T2557,'Resumo Grupos'!$AB$3:$AB$200,0)),"n/d"))</f>
        <v/>
      </c>
      <c r="AA2557" s="59">
        <f>IF($T2557="","",IF(COUNTIF('Resumo Grupos'!$AE$3:$AE$40,$T2557)&gt;0,"NAO","SIM"))</f>
        <v/>
      </c>
    </row>
    <row r="2558" ht="36.75" customHeight="1" s="60">
      <c r="A2558" s="70" t="n">
        <v>1</v>
      </c>
      <c r="B2558" s="71" t="n">
        <v>46254</v>
      </c>
      <c r="C2558" s="71" t="n">
        <v>46275</v>
      </c>
      <c r="D2558" s="70" t="n">
        <v>1136</v>
      </c>
      <c r="E2558" s="72" t="inlineStr">
        <is>
          <t>VIA CERTA IMPORTACAO E DISTRIBUICAO DE A</t>
        </is>
      </c>
      <c r="F2558" s="70" t="n">
        <v>24</v>
      </c>
      <c r="G2558" s="72" t="inlineStr">
        <is>
          <t>Compra a Prazo - Boletos</t>
        </is>
      </c>
      <c r="H2558" s="70" t="n">
        <v>2110405</v>
      </c>
      <c r="I2558" s="72" t="inlineStr">
        <is>
          <t>CONTAS A PAGAR</t>
        </is>
      </c>
      <c r="J2558" s="70" t="n">
        <v>1576686</v>
      </c>
      <c r="L2558" s="70" t="n">
        <v>54213</v>
      </c>
      <c r="M2558" s="72" t="inlineStr">
        <is>
          <t>02</t>
        </is>
      </c>
      <c r="N2558" s="72" t="inlineStr">
        <is>
          <t>AVU</t>
        </is>
      </c>
      <c r="P2558" s="70" t="n">
        <v>103</v>
      </c>
      <c r="Q2558" s="72" t="inlineStr">
        <is>
          <t>MILKA FRANCIS</t>
        </is>
      </c>
      <c r="R2558" s="72" t="inlineStr">
        <is>
          <t>ESTOQUE DE MERCADORIAS</t>
        </is>
      </c>
      <c r="S2558" s="70" t="n">
        <v>1130101</v>
      </c>
      <c r="T2558" s="72" t="inlineStr">
        <is>
          <t>MERCADORIAS P/REVENDA</t>
        </is>
      </c>
      <c r="U2558" s="73" t="n">
        <v>789.33</v>
      </c>
      <c r="W2558" s="73" t="n">
        <v>0</v>
      </c>
      <c r="X2558" s="72" t="inlineStr">
        <is>
          <t>NF 54213-2 MILKA</t>
        </is>
      </c>
      <c r="Z2558" s="59">
        <f>IF($T2558="","",IFERROR(INDEX('Resumo Grupos'!$AC$3:$AC$200,MATCH($T2558,'Resumo Grupos'!$AB$3:$AB$200,0)),"n/d"))</f>
        <v/>
      </c>
      <c r="AA2558" s="59">
        <f>IF($T2558="","",IF(COUNTIF('Resumo Grupos'!$AE$3:$AE$40,$T2558)&gt;0,"NAO","SIM"))</f>
        <v/>
      </c>
    </row>
    <row r="2559" ht="36.75" customHeight="1" s="60">
      <c r="A2559" s="70" t="n">
        <v>1</v>
      </c>
      <c r="B2559" s="71" t="n">
        <v>46255</v>
      </c>
      <c r="C2559" s="71" t="n">
        <v>46275</v>
      </c>
      <c r="D2559" s="70" t="n">
        <v>1636</v>
      </c>
      <c r="E2559" s="72" t="inlineStr">
        <is>
          <t>DUNORTE DISTRIBUIDORA DE PRODUTOS DE CONSUMO LTDA</t>
        </is>
      </c>
      <c r="F2559" s="70" t="n">
        <v>24</v>
      </c>
      <c r="G2559" s="72" t="inlineStr">
        <is>
          <t>Compra a Prazo - Boletos</t>
        </is>
      </c>
      <c r="H2559" s="70" t="n">
        <v>2110101</v>
      </c>
      <c r="I2559" s="72" t="inlineStr">
        <is>
          <t>FORNECEDORES DE MERCADORIA</t>
        </is>
      </c>
      <c r="J2559" s="70" t="n">
        <v>1582273</v>
      </c>
      <c r="L2559" s="70" t="n">
        <v>3239532</v>
      </c>
      <c r="M2559" s="72" t="inlineStr">
        <is>
          <t>02</t>
        </is>
      </c>
      <c r="N2559" s="72" t="inlineStr">
        <is>
          <t>AVU</t>
        </is>
      </c>
      <c r="P2559" s="70" t="n">
        <v>103</v>
      </c>
      <c r="Q2559" s="72" t="inlineStr">
        <is>
          <t>MILKA FRANCIS</t>
        </is>
      </c>
      <c r="R2559" s="72" t="inlineStr">
        <is>
          <t>ESTOQUE DE MERCADORIAS</t>
        </is>
      </c>
      <c r="S2559" s="70" t="n">
        <v>1130101</v>
      </c>
      <c r="T2559" s="72" t="inlineStr">
        <is>
          <t>MERCADORIAS P/REVENDA</t>
        </is>
      </c>
      <c r="U2559" s="73" t="n">
        <v>1180.7</v>
      </c>
      <c r="W2559" s="73" t="n">
        <v>0</v>
      </c>
      <c r="X2559" s="72" t="inlineStr">
        <is>
          <t>NF 3239532-2 MILKA</t>
        </is>
      </c>
      <c r="Z2559" s="59">
        <f>IF($T2559="","",IFERROR(INDEX('Resumo Grupos'!$AC$3:$AC$200,MATCH($T2559,'Resumo Grupos'!$AB$3:$AB$200,0)),"n/d"))</f>
        <v/>
      </c>
      <c r="AA2559" s="59">
        <f>IF($T2559="","",IF(COUNTIF('Resumo Grupos'!$AE$3:$AE$40,$T2559)&gt;0,"NAO","SIM"))</f>
        <v/>
      </c>
    </row>
    <row r="2560" ht="54.75" customHeight="1" s="60">
      <c r="A2560" s="70" t="n">
        <v>1</v>
      </c>
      <c r="B2560" s="71" t="n">
        <v>46256</v>
      </c>
      <c r="C2560" s="71" t="n">
        <v>46275</v>
      </c>
      <c r="D2560" s="70" t="n">
        <v>1745</v>
      </c>
      <c r="E2560" s="72" t="inlineStr">
        <is>
          <t>TRES CORACOES ALIMENTOS S.A.</t>
        </is>
      </c>
      <c r="F2560" s="70" t="n">
        <v>24</v>
      </c>
      <c r="G2560" s="72" t="inlineStr">
        <is>
          <t>Compra a Prazo - Boletos</t>
        </is>
      </c>
      <c r="H2560" s="70" t="n">
        <v>2110405</v>
      </c>
      <c r="I2560" s="72" t="inlineStr">
        <is>
          <t>CONTAS A PAGAR</t>
        </is>
      </c>
      <c r="J2560" s="70" t="n">
        <v>1585478</v>
      </c>
      <c r="L2560" s="70" t="n">
        <v>357973</v>
      </c>
      <c r="M2560" s="72" t="inlineStr">
        <is>
          <t>02</t>
        </is>
      </c>
      <c r="N2560" s="72" t="inlineStr">
        <is>
          <t>AVU</t>
        </is>
      </c>
      <c r="P2560" s="70" t="n">
        <v>103</v>
      </c>
      <c r="Q2560" s="72" t="inlineStr">
        <is>
          <t>MILKA FRANCIS</t>
        </is>
      </c>
      <c r="R2560" s="72" t="inlineStr">
        <is>
          <t>ESTOQUE DE MERCADORIAS</t>
        </is>
      </c>
      <c r="S2560" s="70" t="n">
        <v>1130101</v>
      </c>
      <c r="T2560" s="72" t="inlineStr">
        <is>
          <t>MERCADORIAS P/REVENDA</t>
        </is>
      </c>
      <c r="U2560" s="73" t="n">
        <v>1581.44</v>
      </c>
      <c r="W2560" s="73" t="n">
        <v>0</v>
      </c>
      <c r="X2560" s="72" t="inlineStr">
        <is>
          <t>NF 357973 -2 MILKA</t>
        </is>
      </c>
      <c r="Z2560" s="59">
        <f>IF($T2560="","",IFERROR(INDEX('Resumo Grupos'!$AC$3:$AC$200,MATCH($T2560,'Resumo Grupos'!$AB$3:$AB$200,0)),"n/d"))</f>
        <v/>
      </c>
      <c r="AA2560" s="59">
        <f>IF($T2560="","",IF(COUNTIF('Resumo Grupos'!$AE$3:$AE$40,$T2560)&gt;0,"NAO","SIM"))</f>
        <v/>
      </c>
    </row>
    <row r="2561" ht="45.75" customHeight="1" s="60">
      <c r="A2561" s="70" t="n">
        <v>1</v>
      </c>
      <c r="B2561" s="71" t="n">
        <v>46256</v>
      </c>
      <c r="C2561" s="71" t="n">
        <v>46275</v>
      </c>
      <c r="D2561" s="70" t="n">
        <v>1740</v>
      </c>
      <c r="E2561" s="72" t="inlineStr">
        <is>
          <t>OCIDENTAL COMERCIO DE FRIOS LTDA</t>
        </is>
      </c>
      <c r="F2561" s="70" t="n">
        <v>24</v>
      </c>
      <c r="G2561" s="72" t="inlineStr">
        <is>
          <t>Compra a Prazo - Boletos</t>
        </is>
      </c>
      <c r="H2561" s="70" t="n">
        <v>2110405</v>
      </c>
      <c r="I2561" s="72" t="inlineStr">
        <is>
          <t>CONTAS A PAGAR</t>
        </is>
      </c>
      <c r="J2561" s="70" t="n">
        <v>1586237</v>
      </c>
      <c r="L2561" s="70" t="n">
        <v>1261295</v>
      </c>
      <c r="M2561" s="72" t="inlineStr">
        <is>
          <t>01</t>
        </is>
      </c>
      <c r="N2561" s="72" t="inlineStr">
        <is>
          <t>AVU</t>
        </is>
      </c>
      <c r="P2561" s="70" t="n">
        <v>103</v>
      </c>
      <c r="Q2561" s="72" t="inlineStr">
        <is>
          <t>MILKA FRANCIS</t>
        </is>
      </c>
      <c r="R2561" s="72" t="inlineStr">
        <is>
          <t>ESTOQUE DE MERCADORIAS</t>
        </is>
      </c>
      <c r="S2561" s="70" t="n">
        <v>1130101</v>
      </c>
      <c r="T2561" s="72" t="inlineStr">
        <is>
          <t>MERCADORIAS P/REVENDA</t>
        </is>
      </c>
      <c r="U2561" s="73" t="n">
        <v>946.39</v>
      </c>
      <c r="W2561" s="73" t="n">
        <v>0</v>
      </c>
      <c r="X2561" s="72" t="inlineStr">
        <is>
          <t>NF 1261295 - MILKA</t>
        </is>
      </c>
      <c r="Z2561" s="59">
        <f>IF($T2561="","",IFERROR(INDEX('Resumo Grupos'!$AC$3:$AC$200,MATCH($T2561,'Resumo Grupos'!$AB$3:$AB$200,0)),"n/d"))</f>
        <v/>
      </c>
      <c r="AA2561" s="59">
        <f>IF($T2561="","",IF(COUNTIF('Resumo Grupos'!$AE$3:$AE$40,$T2561)&gt;0,"NAO","SIM"))</f>
        <v/>
      </c>
    </row>
    <row r="2562" ht="63.75" customHeight="1" s="60">
      <c r="A2562" s="70" t="n">
        <v>1</v>
      </c>
      <c r="B2562" s="71" t="n">
        <v>46164</v>
      </c>
      <c r="C2562" s="71" t="n">
        <v>46276</v>
      </c>
      <c r="D2562" s="70" t="n">
        <v>515</v>
      </c>
      <c r="E2562" s="72" t="inlineStr">
        <is>
          <t>ITAU SA</t>
        </is>
      </c>
      <c r="F2562" s="70" t="n">
        <v>34</v>
      </c>
      <c r="G2562" s="72" t="inlineStr">
        <is>
          <t>Transferencia Pix</t>
        </is>
      </c>
      <c r="H2562" s="70" t="n">
        <v>2110405</v>
      </c>
      <c r="I2562" s="72" t="inlineStr">
        <is>
          <t>CONTAS A PAGAR</t>
        </is>
      </c>
      <c r="J2562" s="70" t="n">
        <v>1137849</v>
      </c>
      <c r="L2562" s="70" t="n">
        <v>474941</v>
      </c>
      <c r="M2562" s="72" t="inlineStr">
        <is>
          <t>04</t>
        </is>
      </c>
      <c r="N2562" s="72" t="inlineStr">
        <is>
          <t>AVU</t>
        </is>
      </c>
      <c r="P2562" s="70" t="n">
        <v>101</v>
      </c>
      <c r="Q2562" s="72" t="inlineStr">
        <is>
          <t>KEILA LIMA</t>
        </is>
      </c>
      <c r="R2562" s="72" t="inlineStr">
        <is>
          <t>EMPRESTIMOS BANCARIOS</t>
        </is>
      </c>
      <c r="S2562" s="70" t="n">
        <v>2110901</v>
      </c>
      <c r="T2562" s="72" t="inlineStr">
        <is>
          <t>EMPRESTIMOS BANCARIOS A PAGAR</t>
        </is>
      </c>
      <c r="U2562" s="73" t="n">
        <v>15770.14</v>
      </c>
      <c r="W2562" s="73" t="n">
        <v>0</v>
      </c>
      <c r="X2562" s="72" t="inlineStr">
        <is>
          <t>PARC 11/48 PARC GIRO MO1 - KEILA</t>
        </is>
      </c>
      <c r="Z2562" s="59">
        <f>IF($T2562="","",IFERROR(INDEX('Resumo Grupos'!$AC$3:$AC$200,MATCH($T2562,'Resumo Grupos'!$AB$3:$AB$200,0)),"n/d"))</f>
        <v/>
      </c>
      <c r="AA2562" s="59">
        <f>IF($T2562="","",IF(COUNTIF('Resumo Grupos'!$AE$3:$AE$40,$T2562)&gt;0,"NAO","SIM"))</f>
        <v/>
      </c>
    </row>
    <row r="2563" ht="36.75" customHeight="1" s="60">
      <c r="A2563" s="70" t="n">
        <v>1</v>
      </c>
      <c r="B2563" s="71" t="n">
        <v>46192</v>
      </c>
      <c r="C2563" s="71" t="n">
        <v>46276</v>
      </c>
      <c r="D2563" s="70" t="n">
        <v>957</v>
      </c>
      <c r="E2563" s="72" t="inlineStr">
        <is>
          <t>FUNNY PET DISTRIBUIDORA DE ALIMENTOS PAR</t>
        </is>
      </c>
      <c r="F2563" s="70" t="n">
        <v>24</v>
      </c>
      <c r="G2563" s="72" t="inlineStr">
        <is>
          <t>Compra a Prazo - Boletos</t>
        </is>
      </c>
      <c r="H2563" s="70" t="n">
        <v>2110101</v>
      </c>
      <c r="I2563" s="72" t="inlineStr">
        <is>
          <t>FORNECEDORES DE MERCADORIA</t>
        </is>
      </c>
      <c r="J2563" s="70" t="n">
        <v>1273051</v>
      </c>
      <c r="L2563" s="70" t="n">
        <v>20498</v>
      </c>
      <c r="M2563" s="72" t="inlineStr">
        <is>
          <t>03</t>
        </is>
      </c>
      <c r="N2563" s="72" t="inlineStr">
        <is>
          <t>NFE</t>
        </is>
      </c>
      <c r="P2563" s="70" t="n">
        <v>103</v>
      </c>
      <c r="Q2563" s="72" t="inlineStr">
        <is>
          <t>MILKA FRANCIS</t>
        </is>
      </c>
      <c r="R2563" s="72" t="inlineStr">
        <is>
          <t>ESTOQUE DE MERCADORIAS</t>
        </is>
      </c>
      <c r="S2563" s="70" t="n">
        <v>1130101</v>
      </c>
      <c r="T2563" s="72" t="inlineStr">
        <is>
          <t>MERCADORIAS P/REVENDA</t>
        </is>
      </c>
      <c r="U2563" s="73" t="n">
        <v>8427.07</v>
      </c>
      <c r="W2563" s="73" t="n">
        <v>0</v>
      </c>
      <c r="X2563" s="72" t="inlineStr">
        <is>
          <t>NF 20498-3 MILKA</t>
        </is>
      </c>
      <c r="Z2563" s="59">
        <f>IF($T2563="","",IFERROR(INDEX('Resumo Grupos'!$AC$3:$AC$200,MATCH($T2563,'Resumo Grupos'!$AB$3:$AB$200,0)),"n/d"))</f>
        <v/>
      </c>
      <c r="AA2563" s="59">
        <f>IF($T2563="","",IF(COUNTIF('Resumo Grupos'!$AE$3:$AE$40,$T2563)&gt;0,"NAO","SIM"))</f>
        <v/>
      </c>
    </row>
    <row r="2564" ht="36.75" customHeight="1" s="60">
      <c r="A2564" s="70" t="n">
        <v>1</v>
      </c>
      <c r="B2564" s="71" t="n">
        <v>46218</v>
      </c>
      <c r="C2564" s="71" t="n">
        <v>46276</v>
      </c>
      <c r="D2564" s="70" t="n">
        <v>1390</v>
      </c>
      <c r="E2564" s="72" t="inlineStr">
        <is>
          <t>SMV COMERCIO DE PRODUTOS ALIMENTICIOS LT</t>
        </is>
      </c>
      <c r="F2564" s="70" t="n">
        <v>24</v>
      </c>
      <c r="G2564" s="72" t="inlineStr">
        <is>
          <t>Compra a Prazo - Boletos</t>
        </is>
      </c>
      <c r="H2564" s="70" t="n">
        <v>2110405</v>
      </c>
      <c r="I2564" s="72" t="inlineStr">
        <is>
          <t>CONTAS A PAGAR</t>
        </is>
      </c>
      <c r="J2564" s="70" t="n">
        <v>1401827</v>
      </c>
      <c r="L2564" s="70" t="n">
        <v>6933</v>
      </c>
      <c r="M2564" s="72" t="inlineStr">
        <is>
          <t>02</t>
        </is>
      </c>
      <c r="N2564" s="72" t="inlineStr">
        <is>
          <t>AVU</t>
        </is>
      </c>
      <c r="P2564" s="70" t="n">
        <v>103</v>
      </c>
      <c r="Q2564" s="72" t="inlineStr">
        <is>
          <t>MILKA FRANCIS</t>
        </is>
      </c>
      <c r="R2564" s="72" t="inlineStr">
        <is>
          <t>ESTOQUE DE MERCADORIAS</t>
        </is>
      </c>
      <c r="S2564" s="70" t="n">
        <v>1130101</v>
      </c>
      <c r="T2564" s="72" t="inlineStr">
        <is>
          <t>MERCADORIAS P/REVENDA</t>
        </is>
      </c>
      <c r="U2564" s="73" t="n">
        <v>548.9400000000001</v>
      </c>
      <c r="W2564" s="73" t="n">
        <v>0</v>
      </c>
      <c r="X2564" s="72" t="inlineStr">
        <is>
          <t>7226-2/2  NF6933 - MILKA</t>
        </is>
      </c>
      <c r="Z2564" s="59">
        <f>IF($T2564="","",IFERROR(INDEX('Resumo Grupos'!$AC$3:$AC$200,MATCH($T2564,'Resumo Grupos'!$AB$3:$AB$200,0)),"n/d"))</f>
        <v/>
      </c>
      <c r="AA2564" s="59">
        <f>IF($T2564="","",IF(COUNTIF('Resumo Grupos'!$AE$3:$AE$40,$T2564)&gt;0,"NAO","SIM"))</f>
        <v/>
      </c>
    </row>
    <row r="2565" ht="54.75" customHeight="1" s="60">
      <c r="A2565" s="70" t="n">
        <v>1</v>
      </c>
      <c r="B2565" s="71" t="n">
        <v>46242</v>
      </c>
      <c r="C2565" s="71" t="n">
        <v>46276</v>
      </c>
      <c r="D2565" s="70" t="n">
        <v>1107</v>
      </c>
      <c r="E2565" s="72" t="inlineStr">
        <is>
          <t>OESA COMERCIO E REPRESENTACOES S/A</t>
        </is>
      </c>
      <c r="F2565" s="70" t="n">
        <v>24</v>
      </c>
      <c r="G2565" s="72" t="inlineStr">
        <is>
          <t>Compra a Prazo - Boletos</t>
        </is>
      </c>
      <c r="H2565" s="70" t="n">
        <v>2110405</v>
      </c>
      <c r="I2565" s="72" t="inlineStr">
        <is>
          <t>CONTAS A PAGAR</t>
        </is>
      </c>
      <c r="J2565" s="70" t="n">
        <v>1518289</v>
      </c>
      <c r="L2565" s="70" t="n">
        <v>439388</v>
      </c>
      <c r="M2565" s="72" t="inlineStr">
        <is>
          <t>03</t>
        </is>
      </c>
      <c r="N2565" s="72" t="inlineStr">
        <is>
          <t>AVU</t>
        </is>
      </c>
      <c r="P2565" s="70" t="n">
        <v>103</v>
      </c>
      <c r="Q2565" s="72" t="inlineStr">
        <is>
          <t>MILKA FRANCIS</t>
        </is>
      </c>
      <c r="R2565" s="72" t="inlineStr">
        <is>
          <t>ESTOQUE DE MERCADORIAS</t>
        </is>
      </c>
      <c r="S2565" s="70" t="n">
        <v>1130101</v>
      </c>
      <c r="T2565" s="72" t="inlineStr">
        <is>
          <t>MERCADORIAS P/REVENDA</t>
        </is>
      </c>
      <c r="U2565" s="73" t="n">
        <v>1099.43</v>
      </c>
      <c r="W2565" s="73" t="n">
        <v>0</v>
      </c>
      <c r="X2565" s="72" t="inlineStr">
        <is>
          <t>NF 439388-3 MILKA</t>
        </is>
      </c>
      <c r="Z2565" s="59">
        <f>IF($T2565="","",IFERROR(INDEX('Resumo Grupos'!$AC$3:$AC$200,MATCH($T2565,'Resumo Grupos'!$AB$3:$AB$200,0)),"n/d"))</f>
        <v/>
      </c>
      <c r="AA2565" s="59">
        <f>IF($T2565="","",IF(COUNTIF('Resumo Grupos'!$AE$3:$AE$40,$T2565)&gt;0,"NAO","SIM"))</f>
        <v/>
      </c>
    </row>
    <row r="2566" ht="45.75" customHeight="1" s="60">
      <c r="A2566" s="70" t="n">
        <v>1</v>
      </c>
      <c r="B2566" s="71" t="n">
        <v>46251</v>
      </c>
      <c r="C2566" s="71" t="n">
        <v>46276</v>
      </c>
      <c r="D2566" s="70" t="n">
        <v>1636</v>
      </c>
      <c r="E2566" s="72" t="inlineStr">
        <is>
          <t>DUNORTE DISTRIBUIDORA DE PRODUTOS DE CONSUMO LTDA</t>
        </is>
      </c>
      <c r="F2566" s="70" t="n">
        <v>24</v>
      </c>
      <c r="G2566" s="72" t="inlineStr">
        <is>
          <t>Compra a Prazo - Boletos</t>
        </is>
      </c>
      <c r="H2566" s="70" t="n">
        <v>2110405</v>
      </c>
      <c r="I2566" s="72" t="inlineStr">
        <is>
          <t>CONTAS A PAGAR</t>
        </is>
      </c>
      <c r="J2566" s="70" t="n">
        <v>1561678</v>
      </c>
      <c r="L2566" s="70" t="n">
        <v>3237032</v>
      </c>
      <c r="M2566" s="72" t="inlineStr">
        <is>
          <t>02</t>
        </is>
      </c>
      <c r="N2566" s="72" t="inlineStr">
        <is>
          <t>AVU</t>
        </is>
      </c>
      <c r="P2566" s="70" t="n">
        <v>103</v>
      </c>
      <c r="Q2566" s="72" t="inlineStr">
        <is>
          <t>MILKA FRANCIS</t>
        </is>
      </c>
      <c r="R2566" s="72" t="inlineStr">
        <is>
          <t>ESTOQUE DE MERCADORIAS</t>
        </is>
      </c>
      <c r="S2566" s="70" t="n">
        <v>1130101</v>
      </c>
      <c r="T2566" s="72" t="inlineStr">
        <is>
          <t>MERCADORIAS P/REVENDA</t>
        </is>
      </c>
      <c r="U2566" s="73" t="n">
        <v>808.96</v>
      </c>
      <c r="W2566" s="73" t="n">
        <v>0</v>
      </c>
      <c r="X2566" s="72" t="inlineStr">
        <is>
          <t>NF 3237032-2 C/TARIFA  MILKA</t>
        </is>
      </c>
      <c r="Z2566" s="59">
        <f>IF($T2566="","",IFERROR(INDEX('Resumo Grupos'!$AC$3:$AC$200,MATCH($T2566,'Resumo Grupos'!$AB$3:$AB$200,0)),"n/d"))</f>
        <v/>
      </c>
      <c r="AA2566" s="59">
        <f>IF($T2566="","",IF(COUNTIF('Resumo Grupos'!$AE$3:$AE$40,$T2566)&gt;0,"NAO","SIM"))</f>
        <v/>
      </c>
    </row>
    <row r="2567" ht="45.75" customHeight="1" s="60">
      <c r="A2567" s="70" t="n">
        <v>1</v>
      </c>
      <c r="B2567" s="71" t="n">
        <v>46252</v>
      </c>
      <c r="C2567" s="71" t="n">
        <v>46276</v>
      </c>
      <c r="D2567" s="70" t="n">
        <v>1705</v>
      </c>
      <c r="E2567" s="72" t="inlineStr">
        <is>
          <t>BRASIL NORTE BEBIDAS S/A</t>
        </is>
      </c>
      <c r="F2567" s="70" t="n">
        <v>24</v>
      </c>
      <c r="G2567" s="72" t="inlineStr">
        <is>
          <t>Compra a Prazo - Boletos</t>
        </is>
      </c>
      <c r="H2567" s="70" t="n">
        <v>2110405</v>
      </c>
      <c r="I2567" s="72" t="inlineStr">
        <is>
          <t>CONTAS A PAGAR</t>
        </is>
      </c>
      <c r="J2567" s="70" t="n">
        <v>1566336</v>
      </c>
      <c r="L2567" s="70" t="n">
        <v>1250843</v>
      </c>
      <c r="M2567" s="72" t="inlineStr">
        <is>
          <t>01</t>
        </is>
      </c>
      <c r="N2567" s="72" t="inlineStr">
        <is>
          <t>AVU</t>
        </is>
      </c>
      <c r="P2567" s="70" t="n">
        <v>103</v>
      </c>
      <c r="Q2567" s="72" t="inlineStr">
        <is>
          <t>MILKA FRANCIS</t>
        </is>
      </c>
      <c r="R2567" s="72" t="inlineStr">
        <is>
          <t>ESTOQUE DE MERCADORIAS</t>
        </is>
      </c>
      <c r="S2567" s="70" t="n">
        <v>1130101</v>
      </c>
      <c r="T2567" s="72" t="inlineStr">
        <is>
          <t>MERCADORIAS P/REVENDA</t>
        </is>
      </c>
      <c r="U2567" s="73" t="n">
        <v>128.51</v>
      </c>
      <c r="W2567" s="73" t="n">
        <v>0</v>
      </c>
      <c r="X2567" s="72" t="inlineStr">
        <is>
          <t>NF 1250843 COCA - MILKA</t>
        </is>
      </c>
      <c r="Z2567" s="59">
        <f>IF($T2567="","",IFERROR(INDEX('Resumo Grupos'!$AC$3:$AC$200,MATCH($T2567,'Resumo Grupos'!$AB$3:$AB$200,0)),"n/d"))</f>
        <v/>
      </c>
      <c r="AA2567" s="59">
        <f>IF($T2567="","",IF(COUNTIF('Resumo Grupos'!$AE$3:$AE$40,$T2567)&gt;0,"NAO","SIM"))</f>
        <v/>
      </c>
    </row>
    <row r="2568" ht="45.75" customHeight="1" s="60">
      <c r="A2568" s="70" t="n">
        <v>1</v>
      </c>
      <c r="B2568" s="71" t="n">
        <v>46253</v>
      </c>
      <c r="C2568" s="71" t="n">
        <v>46276</v>
      </c>
      <c r="D2568" s="70" t="n">
        <v>10017</v>
      </c>
      <c r="E2568" s="72" t="inlineStr">
        <is>
          <t>PIARARA COMERCIO, IMPORTACAO E EXPORTACAO LTDA</t>
        </is>
      </c>
      <c r="F2568" s="70" t="n">
        <v>24</v>
      </c>
      <c r="G2568" s="72" t="inlineStr">
        <is>
          <t>Compra a Prazo - Boletos</t>
        </is>
      </c>
      <c r="H2568" s="70" t="n">
        <v>2110405</v>
      </c>
      <c r="I2568" s="72" t="inlineStr">
        <is>
          <t>CONTAS A PAGAR</t>
        </is>
      </c>
      <c r="J2568" s="70" t="n">
        <v>1571575</v>
      </c>
      <c r="L2568" s="70" t="n">
        <v>195456</v>
      </c>
      <c r="M2568" s="72" t="inlineStr">
        <is>
          <t>03</t>
        </is>
      </c>
      <c r="N2568" s="72" t="inlineStr">
        <is>
          <t>AVU</t>
        </is>
      </c>
      <c r="P2568" s="70" t="n">
        <v>103</v>
      </c>
      <c r="Q2568" s="72" t="inlineStr">
        <is>
          <t>MILKA FRANCIS</t>
        </is>
      </c>
      <c r="R2568" s="72" t="inlineStr">
        <is>
          <t>ESTOQUE DE MERCADORIAS</t>
        </is>
      </c>
      <c r="S2568" s="70" t="n">
        <v>1130101</v>
      </c>
      <c r="T2568" s="72" t="inlineStr">
        <is>
          <t>MERCADORIAS P/REVENDA</t>
        </is>
      </c>
      <c r="U2568" s="73" t="n">
        <v>792.22</v>
      </c>
      <c r="W2568" s="73" t="n">
        <v>0</v>
      </c>
      <c r="X2568" s="72" t="inlineStr">
        <is>
          <t>NF 195456-3 MILKA</t>
        </is>
      </c>
      <c r="Z2568" s="59">
        <f>IF($T2568="","",IFERROR(INDEX('Resumo Grupos'!$AC$3:$AC$200,MATCH($T2568,'Resumo Grupos'!$AB$3:$AB$200,0)),"n/d"))</f>
        <v/>
      </c>
      <c r="AA2568" s="59">
        <f>IF($T2568="","",IF(COUNTIF('Resumo Grupos'!$AE$3:$AE$40,$T2568)&gt;0,"NAO","SIM"))</f>
        <v/>
      </c>
    </row>
    <row r="2569" ht="36.75" customHeight="1" s="60">
      <c r="A2569" s="70" t="n">
        <v>1</v>
      </c>
      <c r="B2569" s="71" t="n">
        <v>46254</v>
      </c>
      <c r="C2569" s="71" t="n">
        <v>46276</v>
      </c>
      <c r="D2569" s="70" t="n">
        <v>1699</v>
      </c>
      <c r="E2569" s="72" t="inlineStr">
        <is>
          <t>L S M COMERCIO DE ALIMENTOS E NAVEGACAO</t>
        </is>
      </c>
      <c r="F2569" s="70" t="n">
        <v>24</v>
      </c>
      <c r="G2569" s="72" t="inlineStr">
        <is>
          <t>Compra a Prazo - Boletos</t>
        </is>
      </c>
      <c r="H2569" s="70" t="n">
        <v>2110405</v>
      </c>
      <c r="I2569" s="72" t="inlineStr">
        <is>
          <t>CONTAS A PAGAR</t>
        </is>
      </c>
      <c r="J2569" s="70" t="n">
        <v>1577971</v>
      </c>
      <c r="L2569" s="70" t="n">
        <v>311353</v>
      </c>
      <c r="M2569" s="72" t="inlineStr">
        <is>
          <t>02</t>
        </is>
      </c>
      <c r="N2569" s="72" t="inlineStr">
        <is>
          <t>AVU</t>
        </is>
      </c>
      <c r="P2569" s="70" t="n">
        <v>103</v>
      </c>
      <c r="Q2569" s="72" t="inlineStr">
        <is>
          <t>MILKA FRANCIS</t>
        </is>
      </c>
      <c r="R2569" s="72" t="inlineStr">
        <is>
          <t>ESTOQUE DE MERCADORIAS</t>
        </is>
      </c>
      <c r="S2569" s="70" t="n">
        <v>1130101</v>
      </c>
      <c r="T2569" s="72" t="inlineStr">
        <is>
          <t>MERCADORIAS P/REVENDA</t>
        </is>
      </c>
      <c r="U2569" s="73" t="n">
        <v>633</v>
      </c>
      <c r="W2569" s="73" t="n">
        <v>0</v>
      </c>
      <c r="X2569" s="72" t="inlineStr">
        <is>
          <t>NF 311353-2 MILKA</t>
        </is>
      </c>
      <c r="Z2569" s="59">
        <f>IF($T2569="","",IFERROR(INDEX('Resumo Grupos'!$AC$3:$AC$200,MATCH($T2569,'Resumo Grupos'!$AB$3:$AB$200,0)),"n/d"))</f>
        <v/>
      </c>
      <c r="AA2569" s="59">
        <f>IF($T2569="","",IF(COUNTIF('Resumo Grupos'!$AE$3:$AE$40,$T2569)&gt;0,"NAO","SIM"))</f>
        <v/>
      </c>
    </row>
    <row r="2570" ht="54.75" customHeight="1" s="60">
      <c r="A2570" s="70" t="n">
        <v>1</v>
      </c>
      <c r="B2570" s="71" t="n">
        <v>46255</v>
      </c>
      <c r="C2570" s="71" t="n">
        <v>46276</v>
      </c>
      <c r="D2570" s="70" t="n">
        <v>1634</v>
      </c>
      <c r="E2570" s="72" t="inlineStr">
        <is>
          <t>FH DISTRIBUIDORA DE ALIM. E BEBIDAS LTDA</t>
        </is>
      </c>
      <c r="F2570" s="70" t="n">
        <v>24</v>
      </c>
      <c r="G2570" s="72" t="inlineStr">
        <is>
          <t>Compra a Prazo - Boletos</t>
        </is>
      </c>
      <c r="H2570" s="70" t="n">
        <v>2110405</v>
      </c>
      <c r="I2570" s="72" t="inlineStr">
        <is>
          <t>CONTAS A PAGAR</t>
        </is>
      </c>
      <c r="J2570" s="70" t="n">
        <v>1582023</v>
      </c>
      <c r="L2570" s="70" t="n">
        <v>330734</v>
      </c>
      <c r="M2570" s="72" t="inlineStr">
        <is>
          <t>02</t>
        </is>
      </c>
      <c r="N2570" s="72" t="inlineStr">
        <is>
          <t>AVU</t>
        </is>
      </c>
      <c r="P2570" s="70" t="n">
        <v>103</v>
      </c>
      <c r="Q2570" s="72" t="inlineStr">
        <is>
          <t>MILKA FRANCIS</t>
        </is>
      </c>
      <c r="R2570" s="72" t="inlineStr">
        <is>
          <t>ESTOQUE DE MERCADORIAS</t>
        </is>
      </c>
      <c r="S2570" s="70" t="n">
        <v>1130101</v>
      </c>
      <c r="T2570" s="72" t="inlineStr">
        <is>
          <t>MERCADORIAS P/REVENDA</t>
        </is>
      </c>
      <c r="U2570" s="73" t="n">
        <v>1232.16</v>
      </c>
      <c r="W2570" s="73" t="n">
        <v>0</v>
      </c>
      <c r="X2570" s="72" t="inlineStr">
        <is>
          <t>NF 330734-2 MILKA</t>
        </is>
      </c>
      <c r="Z2570" s="59">
        <f>IF($T2570="","",IFERROR(INDEX('Resumo Grupos'!$AC$3:$AC$200,MATCH($T2570,'Resumo Grupos'!$AB$3:$AB$200,0)),"n/d"))</f>
        <v/>
      </c>
      <c r="AA2570" s="59">
        <f>IF($T2570="","",IF(COUNTIF('Resumo Grupos'!$AE$3:$AE$40,$T2570)&gt;0,"NAO","SIM"))</f>
        <v/>
      </c>
    </row>
    <row r="2571" ht="54.75" customHeight="1" s="60">
      <c r="A2571" s="70" t="n">
        <v>1</v>
      </c>
      <c r="B2571" s="71" t="n">
        <v>46256</v>
      </c>
      <c r="C2571" s="71" t="n">
        <v>46276</v>
      </c>
      <c r="D2571" s="70" t="n">
        <v>1659</v>
      </c>
      <c r="E2571" s="72" t="inlineStr">
        <is>
          <t>ADRIANA DISTRIBUIDORA DE PRODUTOS ALIMEN</t>
        </is>
      </c>
      <c r="F2571" s="70" t="n">
        <v>24</v>
      </c>
      <c r="G2571" s="72" t="inlineStr">
        <is>
          <t>Compra a Prazo - Boletos</t>
        </is>
      </c>
      <c r="H2571" s="70" t="n">
        <v>2110405</v>
      </c>
      <c r="I2571" s="72" t="inlineStr">
        <is>
          <t>CONTAS A PAGAR</t>
        </is>
      </c>
      <c r="J2571" s="70" t="n">
        <v>1585364</v>
      </c>
      <c r="L2571" s="70" t="n">
        <v>891630</v>
      </c>
      <c r="M2571" s="72" t="inlineStr">
        <is>
          <t>02</t>
        </is>
      </c>
      <c r="N2571" s="72" t="inlineStr">
        <is>
          <t>AVU</t>
        </is>
      </c>
      <c r="P2571" s="70" t="n">
        <v>103</v>
      </c>
      <c r="Q2571" s="72" t="inlineStr">
        <is>
          <t>MILKA FRANCIS</t>
        </is>
      </c>
      <c r="R2571" s="72" t="inlineStr">
        <is>
          <t>ESTOQUE DE MERCADORIAS</t>
        </is>
      </c>
      <c r="S2571" s="70" t="n">
        <v>1130101</v>
      </c>
      <c r="T2571" s="72" t="inlineStr">
        <is>
          <t>MERCADORIAS P/REVENDA</t>
        </is>
      </c>
      <c r="U2571" s="73" t="n">
        <v>1167.29</v>
      </c>
      <c r="W2571" s="73" t="n">
        <v>0</v>
      </c>
      <c r="X2571" s="72" t="inlineStr">
        <is>
          <t>NF 891630-2 MILKA</t>
        </is>
      </c>
      <c r="Z2571" s="59">
        <f>IF($T2571="","",IFERROR(INDEX('Resumo Grupos'!$AC$3:$AC$200,MATCH($T2571,'Resumo Grupos'!$AB$3:$AB$200,0)),"n/d"))</f>
        <v/>
      </c>
      <c r="AA2571" s="59">
        <f>IF($T2571="","",IF(COUNTIF('Resumo Grupos'!$AE$3:$AE$40,$T2571)&gt;0,"NAO","SIM"))</f>
        <v/>
      </c>
    </row>
    <row r="2572" ht="54.75" customHeight="1" s="60">
      <c r="A2572" s="70" t="n">
        <v>1</v>
      </c>
      <c r="B2572" s="71" t="n">
        <v>46256</v>
      </c>
      <c r="C2572" s="71" t="n">
        <v>46276</v>
      </c>
      <c r="D2572" s="70" t="n">
        <v>1667</v>
      </c>
      <c r="E2572" s="72" t="inlineStr">
        <is>
          <t>FENNIX BRASIL DISTRIBUIDORA DE PRODUTOS</t>
        </is>
      </c>
      <c r="F2572" s="70" t="n">
        <v>24</v>
      </c>
      <c r="G2572" s="72" t="inlineStr">
        <is>
          <t>Compra a Prazo - Boletos</t>
        </is>
      </c>
      <c r="H2572" s="70" t="n">
        <v>2110405</v>
      </c>
      <c r="I2572" s="72" t="inlineStr">
        <is>
          <t>CONTAS A PAGAR</t>
        </is>
      </c>
      <c r="J2572" s="70" t="n">
        <v>1585385</v>
      </c>
      <c r="L2572" s="70" t="n">
        <v>398654</v>
      </c>
      <c r="M2572" s="72" t="inlineStr">
        <is>
          <t>02</t>
        </is>
      </c>
      <c r="N2572" s="72" t="inlineStr">
        <is>
          <t>AVU</t>
        </is>
      </c>
      <c r="P2572" s="70" t="n">
        <v>103</v>
      </c>
      <c r="Q2572" s="72" t="inlineStr">
        <is>
          <t>MILKA FRANCIS</t>
        </is>
      </c>
      <c r="R2572" s="72" t="inlineStr">
        <is>
          <t>ESTOQUE DE MERCADORIAS</t>
        </is>
      </c>
      <c r="S2572" s="70" t="n">
        <v>1130101</v>
      </c>
      <c r="T2572" s="72" t="inlineStr">
        <is>
          <t>MERCADORIAS P/REVENDA</t>
        </is>
      </c>
      <c r="U2572" s="73" t="n">
        <v>684.26</v>
      </c>
      <c r="W2572" s="73" t="n">
        <v>0</v>
      </c>
      <c r="X2572" s="72" t="inlineStr">
        <is>
          <t>NF 398654 -2 TARIFA INCLUSA - MILKA</t>
        </is>
      </c>
      <c r="Z2572" s="59">
        <f>IF($T2572="","",IFERROR(INDEX('Resumo Grupos'!$AC$3:$AC$200,MATCH($T2572,'Resumo Grupos'!$AB$3:$AB$200,0)),"n/d"))</f>
        <v/>
      </c>
      <c r="AA2572" s="59">
        <f>IF($T2572="","",IF(COUNTIF('Resumo Grupos'!$AE$3:$AE$40,$T2572)&gt;0,"NAO","SIM"))</f>
        <v/>
      </c>
    </row>
    <row r="2573" ht="45.75" customHeight="1" s="60">
      <c r="A2573" s="70" t="n">
        <v>1</v>
      </c>
      <c r="B2573" s="71" t="n">
        <v>46256</v>
      </c>
      <c r="C2573" s="71" t="n">
        <v>46276</v>
      </c>
      <c r="D2573" s="70" t="n">
        <v>1612</v>
      </c>
      <c r="E2573" s="72" t="inlineStr">
        <is>
          <t>EMPRESA BRASILEIRA DE DISTRIBUICAO LTDA</t>
        </is>
      </c>
      <c r="F2573" s="70" t="n">
        <v>24</v>
      </c>
      <c r="G2573" s="72" t="inlineStr">
        <is>
          <t>Compra a Prazo - Boletos</t>
        </is>
      </c>
      <c r="H2573" s="70" t="n">
        <v>2110405</v>
      </c>
      <c r="I2573" s="72" t="inlineStr">
        <is>
          <t>CONTAS A PAGAR</t>
        </is>
      </c>
      <c r="J2573" s="70" t="n">
        <v>1586205</v>
      </c>
      <c r="L2573" s="70" t="n">
        <v>2312016</v>
      </c>
      <c r="M2573" s="72" t="inlineStr">
        <is>
          <t>01</t>
        </is>
      </c>
      <c r="N2573" s="72" t="inlineStr">
        <is>
          <t>AVU</t>
        </is>
      </c>
      <c r="P2573" s="70" t="n">
        <v>103</v>
      </c>
      <c r="Q2573" s="72" t="inlineStr">
        <is>
          <t>MILKA FRANCIS</t>
        </is>
      </c>
      <c r="R2573" s="72" t="inlineStr">
        <is>
          <t>ESTOQUE DE MERCADORIAS</t>
        </is>
      </c>
      <c r="S2573" s="70" t="n">
        <v>1130101</v>
      </c>
      <c r="T2573" s="72" t="inlineStr">
        <is>
          <t>MERCADORIAS P/REVENDA</t>
        </is>
      </c>
      <c r="U2573" s="73" t="n">
        <v>734</v>
      </c>
      <c r="W2573" s="73" t="n">
        <v>0</v>
      </c>
      <c r="X2573" s="72" t="inlineStr">
        <is>
          <t>NF 2312016 - MILKA</t>
        </is>
      </c>
      <c r="Z2573" s="59">
        <f>IF($T2573="","",IFERROR(INDEX('Resumo Grupos'!$AC$3:$AC$200,MATCH($T2573,'Resumo Grupos'!$AB$3:$AB$200,0)),"n/d"))</f>
        <v/>
      </c>
      <c r="AA2573" s="59">
        <f>IF($T2573="","",IF(COUNTIF('Resumo Grupos'!$AE$3:$AE$40,$T2573)&gt;0,"NAO","SIM"))</f>
        <v/>
      </c>
    </row>
    <row r="2574" ht="54.75" customHeight="1" s="60">
      <c r="A2574" s="70" t="n">
        <v>1</v>
      </c>
      <c r="B2574" s="71" t="n">
        <v>46241</v>
      </c>
      <c r="C2574" s="71" t="n">
        <v>46277</v>
      </c>
      <c r="D2574" s="70" t="n">
        <v>887</v>
      </c>
      <c r="E2574" s="72" t="inlineStr">
        <is>
          <t>INTLINK TECNOLOGIA LTDA</t>
        </is>
      </c>
      <c r="F2574" s="70" t="n">
        <v>24</v>
      </c>
      <c r="G2574" s="72" t="inlineStr">
        <is>
          <t>Compra a Prazo - Boletos</t>
        </is>
      </c>
      <c r="H2574" s="70" t="n">
        <v>2110405</v>
      </c>
      <c r="I2574" s="72" t="inlineStr">
        <is>
          <t>CONTAS A PAGAR</t>
        </is>
      </c>
      <c r="J2574" s="70" t="n">
        <v>1514434</v>
      </c>
      <c r="L2574" s="70" t="n">
        <v>620151</v>
      </c>
      <c r="M2574" s="72" t="inlineStr">
        <is>
          <t>02</t>
        </is>
      </c>
      <c r="N2574" s="72" t="inlineStr">
        <is>
          <t>AVU</t>
        </is>
      </c>
      <c r="P2574" s="70" t="n">
        <v>101</v>
      </c>
      <c r="Q2574" s="72" t="inlineStr">
        <is>
          <t>KEILA LIMA</t>
        </is>
      </c>
      <c r="R2574" s="72" t="inlineStr">
        <is>
          <t>DESPESAS COM PESSOAL</t>
        </is>
      </c>
      <c r="S2574" s="70" t="n">
        <v>4210315</v>
      </c>
      <c r="T2574" s="72" t="inlineStr">
        <is>
          <t>INTERNET</t>
        </is>
      </c>
      <c r="U2574" s="73" t="n">
        <v>199.8</v>
      </c>
      <c r="W2574" s="73" t="n">
        <v>0</v>
      </c>
      <c r="X2574" s="72" t="inlineStr">
        <is>
          <t>MENSALIDADE INTERNET MO1 - KEILA</t>
        </is>
      </c>
      <c r="Z2574" s="59">
        <f>IF($T2574="","",IFERROR(INDEX('Resumo Grupos'!$AC$3:$AC$200,MATCH($T2574,'Resumo Grupos'!$AB$3:$AB$200,0)),"n/d"))</f>
        <v/>
      </c>
      <c r="AA2574" s="59">
        <f>IF($T2574="","",IF(COUNTIF('Resumo Grupos'!$AE$3:$AE$40,$T2574)&gt;0,"NAO","SIM"))</f>
        <v/>
      </c>
    </row>
    <row r="2575" ht="54.75" customHeight="1" s="60">
      <c r="A2575" s="70" t="n">
        <v>1</v>
      </c>
      <c r="B2575" s="71" t="n">
        <v>46251</v>
      </c>
      <c r="C2575" s="71" t="n">
        <v>46277</v>
      </c>
      <c r="D2575" s="70" t="n">
        <v>1636</v>
      </c>
      <c r="E2575" s="72" t="inlineStr">
        <is>
          <t>DUNORTE DISTRIBUIDORA DE PRODUTOS DE CONSUMO LTDA</t>
        </is>
      </c>
      <c r="F2575" s="70" t="n">
        <v>24</v>
      </c>
      <c r="G2575" s="72" t="inlineStr">
        <is>
          <t>Compra a Prazo - Boletos</t>
        </is>
      </c>
      <c r="H2575" s="70" t="n">
        <v>2110405</v>
      </c>
      <c r="I2575" s="72" t="inlineStr">
        <is>
          <t>CONTAS A PAGAR</t>
        </is>
      </c>
      <c r="J2575" s="70" t="n">
        <v>1562357</v>
      </c>
      <c r="L2575" s="70" t="n">
        <v>3236815</v>
      </c>
      <c r="M2575" s="72" t="inlineStr">
        <is>
          <t>01</t>
        </is>
      </c>
      <c r="N2575" s="72" t="inlineStr">
        <is>
          <t>AVU</t>
        </is>
      </c>
      <c r="P2575" s="70" t="n">
        <v>103</v>
      </c>
      <c r="Q2575" s="72" t="inlineStr">
        <is>
          <t>MILKA FRANCIS</t>
        </is>
      </c>
      <c r="R2575" s="72" t="inlineStr">
        <is>
          <t>DESPESAS OPERACIONAIS</t>
        </is>
      </c>
      <c r="S2575" s="70" t="n">
        <v>4210204</v>
      </c>
      <c r="T2575" s="72" t="inlineStr">
        <is>
          <t>MATERIAL DE CONSUMO</t>
        </is>
      </c>
      <c r="U2575" s="73" t="n">
        <v>488.56</v>
      </c>
      <c r="W2575" s="73" t="n">
        <v>0</v>
      </c>
      <c r="X2575" s="72" t="inlineStr">
        <is>
          <t>NF 3236815 USO E CONSUMO /PAPEL TOALHA/SAB.LIQUIDO 5L - MILKA</t>
        </is>
      </c>
      <c r="Z2575" s="59">
        <f>IF($T2575="","",IFERROR(INDEX('Resumo Grupos'!$AC$3:$AC$200,MATCH($T2575,'Resumo Grupos'!$AB$3:$AB$200,0)),"n/d"))</f>
        <v/>
      </c>
      <c r="AA2575" s="59">
        <f>IF($T2575="","",IF(COUNTIF('Resumo Grupos'!$AE$3:$AE$40,$T2575)&gt;0,"NAO","SIM"))</f>
        <v/>
      </c>
    </row>
    <row r="2576" ht="36.75" customHeight="1" s="60">
      <c r="A2576" s="70" t="n">
        <v>1</v>
      </c>
      <c r="B2576" s="71" t="n">
        <v>46253</v>
      </c>
      <c r="C2576" s="71" t="n">
        <v>46277</v>
      </c>
      <c r="D2576" s="70" t="n">
        <v>1687</v>
      </c>
      <c r="E2576" s="72" t="inlineStr">
        <is>
          <t>M H DE S COSTA GARCIA EPP</t>
        </is>
      </c>
      <c r="F2576" s="70" t="n">
        <v>24</v>
      </c>
      <c r="G2576" s="72" t="inlineStr">
        <is>
          <t>Compra a Prazo - Boletos</t>
        </is>
      </c>
      <c r="H2576" s="70" t="n">
        <v>2110405</v>
      </c>
      <c r="I2576" s="72" t="inlineStr">
        <is>
          <t>CONTAS A PAGAR</t>
        </is>
      </c>
      <c r="J2576" s="70" t="n">
        <v>1571287</v>
      </c>
      <c r="L2576" s="70" t="n">
        <v>248020</v>
      </c>
      <c r="M2576" s="72" t="inlineStr">
        <is>
          <t>01</t>
        </is>
      </c>
      <c r="N2576" s="72" t="inlineStr">
        <is>
          <t>AVU</t>
        </is>
      </c>
      <c r="P2576" s="70" t="n">
        <v>103</v>
      </c>
      <c r="Q2576" s="72" t="inlineStr">
        <is>
          <t>MILKA FRANCIS</t>
        </is>
      </c>
      <c r="R2576" s="72" t="inlineStr">
        <is>
          <t>ESTOQUE DE MERCADORIAS</t>
        </is>
      </c>
      <c r="S2576" s="70" t="n">
        <v>1130101</v>
      </c>
      <c r="T2576" s="72" t="inlineStr">
        <is>
          <t>MERCADORIAS P/REVENDA</t>
        </is>
      </c>
      <c r="U2576" s="73" t="n">
        <v>875.7</v>
      </c>
      <c r="W2576" s="73" t="n">
        <v>0</v>
      </c>
      <c r="X2576" s="72" t="inlineStr">
        <is>
          <t>NF 248020 OURO VERDE - MILKA</t>
        </is>
      </c>
      <c r="Z2576" s="59">
        <f>IF($T2576="","",IFERROR(INDEX('Resumo Grupos'!$AC$3:$AC$200,MATCH($T2576,'Resumo Grupos'!$AB$3:$AB$200,0)),"n/d"))</f>
        <v/>
      </c>
      <c r="AA2576" s="59">
        <f>IF($T2576="","",IF(COUNTIF('Resumo Grupos'!$AE$3:$AE$40,$T2576)&gt;0,"NAO","SIM"))</f>
        <v/>
      </c>
    </row>
    <row r="2577" ht="45.75" customHeight="1" s="60">
      <c r="A2577" s="70" t="n">
        <v>1</v>
      </c>
      <c r="B2577" s="71" t="n">
        <v>46255</v>
      </c>
      <c r="C2577" s="71" t="n">
        <v>46277</v>
      </c>
      <c r="D2577" s="70" t="n">
        <v>1718</v>
      </c>
      <c r="E2577" s="72" t="inlineStr">
        <is>
          <t>DISTRIBUIDORA FARIAS LTDA.</t>
        </is>
      </c>
      <c r="F2577" s="70" t="n">
        <v>24</v>
      </c>
      <c r="G2577" s="72" t="inlineStr">
        <is>
          <t>Compra a Prazo - Boletos</t>
        </is>
      </c>
      <c r="H2577" s="70" t="n">
        <v>2110405</v>
      </c>
      <c r="I2577" s="72" t="inlineStr">
        <is>
          <t>CONTAS A PAGAR</t>
        </is>
      </c>
      <c r="J2577" s="70" t="n">
        <v>1581946</v>
      </c>
      <c r="L2577" s="70" t="n">
        <v>690674</v>
      </c>
      <c r="M2577" s="72" t="inlineStr">
        <is>
          <t>02</t>
        </is>
      </c>
      <c r="N2577" s="72" t="inlineStr">
        <is>
          <t>AVU</t>
        </is>
      </c>
      <c r="P2577" s="70" t="n">
        <v>103</v>
      </c>
      <c r="Q2577" s="72" t="inlineStr">
        <is>
          <t>MILKA FRANCIS</t>
        </is>
      </c>
      <c r="R2577" s="72" t="inlineStr">
        <is>
          <t>ESTOQUE DE MERCADORIAS</t>
        </is>
      </c>
      <c r="S2577" s="70" t="n">
        <v>1130101</v>
      </c>
      <c r="T2577" s="72" t="inlineStr">
        <is>
          <t>MERCADORIAS P/REVENDA</t>
        </is>
      </c>
      <c r="U2577" s="73" t="n">
        <v>396.53</v>
      </c>
      <c r="W2577" s="73" t="n">
        <v>0</v>
      </c>
      <c r="X2577" s="72" t="inlineStr">
        <is>
          <t>815076-B/C  NF690674 - MILKA</t>
        </is>
      </c>
      <c r="Z2577" s="59">
        <f>IF($T2577="","",IFERROR(INDEX('Resumo Grupos'!$AC$3:$AC$200,MATCH($T2577,'Resumo Grupos'!$AB$3:$AB$200,0)),"n/d"))</f>
        <v/>
      </c>
      <c r="AA2577" s="59">
        <f>IF($T2577="","",IF(COUNTIF('Resumo Grupos'!$AE$3:$AE$40,$T2577)&gt;0,"NAO","SIM"))</f>
        <v/>
      </c>
    </row>
    <row r="2578" ht="45.75" customHeight="1" s="60">
      <c r="A2578" s="70" t="n">
        <v>1</v>
      </c>
      <c r="B2578" s="71" t="n">
        <v>46105</v>
      </c>
      <c r="C2578" s="71" t="n">
        <v>46278</v>
      </c>
      <c r="D2578" s="70" t="n">
        <v>10056</v>
      </c>
      <c r="E2578" s="72" t="inlineStr">
        <is>
          <t>BOLT CARD</t>
        </is>
      </c>
      <c r="F2578" s="70" t="n">
        <v>42</v>
      </c>
      <c r="G2578" s="72" t="inlineStr">
        <is>
          <t>Cartao Itau Novo 4620 Venc 13</t>
        </is>
      </c>
      <c r="H2578" s="70" t="n">
        <v>2110405</v>
      </c>
      <c r="I2578" s="72" t="inlineStr">
        <is>
          <t>CONTAS A PAGAR</t>
        </is>
      </c>
      <c r="J2578" s="70" t="n">
        <v>848843</v>
      </c>
      <c r="L2578" s="70" t="n">
        <v>363960</v>
      </c>
      <c r="M2578" s="72" t="inlineStr">
        <is>
          <t>06</t>
        </is>
      </c>
      <c r="N2578" s="72" t="inlineStr">
        <is>
          <t>AVU</t>
        </is>
      </c>
      <c r="P2578" s="70" t="n">
        <v>101</v>
      </c>
      <c r="Q2578" s="72" t="inlineStr">
        <is>
          <t>KEILA LIMA</t>
        </is>
      </c>
      <c r="R2578" s="72" t="inlineStr">
        <is>
          <t>DESPESAS NAO OPERACIONAIS</t>
        </is>
      </c>
      <c r="S2578" s="70" t="n">
        <v>4220199</v>
      </c>
      <c r="T2578" s="72" t="inlineStr">
        <is>
          <t>PAGAMENTOS OUTROS NAO OPERACIONAIS</t>
        </is>
      </c>
      <c r="U2578" s="73" t="n">
        <v>333.35</v>
      </c>
      <c r="W2578" s="73" t="n">
        <v>0</v>
      </c>
      <c r="X2578" s="72" t="inlineStr">
        <is>
          <t>DESPESA - CARTAO BRASIL CARD BOLT LOJAS - KEILA</t>
        </is>
      </c>
      <c r="Z2578" s="59">
        <f>IF($T2578="","",IFERROR(INDEX('Resumo Grupos'!$AC$3:$AC$200,MATCH($T2578,'Resumo Grupos'!$AB$3:$AB$200,0)),"n/d"))</f>
        <v/>
      </c>
      <c r="AA2578" s="59">
        <f>IF($T2578="","",IF(COUNTIF('Resumo Grupos'!$AE$3:$AE$40,$T2578)&gt;0,"NAO","SIM"))</f>
        <v/>
      </c>
    </row>
    <row r="2579" ht="45.75" customHeight="1" s="60">
      <c r="A2579" s="70" t="n">
        <v>1</v>
      </c>
      <c r="B2579" s="71" t="n">
        <v>46204</v>
      </c>
      <c r="C2579" s="71" t="n">
        <v>46278</v>
      </c>
      <c r="D2579" s="70" t="n">
        <v>607</v>
      </c>
      <c r="E2579" s="72" t="inlineStr">
        <is>
          <t>PRIME PET DISTRIBUIDORA LTDA</t>
        </is>
      </c>
      <c r="F2579" s="70" t="n">
        <v>24</v>
      </c>
      <c r="G2579" s="72" t="inlineStr">
        <is>
          <t>Compra a Prazo - Boletos</t>
        </is>
      </c>
      <c r="H2579" s="70" t="n">
        <v>2110101</v>
      </c>
      <c r="I2579" s="72" t="inlineStr">
        <is>
          <t>FORNECEDORES DE MERCADORIA</t>
        </is>
      </c>
      <c r="J2579" s="70" t="n">
        <v>1335231</v>
      </c>
      <c r="L2579" s="70" t="n">
        <v>11002</v>
      </c>
      <c r="M2579" s="72" t="inlineStr">
        <is>
          <t>06</t>
        </is>
      </c>
      <c r="N2579" s="72" t="inlineStr">
        <is>
          <t>NFE</t>
        </is>
      </c>
      <c r="P2579" s="70" t="n">
        <v>103</v>
      </c>
      <c r="Q2579" s="72" t="inlineStr">
        <is>
          <t>MILKA FRANCIS</t>
        </is>
      </c>
      <c r="R2579" s="72" t="inlineStr">
        <is>
          <t>ESTOQUE DE MERCADORIAS</t>
        </is>
      </c>
      <c r="S2579" s="70" t="n">
        <v>1130101</v>
      </c>
      <c r="T2579" s="72" t="inlineStr">
        <is>
          <t>MERCADORIAS P/REVENDA</t>
        </is>
      </c>
      <c r="U2579" s="73" t="n">
        <v>1849.44</v>
      </c>
      <c r="W2579" s="73" t="n">
        <v>0</v>
      </c>
      <c r="X2579" s="72" t="inlineStr">
        <is>
          <t xml:space="preserve">NF 11002-06/07 MILKA </t>
        </is>
      </c>
      <c r="Z2579" s="59">
        <f>IF($T2579="","",IFERROR(INDEX('Resumo Grupos'!$AC$3:$AC$200,MATCH($T2579,'Resumo Grupos'!$AB$3:$AB$200,0)),"n/d"))</f>
        <v/>
      </c>
      <c r="AA2579" s="59">
        <f>IF($T2579="","",IF(COUNTIF('Resumo Grupos'!$AE$3:$AE$40,$T2579)&gt;0,"NAO","SIM"))</f>
        <v/>
      </c>
    </row>
    <row r="2580" ht="45.75" customHeight="1" s="60">
      <c r="A2580" s="70" t="n">
        <v>1</v>
      </c>
      <c r="B2580" s="71" t="n">
        <v>46105</v>
      </c>
      <c r="C2580" s="71" t="n">
        <v>46278</v>
      </c>
      <c r="D2580" s="70" t="n">
        <v>10056</v>
      </c>
      <c r="E2580" s="72" t="inlineStr">
        <is>
          <t>BOLT CARD</t>
        </is>
      </c>
      <c r="F2580" s="70" t="n">
        <v>42</v>
      </c>
      <c r="G2580" s="72" t="inlineStr">
        <is>
          <t>Cartao Itau Novo 4620 Venc 13</t>
        </is>
      </c>
      <c r="H2580" s="70" t="n">
        <v>2110405</v>
      </c>
      <c r="I2580" s="72" t="inlineStr">
        <is>
          <t>CONTAS A PAGAR</t>
        </is>
      </c>
      <c r="J2580" s="70" t="n">
        <v>1514486</v>
      </c>
      <c r="L2580" s="70" t="n">
        <v>620165</v>
      </c>
      <c r="M2580" s="72" t="inlineStr">
        <is>
          <t>02</t>
        </is>
      </c>
      <c r="N2580" s="72" t="inlineStr">
        <is>
          <t>AVU</t>
        </is>
      </c>
      <c r="P2580" s="70" t="n">
        <v>101</v>
      </c>
      <c r="Q2580" s="72" t="inlineStr">
        <is>
          <t>KEILA LIMA</t>
        </is>
      </c>
      <c r="R2580" s="72" t="inlineStr">
        <is>
          <t>DESPESAS NAO OPERACIONAIS</t>
        </is>
      </c>
      <c r="S2580" s="70" t="n">
        <v>4220199</v>
      </c>
      <c r="T2580" s="72" t="inlineStr">
        <is>
          <t>PAGAMENTOS OUTROS NAO OPERACIONAIS</t>
        </is>
      </c>
      <c r="U2580" s="73" t="n">
        <v>233.35</v>
      </c>
      <c r="W2580" s="73" t="n">
        <v>0</v>
      </c>
      <c r="X2580" s="72" t="n"/>
      <c r="Z2580" s="59">
        <f>IF($T2580="","",IFERROR(INDEX('Resumo Grupos'!$AC$3:$AC$200,MATCH($T2580,'Resumo Grupos'!$AB$3:$AB$200,0)),"n/d"))</f>
        <v/>
      </c>
      <c r="AA2580" s="59">
        <f>IF($T2580="","",IF(COUNTIF('Resumo Grupos'!$AE$3:$AE$40,$T2580)&gt;0,"NAO","SIM"))</f>
        <v/>
      </c>
    </row>
    <row r="2581" ht="45.75" customHeight="1" s="60">
      <c r="A2581" s="70" t="n">
        <v>1</v>
      </c>
      <c r="B2581" s="71" t="n">
        <v>46254</v>
      </c>
      <c r="C2581" s="71" t="n">
        <v>46278</v>
      </c>
      <c r="D2581" s="70" t="n">
        <v>717</v>
      </c>
      <c r="E2581" s="72" t="inlineStr">
        <is>
          <t>FORNECEDOR AVULSO</t>
        </is>
      </c>
      <c r="F2581" s="70" t="n">
        <v>42</v>
      </c>
      <c r="G2581" s="72" t="inlineStr">
        <is>
          <t>Cartao Itau Novo 4620 Venc 13</t>
        </is>
      </c>
      <c r="H2581" s="70" t="n">
        <v>2110405</v>
      </c>
      <c r="I2581" s="72" t="inlineStr">
        <is>
          <t>CONTAS A PAGAR</t>
        </is>
      </c>
      <c r="J2581" s="70" t="n">
        <v>1577416</v>
      </c>
      <c r="L2581" s="70" t="n">
        <v>644308</v>
      </c>
      <c r="M2581" s="72" t="inlineStr">
        <is>
          <t>01</t>
        </is>
      </c>
      <c r="N2581" s="72" t="inlineStr">
        <is>
          <t>AVU</t>
        </is>
      </c>
      <c r="P2581" s="70" t="n">
        <v>101</v>
      </c>
      <c r="Q2581" s="72" t="inlineStr">
        <is>
          <t>KEILA LIMA</t>
        </is>
      </c>
      <c r="R2581" s="72" t="inlineStr">
        <is>
          <t>DESPESAS NAO OPERACIONAIS</t>
        </is>
      </c>
      <c r="S2581" s="70" t="n">
        <v>4220199</v>
      </c>
      <c r="T2581" s="72" t="inlineStr">
        <is>
          <t>PAGAMENTOS OUTROS NAO OPERACIONAIS</t>
        </is>
      </c>
      <c r="U2581" s="73" t="n">
        <v>522.5</v>
      </c>
      <c r="W2581" s="73" t="n">
        <v>0</v>
      </c>
      <c r="X2581" s="72" t="inlineStr">
        <is>
          <t>OUTROS - RATEIO CURSO NEILA P/ AS LOJAS - NAO SOMA</t>
        </is>
      </c>
      <c r="Z2581" s="59">
        <f>IF($T2581="","",IFERROR(INDEX('Resumo Grupos'!$AC$3:$AC$200,MATCH($T2581,'Resumo Grupos'!$AB$3:$AB$200,0)),"n/d"))</f>
        <v/>
      </c>
      <c r="AA2581" s="59">
        <f>IF($T2581="","",IF(COUNTIF('Resumo Grupos'!$AE$3:$AE$40,$T2581)&gt;0,"NAO","SIM"))</f>
        <v/>
      </c>
    </row>
    <row r="2582" ht="45.75" customHeight="1" s="60">
      <c r="A2582" s="70" t="n">
        <v>1</v>
      </c>
      <c r="B2582" s="71" t="n">
        <v>46254</v>
      </c>
      <c r="C2582" s="71" t="n">
        <v>46278</v>
      </c>
      <c r="D2582" s="70" t="n">
        <v>717</v>
      </c>
      <c r="E2582" s="72" t="inlineStr">
        <is>
          <t>FORNECEDOR AVULSO</t>
        </is>
      </c>
      <c r="F2582" s="70" t="n">
        <v>42</v>
      </c>
      <c r="G2582" s="72" t="inlineStr">
        <is>
          <t>Cartao Itau Novo 4620 Venc 13</t>
        </is>
      </c>
      <c r="H2582" s="70" t="n">
        <v>2110405</v>
      </c>
      <c r="I2582" s="72" t="inlineStr">
        <is>
          <t>CONTAS A PAGAR</t>
        </is>
      </c>
      <c r="J2582" s="70" t="n">
        <v>1577427</v>
      </c>
      <c r="L2582" s="70" t="n">
        <v>644309</v>
      </c>
      <c r="M2582" s="72" t="inlineStr">
        <is>
          <t>01</t>
        </is>
      </c>
      <c r="N2582" s="72" t="inlineStr">
        <is>
          <t>AVU</t>
        </is>
      </c>
      <c r="P2582" s="70" t="n">
        <v>101</v>
      </c>
      <c r="Q2582" s="72" t="inlineStr">
        <is>
          <t>KEILA LIMA</t>
        </is>
      </c>
      <c r="R2582" s="72" t="inlineStr">
        <is>
          <t>DESPESAS OPERACIONAIS</t>
        </is>
      </c>
      <c r="S2582" s="70" t="n">
        <v>4210222</v>
      </c>
      <c r="T2582" s="72" t="inlineStr">
        <is>
          <t>TREINAMENTO/CONSULTORIAS</t>
        </is>
      </c>
      <c r="U2582" s="73" t="n">
        <v>522.5</v>
      </c>
      <c r="W2582" s="73" t="n">
        <v>0</v>
      </c>
      <c r="X2582" s="72" t="inlineStr">
        <is>
          <t>CURSO NEILA PARC PARTE MO1 - KEILA</t>
        </is>
      </c>
      <c r="Z2582" s="59">
        <f>IF($T2582="","",IFERROR(INDEX('Resumo Grupos'!$AC$3:$AC$200,MATCH($T2582,'Resumo Grupos'!$AB$3:$AB$200,0)),"n/d"))</f>
        <v/>
      </c>
      <c r="AA2582" s="59">
        <f>IF($T2582="","",IF(COUNTIF('Resumo Grupos'!$AE$3:$AE$40,$T2582)&gt;0,"NAO","SIM"))</f>
        <v/>
      </c>
    </row>
    <row r="2583" ht="63.75" customHeight="1" s="60">
      <c r="A2583" s="70" t="n">
        <v>1</v>
      </c>
      <c r="B2583" s="71" t="n">
        <v>46255</v>
      </c>
      <c r="C2583" s="71" t="n">
        <v>46278</v>
      </c>
      <c r="D2583" s="70" t="n">
        <v>1711</v>
      </c>
      <c r="E2583" s="72" t="inlineStr">
        <is>
          <t>J. A. F. DE LIMA</t>
        </is>
      </c>
      <c r="F2583" s="70" t="n">
        <v>24</v>
      </c>
      <c r="G2583" s="72" t="inlineStr">
        <is>
          <t>Compra a Prazo - Boletos</t>
        </is>
      </c>
      <c r="H2583" s="70" t="n">
        <v>2110405</v>
      </c>
      <c r="I2583" s="72" t="inlineStr">
        <is>
          <t>CONTAS A PAGAR</t>
        </is>
      </c>
      <c r="J2583" s="70" t="n">
        <v>1581907</v>
      </c>
      <c r="L2583" s="70" t="n">
        <v>160299</v>
      </c>
      <c r="M2583" s="72" t="inlineStr">
        <is>
          <t>02</t>
        </is>
      </c>
      <c r="N2583" s="72" t="inlineStr">
        <is>
          <t>AVU</t>
        </is>
      </c>
      <c r="P2583" s="70" t="n">
        <v>103</v>
      </c>
      <c r="Q2583" s="72" t="inlineStr">
        <is>
          <t>MILKA FRANCIS</t>
        </is>
      </c>
      <c r="R2583" s="72" t="inlineStr">
        <is>
          <t>ESTOQUE DE MERCADORIAS</t>
        </is>
      </c>
      <c r="S2583" s="70" t="n">
        <v>1130101</v>
      </c>
      <c r="T2583" s="72" t="inlineStr">
        <is>
          <t>MERCADORIAS P/REVENDA</t>
        </is>
      </c>
      <c r="U2583" s="73" t="n">
        <v>1127.55</v>
      </c>
      <c r="W2583" s="73" t="n">
        <v>0</v>
      </c>
      <c r="X2583" s="72" t="inlineStr">
        <is>
          <t>NF 160299-2 MILKA</t>
        </is>
      </c>
      <c r="Z2583" s="59">
        <f>IF($T2583="","",IFERROR(INDEX('Resumo Grupos'!$AC$3:$AC$200,MATCH($T2583,'Resumo Grupos'!$AB$3:$AB$200,0)),"n/d"))</f>
        <v/>
      </c>
      <c r="AA2583" s="59">
        <f>IF($T2583="","",IF(COUNTIF('Resumo Grupos'!$AE$3:$AE$40,$T2583)&gt;0,"NAO","SIM"))</f>
        <v/>
      </c>
    </row>
    <row r="2584" ht="12.75" customHeight="1" s="60">
      <c r="A2584" s="59" t="n">
        <v>1</v>
      </c>
      <c r="B2584" s="82" t="n">
        <v>46248</v>
      </c>
      <c r="C2584" s="82" t="n">
        <v>46279</v>
      </c>
      <c r="D2584" s="59" t="n">
        <v>1637</v>
      </c>
      <c r="E2584" s="59" t="inlineStr">
        <is>
          <t>ATACADAO S.A.</t>
        </is>
      </c>
      <c r="F2584" s="59" t="n">
        <v>24</v>
      </c>
      <c r="G2584" s="59" t="inlineStr">
        <is>
          <t>Compra a Prazo - Boletos</t>
        </is>
      </c>
      <c r="H2584" s="59" t="n">
        <v>2110405</v>
      </c>
      <c r="I2584" s="59" t="inlineStr">
        <is>
          <t>CONTAS A PAGAR</t>
        </is>
      </c>
      <c r="J2584" s="59" t="n">
        <v>1545623</v>
      </c>
      <c r="L2584" s="59" t="n">
        <v>1917924</v>
      </c>
      <c r="M2584" s="59" t="inlineStr">
        <is>
          <t>01</t>
        </is>
      </c>
      <c r="N2584" s="59" t="inlineStr">
        <is>
          <t>AVU</t>
        </is>
      </c>
      <c r="P2584" s="59" t="n">
        <v>103</v>
      </c>
      <c r="Q2584" s="59" t="inlineStr">
        <is>
          <t>MILKA FRANCIS</t>
        </is>
      </c>
      <c r="R2584" s="59" t="inlineStr">
        <is>
          <t>ESTOQUE DE MERCADORIAS</t>
        </is>
      </c>
      <c r="S2584" s="59" t="n">
        <v>1130101</v>
      </c>
      <c r="T2584" s="59" t="inlineStr">
        <is>
          <t>MERCADORIAS P/REVENDA</t>
        </is>
      </c>
      <c r="U2584" s="59" t="n">
        <v>868.6</v>
      </c>
      <c r="W2584" s="59" t="n">
        <v>0</v>
      </c>
      <c r="X2584" s="59" t="inlineStr">
        <is>
          <t>NF 1917924 - MILKA</t>
        </is>
      </c>
      <c r="Z2584" s="59">
        <f>IF($T2584="","",IFERROR(INDEX('Resumo Grupos'!$AC$3:$AC$200,MATCH($T2584,'Resumo Grupos'!$AB$3:$AB$200,0)),"n/d"))</f>
        <v/>
      </c>
      <c r="AA2584" s="59">
        <f>IF($T2584="","",IF(COUNTIF('Resumo Grupos'!$AE$3:$AE$40,$T2584)&gt;0,"NAO","SIM"))</f>
        <v/>
      </c>
    </row>
    <row r="2585" ht="12.75" customHeight="1" s="60">
      <c r="A2585" s="59" t="n">
        <v>1</v>
      </c>
      <c r="B2585" s="82" t="n">
        <v>46248</v>
      </c>
      <c r="C2585" s="82" t="n">
        <v>46279</v>
      </c>
      <c r="D2585" s="59" t="n">
        <v>1637</v>
      </c>
      <c r="E2585" s="59" t="inlineStr">
        <is>
          <t>ATACADAO S.A.</t>
        </is>
      </c>
      <c r="F2585" s="59" t="n">
        <v>24</v>
      </c>
      <c r="G2585" s="59" t="inlineStr">
        <is>
          <t>Compra a Prazo - Boletos</t>
        </is>
      </c>
      <c r="H2585" s="59" t="n">
        <v>2110405</v>
      </c>
      <c r="I2585" s="59" t="inlineStr">
        <is>
          <t>CONTAS A PAGAR</t>
        </is>
      </c>
      <c r="J2585" s="59" t="n">
        <v>1545748</v>
      </c>
      <c r="L2585" s="59" t="n">
        <v>1917927</v>
      </c>
      <c r="M2585" s="59" t="inlineStr">
        <is>
          <t>01</t>
        </is>
      </c>
      <c r="N2585" s="59" t="inlineStr">
        <is>
          <t>AVU</t>
        </is>
      </c>
      <c r="P2585" s="59" t="n">
        <v>103</v>
      </c>
      <c r="Q2585" s="59" t="inlineStr">
        <is>
          <t>MILKA FRANCIS</t>
        </is>
      </c>
      <c r="R2585" s="59" t="inlineStr">
        <is>
          <t>ESTOQUE DE MERCADORIAS</t>
        </is>
      </c>
      <c r="S2585" s="59" t="n">
        <v>1130101</v>
      </c>
      <c r="T2585" s="59" t="inlineStr">
        <is>
          <t>MERCADORIAS P/REVENDA</t>
        </is>
      </c>
      <c r="U2585" s="59" t="n">
        <v>428.17</v>
      </c>
      <c r="W2585" s="59" t="n">
        <v>0</v>
      </c>
      <c r="X2585" s="59" t="inlineStr">
        <is>
          <t>NF 1917927 - MILKA</t>
        </is>
      </c>
      <c r="Z2585" s="59">
        <f>IF($T2585="","",IFERROR(INDEX('Resumo Grupos'!$AC$3:$AC$200,MATCH($T2585,'Resumo Grupos'!$AB$3:$AB$200,0)),"n/d"))</f>
        <v/>
      </c>
      <c r="AA2585" s="59">
        <f>IF($T2585="","",IF(COUNTIF('Resumo Grupos'!$AE$3:$AE$40,$T2585)&gt;0,"NAO","SIM"))</f>
        <v/>
      </c>
    </row>
    <row r="2586" ht="12.75" customHeight="1" s="60">
      <c r="A2586" s="59" t="n">
        <v>1</v>
      </c>
      <c r="B2586" s="82" t="n">
        <v>46248</v>
      </c>
      <c r="C2586" s="82" t="n">
        <v>46279</v>
      </c>
      <c r="D2586" s="59" t="n">
        <v>1699</v>
      </c>
      <c r="E2586" s="59" t="inlineStr">
        <is>
          <t>L S M COMERCIO DE ALIMENTOS E NAVEGACAO</t>
        </is>
      </c>
      <c r="F2586" s="59" t="n">
        <v>24</v>
      </c>
      <c r="G2586" s="59" t="inlineStr">
        <is>
          <t>Compra a Prazo - Boletos</t>
        </is>
      </c>
      <c r="H2586" s="59" t="n">
        <v>2110405</v>
      </c>
      <c r="I2586" s="59" t="inlineStr">
        <is>
          <t>CONTAS A PAGAR</t>
        </is>
      </c>
      <c r="J2586" s="59" t="n">
        <v>1545933</v>
      </c>
      <c r="L2586" s="59" t="n">
        <v>311117</v>
      </c>
      <c r="M2586" s="59" t="inlineStr">
        <is>
          <t>03</t>
        </is>
      </c>
      <c r="N2586" s="59" t="inlineStr">
        <is>
          <t>AVU</t>
        </is>
      </c>
      <c r="P2586" s="59" t="n">
        <v>103</v>
      </c>
      <c r="Q2586" s="59" t="inlineStr">
        <is>
          <t>MILKA FRANCIS</t>
        </is>
      </c>
      <c r="R2586" s="59" t="inlineStr">
        <is>
          <t>ESTOQUE DE MERCADORIAS</t>
        </is>
      </c>
      <c r="S2586" s="59" t="n">
        <v>1130101</v>
      </c>
      <c r="T2586" s="59" t="inlineStr">
        <is>
          <t>MERCADORIAS P/REVENDA</t>
        </is>
      </c>
      <c r="U2586" s="59" t="n">
        <v>1256.36</v>
      </c>
      <c r="W2586" s="59" t="n">
        <v>0</v>
      </c>
      <c r="X2586" s="59" t="inlineStr">
        <is>
          <t>NF 311117-3 MILKA</t>
        </is>
      </c>
      <c r="Z2586" s="59">
        <f>IF($T2586="","",IFERROR(INDEX('Resumo Grupos'!$AC$3:$AC$200,MATCH($T2586,'Resumo Grupos'!$AB$3:$AB$200,0)),"n/d"))</f>
        <v/>
      </c>
      <c r="AA2586" s="59">
        <f>IF($T2586="","",IF(COUNTIF('Resumo Grupos'!$AE$3:$AE$40,$T2586)&gt;0,"NAO","SIM"))</f>
        <v/>
      </c>
    </row>
    <row r="2587" ht="12.75" customHeight="1" s="60">
      <c r="A2587" s="59" t="n">
        <v>1</v>
      </c>
      <c r="B2587" s="82" t="n">
        <v>46252</v>
      </c>
      <c r="C2587" s="82" t="n">
        <v>46279</v>
      </c>
      <c r="D2587" s="59" t="n">
        <v>1921</v>
      </c>
      <c r="E2587" s="59" t="inlineStr">
        <is>
          <t>BF COMERCIO DE ALIMENTOS REPRESENTACAO L</t>
        </is>
      </c>
      <c r="F2587" s="59" t="n">
        <v>24</v>
      </c>
      <c r="G2587" s="59" t="inlineStr">
        <is>
          <t>Compra a Prazo - Boletos</t>
        </is>
      </c>
      <c r="H2587" s="59" t="n">
        <v>2110405</v>
      </c>
      <c r="I2587" s="59" t="inlineStr">
        <is>
          <t>CONTAS A PAGAR</t>
        </is>
      </c>
      <c r="J2587" s="59" t="n">
        <v>1568268</v>
      </c>
      <c r="L2587" s="59" t="n">
        <v>21280</v>
      </c>
      <c r="M2587" s="59" t="inlineStr">
        <is>
          <t>02</t>
        </is>
      </c>
      <c r="N2587" s="59" t="inlineStr">
        <is>
          <t>AVU</t>
        </is>
      </c>
      <c r="P2587" s="59" t="n">
        <v>103</v>
      </c>
      <c r="Q2587" s="59" t="inlineStr">
        <is>
          <t>MILKA FRANCIS</t>
        </is>
      </c>
      <c r="R2587" s="59" t="inlineStr">
        <is>
          <t>ESTOQUE DE MERCADORIAS</t>
        </is>
      </c>
      <c r="S2587" s="59" t="n">
        <v>1130101</v>
      </c>
      <c r="T2587" s="59" t="inlineStr">
        <is>
          <t>MERCADORIAS P/REVENDA</t>
        </is>
      </c>
      <c r="U2587" s="59" t="n">
        <v>677.63</v>
      </c>
      <c r="W2587" s="59" t="n">
        <v>0</v>
      </c>
      <c r="X2587" s="59" t="inlineStr">
        <is>
          <t>13724-B/B  NF21280 - MILKA</t>
        </is>
      </c>
      <c r="Z2587" s="59">
        <f>IF($T2587="","",IFERROR(INDEX('Resumo Grupos'!$AC$3:$AC$200,MATCH($T2587,'Resumo Grupos'!$AB$3:$AB$200,0)),"n/d"))</f>
        <v/>
      </c>
      <c r="AA2587" s="59">
        <f>IF($T2587="","",IF(COUNTIF('Resumo Grupos'!$AE$3:$AE$40,$T2587)&gt;0,"NAO","SIM"))</f>
        <v/>
      </c>
    </row>
    <row r="2588" ht="12.75" customHeight="1" s="60">
      <c r="A2588" s="59" t="n">
        <v>1</v>
      </c>
      <c r="B2588" s="82" t="n">
        <v>46253</v>
      </c>
      <c r="C2588" s="82" t="n">
        <v>46279</v>
      </c>
      <c r="D2588" s="59" t="n">
        <v>1637</v>
      </c>
      <c r="E2588" s="59" t="inlineStr">
        <is>
          <t>ATACADAO S.A.</t>
        </is>
      </c>
      <c r="F2588" s="59" t="n">
        <v>24</v>
      </c>
      <c r="G2588" s="59" t="inlineStr">
        <is>
          <t>Compra a Prazo - Boletos</t>
        </is>
      </c>
      <c r="H2588" s="59" t="n">
        <v>2110405</v>
      </c>
      <c r="I2588" s="59" t="inlineStr">
        <is>
          <t>CONTAS A PAGAR</t>
        </is>
      </c>
      <c r="J2588" s="59" t="n">
        <v>1570693</v>
      </c>
      <c r="L2588" s="59" t="n">
        <v>1921244</v>
      </c>
      <c r="M2588" s="59" t="inlineStr">
        <is>
          <t>01</t>
        </is>
      </c>
      <c r="N2588" s="59" t="inlineStr">
        <is>
          <t>AVU</t>
        </is>
      </c>
      <c r="P2588" s="59" t="n">
        <v>103</v>
      </c>
      <c r="Q2588" s="59" t="inlineStr">
        <is>
          <t>MILKA FRANCIS</t>
        </is>
      </c>
      <c r="R2588" s="59" t="inlineStr">
        <is>
          <t>ESTOQUE DE MERCADORIAS</t>
        </is>
      </c>
      <c r="S2588" s="59" t="n">
        <v>1130101</v>
      </c>
      <c r="T2588" s="59" t="inlineStr">
        <is>
          <t>MERCADORIAS P/REVENDA</t>
        </is>
      </c>
      <c r="U2588" s="59" t="n">
        <v>1096.94</v>
      </c>
      <c r="W2588" s="59" t="n">
        <v>0</v>
      </c>
      <c r="X2588" s="59" t="inlineStr">
        <is>
          <t>NF 1921244 - MILKA</t>
        </is>
      </c>
      <c r="Z2588" s="59">
        <f>IF($T2588="","",IFERROR(INDEX('Resumo Grupos'!$AC$3:$AC$200,MATCH($T2588,'Resumo Grupos'!$AB$3:$AB$200,0)),"n/d"))</f>
        <v/>
      </c>
      <c r="AA2588" s="59">
        <f>IF($T2588="","",IF(COUNTIF('Resumo Grupos'!$AE$3:$AE$40,$T2588)&gt;0,"NAO","SIM"))</f>
        <v/>
      </c>
    </row>
    <row r="2589" ht="12.75" customHeight="1" s="60">
      <c r="A2589" s="59" t="n">
        <v>1</v>
      </c>
      <c r="B2589" s="82" t="n">
        <v>46254</v>
      </c>
      <c r="C2589" s="82" t="n">
        <v>46279</v>
      </c>
      <c r="D2589" s="59" t="n">
        <v>1626</v>
      </c>
      <c r="E2589" s="59" t="inlineStr">
        <is>
          <t>FENNIX BRASIL DISTRIBUIDORA DE PRODUTOS</t>
        </is>
      </c>
      <c r="F2589" s="59" t="n">
        <v>24</v>
      </c>
      <c r="G2589" s="59" t="inlineStr">
        <is>
          <t>Compra a Prazo - Boletos</t>
        </is>
      </c>
      <c r="H2589" s="59" t="n">
        <v>2110405</v>
      </c>
      <c r="I2589" s="59" t="inlineStr">
        <is>
          <t>CONTAS A PAGAR</t>
        </is>
      </c>
      <c r="J2589" s="59" t="n">
        <v>1575983</v>
      </c>
      <c r="L2589" s="59" t="n">
        <v>317365</v>
      </c>
      <c r="M2589" s="59" t="inlineStr">
        <is>
          <t>03</t>
        </is>
      </c>
      <c r="N2589" s="59" t="inlineStr">
        <is>
          <t>AVU</t>
        </is>
      </c>
      <c r="P2589" s="59" t="n">
        <v>103</v>
      </c>
      <c r="Q2589" s="59" t="inlineStr">
        <is>
          <t>MILKA FRANCIS</t>
        </is>
      </c>
      <c r="R2589" s="59" t="inlineStr">
        <is>
          <t>ESTOQUE DE MERCADORIAS</t>
        </is>
      </c>
      <c r="S2589" s="59" t="n">
        <v>1130101</v>
      </c>
      <c r="T2589" s="59" t="inlineStr">
        <is>
          <t>MERCADORIAS P/REVENDA</t>
        </is>
      </c>
      <c r="U2589" s="59" t="n">
        <v>989.33</v>
      </c>
      <c r="W2589" s="59" t="n">
        <v>0</v>
      </c>
      <c r="X2589" s="59" t="inlineStr">
        <is>
          <t>NF 317365-3 MILKA</t>
        </is>
      </c>
      <c r="Z2589" s="59">
        <f>IF($T2589="","",IFERROR(INDEX('Resumo Grupos'!$AC$3:$AC$200,MATCH($T2589,'Resumo Grupos'!$AB$3:$AB$200,0)),"n/d"))</f>
        <v/>
      </c>
      <c r="AA2589" s="59">
        <f>IF($T2589="","",IF(COUNTIF('Resumo Grupos'!$AE$3:$AE$40,$T2589)&gt;0,"NAO","SIM"))</f>
        <v/>
      </c>
    </row>
    <row r="2590" ht="12.75" customHeight="1" s="60">
      <c r="A2590" s="59" t="n">
        <v>1</v>
      </c>
      <c r="B2590" s="82" t="n">
        <v>46255</v>
      </c>
      <c r="C2590" s="82" t="n">
        <v>46279</v>
      </c>
      <c r="D2590" s="59" t="n">
        <v>1616</v>
      </c>
      <c r="E2590" s="59" t="inlineStr">
        <is>
          <t>DURAES DISTRIBUIDORA DE ESTIVAS LTDA</t>
        </is>
      </c>
      <c r="F2590" s="59" t="n">
        <v>24</v>
      </c>
      <c r="G2590" s="59" t="inlineStr">
        <is>
          <t>Compra a Prazo - Boletos</t>
        </is>
      </c>
      <c r="H2590" s="59" t="n">
        <v>2110405</v>
      </c>
      <c r="I2590" s="59" t="inlineStr">
        <is>
          <t>CONTAS A PAGAR</t>
        </is>
      </c>
      <c r="J2590" s="59" t="n">
        <v>1580851</v>
      </c>
      <c r="L2590" s="59" t="n">
        <v>654912</v>
      </c>
      <c r="M2590" s="59" t="inlineStr">
        <is>
          <t>03</t>
        </is>
      </c>
      <c r="N2590" s="59" t="inlineStr">
        <is>
          <t>AVU</t>
        </is>
      </c>
      <c r="P2590" s="59" t="n">
        <v>103</v>
      </c>
      <c r="Q2590" s="59" t="inlineStr">
        <is>
          <t>MILKA FRANCIS</t>
        </is>
      </c>
      <c r="R2590" s="59" t="inlineStr">
        <is>
          <t>ESTOQUE DE MERCADORIAS</t>
        </is>
      </c>
      <c r="S2590" s="59" t="n">
        <v>1130101</v>
      </c>
      <c r="T2590" s="59" t="inlineStr">
        <is>
          <t>MERCADORIAS P/REVENDA</t>
        </is>
      </c>
      <c r="U2590" s="59" t="n">
        <v>573.72</v>
      </c>
      <c r="W2590" s="59" t="n">
        <v>0</v>
      </c>
      <c r="X2590" s="59" t="inlineStr">
        <is>
          <t>NF 654912-3 MILKA</t>
        </is>
      </c>
      <c r="Z2590" s="59">
        <f>IF($T2590="","",IFERROR(INDEX('Resumo Grupos'!$AC$3:$AC$200,MATCH($T2590,'Resumo Grupos'!$AB$3:$AB$200,0)),"n/d"))</f>
        <v/>
      </c>
      <c r="AA2590" s="59">
        <f>IF($T2590="","",IF(COUNTIF('Resumo Grupos'!$AE$3:$AE$40,$T2590)&gt;0,"NAO","SIM"))</f>
        <v/>
      </c>
    </row>
    <row r="2591" ht="12.75" customHeight="1" s="60">
      <c r="A2591" s="59" t="n">
        <v>1</v>
      </c>
      <c r="B2591" s="82" t="n">
        <v>46255</v>
      </c>
      <c r="C2591" s="82" t="n">
        <v>46279</v>
      </c>
      <c r="D2591" s="59" t="n">
        <v>1616</v>
      </c>
      <c r="E2591" s="59" t="inlineStr">
        <is>
          <t>DURAES DISTRIBUIDORA DE ESTIVAS LTDA</t>
        </is>
      </c>
      <c r="F2591" s="59" t="n">
        <v>24</v>
      </c>
      <c r="G2591" s="59" t="inlineStr">
        <is>
          <t>Compra a Prazo - Boletos</t>
        </is>
      </c>
      <c r="H2591" s="59" t="n">
        <v>2110405</v>
      </c>
      <c r="I2591" s="59" t="inlineStr">
        <is>
          <t>CONTAS A PAGAR</t>
        </is>
      </c>
      <c r="J2591" s="59" t="n">
        <v>1581039</v>
      </c>
      <c r="L2591" s="59" t="n">
        <v>654913</v>
      </c>
      <c r="M2591" s="59" t="inlineStr">
        <is>
          <t>03</t>
        </is>
      </c>
      <c r="N2591" s="59" t="inlineStr">
        <is>
          <t>AVU</t>
        </is>
      </c>
      <c r="P2591" s="59" t="n">
        <v>103</v>
      </c>
      <c r="Q2591" s="59" t="inlineStr">
        <is>
          <t>MILKA FRANCIS</t>
        </is>
      </c>
      <c r="R2591" s="59" t="inlineStr">
        <is>
          <t>ESTOQUE DE MERCADORIAS</t>
        </is>
      </c>
      <c r="S2591" s="59" t="n">
        <v>1130101</v>
      </c>
      <c r="T2591" s="59" t="inlineStr">
        <is>
          <t>MERCADORIAS P/REVENDA</t>
        </is>
      </c>
      <c r="U2591" s="59" t="n">
        <v>759.74</v>
      </c>
      <c r="W2591" s="59" t="n">
        <v>0</v>
      </c>
      <c r="X2591" s="59" t="inlineStr">
        <is>
          <t>NF 654913-3  MILKA</t>
        </is>
      </c>
      <c r="Z2591" s="59">
        <f>IF($T2591="","",IFERROR(INDEX('Resumo Grupos'!$AC$3:$AC$200,MATCH($T2591,'Resumo Grupos'!$AB$3:$AB$200,0)),"n/d"))</f>
        <v/>
      </c>
      <c r="AA2591" s="59">
        <f>IF($T2591="","",IF(COUNTIF('Resumo Grupos'!$AE$3:$AE$40,$T2591)&gt;0,"NAO","SIM"))</f>
        <v/>
      </c>
    </row>
    <row r="2592" ht="12.75" customHeight="1" s="60">
      <c r="A2592" s="59" t="n">
        <v>1</v>
      </c>
      <c r="B2592" s="82" t="n">
        <v>46255</v>
      </c>
      <c r="C2592" s="82" t="n">
        <v>46279</v>
      </c>
      <c r="D2592" s="59" t="n">
        <v>10037</v>
      </c>
      <c r="E2592" s="59" t="inlineStr">
        <is>
          <t>FORTVET DISTRIBUIDORA LTDA</t>
        </is>
      </c>
      <c r="F2592" s="59" t="n">
        <v>24</v>
      </c>
      <c r="G2592" s="59" t="inlineStr">
        <is>
          <t>Compra a Prazo - Boletos</t>
        </is>
      </c>
      <c r="H2592" s="59" t="n">
        <v>2110405</v>
      </c>
      <c r="I2592" s="59" t="inlineStr">
        <is>
          <t>CONTAS A PAGAR</t>
        </is>
      </c>
      <c r="J2592" s="59" t="n">
        <v>1581853</v>
      </c>
      <c r="L2592" s="59" t="n">
        <v>3216</v>
      </c>
      <c r="M2592" s="59" t="inlineStr">
        <is>
          <t>02</t>
        </is>
      </c>
      <c r="N2592" s="59" t="inlineStr">
        <is>
          <t>AVU</t>
        </is>
      </c>
      <c r="P2592" s="59" t="n">
        <v>103</v>
      </c>
      <c r="Q2592" s="59" t="inlineStr">
        <is>
          <t>MILKA FRANCIS</t>
        </is>
      </c>
      <c r="R2592" s="59" t="inlineStr">
        <is>
          <t>ESTOQUE DE MERCADORIAS</t>
        </is>
      </c>
      <c r="S2592" s="59" t="n">
        <v>1130101</v>
      </c>
      <c r="T2592" s="59" t="inlineStr">
        <is>
          <t>MERCADORIAS P/REVENDA</t>
        </is>
      </c>
      <c r="U2592" s="59" t="n">
        <v>733.0700000000001</v>
      </c>
      <c r="W2592" s="59" t="n">
        <v>0</v>
      </c>
      <c r="X2592" s="59" t="inlineStr">
        <is>
          <t>NF3216-2 MILKA</t>
        </is>
      </c>
      <c r="Z2592" s="59">
        <f>IF($T2592="","",IFERROR(INDEX('Resumo Grupos'!$AC$3:$AC$200,MATCH($T2592,'Resumo Grupos'!$AB$3:$AB$200,0)),"n/d"))</f>
        <v/>
      </c>
      <c r="AA2592" s="59">
        <f>IF($T2592="","",IF(COUNTIF('Resumo Grupos'!$AE$3:$AE$40,$T2592)&gt;0,"NAO","SIM"))</f>
        <v/>
      </c>
    </row>
    <row r="2593" ht="12.75" customHeight="1" s="60">
      <c r="A2593" s="59" t="n">
        <v>1</v>
      </c>
      <c r="B2593" s="82" t="n">
        <v>46255</v>
      </c>
      <c r="C2593" s="82" t="n">
        <v>46279</v>
      </c>
      <c r="D2593" s="59" t="n">
        <v>10037</v>
      </c>
      <c r="E2593" s="59" t="inlineStr">
        <is>
          <t>FORTVET DISTRIBUIDORA LTDA</t>
        </is>
      </c>
      <c r="F2593" s="59" t="n">
        <v>24</v>
      </c>
      <c r="G2593" s="59" t="inlineStr">
        <is>
          <t>Compra a Prazo - Boletos</t>
        </is>
      </c>
      <c r="H2593" s="59" t="n">
        <v>2110405</v>
      </c>
      <c r="I2593" s="59" t="inlineStr">
        <is>
          <t>CONTAS A PAGAR</t>
        </is>
      </c>
      <c r="J2593" s="59" t="n">
        <v>1581875</v>
      </c>
      <c r="L2593" s="59" t="n">
        <v>3215</v>
      </c>
      <c r="M2593" s="59" t="inlineStr">
        <is>
          <t>02</t>
        </is>
      </c>
      <c r="N2593" s="59" t="inlineStr">
        <is>
          <t>AVU</t>
        </is>
      </c>
      <c r="P2593" s="59" t="n">
        <v>103</v>
      </c>
      <c r="Q2593" s="59" t="inlineStr">
        <is>
          <t>MILKA FRANCIS</t>
        </is>
      </c>
      <c r="R2593" s="59" t="inlineStr">
        <is>
          <t>ESTOQUE DE MERCADORIAS</t>
        </is>
      </c>
      <c r="S2593" s="59" t="n">
        <v>1130101</v>
      </c>
      <c r="T2593" s="59" t="inlineStr">
        <is>
          <t>MERCADORIAS P/REVENDA</t>
        </is>
      </c>
      <c r="U2593" s="59" t="n">
        <v>477.65</v>
      </c>
      <c r="W2593" s="59" t="n">
        <v>0</v>
      </c>
      <c r="X2593" s="59" t="inlineStr">
        <is>
          <t>NF 3215-2 MILKA</t>
        </is>
      </c>
      <c r="Z2593" s="59">
        <f>IF($T2593="","",IFERROR(INDEX('Resumo Grupos'!$AC$3:$AC$200,MATCH($T2593,'Resumo Grupos'!$AB$3:$AB$200,0)),"n/d"))</f>
        <v/>
      </c>
      <c r="AA2593" s="59">
        <f>IF($T2593="","",IF(COUNTIF('Resumo Grupos'!$AE$3:$AE$40,$T2593)&gt;0,"NAO","SIM"))</f>
        <v/>
      </c>
    </row>
    <row r="2594" ht="12.75" customHeight="1" s="60">
      <c r="A2594" s="59" t="n">
        <v>1</v>
      </c>
      <c r="B2594" s="82" t="n">
        <v>46255</v>
      </c>
      <c r="C2594" s="82" t="n">
        <v>46279</v>
      </c>
      <c r="D2594" s="59" t="n">
        <v>10014</v>
      </c>
      <c r="E2594" s="59" t="inlineStr">
        <is>
          <t>MARCLEY MACHADO CHAVES</t>
        </is>
      </c>
      <c r="F2594" s="59" t="n">
        <v>24</v>
      </c>
      <c r="G2594" s="59" t="inlineStr">
        <is>
          <t>Compra a Prazo - Boletos</t>
        </is>
      </c>
      <c r="H2594" s="59" t="n">
        <v>2110405</v>
      </c>
      <c r="I2594" s="59" t="inlineStr">
        <is>
          <t>CONTAS A PAGAR</t>
        </is>
      </c>
      <c r="J2594" s="59" t="n">
        <v>1581921</v>
      </c>
      <c r="L2594" s="59" t="n">
        <v>3582</v>
      </c>
      <c r="M2594" s="59" t="inlineStr">
        <is>
          <t>02</t>
        </is>
      </c>
      <c r="N2594" s="59" t="inlineStr">
        <is>
          <t>AVU</t>
        </is>
      </c>
      <c r="P2594" s="59" t="n">
        <v>103</v>
      </c>
      <c r="Q2594" s="59" t="inlineStr">
        <is>
          <t>MILKA FRANCIS</t>
        </is>
      </c>
      <c r="R2594" s="59" t="inlineStr">
        <is>
          <t>ESTOQUE DE MERCADORIAS</t>
        </is>
      </c>
      <c r="S2594" s="59" t="n">
        <v>1130101</v>
      </c>
      <c r="T2594" s="59" t="inlineStr">
        <is>
          <t>MERCADORIAS P/REVENDA</t>
        </is>
      </c>
      <c r="U2594" s="59" t="n">
        <v>651.3200000000001</v>
      </c>
      <c r="W2594" s="59" t="n">
        <v>0</v>
      </c>
      <c r="X2594" s="59" t="inlineStr">
        <is>
          <t>NF 3582 - 2 MILKA</t>
        </is>
      </c>
      <c r="Z2594" s="59">
        <f>IF($T2594="","",IFERROR(INDEX('Resumo Grupos'!$AC$3:$AC$200,MATCH($T2594,'Resumo Grupos'!$AB$3:$AB$200,0)),"n/d"))</f>
        <v/>
      </c>
      <c r="AA2594" s="59">
        <f>IF($T2594="","",IF(COUNTIF('Resumo Grupos'!$AE$3:$AE$40,$T2594)&gt;0,"NAO","SIM"))</f>
        <v/>
      </c>
    </row>
    <row r="2595" ht="12.75" customHeight="1" s="60">
      <c r="A2595" s="59" t="n">
        <v>1</v>
      </c>
      <c r="B2595" s="82" t="n">
        <v>46256</v>
      </c>
      <c r="C2595" s="82" t="n">
        <v>46279</v>
      </c>
      <c r="D2595" s="59" t="n">
        <v>1739</v>
      </c>
      <c r="E2595" s="59" t="inlineStr">
        <is>
          <t>SABIA COMERCIO DE COSMETICOS LTDA</t>
        </is>
      </c>
      <c r="F2595" s="59" t="n">
        <v>24</v>
      </c>
      <c r="G2595" s="59" t="inlineStr">
        <is>
          <t>Compra a Prazo - Boletos</t>
        </is>
      </c>
      <c r="H2595" s="59" t="n">
        <v>2110405</v>
      </c>
      <c r="I2595" s="59" t="inlineStr">
        <is>
          <t>CONTAS A PAGAR</t>
        </is>
      </c>
      <c r="J2595" s="59" t="n">
        <v>1585194</v>
      </c>
      <c r="L2595" s="59" t="n">
        <v>255211</v>
      </c>
      <c r="M2595" s="59" t="inlineStr">
        <is>
          <t>03</t>
        </is>
      </c>
      <c r="N2595" s="59" t="inlineStr">
        <is>
          <t>AVU</t>
        </is>
      </c>
      <c r="P2595" s="59" t="n">
        <v>103</v>
      </c>
      <c r="Q2595" s="59" t="inlineStr">
        <is>
          <t>MILKA FRANCIS</t>
        </is>
      </c>
      <c r="R2595" s="59" t="inlineStr">
        <is>
          <t>ESTOQUE DE MERCADORIAS</t>
        </is>
      </c>
      <c r="S2595" s="59" t="n">
        <v>1130101</v>
      </c>
      <c r="T2595" s="59" t="inlineStr">
        <is>
          <t>MERCADORIAS P/REVENDA</t>
        </is>
      </c>
      <c r="U2595" s="59" t="n">
        <v>614.0599999999999</v>
      </c>
      <c r="W2595" s="59" t="n">
        <v>0</v>
      </c>
      <c r="X2595" s="59" t="inlineStr">
        <is>
          <t>NF 255211-3 MILKA</t>
        </is>
      </c>
      <c r="Z2595" s="59">
        <f>IF($T2595="","",IFERROR(INDEX('Resumo Grupos'!$AC$3:$AC$200,MATCH($T2595,'Resumo Grupos'!$AB$3:$AB$200,0)),"n/d"))</f>
        <v/>
      </c>
      <c r="AA2595" s="59">
        <f>IF($T2595="","",IF(COUNTIF('Resumo Grupos'!$AE$3:$AE$40,$T2595)&gt;0,"NAO","SIM"))</f>
        <v/>
      </c>
    </row>
    <row r="2596" ht="12.75" customHeight="1" s="60">
      <c r="A2596" s="59" t="n">
        <v>1</v>
      </c>
      <c r="B2596" s="82" t="n">
        <v>46097</v>
      </c>
      <c r="C2596" s="82" t="n">
        <v>46280</v>
      </c>
      <c r="D2596" s="59" t="n">
        <v>1867</v>
      </c>
      <c r="E2596" s="59" t="inlineStr">
        <is>
          <t>PREFEITURA MUNICIPAL DE MANAUS - IPTU</t>
        </is>
      </c>
      <c r="F2596" s="59" t="n">
        <v>24</v>
      </c>
      <c r="G2596" s="59" t="inlineStr">
        <is>
          <t>Compra a Prazo - Boletos</t>
        </is>
      </c>
      <c r="H2596" s="59" t="n">
        <v>2110405</v>
      </c>
      <c r="I2596" s="59" t="inlineStr">
        <is>
          <t>CONTAS A PAGAR</t>
        </is>
      </c>
      <c r="J2596" s="59" t="n">
        <v>809298</v>
      </c>
      <c r="L2596" s="59" t="n">
        <v>100914</v>
      </c>
      <c r="M2596" s="59" t="inlineStr">
        <is>
          <t>07</t>
        </is>
      </c>
      <c r="N2596" s="59" t="inlineStr">
        <is>
          <t>AVU</t>
        </is>
      </c>
      <c r="P2596" s="59" t="n">
        <v>101</v>
      </c>
      <c r="Q2596" s="59" t="inlineStr">
        <is>
          <t>KEILA LIMA</t>
        </is>
      </c>
      <c r="R2596" s="59" t="inlineStr">
        <is>
          <t>DESPESAS TRIBUTARIAS</t>
        </is>
      </c>
      <c r="S2596" s="59" t="n">
        <v>4210401</v>
      </c>
      <c r="T2596" s="59" t="inlineStr">
        <is>
          <t>IPTU</t>
        </is>
      </c>
      <c r="U2596" s="59" t="n">
        <v>134.55</v>
      </c>
      <c r="W2596" s="59" t="n">
        <v>0</v>
      </c>
      <c r="X2596" s="59" t="inlineStr">
        <is>
          <t>PARC 07/10 IPTU PADARIA MO1 - KEILA</t>
        </is>
      </c>
      <c r="Z2596" s="59">
        <f>IF($T2596="","",IFERROR(INDEX('Resumo Grupos'!$AC$3:$AC$200,MATCH($T2596,'Resumo Grupos'!$AB$3:$AB$200,0)),"n/d"))</f>
        <v/>
      </c>
      <c r="AA2596" s="59">
        <f>IF($T2596="","",IF(COUNTIF('Resumo Grupos'!$AE$3:$AE$40,$T2596)&gt;0,"NAO","SIM"))</f>
        <v/>
      </c>
    </row>
    <row r="2597" ht="12.75" customHeight="1" s="60">
      <c r="A2597" s="59" t="n">
        <v>1</v>
      </c>
      <c r="B2597" s="82" t="n">
        <v>46097</v>
      </c>
      <c r="C2597" s="82" t="n">
        <v>46280</v>
      </c>
      <c r="D2597" s="59" t="n">
        <v>1867</v>
      </c>
      <c r="E2597" s="59" t="inlineStr">
        <is>
          <t>PREFEITURA MUNICIPAL DE MANAUS - IPTU</t>
        </is>
      </c>
      <c r="F2597" s="59" t="n">
        <v>24</v>
      </c>
      <c r="G2597" s="59" t="inlineStr">
        <is>
          <t>Compra a Prazo - Boletos</t>
        </is>
      </c>
      <c r="H2597" s="59" t="n">
        <v>2110405</v>
      </c>
      <c r="I2597" s="59" t="inlineStr">
        <is>
          <t>CONTAS A PAGAR</t>
        </is>
      </c>
      <c r="J2597" s="59" t="n">
        <v>809315</v>
      </c>
      <c r="L2597" s="59" t="n">
        <v>100910</v>
      </c>
      <c r="M2597" s="59" t="inlineStr">
        <is>
          <t>07</t>
        </is>
      </c>
      <c r="N2597" s="59" t="inlineStr">
        <is>
          <t>AVU</t>
        </is>
      </c>
      <c r="P2597" s="59" t="n">
        <v>101</v>
      </c>
      <c r="Q2597" s="59" t="inlineStr">
        <is>
          <t>KEILA LIMA</t>
        </is>
      </c>
      <c r="R2597" s="59" t="inlineStr">
        <is>
          <t>DESPESAS TRIBUTARIAS</t>
        </is>
      </c>
      <c r="S2597" s="59" t="n">
        <v>4210401</v>
      </c>
      <c r="T2597" s="59" t="inlineStr">
        <is>
          <t>IPTU</t>
        </is>
      </c>
      <c r="U2597" s="59" t="n">
        <v>185.89</v>
      </c>
      <c r="W2597" s="59" t="n">
        <v>0</v>
      </c>
      <c r="X2597" s="59" t="inlineStr">
        <is>
          <t>PAR 07/10 IPTU MO1 100910 - KEILA</t>
        </is>
      </c>
      <c r="Z2597" s="59">
        <f>IF($T2597="","",IFERROR(INDEX('Resumo Grupos'!$AC$3:$AC$200,MATCH($T2597,'Resumo Grupos'!$AB$3:$AB$200,0)),"n/d"))</f>
        <v/>
      </c>
      <c r="AA2597" s="59">
        <f>IF($T2597="","",IF(COUNTIF('Resumo Grupos'!$AE$3:$AE$40,$T2597)&gt;0,"NAO","SIM"))</f>
        <v/>
      </c>
    </row>
    <row r="2598" ht="12.75" customHeight="1" s="60">
      <c r="A2598" s="59" t="n">
        <v>1</v>
      </c>
      <c r="B2598" s="82" t="n">
        <v>46097</v>
      </c>
      <c r="C2598" s="82" t="n">
        <v>46280</v>
      </c>
      <c r="D2598" s="59" t="n">
        <v>17</v>
      </c>
      <c r="E2598" s="59" t="inlineStr">
        <is>
          <t>NEYLIANE SILVA DE OLIVEIRA</t>
        </is>
      </c>
      <c r="F2598" s="59" t="n">
        <v>24</v>
      </c>
      <c r="G2598" s="59" t="inlineStr">
        <is>
          <t>Compra a Prazo - Boletos</t>
        </is>
      </c>
      <c r="H2598" s="59" t="n">
        <v>2110405</v>
      </c>
      <c r="I2598" s="59" t="inlineStr">
        <is>
          <t>CONTAS A PAGAR</t>
        </is>
      </c>
      <c r="J2598" s="59" t="n">
        <v>809413</v>
      </c>
      <c r="L2598" s="59" t="n">
        <v>2115476</v>
      </c>
      <c r="M2598" s="59" t="inlineStr">
        <is>
          <t>07</t>
        </is>
      </c>
      <c r="N2598" s="59" t="inlineStr">
        <is>
          <t>AVU</t>
        </is>
      </c>
      <c r="P2598" s="59" t="n">
        <v>101</v>
      </c>
      <c r="Q2598" s="59" t="inlineStr">
        <is>
          <t>KEILA LIMA</t>
        </is>
      </c>
      <c r="R2598" s="59" t="inlineStr">
        <is>
          <t>DESPESAS NAO OPERACIONAIS</t>
        </is>
      </c>
      <c r="S2598" s="59" t="n">
        <v>4220199</v>
      </c>
      <c r="T2598" s="59" t="inlineStr">
        <is>
          <t>PAGAMENTOS OUTROS NAO OPERACIONAIS</t>
        </is>
      </c>
      <c r="U2598" s="59" t="n">
        <v>102.14</v>
      </c>
      <c r="W2598" s="59" t="n">
        <v>0</v>
      </c>
      <c r="X2598" s="59" t="inlineStr">
        <is>
          <t>PL NEILA IPTU MAE - KEILA</t>
        </is>
      </c>
      <c r="Z2598" s="59">
        <f>IF($T2598="","",IFERROR(INDEX('Resumo Grupos'!$AC$3:$AC$200,MATCH($T2598,'Resumo Grupos'!$AB$3:$AB$200,0)),"n/d"))</f>
        <v/>
      </c>
      <c r="AA2598" s="59">
        <f>IF($T2598="","",IF(COUNTIF('Resumo Grupos'!$AE$3:$AE$40,$T2598)&gt;0,"NAO","SIM"))</f>
        <v/>
      </c>
    </row>
    <row r="2599" ht="12.75" customHeight="1" s="60">
      <c r="A2599" s="59" t="n">
        <v>1</v>
      </c>
      <c r="B2599" s="82" t="n">
        <v>46234</v>
      </c>
      <c r="C2599" s="82" t="n">
        <v>46280</v>
      </c>
      <c r="D2599" s="59" t="n">
        <v>513</v>
      </c>
      <c r="E2599" s="59" t="inlineStr">
        <is>
          <t>NET CLARO</t>
        </is>
      </c>
      <c r="F2599" s="59" t="n">
        <v>24</v>
      </c>
      <c r="G2599" s="59" t="inlineStr">
        <is>
          <t>Compra a Prazo - Boletos</t>
        </is>
      </c>
      <c r="H2599" s="59" t="n">
        <v>2110405</v>
      </c>
      <c r="I2599" s="59" t="inlineStr">
        <is>
          <t>CONTAS A PAGAR</t>
        </is>
      </c>
      <c r="J2599" s="59" t="n">
        <v>1478026</v>
      </c>
      <c r="L2599" s="59" t="n">
        <v>607111</v>
      </c>
      <c r="M2599" s="59" t="inlineStr">
        <is>
          <t>02</t>
        </is>
      </c>
      <c r="N2599" s="59" t="inlineStr">
        <is>
          <t>AVU</t>
        </is>
      </c>
      <c r="P2599" s="59" t="n">
        <v>101</v>
      </c>
      <c r="Q2599" s="59" t="inlineStr">
        <is>
          <t>KEILA LIMA</t>
        </is>
      </c>
      <c r="R2599" s="59" t="inlineStr">
        <is>
          <t>DESPESAS COM PESSOAL</t>
        </is>
      </c>
      <c r="S2599" s="59" t="n">
        <v>4210315</v>
      </c>
      <c r="T2599" s="59" t="inlineStr">
        <is>
          <t>INTERNET</t>
        </is>
      </c>
      <c r="U2599" s="59" t="n">
        <v>179.32</v>
      </c>
      <c r="W2599" s="59" t="n">
        <v>0</v>
      </c>
      <c r="X2599" s="59" t="inlineStr">
        <is>
          <t>MENS INTERNET MO1 CLARO - KEILA</t>
        </is>
      </c>
      <c r="Z2599" s="59">
        <f>IF($T2599="","",IFERROR(INDEX('Resumo Grupos'!$AC$3:$AC$200,MATCH($T2599,'Resumo Grupos'!$AB$3:$AB$200,0)),"n/d"))</f>
        <v/>
      </c>
      <c r="AA2599" s="59">
        <f>IF($T2599="","",IF(COUNTIF('Resumo Grupos'!$AE$3:$AE$40,$T2599)&gt;0,"NAO","SIM"))</f>
        <v/>
      </c>
    </row>
    <row r="2600" ht="12.75" customHeight="1" s="60">
      <c r="A2600" s="59" t="n">
        <v>1</v>
      </c>
      <c r="B2600" s="82" t="n">
        <v>46248</v>
      </c>
      <c r="C2600" s="82" t="n">
        <v>46280</v>
      </c>
      <c r="D2600" s="59" t="n">
        <v>1637</v>
      </c>
      <c r="E2600" s="59" t="inlineStr">
        <is>
          <t>ATACADAO S.A.</t>
        </is>
      </c>
      <c r="F2600" s="59" t="n">
        <v>24</v>
      </c>
      <c r="G2600" s="59" t="inlineStr">
        <is>
          <t>Compra a Prazo - Boletos</t>
        </is>
      </c>
      <c r="H2600" s="59" t="n">
        <v>2110405</v>
      </c>
      <c r="I2600" s="59" t="inlineStr">
        <is>
          <t>CONTAS A PAGAR</t>
        </is>
      </c>
      <c r="J2600" s="59" t="n">
        <v>1545833</v>
      </c>
      <c r="L2600" s="59" t="n">
        <v>1919061</v>
      </c>
      <c r="M2600" s="59" t="inlineStr">
        <is>
          <t>01</t>
        </is>
      </c>
      <c r="N2600" s="59" t="inlineStr">
        <is>
          <t>AVU</t>
        </is>
      </c>
      <c r="P2600" s="59" t="n">
        <v>103</v>
      </c>
      <c r="Q2600" s="59" t="inlineStr">
        <is>
          <t>MILKA FRANCIS</t>
        </is>
      </c>
      <c r="R2600" s="59" t="inlineStr">
        <is>
          <t>ESTOQUE DE MERCADORIAS</t>
        </is>
      </c>
      <c r="S2600" s="59" t="n">
        <v>1130101</v>
      </c>
      <c r="T2600" s="59" t="inlineStr">
        <is>
          <t>MERCADORIAS P/REVENDA</t>
        </is>
      </c>
      <c r="U2600" s="59" t="n">
        <v>1800.08</v>
      </c>
      <c r="W2600" s="59" t="n">
        <v>0</v>
      </c>
      <c r="X2600" s="59" t="inlineStr">
        <is>
          <t>NF 1919061 - MILKA</t>
        </is>
      </c>
      <c r="Z2600" s="59">
        <f>IF($T2600="","",IFERROR(INDEX('Resumo Grupos'!$AC$3:$AC$200,MATCH($T2600,'Resumo Grupos'!$AB$3:$AB$200,0)),"n/d"))</f>
        <v/>
      </c>
      <c r="AA2600" s="59">
        <f>IF($T2600="","",IF(COUNTIF('Resumo Grupos'!$AE$3:$AE$40,$T2600)&gt;0,"NAO","SIM"))</f>
        <v/>
      </c>
    </row>
    <row r="2601" ht="12.75" customHeight="1" s="60">
      <c r="A2601" s="59" t="n">
        <v>1</v>
      </c>
      <c r="B2601" s="82" t="n">
        <v>46255</v>
      </c>
      <c r="C2601" s="82" t="n">
        <v>46280</v>
      </c>
      <c r="D2601" s="59" t="n">
        <v>1078</v>
      </c>
      <c r="E2601" s="59" t="inlineStr">
        <is>
          <t>NATUREZA COMERCIO DE DESCARTAVEIS LTDA</t>
        </is>
      </c>
      <c r="F2601" s="59" t="n">
        <v>24</v>
      </c>
      <c r="G2601" s="59" t="inlineStr">
        <is>
          <t>Compra a Prazo - Boletos</t>
        </is>
      </c>
      <c r="H2601" s="59" t="n">
        <v>2110405</v>
      </c>
      <c r="I2601" s="59" t="inlineStr">
        <is>
          <t>CONTAS A PAGAR</t>
        </is>
      </c>
      <c r="J2601" s="59" t="n">
        <v>1580469</v>
      </c>
      <c r="L2601" s="59" t="n">
        <v>30750</v>
      </c>
      <c r="M2601" s="59" t="inlineStr">
        <is>
          <t>01</t>
        </is>
      </c>
      <c r="N2601" s="59" t="inlineStr">
        <is>
          <t>AVU</t>
        </is>
      </c>
      <c r="P2601" s="59" t="n">
        <v>103</v>
      </c>
      <c r="Q2601" s="59" t="inlineStr">
        <is>
          <t>MILKA FRANCIS</t>
        </is>
      </c>
      <c r="R2601" s="59" t="inlineStr">
        <is>
          <t>ESTOQUE DE MERCADORIAS</t>
        </is>
      </c>
      <c r="S2601" s="59" t="n">
        <v>1130101</v>
      </c>
      <c r="T2601" s="59" t="inlineStr">
        <is>
          <t>MERCADORIAS P/REVENDA</t>
        </is>
      </c>
      <c r="U2601" s="59" t="n">
        <v>738.09</v>
      </c>
      <c r="W2601" s="59" t="n">
        <v>0</v>
      </c>
      <c r="X2601" s="59" t="inlineStr">
        <is>
          <t>NF 30750 - MILKA</t>
        </is>
      </c>
      <c r="Z2601" s="59">
        <f>IF($T2601="","",IFERROR(INDEX('Resumo Grupos'!$AC$3:$AC$200,MATCH($T2601,'Resumo Grupos'!$AB$3:$AB$200,0)),"n/d"))</f>
        <v/>
      </c>
      <c r="AA2601" s="59">
        <f>IF($T2601="","",IF(COUNTIF('Resumo Grupos'!$AE$3:$AE$40,$T2601)&gt;0,"NAO","SIM"))</f>
        <v/>
      </c>
    </row>
    <row r="2602" ht="12.75" customHeight="1" s="60">
      <c r="A2602" s="59" t="n">
        <v>1</v>
      </c>
      <c r="B2602" s="82" t="n">
        <v>46255</v>
      </c>
      <c r="C2602" s="82" t="n">
        <v>46280</v>
      </c>
      <c r="D2602" s="59" t="n">
        <v>1668</v>
      </c>
      <c r="E2602" s="59" t="inlineStr">
        <is>
          <t>NATUREZA COMERCIO DE DESCARTAVEIS LTDA</t>
        </is>
      </c>
      <c r="F2602" s="59" t="n">
        <v>24</v>
      </c>
      <c r="G2602" s="59" t="inlineStr">
        <is>
          <t>Compra a Prazo - Boletos</t>
        </is>
      </c>
      <c r="H2602" s="59" t="n">
        <v>2110405</v>
      </c>
      <c r="I2602" s="59" t="inlineStr">
        <is>
          <t>CONTAS A PAGAR</t>
        </is>
      </c>
      <c r="J2602" s="59" t="n">
        <v>1582091</v>
      </c>
      <c r="L2602" s="59" t="n">
        <v>750484</v>
      </c>
      <c r="M2602" s="59" t="inlineStr">
        <is>
          <t>03</t>
        </is>
      </c>
      <c r="N2602" s="59" t="inlineStr">
        <is>
          <t>AVU</t>
        </is>
      </c>
      <c r="P2602" s="59" t="n">
        <v>103</v>
      </c>
      <c r="Q2602" s="59" t="inlineStr">
        <is>
          <t>MILKA FRANCIS</t>
        </is>
      </c>
      <c r="R2602" s="59" t="inlineStr">
        <is>
          <t>ESTOQUE DE MERCADORIAS</t>
        </is>
      </c>
      <c r="S2602" s="59" t="n">
        <v>1130101</v>
      </c>
      <c r="T2602" s="59" t="inlineStr">
        <is>
          <t>MERCADORIAS P/REVENDA</t>
        </is>
      </c>
      <c r="U2602" s="59" t="n">
        <v>983.08</v>
      </c>
      <c r="W2602" s="59" t="n">
        <v>0</v>
      </c>
      <c r="X2602" s="59" t="inlineStr">
        <is>
          <t>NF750484-3 MILKA</t>
        </is>
      </c>
      <c r="Z2602" s="59">
        <f>IF($T2602="","",IFERROR(INDEX('Resumo Grupos'!$AC$3:$AC$200,MATCH($T2602,'Resumo Grupos'!$AB$3:$AB$200,0)),"n/d"))</f>
        <v/>
      </c>
      <c r="AA2602" s="59">
        <f>IF($T2602="","",IF(COUNTIF('Resumo Grupos'!$AE$3:$AE$40,$T2602)&gt;0,"NAO","SIM"))</f>
        <v/>
      </c>
    </row>
    <row r="2603" ht="12.75" customHeight="1" s="60">
      <c r="A2603" s="59" t="n">
        <v>1</v>
      </c>
      <c r="B2603" s="82" t="n">
        <v>46255</v>
      </c>
      <c r="C2603" s="82" t="n">
        <v>46280</v>
      </c>
      <c r="D2603" s="59" t="n">
        <v>1668</v>
      </c>
      <c r="E2603" s="59" t="inlineStr">
        <is>
          <t>NATUREZA COMERCIO DE DESCARTAVEIS LTDA</t>
        </is>
      </c>
      <c r="F2603" s="59" t="n">
        <v>24</v>
      </c>
      <c r="G2603" s="59" t="inlineStr">
        <is>
          <t>Compra a Prazo - Boletos</t>
        </is>
      </c>
      <c r="H2603" s="59" t="n">
        <v>2110405</v>
      </c>
      <c r="I2603" s="59" t="inlineStr">
        <is>
          <t>CONTAS A PAGAR</t>
        </is>
      </c>
      <c r="J2603" s="59" t="n">
        <v>1582110</v>
      </c>
      <c r="L2603" s="59" t="n">
        <v>750483</v>
      </c>
      <c r="M2603" s="59" t="inlineStr">
        <is>
          <t>03</t>
        </is>
      </c>
      <c r="N2603" s="59" t="inlineStr">
        <is>
          <t>AVU</t>
        </is>
      </c>
      <c r="P2603" s="59" t="n">
        <v>103</v>
      </c>
      <c r="Q2603" s="59" t="inlineStr">
        <is>
          <t>MILKA FRANCIS</t>
        </is>
      </c>
      <c r="R2603" s="59" t="inlineStr">
        <is>
          <t>DESPESAS OPERACIONAIS</t>
        </is>
      </c>
      <c r="S2603" s="59" t="n">
        <v>4210299</v>
      </c>
      <c r="T2603" s="59" t="inlineStr">
        <is>
          <t>DESPESA DE VENDA</t>
        </is>
      </c>
      <c r="U2603" s="59" t="n">
        <v>1304.13</v>
      </c>
      <c r="W2603" s="59" t="n">
        <v>0</v>
      </c>
      <c r="X2603" s="59" t="inlineStr">
        <is>
          <t>NF 750483 -3 SACO PAPEL/ COPO300ML/ POTE145ML/ MASCARA/ LUVA - MILKA</t>
        </is>
      </c>
      <c r="Z2603" s="59">
        <f>IF($T2603="","",IFERROR(INDEX('Resumo Grupos'!$AC$3:$AC$200,MATCH($T2603,'Resumo Grupos'!$AB$3:$AB$200,0)),"n/d"))</f>
        <v/>
      </c>
      <c r="AA2603" s="59">
        <f>IF($T2603="","",IF(COUNTIF('Resumo Grupos'!$AE$3:$AE$40,$T2603)&gt;0,"NAO","SIM"))</f>
        <v/>
      </c>
    </row>
    <row r="2604" ht="12.75" customHeight="1" s="60">
      <c r="A2604" s="59" t="n">
        <v>1</v>
      </c>
      <c r="B2604" s="82" t="n">
        <v>46256</v>
      </c>
      <c r="C2604" s="82" t="n">
        <v>46280</v>
      </c>
      <c r="D2604" s="59" t="n">
        <v>1657</v>
      </c>
      <c r="E2604" s="59" t="inlineStr">
        <is>
          <t>IRMÃOS LIMA  ATACADO  DE ALIMENTOS LTDA</t>
        </is>
      </c>
      <c r="F2604" s="59" t="n">
        <v>24</v>
      </c>
      <c r="G2604" s="59" t="inlineStr">
        <is>
          <t>Compra a Prazo - Boletos</t>
        </is>
      </c>
      <c r="H2604" s="59" t="n">
        <v>2110405</v>
      </c>
      <c r="I2604" s="59" t="inlineStr">
        <is>
          <t>CONTAS A PAGAR</t>
        </is>
      </c>
      <c r="J2604" s="59" t="n">
        <v>1585243</v>
      </c>
      <c r="L2604" s="59" t="n">
        <v>297570</v>
      </c>
      <c r="M2604" s="59" t="inlineStr">
        <is>
          <t>03</t>
        </is>
      </c>
      <c r="N2604" s="59" t="inlineStr">
        <is>
          <t>AVU</t>
        </is>
      </c>
      <c r="P2604" s="59" t="n">
        <v>103</v>
      </c>
      <c r="Q2604" s="59" t="inlineStr">
        <is>
          <t>MILKA FRANCIS</t>
        </is>
      </c>
      <c r="R2604" s="59" t="inlineStr">
        <is>
          <t>ESTOQUE DE MERCADORIAS</t>
        </is>
      </c>
      <c r="S2604" s="59" t="n">
        <v>1130101</v>
      </c>
      <c r="T2604" s="59" t="inlineStr">
        <is>
          <t>MERCADORIAS P/REVENDA</t>
        </is>
      </c>
      <c r="U2604" s="59" t="n">
        <v>1062.06</v>
      </c>
      <c r="W2604" s="59" t="n">
        <v>0</v>
      </c>
      <c r="X2604" s="59" t="inlineStr">
        <is>
          <t>378915-C/C  NF297570 - MILKA</t>
        </is>
      </c>
      <c r="Z2604" s="59">
        <f>IF($T2604="","",IFERROR(INDEX('Resumo Grupos'!$AC$3:$AC$200,MATCH($T2604,'Resumo Grupos'!$AB$3:$AB$200,0)),"n/d"))</f>
        <v/>
      </c>
      <c r="AA2604" s="59">
        <f>IF($T2604="","",IF(COUNTIF('Resumo Grupos'!$AE$3:$AE$40,$T2604)&gt;0,"NAO","SIM"))</f>
        <v/>
      </c>
    </row>
    <row r="2605" ht="12.75" customHeight="1" s="60">
      <c r="A2605" s="59" t="n">
        <v>1</v>
      </c>
      <c r="B2605" s="82" t="n">
        <v>46224</v>
      </c>
      <c r="C2605" s="82" t="n">
        <v>46281</v>
      </c>
      <c r="D2605" s="59" t="n">
        <v>607</v>
      </c>
      <c r="E2605" s="59" t="inlineStr">
        <is>
          <t>PRIME PET DISTRIBUIDORA LTDA</t>
        </is>
      </c>
      <c r="F2605" s="59" t="n">
        <v>24</v>
      </c>
      <c r="G2605" s="59" t="inlineStr">
        <is>
          <t>Compra a Prazo - Boletos</t>
        </is>
      </c>
      <c r="H2605" s="59" t="n">
        <v>2110405</v>
      </c>
      <c r="I2605" s="59" t="inlineStr">
        <is>
          <t>CONTAS A PAGAR</t>
        </is>
      </c>
      <c r="J2605" s="59" t="n">
        <v>1429152</v>
      </c>
      <c r="L2605" s="59" t="n">
        <v>11134</v>
      </c>
      <c r="M2605" s="59" t="inlineStr">
        <is>
          <t>04</t>
        </is>
      </c>
      <c r="N2605" s="59" t="inlineStr">
        <is>
          <t>AVU</t>
        </is>
      </c>
      <c r="P2605" s="59" t="n">
        <v>103</v>
      </c>
      <c r="Q2605" s="59" t="inlineStr">
        <is>
          <t>MILKA FRANCIS</t>
        </is>
      </c>
      <c r="R2605" s="59" t="inlineStr">
        <is>
          <t>ESTOQUE DE MERCADORIAS</t>
        </is>
      </c>
      <c r="S2605" s="59" t="n">
        <v>1130101</v>
      </c>
      <c r="T2605" s="59" t="inlineStr">
        <is>
          <t>MERCADORIAS P/REVENDA</t>
        </is>
      </c>
      <c r="U2605" s="59" t="n">
        <v>911.85</v>
      </c>
      <c r="W2605" s="59" t="n">
        <v>0</v>
      </c>
      <c r="X2605" s="59" t="inlineStr">
        <is>
          <t>NF 11134 -04/06  MILKA</t>
        </is>
      </c>
      <c r="Z2605" s="59">
        <f>IF($T2605="","",IFERROR(INDEX('Resumo Grupos'!$AC$3:$AC$200,MATCH($T2605,'Resumo Grupos'!$AB$3:$AB$200,0)),"n/d"))</f>
        <v/>
      </c>
      <c r="AA2605" s="59">
        <f>IF($T2605="","",IF(COUNTIF('Resumo Grupos'!$AE$3:$AE$40,$T2605)&gt;0,"NAO","SIM"))</f>
        <v/>
      </c>
    </row>
    <row r="2606" ht="12.75" customHeight="1" s="60">
      <c r="A2606" s="59" t="n">
        <v>1</v>
      </c>
      <c r="B2606" s="82" t="n">
        <v>46226</v>
      </c>
      <c r="C2606" s="82" t="n">
        <v>46281</v>
      </c>
      <c r="D2606" s="59" t="n">
        <v>957</v>
      </c>
      <c r="E2606" s="59" t="inlineStr">
        <is>
          <t>FUNNY PET DISTRIBUIDORA DE ALIMENTOS PAR</t>
        </is>
      </c>
      <c r="F2606" s="59" t="n">
        <v>24</v>
      </c>
      <c r="G2606" s="59" t="inlineStr">
        <is>
          <t>Compra a Prazo - Boletos</t>
        </is>
      </c>
      <c r="H2606" s="59" t="n">
        <v>2110405</v>
      </c>
      <c r="I2606" s="59" t="inlineStr">
        <is>
          <t>CONTAS A PAGAR</t>
        </is>
      </c>
      <c r="J2606" s="59" t="n">
        <v>1439137</v>
      </c>
      <c r="L2606" s="59" t="n">
        <v>21188</v>
      </c>
      <c r="M2606" s="59" t="inlineStr">
        <is>
          <t>04</t>
        </is>
      </c>
      <c r="N2606" s="59" t="inlineStr">
        <is>
          <t>AVU</t>
        </is>
      </c>
      <c r="P2606" s="59" t="n">
        <v>103</v>
      </c>
      <c r="Q2606" s="59" t="inlineStr">
        <is>
          <t>MILKA FRANCIS</t>
        </is>
      </c>
      <c r="R2606" s="59" t="inlineStr">
        <is>
          <t>ESTOQUE DE MERCADORIAS</t>
        </is>
      </c>
      <c r="S2606" s="59" t="n">
        <v>1130101</v>
      </c>
      <c r="T2606" s="59" t="inlineStr">
        <is>
          <t>MERCADORIAS P/REVENDA</t>
        </is>
      </c>
      <c r="U2606" s="59" t="n">
        <v>3458.9</v>
      </c>
      <c r="W2606" s="59" t="n">
        <v>0</v>
      </c>
      <c r="X2606" s="59" t="inlineStr">
        <is>
          <t>NF 21188 -4 MILKA</t>
        </is>
      </c>
      <c r="Z2606" s="59">
        <f>IF($T2606="","",IFERROR(INDEX('Resumo Grupos'!$AC$3:$AC$200,MATCH($T2606,'Resumo Grupos'!$AB$3:$AB$200,0)),"n/d"))</f>
        <v/>
      </c>
      <c r="AA2606" s="59">
        <f>IF($T2606="","",IF(COUNTIF('Resumo Grupos'!$AE$3:$AE$40,$T2606)&gt;0,"NAO","SIM"))</f>
        <v/>
      </c>
    </row>
    <row r="2607" ht="12.75" customHeight="1" s="60">
      <c r="A2607" s="59" t="n">
        <v>1</v>
      </c>
      <c r="B2607" s="82" t="n">
        <v>46247</v>
      </c>
      <c r="C2607" s="82" t="n">
        <v>46281</v>
      </c>
      <c r="D2607" s="59" t="n">
        <v>1107</v>
      </c>
      <c r="E2607" s="59" t="inlineStr">
        <is>
          <t>OESA COMERCIO E REPRESENTACOES S/A</t>
        </is>
      </c>
      <c r="F2607" s="59" t="n">
        <v>24</v>
      </c>
      <c r="G2607" s="59" t="inlineStr">
        <is>
          <t>Compra a Prazo - Boletos</t>
        </is>
      </c>
      <c r="H2607" s="59" t="n">
        <v>2110405</v>
      </c>
      <c r="I2607" s="59" t="inlineStr">
        <is>
          <t>CONTAS A PAGAR</t>
        </is>
      </c>
      <c r="J2607" s="59" t="n">
        <v>1542142</v>
      </c>
      <c r="L2607" s="59" t="n">
        <v>441856</v>
      </c>
      <c r="M2607" s="59" t="inlineStr">
        <is>
          <t>03</t>
        </is>
      </c>
      <c r="N2607" s="59" t="inlineStr">
        <is>
          <t>AVU</t>
        </is>
      </c>
      <c r="P2607" s="59" t="n">
        <v>103</v>
      </c>
      <c r="Q2607" s="59" t="inlineStr">
        <is>
          <t>MILKA FRANCIS</t>
        </is>
      </c>
      <c r="R2607" s="59" t="inlineStr">
        <is>
          <t>ESTOQUE DE MERCADORIAS</t>
        </is>
      </c>
      <c r="S2607" s="59" t="n">
        <v>1130101</v>
      </c>
      <c r="T2607" s="59" t="inlineStr">
        <is>
          <t>MERCADORIAS P/REVENDA</t>
        </is>
      </c>
      <c r="U2607" s="59" t="n">
        <v>836.55</v>
      </c>
      <c r="W2607" s="59" t="n">
        <v>0</v>
      </c>
      <c r="X2607" s="59" t="inlineStr">
        <is>
          <t>NF 441856 -3 MILKA</t>
        </is>
      </c>
      <c r="Z2607" s="59">
        <f>IF($T2607="","",IFERROR(INDEX('Resumo Grupos'!$AC$3:$AC$200,MATCH($T2607,'Resumo Grupos'!$AB$3:$AB$200,0)),"n/d"))</f>
        <v/>
      </c>
      <c r="AA2607" s="59">
        <f>IF($T2607="","",IF(COUNTIF('Resumo Grupos'!$AE$3:$AE$40,$T2607)&gt;0,"NAO","SIM"))</f>
        <v/>
      </c>
    </row>
    <row r="2608" ht="12.75" customHeight="1" s="60">
      <c r="A2608" s="59" t="n">
        <v>1</v>
      </c>
      <c r="B2608" s="82" t="n">
        <v>46248</v>
      </c>
      <c r="C2608" s="82" t="n">
        <v>46281</v>
      </c>
      <c r="D2608" s="59" t="n">
        <v>1612</v>
      </c>
      <c r="E2608" s="59" t="inlineStr">
        <is>
          <t>EMPRESA BRASILEIRA DE DISTRIBUICAO LTDA</t>
        </is>
      </c>
      <c r="F2608" s="59" t="n">
        <v>24</v>
      </c>
      <c r="G2608" s="59" t="inlineStr">
        <is>
          <t>Compra a Prazo - Boletos</t>
        </is>
      </c>
      <c r="H2608" s="59" t="n">
        <v>2110405</v>
      </c>
      <c r="I2608" s="59" t="inlineStr">
        <is>
          <t>CONTAS A PAGAR</t>
        </is>
      </c>
      <c r="J2608" s="59" t="n">
        <v>1546677</v>
      </c>
      <c r="L2608" s="59" t="n">
        <v>2309729</v>
      </c>
      <c r="M2608" s="59" t="inlineStr">
        <is>
          <t>03</t>
        </is>
      </c>
      <c r="N2608" s="59" t="inlineStr">
        <is>
          <t>AVU</t>
        </is>
      </c>
      <c r="P2608" s="59" t="n">
        <v>103</v>
      </c>
      <c r="Q2608" s="59" t="inlineStr">
        <is>
          <t>MILKA FRANCIS</t>
        </is>
      </c>
      <c r="R2608" s="59" t="inlineStr">
        <is>
          <t>ESTOQUE DE MERCADORIAS</t>
        </is>
      </c>
      <c r="S2608" s="59" t="n">
        <v>1130101</v>
      </c>
      <c r="T2608" s="59" t="inlineStr">
        <is>
          <t>MERCADORIAS P/REVENDA</t>
        </is>
      </c>
      <c r="U2608" s="59" t="n">
        <v>1200.77</v>
      </c>
      <c r="W2608" s="59" t="n">
        <v>0</v>
      </c>
      <c r="X2608" s="59" t="inlineStr">
        <is>
          <t>NF 2309729-3 MILKA</t>
        </is>
      </c>
      <c r="Z2608" s="59">
        <f>IF($T2608="","",IFERROR(INDEX('Resumo Grupos'!$AC$3:$AC$200,MATCH($T2608,'Resumo Grupos'!$AB$3:$AB$200,0)),"n/d"))</f>
        <v/>
      </c>
      <c r="AA2608" s="59">
        <f>IF($T2608="","",IF(COUNTIF('Resumo Grupos'!$AE$3:$AE$40,$T2608)&gt;0,"NAO","SIM"))</f>
        <v/>
      </c>
    </row>
    <row r="2609" ht="12.75" customHeight="1" s="60">
      <c r="A2609" s="59" t="n">
        <v>1</v>
      </c>
      <c r="B2609" s="82" t="n">
        <v>46253</v>
      </c>
      <c r="C2609" s="82" t="n">
        <v>46281</v>
      </c>
      <c r="D2609" s="59" t="n">
        <v>1611</v>
      </c>
      <c r="E2609" s="59" t="inlineStr">
        <is>
          <t>MARTINS COM SERV DISTR SA</t>
        </is>
      </c>
      <c r="F2609" s="59" t="n">
        <v>24</v>
      </c>
      <c r="G2609" s="59" t="inlineStr">
        <is>
          <t>Compra a Prazo - Boletos</t>
        </is>
      </c>
      <c r="H2609" s="59" t="n">
        <v>2110405</v>
      </c>
      <c r="I2609" s="59" t="inlineStr">
        <is>
          <t>CONTAS A PAGAR</t>
        </is>
      </c>
      <c r="J2609" s="59" t="n">
        <v>1570880</v>
      </c>
      <c r="L2609" s="59" t="n">
        <v>1791736</v>
      </c>
      <c r="M2609" s="59" t="inlineStr">
        <is>
          <t>02</t>
        </is>
      </c>
      <c r="N2609" s="59" t="inlineStr">
        <is>
          <t>AVU</t>
        </is>
      </c>
      <c r="P2609" s="59" t="n">
        <v>103</v>
      </c>
      <c r="Q2609" s="59" t="inlineStr">
        <is>
          <t>MILKA FRANCIS</t>
        </is>
      </c>
      <c r="R2609" s="59" t="inlineStr">
        <is>
          <t>ESTOQUE DE MERCADORIAS</t>
        </is>
      </c>
      <c r="S2609" s="59" t="n">
        <v>1130101</v>
      </c>
      <c r="T2609" s="59" t="inlineStr">
        <is>
          <t>MERCADORIAS P/REVENDA</t>
        </is>
      </c>
      <c r="U2609" s="59" t="n">
        <v>754.67</v>
      </c>
      <c r="W2609" s="59" t="n">
        <v>0</v>
      </c>
      <c r="X2609" s="59" t="inlineStr">
        <is>
          <t>18651431  NF1791736/NF1791737 - MILKA</t>
        </is>
      </c>
      <c r="Z2609" s="59">
        <f>IF($T2609="","",IFERROR(INDEX('Resumo Grupos'!$AC$3:$AC$200,MATCH($T2609,'Resumo Grupos'!$AB$3:$AB$200,0)),"n/d"))</f>
        <v/>
      </c>
      <c r="AA2609" s="59">
        <f>IF($T2609="","",IF(COUNTIF('Resumo Grupos'!$AE$3:$AE$40,$T2609)&gt;0,"NAO","SIM"))</f>
        <v/>
      </c>
    </row>
    <row r="2610" ht="12.75" customHeight="1" s="60">
      <c r="A2610" s="59" t="n">
        <v>1</v>
      </c>
      <c r="B2610" s="82" t="n">
        <v>46253</v>
      </c>
      <c r="C2610" s="82" t="n">
        <v>46281</v>
      </c>
      <c r="D2610" s="59" t="n">
        <v>1608</v>
      </c>
      <c r="E2610" s="59" t="inlineStr">
        <is>
          <t>DISTRIBUIDORA LOPES LTDA</t>
        </is>
      </c>
      <c r="F2610" s="59" t="n">
        <v>24</v>
      </c>
      <c r="G2610" s="59" t="inlineStr">
        <is>
          <t>Compra a Prazo - Boletos</t>
        </is>
      </c>
      <c r="H2610" s="59" t="n">
        <v>2110405</v>
      </c>
      <c r="I2610" s="59" t="inlineStr">
        <is>
          <t>CONTAS A PAGAR</t>
        </is>
      </c>
      <c r="J2610" s="59" t="n">
        <v>1572200</v>
      </c>
      <c r="L2610" s="59" t="n">
        <v>1713960</v>
      </c>
      <c r="M2610" s="59" t="inlineStr">
        <is>
          <t>03</t>
        </is>
      </c>
      <c r="N2610" s="59" t="inlineStr">
        <is>
          <t>AVU</t>
        </is>
      </c>
      <c r="P2610" s="59" t="n">
        <v>103</v>
      </c>
      <c r="Q2610" s="59" t="inlineStr">
        <is>
          <t>MILKA FRANCIS</t>
        </is>
      </c>
      <c r="R2610" s="59" t="inlineStr">
        <is>
          <t>ESTOQUE DE MERCADORIAS</t>
        </is>
      </c>
      <c r="S2610" s="59" t="n">
        <v>1130101</v>
      </c>
      <c r="T2610" s="59" t="inlineStr">
        <is>
          <t>MERCADORIAS P/REVENDA</t>
        </is>
      </c>
      <c r="U2610" s="59" t="n">
        <v>932.55</v>
      </c>
      <c r="W2610" s="59" t="n">
        <v>0</v>
      </c>
      <c r="X2610" s="59" t="inlineStr">
        <is>
          <t>NF 1713960 -3 MILKA</t>
        </is>
      </c>
      <c r="Z2610" s="59">
        <f>IF($T2610="","",IFERROR(INDEX('Resumo Grupos'!$AC$3:$AC$200,MATCH($T2610,'Resumo Grupos'!$AB$3:$AB$200,0)),"n/d"))</f>
        <v/>
      </c>
      <c r="AA2610" s="59">
        <f>IF($T2610="","",IF(COUNTIF('Resumo Grupos'!$AE$3:$AE$40,$T2610)&gt;0,"NAO","SIM"))</f>
        <v/>
      </c>
    </row>
    <row r="2611" ht="12.75" customHeight="1" s="60">
      <c r="A2611" s="59" t="n">
        <v>1</v>
      </c>
      <c r="B2611" s="82" t="n">
        <v>46254</v>
      </c>
      <c r="C2611" s="82" t="n">
        <v>46281</v>
      </c>
      <c r="D2611" s="59" t="n">
        <v>1608</v>
      </c>
      <c r="E2611" s="59" t="inlineStr">
        <is>
          <t>DISTRIBUIDORA LOPES LTDA</t>
        </is>
      </c>
      <c r="F2611" s="59" t="n">
        <v>24</v>
      </c>
      <c r="G2611" s="59" t="inlineStr">
        <is>
          <t>Compra a Prazo - Boletos</t>
        </is>
      </c>
      <c r="H2611" s="59" t="n">
        <v>2110405</v>
      </c>
      <c r="I2611" s="59" t="inlineStr">
        <is>
          <t>CONTAS A PAGAR</t>
        </is>
      </c>
      <c r="J2611" s="59" t="n">
        <v>1576059</v>
      </c>
      <c r="L2611" s="59" t="n">
        <v>1713862</v>
      </c>
      <c r="M2611" s="59" t="inlineStr">
        <is>
          <t>03</t>
        </is>
      </c>
      <c r="N2611" s="59" t="inlineStr">
        <is>
          <t>AVU</t>
        </is>
      </c>
      <c r="P2611" s="59" t="n">
        <v>103</v>
      </c>
      <c r="Q2611" s="59" t="inlineStr">
        <is>
          <t>MILKA FRANCIS</t>
        </is>
      </c>
      <c r="R2611" s="59" t="inlineStr">
        <is>
          <t>ESTOQUE DE MERCADORIAS</t>
        </is>
      </c>
      <c r="S2611" s="59" t="n">
        <v>1130101</v>
      </c>
      <c r="T2611" s="59" t="inlineStr">
        <is>
          <t>MERCADORIAS P/REVENDA</t>
        </is>
      </c>
      <c r="U2611" s="59" t="n">
        <v>952.02</v>
      </c>
      <c r="W2611" s="59" t="n">
        <v>0</v>
      </c>
      <c r="X2611" s="59" t="inlineStr">
        <is>
          <t>NF 1713862 -3 MILKA</t>
        </is>
      </c>
      <c r="Z2611" s="59">
        <f>IF($T2611="","",IFERROR(INDEX('Resumo Grupos'!$AC$3:$AC$200,MATCH($T2611,'Resumo Grupos'!$AB$3:$AB$200,0)),"n/d"))</f>
        <v/>
      </c>
      <c r="AA2611" s="59">
        <f>IF($T2611="","",IF(COUNTIF('Resumo Grupos'!$AE$3:$AE$40,$T2611)&gt;0,"NAO","SIM"))</f>
        <v/>
      </c>
    </row>
    <row r="2612" ht="12.75" customHeight="1" s="60">
      <c r="A2612" s="59" t="n">
        <v>1</v>
      </c>
      <c r="B2612" s="82" t="n">
        <v>46254</v>
      </c>
      <c r="C2612" s="82" t="n">
        <v>46281</v>
      </c>
      <c r="D2612" s="59" t="n">
        <v>1705</v>
      </c>
      <c r="E2612" s="59" t="inlineStr">
        <is>
          <t>BRASIL NORTE BEBIDAS S/A</t>
        </is>
      </c>
      <c r="F2612" s="59" t="n">
        <v>24</v>
      </c>
      <c r="G2612" s="59" t="inlineStr">
        <is>
          <t>Compra a Prazo - Boletos</t>
        </is>
      </c>
      <c r="H2612" s="59" t="n">
        <v>2110405</v>
      </c>
      <c r="I2612" s="59" t="inlineStr">
        <is>
          <t>CONTAS A PAGAR</t>
        </is>
      </c>
      <c r="J2612" s="59" t="n">
        <v>1576396</v>
      </c>
      <c r="L2612" s="59" t="n">
        <v>1255654</v>
      </c>
      <c r="M2612" s="59" t="inlineStr">
        <is>
          <t>01</t>
        </is>
      </c>
      <c r="N2612" s="59" t="inlineStr">
        <is>
          <t>AVU</t>
        </is>
      </c>
      <c r="P2612" s="59" t="n">
        <v>103</v>
      </c>
      <c r="Q2612" s="59" t="inlineStr">
        <is>
          <t>MILKA FRANCIS</t>
        </is>
      </c>
      <c r="R2612" s="59" t="inlineStr">
        <is>
          <t>ESTOQUE DE MERCADORIAS</t>
        </is>
      </c>
      <c r="S2612" s="59" t="n">
        <v>1130101</v>
      </c>
      <c r="T2612" s="59" t="inlineStr">
        <is>
          <t>MERCADORIAS P/REVENDA</t>
        </is>
      </c>
      <c r="U2612" s="59" t="n">
        <v>39.76</v>
      </c>
      <c r="W2612" s="59" t="n">
        <v>0</v>
      </c>
      <c r="X2612" s="59" t="inlineStr">
        <is>
          <t>NF 1255654 COCA - MILKA</t>
        </is>
      </c>
      <c r="Z2612" s="59">
        <f>IF($T2612="","",IFERROR(INDEX('Resumo Grupos'!$AC$3:$AC$200,MATCH($T2612,'Resumo Grupos'!$AB$3:$AB$200,0)),"n/d"))</f>
        <v/>
      </c>
      <c r="AA2612" s="59">
        <f>IF($T2612="","",IF(COUNTIF('Resumo Grupos'!$AE$3:$AE$40,$T2612)&gt;0,"NAO","SIM"))</f>
        <v/>
      </c>
    </row>
    <row r="2613" ht="12.75" customHeight="1" s="60">
      <c r="A2613" s="59" t="n">
        <v>1</v>
      </c>
      <c r="B2613" s="82" t="n">
        <v>46255</v>
      </c>
      <c r="C2613" s="82" t="n">
        <v>46281</v>
      </c>
      <c r="D2613" s="59" t="n">
        <v>1163</v>
      </c>
      <c r="E2613" s="59" t="inlineStr">
        <is>
          <t>CIMED &amp; CO. S.A</t>
        </is>
      </c>
      <c r="F2613" s="59" t="n">
        <v>24</v>
      </c>
      <c r="G2613" s="59" t="inlineStr">
        <is>
          <t>Compra a Prazo - Boletos</t>
        </is>
      </c>
      <c r="H2613" s="59" t="n">
        <v>2110405</v>
      </c>
      <c r="I2613" s="59" t="inlineStr">
        <is>
          <t>CONTAS A PAGAR</t>
        </is>
      </c>
      <c r="J2613" s="59" t="n">
        <v>1581839</v>
      </c>
      <c r="L2613" s="59" t="n">
        <v>57187</v>
      </c>
      <c r="M2613" s="59" t="inlineStr">
        <is>
          <t>01</t>
        </is>
      </c>
      <c r="N2613" s="59" t="inlineStr">
        <is>
          <t>AVU</t>
        </is>
      </c>
      <c r="P2613" s="59" t="n">
        <v>103</v>
      </c>
      <c r="Q2613" s="59" t="inlineStr">
        <is>
          <t>MILKA FRANCIS</t>
        </is>
      </c>
      <c r="R2613" s="59" t="inlineStr">
        <is>
          <t>ESTOQUE DE MERCADORIAS</t>
        </is>
      </c>
      <c r="S2613" s="59" t="n">
        <v>1130101</v>
      </c>
      <c r="T2613" s="59" t="inlineStr">
        <is>
          <t>MERCADORIAS P/REVENDA</t>
        </is>
      </c>
      <c r="U2613" s="59" t="n">
        <v>360.48</v>
      </c>
      <c r="W2613" s="59" t="n">
        <v>0</v>
      </c>
      <c r="X2613" s="59" t="inlineStr">
        <is>
          <t>NF 57187 - MILKA</t>
        </is>
      </c>
      <c r="Z2613" s="59">
        <f>IF($T2613="","",IFERROR(INDEX('Resumo Grupos'!$AC$3:$AC$200,MATCH($T2613,'Resumo Grupos'!$AB$3:$AB$200,0)),"n/d"))</f>
        <v/>
      </c>
      <c r="AA2613" s="59">
        <f>IF($T2613="","",IF(COUNTIF('Resumo Grupos'!$AE$3:$AE$40,$T2613)&gt;0,"NAO","SIM"))</f>
        <v/>
      </c>
    </row>
    <row r="2614" ht="12.75" customHeight="1" s="60">
      <c r="A2614" s="59" t="n">
        <v>1</v>
      </c>
      <c r="B2614" s="82" t="n">
        <v>46255</v>
      </c>
      <c r="C2614" s="82" t="n">
        <v>46281</v>
      </c>
      <c r="D2614" s="59" t="n">
        <v>967</v>
      </c>
      <c r="E2614" s="59" t="inlineStr">
        <is>
          <t>L. J. DA SILVA LTDA</t>
        </is>
      </c>
      <c r="F2614" s="59" t="n">
        <v>24</v>
      </c>
      <c r="G2614" s="59" t="inlineStr">
        <is>
          <t>Compra a Prazo - Boletos</t>
        </is>
      </c>
      <c r="H2614" s="59" t="n">
        <v>2110405</v>
      </c>
      <c r="I2614" s="59" t="inlineStr">
        <is>
          <t>CONTAS A PAGAR</t>
        </is>
      </c>
      <c r="J2614" s="59" t="n">
        <v>1582001</v>
      </c>
      <c r="L2614" s="59" t="n">
        <v>37328</v>
      </c>
      <c r="M2614" s="59" t="inlineStr">
        <is>
          <t>03</t>
        </is>
      </c>
      <c r="N2614" s="59" t="inlineStr">
        <is>
          <t>AVU</t>
        </is>
      </c>
      <c r="P2614" s="59" t="n">
        <v>103</v>
      </c>
      <c r="Q2614" s="59" t="inlineStr">
        <is>
          <t>MILKA FRANCIS</t>
        </is>
      </c>
      <c r="R2614" s="59" t="inlineStr">
        <is>
          <t>ESTOQUE DE MERCADORIAS</t>
        </is>
      </c>
      <c r="S2614" s="59" t="n">
        <v>1130101</v>
      </c>
      <c r="T2614" s="59" t="inlineStr">
        <is>
          <t>MERCADORIAS P/REVENDA</t>
        </is>
      </c>
      <c r="U2614" s="59" t="n">
        <v>1334.14</v>
      </c>
      <c r="W2614" s="59" t="n">
        <v>0</v>
      </c>
      <c r="X2614" s="59" t="inlineStr">
        <is>
          <t>NF 49329-C/C  NF37328 - MILKA</t>
        </is>
      </c>
      <c r="Z2614" s="59">
        <f>IF($T2614="","",IFERROR(INDEX('Resumo Grupos'!$AC$3:$AC$200,MATCH($T2614,'Resumo Grupos'!$AB$3:$AB$200,0)),"n/d"))</f>
        <v/>
      </c>
      <c r="AA2614" s="59">
        <f>IF($T2614="","",IF(COUNTIF('Resumo Grupos'!$AE$3:$AE$40,$T2614)&gt;0,"NAO","SIM"))</f>
        <v/>
      </c>
    </row>
    <row r="2615" ht="12.75" customHeight="1" s="60">
      <c r="A2615" s="59" t="n">
        <v>1</v>
      </c>
      <c r="B2615" s="82" t="n">
        <v>46256</v>
      </c>
      <c r="C2615" s="82" t="n">
        <v>46281</v>
      </c>
      <c r="D2615" s="59" t="n">
        <v>607</v>
      </c>
      <c r="E2615" s="59" t="inlineStr">
        <is>
          <t>PRIME PET DISTRIBUIDORA LTDA</t>
        </is>
      </c>
      <c r="F2615" s="59" t="n">
        <v>24</v>
      </c>
      <c r="G2615" s="59" t="inlineStr">
        <is>
          <t>Compra a Prazo - Boletos</t>
        </is>
      </c>
      <c r="H2615" s="59" t="n">
        <v>2110405</v>
      </c>
      <c r="I2615" s="59" t="inlineStr">
        <is>
          <t>CONTAS A PAGAR</t>
        </is>
      </c>
      <c r="J2615" s="59" t="n">
        <v>1585319</v>
      </c>
      <c r="L2615" s="59" t="n">
        <v>11473</v>
      </c>
      <c r="M2615" s="59" t="inlineStr">
        <is>
          <t>01</t>
        </is>
      </c>
      <c r="N2615" s="59" t="inlineStr">
        <is>
          <t>AVU</t>
        </is>
      </c>
      <c r="P2615" s="59" t="n">
        <v>103</v>
      </c>
      <c r="Q2615" s="59" t="inlineStr">
        <is>
          <t>MILKA FRANCIS</t>
        </is>
      </c>
      <c r="R2615" s="59" t="inlineStr">
        <is>
          <t>ESTOQUE DE MERCADORIAS</t>
        </is>
      </c>
      <c r="S2615" s="59" t="n">
        <v>1130101</v>
      </c>
      <c r="T2615" s="59" t="inlineStr">
        <is>
          <t>MERCADORIAS P/REVENDA</t>
        </is>
      </c>
      <c r="U2615" s="59" t="n">
        <v>1969.17</v>
      </c>
      <c r="W2615" s="59" t="n">
        <v>0</v>
      </c>
      <c r="X2615" s="59" t="inlineStr">
        <is>
          <t>NF 11473 -01/11 - MILKA</t>
        </is>
      </c>
      <c r="Z2615" s="59">
        <f>IF($T2615="","",IFERROR(INDEX('Resumo Grupos'!$AC$3:$AC$200,MATCH($T2615,'Resumo Grupos'!$AB$3:$AB$200,0)),"n/d"))</f>
        <v/>
      </c>
      <c r="AA2615" s="59">
        <f>IF($T2615="","",IF(COUNTIF('Resumo Grupos'!$AE$3:$AE$40,$T2615)&gt;0,"NAO","SIM"))</f>
        <v/>
      </c>
    </row>
    <row r="2616" ht="12.75" customHeight="1" s="60">
      <c r="A2616" s="59" t="n">
        <v>1</v>
      </c>
      <c r="B2616" s="82" t="n">
        <v>46237</v>
      </c>
      <c r="C2616" s="82" t="n">
        <v>46282</v>
      </c>
      <c r="D2616" s="59" t="n">
        <v>815</v>
      </c>
      <c r="E2616" s="59" t="inlineStr">
        <is>
          <t xml:space="preserve">ROBSON - ROBINHO </t>
        </is>
      </c>
      <c r="F2616" s="59" t="n">
        <v>34</v>
      </c>
      <c r="G2616" s="59" t="inlineStr">
        <is>
          <t>Transferencia Pix</t>
        </is>
      </c>
      <c r="H2616" s="59" t="n">
        <v>2110405</v>
      </c>
      <c r="I2616" s="59" t="inlineStr">
        <is>
          <t>CONTAS A PAGAR</t>
        </is>
      </c>
      <c r="J2616" s="59" t="n">
        <v>1493520</v>
      </c>
      <c r="L2616" s="59" t="n">
        <v>612910</v>
      </c>
      <c r="M2616" s="59" t="inlineStr">
        <is>
          <t>02</t>
        </is>
      </c>
      <c r="N2616" s="59" t="inlineStr">
        <is>
          <t>AVU</t>
        </is>
      </c>
      <c r="P2616" s="59" t="n">
        <v>101</v>
      </c>
      <c r="Q2616" s="59" t="inlineStr">
        <is>
          <t>KEILA LIMA</t>
        </is>
      </c>
      <c r="R2616" s="59" t="inlineStr">
        <is>
          <t>EMPRESTIMOS TERCEIROS</t>
        </is>
      </c>
      <c r="S2616" s="59" t="n">
        <v>2210202</v>
      </c>
      <c r="T2616" s="59" t="inlineStr">
        <is>
          <t>EMPRESTIMOS TERCEIROS</t>
        </is>
      </c>
      <c r="U2616" s="59" t="n">
        <v>6000</v>
      </c>
      <c r="W2616" s="59" t="n">
        <v>0</v>
      </c>
      <c r="X2616" s="59" t="inlineStr">
        <is>
          <t>JUROS DO EMPRESTIMO C/ ROBINHO 200MIL MO1 -KEILA</t>
        </is>
      </c>
      <c r="Z2616" s="59">
        <f>IF($T2616="","",IFERROR(INDEX('Resumo Grupos'!$AC$3:$AC$200,MATCH($T2616,'Resumo Grupos'!$AB$3:$AB$200,0)),"n/d"))</f>
        <v/>
      </c>
      <c r="AA2616" s="59">
        <f>IF($T2616="","",IF(COUNTIF('Resumo Grupos'!$AE$3:$AE$40,$T2616)&gt;0,"NAO","SIM"))</f>
        <v/>
      </c>
    </row>
    <row r="2617" ht="12.75" customHeight="1" s="60">
      <c r="A2617" s="59" t="n">
        <v>1</v>
      </c>
      <c r="B2617" s="82" t="n">
        <v>46246</v>
      </c>
      <c r="C2617" s="82" t="n">
        <v>46282</v>
      </c>
      <c r="D2617" s="59" t="n">
        <v>1390</v>
      </c>
      <c r="E2617" s="59" t="inlineStr">
        <is>
          <t>SMV COMERCIO DE PRODUTOS ALIMENTICIOS LT</t>
        </is>
      </c>
      <c r="F2617" s="59" t="n">
        <v>24</v>
      </c>
      <c r="G2617" s="59" t="inlineStr">
        <is>
          <t>Compra a Prazo - Boletos</t>
        </is>
      </c>
      <c r="H2617" s="59" t="n">
        <v>2110405</v>
      </c>
      <c r="I2617" s="59" t="inlineStr">
        <is>
          <t>CONTAS A PAGAR</t>
        </is>
      </c>
      <c r="J2617" s="59" t="n">
        <v>1537290</v>
      </c>
      <c r="L2617" s="59" t="n">
        <v>7184</v>
      </c>
      <c r="M2617" s="59" t="inlineStr">
        <is>
          <t>02</t>
        </is>
      </c>
      <c r="N2617" s="59" t="inlineStr">
        <is>
          <t>AVU</t>
        </is>
      </c>
      <c r="P2617" s="59" t="n">
        <v>103</v>
      </c>
      <c r="Q2617" s="59" t="inlineStr">
        <is>
          <t>MILKA FRANCIS</t>
        </is>
      </c>
      <c r="R2617" s="59" t="inlineStr">
        <is>
          <t>ESTOQUE DE MERCADORIAS</t>
        </is>
      </c>
      <c r="S2617" s="59" t="n">
        <v>1130101</v>
      </c>
      <c r="T2617" s="59" t="inlineStr">
        <is>
          <t>MERCADORIAS P/REVENDA</t>
        </is>
      </c>
      <c r="U2617" s="59" t="n">
        <v>463.72</v>
      </c>
      <c r="W2617" s="59" t="n">
        <v>0</v>
      </c>
      <c r="X2617" s="59" t="inlineStr">
        <is>
          <t>7520-2/3  NF7184 - MILKA</t>
        </is>
      </c>
      <c r="Z2617" s="59">
        <f>IF($T2617="","",IFERROR(INDEX('Resumo Grupos'!$AC$3:$AC$200,MATCH($T2617,'Resumo Grupos'!$AB$3:$AB$200,0)),"n/d"))</f>
        <v/>
      </c>
      <c r="AA2617" s="59">
        <f>IF($T2617="","",IF(COUNTIF('Resumo Grupos'!$AE$3:$AE$40,$T2617)&gt;0,"NAO","SIM"))</f>
        <v/>
      </c>
    </row>
    <row r="2618" ht="12.75" customHeight="1" s="60">
      <c r="A2618" s="59" t="n">
        <v>1</v>
      </c>
      <c r="B2618" s="82" t="n">
        <v>46248</v>
      </c>
      <c r="C2618" s="82" t="n">
        <v>46282</v>
      </c>
      <c r="D2618" s="59" t="n">
        <v>10020</v>
      </c>
      <c r="E2618" s="59" t="inlineStr">
        <is>
          <t>E. SALES DO NASCIMENTO</t>
        </is>
      </c>
      <c r="F2618" s="59" t="n">
        <v>24</v>
      </c>
      <c r="G2618" s="59" t="inlineStr">
        <is>
          <t>Compra a Prazo - Boletos</t>
        </is>
      </c>
      <c r="H2618" s="59" t="n">
        <v>2110405</v>
      </c>
      <c r="I2618" s="59" t="inlineStr">
        <is>
          <t>CONTAS A PAGAR</t>
        </is>
      </c>
      <c r="J2618" s="59" t="n">
        <v>1546108</v>
      </c>
      <c r="L2618" s="59" t="n">
        <v>799</v>
      </c>
      <c r="M2618" s="59" t="inlineStr">
        <is>
          <t>04</t>
        </is>
      </c>
      <c r="N2618" s="59" t="inlineStr">
        <is>
          <t>AVU</t>
        </is>
      </c>
      <c r="P2618" s="59" t="n">
        <v>103</v>
      </c>
      <c r="Q2618" s="59" t="inlineStr">
        <is>
          <t>MILKA FRANCIS</t>
        </is>
      </c>
      <c r="R2618" s="59" t="inlineStr">
        <is>
          <t>ESTOQUE DE MERCADORIAS</t>
        </is>
      </c>
      <c r="S2618" s="59" t="n">
        <v>1130101</v>
      </c>
      <c r="T2618" s="59" t="inlineStr">
        <is>
          <t>MERCADORIAS P/REVENDA</t>
        </is>
      </c>
      <c r="U2618" s="59" t="n">
        <v>507.29</v>
      </c>
      <c r="W2618" s="59" t="n">
        <v>0</v>
      </c>
      <c r="X2618" s="59" t="inlineStr">
        <is>
          <t>NF 799-04 ARENA  AGROPET - MILKA</t>
        </is>
      </c>
      <c r="Z2618" s="59">
        <f>IF($T2618="","",IFERROR(INDEX('Resumo Grupos'!$AC$3:$AC$200,MATCH($T2618,'Resumo Grupos'!$AB$3:$AB$200,0)),"n/d"))</f>
        <v/>
      </c>
      <c r="AA2618" s="59">
        <f>IF($T2618="","",IF(COUNTIF('Resumo Grupos'!$AE$3:$AE$40,$T2618)&gt;0,"NAO","SIM"))</f>
        <v/>
      </c>
    </row>
    <row r="2619" ht="12.75" customHeight="1" s="60">
      <c r="A2619" s="59" t="n">
        <v>1</v>
      </c>
      <c r="B2619" s="82" t="n">
        <v>46248</v>
      </c>
      <c r="C2619" s="82" t="n">
        <v>46282</v>
      </c>
      <c r="D2619" s="59" t="n">
        <v>10012</v>
      </c>
      <c r="E2619" s="59" t="inlineStr">
        <is>
          <t>SB COMERCIO LTDA</t>
        </is>
      </c>
      <c r="F2619" s="59" t="n">
        <v>24</v>
      </c>
      <c r="G2619" s="59" t="inlineStr">
        <is>
          <t>Compra a Prazo - Boletos</t>
        </is>
      </c>
      <c r="H2619" s="59" t="n">
        <v>2110405</v>
      </c>
      <c r="I2619" s="59" t="inlineStr">
        <is>
          <t>CONTAS A PAGAR</t>
        </is>
      </c>
      <c r="J2619" s="59" t="n">
        <v>1546127</v>
      </c>
      <c r="L2619" s="59" t="n">
        <v>1965727</v>
      </c>
      <c r="M2619" s="59" t="inlineStr">
        <is>
          <t>02</t>
        </is>
      </c>
      <c r="N2619" s="59" t="inlineStr">
        <is>
          <t>AVU</t>
        </is>
      </c>
      <c r="P2619" s="59" t="n">
        <v>103</v>
      </c>
      <c r="Q2619" s="59" t="inlineStr">
        <is>
          <t>MILKA FRANCIS</t>
        </is>
      </c>
      <c r="R2619" s="59" t="inlineStr">
        <is>
          <t>ESTOQUE DE MERCADORIAS</t>
        </is>
      </c>
      <c r="S2619" s="59" t="n">
        <v>1130101</v>
      </c>
      <c r="T2619" s="59" t="inlineStr">
        <is>
          <t>MERCADORIAS P/REVENDA</t>
        </is>
      </c>
      <c r="U2619" s="59" t="n">
        <v>1236.25</v>
      </c>
      <c r="W2619" s="59" t="n">
        <v>0</v>
      </c>
      <c r="X2619" s="59" t="inlineStr">
        <is>
          <t>NF 1965727 -2 MILKA</t>
        </is>
      </c>
      <c r="Z2619" s="59">
        <f>IF($T2619="","",IFERROR(INDEX('Resumo Grupos'!$AC$3:$AC$200,MATCH($T2619,'Resumo Grupos'!$AB$3:$AB$200,0)),"n/d"))</f>
        <v/>
      </c>
      <c r="AA2619" s="59">
        <f>IF($T2619="","",IF(COUNTIF('Resumo Grupos'!$AE$3:$AE$40,$T2619)&gt;0,"NAO","SIM"))</f>
        <v/>
      </c>
    </row>
    <row r="2620" ht="12.75" customHeight="1" s="60">
      <c r="A2620" s="59" t="n">
        <v>1</v>
      </c>
      <c r="B2620" s="82" t="n">
        <v>46249</v>
      </c>
      <c r="C2620" s="82" t="n">
        <v>46282</v>
      </c>
      <c r="D2620" s="59" t="n">
        <v>10011</v>
      </c>
      <c r="E2620" s="59" t="inlineStr">
        <is>
          <t>OPPORTUNITY ALIMENTOS PARA ANIMAIS LTDA</t>
        </is>
      </c>
      <c r="F2620" s="59" t="n">
        <v>24</v>
      </c>
      <c r="G2620" s="59" t="inlineStr">
        <is>
          <t>Compra a Prazo - Boletos</t>
        </is>
      </c>
      <c r="H2620" s="59" t="n">
        <v>2110405</v>
      </c>
      <c r="I2620" s="59" t="inlineStr">
        <is>
          <t>CONTAS A PAGAR</t>
        </is>
      </c>
      <c r="J2620" s="59" t="n">
        <v>1552267</v>
      </c>
      <c r="L2620" s="59" t="n">
        <v>35160</v>
      </c>
      <c r="M2620" s="59" t="inlineStr">
        <is>
          <t>03</t>
        </is>
      </c>
      <c r="N2620" s="59" t="inlineStr">
        <is>
          <t>AVU</t>
        </is>
      </c>
      <c r="P2620" s="59" t="n">
        <v>103</v>
      </c>
      <c r="Q2620" s="59" t="inlineStr">
        <is>
          <t>MILKA FRANCIS</t>
        </is>
      </c>
      <c r="R2620" s="59" t="inlineStr">
        <is>
          <t>ESTOQUE DE MERCADORIAS</t>
        </is>
      </c>
      <c r="S2620" s="59" t="n">
        <v>1130101</v>
      </c>
      <c r="T2620" s="59" t="inlineStr">
        <is>
          <t>MERCADORIAS P/REVENDA</t>
        </is>
      </c>
      <c r="U2620" s="59" t="n">
        <v>2836.78</v>
      </c>
      <c r="W2620" s="59" t="n">
        <v>0</v>
      </c>
      <c r="X2620" s="59" t="inlineStr">
        <is>
          <t>NF 35160-3 MILKA</t>
        </is>
      </c>
      <c r="Z2620" s="59">
        <f>IF($T2620="","",IFERROR(INDEX('Resumo Grupos'!$AC$3:$AC$200,MATCH($T2620,'Resumo Grupos'!$AB$3:$AB$200,0)),"n/d"))</f>
        <v/>
      </c>
      <c r="AA2620" s="59">
        <f>IF($T2620="","",IF(COUNTIF('Resumo Grupos'!$AE$3:$AE$40,$T2620)&gt;0,"NAO","SIM"))</f>
        <v/>
      </c>
    </row>
    <row r="2621" ht="12.75" customHeight="1" s="60">
      <c r="A2621" s="59" t="n">
        <v>1</v>
      </c>
      <c r="B2621" s="82" t="n">
        <v>46251</v>
      </c>
      <c r="C2621" s="82" t="n">
        <v>46282</v>
      </c>
      <c r="D2621" s="59" t="n">
        <v>1671</v>
      </c>
      <c r="E2621" s="59" t="inlineStr">
        <is>
          <t>TAPAJOS COM DE PERFUMARIA COSMETICOS E G</t>
        </is>
      </c>
      <c r="F2621" s="59" t="n">
        <v>24</v>
      </c>
      <c r="G2621" s="59" t="inlineStr">
        <is>
          <t>Compra a Prazo - Boletos</t>
        </is>
      </c>
      <c r="H2621" s="59" t="n">
        <v>2110405</v>
      </c>
      <c r="I2621" s="59" t="inlineStr">
        <is>
          <t>CONTAS A PAGAR</t>
        </is>
      </c>
      <c r="J2621" s="59" t="n">
        <v>1562446</v>
      </c>
      <c r="L2621" s="59" t="n">
        <v>586417</v>
      </c>
      <c r="M2621" s="59" t="inlineStr">
        <is>
          <t>04</t>
        </is>
      </c>
      <c r="N2621" s="59" t="inlineStr">
        <is>
          <t>AVU</t>
        </is>
      </c>
      <c r="P2621" s="59" t="n">
        <v>103</v>
      </c>
      <c r="Q2621" s="59" t="inlineStr">
        <is>
          <t>MILKA FRANCIS</t>
        </is>
      </c>
      <c r="R2621" s="59" t="inlineStr">
        <is>
          <t>ESTOQUE DE MERCADORIAS</t>
        </is>
      </c>
      <c r="S2621" s="59" t="n">
        <v>1130101</v>
      </c>
      <c r="T2621" s="59" t="inlineStr">
        <is>
          <t>MERCADORIAS P/REVENDA</t>
        </is>
      </c>
      <c r="U2621" s="59" t="n">
        <v>1586.84</v>
      </c>
      <c r="W2621" s="59" t="n">
        <v>0</v>
      </c>
      <c r="X2621" s="59" t="inlineStr">
        <is>
          <t>NF 586417-4 C/TARIFA - MILKA</t>
        </is>
      </c>
      <c r="Z2621" s="59">
        <f>IF($T2621="","",IFERROR(INDEX('Resumo Grupos'!$AC$3:$AC$200,MATCH($T2621,'Resumo Grupos'!$AB$3:$AB$200,0)),"n/d"))</f>
        <v/>
      </c>
      <c r="AA2621" s="59">
        <f>IF($T2621="","",IF(COUNTIF('Resumo Grupos'!$AE$3:$AE$40,$T2621)&gt;0,"NAO","SIM"))</f>
        <v/>
      </c>
    </row>
    <row r="2622" ht="12.75" customHeight="1" s="60">
      <c r="A2622" s="59" t="n">
        <v>1</v>
      </c>
      <c r="B2622" s="82" t="n">
        <v>46251</v>
      </c>
      <c r="C2622" s="82" t="n">
        <v>46282</v>
      </c>
      <c r="D2622" s="59" t="n">
        <v>10104</v>
      </c>
      <c r="E2622" s="59" t="inlineStr">
        <is>
          <t>BANCO DA AMAZONIA</t>
        </is>
      </c>
      <c r="F2622" s="59" t="n">
        <v>34</v>
      </c>
      <c r="G2622" s="59" t="inlineStr">
        <is>
          <t>Transferencia Pix</t>
        </is>
      </c>
      <c r="H2622" s="59" t="n">
        <v>2110405</v>
      </c>
      <c r="I2622" s="59" t="inlineStr">
        <is>
          <t>CONTAS A PAGAR</t>
        </is>
      </c>
      <c r="J2622" s="59" t="n">
        <v>1563387</v>
      </c>
      <c r="L2622" s="59" t="n">
        <v>639275</v>
      </c>
      <c r="M2622" s="59" t="inlineStr">
        <is>
          <t>01</t>
        </is>
      </c>
      <c r="N2622" s="59" t="inlineStr">
        <is>
          <t>AVU</t>
        </is>
      </c>
      <c r="P2622" s="59" t="n">
        <v>101</v>
      </c>
      <c r="Q2622" s="59" t="inlineStr">
        <is>
          <t>KEILA LIMA</t>
        </is>
      </c>
      <c r="R2622" s="59" t="inlineStr">
        <is>
          <t>DESPESAS NAO OPERACIONAIS</t>
        </is>
      </c>
      <c r="S2622" s="59" t="n">
        <v>4220199</v>
      </c>
      <c r="T2622" s="59" t="inlineStr">
        <is>
          <t>PAGAMENTOS OUTROS NAO OPERACIONAIS</t>
        </is>
      </c>
      <c r="U2622" s="59" t="n">
        <v>1000</v>
      </c>
      <c r="W2622" s="59" t="n">
        <v>0</v>
      </c>
      <c r="X2622" s="59" t="inlineStr">
        <is>
          <t>OUTROS COBERTURA DE CONTA BASA MO1 - KEILA</t>
        </is>
      </c>
      <c r="Z2622" s="59">
        <f>IF($T2622="","",IFERROR(INDEX('Resumo Grupos'!$AC$3:$AC$200,MATCH($T2622,'Resumo Grupos'!$AB$3:$AB$200,0)),"n/d"))</f>
        <v/>
      </c>
      <c r="AA2622" s="59">
        <f>IF($T2622="","",IF(COUNTIF('Resumo Grupos'!$AE$3:$AE$40,$T2622)&gt;0,"NAO","SIM"))</f>
        <v/>
      </c>
    </row>
    <row r="2623" ht="12.75" customHeight="1" s="60">
      <c r="A2623" s="59" t="n">
        <v>1</v>
      </c>
      <c r="B2623" s="82" t="n">
        <v>46253</v>
      </c>
      <c r="C2623" s="82" t="n">
        <v>46282</v>
      </c>
      <c r="D2623" s="59" t="n">
        <v>957</v>
      </c>
      <c r="E2623" s="59" t="inlineStr">
        <is>
          <t>FUNNY PET DISTRIBUIDORA DE ALIMENTOS PAR</t>
        </is>
      </c>
      <c r="F2623" s="59" t="n">
        <v>24</v>
      </c>
      <c r="G2623" s="59" t="inlineStr">
        <is>
          <t>Compra a Prazo - Boletos</t>
        </is>
      </c>
      <c r="H2623" s="59" t="n">
        <v>2110405</v>
      </c>
      <c r="I2623" s="59" t="inlineStr">
        <is>
          <t>CONTAS A PAGAR</t>
        </is>
      </c>
      <c r="J2623" s="59" t="n">
        <v>1571005</v>
      </c>
      <c r="L2623" s="59" t="n">
        <v>21714</v>
      </c>
      <c r="M2623" s="59" t="inlineStr">
        <is>
          <t>02</t>
        </is>
      </c>
      <c r="N2623" s="59" t="inlineStr">
        <is>
          <t>AVU</t>
        </is>
      </c>
      <c r="P2623" s="59" t="n">
        <v>103</v>
      </c>
      <c r="Q2623" s="59" t="inlineStr">
        <is>
          <t>MILKA FRANCIS</t>
        </is>
      </c>
      <c r="R2623" s="59" t="inlineStr">
        <is>
          <t>ESTOQUE DE MERCADORIAS</t>
        </is>
      </c>
      <c r="S2623" s="59" t="n">
        <v>1130101</v>
      </c>
      <c r="T2623" s="59" t="inlineStr">
        <is>
          <t>MERCADORIAS P/REVENDA</t>
        </is>
      </c>
      <c r="U2623" s="59" t="n">
        <v>704.89</v>
      </c>
      <c r="W2623" s="59" t="n">
        <v>0</v>
      </c>
      <c r="X2623" s="59" t="inlineStr">
        <is>
          <t>NF 21714-2 MILKA</t>
        </is>
      </c>
      <c r="Z2623" s="59">
        <f>IF($T2623="","",IFERROR(INDEX('Resumo Grupos'!$AC$3:$AC$200,MATCH($T2623,'Resumo Grupos'!$AB$3:$AB$200,0)),"n/d"))</f>
        <v/>
      </c>
      <c r="AA2623" s="59">
        <f>IF($T2623="","",IF(COUNTIF('Resumo Grupos'!$AE$3:$AE$40,$T2623)&gt;0,"NAO","SIM"))</f>
        <v/>
      </c>
    </row>
    <row r="2624" ht="12.75" customHeight="1" s="60">
      <c r="A2624" s="59" t="n">
        <v>1</v>
      </c>
      <c r="B2624" s="82" t="n">
        <v>46254</v>
      </c>
      <c r="C2624" s="82" t="n">
        <v>46282</v>
      </c>
      <c r="D2624" s="59" t="n">
        <v>1136</v>
      </c>
      <c r="E2624" s="59" t="inlineStr">
        <is>
          <t>VIA CERTA IMPORTACAO E DISTRIBUICAO DE A</t>
        </is>
      </c>
      <c r="F2624" s="59" t="n">
        <v>24</v>
      </c>
      <c r="G2624" s="59" t="inlineStr">
        <is>
          <t>Compra a Prazo - Boletos</t>
        </is>
      </c>
      <c r="H2624" s="59" t="n">
        <v>2110405</v>
      </c>
      <c r="I2624" s="59" t="inlineStr">
        <is>
          <t>CONTAS A PAGAR</t>
        </is>
      </c>
      <c r="J2624" s="59" t="n">
        <v>1576686</v>
      </c>
      <c r="L2624" s="59" t="n">
        <v>54213</v>
      </c>
      <c r="M2624" s="59" t="inlineStr">
        <is>
          <t>03</t>
        </is>
      </c>
      <c r="N2624" s="59" t="inlineStr">
        <is>
          <t>AVU</t>
        </is>
      </c>
      <c r="P2624" s="59" t="n">
        <v>103</v>
      </c>
      <c r="Q2624" s="59" t="inlineStr">
        <is>
          <t>MILKA FRANCIS</t>
        </is>
      </c>
      <c r="R2624" s="59" t="inlineStr">
        <is>
          <t>ESTOQUE DE MERCADORIAS</t>
        </is>
      </c>
      <c r="S2624" s="59" t="n">
        <v>1130101</v>
      </c>
      <c r="T2624" s="59" t="inlineStr">
        <is>
          <t>MERCADORIAS P/REVENDA</t>
        </is>
      </c>
      <c r="U2624" s="59" t="n">
        <v>789.33</v>
      </c>
      <c r="W2624" s="59" t="n">
        <v>0</v>
      </c>
      <c r="X2624" s="59" t="inlineStr">
        <is>
          <t>NF 54213-3 MILKA</t>
        </is>
      </c>
      <c r="Z2624" s="59">
        <f>IF($T2624="","",IFERROR(INDEX('Resumo Grupos'!$AC$3:$AC$200,MATCH($T2624,'Resumo Grupos'!$AB$3:$AB$200,0)),"n/d"))</f>
        <v/>
      </c>
      <c r="AA2624" s="59">
        <f>IF($T2624="","",IF(COUNTIF('Resumo Grupos'!$AE$3:$AE$40,$T2624)&gt;0,"NAO","SIM"))</f>
        <v/>
      </c>
    </row>
    <row r="2625" ht="12.75" customHeight="1" s="60">
      <c r="A2625" s="59" t="n">
        <v>1</v>
      </c>
      <c r="B2625" s="82" t="n">
        <v>46254</v>
      </c>
      <c r="C2625" s="82" t="n">
        <v>46282</v>
      </c>
      <c r="D2625" s="59" t="n">
        <v>1699</v>
      </c>
      <c r="E2625" s="59" t="inlineStr">
        <is>
          <t>L S M COMERCIO DE ALIMENTOS E NAVEGACAO</t>
        </is>
      </c>
      <c r="F2625" s="59" t="n">
        <v>24</v>
      </c>
      <c r="G2625" s="59" t="inlineStr">
        <is>
          <t>Compra a Prazo - Boletos</t>
        </is>
      </c>
      <c r="H2625" s="59" t="n">
        <v>2110405</v>
      </c>
      <c r="I2625" s="59" t="inlineStr">
        <is>
          <t>CONTAS A PAGAR</t>
        </is>
      </c>
      <c r="J2625" s="59" t="n">
        <v>1577971</v>
      </c>
      <c r="L2625" s="59" t="n">
        <v>311353</v>
      </c>
      <c r="M2625" s="59" t="inlineStr">
        <is>
          <t>03</t>
        </is>
      </c>
      <c r="N2625" s="59" t="inlineStr">
        <is>
          <t>AVU</t>
        </is>
      </c>
      <c r="P2625" s="59" t="n">
        <v>103</v>
      </c>
      <c r="Q2625" s="59" t="inlineStr">
        <is>
          <t>MILKA FRANCIS</t>
        </is>
      </c>
      <c r="R2625" s="59" t="inlineStr">
        <is>
          <t>ESTOQUE DE MERCADORIAS</t>
        </is>
      </c>
      <c r="S2625" s="59" t="n">
        <v>1130101</v>
      </c>
      <c r="T2625" s="59" t="inlineStr">
        <is>
          <t>MERCADORIAS P/REVENDA</t>
        </is>
      </c>
      <c r="U2625" s="59" t="n">
        <v>633</v>
      </c>
      <c r="W2625" s="59" t="n">
        <v>0</v>
      </c>
      <c r="X2625" s="59" t="inlineStr">
        <is>
          <t>NF 311353-3 MILKA</t>
        </is>
      </c>
      <c r="Z2625" s="59">
        <f>IF($T2625="","",IFERROR(INDEX('Resumo Grupos'!$AC$3:$AC$200,MATCH($T2625,'Resumo Grupos'!$AB$3:$AB$200,0)),"n/d"))</f>
        <v/>
      </c>
      <c r="AA2625" s="59">
        <f>IF($T2625="","",IF(COUNTIF('Resumo Grupos'!$AE$3:$AE$40,$T2625)&gt;0,"NAO","SIM"))</f>
        <v/>
      </c>
    </row>
    <row r="2626" ht="12.75" customHeight="1" s="60">
      <c r="A2626" s="59" t="n">
        <v>1</v>
      </c>
      <c r="B2626" s="82" t="n">
        <v>46255</v>
      </c>
      <c r="C2626" s="82" t="n">
        <v>46282</v>
      </c>
      <c r="D2626" s="59" t="n">
        <v>1636</v>
      </c>
      <c r="E2626" s="59" t="inlineStr">
        <is>
          <t>DUNORTE DISTRIBUIDORA DE PRODUTOS DE CONSUMO LTDA</t>
        </is>
      </c>
      <c r="F2626" s="59" t="n">
        <v>24</v>
      </c>
      <c r="G2626" s="59" t="inlineStr">
        <is>
          <t>Compra a Prazo - Boletos</t>
        </is>
      </c>
      <c r="H2626" s="59" t="n">
        <v>2110101</v>
      </c>
      <c r="I2626" s="59" t="inlineStr">
        <is>
          <t>FORNECEDORES DE MERCADORIA</t>
        </is>
      </c>
      <c r="J2626" s="59" t="n">
        <v>1582273</v>
      </c>
      <c r="L2626" s="59" t="n">
        <v>3239532</v>
      </c>
      <c r="M2626" s="59" t="inlineStr">
        <is>
          <t>03</t>
        </is>
      </c>
      <c r="N2626" s="59" t="inlineStr">
        <is>
          <t>AVU</t>
        </is>
      </c>
      <c r="P2626" s="59" t="n">
        <v>103</v>
      </c>
      <c r="Q2626" s="59" t="inlineStr">
        <is>
          <t>MILKA FRANCIS</t>
        </is>
      </c>
      <c r="R2626" s="59" t="inlineStr">
        <is>
          <t>ESTOQUE DE MERCADORIAS</t>
        </is>
      </c>
      <c r="S2626" s="59" t="n">
        <v>1130101</v>
      </c>
      <c r="T2626" s="59" t="inlineStr">
        <is>
          <t>MERCADORIAS P/REVENDA</t>
        </is>
      </c>
      <c r="U2626" s="59" t="n">
        <v>1180.7</v>
      </c>
      <c r="W2626" s="59" t="n">
        <v>0</v>
      </c>
      <c r="X2626" s="59" t="inlineStr">
        <is>
          <t>NF 3239532-3 MILKA</t>
        </is>
      </c>
      <c r="Z2626" s="59">
        <f>IF($T2626="","",IFERROR(INDEX('Resumo Grupos'!$AC$3:$AC$200,MATCH($T2626,'Resumo Grupos'!$AB$3:$AB$200,0)),"n/d"))</f>
        <v/>
      </c>
      <c r="AA2626" s="59">
        <f>IF($T2626="","",IF(COUNTIF('Resumo Grupos'!$AE$3:$AE$40,$T2626)&gt;0,"NAO","SIM"))</f>
        <v/>
      </c>
    </row>
    <row r="2627" ht="12.75" customHeight="1" s="60">
      <c r="A2627" s="59" t="n">
        <v>1</v>
      </c>
      <c r="B2627" s="82" t="n">
        <v>46256</v>
      </c>
      <c r="C2627" s="82" t="n">
        <v>46282</v>
      </c>
      <c r="D2627" s="59" t="n">
        <v>1745</v>
      </c>
      <c r="E2627" s="59" t="inlineStr">
        <is>
          <t>TRES CORACOES ALIMENTOS S.A.</t>
        </is>
      </c>
      <c r="F2627" s="59" t="n">
        <v>24</v>
      </c>
      <c r="G2627" s="59" t="inlineStr">
        <is>
          <t>Compra a Prazo - Boletos</t>
        </is>
      </c>
      <c r="H2627" s="59" t="n">
        <v>2110405</v>
      </c>
      <c r="I2627" s="59" t="inlineStr">
        <is>
          <t>CONTAS A PAGAR</t>
        </is>
      </c>
      <c r="J2627" s="59" t="n">
        <v>1585478</v>
      </c>
      <c r="L2627" s="59" t="n">
        <v>357973</v>
      </c>
      <c r="M2627" s="59" t="inlineStr">
        <is>
          <t>03</t>
        </is>
      </c>
      <c r="N2627" s="59" t="inlineStr">
        <is>
          <t>AVU</t>
        </is>
      </c>
      <c r="P2627" s="59" t="n">
        <v>103</v>
      </c>
      <c r="Q2627" s="59" t="inlineStr">
        <is>
          <t>MILKA FRANCIS</t>
        </is>
      </c>
      <c r="R2627" s="59" t="inlineStr">
        <is>
          <t>ESTOQUE DE MERCADORIAS</t>
        </is>
      </c>
      <c r="S2627" s="59" t="n">
        <v>1130101</v>
      </c>
      <c r="T2627" s="59" t="inlineStr">
        <is>
          <t>MERCADORIAS P/REVENDA</t>
        </is>
      </c>
      <c r="U2627" s="59" t="n">
        <v>1581.49</v>
      </c>
      <c r="W2627" s="59" t="n">
        <v>0</v>
      </c>
      <c r="X2627" s="59" t="inlineStr">
        <is>
          <t>NF 357973 -3 MILKA</t>
        </is>
      </c>
      <c r="Z2627" s="59">
        <f>IF($T2627="","",IFERROR(INDEX('Resumo Grupos'!$AC$3:$AC$200,MATCH($T2627,'Resumo Grupos'!$AB$3:$AB$200,0)),"n/d"))</f>
        <v/>
      </c>
      <c r="AA2627" s="59">
        <f>IF($T2627="","",IF(COUNTIF('Resumo Grupos'!$AE$3:$AE$40,$T2627)&gt;0,"NAO","SIM"))</f>
        <v/>
      </c>
    </row>
    <row r="2628" ht="12.75" customHeight="1" s="60">
      <c r="A2628" s="59" t="n">
        <v>1</v>
      </c>
      <c r="B2628" s="82" t="n">
        <v>46191</v>
      </c>
      <c r="C2628" s="82" t="n">
        <v>46283</v>
      </c>
      <c r="D2628" s="59" t="n">
        <v>514</v>
      </c>
      <c r="E2628" s="59" t="inlineStr">
        <is>
          <t>SANTANDER SA</t>
        </is>
      </c>
      <c r="F2628" s="59" t="n">
        <v>34</v>
      </c>
      <c r="G2628" s="59" t="inlineStr">
        <is>
          <t>Transferencia Pix</t>
        </is>
      </c>
      <c r="H2628" s="59" t="n">
        <v>2110405</v>
      </c>
      <c r="I2628" s="59" t="inlineStr">
        <is>
          <t>CONTAS A PAGAR</t>
        </is>
      </c>
      <c r="J2628" s="59" t="n">
        <v>1309516</v>
      </c>
      <c r="L2628" s="59" t="n">
        <v>541968</v>
      </c>
      <c r="M2628" s="59" t="inlineStr">
        <is>
          <t>04</t>
        </is>
      </c>
      <c r="N2628" s="59" t="inlineStr">
        <is>
          <t>AVU</t>
        </is>
      </c>
      <c r="P2628" s="59" t="n">
        <v>101</v>
      </c>
      <c r="Q2628" s="59" t="inlineStr">
        <is>
          <t>KEILA LIMA</t>
        </is>
      </c>
      <c r="R2628" s="59" t="inlineStr">
        <is>
          <t>EMPRESTIMOS BANCARIOS</t>
        </is>
      </c>
      <c r="S2628" s="59" t="n">
        <v>2110901</v>
      </c>
      <c r="T2628" s="59" t="inlineStr">
        <is>
          <t>EMPRESTIMOS BANCARIOS A PAGAR</t>
        </is>
      </c>
      <c r="U2628" s="59" t="n">
        <v>3370.37</v>
      </c>
      <c r="W2628" s="59" t="n">
        <v>0</v>
      </c>
      <c r="X2628" s="59" t="inlineStr">
        <is>
          <t>EMPRESTIMO AYMORE ENERGIA SOLAR SANT 1 VELHO - KE</t>
        </is>
      </c>
      <c r="Z2628" s="59">
        <f>IF($T2628="","",IFERROR(INDEX('Resumo Grupos'!$AC$3:$AC$200,MATCH($T2628,'Resumo Grupos'!$AB$3:$AB$200,0)),"n/d"))</f>
        <v/>
      </c>
      <c r="AA2628" s="59">
        <f>IF($T2628="","",IF(COUNTIF('Resumo Grupos'!$AE$3:$AE$40,$T2628)&gt;0,"NAO","SIM"))</f>
        <v/>
      </c>
    </row>
    <row r="2629" ht="12.75" customHeight="1" s="60">
      <c r="A2629" s="59" t="n">
        <v>1</v>
      </c>
      <c r="B2629" s="82" t="n">
        <v>46206</v>
      </c>
      <c r="C2629" s="82" t="n">
        <v>46283</v>
      </c>
      <c r="D2629" s="59" t="n">
        <v>804</v>
      </c>
      <c r="E2629" s="59" t="inlineStr">
        <is>
          <t>PIMENTEL SOCIEDADE INDIVIDUAL DE ADVOGAC</t>
        </is>
      </c>
      <c r="F2629" s="59" t="n">
        <v>34</v>
      </c>
      <c r="G2629" s="59" t="inlineStr">
        <is>
          <t>Transferencia Pix</t>
        </is>
      </c>
      <c r="H2629" s="59" t="n">
        <v>1110202</v>
      </c>
      <c r="I2629" s="59" t="inlineStr">
        <is>
          <t>BANCO ITAU Lj 01</t>
        </is>
      </c>
      <c r="J2629" s="59" t="n">
        <v>1345479</v>
      </c>
      <c r="L2629" s="59" t="n">
        <v>555726</v>
      </c>
      <c r="M2629" s="59" t="inlineStr">
        <is>
          <t>03</t>
        </is>
      </c>
      <c r="N2629" s="59" t="inlineStr">
        <is>
          <t>AVU</t>
        </is>
      </c>
      <c r="P2629" s="59" t="n">
        <v>101</v>
      </c>
      <c r="Q2629" s="59" t="inlineStr">
        <is>
          <t>KEILA LIMA</t>
        </is>
      </c>
      <c r="R2629" s="59" t="inlineStr">
        <is>
          <t>DESPESAS OPERACIONAIS</t>
        </is>
      </c>
      <c r="S2629" s="59" t="n">
        <v>4210203</v>
      </c>
      <c r="T2629" s="59" t="inlineStr">
        <is>
          <t>HONORARIOS JURIDICOS</t>
        </is>
      </c>
      <c r="U2629" s="59" t="n">
        <v>764.4299999999999</v>
      </c>
      <c r="W2629" s="59" t="n">
        <v>0</v>
      </c>
      <c r="X2629" s="59" t="inlineStr">
        <is>
          <t>MENSALIDADE ADVOGADO MO1 MES - KEILA</t>
        </is>
      </c>
      <c r="Z2629" s="59">
        <f>IF($T2629="","",IFERROR(INDEX('Resumo Grupos'!$AC$3:$AC$200,MATCH($T2629,'Resumo Grupos'!$AB$3:$AB$200,0)),"n/d"))</f>
        <v/>
      </c>
      <c r="AA2629" s="59">
        <f>IF($T2629="","",IF(COUNTIF('Resumo Grupos'!$AE$3:$AE$40,$T2629)&gt;0,"NAO","SIM"))</f>
        <v/>
      </c>
    </row>
    <row r="2630" ht="12.75" customHeight="1" s="60">
      <c r="A2630" s="59" t="n">
        <v>1</v>
      </c>
      <c r="B2630" s="82" t="n">
        <v>46206</v>
      </c>
      <c r="C2630" s="82" t="n">
        <v>46283</v>
      </c>
      <c r="D2630" s="59" t="n">
        <v>804</v>
      </c>
      <c r="E2630" s="59" t="inlineStr">
        <is>
          <t>PIMENTEL SOCIEDADE INDIVIDUAL DE ADVOGAC</t>
        </is>
      </c>
      <c r="F2630" s="59" t="n">
        <v>34</v>
      </c>
      <c r="G2630" s="59" t="inlineStr">
        <is>
          <t>Transferencia Pix</t>
        </is>
      </c>
      <c r="H2630" s="59" t="n">
        <v>1110202</v>
      </c>
      <c r="I2630" s="59" t="inlineStr">
        <is>
          <t>BANCO ITAU Lj 01</t>
        </is>
      </c>
      <c r="J2630" s="59" t="n">
        <v>1345494</v>
      </c>
      <c r="L2630" s="59" t="n">
        <v>555731</v>
      </c>
      <c r="M2630" s="59" t="inlineStr">
        <is>
          <t>03</t>
        </is>
      </c>
      <c r="N2630" s="59" t="inlineStr">
        <is>
          <t>AVU</t>
        </is>
      </c>
      <c r="P2630" s="59" t="n">
        <v>101</v>
      </c>
      <c r="Q2630" s="59" t="inlineStr">
        <is>
          <t>KEILA LIMA</t>
        </is>
      </c>
      <c r="R2630" s="59" t="inlineStr">
        <is>
          <t>DESPESAS NAO OPERACIONAIS</t>
        </is>
      </c>
      <c r="S2630" s="59" t="n">
        <v>4220199</v>
      </c>
      <c r="T2630" s="59" t="inlineStr">
        <is>
          <t>PAGAMENTOS OUTROS NAO OPERACIONAIS</t>
        </is>
      </c>
      <c r="U2630" s="59" t="n">
        <v>1621</v>
      </c>
      <c r="W2630" s="59" t="n">
        <v>0</v>
      </c>
      <c r="X2630" s="59" t="inlineStr">
        <is>
          <t>MENSALIDADE ADVOGADO LOJAS RATEIO  DO MES - KEILA</t>
        </is>
      </c>
      <c r="Z2630" s="59">
        <f>IF($T2630="","",IFERROR(INDEX('Resumo Grupos'!$AC$3:$AC$200,MATCH($T2630,'Resumo Grupos'!$AB$3:$AB$200,0)),"n/d"))</f>
        <v/>
      </c>
      <c r="AA2630" s="59">
        <f>IF($T2630="","",IF(COUNTIF('Resumo Grupos'!$AE$3:$AE$40,$T2630)&gt;0,"NAO","SIM"))</f>
        <v/>
      </c>
    </row>
    <row r="2631" ht="12.75" customHeight="1" s="60">
      <c r="A2631" s="59" t="n">
        <v>1</v>
      </c>
      <c r="B2631" s="82" t="n">
        <v>46251</v>
      </c>
      <c r="C2631" s="82" t="n">
        <v>46283</v>
      </c>
      <c r="D2631" s="59" t="n">
        <v>1636</v>
      </c>
      <c r="E2631" s="59" t="inlineStr">
        <is>
          <t>DUNORTE DISTRIBUIDORA DE PRODUTOS DE CONSUMO LTDA</t>
        </is>
      </c>
      <c r="F2631" s="59" t="n">
        <v>24</v>
      </c>
      <c r="G2631" s="59" t="inlineStr">
        <is>
          <t>Compra a Prazo - Boletos</t>
        </is>
      </c>
      <c r="H2631" s="59" t="n">
        <v>2110405</v>
      </c>
      <c r="I2631" s="59" t="inlineStr">
        <is>
          <t>CONTAS A PAGAR</t>
        </is>
      </c>
      <c r="J2631" s="59" t="n">
        <v>1561678</v>
      </c>
      <c r="L2631" s="59" t="n">
        <v>3237032</v>
      </c>
      <c r="M2631" s="59" t="inlineStr">
        <is>
          <t>03</t>
        </is>
      </c>
      <c r="N2631" s="59" t="inlineStr">
        <is>
          <t>AVU</t>
        </is>
      </c>
      <c r="P2631" s="59" t="n">
        <v>103</v>
      </c>
      <c r="Q2631" s="59" t="inlineStr">
        <is>
          <t>MILKA FRANCIS</t>
        </is>
      </c>
      <c r="R2631" s="59" t="inlineStr">
        <is>
          <t>ESTOQUE DE MERCADORIAS</t>
        </is>
      </c>
      <c r="S2631" s="59" t="n">
        <v>1130101</v>
      </c>
      <c r="T2631" s="59" t="inlineStr">
        <is>
          <t>MERCADORIAS P/REVENDA</t>
        </is>
      </c>
      <c r="U2631" s="59" t="n">
        <v>808.96</v>
      </c>
      <c r="W2631" s="59" t="n">
        <v>0</v>
      </c>
      <c r="X2631" s="59" t="inlineStr">
        <is>
          <t>NF 3237032-3 C/TARIFA MILKA</t>
        </is>
      </c>
      <c r="Z2631" s="59">
        <f>IF($T2631="","",IFERROR(INDEX('Resumo Grupos'!$AC$3:$AC$200,MATCH($T2631,'Resumo Grupos'!$AB$3:$AB$200,0)),"n/d"))</f>
        <v/>
      </c>
      <c r="AA2631" s="59">
        <f>IF($T2631="","",IF(COUNTIF('Resumo Grupos'!$AE$3:$AE$40,$T2631)&gt;0,"NAO","SIM"))</f>
        <v/>
      </c>
    </row>
    <row r="2632" ht="12.75" customHeight="1" s="60">
      <c r="A2632" s="59" t="n">
        <v>1</v>
      </c>
      <c r="B2632" s="82" t="n">
        <v>46255</v>
      </c>
      <c r="C2632" s="82" t="n">
        <v>46283</v>
      </c>
      <c r="D2632" s="59" t="n">
        <v>1634</v>
      </c>
      <c r="E2632" s="59" t="inlineStr">
        <is>
          <t>FH DISTRIBUIDORA DE ALIM. E BEBIDAS LTDA</t>
        </is>
      </c>
      <c r="F2632" s="59" t="n">
        <v>24</v>
      </c>
      <c r="G2632" s="59" t="inlineStr">
        <is>
          <t>Compra a Prazo - Boletos</t>
        </is>
      </c>
      <c r="H2632" s="59" t="n">
        <v>2110405</v>
      </c>
      <c r="I2632" s="59" t="inlineStr">
        <is>
          <t>CONTAS A PAGAR</t>
        </is>
      </c>
      <c r="J2632" s="59" t="n">
        <v>1582023</v>
      </c>
      <c r="L2632" s="59" t="n">
        <v>330734</v>
      </c>
      <c r="M2632" s="59" t="inlineStr">
        <is>
          <t>03</t>
        </is>
      </c>
      <c r="N2632" s="59" t="inlineStr">
        <is>
          <t>AVU</t>
        </is>
      </c>
      <c r="P2632" s="59" t="n">
        <v>103</v>
      </c>
      <c r="Q2632" s="59" t="inlineStr">
        <is>
          <t>MILKA FRANCIS</t>
        </is>
      </c>
      <c r="R2632" s="59" t="inlineStr">
        <is>
          <t>ESTOQUE DE MERCADORIAS</t>
        </is>
      </c>
      <c r="S2632" s="59" t="n">
        <v>1130101</v>
      </c>
      <c r="T2632" s="59" t="inlineStr">
        <is>
          <t>MERCADORIAS P/REVENDA</t>
        </is>
      </c>
      <c r="U2632" s="59" t="n">
        <v>1232.16</v>
      </c>
      <c r="W2632" s="59" t="n">
        <v>0</v>
      </c>
      <c r="X2632" s="59" t="inlineStr">
        <is>
          <t>NF 330734-3 MILKA</t>
        </is>
      </c>
      <c r="Z2632" s="59">
        <f>IF($T2632="","",IFERROR(INDEX('Resumo Grupos'!$AC$3:$AC$200,MATCH($T2632,'Resumo Grupos'!$AB$3:$AB$200,0)),"n/d"))</f>
        <v/>
      </c>
      <c r="AA2632" s="59">
        <f>IF($T2632="","",IF(COUNTIF('Resumo Grupos'!$AE$3:$AE$40,$T2632)&gt;0,"NAO","SIM"))</f>
        <v/>
      </c>
    </row>
    <row r="2633" ht="12.75" customHeight="1" s="60">
      <c r="A2633" s="59" t="n">
        <v>1</v>
      </c>
      <c r="B2633" s="82" t="n">
        <v>46256</v>
      </c>
      <c r="C2633" s="82" t="n">
        <v>46283</v>
      </c>
      <c r="D2633" s="59" t="n">
        <v>1659</v>
      </c>
      <c r="E2633" s="59" t="inlineStr">
        <is>
          <t>ADRIANA DISTRIBUIDORA DE PRODUTOS ALIMEN</t>
        </is>
      </c>
      <c r="F2633" s="59" t="n">
        <v>24</v>
      </c>
      <c r="G2633" s="59" t="inlineStr">
        <is>
          <t>Compra a Prazo - Boletos</t>
        </is>
      </c>
      <c r="H2633" s="59" t="n">
        <v>2110405</v>
      </c>
      <c r="I2633" s="59" t="inlineStr">
        <is>
          <t>CONTAS A PAGAR</t>
        </is>
      </c>
      <c r="J2633" s="59" t="n">
        <v>1585364</v>
      </c>
      <c r="L2633" s="59" t="n">
        <v>891630</v>
      </c>
      <c r="M2633" s="59" t="inlineStr">
        <is>
          <t>03</t>
        </is>
      </c>
      <c r="N2633" s="59" t="inlineStr">
        <is>
          <t>AVU</t>
        </is>
      </c>
      <c r="P2633" s="59" t="n">
        <v>103</v>
      </c>
      <c r="Q2633" s="59" t="inlineStr">
        <is>
          <t>MILKA FRANCIS</t>
        </is>
      </c>
      <c r="R2633" s="59" t="inlineStr">
        <is>
          <t>ESTOQUE DE MERCADORIAS</t>
        </is>
      </c>
      <c r="S2633" s="59" t="n">
        <v>1130101</v>
      </c>
      <c r="T2633" s="59" t="inlineStr">
        <is>
          <t>MERCADORIAS P/REVENDA</t>
        </is>
      </c>
      <c r="U2633" s="59" t="n">
        <v>1167.29</v>
      </c>
      <c r="W2633" s="59" t="n">
        <v>0</v>
      </c>
      <c r="X2633" s="59" t="inlineStr">
        <is>
          <t>NF 891630-3 MILKA</t>
        </is>
      </c>
      <c r="Z2633" s="59">
        <f>IF($T2633="","",IFERROR(INDEX('Resumo Grupos'!$AC$3:$AC$200,MATCH($T2633,'Resumo Grupos'!$AB$3:$AB$200,0)),"n/d"))</f>
        <v/>
      </c>
      <c r="AA2633" s="59">
        <f>IF($T2633="","",IF(COUNTIF('Resumo Grupos'!$AE$3:$AE$40,$T2633)&gt;0,"NAO","SIM"))</f>
        <v/>
      </c>
    </row>
    <row r="2634" ht="12.75" customHeight="1" s="60">
      <c r="A2634" s="59" t="n">
        <v>1</v>
      </c>
      <c r="B2634" s="82" t="n">
        <v>46256</v>
      </c>
      <c r="C2634" s="82" t="n">
        <v>46283</v>
      </c>
      <c r="D2634" s="59" t="n">
        <v>1667</v>
      </c>
      <c r="E2634" s="59" t="inlineStr">
        <is>
          <t>FENNIX BRASIL DISTRIBUIDORA DE PRODUTOS</t>
        </is>
      </c>
      <c r="F2634" s="59" t="n">
        <v>24</v>
      </c>
      <c r="G2634" s="59" t="inlineStr">
        <is>
          <t>Compra a Prazo - Boletos</t>
        </is>
      </c>
      <c r="H2634" s="59" t="n">
        <v>2110405</v>
      </c>
      <c r="I2634" s="59" t="inlineStr">
        <is>
          <t>CONTAS A PAGAR</t>
        </is>
      </c>
      <c r="J2634" s="59" t="n">
        <v>1585385</v>
      </c>
      <c r="L2634" s="59" t="n">
        <v>398654</v>
      </c>
      <c r="M2634" s="59" t="inlineStr">
        <is>
          <t>03</t>
        </is>
      </c>
      <c r="N2634" s="59" t="inlineStr">
        <is>
          <t>AVU</t>
        </is>
      </c>
      <c r="P2634" s="59" t="n">
        <v>103</v>
      </c>
      <c r="Q2634" s="59" t="inlineStr">
        <is>
          <t>MILKA FRANCIS</t>
        </is>
      </c>
      <c r="R2634" s="59" t="inlineStr">
        <is>
          <t>ESTOQUE DE MERCADORIAS</t>
        </is>
      </c>
      <c r="S2634" s="59" t="n">
        <v>1130101</v>
      </c>
      <c r="T2634" s="59" t="inlineStr">
        <is>
          <t>MERCADORIAS P/REVENDA</t>
        </is>
      </c>
      <c r="U2634" s="59" t="n">
        <v>684.26</v>
      </c>
      <c r="W2634" s="59" t="n">
        <v>0</v>
      </c>
      <c r="X2634" s="59" t="inlineStr">
        <is>
          <t>NF 398654 -3 TARIFA INCLUSA - MILKA</t>
        </is>
      </c>
      <c r="Z2634" s="59">
        <f>IF($T2634="","",IFERROR(INDEX('Resumo Grupos'!$AC$3:$AC$200,MATCH($T2634,'Resumo Grupos'!$AB$3:$AB$200,0)),"n/d"))</f>
        <v/>
      </c>
      <c r="AA2634" s="59">
        <f>IF($T2634="","",IF(COUNTIF('Resumo Grupos'!$AE$3:$AE$40,$T2634)&gt;0,"NAO","SIM"))</f>
        <v/>
      </c>
    </row>
    <row r="2635" ht="12.75" customHeight="1" s="60">
      <c r="A2635" s="59" t="n">
        <v>1</v>
      </c>
      <c r="B2635" s="82" t="n">
        <v>46255</v>
      </c>
      <c r="C2635" s="82" t="n">
        <v>46284</v>
      </c>
      <c r="D2635" s="59" t="n">
        <v>1718</v>
      </c>
      <c r="E2635" s="59" t="inlineStr">
        <is>
          <t>DISTRIBUIDORA FARIAS LTDA.</t>
        </is>
      </c>
      <c r="F2635" s="59" t="n">
        <v>24</v>
      </c>
      <c r="G2635" s="59" t="inlineStr">
        <is>
          <t>Compra a Prazo - Boletos</t>
        </is>
      </c>
      <c r="H2635" s="59" t="n">
        <v>2110405</v>
      </c>
      <c r="I2635" s="59" t="inlineStr">
        <is>
          <t>CONTAS A PAGAR</t>
        </is>
      </c>
      <c r="J2635" s="59" t="n">
        <v>1581946</v>
      </c>
      <c r="L2635" s="59" t="n">
        <v>690674</v>
      </c>
      <c r="M2635" s="59" t="inlineStr">
        <is>
          <t>03</t>
        </is>
      </c>
      <c r="N2635" s="59" t="inlineStr">
        <is>
          <t>AVU</t>
        </is>
      </c>
      <c r="P2635" s="59" t="n">
        <v>103</v>
      </c>
      <c r="Q2635" s="59" t="inlineStr">
        <is>
          <t>MILKA FRANCIS</t>
        </is>
      </c>
      <c r="R2635" s="59" t="inlineStr">
        <is>
          <t>ESTOQUE DE MERCADORIAS</t>
        </is>
      </c>
      <c r="S2635" s="59" t="n">
        <v>1130101</v>
      </c>
      <c r="T2635" s="59" t="inlineStr">
        <is>
          <t>MERCADORIAS P/REVENDA</t>
        </is>
      </c>
      <c r="U2635" s="59" t="n">
        <v>396.52</v>
      </c>
      <c r="W2635" s="59" t="n">
        <v>0</v>
      </c>
      <c r="X2635" s="59" t="inlineStr">
        <is>
          <t>815076-C/C  NF690674 - MILKA</t>
        </is>
      </c>
      <c r="Z2635" s="59">
        <f>IF($T2635="","",IFERROR(INDEX('Resumo Grupos'!$AC$3:$AC$200,MATCH($T2635,'Resumo Grupos'!$AB$3:$AB$200,0)),"n/d"))</f>
        <v/>
      </c>
      <c r="AA2635" s="59">
        <f>IF($T2635="","",IF(COUNTIF('Resumo Grupos'!$AE$3:$AE$40,$T2635)&gt;0,"NAO","SIM"))</f>
        <v/>
      </c>
    </row>
    <row r="2636" ht="12.75" customHeight="1" s="60">
      <c r="A2636" s="59" t="n">
        <v>1</v>
      </c>
      <c r="B2636" s="82" t="n">
        <v>46223</v>
      </c>
      <c r="C2636" s="82" t="n">
        <v>46285</v>
      </c>
      <c r="D2636" s="59" t="n">
        <v>542</v>
      </c>
      <c r="E2636" s="59" t="inlineStr">
        <is>
          <t>LUANA SAUNDERS TORRES DE MELO MARQUES</t>
        </is>
      </c>
      <c r="F2636" s="59" t="n">
        <v>34</v>
      </c>
      <c r="G2636" s="59" t="inlineStr">
        <is>
          <t>Transferencia Pix</t>
        </is>
      </c>
      <c r="H2636" s="59" t="n">
        <v>2110405</v>
      </c>
      <c r="I2636" s="59" t="inlineStr">
        <is>
          <t>CONTAS A PAGAR</t>
        </is>
      </c>
      <c r="J2636" s="59" t="n">
        <v>1424234</v>
      </c>
      <c r="L2636" s="59" t="n">
        <v>587289</v>
      </c>
      <c r="M2636" s="59" t="inlineStr">
        <is>
          <t>03</t>
        </is>
      </c>
      <c r="N2636" s="59" t="inlineStr">
        <is>
          <t>AVU</t>
        </is>
      </c>
      <c r="P2636" s="59" t="n">
        <v>101</v>
      </c>
      <c r="Q2636" s="59" t="inlineStr">
        <is>
          <t>KEILA LIMA</t>
        </is>
      </c>
      <c r="R2636" s="59" t="inlineStr">
        <is>
          <t>DESPESAS COMERCIAIS</t>
        </is>
      </c>
      <c r="S2636" s="59" t="n">
        <v>4210107</v>
      </c>
      <c r="T2636" s="59" t="inlineStr">
        <is>
          <t>PROPAGANDA PUBLICIDADE</t>
        </is>
      </c>
      <c r="U2636" s="59" t="n">
        <v>464.59</v>
      </c>
      <c r="W2636" s="59" t="n">
        <v>0</v>
      </c>
      <c r="X2636" s="59" t="inlineStr">
        <is>
          <t>PREVIA MENS PARTE MO1 INSTAGRAM - KEILA</t>
        </is>
      </c>
      <c r="Z2636" s="59">
        <f>IF($T2636="","",IFERROR(INDEX('Resumo Grupos'!$AC$3:$AC$200,MATCH($T2636,'Resumo Grupos'!$AB$3:$AB$200,0)),"n/d"))</f>
        <v/>
      </c>
      <c r="AA2636" s="59">
        <f>IF($T2636="","",IF(COUNTIF('Resumo Grupos'!$AE$3:$AE$40,$T2636)&gt;0,"NAO","SIM"))</f>
        <v/>
      </c>
    </row>
    <row r="2637" ht="12.75" customHeight="1" s="60">
      <c r="A2637" s="59" t="n">
        <v>1</v>
      </c>
      <c r="B2637" s="82" t="n">
        <v>46223</v>
      </c>
      <c r="C2637" s="82" t="n">
        <v>46285</v>
      </c>
      <c r="D2637" s="59" t="n">
        <v>542</v>
      </c>
      <c r="E2637" s="59" t="inlineStr">
        <is>
          <t>LUANA SAUNDERS TORRES DE MELO MARQUES</t>
        </is>
      </c>
      <c r="F2637" s="59" t="n">
        <v>34</v>
      </c>
      <c r="G2637" s="59" t="inlineStr">
        <is>
          <t>Transferencia Pix</t>
        </is>
      </c>
      <c r="H2637" s="59" t="n">
        <v>2110405</v>
      </c>
      <c r="I2637" s="59" t="inlineStr">
        <is>
          <t>CONTAS A PAGAR</t>
        </is>
      </c>
      <c r="J2637" s="59" t="n">
        <v>1424241</v>
      </c>
      <c r="L2637" s="59" t="n">
        <v>587291</v>
      </c>
      <c r="M2637" s="59" t="inlineStr">
        <is>
          <t>03</t>
        </is>
      </c>
      <c r="N2637" s="59" t="inlineStr">
        <is>
          <t>AVU</t>
        </is>
      </c>
      <c r="P2637" s="59" t="n">
        <v>101</v>
      </c>
      <c r="Q2637" s="59" t="inlineStr">
        <is>
          <t>KEILA LIMA</t>
        </is>
      </c>
      <c r="R2637" s="59" t="inlineStr">
        <is>
          <t>DESPESAS NAO OPERACIONAIS</t>
        </is>
      </c>
      <c r="S2637" s="59" t="n">
        <v>4220199</v>
      </c>
      <c r="T2637" s="59" t="inlineStr">
        <is>
          <t>PAGAMENTOS OUTROS NAO OPERACIONAIS</t>
        </is>
      </c>
      <c r="U2637" s="59" t="n">
        <v>900</v>
      </c>
      <c r="W2637" s="59" t="n">
        <v>0</v>
      </c>
      <c r="X2637" s="59" t="inlineStr">
        <is>
          <t>MENSALIDADE RATEIO LOJAS NAO SOMAR INSTAGRAM - K</t>
        </is>
      </c>
      <c r="Z2637" s="59">
        <f>IF($T2637="","",IFERROR(INDEX('Resumo Grupos'!$AC$3:$AC$200,MATCH($T2637,'Resumo Grupos'!$AB$3:$AB$200,0)),"n/d"))</f>
        <v/>
      </c>
      <c r="AA2637" s="59">
        <f>IF($T2637="","",IF(COUNTIF('Resumo Grupos'!$AE$3:$AE$40,$T2637)&gt;0,"NAO","SIM"))</f>
        <v/>
      </c>
    </row>
    <row r="2638" ht="12.75" customHeight="1" s="60">
      <c r="A2638" s="59" t="n">
        <v>1</v>
      </c>
      <c r="B2638" s="82" t="n">
        <v>46234</v>
      </c>
      <c r="C2638" s="82" t="n">
        <v>46285</v>
      </c>
      <c r="D2638" s="59" t="n">
        <v>659</v>
      </c>
      <c r="E2638" s="59" t="inlineStr">
        <is>
          <t xml:space="preserve">CENTRAL NACIONAL UNIMED </t>
        </is>
      </c>
      <c r="F2638" s="59" t="n">
        <v>24</v>
      </c>
      <c r="G2638" s="59" t="inlineStr">
        <is>
          <t>Compra a Prazo - Boletos</t>
        </is>
      </c>
      <c r="H2638" s="59" t="n">
        <v>2110405</v>
      </c>
      <c r="I2638" s="59" t="inlineStr">
        <is>
          <t>CONTAS A PAGAR</t>
        </is>
      </c>
      <c r="J2638" s="59" t="n">
        <v>1478178</v>
      </c>
      <c r="L2638" s="59" t="n">
        <v>607145</v>
      </c>
      <c r="M2638" s="59" t="inlineStr">
        <is>
          <t>02</t>
        </is>
      </c>
      <c r="N2638" s="59" t="inlineStr">
        <is>
          <t>AVU</t>
        </is>
      </c>
      <c r="P2638" s="59" t="n">
        <v>101</v>
      </c>
      <c r="Q2638" s="59" t="inlineStr">
        <is>
          <t>KEILA LIMA</t>
        </is>
      </c>
      <c r="R2638" s="59" t="inlineStr">
        <is>
          <t>DESPESAS COM PESSOAL</t>
        </is>
      </c>
      <c r="S2638" s="59" t="n">
        <v>4210311</v>
      </c>
      <c r="T2638" s="59" t="inlineStr">
        <is>
          <t>PLANOS DE SAUDE</t>
        </is>
      </c>
      <c r="U2638" s="59" t="n">
        <v>6193.08</v>
      </c>
      <c r="W2638" s="59" t="n">
        <v>0</v>
      </c>
      <c r="X2638" s="59" t="inlineStr">
        <is>
          <t>PLANO DE SAUDE NEILA RENATO MARIAS - KEILA</t>
        </is>
      </c>
      <c r="Z2638" s="59">
        <f>IF($T2638="","",IFERROR(INDEX('Resumo Grupos'!$AC$3:$AC$200,MATCH($T2638,'Resumo Grupos'!$AB$3:$AB$200,0)),"n/d"))</f>
        <v/>
      </c>
      <c r="AA2638" s="59">
        <f>IF($T2638="","",IF(COUNTIF('Resumo Grupos'!$AE$3:$AE$40,$T2638)&gt;0,"NAO","SIM"))</f>
        <v/>
      </c>
    </row>
    <row r="2639" ht="12.75" customHeight="1" s="60">
      <c r="A2639" s="59" t="n">
        <v>1</v>
      </c>
      <c r="B2639" s="82" t="n">
        <v>46241</v>
      </c>
      <c r="C2639" s="82" t="n">
        <v>46285</v>
      </c>
      <c r="D2639" s="59" t="n">
        <v>10028</v>
      </c>
      <c r="E2639" s="59" t="inlineStr">
        <is>
          <t>EYES NWHERE SISTEMAS INTELIGENTES DE IMAGEM SA</t>
        </is>
      </c>
      <c r="F2639" s="59" t="n">
        <v>24</v>
      </c>
      <c r="G2639" s="59" t="inlineStr">
        <is>
          <t>Compra a Prazo - Boletos</t>
        </is>
      </c>
      <c r="H2639" s="59" t="n">
        <v>2110405</v>
      </c>
      <c r="I2639" s="59" t="inlineStr">
        <is>
          <t>CONTAS A PAGAR</t>
        </is>
      </c>
      <c r="J2639" s="59" t="n">
        <v>1370662</v>
      </c>
      <c r="L2639" s="59" t="n">
        <v>565739</v>
      </c>
      <c r="M2639" s="59" t="inlineStr">
        <is>
          <t>03</t>
        </is>
      </c>
      <c r="N2639" s="59" t="inlineStr">
        <is>
          <t>AVU</t>
        </is>
      </c>
      <c r="P2639" s="59" t="n">
        <v>101</v>
      </c>
      <c r="Q2639" s="59" t="inlineStr">
        <is>
          <t>KEILA LIMA</t>
        </is>
      </c>
      <c r="R2639" s="59" t="inlineStr">
        <is>
          <t>DESPESAS COM PESSOAL</t>
        </is>
      </c>
      <c r="S2639" s="59" t="n">
        <v>4210315</v>
      </c>
      <c r="T2639" s="59" t="inlineStr">
        <is>
          <t>INTERNET</t>
        </is>
      </c>
      <c r="U2639" s="59" t="n">
        <v>595.9</v>
      </c>
      <c r="W2639" s="59" t="n">
        <v>0</v>
      </c>
      <c r="X2639" s="59" t="inlineStr">
        <is>
          <t>MENSALIDADE INTERNTE MO1 - KEILA</t>
        </is>
      </c>
      <c r="Z2639" s="59">
        <f>IF($T2639="","",IFERROR(INDEX('Resumo Grupos'!$AC$3:$AC$200,MATCH($T2639,'Resumo Grupos'!$AB$3:$AB$200,0)),"n/d"))</f>
        <v/>
      </c>
      <c r="AA2639" s="59">
        <f>IF($T2639="","",IF(COUNTIF('Resumo Grupos'!$AE$3:$AE$40,$T2639)&gt;0,"NAO","SIM"))</f>
        <v/>
      </c>
    </row>
    <row r="2640" ht="12.75" customHeight="1" s="60">
      <c r="A2640" s="59" t="n">
        <v>1</v>
      </c>
      <c r="B2640" s="82" t="n">
        <v>46242</v>
      </c>
      <c r="C2640" s="82" t="n">
        <v>46285</v>
      </c>
      <c r="D2640" s="59" t="n">
        <v>957</v>
      </c>
      <c r="E2640" s="59" t="inlineStr">
        <is>
          <t>FUNNY PET DISTRIBUIDORA DE ALIMENTOS PAR</t>
        </is>
      </c>
      <c r="F2640" s="59" t="n">
        <v>24</v>
      </c>
      <c r="G2640" s="59" t="inlineStr">
        <is>
          <t>Compra a Prazo - Boletos</t>
        </is>
      </c>
      <c r="H2640" s="59" t="n">
        <v>2110405</v>
      </c>
      <c r="I2640" s="59" t="inlineStr">
        <is>
          <t>CONTAS A PAGAR</t>
        </is>
      </c>
      <c r="J2640" s="59" t="n">
        <v>1517801</v>
      </c>
      <c r="L2640" s="59" t="n">
        <v>21578</v>
      </c>
      <c r="M2640" s="59" t="inlineStr">
        <is>
          <t>03</t>
        </is>
      </c>
      <c r="N2640" s="59" t="inlineStr">
        <is>
          <t>AVU</t>
        </is>
      </c>
      <c r="P2640" s="59" t="n">
        <v>103</v>
      </c>
      <c r="Q2640" s="59" t="inlineStr">
        <is>
          <t>MILKA FRANCIS</t>
        </is>
      </c>
      <c r="R2640" s="59" t="inlineStr">
        <is>
          <t>ESTOQUE DE MERCADORIAS</t>
        </is>
      </c>
      <c r="S2640" s="59" t="n">
        <v>1130101</v>
      </c>
      <c r="T2640" s="59" t="inlineStr">
        <is>
          <t>MERCADORIAS P/REVENDA</t>
        </is>
      </c>
      <c r="U2640" s="59" t="n">
        <v>3429</v>
      </c>
      <c r="W2640" s="59" t="n">
        <v>0</v>
      </c>
      <c r="X2640" s="59" t="inlineStr">
        <is>
          <t>NF 21578-3 MILKA</t>
        </is>
      </c>
      <c r="Z2640" s="59">
        <f>IF($T2640="","",IFERROR(INDEX('Resumo Grupos'!$AC$3:$AC$200,MATCH($T2640,'Resumo Grupos'!$AB$3:$AB$200,0)),"n/d"))</f>
        <v/>
      </c>
      <c r="AA2640" s="59">
        <f>IF($T2640="","",IF(COUNTIF('Resumo Grupos'!$AE$3:$AE$40,$T2640)&gt;0,"NAO","SIM"))</f>
        <v/>
      </c>
    </row>
    <row r="2641" ht="12.75" customHeight="1" s="60">
      <c r="A2641" s="59" t="n">
        <v>1</v>
      </c>
      <c r="B2641" s="82" t="n">
        <v>46246</v>
      </c>
      <c r="C2641" s="82" t="n">
        <v>46285</v>
      </c>
      <c r="D2641" s="59" t="n">
        <v>1932</v>
      </c>
      <c r="E2641" s="59" t="inlineStr">
        <is>
          <t>OI S.A</t>
        </is>
      </c>
      <c r="F2641" s="59" t="n">
        <v>24</v>
      </c>
      <c r="G2641" s="59" t="inlineStr">
        <is>
          <t>Compra a Prazo - Boletos</t>
        </is>
      </c>
      <c r="H2641" s="59" t="n">
        <v>2110405</v>
      </c>
      <c r="I2641" s="59" t="inlineStr">
        <is>
          <t>CONTAS A PAGAR</t>
        </is>
      </c>
      <c r="J2641" s="59" t="n">
        <v>1370654</v>
      </c>
      <c r="L2641" s="59" t="n">
        <v>565734</v>
      </c>
      <c r="M2641" s="59" t="inlineStr">
        <is>
          <t>03</t>
        </is>
      </c>
      <c r="N2641" s="59" t="inlineStr">
        <is>
          <t>AVU</t>
        </is>
      </c>
      <c r="P2641" s="59" t="n">
        <v>101</v>
      </c>
      <c r="Q2641" s="59" t="inlineStr">
        <is>
          <t>KEILA LIMA</t>
        </is>
      </c>
      <c r="R2641" s="59" t="inlineStr">
        <is>
          <t>DESPESAS COM PESSOAL</t>
        </is>
      </c>
      <c r="S2641" s="59" t="n">
        <v>4210315</v>
      </c>
      <c r="T2641" s="59" t="inlineStr">
        <is>
          <t>INTERNET</t>
        </is>
      </c>
      <c r="U2641" s="59" t="n">
        <v>139.97</v>
      </c>
      <c r="W2641" s="59" t="n">
        <v>0</v>
      </c>
      <c r="X2641" s="59" t="inlineStr">
        <is>
          <t>MENSALIDADE INTERNET MO1 - KEILA</t>
        </is>
      </c>
      <c r="Z2641" s="59">
        <f>IF($T2641="","",IFERROR(INDEX('Resumo Grupos'!$AC$3:$AC$200,MATCH($T2641,'Resumo Grupos'!$AB$3:$AB$200,0)),"n/d"))</f>
        <v/>
      </c>
      <c r="AA2641" s="59">
        <f>IF($T2641="","",IF(COUNTIF('Resumo Grupos'!$AE$3:$AE$40,$T2641)&gt;0,"NAO","SIM"))</f>
        <v/>
      </c>
    </row>
    <row r="2642" ht="12.75" customHeight="1" s="60">
      <c r="A2642" s="59" t="n">
        <v>1</v>
      </c>
      <c r="B2642" s="82" t="n">
        <v>46255</v>
      </c>
      <c r="C2642" s="82" t="n">
        <v>46285</v>
      </c>
      <c r="D2642" s="59" t="n">
        <v>1711</v>
      </c>
      <c r="E2642" s="59" t="inlineStr">
        <is>
          <t>J. A. F. DE LIMA</t>
        </is>
      </c>
      <c r="F2642" s="59" t="n">
        <v>24</v>
      </c>
      <c r="G2642" s="59" t="inlineStr">
        <is>
          <t>Compra a Prazo - Boletos</t>
        </is>
      </c>
      <c r="H2642" s="59" t="n">
        <v>2110405</v>
      </c>
      <c r="I2642" s="59" t="inlineStr">
        <is>
          <t>CONTAS A PAGAR</t>
        </is>
      </c>
      <c r="J2642" s="59" t="n">
        <v>1581907</v>
      </c>
      <c r="L2642" s="59" t="n">
        <v>160299</v>
      </c>
      <c r="M2642" s="59" t="inlineStr">
        <is>
          <t>03</t>
        </is>
      </c>
      <c r="N2642" s="59" t="inlineStr">
        <is>
          <t>AVU</t>
        </is>
      </c>
      <c r="P2642" s="59" t="n">
        <v>103</v>
      </c>
      <c r="Q2642" s="59" t="inlineStr">
        <is>
          <t>MILKA FRANCIS</t>
        </is>
      </c>
      <c r="R2642" s="59" t="inlineStr">
        <is>
          <t>ESTOQUE DE MERCADORIAS</t>
        </is>
      </c>
      <c r="S2642" s="59" t="n">
        <v>1130101</v>
      </c>
      <c r="T2642" s="59" t="inlineStr">
        <is>
          <t>MERCADORIAS P/REVENDA</t>
        </is>
      </c>
      <c r="U2642" s="59" t="n">
        <v>1127.55</v>
      </c>
      <c r="W2642" s="59" t="n">
        <v>0</v>
      </c>
      <c r="X2642" s="59" t="inlineStr">
        <is>
          <t>NF 160299-3 MILKA</t>
        </is>
      </c>
      <c r="Z2642" s="59">
        <f>IF($T2642="","",IFERROR(INDEX('Resumo Grupos'!$AC$3:$AC$200,MATCH($T2642,'Resumo Grupos'!$AB$3:$AB$200,0)),"n/d"))</f>
        <v/>
      </c>
      <c r="AA2642" s="59">
        <f>IF($T2642="","",IF(COUNTIF('Resumo Grupos'!$AE$3:$AE$40,$T2642)&gt;0,"NAO","SIM"))</f>
        <v/>
      </c>
    </row>
    <row r="2643" ht="12.75" customHeight="1" s="60">
      <c r="A2643" s="59" t="n">
        <v>1</v>
      </c>
      <c r="B2643" s="82" t="n">
        <v>46228</v>
      </c>
      <c r="C2643" s="82" t="n">
        <v>46286</v>
      </c>
      <c r="D2643" s="59" t="n">
        <v>1409</v>
      </c>
      <c r="E2643" s="59" t="inlineStr">
        <is>
          <t>NORTE DISTRIBUIDORA DE ACUMULADORES E AC</t>
        </is>
      </c>
      <c r="F2643" s="59" t="n">
        <v>24</v>
      </c>
      <c r="G2643" s="59" t="inlineStr">
        <is>
          <t>Compra a Prazo - Boletos</t>
        </is>
      </c>
      <c r="H2643" s="59" t="n">
        <v>1110202</v>
      </c>
      <c r="I2643" s="59" t="inlineStr">
        <is>
          <t>BANCO ITAU Lj 01</t>
        </is>
      </c>
      <c r="J2643" s="59" t="n">
        <v>1450142</v>
      </c>
      <c r="L2643" s="59" t="n">
        <v>105914</v>
      </c>
      <c r="M2643" s="59" t="inlineStr">
        <is>
          <t>03</t>
        </is>
      </c>
      <c r="N2643" s="59" t="inlineStr">
        <is>
          <t>AVU</t>
        </is>
      </c>
      <c r="P2643" s="59" t="n">
        <v>103</v>
      </c>
      <c r="Q2643" s="59" t="inlineStr">
        <is>
          <t>MILKA FRANCIS</t>
        </is>
      </c>
      <c r="R2643" s="59" t="inlineStr">
        <is>
          <t>ESTOQUE DE MERCADORIAS</t>
        </is>
      </c>
      <c r="S2643" s="59" t="n">
        <v>1130101</v>
      </c>
      <c r="T2643" s="59" t="inlineStr">
        <is>
          <t>MERCADORIAS P/REVENDA</t>
        </is>
      </c>
      <c r="U2643" s="59" t="n">
        <v>306</v>
      </c>
      <c r="W2643" s="59" t="n">
        <v>0</v>
      </c>
      <c r="X2643" s="59" t="inlineStr">
        <is>
          <t>NF 105914 -3/3 MOURA -  MILKA</t>
        </is>
      </c>
      <c r="Z2643" s="59">
        <f>IF($T2643="","",IFERROR(INDEX('Resumo Grupos'!$AC$3:$AC$200,MATCH($T2643,'Resumo Grupos'!$AB$3:$AB$200,0)),"n/d"))</f>
        <v/>
      </c>
      <c r="AA2643" s="59">
        <f>IF($T2643="","",IF(COUNTIF('Resumo Grupos'!$AE$3:$AE$40,$T2643)&gt;0,"NAO","SIM"))</f>
        <v/>
      </c>
    </row>
    <row r="2644" ht="12.75" customHeight="1" s="60">
      <c r="A2644" s="59" t="n">
        <v>1</v>
      </c>
      <c r="B2644" s="82" t="n">
        <v>46253</v>
      </c>
      <c r="C2644" s="82" t="n">
        <v>46286</v>
      </c>
      <c r="D2644" s="59" t="n">
        <v>1637</v>
      </c>
      <c r="E2644" s="59" t="inlineStr">
        <is>
          <t>ATACADAO S.A.</t>
        </is>
      </c>
      <c r="F2644" s="59" t="n">
        <v>24</v>
      </c>
      <c r="G2644" s="59" t="inlineStr">
        <is>
          <t>Compra a Prazo - Boletos</t>
        </is>
      </c>
      <c r="H2644" s="59" t="n">
        <v>2110405</v>
      </c>
      <c r="I2644" s="59" t="inlineStr">
        <is>
          <t>CONTAS A PAGAR</t>
        </is>
      </c>
      <c r="J2644" s="59" t="n">
        <v>1570713</v>
      </c>
      <c r="L2644" s="59" t="n">
        <v>1921245</v>
      </c>
      <c r="M2644" s="59" t="inlineStr">
        <is>
          <t>01</t>
        </is>
      </c>
      <c r="N2644" s="59" t="inlineStr">
        <is>
          <t>AVU</t>
        </is>
      </c>
      <c r="P2644" s="59" t="n">
        <v>103</v>
      </c>
      <c r="Q2644" s="59" t="inlineStr">
        <is>
          <t>MILKA FRANCIS</t>
        </is>
      </c>
      <c r="R2644" s="59" t="inlineStr">
        <is>
          <t>ESTOQUE DE MERCADORIAS</t>
        </is>
      </c>
      <c r="S2644" s="59" t="n">
        <v>1130101</v>
      </c>
      <c r="T2644" s="59" t="inlineStr">
        <is>
          <t>MERCADORIAS P/REVENDA</t>
        </is>
      </c>
      <c r="U2644" s="59" t="n">
        <v>602.64</v>
      </c>
      <c r="W2644" s="59" t="n">
        <v>0</v>
      </c>
      <c r="X2644" s="59" t="inlineStr">
        <is>
          <t>NF1921245 - MILKA</t>
        </is>
      </c>
      <c r="Z2644" s="59">
        <f>IF($T2644="","",IFERROR(INDEX('Resumo Grupos'!$AC$3:$AC$200,MATCH($T2644,'Resumo Grupos'!$AB$3:$AB$200,0)),"n/d"))</f>
        <v/>
      </c>
      <c r="AA2644" s="59">
        <f>IF($T2644="","",IF(COUNTIF('Resumo Grupos'!$AE$3:$AE$40,$T2644)&gt;0,"NAO","SIM"))</f>
        <v/>
      </c>
    </row>
    <row r="2645" ht="12.75" customHeight="1" s="60">
      <c r="A2645" s="59" t="n">
        <v>1</v>
      </c>
      <c r="B2645" s="82" t="n">
        <v>46255</v>
      </c>
      <c r="C2645" s="82" t="n">
        <v>46286</v>
      </c>
      <c r="D2645" s="59" t="n">
        <v>1779</v>
      </c>
      <c r="E2645" s="59" t="inlineStr">
        <is>
          <t>BANCO DO BRASIL SA</t>
        </is>
      </c>
      <c r="F2645" s="59" t="n">
        <v>34</v>
      </c>
      <c r="G2645" s="59" t="inlineStr">
        <is>
          <t>Transferencia Pix</t>
        </is>
      </c>
      <c r="H2645" s="59" t="n">
        <v>2110405</v>
      </c>
      <c r="I2645" s="59" t="inlineStr">
        <is>
          <t>CONTAS A PAGAR</t>
        </is>
      </c>
      <c r="J2645" s="59" t="n">
        <v>1535132</v>
      </c>
      <c r="L2645" s="59" t="n">
        <v>627189</v>
      </c>
      <c r="M2645" s="59" t="inlineStr">
        <is>
          <t>03</t>
        </is>
      </c>
      <c r="N2645" s="59" t="inlineStr">
        <is>
          <t>AVU</t>
        </is>
      </c>
      <c r="P2645" s="59" t="n">
        <v>102</v>
      </c>
      <c r="Q2645" s="59" t="inlineStr">
        <is>
          <t>ANDREZA ANDRADE</t>
        </is>
      </c>
      <c r="R2645" s="59" t="inlineStr">
        <is>
          <t>EMPRESTIMOS BANCARIOS</t>
        </is>
      </c>
      <c r="S2645" s="59" t="n">
        <v>2110901</v>
      </c>
      <c r="T2645" s="59" t="inlineStr">
        <is>
          <t>EMPRESTIMOS BANCARIOS A PAGAR</t>
        </is>
      </c>
      <c r="U2645" s="59" t="n">
        <v>38689.04</v>
      </c>
      <c r="W2645" s="59" t="n">
        <v>0</v>
      </c>
      <c r="X2645" s="59" t="inlineStr">
        <is>
          <t xml:space="preserve">PREVI-PARC EMPRSTIMO BB 1 NOVO - KEILA </t>
        </is>
      </c>
      <c r="Z2645" s="59">
        <f>IF($T2645="","",IFERROR(INDEX('Resumo Grupos'!$AC$3:$AC$200,MATCH($T2645,'Resumo Grupos'!$AB$3:$AB$200,0)),"n/d"))</f>
        <v/>
      </c>
      <c r="AA2645" s="59">
        <f>IF($T2645="","",IF(COUNTIF('Resumo Grupos'!$AE$3:$AE$40,$T2645)&gt;0,"NAO","SIM"))</f>
        <v/>
      </c>
    </row>
    <row r="2646" ht="12.75" customHeight="1" s="60">
      <c r="A2646" s="59" t="n">
        <v>1</v>
      </c>
      <c r="B2646" s="82" t="n">
        <v>46255</v>
      </c>
      <c r="C2646" s="82" t="n">
        <v>46286</v>
      </c>
      <c r="D2646" s="59" t="n">
        <v>1779</v>
      </c>
      <c r="E2646" s="59" t="inlineStr">
        <is>
          <t>BANCO DO BRASIL SA</t>
        </is>
      </c>
      <c r="F2646" s="59" t="n">
        <v>34</v>
      </c>
      <c r="G2646" s="59" t="inlineStr">
        <is>
          <t>Transferencia Pix</t>
        </is>
      </c>
      <c r="H2646" s="59" t="n">
        <v>2110405</v>
      </c>
      <c r="I2646" s="59" t="inlineStr">
        <is>
          <t>CONTAS A PAGAR</t>
        </is>
      </c>
      <c r="J2646" s="59" t="n">
        <v>1535132</v>
      </c>
      <c r="L2646" s="59" t="n">
        <v>627189</v>
      </c>
      <c r="M2646" s="59" t="inlineStr">
        <is>
          <t>04</t>
        </is>
      </c>
      <c r="N2646" s="59" t="inlineStr">
        <is>
          <t>AVU</t>
        </is>
      </c>
      <c r="P2646" s="59" t="n">
        <v>102</v>
      </c>
      <c r="Q2646" s="59" t="inlineStr">
        <is>
          <t>ANDREZA ANDRADE</t>
        </is>
      </c>
      <c r="R2646" s="59" t="inlineStr">
        <is>
          <t>EMPRESTIMOS BANCARIOS</t>
        </is>
      </c>
      <c r="S2646" s="59" t="n">
        <v>2110901</v>
      </c>
      <c r="T2646" s="59" t="inlineStr">
        <is>
          <t>EMPRESTIMOS BANCARIOS A PAGAR</t>
        </is>
      </c>
      <c r="U2646" s="59" t="n">
        <v>2700.12</v>
      </c>
      <c r="W2646" s="59" t="n">
        <v>0</v>
      </c>
      <c r="X2646" s="59" t="inlineStr">
        <is>
          <t xml:space="preserve">PREVII-PARC EMPRSTIMO BB 1 NOVO - KEILA </t>
        </is>
      </c>
      <c r="Z2646" s="59">
        <f>IF($T2646="","",IFERROR(INDEX('Resumo Grupos'!$AC$3:$AC$200,MATCH($T2646,'Resumo Grupos'!$AB$3:$AB$200,0)),"n/d"))</f>
        <v/>
      </c>
      <c r="AA2646" s="59">
        <f>IF($T2646="","",IF(COUNTIF('Resumo Grupos'!$AE$3:$AE$40,$T2646)&gt;0,"NAO","SIM"))</f>
        <v/>
      </c>
    </row>
    <row r="2647" ht="12.75" customHeight="1" s="60">
      <c r="A2647" s="59" t="n">
        <v>1</v>
      </c>
      <c r="B2647" s="82" t="n">
        <v>46255</v>
      </c>
      <c r="C2647" s="82" t="n">
        <v>46286</v>
      </c>
      <c r="D2647" s="59" t="n">
        <v>10037</v>
      </c>
      <c r="E2647" s="59" t="inlineStr">
        <is>
          <t>FORTVET DISTRIBUIDORA LTDA</t>
        </is>
      </c>
      <c r="F2647" s="59" t="n">
        <v>24</v>
      </c>
      <c r="G2647" s="59" t="inlineStr">
        <is>
          <t>Compra a Prazo - Boletos</t>
        </is>
      </c>
      <c r="H2647" s="59" t="n">
        <v>2110405</v>
      </c>
      <c r="I2647" s="59" t="inlineStr">
        <is>
          <t>CONTAS A PAGAR</t>
        </is>
      </c>
      <c r="J2647" s="59" t="n">
        <v>1581853</v>
      </c>
      <c r="L2647" s="59" t="n">
        <v>3216</v>
      </c>
      <c r="M2647" s="59" t="inlineStr">
        <is>
          <t>03</t>
        </is>
      </c>
      <c r="N2647" s="59" t="inlineStr">
        <is>
          <t>AVU</t>
        </is>
      </c>
      <c r="P2647" s="59" t="n">
        <v>103</v>
      </c>
      <c r="Q2647" s="59" t="inlineStr">
        <is>
          <t>MILKA FRANCIS</t>
        </is>
      </c>
      <c r="R2647" s="59" t="inlineStr">
        <is>
          <t>ESTOQUE DE MERCADORIAS</t>
        </is>
      </c>
      <c r="S2647" s="59" t="n">
        <v>1130101</v>
      </c>
      <c r="T2647" s="59" t="inlineStr">
        <is>
          <t>MERCADORIAS P/REVENDA</t>
        </is>
      </c>
      <c r="U2647" s="59" t="n">
        <v>733.0599999999999</v>
      </c>
      <c r="W2647" s="59" t="n">
        <v>0</v>
      </c>
      <c r="X2647" s="59" t="inlineStr">
        <is>
          <t>NF3216-3 MILKA</t>
        </is>
      </c>
      <c r="Z2647" s="59">
        <f>IF($T2647="","",IFERROR(INDEX('Resumo Grupos'!$AC$3:$AC$200,MATCH($T2647,'Resumo Grupos'!$AB$3:$AB$200,0)),"n/d"))</f>
        <v/>
      </c>
      <c r="AA2647" s="59">
        <f>IF($T2647="","",IF(COUNTIF('Resumo Grupos'!$AE$3:$AE$40,$T2647)&gt;0,"NAO","SIM"))</f>
        <v/>
      </c>
    </row>
    <row r="2648" ht="12.75" customHeight="1" s="60">
      <c r="A2648" s="59" t="n">
        <v>1</v>
      </c>
      <c r="B2648" s="82" t="n">
        <v>46126</v>
      </c>
      <c r="C2648" s="82" t="n">
        <v>46288</v>
      </c>
      <c r="D2648" s="59" t="n">
        <v>17</v>
      </c>
      <c r="E2648" s="59" t="inlineStr">
        <is>
          <t>NEYLIANE SILVA DE OLIVEIRA</t>
        </is>
      </c>
      <c r="F2648" s="59" t="n">
        <v>24</v>
      </c>
      <c r="G2648" s="59" t="inlineStr">
        <is>
          <t>Compra a Prazo - Boletos</t>
        </is>
      </c>
      <c r="H2648" s="59" t="n">
        <v>2110405</v>
      </c>
      <c r="I2648" s="59" t="inlineStr">
        <is>
          <t>CONTAS A PAGAR</t>
        </is>
      </c>
      <c r="J2648" s="59" t="n">
        <v>950724</v>
      </c>
      <c r="L2648" s="59" t="n">
        <v>403362</v>
      </c>
      <c r="M2648" s="59" t="inlineStr">
        <is>
          <t>06</t>
        </is>
      </c>
      <c r="N2648" s="59" t="inlineStr">
        <is>
          <t>AVU</t>
        </is>
      </c>
      <c r="P2648" s="59" t="n">
        <v>101</v>
      </c>
      <c r="Q2648" s="59" t="inlineStr">
        <is>
          <t>KEILA LIMA</t>
        </is>
      </c>
      <c r="R2648" s="59" t="inlineStr">
        <is>
          <t>DESPESAS NAO OPERACIONAIS</t>
        </is>
      </c>
      <c r="S2648" s="59" t="n">
        <v>4220199</v>
      </c>
      <c r="T2648" s="59" t="inlineStr">
        <is>
          <t>PAGAMENTOS OUTROS NAO OPERACIONAIS</t>
        </is>
      </c>
      <c r="U2648" s="59" t="n">
        <v>2720.81</v>
      </c>
      <c r="W2648" s="59" t="n">
        <v>0</v>
      </c>
      <c r="X2648" s="59" t="inlineStr">
        <is>
          <t xml:space="preserve">PL NEILA CARRO 06/36 </t>
        </is>
      </c>
      <c r="Z2648" s="59">
        <f>IF($T2648="","",IFERROR(INDEX('Resumo Grupos'!$AC$3:$AC$200,MATCH($T2648,'Resumo Grupos'!$AB$3:$AB$200,0)),"n/d"))</f>
        <v/>
      </c>
      <c r="AA2648" s="59">
        <f>IF($T2648="","",IF(COUNTIF('Resumo Grupos'!$AE$3:$AE$40,$T2648)&gt;0,"NAO","SIM"))</f>
        <v/>
      </c>
    </row>
    <row r="2649" ht="12.75" customHeight="1" s="60">
      <c r="A2649" s="59" t="n">
        <v>1</v>
      </c>
      <c r="B2649" s="82" t="n">
        <v>46204</v>
      </c>
      <c r="C2649" s="82" t="n">
        <v>46288</v>
      </c>
      <c r="D2649" s="59" t="n">
        <v>607</v>
      </c>
      <c r="E2649" s="59" t="inlineStr">
        <is>
          <t>PRIME PET DISTRIBUIDORA LTDA</t>
        </is>
      </c>
      <c r="F2649" s="59" t="n">
        <v>24</v>
      </c>
      <c r="G2649" s="59" t="inlineStr">
        <is>
          <t>Compra a Prazo - Boletos</t>
        </is>
      </c>
      <c r="H2649" s="59" t="n">
        <v>2110101</v>
      </c>
      <c r="I2649" s="59" t="inlineStr">
        <is>
          <t>FORNECEDORES DE MERCADORIA</t>
        </is>
      </c>
      <c r="J2649" s="59" t="n">
        <v>1335231</v>
      </c>
      <c r="L2649" s="59" t="n">
        <v>11002</v>
      </c>
      <c r="M2649" s="59" t="inlineStr">
        <is>
          <t>07</t>
        </is>
      </c>
      <c r="N2649" s="59" t="inlineStr">
        <is>
          <t>NFE</t>
        </is>
      </c>
      <c r="P2649" s="59" t="n">
        <v>103</v>
      </c>
      <c r="Q2649" s="59" t="inlineStr">
        <is>
          <t>MILKA FRANCIS</t>
        </is>
      </c>
      <c r="R2649" s="59" t="inlineStr">
        <is>
          <t>ESTOQUE DE MERCADORIAS</t>
        </is>
      </c>
      <c r="S2649" s="59" t="n">
        <v>1130101</v>
      </c>
      <c r="T2649" s="59" t="inlineStr">
        <is>
          <t>MERCADORIAS P/REVENDA</t>
        </is>
      </c>
      <c r="U2649" s="59" t="n">
        <v>1849.45</v>
      </c>
      <c r="W2649" s="59" t="n">
        <v>0</v>
      </c>
      <c r="X2649" s="59" t="inlineStr">
        <is>
          <t xml:space="preserve">NF 11002-07/07 MILKA </t>
        </is>
      </c>
      <c r="Z2649" s="59">
        <f>IF($T2649="","",IFERROR(INDEX('Resumo Grupos'!$AC$3:$AC$200,MATCH($T2649,'Resumo Grupos'!$AB$3:$AB$200,0)),"n/d"))</f>
        <v/>
      </c>
      <c r="AA2649" s="59">
        <f>IF($T2649="","",IF(COUNTIF('Resumo Grupos'!$AE$3:$AE$40,$T2649)&gt;0,"NAO","SIM"))</f>
        <v/>
      </c>
    </row>
    <row r="2650" ht="12.75" customHeight="1" s="60">
      <c r="A2650" s="59" t="n">
        <v>1</v>
      </c>
      <c r="B2650" s="82" t="n">
        <v>46246</v>
      </c>
      <c r="C2650" s="82" t="n">
        <v>46289</v>
      </c>
      <c r="D2650" s="59" t="n">
        <v>1390</v>
      </c>
      <c r="E2650" s="59" t="inlineStr">
        <is>
          <t>SMV COMERCIO DE PRODUTOS ALIMENTICIOS LT</t>
        </is>
      </c>
      <c r="F2650" s="59" t="n">
        <v>24</v>
      </c>
      <c r="G2650" s="59" t="inlineStr">
        <is>
          <t>Compra a Prazo - Boletos</t>
        </is>
      </c>
      <c r="H2650" s="59" t="n">
        <v>2110405</v>
      </c>
      <c r="I2650" s="59" t="inlineStr">
        <is>
          <t>CONTAS A PAGAR</t>
        </is>
      </c>
      <c r="J2650" s="59" t="n">
        <v>1537290</v>
      </c>
      <c r="L2650" s="59" t="n">
        <v>7184</v>
      </c>
      <c r="M2650" s="59" t="inlineStr">
        <is>
          <t>03</t>
        </is>
      </c>
      <c r="N2650" s="59" t="inlineStr">
        <is>
          <t>AVU</t>
        </is>
      </c>
      <c r="P2650" s="59" t="n">
        <v>103</v>
      </c>
      <c r="Q2650" s="59" t="inlineStr">
        <is>
          <t>MILKA FRANCIS</t>
        </is>
      </c>
      <c r="R2650" s="59" t="inlineStr">
        <is>
          <t>ESTOQUE DE MERCADORIAS</t>
        </is>
      </c>
      <c r="S2650" s="59" t="n">
        <v>1130101</v>
      </c>
      <c r="T2650" s="59" t="inlineStr">
        <is>
          <t>MERCADORIAS P/REVENDA</t>
        </is>
      </c>
      <c r="U2650" s="59" t="n">
        <v>463.72</v>
      </c>
      <c r="W2650" s="59" t="n">
        <v>0</v>
      </c>
      <c r="X2650" s="59" t="inlineStr">
        <is>
          <t>7520-3/3  NF7184 - MILKA</t>
        </is>
      </c>
      <c r="Z2650" s="59">
        <f>IF($T2650="","",IFERROR(INDEX('Resumo Grupos'!$AC$3:$AC$200,MATCH($T2650,'Resumo Grupos'!$AB$3:$AB$200,0)),"n/d"))</f>
        <v/>
      </c>
      <c r="AA2650" s="59">
        <f>IF($T2650="","",IF(COUNTIF('Resumo Grupos'!$AE$3:$AE$40,$T2650)&gt;0,"NAO","SIM"))</f>
        <v/>
      </c>
    </row>
    <row r="2651" ht="12.75" customHeight="1" s="60">
      <c r="A2651" s="59" t="n">
        <v>1</v>
      </c>
      <c r="B2651" s="82" t="n">
        <v>46248</v>
      </c>
      <c r="C2651" s="82" t="n">
        <v>46289</v>
      </c>
      <c r="D2651" s="59" t="n">
        <v>10012</v>
      </c>
      <c r="E2651" s="59" t="inlineStr">
        <is>
          <t>SB COMERCIO LTDA</t>
        </is>
      </c>
      <c r="F2651" s="59" t="n">
        <v>24</v>
      </c>
      <c r="G2651" s="59" t="inlineStr">
        <is>
          <t>Compra a Prazo - Boletos</t>
        </is>
      </c>
      <c r="H2651" s="59" t="n">
        <v>2110405</v>
      </c>
      <c r="I2651" s="59" t="inlineStr">
        <is>
          <t>CONTAS A PAGAR</t>
        </is>
      </c>
      <c r="J2651" s="59" t="n">
        <v>1546127</v>
      </c>
      <c r="L2651" s="59" t="n">
        <v>1965727</v>
      </c>
      <c r="M2651" s="59" t="inlineStr">
        <is>
          <t>03</t>
        </is>
      </c>
      <c r="N2651" s="59" t="inlineStr">
        <is>
          <t>AVU</t>
        </is>
      </c>
      <c r="P2651" s="59" t="n">
        <v>103</v>
      </c>
      <c r="Q2651" s="59" t="inlineStr">
        <is>
          <t>MILKA FRANCIS</t>
        </is>
      </c>
      <c r="R2651" s="59" t="inlineStr">
        <is>
          <t>ESTOQUE DE MERCADORIAS</t>
        </is>
      </c>
      <c r="S2651" s="59" t="n">
        <v>1130101</v>
      </c>
      <c r="T2651" s="59" t="inlineStr">
        <is>
          <t>MERCADORIAS P/REVENDA</t>
        </is>
      </c>
      <c r="U2651" s="59" t="n">
        <v>1236.62</v>
      </c>
      <c r="W2651" s="59" t="n">
        <v>0</v>
      </c>
      <c r="X2651" s="59" t="inlineStr">
        <is>
          <t>NF 1965727 -3 MILKA</t>
        </is>
      </c>
      <c r="Z2651" s="59">
        <f>IF($T2651="","",IFERROR(INDEX('Resumo Grupos'!$AC$3:$AC$200,MATCH($T2651,'Resumo Grupos'!$AB$3:$AB$200,0)),"n/d"))</f>
        <v/>
      </c>
      <c r="AA2651" s="59">
        <f>IF($T2651="","",IF(COUNTIF('Resumo Grupos'!$AE$3:$AE$40,$T2651)&gt;0,"NAO","SIM"))</f>
        <v/>
      </c>
    </row>
    <row r="2652" ht="12.75" customHeight="1" s="60">
      <c r="A2652" s="59" t="n">
        <v>1</v>
      </c>
      <c r="B2652" s="82" t="n">
        <v>46038</v>
      </c>
      <c r="C2652" s="82" t="n">
        <v>46290</v>
      </c>
      <c r="D2652" s="59" t="n">
        <v>10039</v>
      </c>
      <c r="E2652" s="59" t="inlineStr">
        <is>
          <t>L S C DA SILVA PRADO LTDA</t>
        </is>
      </c>
      <c r="F2652" s="59" t="n">
        <v>36</v>
      </c>
      <c r="G2652" s="59" t="inlineStr">
        <is>
          <t>Cartao BB 1 Novo Visa 0499 Venc 25</t>
        </is>
      </c>
      <c r="H2652" s="59" t="n">
        <v>2110102</v>
      </c>
      <c r="I2652" s="59" t="inlineStr">
        <is>
          <t>OUTROS FORNECEDORES</t>
        </is>
      </c>
      <c r="J2652" s="59" t="n">
        <v>532309</v>
      </c>
      <c r="L2652" s="59" t="n">
        <v>2543</v>
      </c>
      <c r="M2652" s="59" t="inlineStr">
        <is>
          <t>09</t>
        </is>
      </c>
      <c r="N2652" s="59" t="inlineStr">
        <is>
          <t>NFE</t>
        </is>
      </c>
      <c r="P2652" s="59" t="n">
        <v>101</v>
      </c>
      <c r="Q2652" s="59" t="inlineStr">
        <is>
          <t>KEILA LIMA</t>
        </is>
      </c>
      <c r="R2652" s="59" t="inlineStr">
        <is>
          <t>DESPESAS OPERACIONAIS</t>
        </is>
      </c>
      <c r="S2652" s="59" t="n">
        <v>4210204</v>
      </c>
      <c r="T2652" s="59" t="inlineStr">
        <is>
          <t>MATERIAL DE CONSUMO</t>
        </is>
      </c>
      <c r="U2652" s="59" t="n">
        <v>285.77</v>
      </c>
      <c r="W2652" s="59" t="n">
        <v>0</v>
      </c>
      <c r="X2652" s="59" t="inlineStr">
        <is>
          <t>NF 2543 PARC 09/12 -  KEILA CAIXA DE SOM</t>
        </is>
      </c>
      <c r="Z2652" s="59">
        <f>IF($T2652="","",IFERROR(INDEX('Resumo Grupos'!$AC$3:$AC$200,MATCH($T2652,'Resumo Grupos'!$AB$3:$AB$200,0)),"n/d"))</f>
        <v/>
      </c>
      <c r="AA2652" s="59">
        <f>IF($T2652="","",IF(COUNTIF('Resumo Grupos'!$AE$3:$AE$40,$T2652)&gt;0,"NAO","SIM"))</f>
        <v/>
      </c>
    </row>
    <row r="2653" ht="12.75" customHeight="1" s="60">
      <c r="A2653" s="59" t="n">
        <v>1</v>
      </c>
      <c r="B2653" s="82" t="n">
        <v>46085</v>
      </c>
      <c r="C2653" s="82" t="n">
        <v>46290</v>
      </c>
      <c r="D2653" s="59" t="n">
        <v>500</v>
      </c>
      <c r="E2653" s="59" t="inlineStr">
        <is>
          <t>REFRIAL DISTRIBUIDORA COMERCIAL DE MAQUI</t>
        </is>
      </c>
      <c r="F2653" s="59" t="n">
        <v>36</v>
      </c>
      <c r="G2653" s="59" t="inlineStr">
        <is>
          <t>Cartao BB 1 Novo Visa 0499 Venc 25</t>
        </is>
      </c>
      <c r="H2653" s="59" t="n">
        <v>2110101</v>
      </c>
      <c r="I2653" s="59" t="inlineStr">
        <is>
          <t>FORNECEDORES DE MERCADORIA</t>
        </is>
      </c>
      <c r="J2653" s="59" t="n">
        <v>808801</v>
      </c>
      <c r="L2653" s="59" t="n">
        <v>349045</v>
      </c>
      <c r="M2653" s="59" t="inlineStr">
        <is>
          <t>07</t>
        </is>
      </c>
      <c r="N2653" s="59" t="inlineStr">
        <is>
          <t>AVU</t>
        </is>
      </c>
      <c r="P2653" s="59" t="n">
        <v>103</v>
      </c>
      <c r="Q2653" s="59" t="inlineStr">
        <is>
          <t>MILKA FRANCIS</t>
        </is>
      </c>
      <c r="R2653" s="59" t="inlineStr">
        <is>
          <t>CONTAS A PAGAR</t>
        </is>
      </c>
      <c r="S2653" s="59" t="n">
        <v>2110405</v>
      </c>
      <c r="T2653" s="59" t="inlineStr">
        <is>
          <t>CONTAS A PAGAR</t>
        </is>
      </c>
      <c r="U2653" s="59" t="n">
        <v>399.1</v>
      </c>
      <c r="W2653" s="59" t="n">
        <v>0</v>
      </c>
      <c r="X2653" s="59" t="inlineStr">
        <is>
          <t>DESPESA LOJA /NF 154967 / 7PARC - MILKA</t>
        </is>
      </c>
      <c r="Z2653" s="59">
        <f>IF($T2653="","",IFERROR(INDEX('Resumo Grupos'!$AC$3:$AC$200,MATCH($T2653,'Resumo Grupos'!$AB$3:$AB$200,0)),"n/d"))</f>
        <v/>
      </c>
      <c r="AA2653" s="59">
        <f>IF($T2653="","",IF(COUNTIF('Resumo Grupos'!$AE$3:$AE$40,$T2653)&gt;0,"NAO","SIM"))</f>
        <v/>
      </c>
    </row>
    <row r="2654" ht="12.75" customHeight="1" s="60">
      <c r="A2654" s="59" t="n">
        <v>1</v>
      </c>
      <c r="B2654" s="82" t="n">
        <v>46098</v>
      </c>
      <c r="C2654" s="82" t="n">
        <v>46290</v>
      </c>
      <c r="D2654" s="59" t="n">
        <v>468</v>
      </c>
      <c r="E2654" s="59" t="inlineStr">
        <is>
          <t>M.R.G COMERCIO DE MAQUINAS EIRELI.</t>
        </is>
      </c>
      <c r="F2654" s="59" t="n">
        <v>36</v>
      </c>
      <c r="G2654" s="59" t="inlineStr">
        <is>
          <t>Cartao BB 1 Novo Visa 0499 Venc 25</t>
        </is>
      </c>
      <c r="H2654" s="59" t="n">
        <v>2110101</v>
      </c>
      <c r="I2654" s="59" t="inlineStr">
        <is>
          <t>FORNECEDORES DE MERCADORIA</t>
        </is>
      </c>
      <c r="J2654" s="59" t="n">
        <v>826843</v>
      </c>
      <c r="L2654" s="59" t="n">
        <v>355659</v>
      </c>
      <c r="M2654" s="59" t="inlineStr">
        <is>
          <t>06</t>
        </is>
      </c>
      <c r="N2654" s="59" t="inlineStr">
        <is>
          <t>AVU</t>
        </is>
      </c>
      <c r="P2654" s="59" t="n">
        <v>103</v>
      </c>
      <c r="Q2654" s="59" t="inlineStr">
        <is>
          <t>MILKA FRANCIS</t>
        </is>
      </c>
      <c r="R2654" s="59" t="inlineStr">
        <is>
          <t>ESTOQUE DE MERCADORIAS</t>
        </is>
      </c>
      <c r="S2654" s="59" t="n">
        <v>1130101</v>
      </c>
      <c r="T2654" s="59" t="inlineStr">
        <is>
          <t>MERCADORIAS P/REVENDA</t>
        </is>
      </c>
      <c r="U2654" s="59" t="n">
        <v>233.35</v>
      </c>
      <c r="W2654" s="59" t="n">
        <v>0</v>
      </c>
      <c r="X2654" s="59" t="inlineStr">
        <is>
          <t>NF 14298 / 6PARC / REFORMA PADARIA - MILKA</t>
        </is>
      </c>
      <c r="Z2654" s="59">
        <f>IF($T2654="","",IFERROR(INDEX('Resumo Grupos'!$AC$3:$AC$200,MATCH($T2654,'Resumo Grupos'!$AB$3:$AB$200,0)),"n/d"))</f>
        <v/>
      </c>
      <c r="AA2654" s="59">
        <f>IF($T2654="","",IF(COUNTIF('Resumo Grupos'!$AE$3:$AE$40,$T2654)&gt;0,"NAO","SIM"))</f>
        <v/>
      </c>
    </row>
    <row r="2655" ht="12.75" customHeight="1" s="60">
      <c r="A2655" s="59" t="n">
        <v>1</v>
      </c>
      <c r="B2655" s="82" t="n">
        <v>46120</v>
      </c>
      <c r="C2655" s="82" t="n">
        <v>46290</v>
      </c>
      <c r="D2655" s="59" t="n">
        <v>500</v>
      </c>
      <c r="E2655" s="59" t="inlineStr">
        <is>
          <t>REFRIAL DISTRIBUIDORA COMERCIAL DE MAQUI</t>
        </is>
      </c>
      <c r="F2655" s="59" t="n">
        <v>36</v>
      </c>
      <c r="G2655" s="59" t="inlineStr">
        <is>
          <t>Cartao BB 1 Novo Visa 0499 Venc 25</t>
        </is>
      </c>
      <c r="H2655" s="59" t="n">
        <v>2110405</v>
      </c>
      <c r="I2655" s="59" t="inlineStr">
        <is>
          <t>CONTAS A PAGAR</t>
        </is>
      </c>
      <c r="J2655" s="59" t="n">
        <v>920498</v>
      </c>
      <c r="L2655" s="59" t="n">
        <v>391987</v>
      </c>
      <c r="M2655" s="59" t="inlineStr">
        <is>
          <t>06</t>
        </is>
      </c>
      <c r="N2655" s="59" t="inlineStr">
        <is>
          <t>AVU</t>
        </is>
      </c>
      <c r="P2655" s="59" t="n">
        <v>103</v>
      </c>
      <c r="Q2655" s="59" t="inlineStr">
        <is>
          <t>MILKA FRANCIS</t>
        </is>
      </c>
      <c r="R2655" s="59" t="inlineStr">
        <is>
          <t>BENS TANGIVEIS</t>
        </is>
      </c>
      <c r="S2655" s="59" t="n">
        <v>1240103</v>
      </c>
      <c r="T2655" s="59" t="inlineStr">
        <is>
          <t>MAQUINAS E EQUIPAMENTOS</t>
        </is>
      </c>
      <c r="U2655" s="59" t="n">
        <v>4934.34</v>
      </c>
      <c r="W2655" s="59" t="n">
        <v>0</v>
      </c>
      <c r="X2655" s="59" t="inlineStr">
        <is>
          <t>NF 156023 PARC 06/10 - MILKA</t>
        </is>
      </c>
      <c r="Z2655" s="59">
        <f>IF($T2655="","",IFERROR(INDEX('Resumo Grupos'!$AC$3:$AC$200,MATCH($T2655,'Resumo Grupos'!$AB$3:$AB$200,0)),"n/d"))</f>
        <v/>
      </c>
      <c r="AA2655" s="59">
        <f>IF($T2655="","",IF(COUNTIF('Resumo Grupos'!$AE$3:$AE$40,$T2655)&gt;0,"NAO","SIM"))</f>
        <v/>
      </c>
    </row>
    <row r="2656" ht="12.75" customHeight="1" s="60">
      <c r="A2656" s="59" t="n">
        <v>1</v>
      </c>
      <c r="B2656" s="82" t="n">
        <v>46094</v>
      </c>
      <c r="C2656" s="82" t="n">
        <v>46290</v>
      </c>
      <c r="D2656" s="59" t="n">
        <v>468</v>
      </c>
      <c r="E2656" s="59" t="inlineStr">
        <is>
          <t>M.R.G COMERCIO DE MAQUINAS EIRELI.</t>
        </is>
      </c>
      <c r="F2656" s="59" t="n">
        <v>36</v>
      </c>
      <c r="G2656" s="59" t="inlineStr">
        <is>
          <t>Cartao BB 1 Novo Visa 0499 Venc 25</t>
        </is>
      </c>
      <c r="H2656" s="59" t="n">
        <v>2110405</v>
      </c>
      <c r="I2656" s="59" t="inlineStr">
        <is>
          <t>CONTAS A PAGAR</t>
        </is>
      </c>
      <c r="J2656" s="59" t="n">
        <v>1024118</v>
      </c>
      <c r="L2656" s="59" t="n">
        <v>14289</v>
      </c>
      <c r="M2656" s="59" t="inlineStr">
        <is>
          <t>06</t>
        </is>
      </c>
      <c r="N2656" s="59" t="inlineStr">
        <is>
          <t>AVU</t>
        </is>
      </c>
      <c r="P2656" s="59" t="n">
        <v>101</v>
      </c>
      <c r="Q2656" s="59" t="inlineStr">
        <is>
          <t>KEILA LIMA</t>
        </is>
      </c>
      <c r="R2656" s="59" t="inlineStr">
        <is>
          <t>BENS TANGIVEIS</t>
        </is>
      </c>
      <c r="S2656" s="59" t="n">
        <v>1240103</v>
      </c>
      <c r="T2656" s="59" t="inlineStr">
        <is>
          <t>MAQUINAS E EQUIPAMENTOS</t>
        </is>
      </c>
      <c r="U2656" s="59" t="n">
        <v>1197</v>
      </c>
      <c r="W2656" s="59" t="n">
        <v>0</v>
      </c>
      <c r="X2656" s="59" t="inlineStr">
        <is>
          <t>NF 14289</t>
        </is>
      </c>
      <c r="Z2656" s="59">
        <f>IF($T2656="","",IFERROR(INDEX('Resumo Grupos'!$AC$3:$AC$200,MATCH($T2656,'Resumo Grupos'!$AB$3:$AB$200,0)),"n/d"))</f>
        <v/>
      </c>
      <c r="AA2656" s="59">
        <f>IF($T2656="","",IF(COUNTIF('Resumo Grupos'!$AE$3:$AE$40,$T2656)&gt;0,"NAO","SIM"))</f>
        <v/>
      </c>
    </row>
    <row r="2657" ht="12.75" customHeight="1" s="60">
      <c r="A2657" s="59" t="n">
        <v>1</v>
      </c>
      <c r="B2657" s="82" t="n">
        <v>46254</v>
      </c>
      <c r="C2657" s="82" t="n">
        <v>46290</v>
      </c>
      <c r="D2657" s="59" t="n">
        <v>10098</v>
      </c>
      <c r="E2657" s="59" t="inlineStr">
        <is>
          <t>A M A DE LIMA INDUSTRIA E COMERCIO DE PRODUTOS ALIMENTICIOS LTDA</t>
        </is>
      </c>
      <c r="F2657" s="59" t="n">
        <v>24</v>
      </c>
      <c r="G2657" s="59" t="inlineStr">
        <is>
          <t>Compra a Prazo - Boletos</t>
        </is>
      </c>
      <c r="H2657" s="59" t="n">
        <v>2110405</v>
      </c>
      <c r="I2657" s="59" t="inlineStr">
        <is>
          <t>CONTAS A PAGAR</t>
        </is>
      </c>
      <c r="J2657" s="59" t="n">
        <v>1577931</v>
      </c>
      <c r="L2657" s="59" t="n">
        <v>1228</v>
      </c>
      <c r="M2657" s="59" t="inlineStr">
        <is>
          <t>01</t>
        </is>
      </c>
      <c r="N2657" s="59" t="inlineStr">
        <is>
          <t>AVU</t>
        </is>
      </c>
      <c r="P2657" s="59" t="n">
        <v>103</v>
      </c>
      <c r="Q2657" s="59" t="inlineStr">
        <is>
          <t>MILKA FRANCIS</t>
        </is>
      </c>
      <c r="R2657" s="59" t="inlineStr">
        <is>
          <t>ESTOQUE DE MERCADORIAS</t>
        </is>
      </c>
      <c r="S2657" s="59" t="n">
        <v>1130101</v>
      </c>
      <c r="T2657" s="59" t="inlineStr">
        <is>
          <t>MERCADORIAS P/REVENDA</t>
        </is>
      </c>
      <c r="U2657" s="59" t="n">
        <v>1359.7</v>
      </c>
      <c r="W2657" s="59" t="n">
        <v>0</v>
      </c>
      <c r="X2657" s="59" t="inlineStr">
        <is>
          <t>NF1228 REAL PAES - MILKA</t>
        </is>
      </c>
      <c r="Z2657" s="59">
        <f>IF($T2657="","",IFERROR(INDEX('Resumo Grupos'!$AC$3:$AC$200,MATCH($T2657,'Resumo Grupos'!$AB$3:$AB$200,0)),"n/d"))</f>
        <v/>
      </c>
      <c r="AA2657" s="59">
        <f>IF($T2657="","",IF(COUNTIF('Resumo Grupos'!$AE$3:$AE$40,$T2657)&gt;0,"NAO","SIM"))</f>
        <v/>
      </c>
    </row>
    <row r="2658" ht="12.75" customHeight="1" s="60">
      <c r="A2658" s="59" t="n">
        <v>1</v>
      </c>
      <c r="B2658" s="82" t="n">
        <v>46224</v>
      </c>
      <c r="C2658" s="82" t="n">
        <v>46291</v>
      </c>
      <c r="D2658" s="59" t="n">
        <v>607</v>
      </c>
      <c r="E2658" s="59" t="inlineStr">
        <is>
          <t>PRIME PET DISTRIBUIDORA LTDA</t>
        </is>
      </c>
      <c r="F2658" s="59" t="n">
        <v>24</v>
      </c>
      <c r="G2658" s="59" t="inlineStr">
        <is>
          <t>Compra a Prazo - Boletos</t>
        </is>
      </c>
      <c r="H2658" s="59" t="n">
        <v>2110405</v>
      </c>
      <c r="I2658" s="59" t="inlineStr">
        <is>
          <t>CONTAS A PAGAR</t>
        </is>
      </c>
      <c r="J2658" s="59" t="n">
        <v>1429152</v>
      </c>
      <c r="L2658" s="59" t="n">
        <v>11134</v>
      </c>
      <c r="M2658" s="59" t="inlineStr">
        <is>
          <t>05</t>
        </is>
      </c>
      <c r="N2658" s="59" t="inlineStr">
        <is>
          <t>AVU</t>
        </is>
      </c>
      <c r="P2658" s="59" t="n">
        <v>103</v>
      </c>
      <c r="Q2658" s="59" t="inlineStr">
        <is>
          <t>MILKA FRANCIS</t>
        </is>
      </c>
      <c r="R2658" s="59" t="inlineStr">
        <is>
          <t>ESTOQUE DE MERCADORIAS</t>
        </is>
      </c>
      <c r="S2658" s="59" t="n">
        <v>1130101</v>
      </c>
      <c r="T2658" s="59" t="inlineStr">
        <is>
          <t>MERCADORIAS P/REVENDA</t>
        </is>
      </c>
      <c r="U2658" s="59" t="n">
        <v>911.8</v>
      </c>
      <c r="W2658" s="59" t="n">
        <v>0</v>
      </c>
      <c r="X2658" s="59" t="inlineStr">
        <is>
          <t>NF 11134 -05/06  MILKA</t>
        </is>
      </c>
      <c r="Z2658" s="59">
        <f>IF($T2658="","",IFERROR(INDEX('Resumo Grupos'!$AC$3:$AC$200,MATCH($T2658,'Resumo Grupos'!$AB$3:$AB$200,0)),"n/d"))</f>
        <v/>
      </c>
      <c r="AA2658" s="59">
        <f>IF($T2658="","",IF(COUNTIF('Resumo Grupos'!$AE$3:$AE$40,$T2658)&gt;0,"NAO","SIM"))</f>
        <v/>
      </c>
    </row>
    <row r="2659" ht="12.75" customHeight="1" s="60">
      <c r="A2659" s="59" t="n">
        <v>1</v>
      </c>
      <c r="B2659" s="82" t="n">
        <v>46256</v>
      </c>
      <c r="C2659" s="82" t="n">
        <v>46291</v>
      </c>
      <c r="D2659" s="59" t="n">
        <v>607</v>
      </c>
      <c r="E2659" s="59" t="inlineStr">
        <is>
          <t>PRIME PET DISTRIBUIDORA LTDA</t>
        </is>
      </c>
      <c r="F2659" s="59" t="n">
        <v>24</v>
      </c>
      <c r="G2659" s="59" t="inlineStr">
        <is>
          <t>Compra a Prazo - Boletos</t>
        </is>
      </c>
      <c r="H2659" s="59" t="n">
        <v>2110405</v>
      </c>
      <c r="I2659" s="59" t="inlineStr">
        <is>
          <t>CONTAS A PAGAR</t>
        </is>
      </c>
      <c r="J2659" s="59" t="n">
        <v>1585319</v>
      </c>
      <c r="L2659" s="59" t="n">
        <v>11473</v>
      </c>
      <c r="M2659" s="59" t="inlineStr">
        <is>
          <t>02</t>
        </is>
      </c>
      <c r="N2659" s="59" t="inlineStr">
        <is>
          <t>AVU</t>
        </is>
      </c>
      <c r="P2659" s="59" t="n">
        <v>103</v>
      </c>
      <c r="Q2659" s="59" t="inlineStr">
        <is>
          <t>MILKA FRANCIS</t>
        </is>
      </c>
      <c r="R2659" s="59" t="inlineStr">
        <is>
          <t>ESTOQUE DE MERCADORIAS</t>
        </is>
      </c>
      <c r="S2659" s="59" t="n">
        <v>1130101</v>
      </c>
      <c r="T2659" s="59" t="inlineStr">
        <is>
          <t>MERCADORIAS P/REVENDA</t>
        </is>
      </c>
      <c r="U2659" s="59" t="n">
        <v>1969.17</v>
      </c>
      <c r="W2659" s="59" t="n">
        <v>0</v>
      </c>
      <c r="X2659" s="59" t="inlineStr">
        <is>
          <t>NF 11473 -02/11 - MILKA</t>
        </is>
      </c>
      <c r="Z2659" s="59">
        <f>IF($T2659="","",IFERROR(INDEX('Resumo Grupos'!$AC$3:$AC$200,MATCH($T2659,'Resumo Grupos'!$AB$3:$AB$200,0)),"n/d"))</f>
        <v/>
      </c>
      <c r="AA2659" s="59">
        <f>IF($T2659="","",IF(COUNTIF('Resumo Grupos'!$AE$3:$AE$40,$T2659)&gt;0,"NAO","SIM"))</f>
        <v/>
      </c>
    </row>
    <row r="2660" ht="12.75" customHeight="1" s="60">
      <c r="A2660" s="59" t="n">
        <v>1</v>
      </c>
      <c r="B2660" s="82" t="n">
        <v>46249</v>
      </c>
      <c r="C2660" s="82" t="n">
        <v>46292</v>
      </c>
      <c r="D2660" s="59" t="n">
        <v>10011</v>
      </c>
      <c r="E2660" s="59" t="inlineStr">
        <is>
          <t>OPPORTUNITY ALIMENTOS PARA ANIMAIS LTDA</t>
        </is>
      </c>
      <c r="F2660" s="59" t="n">
        <v>24</v>
      </c>
      <c r="G2660" s="59" t="inlineStr">
        <is>
          <t>Compra a Prazo - Boletos</t>
        </is>
      </c>
      <c r="H2660" s="59" t="n">
        <v>2110405</v>
      </c>
      <c r="I2660" s="59" t="inlineStr">
        <is>
          <t>CONTAS A PAGAR</t>
        </is>
      </c>
      <c r="J2660" s="59" t="n">
        <v>1552267</v>
      </c>
      <c r="L2660" s="59" t="n">
        <v>35160</v>
      </c>
      <c r="M2660" s="59" t="inlineStr">
        <is>
          <t>04</t>
        </is>
      </c>
      <c r="N2660" s="59" t="inlineStr">
        <is>
          <t>AVU</t>
        </is>
      </c>
      <c r="P2660" s="59" t="n">
        <v>103</v>
      </c>
      <c r="Q2660" s="59" t="inlineStr">
        <is>
          <t>MILKA FRANCIS</t>
        </is>
      </c>
      <c r="R2660" s="59" t="inlineStr">
        <is>
          <t>ESTOQUE DE MERCADORIAS</t>
        </is>
      </c>
      <c r="S2660" s="59" t="n">
        <v>1130101</v>
      </c>
      <c r="T2660" s="59" t="inlineStr">
        <is>
          <t>MERCADORIAS P/REVENDA</t>
        </is>
      </c>
      <c r="U2660" s="59" t="n">
        <v>2836.78</v>
      </c>
      <c r="W2660" s="59" t="n">
        <v>0</v>
      </c>
      <c r="X2660" s="59" t="inlineStr">
        <is>
          <t>NF 35160-4 MILKA</t>
        </is>
      </c>
      <c r="Z2660" s="59">
        <f>IF($T2660="","",IFERROR(INDEX('Resumo Grupos'!$AC$3:$AC$200,MATCH($T2660,'Resumo Grupos'!$AB$3:$AB$200,0)),"n/d"))</f>
        <v/>
      </c>
      <c r="AA2660" s="59">
        <f>IF($T2660="","",IF(COUNTIF('Resumo Grupos'!$AE$3:$AE$40,$T2660)&gt;0,"NAO","SIM"))</f>
        <v/>
      </c>
    </row>
    <row r="2661" ht="12.75" customHeight="1" s="60">
      <c r="A2661" s="59" t="n">
        <v>1</v>
      </c>
      <c r="B2661" s="82" t="n">
        <v>46253</v>
      </c>
      <c r="C2661" s="82" t="n">
        <v>46292</v>
      </c>
      <c r="D2661" s="59" t="n">
        <v>957</v>
      </c>
      <c r="E2661" s="59" t="inlineStr">
        <is>
          <t>FUNNY PET DISTRIBUIDORA DE ALIMENTOS PAR</t>
        </is>
      </c>
      <c r="F2661" s="59" t="n">
        <v>24</v>
      </c>
      <c r="G2661" s="59" t="inlineStr">
        <is>
          <t>Compra a Prazo - Boletos</t>
        </is>
      </c>
      <c r="H2661" s="59" t="n">
        <v>2110405</v>
      </c>
      <c r="I2661" s="59" t="inlineStr">
        <is>
          <t>CONTAS A PAGAR</t>
        </is>
      </c>
      <c r="J2661" s="59" t="n">
        <v>1571005</v>
      </c>
      <c r="L2661" s="59" t="n">
        <v>21714</v>
      </c>
      <c r="M2661" s="59" t="inlineStr">
        <is>
          <t>03</t>
        </is>
      </c>
      <c r="N2661" s="59" t="inlineStr">
        <is>
          <t>AVU</t>
        </is>
      </c>
      <c r="P2661" s="59" t="n">
        <v>103</v>
      </c>
      <c r="Q2661" s="59" t="inlineStr">
        <is>
          <t>MILKA FRANCIS</t>
        </is>
      </c>
      <c r="R2661" s="59" t="inlineStr">
        <is>
          <t>ESTOQUE DE MERCADORIAS</t>
        </is>
      </c>
      <c r="S2661" s="59" t="n">
        <v>1130101</v>
      </c>
      <c r="T2661" s="59" t="inlineStr">
        <is>
          <t>MERCADORIAS P/REVENDA</t>
        </is>
      </c>
      <c r="U2661" s="59" t="n">
        <v>704.89</v>
      </c>
      <c r="W2661" s="59" t="n">
        <v>0</v>
      </c>
      <c r="X2661" s="59" t="inlineStr">
        <is>
          <t>NF 21714-3 MILKA</t>
        </is>
      </c>
      <c r="Z2661" s="59">
        <f>IF($T2661="","",IFERROR(INDEX('Resumo Grupos'!$AC$3:$AC$200,MATCH($T2661,'Resumo Grupos'!$AB$3:$AB$200,0)),"n/d"))</f>
        <v/>
      </c>
      <c r="AA2661" s="59">
        <f>IF($T2661="","",IF(COUNTIF('Resumo Grupos'!$AE$3:$AE$40,$T2661)&gt;0,"NAO","SIM"))</f>
        <v/>
      </c>
    </row>
    <row r="2662" ht="12.75" customHeight="1" s="60">
      <c r="A2662" s="59" t="n">
        <v>1</v>
      </c>
      <c r="B2662" s="82" t="n">
        <v>46255</v>
      </c>
      <c r="C2662" s="82" t="n">
        <v>46292</v>
      </c>
      <c r="D2662" s="59" t="n">
        <v>1711</v>
      </c>
      <c r="E2662" s="59" t="inlineStr">
        <is>
          <t>J. A. F. DE LIMA</t>
        </is>
      </c>
      <c r="F2662" s="59" t="n">
        <v>24</v>
      </c>
      <c r="G2662" s="59" t="inlineStr">
        <is>
          <t>Compra a Prazo - Boletos</t>
        </is>
      </c>
      <c r="H2662" s="59" t="n">
        <v>2110405</v>
      </c>
      <c r="I2662" s="59" t="inlineStr">
        <is>
          <t>CONTAS A PAGAR</t>
        </is>
      </c>
      <c r="J2662" s="59" t="n">
        <v>1581907</v>
      </c>
      <c r="L2662" s="59" t="n">
        <v>160299</v>
      </c>
      <c r="M2662" s="59" t="inlineStr">
        <is>
          <t>04</t>
        </is>
      </c>
      <c r="N2662" s="59" t="inlineStr">
        <is>
          <t>AVU</t>
        </is>
      </c>
      <c r="P2662" s="59" t="n">
        <v>103</v>
      </c>
      <c r="Q2662" s="59" t="inlineStr">
        <is>
          <t>MILKA FRANCIS</t>
        </is>
      </c>
      <c r="R2662" s="59" t="inlineStr">
        <is>
          <t>ESTOQUE DE MERCADORIAS</t>
        </is>
      </c>
      <c r="S2662" s="59" t="n">
        <v>1130101</v>
      </c>
      <c r="T2662" s="59" t="inlineStr">
        <is>
          <t>MERCADORIAS P/REVENDA</t>
        </is>
      </c>
      <c r="U2662" s="59" t="n">
        <v>1127.55</v>
      </c>
      <c r="W2662" s="59" t="n">
        <v>0</v>
      </c>
      <c r="X2662" s="59" t="inlineStr">
        <is>
          <t>NF 160299-4 MILKA</t>
        </is>
      </c>
      <c r="Z2662" s="59">
        <f>IF($T2662="","",IFERROR(INDEX('Resumo Grupos'!$AC$3:$AC$200,MATCH($T2662,'Resumo Grupos'!$AB$3:$AB$200,0)),"n/d"))</f>
        <v/>
      </c>
      <c r="AA2662" s="59">
        <f>IF($T2662="","",IF(COUNTIF('Resumo Grupos'!$AE$3:$AE$40,$T2662)&gt;0,"NAO","SIM"))</f>
        <v/>
      </c>
    </row>
    <row r="2663" ht="12.75" customHeight="1" s="60">
      <c r="A2663" s="59" t="n">
        <v>1</v>
      </c>
      <c r="B2663" s="82" t="n">
        <v>46228</v>
      </c>
      <c r="C2663" s="82" t="n">
        <v>46293</v>
      </c>
      <c r="D2663" s="59" t="n">
        <v>515</v>
      </c>
      <c r="E2663" s="59" t="inlineStr">
        <is>
          <t>ITAU SA</t>
        </is>
      </c>
      <c r="F2663" s="59" t="n">
        <v>34</v>
      </c>
      <c r="G2663" s="59" t="inlineStr">
        <is>
          <t>Transferencia Pix</t>
        </is>
      </c>
      <c r="H2663" s="59" t="n">
        <v>1110202</v>
      </c>
      <c r="I2663" s="59" t="inlineStr">
        <is>
          <t>BANCO ITAU Lj 01</t>
        </is>
      </c>
      <c r="J2663" s="59" t="n">
        <v>1449535</v>
      </c>
      <c r="L2663" s="59" t="n">
        <v>596258</v>
      </c>
      <c r="M2663" s="59" t="inlineStr">
        <is>
          <t>03</t>
        </is>
      </c>
      <c r="N2663" s="59" t="inlineStr">
        <is>
          <t>AVU</t>
        </is>
      </c>
      <c r="P2663" s="59" t="n">
        <v>101</v>
      </c>
      <c r="Q2663" s="59" t="inlineStr">
        <is>
          <t>KEILA LIMA</t>
        </is>
      </c>
      <c r="R2663" s="59" t="inlineStr">
        <is>
          <t>DESPESAS NAO OPERACIONAIS</t>
        </is>
      </c>
      <c r="S2663" s="59" t="n">
        <v>4220199</v>
      </c>
      <c r="T2663" s="59" t="inlineStr">
        <is>
          <t>PAGAMENTOS OUTROS NAO OPERACIONAIS</t>
        </is>
      </c>
      <c r="U2663" s="59" t="n">
        <v>3853.23</v>
      </c>
      <c r="W2663" s="59" t="n">
        <v>0</v>
      </c>
      <c r="X2663" s="59" t="inlineStr">
        <is>
          <t xml:space="preserve">NAO SOMAR PARC 19/36 PL ROGER E RENATO </t>
        </is>
      </c>
      <c r="Z2663" s="59">
        <f>IF($T2663="","",IFERROR(INDEX('Resumo Grupos'!$AC$3:$AC$200,MATCH($T2663,'Resumo Grupos'!$AB$3:$AB$200,0)),"n/d"))</f>
        <v/>
      </c>
      <c r="AA2663" s="59">
        <f>IF($T2663="","",IF(COUNTIF('Resumo Grupos'!$AE$3:$AE$40,$T2663)&gt;0,"NAO","SIM"))</f>
        <v/>
      </c>
    </row>
    <row r="2664" ht="12.75" customHeight="1" s="60">
      <c r="A2664" s="59" t="n">
        <v>1</v>
      </c>
      <c r="B2664" s="82" t="n">
        <v>46232</v>
      </c>
      <c r="C2664" s="82" t="n">
        <v>46295</v>
      </c>
      <c r="D2664" s="59" t="n">
        <v>815</v>
      </c>
      <c r="E2664" s="59" t="inlineStr">
        <is>
          <t xml:space="preserve">ROBSON - ROBINHO </t>
        </is>
      </c>
      <c r="F2664" s="59" t="n">
        <v>34</v>
      </c>
      <c r="G2664" s="59" t="inlineStr">
        <is>
          <t>Transferencia Pix</t>
        </is>
      </c>
      <c r="H2664" s="59" t="n">
        <v>1110202</v>
      </c>
      <c r="I2664" s="59" t="inlineStr">
        <is>
          <t>BANCO ITAU Lj 01</t>
        </is>
      </c>
      <c r="J2664" s="59" t="n">
        <v>1470128</v>
      </c>
      <c r="L2664" s="59" t="n">
        <v>604118</v>
      </c>
      <c r="M2664" s="59" t="inlineStr">
        <is>
          <t>02</t>
        </is>
      </c>
      <c r="N2664" s="59" t="inlineStr">
        <is>
          <t>AVU</t>
        </is>
      </c>
      <c r="P2664" s="59" t="n">
        <v>101</v>
      </c>
      <c r="Q2664" s="59" t="inlineStr">
        <is>
          <t>KEILA LIMA</t>
        </is>
      </c>
      <c r="R2664" s="59" t="inlineStr">
        <is>
          <t>DESPESAS FINANCEIRAS</t>
        </is>
      </c>
      <c r="S2664" s="59" t="n">
        <v>4210502</v>
      </c>
      <c r="T2664" s="59" t="inlineStr">
        <is>
          <t>JUROS S/ EMPRESTIMOS</t>
        </is>
      </c>
      <c r="U2664" s="59" t="n">
        <v>1000</v>
      </c>
      <c r="W2664" s="59" t="n">
        <v>0</v>
      </c>
      <c r="X2664" s="59" t="inlineStr">
        <is>
          <t>JUROS DO EMPRESTIMO ROBSON P MO1 50MIL 1% AO MES - KEILA</t>
        </is>
      </c>
      <c r="Z2664" s="59">
        <f>IF($T2664="","",IFERROR(INDEX('Resumo Grupos'!$AC$3:$AC$200,MATCH($T2664,'Resumo Grupos'!$AB$3:$AB$200,0)),"n/d"))</f>
        <v/>
      </c>
      <c r="AA2664" s="59">
        <f>IF($T2664="","",IF(COUNTIF('Resumo Grupos'!$AE$3:$AE$40,$T2664)&gt;0,"NAO","SIM"))</f>
        <v/>
      </c>
    </row>
    <row r="2665" ht="12.75" customHeight="1" s="60">
      <c r="A2665" s="59" t="n">
        <v>1</v>
      </c>
      <c r="B2665" s="82" t="n">
        <v>46240</v>
      </c>
      <c r="C2665" s="82" t="n">
        <v>46298</v>
      </c>
      <c r="D2665" s="59" t="n">
        <v>557</v>
      </c>
      <c r="E2665" s="59" t="inlineStr">
        <is>
          <t xml:space="preserve">CONTA VIVO </t>
        </is>
      </c>
      <c r="F2665" s="59" t="n">
        <v>34</v>
      </c>
      <c r="G2665" s="59" t="inlineStr">
        <is>
          <t>Transferencia Pix</t>
        </is>
      </c>
      <c r="H2665" s="59" t="n">
        <v>2110405</v>
      </c>
      <c r="I2665" s="59" t="inlineStr">
        <is>
          <t>CONTAS A PAGAR</t>
        </is>
      </c>
      <c r="J2665" s="59" t="n">
        <v>1122744</v>
      </c>
      <c r="L2665" s="59" t="n">
        <v>469459</v>
      </c>
      <c r="M2665" s="59" t="inlineStr">
        <is>
          <t>07</t>
        </is>
      </c>
      <c r="N2665" s="59" t="inlineStr">
        <is>
          <t>AVU</t>
        </is>
      </c>
      <c r="P2665" s="59" t="n">
        <v>102</v>
      </c>
      <c r="Q2665" s="59" t="inlineStr">
        <is>
          <t>ANDREZA ANDRADE</t>
        </is>
      </c>
      <c r="R2665" s="59" t="inlineStr">
        <is>
          <t>DESPESAS OPERACIONAIS</t>
        </is>
      </c>
      <c r="S2665" s="59" t="n">
        <v>4210206</v>
      </c>
      <c r="T2665" s="59" t="inlineStr">
        <is>
          <t>TELEFONE</t>
        </is>
      </c>
      <c r="U2665" s="59" t="n">
        <v>258.62</v>
      </c>
      <c r="W2665" s="59" t="n">
        <v>0</v>
      </c>
      <c r="X2665" s="59" t="inlineStr">
        <is>
          <t>VIVO MO1 -ANDREZA</t>
        </is>
      </c>
      <c r="Z2665" s="59">
        <f>IF($T2665="","",IFERROR(INDEX('Resumo Grupos'!$AC$3:$AC$200,MATCH($T2665,'Resumo Grupos'!$AB$3:$AB$200,0)),"n/d"))</f>
        <v/>
      </c>
      <c r="AA2665" s="59">
        <f>IF($T2665="","",IF(COUNTIF('Resumo Grupos'!$AE$3:$AE$40,$T2665)&gt;0,"NAO","SIM"))</f>
        <v/>
      </c>
    </row>
    <row r="2666" ht="12.75" customHeight="1" s="60">
      <c r="A2666" s="59" t="n">
        <v>1</v>
      </c>
      <c r="B2666" s="82" t="n">
        <v>46238</v>
      </c>
      <c r="C2666" s="82" t="n">
        <v>46299</v>
      </c>
      <c r="D2666" s="59" t="n">
        <v>862</v>
      </c>
      <c r="E2666" s="59" t="inlineStr">
        <is>
          <t>ACL REPARACAO E TECNOLOGIA DA INFORMACAO LTDA</t>
        </is>
      </c>
      <c r="F2666" s="59" t="n">
        <v>24</v>
      </c>
      <c r="G2666" s="59" t="inlineStr">
        <is>
          <t>Compra a Prazo - Boletos</t>
        </is>
      </c>
      <c r="H2666" s="59" t="n">
        <v>2110405</v>
      </c>
      <c r="I2666" s="59" t="inlineStr">
        <is>
          <t>CONTAS A PAGAR</t>
        </is>
      </c>
      <c r="J2666" s="59" t="n">
        <v>1498819</v>
      </c>
      <c r="L2666" s="59" t="n">
        <v>614572</v>
      </c>
      <c r="M2666" s="59" t="inlineStr">
        <is>
          <t>03</t>
        </is>
      </c>
      <c r="N2666" s="59" t="inlineStr">
        <is>
          <t>AVU</t>
        </is>
      </c>
      <c r="P2666" s="59" t="n">
        <v>101</v>
      </c>
      <c r="Q2666" s="59" t="inlineStr">
        <is>
          <t>KEILA LIMA</t>
        </is>
      </c>
      <c r="R2666" s="59" t="inlineStr">
        <is>
          <t>DESPESAS OPERACIONAIS</t>
        </is>
      </c>
      <c r="S2666" s="59" t="n">
        <v>4210233</v>
      </c>
      <c r="T2666" s="59" t="inlineStr">
        <is>
          <t>MENSALIDADE TI</t>
        </is>
      </c>
      <c r="U2666" s="59" t="n">
        <v>270.9</v>
      </c>
      <c r="W2666" s="59" t="n">
        <v>0</v>
      </c>
      <c r="X2666" s="59" t="inlineStr">
        <is>
          <t>MENSALIDADE DO TI RUAN MO1 - KEILA</t>
        </is>
      </c>
      <c r="Z2666" s="59">
        <f>IF($T2666="","",IFERROR(INDEX('Resumo Grupos'!$AC$3:$AC$200,MATCH($T2666,'Resumo Grupos'!$AB$3:$AB$200,0)),"n/d"))</f>
        <v/>
      </c>
      <c r="AA2666" s="59">
        <f>IF($T2666="","",IF(COUNTIF('Resumo Grupos'!$AE$3:$AE$40,$T2666)&gt;0,"NAO","SIM"))</f>
        <v/>
      </c>
    </row>
    <row r="2667" ht="12.75" customHeight="1" s="60">
      <c r="A2667" s="59" t="n">
        <v>1</v>
      </c>
      <c r="B2667" s="82" t="n">
        <v>46185</v>
      </c>
      <c r="C2667" s="82" t="n">
        <v>46300</v>
      </c>
      <c r="D2667" s="59" t="n">
        <v>1768</v>
      </c>
      <c r="E2667" s="59" t="inlineStr">
        <is>
          <t>GOLD SERVICE</t>
        </is>
      </c>
      <c r="F2667" s="59" t="n">
        <v>34</v>
      </c>
      <c r="G2667" s="59" t="inlineStr">
        <is>
          <t>Transferencia Pix</t>
        </is>
      </c>
      <c r="H2667" s="59" t="n">
        <v>1110202</v>
      </c>
      <c r="I2667" s="59" t="inlineStr">
        <is>
          <t>BANCO ITAU Lj 01</t>
        </is>
      </c>
      <c r="J2667" s="59" t="n">
        <v>1240158</v>
      </c>
      <c r="L2667" s="59" t="n">
        <v>515079</v>
      </c>
      <c r="M2667" s="59" t="inlineStr">
        <is>
          <t>04</t>
        </is>
      </c>
      <c r="N2667" s="59" t="inlineStr">
        <is>
          <t>AVU</t>
        </is>
      </c>
      <c r="P2667" s="59" t="n">
        <v>102</v>
      </c>
      <c r="Q2667" s="59" t="inlineStr">
        <is>
          <t>ANDREZA ANDRADE</t>
        </is>
      </c>
      <c r="R2667" s="59" t="inlineStr">
        <is>
          <t>DESPESAS OPERACIONAIS</t>
        </is>
      </c>
      <c r="S2667" s="59" t="n">
        <v>4210202</v>
      </c>
      <c r="T2667" s="59" t="inlineStr">
        <is>
          <t>HONORARIOS CONTABEIS</t>
        </is>
      </c>
      <c r="U2667" s="59" t="n">
        <v>2431.5</v>
      </c>
      <c r="W2667" s="59" t="n">
        <v>0</v>
      </c>
      <c r="X2667" s="59" t="inlineStr">
        <is>
          <t>MENSALIDADE GOLD MO1-ANDREZA</t>
        </is>
      </c>
      <c r="Z2667" s="59">
        <f>IF($T2667="","",IFERROR(INDEX('Resumo Grupos'!$AC$3:$AC$200,MATCH($T2667,'Resumo Grupos'!$AB$3:$AB$200,0)),"n/d"))</f>
        <v/>
      </c>
      <c r="AA2667" s="59">
        <f>IF($T2667="","",IF(COUNTIF('Resumo Grupos'!$AE$3:$AE$40,$T2667)&gt;0,"NAO","SIM"))</f>
        <v/>
      </c>
    </row>
    <row r="2668" ht="12.75" customHeight="1" s="60">
      <c r="A2668" s="59" t="n">
        <v>1</v>
      </c>
      <c r="B2668" s="82" t="n">
        <v>46228</v>
      </c>
      <c r="C2668" s="82" t="n">
        <v>46300</v>
      </c>
      <c r="D2668" s="59" t="n">
        <v>1061</v>
      </c>
      <c r="E2668" s="59" t="inlineStr">
        <is>
          <t xml:space="preserve">ELIANA SILVA DE OLIVEIRA </t>
        </is>
      </c>
      <c r="F2668" s="59" t="n">
        <v>34</v>
      </c>
      <c r="G2668" s="59" t="inlineStr">
        <is>
          <t>Transferencia Pix</t>
        </is>
      </c>
      <c r="H2668" s="59" t="n">
        <v>1110202</v>
      </c>
      <c r="I2668" s="59" t="inlineStr">
        <is>
          <t>BANCO ITAU Lj 01</t>
        </is>
      </c>
      <c r="J2668" s="59" t="n">
        <v>1448839</v>
      </c>
      <c r="L2668" s="59" t="n">
        <v>596058</v>
      </c>
      <c r="M2668" s="59" t="inlineStr">
        <is>
          <t>03</t>
        </is>
      </c>
      <c r="N2668" s="59" t="inlineStr">
        <is>
          <t>AVU</t>
        </is>
      </c>
      <c r="P2668" s="59" t="n">
        <v>101</v>
      </c>
      <c r="Q2668" s="59" t="inlineStr">
        <is>
          <t>KEILA LIMA</t>
        </is>
      </c>
      <c r="R2668" s="59" t="inlineStr">
        <is>
          <t>DESPESAS NAO OPERACIONAIS</t>
        </is>
      </c>
      <c r="S2668" s="59" t="n">
        <v>4220199</v>
      </c>
      <c r="T2668" s="59" t="inlineStr">
        <is>
          <t>PAGAMENTOS OUTROS NAO OPERACIONAIS</t>
        </is>
      </c>
      <c r="U2668" s="59" t="n">
        <v>1500</v>
      </c>
      <c r="W2668" s="59" t="n">
        <v>0</v>
      </c>
      <c r="X2668" s="59" t="inlineStr">
        <is>
          <t>SALARIO ELIANA LOJAS - ESO - KEILA</t>
        </is>
      </c>
      <c r="Z2668" s="59">
        <f>IF($T2668="","",IFERROR(INDEX('Resumo Grupos'!$AC$3:$AC$200,MATCH($T2668,'Resumo Grupos'!$AB$3:$AB$200,0)),"n/d"))</f>
        <v/>
      </c>
      <c r="AA2668" s="59">
        <f>IF($T2668="","",IF(COUNTIF('Resumo Grupos'!$AE$3:$AE$40,$T2668)&gt;0,"NAO","SIM"))</f>
        <v/>
      </c>
    </row>
    <row r="2669" ht="12.75" customHeight="1" s="60">
      <c r="A2669" s="59" t="n">
        <v>1</v>
      </c>
      <c r="B2669" s="82" t="n">
        <v>46228</v>
      </c>
      <c r="C2669" s="82" t="n">
        <v>46300</v>
      </c>
      <c r="D2669" s="59" t="n">
        <v>16</v>
      </c>
      <c r="E2669" s="59" t="inlineStr">
        <is>
          <t>RENATO DE OLIVEIRA AZEVEDO</t>
        </is>
      </c>
      <c r="F2669" s="59" t="n">
        <v>34</v>
      </c>
      <c r="G2669" s="59" t="inlineStr">
        <is>
          <t>Transferencia Pix</t>
        </is>
      </c>
      <c r="H2669" s="59" t="n">
        <v>2110405</v>
      </c>
      <c r="I2669" s="59" t="inlineStr">
        <is>
          <t>CONTAS A PAGAR</t>
        </is>
      </c>
      <c r="J2669" s="59" t="n">
        <v>1448856</v>
      </c>
      <c r="L2669" s="59" t="n">
        <v>596062</v>
      </c>
      <c r="M2669" s="59" t="inlineStr">
        <is>
          <t>03</t>
        </is>
      </c>
      <c r="N2669" s="59" t="inlineStr">
        <is>
          <t>AVU</t>
        </is>
      </c>
      <c r="P2669" s="59" t="n">
        <v>101</v>
      </c>
      <c r="Q2669" s="59" t="inlineStr">
        <is>
          <t>KEILA LIMA</t>
        </is>
      </c>
      <c r="R2669" s="59" t="inlineStr">
        <is>
          <t>DESPESAS COM PESSOAL</t>
        </is>
      </c>
      <c r="S2669" s="59" t="n">
        <v>4210301</v>
      </c>
      <c r="T2669" s="59" t="inlineStr">
        <is>
          <t>SALARIOS</t>
        </is>
      </c>
      <c r="U2669" s="59" t="n">
        <v>500</v>
      </c>
      <c r="W2669" s="59" t="n">
        <v>0</v>
      </c>
      <c r="X2669" s="59" t="inlineStr">
        <is>
          <t>PG SALARIO 09/26 RENATO MO1 - KEILA</t>
        </is>
      </c>
      <c r="Z2669" s="59">
        <f>IF($T2669="","",IFERROR(INDEX('Resumo Grupos'!$AC$3:$AC$200,MATCH($T2669,'Resumo Grupos'!$AB$3:$AB$200,0)),"n/d"))</f>
        <v/>
      </c>
      <c r="AA2669" s="59">
        <f>IF($T2669="","",IF(COUNTIF('Resumo Grupos'!$AE$3:$AE$40,$T2669)&gt;0,"NAO","SIM"))</f>
        <v/>
      </c>
    </row>
    <row r="2670" ht="12.75" customHeight="1" s="60">
      <c r="A2670" s="59" t="n">
        <v>1</v>
      </c>
      <c r="B2670" s="82" t="n">
        <v>46232</v>
      </c>
      <c r="C2670" s="82" t="n">
        <v>46300</v>
      </c>
      <c r="D2670" s="59" t="n">
        <v>714</v>
      </c>
      <c r="E2670" s="59" t="inlineStr">
        <is>
          <t>CARMEM ELIZA</t>
        </is>
      </c>
      <c r="F2670" s="59" t="n">
        <v>34</v>
      </c>
      <c r="G2670" s="59" t="inlineStr">
        <is>
          <t>Transferencia Pix</t>
        </is>
      </c>
      <c r="H2670" s="59" t="n">
        <v>2110405</v>
      </c>
      <c r="I2670" s="59" t="inlineStr">
        <is>
          <t>CONTAS A PAGAR</t>
        </is>
      </c>
      <c r="J2670" s="59" t="n">
        <v>1470158</v>
      </c>
      <c r="L2670" s="59" t="n">
        <v>604127</v>
      </c>
      <c r="M2670" s="59" t="inlineStr">
        <is>
          <t>03</t>
        </is>
      </c>
      <c r="N2670" s="59" t="inlineStr">
        <is>
          <t>AVU</t>
        </is>
      </c>
      <c r="P2670" s="59" t="n">
        <v>101</v>
      </c>
      <c r="Q2670" s="59" t="inlineStr">
        <is>
          <t>KEILA LIMA</t>
        </is>
      </c>
      <c r="R2670" s="59" t="inlineStr">
        <is>
          <t>DESPESAS NAO OPERACIONAIS</t>
        </is>
      </c>
      <c r="S2670" s="59" t="n">
        <v>4220199</v>
      </c>
      <c r="T2670" s="59" t="inlineStr">
        <is>
          <t>PAGAMENTOS OUTROS NAO OPERACIONAIS</t>
        </is>
      </c>
      <c r="U2670" s="59" t="n">
        <v>6150</v>
      </c>
      <c r="W2670" s="59" t="n">
        <v>0</v>
      </c>
      <c r="X2670" s="59" t="inlineStr">
        <is>
          <t xml:space="preserve">ALUGUEL NAO SOMAR MO1 </t>
        </is>
      </c>
      <c r="Z2670" s="59">
        <f>IF($T2670="","",IFERROR(INDEX('Resumo Grupos'!$AC$3:$AC$200,MATCH($T2670,'Resumo Grupos'!$AB$3:$AB$200,0)),"n/d"))</f>
        <v/>
      </c>
      <c r="AA2670" s="59">
        <f>IF($T2670="","",IF(COUNTIF('Resumo Grupos'!$AE$3:$AE$40,$T2670)&gt;0,"NAO","SIM"))</f>
        <v/>
      </c>
    </row>
    <row r="2671" ht="12.75" customHeight="1" s="60">
      <c r="A2671" s="59" t="n">
        <v>1</v>
      </c>
      <c r="B2671" s="82" t="n">
        <v>46239</v>
      </c>
      <c r="C2671" s="82" t="n">
        <v>46300</v>
      </c>
      <c r="D2671" s="59" t="n">
        <v>17</v>
      </c>
      <c r="E2671" s="59" t="inlineStr">
        <is>
          <t>NEYLIANE SILVA DE OLIVEIRA</t>
        </is>
      </c>
      <c r="F2671" s="59" t="n">
        <v>24</v>
      </c>
      <c r="G2671" s="59" t="inlineStr">
        <is>
          <t>Compra a Prazo - Boletos</t>
        </is>
      </c>
      <c r="H2671" s="59" t="n">
        <v>1110202</v>
      </c>
      <c r="I2671" s="59" t="inlineStr">
        <is>
          <t>BANCO ITAU Lj 01</t>
        </is>
      </c>
      <c r="J2671" s="59" t="n">
        <v>1359969</v>
      </c>
      <c r="L2671" s="59" t="n">
        <v>561604</v>
      </c>
      <c r="M2671" s="59" t="inlineStr">
        <is>
          <t>04</t>
        </is>
      </c>
      <c r="N2671" s="59" t="inlineStr">
        <is>
          <t>AVU</t>
        </is>
      </c>
      <c r="P2671" s="59" t="n">
        <v>102</v>
      </c>
      <c r="Q2671" s="59" t="inlineStr">
        <is>
          <t>ANDREZA ANDRADE</t>
        </is>
      </c>
      <c r="R2671" s="59" t="inlineStr">
        <is>
          <t>DESPESAS NAO OPERACIONAIS</t>
        </is>
      </c>
      <c r="S2671" s="59" t="n">
        <v>4220199</v>
      </c>
      <c r="T2671" s="59" t="inlineStr">
        <is>
          <t>PAGAMENTOS OUTROS NAO OPERACIONAIS</t>
        </is>
      </c>
      <c r="U2671" s="59" t="n">
        <v>631.05</v>
      </c>
      <c r="W2671" s="59" t="n">
        <v>0</v>
      </c>
      <c r="X2671" s="59" t="inlineStr">
        <is>
          <t>PL NEILA CONDOMINIO - ANDREZA</t>
        </is>
      </c>
      <c r="Z2671" s="59">
        <f>IF($T2671="","",IFERROR(INDEX('Resumo Grupos'!$AC$3:$AC$200,MATCH($T2671,'Resumo Grupos'!$AB$3:$AB$200,0)),"n/d"))</f>
        <v/>
      </c>
      <c r="AA2671" s="59">
        <f>IF($T2671="","",IF(COUNTIF('Resumo Grupos'!$AE$3:$AE$40,$T2671)&gt;0,"NAO","SIM"))</f>
        <v/>
      </c>
    </row>
    <row r="2672" ht="12.75" customHeight="1" s="60">
      <c r="A2672" s="59" t="n">
        <v>1</v>
      </c>
      <c r="B2672" s="82" t="n">
        <v>46242</v>
      </c>
      <c r="C2672" s="82" t="n">
        <v>46300</v>
      </c>
      <c r="D2672" s="59" t="n">
        <v>957</v>
      </c>
      <c r="E2672" s="59" t="inlineStr">
        <is>
          <t>FUNNY PET DISTRIBUIDORA DE ALIMENTOS PAR</t>
        </is>
      </c>
      <c r="F2672" s="59" t="n">
        <v>24</v>
      </c>
      <c r="G2672" s="59" t="inlineStr">
        <is>
          <t>Compra a Prazo - Boletos</t>
        </is>
      </c>
      <c r="H2672" s="59" t="n">
        <v>2110405</v>
      </c>
      <c r="I2672" s="59" t="inlineStr">
        <is>
          <t>CONTAS A PAGAR</t>
        </is>
      </c>
      <c r="J2672" s="59" t="n">
        <v>1517801</v>
      </c>
      <c r="L2672" s="59" t="n">
        <v>21578</v>
      </c>
      <c r="M2672" s="59" t="inlineStr">
        <is>
          <t>04</t>
        </is>
      </c>
      <c r="N2672" s="59" t="inlineStr">
        <is>
          <t>AVU</t>
        </is>
      </c>
      <c r="P2672" s="59" t="n">
        <v>103</v>
      </c>
      <c r="Q2672" s="59" t="inlineStr">
        <is>
          <t>MILKA FRANCIS</t>
        </is>
      </c>
      <c r="R2672" s="59" t="inlineStr">
        <is>
          <t>ESTOQUE DE MERCADORIAS</t>
        </is>
      </c>
      <c r="S2672" s="59" t="n">
        <v>1130101</v>
      </c>
      <c r="T2672" s="59" t="inlineStr">
        <is>
          <t>MERCADORIAS P/REVENDA</t>
        </is>
      </c>
      <c r="U2672" s="59" t="n">
        <v>3429</v>
      </c>
      <c r="W2672" s="59" t="n">
        <v>0</v>
      </c>
      <c r="X2672" s="59" t="inlineStr">
        <is>
          <t>NF 21578-4 MILKA</t>
        </is>
      </c>
      <c r="Z2672" s="59">
        <f>IF($T2672="","",IFERROR(INDEX('Resumo Grupos'!$AC$3:$AC$200,MATCH($T2672,'Resumo Grupos'!$AB$3:$AB$200,0)),"n/d"))</f>
        <v/>
      </c>
      <c r="AA2672" s="59">
        <f>IF($T2672="","",IF(COUNTIF('Resumo Grupos'!$AE$3:$AE$40,$T2672)&gt;0,"NAO","SIM"))</f>
        <v/>
      </c>
    </row>
    <row r="2673" ht="12.75" customHeight="1" s="60">
      <c r="A2673" s="59" t="n">
        <v>1</v>
      </c>
      <c r="B2673" s="82" t="n">
        <v>46244</v>
      </c>
      <c r="C2673" s="82" t="n">
        <v>46300</v>
      </c>
      <c r="D2673" s="59" t="n">
        <v>1061</v>
      </c>
      <c r="E2673" s="59" t="inlineStr">
        <is>
          <t xml:space="preserve">ELIANA SILVA DE OLIVEIRA </t>
        </is>
      </c>
      <c r="F2673" s="59" t="n">
        <v>34</v>
      </c>
      <c r="G2673" s="59" t="inlineStr">
        <is>
          <t>Transferencia Pix</t>
        </is>
      </c>
      <c r="H2673" s="59" t="n">
        <v>2110405</v>
      </c>
      <c r="I2673" s="59" t="inlineStr">
        <is>
          <t>CONTAS A PAGAR</t>
        </is>
      </c>
      <c r="J2673" s="59" t="n">
        <v>1448819</v>
      </c>
      <c r="L2673" s="59" t="n">
        <v>596052</v>
      </c>
      <c r="M2673" s="59" t="inlineStr">
        <is>
          <t>04</t>
        </is>
      </c>
      <c r="N2673" s="59" t="inlineStr">
        <is>
          <t>AVU</t>
        </is>
      </c>
      <c r="P2673" s="59" t="n">
        <v>101</v>
      </c>
      <c r="Q2673" s="59" t="inlineStr">
        <is>
          <t>KEILA LIMA</t>
        </is>
      </c>
      <c r="R2673" s="59" t="inlineStr">
        <is>
          <t>DESPESAS COM PESSOAL</t>
        </is>
      </c>
      <c r="S2673" s="59" t="n">
        <v>4210301</v>
      </c>
      <c r="T2673" s="59" t="inlineStr">
        <is>
          <t>SALARIOS</t>
        </is>
      </c>
      <c r="U2673" s="59" t="n">
        <v>750.97</v>
      </c>
      <c r="W2673" s="59" t="n">
        <v>0</v>
      </c>
      <c r="X2673" s="59" t="inlineStr">
        <is>
          <t>PAG SALARIO MO1 PARTE 09/26 - KEILA</t>
        </is>
      </c>
      <c r="Z2673" s="59">
        <f>IF($T2673="","",IFERROR(INDEX('Resumo Grupos'!$AC$3:$AC$200,MATCH($T2673,'Resumo Grupos'!$AB$3:$AB$200,0)),"n/d"))</f>
        <v/>
      </c>
      <c r="AA2673" s="59">
        <f>IF($T2673="","",IF(COUNTIF('Resumo Grupos'!$AE$3:$AE$40,$T2673)&gt;0,"NAO","SIM"))</f>
        <v/>
      </c>
    </row>
    <row r="2674" ht="12.75" customHeight="1" s="60">
      <c r="A2674" s="59" t="n">
        <v>1</v>
      </c>
      <c r="B2674" s="82" t="n">
        <v>46247</v>
      </c>
      <c r="C2674" s="82" t="n">
        <v>46300</v>
      </c>
      <c r="D2674" s="59" t="n">
        <v>714</v>
      </c>
      <c r="E2674" s="59" t="inlineStr">
        <is>
          <t>CARMEM ELIZA</t>
        </is>
      </c>
      <c r="F2674" s="59" t="n">
        <v>34</v>
      </c>
      <c r="G2674" s="59" t="inlineStr">
        <is>
          <t>Transferencia Pix</t>
        </is>
      </c>
      <c r="H2674" s="59" t="n">
        <v>2110405</v>
      </c>
      <c r="I2674" s="59" t="inlineStr">
        <is>
          <t>CONTAS A PAGAR</t>
        </is>
      </c>
      <c r="J2674" s="59" t="n">
        <v>1207135</v>
      </c>
      <c r="L2674" s="59" t="n">
        <v>502146</v>
      </c>
      <c r="M2674" s="59" t="inlineStr">
        <is>
          <t>05</t>
        </is>
      </c>
      <c r="N2674" s="59" t="inlineStr">
        <is>
          <t>AVU</t>
        </is>
      </c>
      <c r="P2674" s="59" t="n">
        <v>101</v>
      </c>
      <c r="Q2674" s="59" t="inlineStr">
        <is>
          <t>KEILA LIMA</t>
        </is>
      </c>
      <c r="R2674" s="59" t="inlineStr">
        <is>
          <t>DESPESAS COMERCIAIS</t>
        </is>
      </c>
      <c r="S2674" s="59" t="n">
        <v>4210111</v>
      </c>
      <c r="T2674" s="59" t="inlineStr">
        <is>
          <t>ALUGUEIS PAGOS A PF</t>
        </is>
      </c>
      <c r="U2674" s="59" t="n">
        <v>3000</v>
      </c>
      <c r="W2674" s="59" t="n">
        <v>0</v>
      </c>
      <c r="X2674" s="59" t="inlineStr">
        <is>
          <t xml:space="preserve">ALUGUEL MO1 - </t>
        </is>
      </c>
      <c r="Z2674" s="59">
        <f>IF($T2674="","",IFERROR(INDEX('Resumo Grupos'!$AC$3:$AC$200,MATCH($T2674,'Resumo Grupos'!$AB$3:$AB$200,0)),"n/d"))</f>
        <v/>
      </c>
      <c r="AA2674" s="59">
        <f>IF($T2674="","",IF(COUNTIF('Resumo Grupos'!$AE$3:$AE$40,$T2674)&gt;0,"NAO","SIM"))</f>
        <v/>
      </c>
    </row>
    <row r="2675" ht="12.75" customHeight="1" s="60">
      <c r="A2675" s="59" t="n">
        <v>1</v>
      </c>
      <c r="B2675" s="82" t="n">
        <v>46247</v>
      </c>
      <c r="C2675" s="82" t="n">
        <v>46300</v>
      </c>
      <c r="D2675" s="59" t="n">
        <v>16</v>
      </c>
      <c r="E2675" s="59" t="inlineStr">
        <is>
          <t>RENATO DE OLIVEIRA AZEVEDO</t>
        </is>
      </c>
      <c r="F2675" s="59" t="n">
        <v>34</v>
      </c>
      <c r="G2675" s="59" t="inlineStr">
        <is>
          <t>Transferencia Pix</t>
        </is>
      </c>
      <c r="H2675" s="59" t="n">
        <v>2110405</v>
      </c>
      <c r="I2675" s="59" t="inlineStr">
        <is>
          <t>CONTAS A PAGAR</t>
        </is>
      </c>
      <c r="J2675" s="59" t="n">
        <v>1207139</v>
      </c>
      <c r="L2675" s="59" t="n">
        <v>502148</v>
      </c>
      <c r="M2675" s="59" t="inlineStr">
        <is>
          <t>05</t>
        </is>
      </c>
      <c r="N2675" s="59" t="inlineStr">
        <is>
          <t>AVU</t>
        </is>
      </c>
      <c r="P2675" s="59" t="n">
        <v>101</v>
      </c>
      <c r="Q2675" s="59" t="inlineStr">
        <is>
          <t>KEILA LIMA</t>
        </is>
      </c>
      <c r="R2675" s="59" t="inlineStr">
        <is>
          <t>DESPESAS NAO OPERACIONAIS</t>
        </is>
      </c>
      <c r="S2675" s="59" t="n">
        <v>4220199</v>
      </c>
      <c r="T2675" s="59" t="inlineStr">
        <is>
          <t>PAGAMENTOS OUTROS NAO OPERACIONAIS</t>
        </is>
      </c>
      <c r="U2675" s="59" t="n">
        <v>350</v>
      </c>
      <c r="W2675" s="59" t="n">
        <v>0</v>
      </c>
      <c r="X2675" s="59" t="inlineStr">
        <is>
          <t>ALUGUEL MO1 NAO SOMAR</t>
        </is>
      </c>
      <c r="Z2675" s="59">
        <f>IF($T2675="","",IFERROR(INDEX('Resumo Grupos'!$AC$3:$AC$200,MATCH($T2675,'Resumo Grupos'!$AB$3:$AB$200,0)),"n/d"))</f>
        <v/>
      </c>
      <c r="AA2675" s="59">
        <f>IF($T2675="","",IF(COUNTIF('Resumo Grupos'!$AE$3:$AE$40,$T2675)&gt;0,"NAO","SIM"))</f>
        <v/>
      </c>
    </row>
    <row r="2676" ht="12.75" customHeight="1" s="60">
      <c r="A2676" s="59" t="n">
        <v>1</v>
      </c>
      <c r="B2676" s="82" t="n">
        <v>46224</v>
      </c>
      <c r="C2676" s="82" t="n">
        <v>46301</v>
      </c>
      <c r="D2676" s="59" t="n">
        <v>607</v>
      </c>
      <c r="E2676" s="59" t="inlineStr">
        <is>
          <t>PRIME PET DISTRIBUIDORA LTDA</t>
        </is>
      </c>
      <c r="F2676" s="59" t="n">
        <v>24</v>
      </c>
      <c r="G2676" s="59" t="inlineStr">
        <is>
          <t>Compra a Prazo - Boletos</t>
        </is>
      </c>
      <c r="H2676" s="59" t="n">
        <v>2110405</v>
      </c>
      <c r="I2676" s="59" t="inlineStr">
        <is>
          <t>CONTAS A PAGAR</t>
        </is>
      </c>
      <c r="J2676" s="59" t="n">
        <v>1429152</v>
      </c>
      <c r="L2676" s="59" t="n">
        <v>11134</v>
      </c>
      <c r="M2676" s="59" t="inlineStr">
        <is>
          <t>06</t>
        </is>
      </c>
      <c r="N2676" s="59" t="inlineStr">
        <is>
          <t>AVU</t>
        </is>
      </c>
      <c r="P2676" s="59" t="n">
        <v>103</v>
      </c>
      <c r="Q2676" s="59" t="inlineStr">
        <is>
          <t>MILKA FRANCIS</t>
        </is>
      </c>
      <c r="R2676" s="59" t="inlineStr">
        <is>
          <t>ESTOQUE DE MERCADORIAS</t>
        </is>
      </c>
      <c r="S2676" s="59" t="n">
        <v>1130101</v>
      </c>
      <c r="T2676" s="59" t="inlineStr">
        <is>
          <t>MERCADORIAS P/REVENDA</t>
        </is>
      </c>
      <c r="U2676" s="59" t="n">
        <v>911.8</v>
      </c>
      <c r="W2676" s="59" t="n">
        <v>0</v>
      </c>
      <c r="X2676" s="59" t="inlineStr">
        <is>
          <t>NF 11134 -06/06  MILKA</t>
        </is>
      </c>
      <c r="Z2676" s="59">
        <f>IF($T2676="","",IFERROR(INDEX('Resumo Grupos'!$AC$3:$AC$200,MATCH($T2676,'Resumo Grupos'!$AB$3:$AB$200,0)),"n/d"))</f>
        <v/>
      </c>
      <c r="AA2676" s="59">
        <f>IF($T2676="","",IF(COUNTIF('Resumo Grupos'!$AE$3:$AE$40,$T2676)&gt;0,"NAO","SIM"))</f>
        <v/>
      </c>
    </row>
    <row r="2677" ht="12.75" customHeight="1" s="60">
      <c r="A2677" s="59" t="n">
        <v>1</v>
      </c>
      <c r="B2677" s="82" t="n">
        <v>46246</v>
      </c>
      <c r="C2677" s="82" t="n">
        <v>46301</v>
      </c>
      <c r="D2677" s="59" t="n">
        <v>17</v>
      </c>
      <c r="E2677" s="59" t="inlineStr">
        <is>
          <t>NEYLIANE SILVA DE OLIVEIRA</t>
        </is>
      </c>
      <c r="F2677" s="59" t="n">
        <v>24</v>
      </c>
      <c r="G2677" s="59" t="inlineStr">
        <is>
          <t>Compra a Prazo - Boletos</t>
        </is>
      </c>
      <c r="H2677" s="59" t="n">
        <v>2110405</v>
      </c>
      <c r="I2677" s="59" t="inlineStr">
        <is>
          <t>CONTAS A PAGAR</t>
        </is>
      </c>
      <c r="J2677" s="59" t="n">
        <v>1323809</v>
      </c>
      <c r="L2677" s="59" t="n">
        <v>548260</v>
      </c>
      <c r="M2677" s="59" t="inlineStr">
        <is>
          <t>04</t>
        </is>
      </c>
      <c r="N2677" s="59" t="inlineStr">
        <is>
          <t>AVU</t>
        </is>
      </c>
      <c r="P2677" s="59" t="n">
        <v>101</v>
      </c>
      <c r="Q2677" s="59" t="inlineStr">
        <is>
          <t>KEILA LIMA</t>
        </is>
      </c>
      <c r="R2677" s="59" t="inlineStr">
        <is>
          <t>DESPESAS NAO OPERACIONAIS</t>
        </is>
      </c>
      <c r="S2677" s="59" t="n">
        <v>4220199</v>
      </c>
      <c r="T2677" s="59" t="inlineStr">
        <is>
          <t>PAGAMENTOS OUTROS NAO OPERACIONAIS</t>
        </is>
      </c>
      <c r="U2677" s="59" t="n">
        <v>800</v>
      </c>
      <c r="W2677" s="59" t="n">
        <v>0</v>
      </c>
      <c r="X2677" s="59" t="inlineStr">
        <is>
          <t>PREVIA PL NEILA ENERGIA - KEILA</t>
        </is>
      </c>
      <c r="Z2677" s="59">
        <f>IF($T2677="","",IFERROR(INDEX('Resumo Grupos'!$AC$3:$AC$200,MATCH($T2677,'Resumo Grupos'!$AB$3:$AB$200,0)),"n/d"))</f>
        <v/>
      </c>
      <c r="AA2677" s="59">
        <f>IF($T2677="","",IF(COUNTIF('Resumo Grupos'!$AE$3:$AE$40,$T2677)&gt;0,"NAO","SIM"))</f>
        <v/>
      </c>
    </row>
    <row r="2678" ht="12.75" customHeight="1" s="60">
      <c r="A2678" s="59" t="n">
        <v>1</v>
      </c>
      <c r="B2678" s="82" t="n">
        <v>46256</v>
      </c>
      <c r="C2678" s="82" t="n">
        <v>46301</v>
      </c>
      <c r="D2678" s="59" t="n">
        <v>607</v>
      </c>
      <c r="E2678" s="59" t="inlineStr">
        <is>
          <t>PRIME PET DISTRIBUIDORA LTDA</t>
        </is>
      </c>
      <c r="F2678" s="59" t="n">
        <v>24</v>
      </c>
      <c r="G2678" s="59" t="inlineStr">
        <is>
          <t>Compra a Prazo - Boletos</t>
        </is>
      </c>
      <c r="H2678" s="59" t="n">
        <v>2110405</v>
      </c>
      <c r="I2678" s="59" t="inlineStr">
        <is>
          <t>CONTAS A PAGAR</t>
        </is>
      </c>
      <c r="J2678" s="59" t="n">
        <v>1585319</v>
      </c>
      <c r="L2678" s="59" t="n">
        <v>11473</v>
      </c>
      <c r="M2678" s="59" t="inlineStr">
        <is>
          <t>03</t>
        </is>
      </c>
      <c r="N2678" s="59" t="inlineStr">
        <is>
          <t>AVU</t>
        </is>
      </c>
      <c r="P2678" s="59" t="n">
        <v>103</v>
      </c>
      <c r="Q2678" s="59" t="inlineStr">
        <is>
          <t>MILKA FRANCIS</t>
        </is>
      </c>
      <c r="R2678" s="59" t="inlineStr">
        <is>
          <t>ESTOQUE DE MERCADORIAS</t>
        </is>
      </c>
      <c r="S2678" s="59" t="n">
        <v>1130101</v>
      </c>
      <c r="T2678" s="59" t="inlineStr">
        <is>
          <t>MERCADORIAS P/REVENDA</t>
        </is>
      </c>
      <c r="U2678" s="59" t="n">
        <v>1969.17</v>
      </c>
      <c r="W2678" s="59" t="n">
        <v>0</v>
      </c>
      <c r="X2678" s="59" t="inlineStr">
        <is>
          <t>NF 11473 -03/11 - MILKA</t>
        </is>
      </c>
      <c r="Z2678" s="59">
        <f>IF($T2678="","",IFERROR(INDEX('Resumo Grupos'!$AC$3:$AC$200,MATCH($T2678,'Resumo Grupos'!$AB$3:$AB$200,0)),"n/d"))</f>
        <v/>
      </c>
      <c r="AA2678" s="59">
        <f>IF($T2678="","",IF(COUNTIF('Resumo Grupos'!$AE$3:$AE$40,$T2678)&gt;0,"NAO","SIM"))</f>
        <v/>
      </c>
    </row>
    <row r="2679" ht="12.75" customHeight="1" s="60">
      <c r="A2679" s="59" t="n">
        <v>1</v>
      </c>
      <c r="B2679" s="82" t="n">
        <v>46029</v>
      </c>
      <c r="C2679" s="82" t="n">
        <v>46305</v>
      </c>
      <c r="D2679" s="59" t="n">
        <v>105</v>
      </c>
      <c r="E2679" s="59" t="inlineStr">
        <is>
          <t>ANDERSON SILVA - BOY</t>
        </is>
      </c>
      <c r="F2679" s="59" t="n">
        <v>46</v>
      </c>
      <c r="G2679" s="59" t="inlineStr">
        <is>
          <t>Cartao Sant 1 Velho 9336 venc 10</t>
        </is>
      </c>
      <c r="H2679" s="59" t="n">
        <v>2110405</v>
      </c>
      <c r="I2679" s="59" t="inlineStr">
        <is>
          <t>CONTAS A PAGAR</t>
        </is>
      </c>
      <c r="J2679" s="59" t="n">
        <v>651504</v>
      </c>
      <c r="L2679" s="59" t="n">
        <v>287048</v>
      </c>
      <c r="M2679" s="59" t="inlineStr">
        <is>
          <t>09</t>
        </is>
      </c>
      <c r="N2679" s="59" t="inlineStr">
        <is>
          <t>AVU</t>
        </is>
      </c>
      <c r="P2679" s="59" t="n">
        <v>101</v>
      </c>
      <c r="Q2679" s="59" t="inlineStr">
        <is>
          <t>KEILA LIMA</t>
        </is>
      </c>
      <c r="R2679" s="59" t="inlineStr">
        <is>
          <t>DESPESAS NAO OPERACIONAIS</t>
        </is>
      </c>
      <c r="S2679" s="59" t="n">
        <v>4220199</v>
      </c>
      <c r="T2679" s="59" t="inlineStr">
        <is>
          <t>PAGAMENTOS OUTROS NAO OPERACIONAIS</t>
        </is>
      </c>
      <c r="U2679" s="59" t="n">
        <v>1567.08</v>
      </c>
      <c r="W2679" s="59" t="n">
        <v>0</v>
      </c>
      <c r="X2679" s="59" t="inlineStr">
        <is>
          <t>COMPRAS FUNC ANDERSON PARC 09/12 - KEILA</t>
        </is>
      </c>
      <c r="Z2679" s="59">
        <f>IF($T2679="","",IFERROR(INDEX('Resumo Grupos'!$AC$3:$AC$200,MATCH($T2679,'Resumo Grupos'!$AB$3:$AB$200,0)),"n/d"))</f>
        <v/>
      </c>
      <c r="AA2679" s="59">
        <f>IF($T2679="","",IF(COUNTIF('Resumo Grupos'!$AE$3:$AE$40,$T2679)&gt;0,"NAO","SIM"))</f>
        <v/>
      </c>
    </row>
    <row r="2680" ht="12.75" customHeight="1" s="60">
      <c r="A2680" s="59" t="n">
        <v>1</v>
      </c>
      <c r="B2680" s="82" t="n">
        <v>46135</v>
      </c>
      <c r="C2680" s="82" t="n">
        <v>46305</v>
      </c>
      <c r="D2680" s="59" t="n">
        <v>1758</v>
      </c>
      <c r="E2680" s="59" t="inlineStr">
        <is>
          <t>DESPESA OPER LOJA</t>
        </is>
      </c>
      <c r="F2680" s="59" t="n">
        <v>46</v>
      </c>
      <c r="G2680" s="59" t="inlineStr">
        <is>
          <t>Cartao Sant 1 Velho 9336 venc 10</t>
        </is>
      </c>
      <c r="H2680" s="59" t="n">
        <v>2110405</v>
      </c>
      <c r="I2680" s="59" t="inlineStr">
        <is>
          <t>CONTAS A PAGAR</t>
        </is>
      </c>
      <c r="J2680" s="59" t="n">
        <v>993744</v>
      </c>
      <c r="L2680" s="59" t="n">
        <v>420093</v>
      </c>
      <c r="M2680" s="59" t="inlineStr">
        <is>
          <t>06</t>
        </is>
      </c>
      <c r="N2680" s="59" t="inlineStr">
        <is>
          <t>AVU</t>
        </is>
      </c>
      <c r="P2680" s="59" t="n">
        <v>101</v>
      </c>
      <c r="Q2680" s="59" t="inlineStr">
        <is>
          <t>KEILA LIMA</t>
        </is>
      </c>
      <c r="R2680" s="59" t="inlineStr">
        <is>
          <t>DESPESAS NAO OPERACIONAIS</t>
        </is>
      </c>
      <c r="S2680" s="59" t="n">
        <v>4220199</v>
      </c>
      <c r="T2680" s="59" t="inlineStr">
        <is>
          <t>PAGAMENTOS OUTROS NAO OPERACIONAIS</t>
        </is>
      </c>
      <c r="U2680" s="59" t="n">
        <v>130</v>
      </c>
      <c r="W2680" s="59" t="n">
        <v>0</v>
      </c>
      <c r="X2680" s="59" t="inlineStr">
        <is>
          <t>OUTROS DESP MO1 FUNCIONARIO PARC 06/06</t>
        </is>
      </c>
      <c r="Z2680" s="59">
        <f>IF($T2680="","",IFERROR(INDEX('Resumo Grupos'!$AC$3:$AC$200,MATCH($T2680,'Resumo Grupos'!$AB$3:$AB$200,0)),"n/d"))</f>
        <v/>
      </c>
      <c r="AA2680" s="59">
        <f>IF($T2680="","",IF(COUNTIF('Resumo Grupos'!$AE$3:$AE$40,$T2680)&gt;0,"NAO","SIM"))</f>
        <v/>
      </c>
    </row>
    <row r="2681" ht="12.75" customHeight="1" s="60">
      <c r="A2681" s="59" t="n">
        <v>1</v>
      </c>
      <c r="B2681" s="82" t="n">
        <v>46204</v>
      </c>
      <c r="C2681" s="82" t="n">
        <v>46305</v>
      </c>
      <c r="D2681" s="59" t="n">
        <v>1008</v>
      </c>
      <c r="E2681" s="59" t="inlineStr">
        <is>
          <t>A5 COMERCIO DE EQUIPAMENTOS LTDA</t>
        </is>
      </c>
      <c r="F2681" s="59" t="n">
        <v>46</v>
      </c>
      <c r="G2681" s="59" t="inlineStr">
        <is>
          <t>Cartao Sant 1 Velho 9336 venc 10</t>
        </is>
      </c>
      <c r="H2681" s="59" t="n">
        <v>2110405</v>
      </c>
      <c r="I2681" s="59" t="inlineStr">
        <is>
          <t>CONTAS A PAGAR</t>
        </is>
      </c>
      <c r="J2681" s="59" t="n">
        <v>1336323</v>
      </c>
      <c r="L2681" s="59" t="n">
        <v>1657</v>
      </c>
      <c r="M2681" s="59" t="inlineStr">
        <is>
          <t>03</t>
        </is>
      </c>
      <c r="N2681" s="59" t="inlineStr">
        <is>
          <t>AVU</t>
        </is>
      </c>
      <c r="P2681" s="59" t="n">
        <v>101</v>
      </c>
      <c r="Q2681" s="59" t="inlineStr">
        <is>
          <t>KEILA LIMA</t>
        </is>
      </c>
      <c r="R2681" s="59" t="inlineStr">
        <is>
          <t>DESPESAS OPERACIONAIS</t>
        </is>
      </c>
      <c r="S2681" s="59" t="n">
        <v>4210232</v>
      </c>
      <c r="T2681" s="59" t="inlineStr">
        <is>
          <t>MANUTENÇÃO EQUIPAMENTOS DE INFORMATICA</t>
        </is>
      </c>
      <c r="U2681" s="59" t="n">
        <v>208</v>
      </c>
      <c r="W2681" s="59" t="n">
        <v>0</v>
      </c>
      <c r="X2681" s="59" t="inlineStr">
        <is>
          <t>PARC 03/10 BALANCA CX 4 MO1 - KEILA</t>
        </is>
      </c>
      <c r="Z2681" s="59">
        <f>IF($T2681="","",IFERROR(INDEX('Resumo Grupos'!$AC$3:$AC$200,MATCH($T2681,'Resumo Grupos'!$AB$3:$AB$200,0)),"n/d"))</f>
        <v/>
      </c>
      <c r="AA2681" s="59">
        <f>IF($T2681="","",IF(COUNTIF('Resumo Grupos'!$AE$3:$AE$40,$T2681)&gt;0,"NAO","SIM"))</f>
        <v/>
      </c>
    </row>
    <row r="2682" ht="12.75" customHeight="1" s="60">
      <c r="A2682" s="59" t="n">
        <v>1</v>
      </c>
      <c r="B2682" s="82" t="n">
        <v>46211</v>
      </c>
      <c r="C2682" s="82" t="n">
        <v>46305</v>
      </c>
      <c r="D2682" s="59" t="n">
        <v>10026</v>
      </c>
      <c r="E2682" s="59" t="inlineStr">
        <is>
          <t>SWTL SERVICOS DE INFORMATICA LTDA</t>
        </is>
      </c>
      <c r="F2682" s="59" t="n">
        <v>24</v>
      </c>
      <c r="G2682" s="59" t="inlineStr">
        <is>
          <t>Compra a Prazo - Boletos</t>
        </is>
      </c>
      <c r="H2682" s="59" t="n">
        <v>1110202</v>
      </c>
      <c r="I2682" s="59" t="inlineStr">
        <is>
          <t>BANCO ITAU Lj 01</t>
        </is>
      </c>
      <c r="J2682" s="59" t="n">
        <v>1370737</v>
      </c>
      <c r="L2682" s="59" t="n">
        <v>565779</v>
      </c>
      <c r="M2682" s="59" t="inlineStr">
        <is>
          <t>03</t>
        </is>
      </c>
      <c r="N2682" s="59" t="inlineStr">
        <is>
          <t>AVU</t>
        </is>
      </c>
      <c r="P2682" s="59" t="n">
        <v>101</v>
      </c>
      <c r="Q2682" s="59" t="inlineStr">
        <is>
          <t>KEILA LIMA</t>
        </is>
      </c>
      <c r="R2682" s="59" t="inlineStr">
        <is>
          <t>DESPESAS OPERACIONAIS</t>
        </is>
      </c>
      <c r="S2682" s="59" t="n">
        <v>4210222</v>
      </c>
      <c r="T2682" s="59" t="inlineStr">
        <is>
          <t>TREINAMENTO/CONSULTORIAS</t>
        </is>
      </c>
      <c r="U2682" s="59" t="n">
        <v>666.67</v>
      </c>
      <c r="W2682" s="59" t="n">
        <v>0</v>
      </c>
      <c r="X2682" s="59" t="inlineStr">
        <is>
          <t>MENSALIDADE CONSULTORIA CISS PARTE MO1 - KELA</t>
        </is>
      </c>
      <c r="Z2682" s="59">
        <f>IF($T2682="","",IFERROR(INDEX('Resumo Grupos'!$AC$3:$AC$200,MATCH($T2682,'Resumo Grupos'!$AB$3:$AB$200,0)),"n/d"))</f>
        <v/>
      </c>
      <c r="AA2682" s="59">
        <f>IF($T2682="","",IF(COUNTIF('Resumo Grupos'!$AE$3:$AE$40,$T2682)&gt;0,"NAO","SIM"))</f>
        <v/>
      </c>
    </row>
    <row r="2683" ht="12.75" customHeight="1" s="60">
      <c r="A2683" s="59" t="n">
        <v>1</v>
      </c>
      <c r="B2683" s="82" t="n">
        <v>46211</v>
      </c>
      <c r="C2683" s="82" t="n">
        <v>46305</v>
      </c>
      <c r="D2683" s="59" t="n">
        <v>10026</v>
      </c>
      <c r="E2683" s="59" t="inlineStr">
        <is>
          <t>SWTL SERVICOS DE INFORMATICA LTDA</t>
        </is>
      </c>
      <c r="F2683" s="59" t="n">
        <v>24</v>
      </c>
      <c r="G2683" s="59" t="inlineStr">
        <is>
          <t>Compra a Prazo - Boletos</t>
        </is>
      </c>
      <c r="H2683" s="59" t="n">
        <v>2110405</v>
      </c>
      <c r="I2683" s="59" t="inlineStr">
        <is>
          <t>CONTAS A PAGAR</t>
        </is>
      </c>
      <c r="J2683" s="59" t="n">
        <v>1370749</v>
      </c>
      <c r="L2683" s="59" t="n">
        <v>565780</v>
      </c>
      <c r="M2683" s="59" t="inlineStr">
        <is>
          <t>03</t>
        </is>
      </c>
      <c r="N2683" s="59" t="inlineStr">
        <is>
          <t>AVU</t>
        </is>
      </c>
      <c r="P2683" s="59" t="n">
        <v>101</v>
      </c>
      <c r="Q2683" s="59" t="inlineStr">
        <is>
          <t>KEILA LIMA</t>
        </is>
      </c>
      <c r="R2683" s="59" t="inlineStr">
        <is>
          <t>DESPESAS NAO OPERACIONAIS</t>
        </is>
      </c>
      <c r="S2683" s="59" t="n">
        <v>4220199</v>
      </c>
      <c r="T2683" s="59" t="inlineStr">
        <is>
          <t>PAGAMENTOS OUTROS NAO OPERACIONAIS</t>
        </is>
      </c>
      <c r="U2683" s="59" t="n">
        <v>2000</v>
      </c>
      <c r="W2683" s="59" t="n">
        <v>0</v>
      </c>
      <c r="X2683" s="59" t="inlineStr">
        <is>
          <t>MENSALIDADE CONSULTORIA CISS LOJAS NAO SO - KELA</t>
        </is>
      </c>
      <c r="Z2683" s="59">
        <f>IF($T2683="","",IFERROR(INDEX('Resumo Grupos'!$AC$3:$AC$200,MATCH($T2683,'Resumo Grupos'!$AB$3:$AB$200,0)),"n/d"))</f>
        <v/>
      </c>
      <c r="AA2683" s="59">
        <f>IF($T2683="","",IF(COUNTIF('Resumo Grupos'!$AE$3:$AE$40,$T2683)&gt;0,"NAO","SIM"))</f>
        <v/>
      </c>
    </row>
    <row r="2684" ht="12.75" customHeight="1" s="60">
      <c r="A2684" s="59" t="n">
        <v>1</v>
      </c>
      <c r="B2684" s="82" t="n">
        <v>46213</v>
      </c>
      <c r="C2684" s="82" t="n">
        <v>46305</v>
      </c>
      <c r="D2684" s="59" t="n">
        <v>1914</v>
      </c>
      <c r="E2684" s="59" t="inlineStr">
        <is>
          <t>CAP-COMERCIO DE EQUIPAMENTOS DE INFORMAT</t>
        </is>
      </c>
      <c r="F2684" s="59" t="n">
        <v>46</v>
      </c>
      <c r="G2684" s="59" t="inlineStr">
        <is>
          <t>Cartao Sant 1 Velho 9336 venc 10</t>
        </is>
      </c>
      <c r="H2684" s="59" t="n">
        <v>1110202</v>
      </c>
      <c r="I2684" s="59" t="inlineStr">
        <is>
          <t>BANCO ITAU Lj 01</t>
        </is>
      </c>
      <c r="J2684" s="59" t="n">
        <v>1377369</v>
      </c>
      <c r="L2684" s="59" t="n">
        <v>28968</v>
      </c>
      <c r="M2684" s="59" t="inlineStr">
        <is>
          <t>03</t>
        </is>
      </c>
      <c r="N2684" s="59" t="inlineStr">
        <is>
          <t>AVU</t>
        </is>
      </c>
      <c r="P2684" s="59" t="n">
        <v>101</v>
      </c>
      <c r="Q2684" s="59" t="inlineStr">
        <is>
          <t>KEILA LIMA</t>
        </is>
      </c>
      <c r="R2684" s="59" t="inlineStr">
        <is>
          <t>DESPESAS OPERACIONAIS</t>
        </is>
      </c>
      <c r="S2684" s="59" t="n">
        <v>4210232</v>
      </c>
      <c r="T2684" s="59" t="inlineStr">
        <is>
          <t>MANUTENÇÃO EQUIPAMENTOS DE INFORMATICA</t>
        </is>
      </c>
      <c r="U2684" s="59" t="n">
        <v>935.28</v>
      </c>
      <c r="W2684" s="59" t="n">
        <v>0</v>
      </c>
      <c r="X2684" s="59" t="inlineStr">
        <is>
          <t>NF 28968 PARC3/3 2 LEITOR CX 1 E CX 4 MO1 - KEILA</t>
        </is>
      </c>
      <c r="Z2684" s="59">
        <f>IF($T2684="","",IFERROR(INDEX('Resumo Grupos'!$AC$3:$AC$200,MATCH($T2684,'Resumo Grupos'!$AB$3:$AB$200,0)),"n/d"))</f>
        <v/>
      </c>
      <c r="AA2684" s="59">
        <f>IF($T2684="","",IF(COUNTIF('Resumo Grupos'!$AE$3:$AE$40,$T2684)&gt;0,"NAO","SIM"))</f>
        <v/>
      </c>
    </row>
    <row r="2685" ht="12.75" customHeight="1" s="60">
      <c r="A2685" s="59" t="n">
        <v>1</v>
      </c>
      <c r="B2685" s="82" t="n">
        <v>46199</v>
      </c>
      <c r="C2685" s="82" t="n">
        <v>46305</v>
      </c>
      <c r="D2685" s="59" t="n">
        <v>1758</v>
      </c>
      <c r="E2685" s="59" t="inlineStr">
        <is>
          <t>DESPESA OPER LOJA</t>
        </is>
      </c>
      <c r="F2685" s="59" t="n">
        <v>46</v>
      </c>
      <c r="G2685" s="59" t="inlineStr">
        <is>
          <t>Cartao Sant 1 Velho 9336 venc 10</t>
        </is>
      </c>
      <c r="H2685" s="59" t="n">
        <v>1110202</v>
      </c>
      <c r="I2685" s="59" t="inlineStr">
        <is>
          <t>BANCO ITAU Lj 01</t>
        </is>
      </c>
      <c r="J2685" s="59" t="n">
        <v>1378055</v>
      </c>
      <c r="L2685" s="59" t="n">
        <v>568065</v>
      </c>
      <c r="M2685" s="59" t="inlineStr">
        <is>
          <t>04</t>
        </is>
      </c>
      <c r="N2685" s="59" t="inlineStr">
        <is>
          <t>AVU</t>
        </is>
      </c>
      <c r="P2685" s="59" t="n">
        <v>101</v>
      </c>
      <c r="Q2685" s="59" t="inlineStr">
        <is>
          <t>KEILA LIMA</t>
        </is>
      </c>
      <c r="R2685" s="59" t="inlineStr">
        <is>
          <t>DESPESAS OPERACIONAIS</t>
        </is>
      </c>
      <c r="S2685" s="59" t="n">
        <v>4210227</v>
      </c>
      <c r="T2685" s="59" t="inlineStr">
        <is>
          <t>DESPESAS LOJA</t>
        </is>
      </c>
      <c r="U2685" s="59" t="n">
        <v>429.64</v>
      </c>
      <c r="W2685" s="59" t="n">
        <v>0</v>
      </c>
      <c r="X2685" s="59" t="inlineStr">
        <is>
          <t>PARC 04/05 DESPESA MINEIRO - KEILA</t>
        </is>
      </c>
      <c r="Z2685" s="59">
        <f>IF($T2685="","",IFERROR(INDEX('Resumo Grupos'!$AC$3:$AC$200,MATCH($T2685,'Resumo Grupos'!$AB$3:$AB$200,0)),"n/d"))</f>
        <v/>
      </c>
      <c r="AA2685" s="59">
        <f>IF($T2685="","",IF(COUNTIF('Resumo Grupos'!$AE$3:$AE$40,$T2685)&gt;0,"NAO","SIM"))</f>
        <v/>
      </c>
    </row>
    <row r="2686" ht="12.75" customHeight="1" s="60">
      <c r="A2686" s="59" t="n">
        <v>1</v>
      </c>
      <c r="B2686" s="82" t="n">
        <v>46216</v>
      </c>
      <c r="C2686" s="82" t="n">
        <v>46305</v>
      </c>
      <c r="D2686" s="59" t="n">
        <v>1717</v>
      </c>
      <c r="E2686" s="59" t="inlineStr">
        <is>
          <t>SUPERMERCADOS DB LTDA</t>
        </is>
      </c>
      <c r="F2686" s="59" t="n">
        <v>46</v>
      </c>
      <c r="G2686" s="59" t="inlineStr">
        <is>
          <t>Cartao Sant 1 Velho 9336 venc 10</t>
        </is>
      </c>
      <c r="H2686" s="59" t="n">
        <v>1110202</v>
      </c>
      <c r="I2686" s="59" t="inlineStr">
        <is>
          <t>BANCO ITAU Lj 01</t>
        </is>
      </c>
      <c r="J2686" s="59" t="n">
        <v>1394062</v>
      </c>
      <c r="L2686" s="59" t="n">
        <v>51412</v>
      </c>
      <c r="M2686" s="59" t="inlineStr">
        <is>
          <t>03</t>
        </is>
      </c>
      <c r="N2686" s="59" t="inlineStr">
        <is>
          <t>AVU</t>
        </is>
      </c>
      <c r="P2686" s="59" t="n">
        <v>103</v>
      </c>
      <c r="Q2686" s="59" t="inlineStr">
        <is>
          <t>MILKA FRANCIS</t>
        </is>
      </c>
      <c r="R2686" s="59" t="inlineStr">
        <is>
          <t>ESTOQUE DE MERCADORIAS</t>
        </is>
      </c>
      <c r="S2686" s="59" t="n">
        <v>1130101</v>
      </c>
      <c r="T2686" s="59" t="inlineStr">
        <is>
          <t>MERCADORIAS P/REVENDA</t>
        </is>
      </c>
      <c r="U2686" s="59" t="n">
        <v>319.2</v>
      </c>
      <c r="W2686" s="59" t="n">
        <v>0</v>
      </c>
      <c r="X2686" s="59" t="inlineStr">
        <is>
          <t>NF51412 / PARC. 03/03  - MILKA</t>
        </is>
      </c>
      <c r="Z2686" s="59">
        <f>IF($T2686="","",IFERROR(INDEX('Resumo Grupos'!$AC$3:$AC$200,MATCH($T2686,'Resumo Grupos'!$AB$3:$AB$200,0)),"n/d"))</f>
        <v/>
      </c>
      <c r="AA2686" s="59">
        <f>IF($T2686="","",IF(COUNTIF('Resumo Grupos'!$AE$3:$AE$40,$T2686)&gt;0,"NAO","SIM"))</f>
        <v/>
      </c>
    </row>
    <row r="2687" ht="12.75" customHeight="1" s="60">
      <c r="A2687" s="59" t="n">
        <v>1</v>
      </c>
      <c r="B2687" s="82" t="n">
        <v>46234</v>
      </c>
      <c r="C2687" s="82" t="n">
        <v>46305</v>
      </c>
      <c r="D2687" s="59" t="n">
        <v>608</v>
      </c>
      <c r="E2687" s="59" t="inlineStr">
        <is>
          <t>ATELECOMUNICACOES E ELETRONICA MELO LTD</t>
        </is>
      </c>
      <c r="F2687" s="59" t="n">
        <v>46</v>
      </c>
      <c r="G2687" s="59" t="inlineStr">
        <is>
          <t>Cartao Sant 1 Velho 9336 venc 10</t>
        </is>
      </c>
      <c r="H2687" s="59" t="n">
        <v>1110202</v>
      </c>
      <c r="I2687" s="59" t="inlineStr">
        <is>
          <t>BANCO ITAU Lj 01</t>
        </is>
      </c>
      <c r="J2687" s="59" t="n">
        <v>1477562</v>
      </c>
      <c r="L2687" s="59" t="n">
        <v>1681242</v>
      </c>
      <c r="M2687" s="59" t="inlineStr">
        <is>
          <t>02</t>
        </is>
      </c>
      <c r="N2687" s="59" t="inlineStr">
        <is>
          <t>AVU</t>
        </is>
      </c>
      <c r="P2687" s="59" t="n">
        <v>101</v>
      </c>
      <c r="Q2687" s="59" t="inlineStr">
        <is>
          <t>KEILA LIMA</t>
        </is>
      </c>
      <c r="R2687" s="59" t="inlineStr">
        <is>
          <t>DESPESAS OPERACIONAIS</t>
        </is>
      </c>
      <c r="S2687" s="59" t="n">
        <v>4210232</v>
      </c>
      <c r="T2687" s="59" t="inlineStr">
        <is>
          <t>MANUTENÇÃO EQUIPAMENTOS DE INFORMATICA</t>
        </is>
      </c>
      <c r="U2687" s="59" t="n">
        <v>315.62</v>
      </c>
      <c r="W2687" s="59" t="n">
        <v>0</v>
      </c>
      <c r="X2687" s="59" t="inlineStr">
        <is>
          <t>NF 168124 - DESP COMPRA DE SWITCH SERVIDOR MO1 - KE</t>
        </is>
      </c>
      <c r="Z2687" s="59">
        <f>IF($T2687="","",IFERROR(INDEX('Resumo Grupos'!$AC$3:$AC$200,MATCH($T2687,'Resumo Grupos'!$AB$3:$AB$200,0)),"n/d"))</f>
        <v/>
      </c>
      <c r="AA2687" s="59">
        <f>IF($T2687="","",IF(COUNTIF('Resumo Grupos'!$AE$3:$AE$40,$T2687)&gt;0,"NAO","SIM"))</f>
        <v/>
      </c>
    </row>
    <row r="2688" ht="12.75" customHeight="1" s="60">
      <c r="A2688" s="59" t="n">
        <v>1</v>
      </c>
      <c r="B2688" s="82" t="n">
        <v>46241</v>
      </c>
      <c r="C2688" s="82" t="n">
        <v>46305</v>
      </c>
      <c r="D2688" s="59" t="n">
        <v>17</v>
      </c>
      <c r="E2688" s="59" t="inlineStr">
        <is>
          <t>NEYLIANE SILVA DE OLIVEIRA</t>
        </is>
      </c>
      <c r="F2688" s="59" t="n">
        <v>34</v>
      </c>
      <c r="G2688" s="59" t="inlineStr">
        <is>
          <t>Transferencia Pix</t>
        </is>
      </c>
      <c r="H2688" s="59" t="n">
        <v>2110405</v>
      </c>
      <c r="I2688" s="59" t="inlineStr">
        <is>
          <t>CONTAS A PAGAR</t>
        </is>
      </c>
      <c r="J2688" s="59" t="n">
        <v>1512942</v>
      </c>
      <c r="L2688" s="59" t="n">
        <v>619809</v>
      </c>
      <c r="M2688" s="59" t="inlineStr">
        <is>
          <t>04</t>
        </is>
      </c>
      <c r="N2688" s="59" t="inlineStr">
        <is>
          <t>AVU</t>
        </is>
      </c>
      <c r="P2688" s="59" t="n">
        <v>101</v>
      </c>
      <c r="Q2688" s="59" t="inlineStr">
        <is>
          <t>KEILA LIMA</t>
        </is>
      </c>
      <c r="R2688" s="59" t="inlineStr">
        <is>
          <t>DESPESAS NAO OPERACIONAIS</t>
        </is>
      </c>
      <c r="S2688" s="59" t="n">
        <v>4220199</v>
      </c>
      <c r="T2688" s="59" t="inlineStr">
        <is>
          <t>PAGAMENTOS OUTROS NAO OPERACIONAIS</t>
        </is>
      </c>
      <c r="U2688" s="59" t="n">
        <v>150</v>
      </c>
      <c r="W2688" s="59" t="n">
        <v>0</v>
      </c>
      <c r="X2688" s="59" t="inlineStr">
        <is>
          <t>PL NEILA MENS CONTADOR KAMILLA - KEILA</t>
        </is>
      </c>
      <c r="Z2688" s="59">
        <f>IF($T2688="","",IFERROR(INDEX('Resumo Grupos'!$AC$3:$AC$200,MATCH($T2688,'Resumo Grupos'!$AB$3:$AB$200,0)),"n/d"))</f>
        <v/>
      </c>
      <c r="AA2688" s="59">
        <f>IF($T2688="","",IF(COUNTIF('Resumo Grupos'!$AE$3:$AE$40,$T2688)&gt;0,"NAO","SIM"))</f>
        <v/>
      </c>
    </row>
    <row r="2689" ht="12.75" customHeight="1" s="60">
      <c r="A2689" s="59" t="n">
        <v>1</v>
      </c>
      <c r="B2689" s="82" t="n">
        <v>46248</v>
      </c>
      <c r="C2689" s="82" t="n">
        <v>46305</v>
      </c>
      <c r="D2689" s="59" t="n">
        <v>862</v>
      </c>
      <c r="E2689" s="59" t="inlineStr">
        <is>
          <t>ACL REPARACAO E TECNOLOGIA DA INFORMACAO LTDA</t>
        </is>
      </c>
      <c r="F2689" s="59" t="n">
        <v>46</v>
      </c>
      <c r="G2689" s="59" t="inlineStr">
        <is>
          <t>Cartao Sant 1 Velho 9336 venc 10</t>
        </is>
      </c>
      <c r="H2689" s="59" t="n">
        <v>2110405</v>
      </c>
      <c r="I2689" s="59" t="inlineStr">
        <is>
          <t>CONTAS A PAGAR</t>
        </is>
      </c>
      <c r="J2689" s="59" t="n">
        <v>1551728</v>
      </c>
      <c r="L2689" s="59" t="n">
        <v>634573</v>
      </c>
      <c r="M2689" s="59" t="inlineStr">
        <is>
          <t>02</t>
        </is>
      </c>
      <c r="N2689" s="59" t="inlineStr">
        <is>
          <t>AVU</t>
        </is>
      </c>
      <c r="P2689" s="59" t="n">
        <v>101</v>
      </c>
      <c r="Q2689" s="59" t="inlineStr">
        <is>
          <t>KEILA LIMA</t>
        </is>
      </c>
      <c r="R2689" s="59" t="inlineStr">
        <is>
          <t>DESPESAS OPERACIONAIS</t>
        </is>
      </c>
      <c r="S2689" s="59" t="n">
        <v>4210232</v>
      </c>
      <c r="T2689" s="59" t="inlineStr">
        <is>
          <t>MANUTENÇÃO EQUIPAMENTOS DE INFORMATICA</t>
        </is>
      </c>
      <c r="U2689" s="59" t="n">
        <v>400</v>
      </c>
      <c r="W2689" s="59" t="n">
        <v>0</v>
      </c>
      <c r="X2689" s="59" t="inlineStr">
        <is>
          <t>PARC 02/04 2 FONTE RESERVA SERVIDOR  MO1 CONSERTO</t>
        </is>
      </c>
      <c r="Z2689" s="59">
        <f>IF($T2689="","",IFERROR(INDEX('Resumo Grupos'!$AC$3:$AC$200,MATCH($T2689,'Resumo Grupos'!$AB$3:$AB$200,0)),"n/d"))</f>
        <v/>
      </c>
      <c r="AA2689" s="59">
        <f>IF($T2689="","",IF(COUNTIF('Resumo Grupos'!$AE$3:$AE$40,$T2689)&gt;0,"NAO","SIM"))</f>
        <v/>
      </c>
    </row>
    <row r="2690" ht="12.75" customHeight="1" s="60">
      <c r="A2690" s="59" t="n">
        <v>1</v>
      </c>
      <c r="B2690" s="82" t="n">
        <v>46164</v>
      </c>
      <c r="C2690" s="82" t="n">
        <v>46306</v>
      </c>
      <c r="D2690" s="59" t="n">
        <v>515</v>
      </c>
      <c r="E2690" s="59" t="inlineStr">
        <is>
          <t>ITAU SA</t>
        </is>
      </c>
      <c r="F2690" s="59" t="n">
        <v>34</v>
      </c>
      <c r="G2690" s="59" t="inlineStr">
        <is>
          <t>Transferencia Pix</t>
        </is>
      </c>
      <c r="H2690" s="59" t="n">
        <v>2110405</v>
      </c>
      <c r="I2690" s="59" t="inlineStr">
        <is>
          <t>CONTAS A PAGAR</t>
        </is>
      </c>
      <c r="J2690" s="59" t="n">
        <v>1137849</v>
      </c>
      <c r="L2690" s="59" t="n">
        <v>474941</v>
      </c>
      <c r="M2690" s="59" t="inlineStr">
        <is>
          <t>05</t>
        </is>
      </c>
      <c r="N2690" s="59" t="inlineStr">
        <is>
          <t>AVU</t>
        </is>
      </c>
      <c r="P2690" s="59" t="n">
        <v>101</v>
      </c>
      <c r="Q2690" s="59" t="inlineStr">
        <is>
          <t>KEILA LIMA</t>
        </is>
      </c>
      <c r="R2690" s="59" t="inlineStr">
        <is>
          <t>EMPRESTIMOS BANCARIOS</t>
        </is>
      </c>
      <c r="S2690" s="59" t="n">
        <v>2110901</v>
      </c>
      <c r="T2690" s="59" t="inlineStr">
        <is>
          <t>EMPRESTIMOS BANCARIOS A PAGAR</t>
        </is>
      </c>
      <c r="U2690" s="59" t="n">
        <v>15770.14</v>
      </c>
      <c r="W2690" s="59" t="n">
        <v>0</v>
      </c>
      <c r="X2690" s="59" t="inlineStr">
        <is>
          <t>PARC 12/48 PARC GIRO MO1 - KEILA</t>
        </is>
      </c>
      <c r="Z2690" s="59">
        <f>IF($T2690="","",IFERROR(INDEX('Resumo Grupos'!$AC$3:$AC$200,MATCH($T2690,'Resumo Grupos'!$AB$3:$AB$200,0)),"n/d"))</f>
        <v/>
      </c>
      <c r="AA2690" s="59">
        <f>IF($T2690="","",IF(COUNTIF('Resumo Grupos'!$AE$3:$AE$40,$T2690)&gt;0,"NAO","SIM"))</f>
        <v/>
      </c>
    </row>
    <row r="2691" ht="12.75" customHeight="1" s="60">
      <c r="A2691" s="59" t="n">
        <v>1</v>
      </c>
      <c r="B2691" s="82" t="n">
        <v>46241</v>
      </c>
      <c r="C2691" s="82" t="n">
        <v>46307</v>
      </c>
      <c r="D2691" s="59" t="n">
        <v>887</v>
      </c>
      <c r="E2691" s="59" t="inlineStr">
        <is>
          <t>INTLINK TECNOLOGIA LTDA</t>
        </is>
      </c>
      <c r="F2691" s="59" t="n">
        <v>24</v>
      </c>
      <c r="G2691" s="59" t="inlineStr">
        <is>
          <t>Compra a Prazo - Boletos</t>
        </is>
      </c>
      <c r="H2691" s="59" t="n">
        <v>2110405</v>
      </c>
      <c r="I2691" s="59" t="inlineStr">
        <is>
          <t>CONTAS A PAGAR</t>
        </is>
      </c>
      <c r="J2691" s="59" t="n">
        <v>1514434</v>
      </c>
      <c r="L2691" s="59" t="n">
        <v>620151</v>
      </c>
      <c r="M2691" s="59" t="inlineStr">
        <is>
          <t>03</t>
        </is>
      </c>
      <c r="N2691" s="59" t="inlineStr">
        <is>
          <t>AVU</t>
        </is>
      </c>
      <c r="P2691" s="59" t="n">
        <v>101</v>
      </c>
      <c r="Q2691" s="59" t="inlineStr">
        <is>
          <t>KEILA LIMA</t>
        </is>
      </c>
      <c r="R2691" s="59" t="inlineStr">
        <is>
          <t>DESPESAS COM PESSOAL</t>
        </is>
      </c>
      <c r="S2691" s="59" t="n">
        <v>4210315</v>
      </c>
      <c r="T2691" s="59" t="inlineStr">
        <is>
          <t>INTERNET</t>
        </is>
      </c>
      <c r="U2691" s="59" t="n">
        <v>199.8</v>
      </c>
      <c r="W2691" s="59" t="n">
        <v>0</v>
      </c>
      <c r="X2691" s="59" t="inlineStr">
        <is>
          <t>MENSALIDADE INTERNET MO1 - KEILA</t>
        </is>
      </c>
      <c r="Z2691" s="59">
        <f>IF($T2691="","",IFERROR(INDEX('Resumo Grupos'!$AC$3:$AC$200,MATCH($T2691,'Resumo Grupos'!$AB$3:$AB$200,0)),"n/d"))</f>
        <v/>
      </c>
      <c r="AA2691" s="59">
        <f>IF($T2691="","",IF(COUNTIF('Resumo Grupos'!$AE$3:$AE$40,$T2691)&gt;0,"NAO","SIM"))</f>
        <v/>
      </c>
    </row>
    <row r="2692" ht="12.75" customHeight="1" s="60">
      <c r="A2692" s="59" t="n">
        <v>1</v>
      </c>
      <c r="B2692" s="82" t="n">
        <v>46249</v>
      </c>
      <c r="C2692" s="82" t="n">
        <v>46307</v>
      </c>
      <c r="D2692" s="59" t="n">
        <v>10011</v>
      </c>
      <c r="E2692" s="59" t="inlineStr">
        <is>
          <t>OPPORTUNITY ALIMENTOS PARA ANIMAIS LTDA</t>
        </is>
      </c>
      <c r="F2692" s="59" t="n">
        <v>24</v>
      </c>
      <c r="G2692" s="59" t="inlineStr">
        <is>
          <t>Compra a Prazo - Boletos</t>
        </is>
      </c>
      <c r="H2692" s="59" t="n">
        <v>2110405</v>
      </c>
      <c r="I2692" s="59" t="inlineStr">
        <is>
          <t>CONTAS A PAGAR</t>
        </is>
      </c>
      <c r="J2692" s="59" t="n">
        <v>1552267</v>
      </c>
      <c r="L2692" s="59" t="n">
        <v>35160</v>
      </c>
      <c r="M2692" s="59" t="inlineStr">
        <is>
          <t>05</t>
        </is>
      </c>
      <c r="N2692" s="59" t="inlineStr">
        <is>
          <t>AVU</t>
        </is>
      </c>
      <c r="P2692" s="59" t="n">
        <v>103</v>
      </c>
      <c r="Q2692" s="59" t="inlineStr">
        <is>
          <t>MILKA FRANCIS</t>
        </is>
      </c>
      <c r="R2692" s="59" t="inlineStr">
        <is>
          <t>ESTOQUE DE MERCADORIAS</t>
        </is>
      </c>
      <c r="S2692" s="59" t="n">
        <v>1130101</v>
      </c>
      <c r="T2692" s="59" t="inlineStr">
        <is>
          <t>MERCADORIAS P/REVENDA</t>
        </is>
      </c>
      <c r="U2692" s="59" t="n">
        <v>2836.78</v>
      </c>
      <c r="W2692" s="59" t="n">
        <v>0</v>
      </c>
      <c r="X2692" s="59" t="inlineStr">
        <is>
          <t>NF 35160-5 MILKA</t>
        </is>
      </c>
      <c r="Z2692" s="59">
        <f>IF($T2692="","",IFERROR(INDEX('Resumo Grupos'!$AC$3:$AC$200,MATCH($T2692,'Resumo Grupos'!$AB$3:$AB$200,0)),"n/d"))</f>
        <v/>
      </c>
      <c r="AA2692" s="59">
        <f>IF($T2692="","",IF(COUNTIF('Resumo Grupos'!$AE$3:$AE$40,$T2692)&gt;0,"NAO","SIM"))</f>
        <v/>
      </c>
    </row>
    <row r="2693" ht="12.75" customHeight="1" s="60">
      <c r="A2693" s="59" t="n">
        <v>1</v>
      </c>
      <c r="B2693" s="82" t="n">
        <v>46254</v>
      </c>
      <c r="C2693" s="82" t="n">
        <v>46308</v>
      </c>
      <c r="D2693" s="59" t="n">
        <v>717</v>
      </c>
      <c r="E2693" s="59" t="inlineStr">
        <is>
          <t>FORNECEDOR AVULSO</t>
        </is>
      </c>
      <c r="F2693" s="59" t="n">
        <v>42</v>
      </c>
      <c r="G2693" s="59" t="inlineStr">
        <is>
          <t>Cartao Itau Novo 4620 Venc 13</t>
        </is>
      </c>
      <c r="H2693" s="59" t="n">
        <v>2110405</v>
      </c>
      <c r="I2693" s="59" t="inlineStr">
        <is>
          <t>CONTAS A PAGAR</t>
        </is>
      </c>
      <c r="J2693" s="59" t="n">
        <v>1577416</v>
      </c>
      <c r="L2693" s="59" t="n">
        <v>644308</v>
      </c>
      <c r="M2693" s="59" t="inlineStr">
        <is>
          <t>02</t>
        </is>
      </c>
      <c r="N2693" s="59" t="inlineStr">
        <is>
          <t>AVU</t>
        </is>
      </c>
      <c r="P2693" s="59" t="n">
        <v>101</v>
      </c>
      <c r="Q2693" s="59" t="inlineStr">
        <is>
          <t>KEILA LIMA</t>
        </is>
      </c>
      <c r="R2693" s="59" t="inlineStr">
        <is>
          <t>DESPESAS NAO OPERACIONAIS</t>
        </is>
      </c>
      <c r="S2693" s="59" t="n">
        <v>4220199</v>
      </c>
      <c r="T2693" s="59" t="inlineStr">
        <is>
          <t>PAGAMENTOS OUTROS NAO OPERACIONAIS</t>
        </is>
      </c>
      <c r="U2693" s="59" t="n">
        <v>522.5</v>
      </c>
      <c r="W2693" s="59" t="n">
        <v>0</v>
      </c>
      <c r="X2693" s="59" t="inlineStr">
        <is>
          <t>OUTROS - RATEIO CURSO NEILA P/ AS LOJAS - NAO SOMA</t>
        </is>
      </c>
      <c r="Z2693" s="59">
        <f>IF($T2693="","",IFERROR(INDEX('Resumo Grupos'!$AC$3:$AC$200,MATCH($T2693,'Resumo Grupos'!$AB$3:$AB$200,0)),"n/d"))</f>
        <v/>
      </c>
      <c r="AA2693" s="59">
        <f>IF($T2693="","",IF(COUNTIF('Resumo Grupos'!$AE$3:$AE$40,$T2693)&gt;0,"NAO","SIM"))</f>
        <v/>
      </c>
    </row>
    <row r="2694" ht="12.75" customHeight="1" s="60">
      <c r="A2694" s="59" t="n">
        <v>1</v>
      </c>
      <c r="B2694" s="82" t="n">
        <v>46254</v>
      </c>
      <c r="C2694" s="82" t="n">
        <v>46308</v>
      </c>
      <c r="D2694" s="59" t="n">
        <v>17</v>
      </c>
      <c r="E2694" s="59" t="inlineStr">
        <is>
          <t>NEYLIANE SILVA DE OLIVEIRA</t>
        </is>
      </c>
      <c r="F2694" s="59" t="n">
        <v>24</v>
      </c>
      <c r="G2694" s="59" t="inlineStr">
        <is>
          <t>Compra a Prazo - Boletos</t>
        </is>
      </c>
      <c r="H2694" s="59" t="n">
        <v>2110405</v>
      </c>
      <c r="I2694" s="59" t="inlineStr">
        <is>
          <t>CONTAS A PAGAR</t>
        </is>
      </c>
      <c r="J2694" s="59" t="n">
        <v>1577496</v>
      </c>
      <c r="L2694" s="59" t="n">
        <v>644323</v>
      </c>
      <c r="M2694" s="59" t="inlineStr">
        <is>
          <t>01</t>
        </is>
      </c>
      <c r="N2694" s="59" t="inlineStr">
        <is>
          <t>AVU</t>
        </is>
      </c>
      <c r="P2694" s="59" t="n">
        <v>101</v>
      </c>
      <c r="Q2694" s="59" t="inlineStr">
        <is>
          <t>KEILA LIMA</t>
        </is>
      </c>
      <c r="R2694" s="59" t="inlineStr">
        <is>
          <t>DESPESAS NAO OPERACIONAIS</t>
        </is>
      </c>
      <c r="S2694" s="59" t="n">
        <v>4220199</v>
      </c>
      <c r="T2694" s="59" t="inlineStr">
        <is>
          <t>PAGAMENTOS OUTROS NAO OPERACIONAIS</t>
        </is>
      </c>
      <c r="U2694" s="59" t="n">
        <v>400</v>
      </c>
      <c r="W2694" s="59" t="n">
        <v>0</v>
      </c>
      <c r="X2694" s="59" t="inlineStr">
        <is>
          <t>PL NEILA E RENATO - MATRICULA ESCOLA</t>
        </is>
      </c>
      <c r="Z2694" s="59">
        <f>IF($T2694="","",IFERROR(INDEX('Resumo Grupos'!$AC$3:$AC$200,MATCH($T2694,'Resumo Grupos'!$AB$3:$AB$200,0)),"n/d"))</f>
        <v/>
      </c>
      <c r="AA2694" s="59">
        <f>IF($T2694="","",IF(COUNTIF('Resumo Grupos'!$AE$3:$AE$40,$T2694)&gt;0,"NAO","SIM"))</f>
        <v/>
      </c>
    </row>
    <row r="2695" ht="12.75" customHeight="1" s="60">
      <c r="A2695" s="59" t="n">
        <v>1</v>
      </c>
      <c r="B2695" s="82" t="n">
        <v>46097</v>
      </c>
      <c r="C2695" s="82" t="n">
        <v>46310</v>
      </c>
      <c r="D2695" s="59" t="n">
        <v>1867</v>
      </c>
      <c r="E2695" s="59" t="inlineStr">
        <is>
          <t>PREFEITURA MUNICIPAL DE MANAUS - IPTU</t>
        </is>
      </c>
      <c r="F2695" s="59" t="n">
        <v>24</v>
      </c>
      <c r="G2695" s="59" t="inlineStr">
        <is>
          <t>Compra a Prazo - Boletos</t>
        </is>
      </c>
      <c r="H2695" s="59" t="n">
        <v>2110405</v>
      </c>
      <c r="I2695" s="59" t="inlineStr">
        <is>
          <t>CONTAS A PAGAR</t>
        </is>
      </c>
      <c r="J2695" s="59" t="n">
        <v>809298</v>
      </c>
      <c r="L2695" s="59" t="n">
        <v>100914</v>
      </c>
      <c r="M2695" s="59" t="inlineStr">
        <is>
          <t>08</t>
        </is>
      </c>
      <c r="N2695" s="59" t="inlineStr">
        <is>
          <t>AVU</t>
        </is>
      </c>
      <c r="P2695" s="59" t="n">
        <v>101</v>
      </c>
      <c r="Q2695" s="59" t="inlineStr">
        <is>
          <t>KEILA LIMA</t>
        </is>
      </c>
      <c r="R2695" s="59" t="inlineStr">
        <is>
          <t>DESPESAS TRIBUTARIAS</t>
        </is>
      </c>
      <c r="S2695" s="59" t="n">
        <v>4210401</v>
      </c>
      <c r="T2695" s="59" t="inlineStr">
        <is>
          <t>IPTU</t>
        </is>
      </c>
      <c r="U2695" s="59" t="n">
        <v>134.55</v>
      </c>
      <c r="W2695" s="59" t="n">
        <v>0</v>
      </c>
      <c r="X2695" s="59" t="inlineStr">
        <is>
          <t>PARC 08/10 IPTU PADARIA MO1 - KEILA</t>
        </is>
      </c>
      <c r="Z2695" s="59">
        <f>IF($T2695="","",IFERROR(INDEX('Resumo Grupos'!$AC$3:$AC$200,MATCH($T2695,'Resumo Grupos'!$AB$3:$AB$200,0)),"n/d"))</f>
        <v/>
      </c>
      <c r="AA2695" s="59">
        <f>IF($T2695="","",IF(COUNTIF('Resumo Grupos'!$AE$3:$AE$40,$T2695)&gt;0,"NAO","SIM"))</f>
        <v/>
      </c>
    </row>
    <row r="2696" ht="12.75" customHeight="1" s="60">
      <c r="A2696" s="59" t="n">
        <v>1</v>
      </c>
      <c r="B2696" s="82" t="n">
        <v>46097</v>
      </c>
      <c r="C2696" s="82" t="n">
        <v>46310</v>
      </c>
      <c r="D2696" s="59" t="n">
        <v>1867</v>
      </c>
      <c r="E2696" s="59" t="inlineStr">
        <is>
          <t>PREFEITURA MUNICIPAL DE MANAUS - IPTU</t>
        </is>
      </c>
      <c r="F2696" s="59" t="n">
        <v>24</v>
      </c>
      <c r="G2696" s="59" t="inlineStr">
        <is>
          <t>Compra a Prazo - Boletos</t>
        </is>
      </c>
      <c r="H2696" s="59" t="n">
        <v>2110405</v>
      </c>
      <c r="I2696" s="59" t="inlineStr">
        <is>
          <t>CONTAS A PAGAR</t>
        </is>
      </c>
      <c r="J2696" s="59" t="n">
        <v>809315</v>
      </c>
      <c r="L2696" s="59" t="n">
        <v>100910</v>
      </c>
      <c r="M2696" s="59" t="inlineStr">
        <is>
          <t>08</t>
        </is>
      </c>
      <c r="N2696" s="59" t="inlineStr">
        <is>
          <t>AVU</t>
        </is>
      </c>
      <c r="P2696" s="59" t="n">
        <v>101</v>
      </c>
      <c r="Q2696" s="59" t="inlineStr">
        <is>
          <t>KEILA LIMA</t>
        </is>
      </c>
      <c r="R2696" s="59" t="inlineStr">
        <is>
          <t>DESPESAS TRIBUTARIAS</t>
        </is>
      </c>
      <c r="S2696" s="59" t="n">
        <v>4210401</v>
      </c>
      <c r="T2696" s="59" t="inlineStr">
        <is>
          <t>IPTU</t>
        </is>
      </c>
      <c r="U2696" s="59" t="n">
        <v>185.89</v>
      </c>
      <c r="W2696" s="59" t="n">
        <v>0</v>
      </c>
      <c r="X2696" s="59" t="inlineStr">
        <is>
          <t>PAR 08/10 IPTU MO1 100910 - KEILA</t>
        </is>
      </c>
      <c r="Z2696" s="59">
        <f>IF($T2696="","",IFERROR(INDEX('Resumo Grupos'!$AC$3:$AC$200,MATCH($T2696,'Resumo Grupos'!$AB$3:$AB$200,0)),"n/d"))</f>
        <v/>
      </c>
      <c r="AA2696" s="59">
        <f>IF($T2696="","",IF(COUNTIF('Resumo Grupos'!$AE$3:$AE$40,$T2696)&gt;0,"NAO","SIM"))</f>
        <v/>
      </c>
    </row>
    <row r="2697" ht="12.75" customHeight="1" s="60">
      <c r="A2697" s="59" t="n">
        <v>1</v>
      </c>
      <c r="B2697" s="82" t="n">
        <v>46097</v>
      </c>
      <c r="C2697" s="82" t="n">
        <v>46310</v>
      </c>
      <c r="D2697" s="59" t="n">
        <v>17</v>
      </c>
      <c r="E2697" s="59" t="inlineStr">
        <is>
          <t>NEYLIANE SILVA DE OLIVEIRA</t>
        </is>
      </c>
      <c r="F2697" s="59" t="n">
        <v>24</v>
      </c>
      <c r="G2697" s="59" t="inlineStr">
        <is>
          <t>Compra a Prazo - Boletos</t>
        </is>
      </c>
      <c r="H2697" s="59" t="n">
        <v>2110405</v>
      </c>
      <c r="I2697" s="59" t="inlineStr">
        <is>
          <t>CONTAS A PAGAR</t>
        </is>
      </c>
      <c r="J2697" s="59" t="n">
        <v>809413</v>
      </c>
      <c r="L2697" s="59" t="n">
        <v>2115476</v>
      </c>
      <c r="M2697" s="59" t="inlineStr">
        <is>
          <t>08</t>
        </is>
      </c>
      <c r="N2697" s="59" t="inlineStr">
        <is>
          <t>AVU</t>
        </is>
      </c>
      <c r="P2697" s="59" t="n">
        <v>101</v>
      </c>
      <c r="Q2697" s="59" t="inlineStr">
        <is>
          <t>KEILA LIMA</t>
        </is>
      </c>
      <c r="R2697" s="59" t="inlineStr">
        <is>
          <t>DESPESAS NAO OPERACIONAIS</t>
        </is>
      </c>
      <c r="S2697" s="59" t="n">
        <v>4220199</v>
      </c>
      <c r="T2697" s="59" t="inlineStr">
        <is>
          <t>PAGAMENTOS OUTROS NAO OPERACIONAIS</t>
        </is>
      </c>
      <c r="U2697" s="59" t="n">
        <v>102.14</v>
      </c>
      <c r="W2697" s="59" t="n">
        <v>0</v>
      </c>
      <c r="X2697" s="59" t="inlineStr">
        <is>
          <t>PL NEILA IPTU MAE - KEILA</t>
        </is>
      </c>
      <c r="Z2697" s="59">
        <f>IF($T2697="","",IFERROR(INDEX('Resumo Grupos'!$AC$3:$AC$200,MATCH($T2697,'Resumo Grupos'!$AB$3:$AB$200,0)),"n/d"))</f>
        <v/>
      </c>
      <c r="AA2697" s="59">
        <f>IF($T2697="","",IF(COUNTIF('Resumo Grupos'!$AE$3:$AE$40,$T2697)&gt;0,"NAO","SIM"))</f>
        <v/>
      </c>
    </row>
    <row r="2698" ht="12.75" customHeight="1" s="60">
      <c r="A2698" s="59" t="n">
        <v>1</v>
      </c>
      <c r="B2698" s="82" t="n">
        <v>46234</v>
      </c>
      <c r="C2698" s="82" t="n">
        <v>46310</v>
      </c>
      <c r="D2698" s="59" t="n">
        <v>513</v>
      </c>
      <c r="E2698" s="59" t="inlineStr">
        <is>
          <t>NET CLARO</t>
        </is>
      </c>
      <c r="F2698" s="59" t="n">
        <v>24</v>
      </c>
      <c r="G2698" s="59" t="inlineStr">
        <is>
          <t>Compra a Prazo - Boletos</t>
        </is>
      </c>
      <c r="H2698" s="59" t="n">
        <v>2110405</v>
      </c>
      <c r="I2698" s="59" t="inlineStr">
        <is>
          <t>CONTAS A PAGAR</t>
        </is>
      </c>
      <c r="J2698" s="59" t="n">
        <v>1478026</v>
      </c>
      <c r="L2698" s="59" t="n">
        <v>607111</v>
      </c>
      <c r="M2698" s="59" t="inlineStr">
        <is>
          <t>03</t>
        </is>
      </c>
      <c r="N2698" s="59" t="inlineStr">
        <is>
          <t>AVU</t>
        </is>
      </c>
      <c r="P2698" s="59" t="n">
        <v>101</v>
      </c>
      <c r="Q2698" s="59" t="inlineStr">
        <is>
          <t>KEILA LIMA</t>
        </is>
      </c>
      <c r="R2698" s="59" t="inlineStr">
        <is>
          <t>DESPESAS COM PESSOAL</t>
        </is>
      </c>
      <c r="S2698" s="59" t="n">
        <v>4210315</v>
      </c>
      <c r="T2698" s="59" t="inlineStr">
        <is>
          <t>INTERNET</t>
        </is>
      </c>
      <c r="U2698" s="59" t="n">
        <v>179.32</v>
      </c>
      <c r="W2698" s="59" t="n">
        <v>0</v>
      </c>
      <c r="X2698" s="59" t="inlineStr">
        <is>
          <t>MENS INTERNET MO1 CLARO - KEILA</t>
        </is>
      </c>
      <c r="Z2698" s="59">
        <f>IF($T2698="","",IFERROR(INDEX('Resumo Grupos'!$AC$3:$AC$200,MATCH($T2698,'Resumo Grupos'!$AB$3:$AB$200,0)),"n/d"))</f>
        <v/>
      </c>
      <c r="AA2698" s="59">
        <f>IF($T2698="","",IF(COUNTIF('Resumo Grupos'!$AE$3:$AE$40,$T2698)&gt;0,"NAO","SIM"))</f>
        <v/>
      </c>
    </row>
    <row r="2699" ht="12.75" customHeight="1" s="60">
      <c r="A2699" s="59" t="n">
        <v>1</v>
      </c>
      <c r="B2699" s="82" t="n">
        <v>46256</v>
      </c>
      <c r="C2699" s="82" t="n">
        <v>46311</v>
      </c>
      <c r="D2699" s="59" t="n">
        <v>607</v>
      </c>
      <c r="E2699" s="59" t="inlineStr">
        <is>
          <t>PRIME PET DISTRIBUIDORA LTDA</t>
        </is>
      </c>
      <c r="F2699" s="59" t="n">
        <v>24</v>
      </c>
      <c r="G2699" s="59" t="inlineStr">
        <is>
          <t>Compra a Prazo - Boletos</t>
        </is>
      </c>
      <c r="H2699" s="59" t="n">
        <v>2110405</v>
      </c>
      <c r="I2699" s="59" t="inlineStr">
        <is>
          <t>CONTAS A PAGAR</t>
        </is>
      </c>
      <c r="J2699" s="59" t="n">
        <v>1585319</v>
      </c>
      <c r="L2699" s="59" t="n">
        <v>11473</v>
      </c>
      <c r="M2699" s="59" t="inlineStr">
        <is>
          <t>04</t>
        </is>
      </c>
      <c r="N2699" s="59" t="inlineStr">
        <is>
          <t>AVU</t>
        </is>
      </c>
      <c r="P2699" s="59" t="n">
        <v>103</v>
      </c>
      <c r="Q2699" s="59" t="inlineStr">
        <is>
          <t>MILKA FRANCIS</t>
        </is>
      </c>
      <c r="R2699" s="59" t="inlineStr">
        <is>
          <t>ESTOQUE DE MERCADORIAS</t>
        </is>
      </c>
      <c r="S2699" s="59" t="n">
        <v>1130101</v>
      </c>
      <c r="T2699" s="59" t="inlineStr">
        <is>
          <t>MERCADORIAS P/REVENDA</t>
        </is>
      </c>
      <c r="U2699" s="59" t="n">
        <v>1969.17</v>
      </c>
      <c r="W2699" s="59" t="n">
        <v>0</v>
      </c>
      <c r="X2699" s="59" t="inlineStr">
        <is>
          <t>NF 11473 -04/11 - MILKA</t>
        </is>
      </c>
      <c r="Z2699" s="59">
        <f>IF($T2699="","",IFERROR(INDEX('Resumo Grupos'!$AC$3:$AC$200,MATCH($T2699,'Resumo Grupos'!$AB$3:$AB$200,0)),"n/d"))</f>
        <v/>
      </c>
      <c r="AA2699" s="59">
        <f>IF($T2699="","",IF(COUNTIF('Resumo Grupos'!$AE$3:$AE$40,$T2699)&gt;0,"NAO","SIM"))</f>
        <v/>
      </c>
    </row>
    <row r="2700" ht="12.75" customHeight="1" s="60">
      <c r="A2700" s="59" t="n">
        <v>1</v>
      </c>
      <c r="B2700" s="82" t="n">
        <v>46237</v>
      </c>
      <c r="C2700" s="82" t="n">
        <v>46312</v>
      </c>
      <c r="D2700" s="59" t="n">
        <v>815</v>
      </c>
      <c r="E2700" s="59" t="inlineStr">
        <is>
          <t xml:space="preserve">ROBSON - ROBINHO </t>
        </is>
      </c>
      <c r="F2700" s="59" t="n">
        <v>34</v>
      </c>
      <c r="G2700" s="59" t="inlineStr">
        <is>
          <t>Transferencia Pix</t>
        </is>
      </c>
      <c r="H2700" s="59" t="n">
        <v>2110405</v>
      </c>
      <c r="I2700" s="59" t="inlineStr">
        <is>
          <t>CONTAS A PAGAR</t>
        </is>
      </c>
      <c r="J2700" s="59" t="n">
        <v>1493520</v>
      </c>
      <c r="L2700" s="59" t="n">
        <v>612910</v>
      </c>
      <c r="M2700" s="59" t="inlineStr">
        <is>
          <t>03</t>
        </is>
      </c>
      <c r="N2700" s="59" t="inlineStr">
        <is>
          <t>AVU</t>
        </is>
      </c>
      <c r="P2700" s="59" t="n">
        <v>101</v>
      </c>
      <c r="Q2700" s="59" t="inlineStr">
        <is>
          <t>KEILA LIMA</t>
        </is>
      </c>
      <c r="R2700" s="59" t="inlineStr">
        <is>
          <t>EMPRESTIMOS TERCEIROS</t>
        </is>
      </c>
      <c r="S2700" s="59" t="n">
        <v>2210202</v>
      </c>
      <c r="T2700" s="59" t="inlineStr">
        <is>
          <t>EMPRESTIMOS TERCEIROS</t>
        </is>
      </c>
      <c r="U2700" s="59" t="n">
        <v>6000</v>
      </c>
      <c r="W2700" s="59" t="n">
        <v>0</v>
      </c>
      <c r="X2700" s="59" t="inlineStr">
        <is>
          <t>JUROS DO EMPRESTIMO C/ ROBINHO 200MIL MO1 -KEILA</t>
        </is>
      </c>
      <c r="Z2700" s="59">
        <f>IF($T2700="","",IFERROR(INDEX('Resumo Grupos'!$AC$3:$AC$200,MATCH($T2700,'Resumo Grupos'!$AB$3:$AB$200,0)),"n/d"))</f>
        <v/>
      </c>
      <c r="AA2700" s="59">
        <f>IF($T2700="","",IF(COUNTIF('Resumo Grupos'!$AE$3:$AE$40,$T2700)&gt;0,"NAO","SIM"))</f>
        <v/>
      </c>
    </row>
    <row r="2701" ht="12.75" customHeight="1" s="60">
      <c r="A2701" s="59" t="n">
        <v>1</v>
      </c>
      <c r="B2701" s="82" t="n">
        <v>46251</v>
      </c>
      <c r="C2701" s="82" t="n">
        <v>46312</v>
      </c>
      <c r="D2701" s="59" t="n">
        <v>10104</v>
      </c>
      <c r="E2701" s="59" t="inlineStr">
        <is>
          <t>BANCO DA AMAZONIA</t>
        </is>
      </c>
      <c r="F2701" s="59" t="n">
        <v>34</v>
      </c>
      <c r="G2701" s="59" t="inlineStr">
        <is>
          <t>Transferencia Pix</t>
        </is>
      </c>
      <c r="H2701" s="59" t="n">
        <v>2110405</v>
      </c>
      <c r="I2701" s="59" t="inlineStr">
        <is>
          <t>CONTAS A PAGAR</t>
        </is>
      </c>
      <c r="J2701" s="59" t="n">
        <v>1563387</v>
      </c>
      <c r="L2701" s="59" t="n">
        <v>639275</v>
      </c>
      <c r="M2701" s="59" t="inlineStr">
        <is>
          <t>02</t>
        </is>
      </c>
      <c r="N2701" s="59" t="inlineStr">
        <is>
          <t>AVU</t>
        </is>
      </c>
      <c r="P2701" s="59" t="n">
        <v>101</v>
      </c>
      <c r="Q2701" s="59" t="inlineStr">
        <is>
          <t>KEILA LIMA</t>
        </is>
      </c>
      <c r="R2701" s="59" t="inlineStr">
        <is>
          <t>DESPESAS NAO OPERACIONAIS</t>
        </is>
      </c>
      <c r="S2701" s="59" t="n">
        <v>4220199</v>
      </c>
      <c r="T2701" s="59" t="inlineStr">
        <is>
          <t>PAGAMENTOS OUTROS NAO OPERACIONAIS</t>
        </is>
      </c>
      <c r="U2701" s="59" t="n">
        <v>1000</v>
      </c>
      <c r="W2701" s="59" t="n">
        <v>0</v>
      </c>
      <c r="X2701" s="59" t="inlineStr">
        <is>
          <t>OUTROS COBERTURA DE CONTA BASA MO1 - KEILA</t>
        </is>
      </c>
      <c r="Z2701" s="59">
        <f>IF($T2701="","",IFERROR(INDEX('Resumo Grupos'!$AC$3:$AC$200,MATCH($T2701,'Resumo Grupos'!$AB$3:$AB$200,0)),"n/d"))</f>
        <v/>
      </c>
      <c r="AA2701" s="59">
        <f>IF($T2701="","",IF(COUNTIF('Resumo Grupos'!$AE$3:$AE$40,$T2701)&gt;0,"NAO","SIM"))</f>
        <v/>
      </c>
    </row>
    <row r="2702" ht="12.75" customHeight="1" s="60">
      <c r="A2702" s="59" t="n">
        <v>1</v>
      </c>
      <c r="B2702" s="82" t="n">
        <v>46191</v>
      </c>
      <c r="C2702" s="82" t="n">
        <v>46313</v>
      </c>
      <c r="D2702" s="59" t="n">
        <v>514</v>
      </c>
      <c r="E2702" s="59" t="inlineStr">
        <is>
          <t>SANTANDER SA</t>
        </is>
      </c>
      <c r="F2702" s="59" t="n">
        <v>34</v>
      </c>
      <c r="G2702" s="59" t="inlineStr">
        <is>
          <t>Transferencia Pix</t>
        </is>
      </c>
      <c r="H2702" s="59" t="n">
        <v>2110405</v>
      </c>
      <c r="I2702" s="59" t="inlineStr">
        <is>
          <t>CONTAS A PAGAR</t>
        </is>
      </c>
      <c r="J2702" s="59" t="n">
        <v>1309516</v>
      </c>
      <c r="L2702" s="59" t="n">
        <v>541968</v>
      </c>
      <c r="M2702" s="59" t="inlineStr">
        <is>
          <t>05</t>
        </is>
      </c>
      <c r="N2702" s="59" t="inlineStr">
        <is>
          <t>AVU</t>
        </is>
      </c>
      <c r="P2702" s="59" t="n">
        <v>101</v>
      </c>
      <c r="Q2702" s="59" t="inlineStr">
        <is>
          <t>KEILA LIMA</t>
        </is>
      </c>
      <c r="R2702" s="59" t="inlineStr">
        <is>
          <t>EMPRESTIMOS BANCARIOS</t>
        </is>
      </c>
      <c r="S2702" s="59" t="n">
        <v>2110901</v>
      </c>
      <c r="T2702" s="59" t="inlineStr">
        <is>
          <t>EMPRESTIMOS BANCARIOS A PAGAR</t>
        </is>
      </c>
      <c r="U2702" s="59" t="n">
        <v>3370.37</v>
      </c>
      <c r="W2702" s="59" t="n">
        <v>0</v>
      </c>
      <c r="X2702" s="59" t="inlineStr">
        <is>
          <t>EMPRESTIMO AYMORE ENERGIA SOLAR SANT 1 VELHO - KE</t>
        </is>
      </c>
      <c r="Z2702" s="59">
        <f>IF($T2702="","",IFERROR(INDEX('Resumo Grupos'!$AC$3:$AC$200,MATCH($T2702,'Resumo Grupos'!$AB$3:$AB$200,0)),"n/d"))</f>
        <v/>
      </c>
      <c r="AA2702" s="59">
        <f>IF($T2702="","",IF(COUNTIF('Resumo Grupos'!$AE$3:$AE$40,$T2702)&gt;0,"NAO","SIM"))</f>
        <v/>
      </c>
    </row>
    <row r="2703" ht="12.75" customHeight="1" s="60">
      <c r="A2703" s="59" t="n">
        <v>1</v>
      </c>
      <c r="B2703" s="82" t="n">
        <v>46206</v>
      </c>
      <c r="C2703" s="82" t="n">
        <v>46313</v>
      </c>
      <c r="D2703" s="59" t="n">
        <v>804</v>
      </c>
      <c r="E2703" s="59" t="inlineStr">
        <is>
          <t>PIMENTEL SOCIEDADE INDIVIDUAL DE ADVOGAC</t>
        </is>
      </c>
      <c r="F2703" s="59" t="n">
        <v>34</v>
      </c>
      <c r="G2703" s="59" t="inlineStr">
        <is>
          <t>Transferencia Pix</t>
        </is>
      </c>
      <c r="H2703" s="59" t="n">
        <v>1110202</v>
      </c>
      <c r="I2703" s="59" t="inlineStr">
        <is>
          <t>BANCO ITAU Lj 01</t>
        </is>
      </c>
      <c r="J2703" s="59" t="n">
        <v>1345479</v>
      </c>
      <c r="L2703" s="59" t="n">
        <v>555726</v>
      </c>
      <c r="M2703" s="59" t="inlineStr">
        <is>
          <t>04</t>
        </is>
      </c>
      <c r="N2703" s="59" t="inlineStr">
        <is>
          <t>AVU</t>
        </is>
      </c>
      <c r="P2703" s="59" t="n">
        <v>101</v>
      </c>
      <c r="Q2703" s="59" t="inlineStr">
        <is>
          <t>KEILA LIMA</t>
        </is>
      </c>
      <c r="R2703" s="59" t="inlineStr">
        <is>
          <t>DESPESAS OPERACIONAIS</t>
        </is>
      </c>
      <c r="S2703" s="59" t="n">
        <v>4210203</v>
      </c>
      <c r="T2703" s="59" t="inlineStr">
        <is>
          <t>HONORARIOS JURIDICOS</t>
        </is>
      </c>
      <c r="U2703" s="59" t="n">
        <v>764.4299999999999</v>
      </c>
      <c r="W2703" s="59" t="n">
        <v>0</v>
      </c>
      <c r="X2703" s="59" t="inlineStr">
        <is>
          <t>MENSALIDADE ADVOGADO MO1 MES - KEILA</t>
        </is>
      </c>
      <c r="Z2703" s="59">
        <f>IF($T2703="","",IFERROR(INDEX('Resumo Grupos'!$AC$3:$AC$200,MATCH($T2703,'Resumo Grupos'!$AB$3:$AB$200,0)),"n/d"))</f>
        <v/>
      </c>
      <c r="AA2703" s="59">
        <f>IF($T2703="","",IF(COUNTIF('Resumo Grupos'!$AE$3:$AE$40,$T2703)&gt;0,"NAO","SIM"))</f>
        <v/>
      </c>
    </row>
    <row r="2704" ht="12.75" customHeight="1" s="60">
      <c r="A2704" s="59" t="n">
        <v>1</v>
      </c>
      <c r="B2704" s="82" t="n">
        <v>46206</v>
      </c>
      <c r="C2704" s="82" t="n">
        <v>46313</v>
      </c>
      <c r="D2704" s="59" t="n">
        <v>804</v>
      </c>
      <c r="E2704" s="59" t="inlineStr">
        <is>
          <t>PIMENTEL SOCIEDADE INDIVIDUAL DE ADVOGAC</t>
        </is>
      </c>
      <c r="F2704" s="59" t="n">
        <v>34</v>
      </c>
      <c r="G2704" s="59" t="inlineStr">
        <is>
          <t>Transferencia Pix</t>
        </is>
      </c>
      <c r="H2704" s="59" t="n">
        <v>1110202</v>
      </c>
      <c r="I2704" s="59" t="inlineStr">
        <is>
          <t>BANCO ITAU Lj 01</t>
        </is>
      </c>
      <c r="J2704" s="59" t="n">
        <v>1345494</v>
      </c>
      <c r="L2704" s="59" t="n">
        <v>555731</v>
      </c>
      <c r="M2704" s="59" t="inlineStr">
        <is>
          <t>04</t>
        </is>
      </c>
      <c r="N2704" s="59" t="inlineStr">
        <is>
          <t>AVU</t>
        </is>
      </c>
      <c r="P2704" s="59" t="n">
        <v>101</v>
      </c>
      <c r="Q2704" s="59" t="inlineStr">
        <is>
          <t>KEILA LIMA</t>
        </is>
      </c>
      <c r="R2704" s="59" t="inlineStr">
        <is>
          <t>DESPESAS NAO OPERACIONAIS</t>
        </is>
      </c>
      <c r="S2704" s="59" t="n">
        <v>4220199</v>
      </c>
      <c r="T2704" s="59" t="inlineStr">
        <is>
          <t>PAGAMENTOS OUTROS NAO OPERACIONAIS</t>
        </is>
      </c>
      <c r="U2704" s="59" t="n">
        <v>1621</v>
      </c>
      <c r="W2704" s="59" t="n">
        <v>0</v>
      </c>
      <c r="X2704" s="59" t="inlineStr">
        <is>
          <t>MENSALIDADE ADVOGADO LOJAS RATEIO  DO MES - KEILA</t>
        </is>
      </c>
      <c r="Z2704" s="59">
        <f>IF($T2704="","",IFERROR(INDEX('Resumo Grupos'!$AC$3:$AC$200,MATCH($T2704,'Resumo Grupos'!$AB$3:$AB$200,0)),"n/d"))</f>
        <v/>
      </c>
      <c r="AA2704" s="59">
        <f>IF($T2704="","",IF(COUNTIF('Resumo Grupos'!$AE$3:$AE$40,$T2704)&gt;0,"NAO","SIM"))</f>
        <v/>
      </c>
    </row>
    <row r="2705" ht="12.75" customHeight="1" s="60">
      <c r="A2705" s="59" t="n">
        <v>1</v>
      </c>
      <c r="B2705" s="82" t="n">
        <v>46234</v>
      </c>
      <c r="C2705" s="82" t="n">
        <v>46315</v>
      </c>
      <c r="D2705" s="59" t="n">
        <v>659</v>
      </c>
      <c r="E2705" s="59" t="inlineStr">
        <is>
          <t xml:space="preserve">CENTRAL NACIONAL UNIMED </t>
        </is>
      </c>
      <c r="F2705" s="59" t="n">
        <v>24</v>
      </c>
      <c r="G2705" s="59" t="inlineStr">
        <is>
          <t>Compra a Prazo - Boletos</t>
        </is>
      </c>
      <c r="H2705" s="59" t="n">
        <v>2110405</v>
      </c>
      <c r="I2705" s="59" t="inlineStr">
        <is>
          <t>CONTAS A PAGAR</t>
        </is>
      </c>
      <c r="J2705" s="59" t="n">
        <v>1478178</v>
      </c>
      <c r="L2705" s="59" t="n">
        <v>607145</v>
      </c>
      <c r="M2705" s="59" t="inlineStr">
        <is>
          <t>03</t>
        </is>
      </c>
      <c r="N2705" s="59" t="inlineStr">
        <is>
          <t>AVU</t>
        </is>
      </c>
      <c r="P2705" s="59" t="n">
        <v>101</v>
      </c>
      <c r="Q2705" s="59" t="inlineStr">
        <is>
          <t>KEILA LIMA</t>
        </is>
      </c>
      <c r="R2705" s="59" t="inlineStr">
        <is>
          <t>DESPESAS COM PESSOAL</t>
        </is>
      </c>
      <c r="S2705" s="59" t="n">
        <v>4210311</v>
      </c>
      <c r="T2705" s="59" t="inlineStr">
        <is>
          <t>PLANOS DE SAUDE</t>
        </is>
      </c>
      <c r="U2705" s="59" t="n">
        <v>6193.08</v>
      </c>
      <c r="W2705" s="59" t="n">
        <v>0</v>
      </c>
      <c r="X2705" s="59" t="inlineStr">
        <is>
          <t>PLANO DE SAUDE NEILA RENATO MARIAS - KEILA</t>
        </is>
      </c>
      <c r="Z2705" s="59">
        <f>IF($T2705="","",IFERROR(INDEX('Resumo Grupos'!$AC$3:$AC$200,MATCH($T2705,'Resumo Grupos'!$AB$3:$AB$200,0)),"n/d"))</f>
        <v/>
      </c>
      <c r="AA2705" s="59">
        <f>IF($T2705="","",IF(COUNTIF('Resumo Grupos'!$AE$3:$AE$40,$T2705)&gt;0,"NAO","SIM"))</f>
        <v/>
      </c>
    </row>
    <row r="2706" ht="12.75" customHeight="1" s="60">
      <c r="A2706" s="59" t="n">
        <v>1</v>
      </c>
      <c r="B2706" s="82" t="n">
        <v>46246</v>
      </c>
      <c r="C2706" s="82" t="n">
        <v>46315</v>
      </c>
      <c r="D2706" s="59" t="n">
        <v>1932</v>
      </c>
      <c r="E2706" s="59" t="inlineStr">
        <is>
          <t>OI S.A</t>
        </is>
      </c>
      <c r="F2706" s="59" t="n">
        <v>24</v>
      </c>
      <c r="G2706" s="59" t="inlineStr">
        <is>
          <t>Compra a Prazo - Boletos</t>
        </is>
      </c>
      <c r="H2706" s="59" t="n">
        <v>2110405</v>
      </c>
      <c r="I2706" s="59" t="inlineStr">
        <is>
          <t>CONTAS A PAGAR</t>
        </is>
      </c>
      <c r="J2706" s="59" t="n">
        <v>1370654</v>
      </c>
      <c r="L2706" s="59" t="n">
        <v>565734</v>
      </c>
      <c r="M2706" s="59" t="inlineStr">
        <is>
          <t>04</t>
        </is>
      </c>
      <c r="N2706" s="59" t="inlineStr">
        <is>
          <t>AVU</t>
        </is>
      </c>
      <c r="P2706" s="59" t="n">
        <v>101</v>
      </c>
      <c r="Q2706" s="59" t="inlineStr">
        <is>
          <t>KEILA LIMA</t>
        </is>
      </c>
      <c r="R2706" s="59" t="inlineStr">
        <is>
          <t>DESPESAS COM PESSOAL</t>
        </is>
      </c>
      <c r="S2706" s="59" t="n">
        <v>4210315</v>
      </c>
      <c r="T2706" s="59" t="inlineStr">
        <is>
          <t>INTERNET</t>
        </is>
      </c>
      <c r="U2706" s="59" t="n">
        <v>139.97</v>
      </c>
      <c r="W2706" s="59" t="n">
        <v>0</v>
      </c>
      <c r="X2706" s="59" t="inlineStr">
        <is>
          <t>MENSALIDADE INTERNET MO1 - KEILA</t>
        </is>
      </c>
      <c r="Z2706" s="59">
        <f>IF($T2706="","",IFERROR(INDEX('Resumo Grupos'!$AC$3:$AC$200,MATCH($T2706,'Resumo Grupos'!$AB$3:$AB$200,0)),"n/d"))</f>
        <v/>
      </c>
      <c r="AA2706" s="59">
        <f>IF($T2706="","",IF(COUNTIF('Resumo Grupos'!$AE$3:$AE$40,$T2706)&gt;0,"NAO","SIM"))</f>
        <v/>
      </c>
    </row>
    <row r="2707" ht="12.75" customHeight="1" s="60">
      <c r="A2707" s="59" t="n">
        <v>1</v>
      </c>
      <c r="B2707" s="82" t="n">
        <v>46126</v>
      </c>
      <c r="C2707" s="82" t="n">
        <v>46318</v>
      </c>
      <c r="D2707" s="59" t="n">
        <v>17</v>
      </c>
      <c r="E2707" s="59" t="inlineStr">
        <is>
          <t>NEYLIANE SILVA DE OLIVEIRA</t>
        </is>
      </c>
      <c r="F2707" s="59" t="n">
        <v>24</v>
      </c>
      <c r="G2707" s="59" t="inlineStr">
        <is>
          <t>Compra a Prazo - Boletos</t>
        </is>
      </c>
      <c r="H2707" s="59" t="n">
        <v>2110405</v>
      </c>
      <c r="I2707" s="59" t="inlineStr">
        <is>
          <t>CONTAS A PAGAR</t>
        </is>
      </c>
      <c r="J2707" s="59" t="n">
        <v>950724</v>
      </c>
      <c r="L2707" s="59" t="n">
        <v>403362</v>
      </c>
      <c r="M2707" s="59" t="inlineStr">
        <is>
          <t>07</t>
        </is>
      </c>
      <c r="N2707" s="59" t="inlineStr">
        <is>
          <t>AVU</t>
        </is>
      </c>
      <c r="P2707" s="59" t="n">
        <v>101</v>
      </c>
      <c r="Q2707" s="59" t="inlineStr">
        <is>
          <t>KEILA LIMA</t>
        </is>
      </c>
      <c r="R2707" s="59" t="inlineStr">
        <is>
          <t>DESPESAS NAO OPERACIONAIS</t>
        </is>
      </c>
      <c r="S2707" s="59" t="n">
        <v>4220199</v>
      </c>
      <c r="T2707" s="59" t="inlineStr">
        <is>
          <t>PAGAMENTOS OUTROS NAO OPERACIONAIS</t>
        </is>
      </c>
      <c r="U2707" s="59" t="n">
        <v>2720.81</v>
      </c>
      <c r="W2707" s="59" t="n">
        <v>0</v>
      </c>
      <c r="X2707" s="59" t="inlineStr">
        <is>
          <t xml:space="preserve">PL NEILA CARRO 07/36 </t>
        </is>
      </c>
      <c r="Z2707" s="59">
        <f>IF($T2707="","",IFERROR(INDEX('Resumo Grupos'!$AC$3:$AC$200,MATCH($T2707,'Resumo Grupos'!$AB$3:$AB$200,0)),"n/d"))</f>
        <v/>
      </c>
      <c r="AA2707" s="59">
        <f>IF($T2707="","",IF(COUNTIF('Resumo Grupos'!$AE$3:$AE$40,$T2707)&gt;0,"NAO","SIM"))</f>
        <v/>
      </c>
    </row>
    <row r="2708" ht="12.75" customHeight="1" s="60">
      <c r="A2708" s="59" t="n">
        <v>1</v>
      </c>
      <c r="B2708" s="82" t="n">
        <v>46038</v>
      </c>
      <c r="C2708" s="82" t="n">
        <v>46320</v>
      </c>
      <c r="D2708" s="59" t="n">
        <v>10039</v>
      </c>
      <c r="E2708" s="59" t="inlineStr">
        <is>
          <t>L S C DA SILVA PRADO LTDA</t>
        </is>
      </c>
      <c r="F2708" s="59" t="n">
        <v>36</v>
      </c>
      <c r="G2708" s="59" t="inlineStr">
        <is>
          <t>Cartao BB 1 Novo Visa 0499 Venc 25</t>
        </is>
      </c>
      <c r="H2708" s="59" t="n">
        <v>2110102</v>
      </c>
      <c r="I2708" s="59" t="inlineStr">
        <is>
          <t>OUTROS FORNECEDORES</t>
        </is>
      </c>
      <c r="J2708" s="59" t="n">
        <v>532309</v>
      </c>
      <c r="L2708" s="59" t="n">
        <v>2543</v>
      </c>
      <c r="M2708" s="59" t="inlineStr">
        <is>
          <t>10</t>
        </is>
      </c>
      <c r="N2708" s="59" t="inlineStr">
        <is>
          <t>NFE</t>
        </is>
      </c>
      <c r="P2708" s="59" t="n">
        <v>101</v>
      </c>
      <c r="Q2708" s="59" t="inlineStr">
        <is>
          <t>KEILA LIMA</t>
        </is>
      </c>
      <c r="R2708" s="59" t="inlineStr">
        <is>
          <t>DESPESAS OPERACIONAIS</t>
        </is>
      </c>
      <c r="S2708" s="59" t="n">
        <v>4210204</v>
      </c>
      <c r="T2708" s="59" t="inlineStr">
        <is>
          <t>MATERIAL DE CONSUMO</t>
        </is>
      </c>
      <c r="U2708" s="59" t="n">
        <v>285.77</v>
      </c>
      <c r="W2708" s="59" t="n">
        <v>0</v>
      </c>
      <c r="X2708" s="59" t="inlineStr">
        <is>
          <t>NF 2543 PARC 10/12 - KEILA CAIXA DE SOM</t>
        </is>
      </c>
      <c r="Z2708" s="59">
        <f>IF($T2708="","",IFERROR(INDEX('Resumo Grupos'!$AC$3:$AC$200,MATCH($T2708,'Resumo Grupos'!$AB$3:$AB$200,0)),"n/d"))</f>
        <v/>
      </c>
      <c r="AA2708" s="59">
        <f>IF($T2708="","",IF(COUNTIF('Resumo Grupos'!$AE$3:$AE$40,$T2708)&gt;0,"NAO","SIM"))</f>
        <v/>
      </c>
    </row>
    <row r="2709" ht="12.75" customHeight="1" s="60">
      <c r="A2709" s="59" t="n">
        <v>1</v>
      </c>
      <c r="B2709" s="82" t="n">
        <v>46085</v>
      </c>
      <c r="C2709" s="82" t="n">
        <v>46320</v>
      </c>
      <c r="D2709" s="59" t="n">
        <v>500</v>
      </c>
      <c r="E2709" s="59" t="inlineStr">
        <is>
          <t>REFRIAL DISTRIBUIDORA COMERCIAL DE MAQUI</t>
        </is>
      </c>
      <c r="F2709" s="59" t="n">
        <v>36</v>
      </c>
      <c r="G2709" s="59" t="inlineStr">
        <is>
          <t>Cartao BB 1 Novo Visa 0499 Venc 25</t>
        </is>
      </c>
      <c r="H2709" s="59" t="n">
        <v>2110101</v>
      </c>
      <c r="I2709" s="59" t="inlineStr">
        <is>
          <t>FORNECEDORES DE MERCADORIA</t>
        </is>
      </c>
      <c r="J2709" s="59" t="n">
        <v>808801</v>
      </c>
      <c r="L2709" s="59" t="n">
        <v>349045</v>
      </c>
      <c r="M2709" s="59" t="inlineStr">
        <is>
          <t>08</t>
        </is>
      </c>
      <c r="N2709" s="59" t="inlineStr">
        <is>
          <t>AVU</t>
        </is>
      </c>
      <c r="P2709" s="59" t="n">
        <v>103</v>
      </c>
      <c r="Q2709" s="59" t="inlineStr">
        <is>
          <t>MILKA FRANCIS</t>
        </is>
      </c>
      <c r="R2709" s="59" t="inlineStr">
        <is>
          <t>CONTAS A PAGAR</t>
        </is>
      </c>
      <c r="S2709" s="59" t="n">
        <v>2110405</v>
      </c>
      <c r="T2709" s="59" t="inlineStr">
        <is>
          <t>CONTAS A PAGAR</t>
        </is>
      </c>
      <c r="U2709" s="59" t="n">
        <v>399.1</v>
      </c>
      <c r="W2709" s="59" t="n">
        <v>0</v>
      </c>
      <c r="X2709" s="59" t="inlineStr">
        <is>
          <t>DESPESA LOJA /NF 154967 / 8PARC - MILKA</t>
        </is>
      </c>
      <c r="Z2709" s="59">
        <f>IF($T2709="","",IFERROR(INDEX('Resumo Grupos'!$AC$3:$AC$200,MATCH($T2709,'Resumo Grupos'!$AB$3:$AB$200,0)),"n/d"))</f>
        <v/>
      </c>
      <c r="AA2709" s="59">
        <f>IF($T2709="","",IF(COUNTIF('Resumo Grupos'!$AE$3:$AE$40,$T2709)&gt;0,"NAO","SIM"))</f>
        <v/>
      </c>
    </row>
    <row r="2710" ht="12.75" customHeight="1" s="60">
      <c r="A2710" s="59" t="n">
        <v>1</v>
      </c>
      <c r="B2710" s="82" t="n">
        <v>46120</v>
      </c>
      <c r="C2710" s="82" t="n">
        <v>46320</v>
      </c>
      <c r="D2710" s="59" t="n">
        <v>500</v>
      </c>
      <c r="E2710" s="59" t="inlineStr">
        <is>
          <t>REFRIAL DISTRIBUIDORA COMERCIAL DE MAQUI</t>
        </is>
      </c>
      <c r="F2710" s="59" t="n">
        <v>36</v>
      </c>
      <c r="G2710" s="59" t="inlineStr">
        <is>
          <t>Cartao BB 1 Novo Visa 0499 Venc 25</t>
        </is>
      </c>
      <c r="H2710" s="59" t="n">
        <v>2110405</v>
      </c>
      <c r="I2710" s="59" t="inlineStr">
        <is>
          <t>CONTAS A PAGAR</t>
        </is>
      </c>
      <c r="J2710" s="59" t="n">
        <v>920498</v>
      </c>
      <c r="L2710" s="59" t="n">
        <v>391987</v>
      </c>
      <c r="M2710" s="59" t="inlineStr">
        <is>
          <t>07</t>
        </is>
      </c>
      <c r="N2710" s="59" t="inlineStr">
        <is>
          <t>AVU</t>
        </is>
      </c>
      <c r="P2710" s="59" t="n">
        <v>103</v>
      </c>
      <c r="Q2710" s="59" t="inlineStr">
        <is>
          <t>MILKA FRANCIS</t>
        </is>
      </c>
      <c r="R2710" s="59" t="inlineStr">
        <is>
          <t>BENS TANGIVEIS</t>
        </is>
      </c>
      <c r="S2710" s="59" t="n">
        <v>1240103</v>
      </c>
      <c r="T2710" s="59" t="inlineStr">
        <is>
          <t>MAQUINAS E EQUIPAMENTOS</t>
        </is>
      </c>
      <c r="U2710" s="59" t="n">
        <v>4934.34</v>
      </c>
      <c r="W2710" s="59" t="n">
        <v>0</v>
      </c>
      <c r="X2710" s="59" t="inlineStr">
        <is>
          <t>NF 156023 PARC 07/10 - MILKA</t>
        </is>
      </c>
      <c r="Z2710" s="59">
        <f>IF($T2710="","",IFERROR(INDEX('Resumo Grupos'!$AC$3:$AC$200,MATCH($T2710,'Resumo Grupos'!$AB$3:$AB$200,0)),"n/d"))</f>
        <v/>
      </c>
      <c r="AA2710" s="59">
        <f>IF($T2710="","",IF(COUNTIF('Resumo Grupos'!$AE$3:$AE$40,$T2710)&gt;0,"NAO","SIM"))</f>
        <v/>
      </c>
    </row>
    <row r="2711" ht="12.75" customHeight="1" s="60">
      <c r="A2711" s="59" t="n">
        <v>1</v>
      </c>
      <c r="B2711" s="82" t="n">
        <v>46094</v>
      </c>
      <c r="C2711" s="82" t="n">
        <v>46320</v>
      </c>
      <c r="D2711" s="59" t="n">
        <v>468</v>
      </c>
      <c r="E2711" s="59" t="inlineStr">
        <is>
          <t>M.R.G COMERCIO DE MAQUINAS EIRELI.</t>
        </is>
      </c>
      <c r="F2711" s="59" t="n">
        <v>36</v>
      </c>
      <c r="G2711" s="59" t="inlineStr">
        <is>
          <t>Cartao BB 1 Novo Visa 0499 Venc 25</t>
        </is>
      </c>
      <c r="H2711" s="59" t="n">
        <v>2110405</v>
      </c>
      <c r="I2711" s="59" t="inlineStr">
        <is>
          <t>CONTAS A PAGAR</t>
        </is>
      </c>
      <c r="J2711" s="59" t="n">
        <v>1024118</v>
      </c>
      <c r="L2711" s="59" t="n">
        <v>14289</v>
      </c>
      <c r="M2711" s="59" t="inlineStr">
        <is>
          <t>07</t>
        </is>
      </c>
      <c r="N2711" s="59" t="inlineStr">
        <is>
          <t>AVU</t>
        </is>
      </c>
      <c r="P2711" s="59" t="n">
        <v>101</v>
      </c>
      <c r="Q2711" s="59" t="inlineStr">
        <is>
          <t>KEILA LIMA</t>
        </is>
      </c>
      <c r="R2711" s="59" t="inlineStr">
        <is>
          <t>BENS TANGIVEIS</t>
        </is>
      </c>
      <c r="S2711" s="59" t="n">
        <v>1240103</v>
      </c>
      <c r="T2711" s="59" t="inlineStr">
        <is>
          <t>MAQUINAS E EQUIPAMENTOS</t>
        </is>
      </c>
      <c r="U2711" s="59" t="n">
        <v>1197</v>
      </c>
      <c r="W2711" s="59" t="n">
        <v>0</v>
      </c>
      <c r="X2711" s="59" t="inlineStr">
        <is>
          <t>NF 14289</t>
        </is>
      </c>
      <c r="Z2711" s="59">
        <f>IF($T2711="","",IFERROR(INDEX('Resumo Grupos'!$AC$3:$AC$200,MATCH($T2711,'Resumo Grupos'!$AB$3:$AB$200,0)),"n/d"))</f>
        <v/>
      </c>
      <c r="AA2711" s="59">
        <f>IF($T2711="","",IF(COUNTIF('Resumo Grupos'!$AE$3:$AE$40,$T2711)&gt;0,"NAO","SIM"))</f>
        <v/>
      </c>
    </row>
    <row r="2712" ht="12.75" customHeight="1" s="60">
      <c r="A2712" s="59" t="n">
        <v>1</v>
      </c>
      <c r="B2712" s="82" t="n">
        <v>46256</v>
      </c>
      <c r="C2712" s="82" t="n">
        <v>46321</v>
      </c>
      <c r="D2712" s="59" t="n">
        <v>607</v>
      </c>
      <c r="E2712" s="59" t="inlineStr">
        <is>
          <t>PRIME PET DISTRIBUIDORA LTDA</t>
        </is>
      </c>
      <c r="F2712" s="59" t="n">
        <v>24</v>
      </c>
      <c r="G2712" s="59" t="inlineStr">
        <is>
          <t>Compra a Prazo - Boletos</t>
        </is>
      </c>
      <c r="H2712" s="59" t="n">
        <v>2110405</v>
      </c>
      <c r="I2712" s="59" t="inlineStr">
        <is>
          <t>CONTAS A PAGAR</t>
        </is>
      </c>
      <c r="J2712" s="59" t="n">
        <v>1585319</v>
      </c>
      <c r="L2712" s="59" t="n">
        <v>11473</v>
      </c>
      <c r="M2712" s="59" t="inlineStr">
        <is>
          <t>05</t>
        </is>
      </c>
      <c r="N2712" s="59" t="inlineStr">
        <is>
          <t>AVU</t>
        </is>
      </c>
      <c r="P2712" s="59" t="n">
        <v>103</v>
      </c>
      <c r="Q2712" s="59" t="inlineStr">
        <is>
          <t>MILKA FRANCIS</t>
        </is>
      </c>
      <c r="R2712" s="59" t="inlineStr">
        <is>
          <t>ESTOQUE DE MERCADORIAS</t>
        </is>
      </c>
      <c r="S2712" s="59" t="n">
        <v>1130101</v>
      </c>
      <c r="T2712" s="59" t="inlineStr">
        <is>
          <t>MERCADORIAS P/REVENDA</t>
        </is>
      </c>
      <c r="U2712" s="59" t="n">
        <v>1969.17</v>
      </c>
      <c r="W2712" s="59" t="n">
        <v>0</v>
      </c>
      <c r="X2712" s="59" t="inlineStr">
        <is>
          <t>NF 11473 -05/11 - MILKA</t>
        </is>
      </c>
      <c r="Z2712" s="59">
        <f>IF($T2712="","",IFERROR(INDEX('Resumo Grupos'!$AC$3:$AC$200,MATCH($T2712,'Resumo Grupos'!$AB$3:$AB$200,0)),"n/d"))</f>
        <v/>
      </c>
      <c r="AA2712" s="59">
        <f>IF($T2712="","",IF(COUNTIF('Resumo Grupos'!$AE$3:$AE$40,$T2712)&gt;0,"NAO","SIM"))</f>
        <v/>
      </c>
    </row>
    <row r="2713" ht="12.75" customHeight="1" s="60">
      <c r="A2713" s="59" t="n">
        <v>1</v>
      </c>
      <c r="B2713" s="82" t="n">
        <v>46228</v>
      </c>
      <c r="C2713" s="82" t="n">
        <v>46323</v>
      </c>
      <c r="D2713" s="59" t="n">
        <v>515</v>
      </c>
      <c r="E2713" s="59" t="inlineStr">
        <is>
          <t>ITAU SA</t>
        </is>
      </c>
      <c r="F2713" s="59" t="n">
        <v>34</v>
      </c>
      <c r="G2713" s="59" t="inlineStr">
        <is>
          <t>Transferencia Pix</t>
        </is>
      </c>
      <c r="H2713" s="59" t="n">
        <v>1110202</v>
      </c>
      <c r="I2713" s="59" t="inlineStr">
        <is>
          <t>BANCO ITAU Lj 01</t>
        </is>
      </c>
      <c r="J2713" s="59" t="n">
        <v>1449535</v>
      </c>
      <c r="L2713" s="59" t="n">
        <v>596258</v>
      </c>
      <c r="M2713" s="59" t="inlineStr">
        <is>
          <t>04</t>
        </is>
      </c>
      <c r="N2713" s="59" t="inlineStr">
        <is>
          <t>AVU</t>
        </is>
      </c>
      <c r="P2713" s="59" t="n">
        <v>101</v>
      </c>
      <c r="Q2713" s="59" t="inlineStr">
        <is>
          <t>KEILA LIMA</t>
        </is>
      </c>
      <c r="R2713" s="59" t="inlineStr">
        <is>
          <t>DESPESAS NAO OPERACIONAIS</t>
        </is>
      </c>
      <c r="S2713" s="59" t="n">
        <v>4220199</v>
      </c>
      <c r="T2713" s="59" t="inlineStr">
        <is>
          <t>PAGAMENTOS OUTROS NAO OPERACIONAIS</t>
        </is>
      </c>
      <c r="U2713" s="59" t="n">
        <v>3853.23</v>
      </c>
      <c r="W2713" s="59" t="n">
        <v>0</v>
      </c>
      <c r="X2713" s="59" t="inlineStr">
        <is>
          <t xml:space="preserve">NAO SOMAR PARC 20/36 PL ROGER E RENATO </t>
        </is>
      </c>
      <c r="Z2713" s="59">
        <f>IF($T2713="","",IFERROR(INDEX('Resumo Grupos'!$AC$3:$AC$200,MATCH($T2713,'Resumo Grupos'!$AB$3:$AB$200,0)),"n/d"))</f>
        <v/>
      </c>
      <c r="AA2713" s="59">
        <f>IF($T2713="","",IF(COUNTIF('Resumo Grupos'!$AE$3:$AE$40,$T2713)&gt;0,"NAO","SIM"))</f>
        <v/>
      </c>
    </row>
    <row r="2714" ht="12.75" customHeight="1" s="60">
      <c r="A2714" s="59" t="n">
        <v>1</v>
      </c>
      <c r="B2714" s="82" t="n">
        <v>46232</v>
      </c>
      <c r="C2714" s="82" t="n">
        <v>46325</v>
      </c>
      <c r="D2714" s="59" t="n">
        <v>815</v>
      </c>
      <c r="E2714" s="59" t="inlineStr">
        <is>
          <t xml:space="preserve">ROBSON - ROBINHO </t>
        </is>
      </c>
      <c r="F2714" s="59" t="n">
        <v>34</v>
      </c>
      <c r="G2714" s="59" t="inlineStr">
        <is>
          <t>Transferencia Pix</t>
        </is>
      </c>
      <c r="H2714" s="59" t="n">
        <v>1110202</v>
      </c>
      <c r="I2714" s="59" t="inlineStr">
        <is>
          <t>BANCO ITAU Lj 01</t>
        </is>
      </c>
      <c r="J2714" s="59" t="n">
        <v>1470128</v>
      </c>
      <c r="L2714" s="59" t="n">
        <v>604118</v>
      </c>
      <c r="M2714" s="59" t="inlineStr">
        <is>
          <t>03</t>
        </is>
      </c>
      <c r="N2714" s="59" t="inlineStr">
        <is>
          <t>AVU</t>
        </is>
      </c>
      <c r="P2714" s="59" t="n">
        <v>101</v>
      </c>
      <c r="Q2714" s="59" t="inlineStr">
        <is>
          <t>KEILA LIMA</t>
        </is>
      </c>
      <c r="R2714" s="59" t="inlineStr">
        <is>
          <t>DESPESAS FINANCEIRAS</t>
        </is>
      </c>
      <c r="S2714" s="59" t="n">
        <v>4210502</v>
      </c>
      <c r="T2714" s="59" t="inlineStr">
        <is>
          <t>JUROS S/ EMPRESTIMOS</t>
        </is>
      </c>
      <c r="U2714" s="59" t="n">
        <v>1000</v>
      </c>
      <c r="W2714" s="59" t="n">
        <v>0</v>
      </c>
      <c r="X2714" s="59" t="inlineStr">
        <is>
          <t>JUROS DO EMPRESTIMO ROBSON P MO1 50MIL 1% AO MES - KEILA</t>
        </is>
      </c>
      <c r="Z2714" s="59">
        <f>IF($T2714="","",IFERROR(INDEX('Resumo Grupos'!$AC$3:$AC$200,MATCH($T2714,'Resumo Grupos'!$AB$3:$AB$200,0)),"n/d"))</f>
        <v/>
      </c>
      <c r="AA2714" s="59">
        <f>IF($T2714="","",IF(COUNTIF('Resumo Grupos'!$AE$3:$AE$40,$T2714)&gt;0,"NAO","SIM"))</f>
        <v/>
      </c>
    </row>
  </sheetData>
  <mergeCells count="13">
    <mergeCell ref="U8:V8"/>
    <mergeCell ref="A2:Y2"/>
    <mergeCell ref="O7:Y7"/>
    <mergeCell ref="A1:Y1"/>
    <mergeCell ref="A5:Y5"/>
    <mergeCell ref="A7:N7"/>
    <mergeCell ref="A9:Y9"/>
    <mergeCell ref="A6:Y6"/>
    <mergeCell ref="X8:Y8"/>
    <mergeCell ref="A4:Y4"/>
    <mergeCell ref="J8:K8"/>
    <mergeCell ref="A3:Y3"/>
    <mergeCell ref="N8:O8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0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10.11" customWidth="1" style="83" min="1" max="1"/>
    <col width="69.56" customWidth="1" style="59" min="2" max="2"/>
    <col width="10.88" customWidth="1" style="77" min="3" max="3"/>
    <col width="59.11" customWidth="1" style="59" min="4" max="4"/>
  </cols>
  <sheetData>
    <row r="1" ht="12.75" customHeight="1" s="60">
      <c r="A1" s="84" t="inlineStr">
        <is>
          <t>Data Vencimento</t>
        </is>
      </c>
      <c r="B1" s="85" t="inlineStr">
        <is>
          <t>Fornecedor</t>
        </is>
      </c>
      <c r="C1" s="86" t="inlineStr">
        <is>
          <t>Valor do Título</t>
        </is>
      </c>
      <c r="D1" s="85" t="inlineStr">
        <is>
          <t>Observação</t>
        </is>
      </c>
    </row>
    <row r="2" ht="12.75" customHeight="1" s="60">
      <c r="A2" s="75">
        <f>Report!C10</f>
        <v/>
      </c>
      <c r="B2" s="59">
        <f>Report!E10</f>
        <v/>
      </c>
      <c r="C2" s="77">
        <f>Report!U10</f>
        <v/>
      </c>
      <c r="D2" s="59">
        <f>Report!X10</f>
        <v/>
      </c>
    </row>
    <row r="3" ht="12.75" customHeight="1" s="60">
      <c r="A3" s="75">
        <f>Report!C11</f>
        <v/>
      </c>
      <c r="B3" s="59">
        <f>Report!E11</f>
        <v/>
      </c>
      <c r="C3" s="77">
        <f>Report!U11</f>
        <v/>
      </c>
      <c r="D3" s="59">
        <f>Report!X11</f>
        <v/>
      </c>
    </row>
    <row r="4" ht="12.75" customHeight="1" s="60">
      <c r="A4" s="75">
        <f>Report!C12</f>
        <v/>
      </c>
      <c r="B4" s="59">
        <f>Report!E12</f>
        <v/>
      </c>
      <c r="C4" s="77">
        <f>Report!U12</f>
        <v/>
      </c>
      <c r="D4" s="59">
        <f>Report!X12</f>
        <v/>
      </c>
    </row>
    <row r="5" ht="12.75" customHeight="1" s="60">
      <c r="A5" s="75">
        <f>Report!C13</f>
        <v/>
      </c>
      <c r="B5" s="59">
        <f>Report!E13</f>
        <v/>
      </c>
      <c r="C5" s="77">
        <f>Report!U13</f>
        <v/>
      </c>
      <c r="D5" s="59">
        <f>Report!X13</f>
        <v/>
      </c>
    </row>
    <row r="6" ht="12.75" customHeight="1" s="60">
      <c r="A6" s="75">
        <f>Report!C14</f>
        <v/>
      </c>
      <c r="B6" s="59">
        <f>Report!E14</f>
        <v/>
      </c>
      <c r="C6" s="77">
        <f>Report!U14</f>
        <v/>
      </c>
      <c r="D6" s="59">
        <f>Report!X14</f>
        <v/>
      </c>
    </row>
    <row r="7" ht="12.75" customHeight="1" s="60">
      <c r="A7" s="75">
        <f>Report!C15</f>
        <v/>
      </c>
      <c r="B7" s="59">
        <f>Report!E15</f>
        <v/>
      </c>
      <c r="C7" s="77">
        <f>Report!U15</f>
        <v/>
      </c>
      <c r="D7" s="59">
        <f>Report!X15</f>
        <v/>
      </c>
    </row>
    <row r="8" ht="12.75" customHeight="1" s="60">
      <c r="A8" s="75">
        <f>Report!C16</f>
        <v/>
      </c>
      <c r="B8" s="59">
        <f>Report!E16</f>
        <v/>
      </c>
      <c r="C8" s="77">
        <f>Report!U16</f>
        <v/>
      </c>
      <c r="D8" s="59">
        <f>Report!X16</f>
        <v/>
      </c>
    </row>
    <row r="9" ht="12.75" customHeight="1" s="60">
      <c r="A9" s="75">
        <f>Report!C17</f>
        <v/>
      </c>
      <c r="B9" s="59">
        <f>Report!E17</f>
        <v/>
      </c>
      <c r="C9" s="77">
        <f>Report!U17</f>
        <v/>
      </c>
      <c r="D9" s="59">
        <f>Report!X17</f>
        <v/>
      </c>
    </row>
    <row r="10" ht="12.75" customHeight="1" s="60">
      <c r="A10" s="75">
        <f>Report!C18</f>
        <v/>
      </c>
      <c r="B10" s="59">
        <f>Report!E18</f>
        <v/>
      </c>
      <c r="C10" s="77">
        <f>Report!U18</f>
        <v/>
      </c>
      <c r="D10" s="59">
        <f>Report!X18</f>
        <v/>
      </c>
    </row>
    <row r="11" ht="12.75" customHeight="1" s="60">
      <c r="A11" s="75">
        <f>Report!C19</f>
        <v/>
      </c>
      <c r="B11" s="59">
        <f>Report!E19</f>
        <v/>
      </c>
      <c r="C11" s="77">
        <f>Report!U19</f>
        <v/>
      </c>
      <c r="D11" s="59">
        <f>Report!X19</f>
        <v/>
      </c>
    </row>
    <row r="12" ht="12.75" customHeight="1" s="60">
      <c r="A12" s="75">
        <f>Report!C20</f>
        <v/>
      </c>
      <c r="B12" s="59">
        <f>Report!E20</f>
        <v/>
      </c>
      <c r="C12" s="77">
        <f>Report!U20</f>
        <v/>
      </c>
      <c r="D12" s="59">
        <f>Report!X20</f>
        <v/>
      </c>
    </row>
    <row r="13" ht="12.75" customHeight="1" s="60">
      <c r="A13" s="75">
        <f>Report!C21</f>
        <v/>
      </c>
      <c r="B13" s="59">
        <f>Report!E21</f>
        <v/>
      </c>
      <c r="C13" s="77">
        <f>Report!U21</f>
        <v/>
      </c>
      <c r="D13" s="59">
        <f>Report!X21</f>
        <v/>
      </c>
    </row>
    <row r="14" ht="12.75" customHeight="1" s="60">
      <c r="A14" s="75">
        <f>Report!C22</f>
        <v/>
      </c>
      <c r="B14" s="59">
        <f>Report!E22</f>
        <v/>
      </c>
      <c r="C14" s="77">
        <f>Report!U22</f>
        <v/>
      </c>
      <c r="D14" s="59">
        <f>Report!X22</f>
        <v/>
      </c>
    </row>
    <row r="15" ht="12.75" customHeight="1" s="60">
      <c r="A15" s="75">
        <f>Report!C24</f>
        <v/>
      </c>
      <c r="B15" s="59">
        <f>Report!E24</f>
        <v/>
      </c>
      <c r="C15" s="77">
        <f>Report!U24</f>
        <v/>
      </c>
      <c r="D15" s="59">
        <f>Report!X24</f>
        <v/>
      </c>
    </row>
    <row r="16" ht="12.75" customHeight="1" s="60">
      <c r="A16" s="75">
        <f>Report!C25</f>
        <v/>
      </c>
      <c r="B16" s="59">
        <f>Report!E25</f>
        <v/>
      </c>
      <c r="C16" s="77">
        <f>Report!U25</f>
        <v/>
      </c>
      <c r="D16" s="59">
        <f>Report!X25</f>
        <v/>
      </c>
    </row>
    <row r="17" ht="12.75" customHeight="1" s="60">
      <c r="A17" s="75">
        <f>Report!C26</f>
        <v/>
      </c>
      <c r="B17" s="59">
        <f>Report!E26</f>
        <v/>
      </c>
      <c r="C17" s="77">
        <f>Report!U26</f>
        <v/>
      </c>
      <c r="D17" s="59">
        <f>Report!X26</f>
        <v/>
      </c>
    </row>
    <row r="18" ht="12.75" customHeight="1" s="60">
      <c r="A18" s="75">
        <f>Report!C27</f>
        <v/>
      </c>
      <c r="B18" s="59">
        <f>Report!E27</f>
        <v/>
      </c>
      <c r="C18" s="77">
        <f>Report!U27</f>
        <v/>
      </c>
      <c r="D18" s="59">
        <f>Report!X27</f>
        <v/>
      </c>
    </row>
    <row r="19" ht="12.75" customHeight="1" s="60">
      <c r="A19" s="75">
        <f>Report!C28</f>
        <v/>
      </c>
      <c r="B19" s="59">
        <f>Report!E28</f>
        <v/>
      </c>
      <c r="C19" s="77">
        <f>Report!U28</f>
        <v/>
      </c>
      <c r="D19" s="59">
        <f>Report!X28</f>
        <v/>
      </c>
    </row>
    <row r="20" ht="12.75" customHeight="1" s="60">
      <c r="A20" s="75">
        <f>Report!C29</f>
        <v/>
      </c>
      <c r="B20" s="59">
        <f>Report!E29</f>
        <v/>
      </c>
      <c r="C20" s="77">
        <f>Report!U29</f>
        <v/>
      </c>
      <c r="D20" s="59">
        <f>Report!X29</f>
        <v/>
      </c>
    </row>
    <row r="21" ht="12.75" customHeight="1" s="60">
      <c r="A21" s="75">
        <f>Report!C30</f>
        <v/>
      </c>
      <c r="B21" s="59">
        <f>Report!E30</f>
        <v/>
      </c>
      <c r="C21" s="77">
        <f>Report!U30</f>
        <v/>
      </c>
      <c r="D21" s="59">
        <f>Report!X30</f>
        <v/>
      </c>
    </row>
    <row r="22" ht="12.75" customHeight="1" s="60">
      <c r="A22" s="75">
        <f>Report!C31</f>
        <v/>
      </c>
      <c r="B22" s="59">
        <f>Report!E31</f>
        <v/>
      </c>
      <c r="C22" s="77">
        <f>Report!U31</f>
        <v/>
      </c>
      <c r="D22" s="59">
        <f>Report!X31</f>
        <v/>
      </c>
    </row>
    <row r="23" ht="12.75" customHeight="1" s="60">
      <c r="A23" s="75">
        <f>Report!C32</f>
        <v/>
      </c>
      <c r="B23" s="59">
        <f>Report!E32</f>
        <v/>
      </c>
      <c r="C23" s="77">
        <f>Report!U32</f>
        <v/>
      </c>
      <c r="D23" s="59">
        <f>Report!X32</f>
        <v/>
      </c>
    </row>
    <row r="24" ht="12.75" customHeight="1" s="60">
      <c r="A24" s="75">
        <f>Report!C33</f>
        <v/>
      </c>
      <c r="B24" s="59">
        <f>Report!E33</f>
        <v/>
      </c>
      <c r="C24" s="77">
        <f>Report!U33</f>
        <v/>
      </c>
      <c r="D24" s="59">
        <f>Report!X33</f>
        <v/>
      </c>
    </row>
    <row r="25" ht="12.75" customHeight="1" s="60">
      <c r="A25" s="75">
        <f>Report!C39</f>
        <v/>
      </c>
      <c r="B25" s="59">
        <f>Report!E39</f>
        <v/>
      </c>
      <c r="C25" s="77">
        <f>Report!U39</f>
        <v/>
      </c>
      <c r="D25" s="59">
        <f>Report!X39</f>
        <v/>
      </c>
    </row>
    <row r="26" ht="12.75" customHeight="1" s="60">
      <c r="A26" s="75">
        <f>Report!C40</f>
        <v/>
      </c>
      <c r="B26" s="59">
        <f>Report!E40</f>
        <v/>
      </c>
      <c r="C26" s="77">
        <f>Report!U40</f>
        <v/>
      </c>
      <c r="D26" s="59">
        <f>Report!X40</f>
        <v/>
      </c>
    </row>
    <row r="27" ht="12.75" customHeight="1" s="60">
      <c r="A27" s="75">
        <f>Report!C41</f>
        <v/>
      </c>
      <c r="B27" s="59">
        <f>Report!E41</f>
        <v/>
      </c>
      <c r="C27" s="77">
        <f>Report!U41</f>
        <v/>
      </c>
      <c r="D27" s="59">
        <f>Report!X41</f>
        <v/>
      </c>
    </row>
    <row r="28" ht="12.75" customHeight="1" s="60">
      <c r="A28" s="75">
        <f>Report!C53</f>
        <v/>
      </c>
      <c r="B28" s="59">
        <f>Report!E53</f>
        <v/>
      </c>
      <c r="C28" s="77">
        <f>Report!U53</f>
        <v/>
      </c>
      <c r="D28" s="59">
        <f>Report!X53</f>
        <v/>
      </c>
    </row>
    <row r="29" ht="12.75" customHeight="1" s="60">
      <c r="A29" s="75">
        <f>Report!C54</f>
        <v/>
      </c>
      <c r="B29" s="59">
        <f>Report!E54</f>
        <v/>
      </c>
      <c r="C29" s="77">
        <f>Report!U54</f>
        <v/>
      </c>
      <c r="D29" s="59">
        <f>Report!X54</f>
        <v/>
      </c>
    </row>
    <row r="30" ht="12.75" customHeight="1" s="60">
      <c r="A30" s="75">
        <f>Report!C55</f>
        <v/>
      </c>
      <c r="B30" s="59">
        <f>Report!E55</f>
        <v/>
      </c>
      <c r="C30" s="77">
        <f>Report!U55</f>
        <v/>
      </c>
      <c r="D30" s="59">
        <f>Report!X55</f>
        <v/>
      </c>
    </row>
    <row r="31" ht="12.75" customHeight="1" s="60">
      <c r="A31" s="75">
        <f>Report!C56</f>
        <v/>
      </c>
      <c r="B31" s="59">
        <f>Report!E56</f>
        <v/>
      </c>
      <c r="C31" s="77">
        <f>Report!U56</f>
        <v/>
      </c>
      <c r="D31" s="59">
        <f>Report!X56</f>
        <v/>
      </c>
    </row>
    <row r="32" ht="12.75" customHeight="1" s="60">
      <c r="A32" s="75">
        <f>Report!C57</f>
        <v/>
      </c>
      <c r="B32" s="59">
        <f>Report!E57</f>
        <v/>
      </c>
      <c r="C32" s="77">
        <f>Report!U57</f>
        <v/>
      </c>
      <c r="D32" s="59">
        <f>Report!X57</f>
        <v/>
      </c>
    </row>
    <row r="33" ht="12.75" customHeight="1" s="60">
      <c r="A33" s="75">
        <f>Report!C59</f>
        <v/>
      </c>
      <c r="B33" s="59">
        <f>Report!E59</f>
        <v/>
      </c>
      <c r="C33" s="77">
        <f>Report!U59</f>
        <v/>
      </c>
      <c r="D33" s="59">
        <f>Report!X59</f>
        <v/>
      </c>
    </row>
    <row r="34" ht="12.75" customHeight="1" s="60">
      <c r="A34" s="75">
        <f>Report!C60</f>
        <v/>
      </c>
      <c r="B34" s="59">
        <f>Report!E60</f>
        <v/>
      </c>
      <c r="C34" s="77">
        <f>Report!U60</f>
        <v/>
      </c>
      <c r="D34" s="59">
        <f>Report!X60</f>
        <v/>
      </c>
    </row>
    <row r="35" ht="12.75" customHeight="1" s="60">
      <c r="A35" s="75">
        <f>Report!C61</f>
        <v/>
      </c>
      <c r="B35" s="59">
        <f>Report!E61</f>
        <v/>
      </c>
      <c r="C35" s="77">
        <f>Report!U61</f>
        <v/>
      </c>
      <c r="D35" s="59">
        <f>Report!X61</f>
        <v/>
      </c>
    </row>
    <row r="36" ht="12.75" customHeight="1" s="60">
      <c r="A36" s="75">
        <f>Report!C62</f>
        <v/>
      </c>
      <c r="B36" s="59">
        <f>Report!E62</f>
        <v/>
      </c>
      <c r="C36" s="77">
        <f>Report!U62</f>
        <v/>
      </c>
      <c r="D36" s="59">
        <f>Report!X62</f>
        <v/>
      </c>
    </row>
    <row r="37" ht="12.75" customHeight="1" s="60">
      <c r="A37" s="75">
        <f>Report!C63</f>
        <v/>
      </c>
      <c r="B37" s="59">
        <f>Report!E63</f>
        <v/>
      </c>
      <c r="C37" s="77">
        <f>Report!U63</f>
        <v/>
      </c>
      <c r="D37" s="59">
        <f>Report!X63</f>
        <v/>
      </c>
    </row>
    <row r="38" ht="12.75" customHeight="1" s="60">
      <c r="A38" s="75">
        <f>Report!C64</f>
        <v/>
      </c>
      <c r="B38" s="59">
        <f>Report!E64</f>
        <v/>
      </c>
      <c r="C38" s="77">
        <f>Report!U64</f>
        <v/>
      </c>
      <c r="D38" s="59">
        <f>Report!X64</f>
        <v/>
      </c>
    </row>
    <row r="39" ht="12.75" customHeight="1" s="60">
      <c r="A39" s="75">
        <f>Report!C65</f>
        <v/>
      </c>
      <c r="B39" s="59">
        <f>Report!E65</f>
        <v/>
      </c>
      <c r="C39" s="77">
        <f>Report!U65</f>
        <v/>
      </c>
      <c r="D39" s="59">
        <f>Report!X65</f>
        <v/>
      </c>
    </row>
    <row r="40" ht="12.75" customHeight="1" s="60">
      <c r="A40" s="75">
        <f>Report!C66</f>
        <v/>
      </c>
      <c r="B40" s="59">
        <f>Report!E66</f>
        <v/>
      </c>
      <c r="C40" s="77">
        <f>Report!U66</f>
        <v/>
      </c>
      <c r="D40" s="59">
        <f>Report!X66</f>
        <v/>
      </c>
    </row>
    <row r="41" ht="12.75" customHeight="1" s="60">
      <c r="A41" s="75">
        <f>Report!C67</f>
        <v/>
      </c>
      <c r="B41" s="59">
        <f>Report!E67</f>
        <v/>
      </c>
      <c r="C41" s="77">
        <f>Report!U67</f>
        <v/>
      </c>
      <c r="D41" s="59">
        <f>Report!X67</f>
        <v/>
      </c>
    </row>
    <row r="42" ht="12.75" customHeight="1" s="60">
      <c r="A42" s="75">
        <f>Report!C68</f>
        <v/>
      </c>
      <c r="B42" s="59">
        <f>Report!E68</f>
        <v/>
      </c>
      <c r="C42" s="77">
        <f>Report!U68</f>
        <v/>
      </c>
      <c r="D42" s="59">
        <f>Report!X68</f>
        <v/>
      </c>
    </row>
    <row r="43" ht="12.75" customHeight="1" s="60">
      <c r="A43" s="75">
        <f>Report!C69</f>
        <v/>
      </c>
      <c r="B43" s="59">
        <f>Report!E69</f>
        <v/>
      </c>
      <c r="C43" s="77">
        <f>Report!U69</f>
        <v/>
      </c>
      <c r="D43" s="59">
        <f>Report!X69</f>
        <v/>
      </c>
    </row>
    <row r="44" ht="12.75" customHeight="1" s="60">
      <c r="A44" s="75">
        <f>Report!C70</f>
        <v/>
      </c>
      <c r="B44" s="59">
        <f>Report!E70</f>
        <v/>
      </c>
      <c r="C44" s="77">
        <f>Report!U70</f>
        <v/>
      </c>
      <c r="D44" s="59">
        <f>Report!X70</f>
        <v/>
      </c>
    </row>
    <row r="45" ht="12.75" customHeight="1" s="60">
      <c r="A45" s="75">
        <f>Report!C71</f>
        <v/>
      </c>
      <c r="B45" s="59">
        <f>Report!E71</f>
        <v/>
      </c>
      <c r="C45" s="77">
        <f>Report!U71</f>
        <v/>
      </c>
      <c r="D45" s="59">
        <f>Report!X71</f>
        <v/>
      </c>
    </row>
    <row r="46" ht="12.75" customHeight="1" s="60">
      <c r="A46" s="75">
        <f>Report!C75</f>
        <v/>
      </c>
      <c r="B46" s="59">
        <f>Report!E75</f>
        <v/>
      </c>
      <c r="C46" s="77">
        <f>Report!U75</f>
        <v/>
      </c>
      <c r="D46" s="59">
        <f>Report!X75</f>
        <v/>
      </c>
    </row>
    <row r="47" ht="12.75" customHeight="1" s="60">
      <c r="A47" s="75">
        <f>Report!C76</f>
        <v/>
      </c>
      <c r="B47" s="59">
        <f>Report!E76</f>
        <v/>
      </c>
      <c r="C47" s="77">
        <f>Report!U76</f>
        <v/>
      </c>
      <c r="D47" s="59">
        <f>Report!X76</f>
        <v/>
      </c>
    </row>
    <row r="48" ht="12.75" customHeight="1" s="60">
      <c r="A48" s="75">
        <f>Report!C77</f>
        <v/>
      </c>
      <c r="B48" s="59">
        <f>Report!E77</f>
        <v/>
      </c>
      <c r="C48" s="77">
        <f>Report!U77</f>
        <v/>
      </c>
      <c r="D48" s="59">
        <f>Report!X77</f>
        <v/>
      </c>
    </row>
    <row r="49" ht="12.75" customHeight="1" s="60">
      <c r="A49" s="75">
        <f>Report!C84</f>
        <v/>
      </c>
      <c r="B49" s="59">
        <f>Report!E84</f>
        <v/>
      </c>
      <c r="C49" s="77">
        <f>Report!U84</f>
        <v/>
      </c>
      <c r="D49" s="59">
        <f>Report!X84</f>
        <v/>
      </c>
    </row>
    <row r="50" ht="12.75" customHeight="1" s="60">
      <c r="A50" s="75">
        <f>Report!C86</f>
        <v/>
      </c>
      <c r="B50" s="59">
        <f>Report!E86</f>
        <v/>
      </c>
      <c r="C50" s="77">
        <f>Report!U86</f>
        <v/>
      </c>
      <c r="D50" s="59">
        <f>Report!X86</f>
        <v/>
      </c>
    </row>
    <row r="51" ht="12.75" customHeight="1" s="60">
      <c r="A51" s="75">
        <f>Report!C87</f>
        <v/>
      </c>
      <c r="B51" s="59">
        <f>Report!E87</f>
        <v/>
      </c>
      <c r="C51" s="77">
        <f>Report!U87</f>
        <v/>
      </c>
      <c r="D51" s="59">
        <f>Report!X87</f>
        <v/>
      </c>
    </row>
    <row r="52" ht="12.75" customHeight="1" s="60">
      <c r="A52" s="75">
        <f>Report!C88</f>
        <v/>
      </c>
      <c r="B52" s="59">
        <f>Report!E88</f>
        <v/>
      </c>
      <c r="C52" s="77">
        <f>Report!U88</f>
        <v/>
      </c>
      <c r="D52" s="59">
        <f>Report!X88</f>
        <v/>
      </c>
    </row>
    <row r="53" ht="12.75" customHeight="1" s="60">
      <c r="A53" s="75">
        <f>Report!C89</f>
        <v/>
      </c>
      <c r="B53" s="59">
        <f>Report!E89</f>
        <v/>
      </c>
      <c r="C53" s="77">
        <f>Report!U89</f>
        <v/>
      </c>
      <c r="D53" s="59">
        <f>Report!X89</f>
        <v/>
      </c>
    </row>
    <row r="54" ht="12.75" customHeight="1" s="60">
      <c r="A54" s="75">
        <f>Report!C90</f>
        <v/>
      </c>
      <c r="B54" s="59">
        <f>Report!E90</f>
        <v/>
      </c>
      <c r="C54" s="77">
        <f>Report!U90</f>
        <v/>
      </c>
      <c r="D54" s="59">
        <f>Report!X90</f>
        <v/>
      </c>
    </row>
    <row r="55" ht="12.75" customHeight="1" s="60">
      <c r="A55" s="75">
        <f>Report!C91</f>
        <v/>
      </c>
      <c r="B55" s="59">
        <f>Report!E91</f>
        <v/>
      </c>
      <c r="C55" s="77">
        <f>Report!U91</f>
        <v/>
      </c>
      <c r="D55" s="59">
        <f>Report!X91</f>
        <v/>
      </c>
    </row>
    <row r="56" ht="12.75" customHeight="1" s="60">
      <c r="A56" s="75">
        <f>Report!C92</f>
        <v/>
      </c>
      <c r="B56" s="59">
        <f>Report!E92</f>
        <v/>
      </c>
      <c r="C56" s="77">
        <f>Report!U92</f>
        <v/>
      </c>
      <c r="D56" s="59">
        <f>Report!X92</f>
        <v/>
      </c>
    </row>
    <row r="57" ht="12.75" customHeight="1" s="60">
      <c r="A57" s="75">
        <f>Report!C93</f>
        <v/>
      </c>
      <c r="B57" s="59">
        <f>Report!E93</f>
        <v/>
      </c>
      <c r="C57" s="77">
        <f>Report!U93</f>
        <v/>
      </c>
      <c r="D57" s="59">
        <f>Report!X93</f>
        <v/>
      </c>
    </row>
    <row r="58" ht="12.75" customHeight="1" s="60">
      <c r="A58" s="75">
        <f>Report!C94</f>
        <v/>
      </c>
      <c r="B58" s="59">
        <f>Report!E94</f>
        <v/>
      </c>
      <c r="C58" s="77">
        <f>Report!U94</f>
        <v/>
      </c>
      <c r="D58" s="59">
        <f>Report!X94</f>
        <v/>
      </c>
    </row>
    <row r="59" ht="12.75" customHeight="1" s="60">
      <c r="A59" s="75">
        <f>Report!C95</f>
        <v/>
      </c>
      <c r="B59" s="59">
        <f>Report!E95</f>
        <v/>
      </c>
      <c r="C59" s="77">
        <f>Report!U95</f>
        <v/>
      </c>
      <c r="D59" s="59">
        <f>Report!X95</f>
        <v/>
      </c>
    </row>
    <row r="60" ht="12.75" customHeight="1" s="60">
      <c r="A60" s="75">
        <f>Report!C96</f>
        <v/>
      </c>
      <c r="B60" s="59">
        <f>Report!E96</f>
        <v/>
      </c>
      <c r="C60" s="77">
        <f>Report!U96</f>
        <v/>
      </c>
      <c r="D60" s="59">
        <f>Report!X96</f>
        <v/>
      </c>
    </row>
    <row r="61" ht="12.75" customHeight="1" s="60">
      <c r="A61" s="75">
        <f>Report!C97</f>
        <v/>
      </c>
      <c r="B61" s="59">
        <f>Report!E97</f>
        <v/>
      </c>
      <c r="C61" s="77">
        <f>Report!U97</f>
        <v/>
      </c>
      <c r="D61" s="59">
        <f>Report!X97</f>
        <v/>
      </c>
    </row>
    <row r="62" ht="12.75" customHeight="1" s="60">
      <c r="A62" s="75">
        <f>Report!C98</f>
        <v/>
      </c>
      <c r="B62" s="59">
        <f>Report!E98</f>
        <v/>
      </c>
      <c r="C62" s="77">
        <f>Report!U98</f>
        <v/>
      </c>
      <c r="D62" s="59">
        <f>Report!X98</f>
        <v/>
      </c>
    </row>
    <row r="63" ht="12.75" customHeight="1" s="60">
      <c r="A63" s="75">
        <f>Report!C99</f>
        <v/>
      </c>
      <c r="B63" s="59">
        <f>Report!E99</f>
        <v/>
      </c>
      <c r="C63" s="77">
        <f>Report!U99</f>
        <v/>
      </c>
      <c r="D63" s="59">
        <f>Report!X99</f>
        <v/>
      </c>
    </row>
    <row r="64" ht="12.75" customHeight="1" s="60">
      <c r="A64" s="75">
        <f>Report!C100</f>
        <v/>
      </c>
      <c r="B64" s="59">
        <f>Report!E100</f>
        <v/>
      </c>
      <c r="C64" s="77">
        <f>Report!U100</f>
        <v/>
      </c>
      <c r="D64" s="59">
        <f>Report!X100</f>
        <v/>
      </c>
    </row>
    <row r="65" ht="12.75" customHeight="1" s="60">
      <c r="A65" s="75">
        <f>Report!C101</f>
        <v/>
      </c>
      <c r="B65" s="59">
        <f>Report!E101</f>
        <v/>
      </c>
      <c r="C65" s="77">
        <f>Report!U101</f>
        <v/>
      </c>
      <c r="D65" s="59">
        <f>Report!X101</f>
        <v/>
      </c>
    </row>
    <row r="66" ht="12.75" customHeight="1" s="60">
      <c r="A66" s="75">
        <f>Report!C102</f>
        <v/>
      </c>
      <c r="B66" s="59">
        <f>Report!E102</f>
        <v/>
      </c>
      <c r="C66" s="77">
        <f>Report!U102</f>
        <v/>
      </c>
      <c r="D66" s="59">
        <f>Report!X102</f>
        <v/>
      </c>
    </row>
    <row r="67" ht="12.75" customHeight="1" s="60">
      <c r="A67" s="75">
        <f>Report!C103</f>
        <v/>
      </c>
      <c r="B67" s="59">
        <f>Report!E103</f>
        <v/>
      </c>
      <c r="C67" s="77">
        <f>Report!U103</f>
        <v/>
      </c>
      <c r="D67" s="59">
        <f>Report!X103</f>
        <v/>
      </c>
    </row>
    <row r="68" ht="12.75" customHeight="1" s="60">
      <c r="A68" s="75">
        <f>Report!C104</f>
        <v/>
      </c>
      <c r="B68" s="59">
        <f>Report!E104</f>
        <v/>
      </c>
      <c r="C68" s="77">
        <f>Report!U104</f>
        <v/>
      </c>
      <c r="D68" s="59">
        <f>Report!X104</f>
        <v/>
      </c>
    </row>
    <row r="69" ht="12.75" customHeight="1" s="60">
      <c r="A69" s="75">
        <f>Report!C105</f>
        <v/>
      </c>
      <c r="B69" s="59">
        <f>Report!E105</f>
        <v/>
      </c>
      <c r="C69" s="77">
        <f>Report!U105</f>
        <v/>
      </c>
      <c r="D69" s="59">
        <f>Report!X105</f>
        <v/>
      </c>
    </row>
    <row r="70" ht="12.75" customHeight="1" s="60">
      <c r="A70" s="75">
        <f>Report!C106</f>
        <v/>
      </c>
      <c r="B70" s="59">
        <f>Report!E106</f>
        <v/>
      </c>
      <c r="C70" s="77">
        <f>Report!U106</f>
        <v/>
      </c>
      <c r="D70" s="59">
        <f>Report!X106</f>
        <v/>
      </c>
    </row>
    <row r="71" ht="12.75" customHeight="1" s="60">
      <c r="A71" s="75">
        <f>Report!C107</f>
        <v/>
      </c>
      <c r="B71" s="59">
        <f>Report!E107</f>
        <v/>
      </c>
      <c r="C71" s="77">
        <f>Report!U107</f>
        <v/>
      </c>
      <c r="D71" s="59">
        <f>Report!X107</f>
        <v/>
      </c>
    </row>
    <row r="72" ht="12.75" customHeight="1" s="60">
      <c r="A72" s="75">
        <f>Report!C108</f>
        <v/>
      </c>
      <c r="B72" s="59">
        <f>Report!E108</f>
        <v/>
      </c>
      <c r="C72" s="77">
        <f>Report!U108</f>
        <v/>
      </c>
      <c r="D72" s="59">
        <f>Report!X108</f>
        <v/>
      </c>
    </row>
    <row r="73" ht="12.75" customHeight="1" s="60">
      <c r="A73" s="75">
        <f>Report!C111</f>
        <v/>
      </c>
      <c r="B73" s="59">
        <f>Report!E111</f>
        <v/>
      </c>
      <c r="C73" s="77">
        <f>Report!U111</f>
        <v/>
      </c>
      <c r="D73" s="59">
        <f>Report!X111</f>
        <v/>
      </c>
    </row>
    <row r="74" ht="12.75" customHeight="1" s="60">
      <c r="A74" s="75">
        <f>Report!C112</f>
        <v/>
      </c>
      <c r="B74" s="59">
        <f>Report!E112</f>
        <v/>
      </c>
      <c r="C74" s="77">
        <f>Report!U112</f>
        <v/>
      </c>
      <c r="D74" s="59">
        <f>Report!X112</f>
        <v/>
      </c>
    </row>
    <row r="75" ht="12.75" customHeight="1" s="60">
      <c r="A75" s="75">
        <f>Report!C114</f>
        <v/>
      </c>
      <c r="B75" s="59">
        <f>Report!E114</f>
        <v/>
      </c>
      <c r="C75" s="77">
        <f>Report!U114</f>
        <v/>
      </c>
      <c r="D75" s="59">
        <f>Report!X114</f>
        <v/>
      </c>
    </row>
    <row r="76" ht="12.75" customHeight="1" s="60">
      <c r="A76" s="75">
        <f>Report!C116</f>
        <v/>
      </c>
      <c r="B76" s="59">
        <f>Report!E116</f>
        <v/>
      </c>
      <c r="C76" s="77">
        <f>Report!U116</f>
        <v/>
      </c>
      <c r="D76" s="59">
        <f>Report!X116</f>
        <v/>
      </c>
    </row>
    <row r="77" ht="12.75" customHeight="1" s="60">
      <c r="A77" s="75">
        <f>Report!C117</f>
        <v/>
      </c>
      <c r="B77" s="59">
        <f>Report!E117</f>
        <v/>
      </c>
      <c r="C77" s="77">
        <f>Report!U117</f>
        <v/>
      </c>
      <c r="D77" s="59">
        <f>Report!X117</f>
        <v/>
      </c>
    </row>
    <row r="78" ht="12.75" customHeight="1" s="60">
      <c r="A78" s="75">
        <f>Report!C118</f>
        <v/>
      </c>
      <c r="B78" s="59">
        <f>Report!E118</f>
        <v/>
      </c>
      <c r="C78" s="77">
        <f>Report!U118</f>
        <v/>
      </c>
      <c r="D78" s="59">
        <f>Report!X118</f>
        <v/>
      </c>
    </row>
    <row r="79" ht="12.75" customHeight="1" s="60">
      <c r="A79" s="75">
        <f>Report!C119</f>
        <v/>
      </c>
      <c r="B79" s="59">
        <f>Report!E119</f>
        <v/>
      </c>
      <c r="C79" s="77">
        <f>Report!U119</f>
        <v/>
      </c>
      <c r="D79" s="59">
        <f>Report!X119</f>
        <v/>
      </c>
    </row>
    <row r="80" ht="12.75" customHeight="1" s="60">
      <c r="A80" s="75">
        <f>Report!C120</f>
        <v/>
      </c>
      <c r="B80" s="59">
        <f>Report!E120</f>
        <v/>
      </c>
      <c r="C80" s="77">
        <f>Report!U120</f>
        <v/>
      </c>
      <c r="D80" s="59">
        <f>Report!X120</f>
        <v/>
      </c>
    </row>
    <row r="81" ht="12.75" customHeight="1" s="60">
      <c r="A81" s="75">
        <f>Report!C121</f>
        <v/>
      </c>
      <c r="B81" s="59">
        <f>Report!E121</f>
        <v/>
      </c>
      <c r="C81" s="77">
        <f>Report!U121</f>
        <v/>
      </c>
      <c r="D81" s="59">
        <f>Report!X121</f>
        <v/>
      </c>
    </row>
    <row r="82" ht="12.75" customHeight="1" s="60">
      <c r="A82" s="75">
        <f>Report!C122</f>
        <v/>
      </c>
      <c r="B82" s="59">
        <f>Report!E122</f>
        <v/>
      </c>
      <c r="C82" s="77">
        <f>Report!U122</f>
        <v/>
      </c>
      <c r="D82" s="59">
        <f>Report!X122</f>
        <v/>
      </c>
    </row>
    <row r="83" ht="12.75" customHeight="1" s="60">
      <c r="A83" s="75">
        <f>Report!C123</f>
        <v/>
      </c>
      <c r="B83" s="59">
        <f>Report!E123</f>
        <v/>
      </c>
      <c r="C83" s="77">
        <f>Report!U123</f>
        <v/>
      </c>
      <c r="D83" s="59">
        <f>Report!X123</f>
        <v/>
      </c>
    </row>
    <row r="84" ht="12.75" customHeight="1" s="60">
      <c r="A84" s="75">
        <f>Report!C124</f>
        <v/>
      </c>
      <c r="B84" s="59">
        <f>Report!E124</f>
        <v/>
      </c>
      <c r="C84" s="77">
        <f>Report!U124</f>
        <v/>
      </c>
      <c r="D84" s="59">
        <f>Report!X124</f>
        <v/>
      </c>
    </row>
    <row r="85" ht="12.75" customHeight="1" s="60">
      <c r="A85" s="75">
        <f>Report!C125</f>
        <v/>
      </c>
      <c r="B85" s="59">
        <f>Report!E125</f>
        <v/>
      </c>
      <c r="C85" s="77">
        <f>Report!U125</f>
        <v/>
      </c>
      <c r="D85" s="59">
        <f>Report!X125</f>
        <v/>
      </c>
    </row>
    <row r="86" ht="12.75" customHeight="1" s="60">
      <c r="A86" s="75">
        <f>Report!C126</f>
        <v/>
      </c>
      <c r="B86" s="59">
        <f>Report!E126</f>
        <v/>
      </c>
      <c r="C86" s="77">
        <f>Report!U126</f>
        <v/>
      </c>
      <c r="D86" s="59">
        <f>Report!X126</f>
        <v/>
      </c>
    </row>
    <row r="87" ht="12.75" customHeight="1" s="60">
      <c r="A87" s="75">
        <f>Report!C127</f>
        <v/>
      </c>
      <c r="B87" s="59">
        <f>Report!E127</f>
        <v/>
      </c>
      <c r="C87" s="77">
        <f>Report!U127</f>
        <v/>
      </c>
      <c r="D87" s="59">
        <f>Report!X127</f>
        <v/>
      </c>
    </row>
    <row r="88" ht="12.75" customHeight="1" s="60">
      <c r="A88" s="75">
        <f>Report!C128</f>
        <v/>
      </c>
      <c r="B88" s="59">
        <f>Report!E128</f>
        <v/>
      </c>
      <c r="C88" s="77">
        <f>Report!U128</f>
        <v/>
      </c>
      <c r="D88" s="59">
        <f>Report!X128</f>
        <v/>
      </c>
    </row>
    <row r="89" ht="12.75" customHeight="1" s="60">
      <c r="A89" s="75">
        <f>Report!C129</f>
        <v/>
      </c>
      <c r="B89" s="59">
        <f>Report!E129</f>
        <v/>
      </c>
      <c r="C89" s="77">
        <f>Report!U129</f>
        <v/>
      </c>
      <c r="D89" s="59">
        <f>Report!X129</f>
        <v/>
      </c>
    </row>
    <row r="90" ht="12.75" customHeight="1" s="60">
      <c r="A90" s="75">
        <f>Report!C130</f>
        <v/>
      </c>
      <c r="B90" s="59">
        <f>Report!E130</f>
        <v/>
      </c>
      <c r="C90" s="77">
        <f>Report!U130</f>
        <v/>
      </c>
      <c r="D90" s="59">
        <f>Report!X130</f>
        <v/>
      </c>
    </row>
    <row r="91" ht="12.75" customHeight="1" s="60">
      <c r="A91" s="75">
        <f>Report!C132</f>
        <v/>
      </c>
      <c r="B91" s="59">
        <f>Report!E132</f>
        <v/>
      </c>
      <c r="C91" s="77">
        <f>Report!U132</f>
        <v/>
      </c>
      <c r="D91" s="59">
        <f>Report!X132</f>
        <v/>
      </c>
    </row>
    <row r="92" ht="12.75" customHeight="1" s="60">
      <c r="A92" s="75">
        <f>Report!C133</f>
        <v/>
      </c>
      <c r="B92" s="59">
        <f>Report!E133</f>
        <v/>
      </c>
      <c r="C92" s="77">
        <f>Report!U133</f>
        <v/>
      </c>
      <c r="D92" s="59">
        <f>Report!X133</f>
        <v/>
      </c>
    </row>
    <row r="93" ht="12.75" customHeight="1" s="60">
      <c r="A93" s="75">
        <f>Report!C134</f>
        <v/>
      </c>
      <c r="B93" s="59">
        <f>Report!E134</f>
        <v/>
      </c>
      <c r="C93" s="77">
        <f>Report!U134</f>
        <v/>
      </c>
      <c r="D93" s="59">
        <f>Report!X134</f>
        <v/>
      </c>
    </row>
    <row r="94" ht="12.75" customHeight="1" s="60">
      <c r="A94" s="75">
        <f>Report!C135</f>
        <v/>
      </c>
      <c r="B94" s="59">
        <f>Report!E135</f>
        <v/>
      </c>
      <c r="C94" s="77">
        <f>Report!U135</f>
        <v/>
      </c>
      <c r="D94" s="59">
        <f>Report!X135</f>
        <v/>
      </c>
    </row>
    <row r="95" ht="12.75" customHeight="1" s="60">
      <c r="A95" s="75">
        <f>Report!C136</f>
        <v/>
      </c>
      <c r="B95" s="59">
        <f>Report!E136</f>
        <v/>
      </c>
      <c r="C95" s="77">
        <f>Report!U136</f>
        <v/>
      </c>
      <c r="D95" s="59">
        <f>Report!X136</f>
        <v/>
      </c>
    </row>
    <row r="96" ht="12.75" customHeight="1" s="60">
      <c r="A96" s="75">
        <f>Report!C139</f>
        <v/>
      </c>
      <c r="B96" s="59">
        <f>Report!E139</f>
        <v/>
      </c>
      <c r="C96" s="77">
        <f>Report!U139</f>
        <v/>
      </c>
      <c r="D96" s="59">
        <f>Report!X139</f>
        <v/>
      </c>
    </row>
    <row r="97" ht="12.75" customHeight="1" s="60">
      <c r="A97" s="75">
        <f>Report!C140</f>
        <v/>
      </c>
      <c r="B97" s="59">
        <f>Report!E140</f>
        <v/>
      </c>
      <c r="C97" s="77">
        <f>Report!U140</f>
        <v/>
      </c>
      <c r="D97" s="59">
        <f>Report!X140</f>
        <v/>
      </c>
    </row>
    <row r="98" ht="12.75" customHeight="1" s="60">
      <c r="A98" s="75">
        <f>Report!C141</f>
        <v/>
      </c>
      <c r="B98" s="59">
        <f>Report!E141</f>
        <v/>
      </c>
      <c r="C98" s="77">
        <f>Report!U141</f>
        <v/>
      </c>
      <c r="D98" s="59">
        <f>Report!X141</f>
        <v/>
      </c>
    </row>
    <row r="99" ht="12.75" customHeight="1" s="60">
      <c r="A99" s="75">
        <f>Report!C142</f>
        <v/>
      </c>
      <c r="B99" s="59">
        <f>Report!E142</f>
        <v/>
      </c>
      <c r="C99" s="77">
        <f>Report!U142</f>
        <v/>
      </c>
      <c r="D99" s="59">
        <f>Report!X142</f>
        <v/>
      </c>
    </row>
    <row r="100" ht="12.75" customHeight="1" s="60">
      <c r="A100" s="75">
        <f>Report!C147</f>
        <v/>
      </c>
      <c r="B100" s="59">
        <f>Report!E147</f>
        <v/>
      </c>
      <c r="C100" s="77">
        <f>Report!U147</f>
        <v/>
      </c>
      <c r="D100" s="59">
        <f>Report!X147</f>
        <v/>
      </c>
    </row>
    <row r="101" ht="12.75" customHeight="1" s="60">
      <c r="A101" s="75">
        <f>Report!C150</f>
        <v/>
      </c>
      <c r="B101" s="59">
        <f>Report!E150</f>
        <v/>
      </c>
      <c r="C101" s="77">
        <f>Report!U150</f>
        <v/>
      </c>
      <c r="D101" s="59">
        <f>Report!X150</f>
        <v/>
      </c>
    </row>
    <row r="102" ht="12.75" customHeight="1" s="60">
      <c r="A102" s="75">
        <f>Report!C151</f>
        <v/>
      </c>
      <c r="B102" s="59">
        <f>Report!E151</f>
        <v/>
      </c>
      <c r="C102" s="77">
        <f>Report!U151</f>
        <v/>
      </c>
      <c r="D102" s="59">
        <f>Report!X151</f>
        <v/>
      </c>
    </row>
    <row r="103" ht="12.75" customHeight="1" s="60">
      <c r="A103" s="75">
        <f>Report!C153</f>
        <v/>
      </c>
      <c r="B103" s="59">
        <f>Report!E153</f>
        <v/>
      </c>
      <c r="C103" s="77">
        <f>Report!U153</f>
        <v/>
      </c>
      <c r="D103" s="59">
        <f>Report!X153</f>
        <v/>
      </c>
    </row>
    <row r="104" ht="12.75" customHeight="1" s="60">
      <c r="A104" s="75">
        <f>Report!C154</f>
        <v/>
      </c>
      <c r="B104" s="59">
        <f>Report!E154</f>
        <v/>
      </c>
      <c r="C104" s="77">
        <f>Report!U154</f>
        <v/>
      </c>
      <c r="D104" s="59">
        <f>Report!X154</f>
        <v/>
      </c>
    </row>
    <row r="105" ht="12.75" customHeight="1" s="60">
      <c r="A105" s="75">
        <f>Report!C155</f>
        <v/>
      </c>
      <c r="B105" s="59">
        <f>Report!E155</f>
        <v/>
      </c>
      <c r="C105" s="77">
        <f>Report!U155</f>
        <v/>
      </c>
      <c r="D105" s="59">
        <f>Report!X155</f>
        <v/>
      </c>
    </row>
    <row r="106" ht="12.75" customHeight="1" s="60">
      <c r="A106" s="75">
        <f>Report!C156</f>
        <v/>
      </c>
      <c r="B106" s="59">
        <f>Report!E156</f>
        <v/>
      </c>
      <c r="C106" s="77">
        <f>Report!U156</f>
        <v/>
      </c>
      <c r="D106" s="59">
        <f>Report!X156</f>
        <v/>
      </c>
    </row>
    <row r="107" ht="12.75" customHeight="1" s="60">
      <c r="A107" s="75">
        <f>Report!C157</f>
        <v/>
      </c>
      <c r="B107" s="59">
        <f>Report!E157</f>
        <v/>
      </c>
      <c r="C107" s="77">
        <f>Report!U157</f>
        <v/>
      </c>
      <c r="D107" s="59">
        <f>Report!X157</f>
        <v/>
      </c>
    </row>
    <row r="108" ht="12.75" customHeight="1" s="60">
      <c r="A108" s="75">
        <f>Report!C158</f>
        <v/>
      </c>
      <c r="B108" s="59">
        <f>Report!E158</f>
        <v/>
      </c>
      <c r="C108" s="77">
        <f>Report!U158</f>
        <v/>
      </c>
      <c r="D108" s="59">
        <f>Report!X158</f>
        <v/>
      </c>
    </row>
    <row r="109" ht="12.75" customHeight="1" s="60">
      <c r="A109" s="75">
        <f>Report!C159</f>
        <v/>
      </c>
      <c r="B109" s="59">
        <f>Report!E159</f>
        <v/>
      </c>
      <c r="C109" s="77">
        <f>Report!U159</f>
        <v/>
      </c>
      <c r="D109" s="59">
        <f>Report!X159</f>
        <v/>
      </c>
    </row>
    <row r="110" ht="12.75" customHeight="1" s="60">
      <c r="A110" s="75">
        <f>Report!C160</f>
        <v/>
      </c>
      <c r="B110" s="59">
        <f>Report!E160</f>
        <v/>
      </c>
      <c r="C110" s="77">
        <f>Report!U160</f>
        <v/>
      </c>
      <c r="D110" s="59">
        <f>Report!X160</f>
        <v/>
      </c>
    </row>
    <row r="111" ht="12.75" customHeight="1" s="60">
      <c r="A111" s="75">
        <f>Report!C161</f>
        <v/>
      </c>
      <c r="B111" s="59">
        <f>Report!E161</f>
        <v/>
      </c>
      <c r="C111" s="77">
        <f>Report!U161</f>
        <v/>
      </c>
      <c r="D111" s="59">
        <f>Report!X161</f>
        <v/>
      </c>
    </row>
    <row r="112" ht="12.75" customHeight="1" s="60">
      <c r="A112" s="75">
        <f>Report!C162</f>
        <v/>
      </c>
      <c r="B112" s="59">
        <f>Report!E162</f>
        <v/>
      </c>
      <c r="C112" s="77">
        <f>Report!U162</f>
        <v/>
      </c>
      <c r="D112" s="59">
        <f>Report!X162</f>
        <v/>
      </c>
    </row>
    <row r="113" ht="12.75" customHeight="1" s="60">
      <c r="A113" s="75">
        <f>Report!C163</f>
        <v/>
      </c>
      <c r="B113" s="59">
        <f>Report!E163</f>
        <v/>
      </c>
      <c r="C113" s="77">
        <f>Report!U163</f>
        <v/>
      </c>
      <c r="D113" s="59">
        <f>Report!X163</f>
        <v/>
      </c>
    </row>
    <row r="114" ht="12.75" customHeight="1" s="60">
      <c r="A114" s="75">
        <f>Report!C164</f>
        <v/>
      </c>
      <c r="B114" s="59">
        <f>Report!E164</f>
        <v/>
      </c>
      <c r="C114" s="77">
        <f>Report!U164</f>
        <v/>
      </c>
      <c r="D114" s="59">
        <f>Report!X164</f>
        <v/>
      </c>
    </row>
    <row r="115" ht="12.75" customHeight="1" s="60">
      <c r="A115" s="75">
        <f>Report!C165</f>
        <v/>
      </c>
      <c r="B115" s="59">
        <f>Report!E165</f>
        <v/>
      </c>
      <c r="C115" s="77">
        <f>Report!U165</f>
        <v/>
      </c>
      <c r="D115" s="59">
        <f>Report!X165</f>
        <v/>
      </c>
    </row>
    <row r="116" ht="12.75" customHeight="1" s="60">
      <c r="A116" s="75">
        <f>Report!C166</f>
        <v/>
      </c>
      <c r="B116" s="59">
        <f>Report!E166</f>
        <v/>
      </c>
      <c r="C116" s="77">
        <f>Report!U166</f>
        <v/>
      </c>
      <c r="D116" s="59">
        <f>Report!X166</f>
        <v/>
      </c>
    </row>
    <row r="117" ht="12.75" customHeight="1" s="60">
      <c r="A117" s="75">
        <f>Report!C167</f>
        <v/>
      </c>
      <c r="B117" s="59">
        <f>Report!E167</f>
        <v/>
      </c>
      <c r="C117" s="77">
        <f>Report!U167</f>
        <v/>
      </c>
      <c r="D117" s="59">
        <f>Report!X167</f>
        <v/>
      </c>
    </row>
    <row r="118" ht="12.75" customHeight="1" s="60">
      <c r="A118" s="75">
        <f>Report!C169</f>
        <v/>
      </c>
      <c r="B118" s="59">
        <f>Report!E169</f>
        <v/>
      </c>
      <c r="C118" s="77">
        <f>Report!U169</f>
        <v/>
      </c>
      <c r="D118" s="59">
        <f>Report!X169</f>
        <v/>
      </c>
    </row>
    <row r="119" ht="12.75" customHeight="1" s="60">
      <c r="A119" s="75">
        <f>Report!C170</f>
        <v/>
      </c>
      <c r="B119" s="59">
        <f>Report!E170</f>
        <v/>
      </c>
      <c r="C119" s="77">
        <f>Report!U170</f>
        <v/>
      </c>
      <c r="D119" s="59">
        <f>Report!X170</f>
        <v/>
      </c>
    </row>
    <row r="120" ht="12.75" customHeight="1" s="60">
      <c r="A120" s="75">
        <f>Report!C175</f>
        <v/>
      </c>
      <c r="B120" s="59">
        <f>Report!E175</f>
        <v/>
      </c>
      <c r="C120" s="77">
        <f>Report!U175</f>
        <v/>
      </c>
      <c r="D120" s="59">
        <f>Report!X175</f>
        <v/>
      </c>
    </row>
    <row r="121" ht="12.75" customHeight="1" s="60">
      <c r="A121" s="75">
        <f>Report!C177</f>
        <v/>
      </c>
      <c r="B121" s="59">
        <f>Report!E177</f>
        <v/>
      </c>
      <c r="C121" s="77">
        <f>Report!U177</f>
        <v/>
      </c>
      <c r="D121" s="59">
        <f>Report!X177</f>
        <v/>
      </c>
    </row>
    <row r="122" ht="12.75" customHeight="1" s="60">
      <c r="A122" s="75">
        <f>Report!C178</f>
        <v/>
      </c>
      <c r="B122" s="59">
        <f>Report!E178</f>
        <v/>
      </c>
      <c r="C122" s="77">
        <f>Report!U178</f>
        <v/>
      </c>
      <c r="D122" s="59">
        <f>Report!X178</f>
        <v/>
      </c>
    </row>
    <row r="123" ht="12.75" customHeight="1" s="60">
      <c r="A123" s="75">
        <f>Report!C179</f>
        <v/>
      </c>
      <c r="B123" s="59">
        <f>Report!E179</f>
        <v/>
      </c>
      <c r="C123" s="77">
        <f>Report!U179</f>
        <v/>
      </c>
      <c r="D123" s="59">
        <f>Report!X179</f>
        <v/>
      </c>
    </row>
    <row r="124" ht="12.75" customHeight="1" s="60">
      <c r="A124" s="75">
        <f>Report!C180</f>
        <v/>
      </c>
      <c r="B124" s="59">
        <f>Report!E180</f>
        <v/>
      </c>
      <c r="C124" s="77">
        <f>Report!U180</f>
        <v/>
      </c>
      <c r="D124" s="59">
        <f>Report!X180</f>
        <v/>
      </c>
    </row>
    <row r="125" ht="12.75" customHeight="1" s="60">
      <c r="A125" s="75">
        <f>Report!C181</f>
        <v/>
      </c>
      <c r="B125" s="59">
        <f>Report!E181</f>
        <v/>
      </c>
      <c r="C125" s="77">
        <f>Report!U181</f>
        <v/>
      </c>
      <c r="D125" s="59">
        <f>Report!X181</f>
        <v/>
      </c>
    </row>
    <row r="126" ht="12.75" customHeight="1" s="60">
      <c r="A126" s="75">
        <f>Report!C182</f>
        <v/>
      </c>
      <c r="B126" s="59">
        <f>Report!E182</f>
        <v/>
      </c>
      <c r="C126" s="77">
        <f>Report!U182</f>
        <v/>
      </c>
      <c r="D126" s="59">
        <f>Report!X182</f>
        <v/>
      </c>
    </row>
    <row r="127" ht="12.75" customHeight="1" s="60">
      <c r="A127" s="75">
        <f>Report!C183</f>
        <v/>
      </c>
      <c r="B127" s="59">
        <f>Report!E183</f>
        <v/>
      </c>
      <c r="C127" s="77">
        <f>Report!U183</f>
        <v/>
      </c>
      <c r="D127" s="59">
        <f>Report!X183</f>
        <v/>
      </c>
    </row>
    <row r="128" ht="12.75" customHeight="1" s="60">
      <c r="A128" s="75">
        <f>Report!C184</f>
        <v/>
      </c>
      <c r="B128" s="59">
        <f>Report!E184</f>
        <v/>
      </c>
      <c r="C128" s="77">
        <f>Report!U184</f>
        <v/>
      </c>
      <c r="D128" s="59">
        <f>Report!X184</f>
        <v/>
      </c>
    </row>
    <row r="129" ht="12.75" customHeight="1" s="60">
      <c r="A129" s="75">
        <f>Report!C185</f>
        <v/>
      </c>
      <c r="B129" s="59">
        <f>Report!E185</f>
        <v/>
      </c>
      <c r="C129" s="77">
        <f>Report!U185</f>
        <v/>
      </c>
      <c r="D129" s="59">
        <f>Report!X185</f>
        <v/>
      </c>
    </row>
    <row r="130" ht="12.75" customHeight="1" s="60">
      <c r="A130" s="75">
        <f>Report!C186</f>
        <v/>
      </c>
      <c r="B130" s="59">
        <f>Report!E186</f>
        <v/>
      </c>
      <c r="C130" s="77">
        <f>Report!U186</f>
        <v/>
      </c>
      <c r="D130" s="59">
        <f>Report!X186</f>
        <v/>
      </c>
    </row>
    <row r="131" ht="12.75" customHeight="1" s="60">
      <c r="A131" s="75">
        <f>Report!C187</f>
        <v/>
      </c>
      <c r="B131" s="59">
        <f>Report!E187</f>
        <v/>
      </c>
      <c r="C131" s="77">
        <f>Report!U187</f>
        <v/>
      </c>
      <c r="D131" s="59">
        <f>Report!X187</f>
        <v/>
      </c>
    </row>
    <row r="132" ht="12.75" customHeight="1" s="60">
      <c r="A132" s="75">
        <f>Report!C188</f>
        <v/>
      </c>
      <c r="B132" s="59">
        <f>Report!E188</f>
        <v/>
      </c>
      <c r="C132" s="77">
        <f>Report!U188</f>
        <v/>
      </c>
      <c r="D132" s="59">
        <f>Report!X188</f>
        <v/>
      </c>
    </row>
    <row r="133" ht="12.75" customHeight="1" s="60">
      <c r="A133" s="75">
        <f>Report!C189</f>
        <v/>
      </c>
      <c r="B133" s="59">
        <f>Report!E189</f>
        <v/>
      </c>
      <c r="C133" s="77">
        <f>Report!U189</f>
        <v/>
      </c>
      <c r="D133" s="59">
        <f>Report!X189</f>
        <v/>
      </c>
    </row>
    <row r="134" ht="12.75" customHeight="1" s="60">
      <c r="A134" s="75">
        <f>Report!C190</f>
        <v/>
      </c>
      <c r="B134" s="59">
        <f>Report!E190</f>
        <v/>
      </c>
      <c r="C134" s="77">
        <f>Report!U190</f>
        <v/>
      </c>
      <c r="D134" s="59">
        <f>Report!X190</f>
        <v/>
      </c>
    </row>
    <row r="135" ht="12.75" customHeight="1" s="60">
      <c r="A135" s="75">
        <f>Report!C191</f>
        <v/>
      </c>
      <c r="B135" s="59">
        <f>Report!E191</f>
        <v/>
      </c>
      <c r="C135" s="77">
        <f>Report!U191</f>
        <v/>
      </c>
      <c r="D135" s="59">
        <f>Report!X191</f>
        <v/>
      </c>
    </row>
    <row r="136" ht="12.75" customHeight="1" s="60">
      <c r="A136" s="75">
        <f>Report!C192</f>
        <v/>
      </c>
      <c r="B136" s="59">
        <f>Report!E192</f>
        <v/>
      </c>
      <c r="C136" s="77">
        <f>Report!U192</f>
        <v/>
      </c>
      <c r="D136" s="59">
        <f>Report!X192</f>
        <v/>
      </c>
    </row>
    <row r="137" ht="12.75" customHeight="1" s="60">
      <c r="A137" s="75">
        <f>Report!C193</f>
        <v/>
      </c>
      <c r="B137" s="59">
        <f>Report!E193</f>
        <v/>
      </c>
      <c r="C137" s="77">
        <f>Report!U193</f>
        <v/>
      </c>
      <c r="D137" s="59">
        <f>Report!X193</f>
        <v/>
      </c>
    </row>
    <row r="138" ht="12.75" customHeight="1" s="60">
      <c r="A138" s="75">
        <f>Report!C194</f>
        <v/>
      </c>
      <c r="B138" s="59">
        <f>Report!E194</f>
        <v/>
      </c>
      <c r="C138" s="77">
        <f>Report!U194</f>
        <v/>
      </c>
      <c r="D138" s="59">
        <f>Report!X194</f>
        <v/>
      </c>
    </row>
    <row r="139" ht="12.75" customHeight="1" s="60">
      <c r="A139" s="75">
        <f>Report!C195</f>
        <v/>
      </c>
      <c r="B139" s="59">
        <f>Report!E195</f>
        <v/>
      </c>
      <c r="C139" s="77">
        <f>Report!U195</f>
        <v/>
      </c>
      <c r="D139" s="59">
        <f>Report!X195</f>
        <v/>
      </c>
    </row>
    <row r="140" ht="12.75" customHeight="1" s="60">
      <c r="A140" s="75">
        <f>Report!C196</f>
        <v/>
      </c>
      <c r="B140" s="59">
        <f>Report!E196</f>
        <v/>
      </c>
      <c r="C140" s="77">
        <f>Report!U196</f>
        <v/>
      </c>
      <c r="D140" s="59">
        <f>Report!X196</f>
        <v/>
      </c>
    </row>
    <row r="141" ht="12.75" customHeight="1" s="60">
      <c r="A141" s="75">
        <f>Report!C197</f>
        <v/>
      </c>
      <c r="B141" s="59">
        <f>Report!E197</f>
        <v/>
      </c>
      <c r="C141" s="77">
        <f>Report!U197</f>
        <v/>
      </c>
      <c r="D141" s="59">
        <f>Report!X197</f>
        <v/>
      </c>
    </row>
    <row r="142" ht="12.75" customHeight="1" s="60">
      <c r="A142" s="75">
        <f>Report!C198</f>
        <v/>
      </c>
      <c r="B142" s="59">
        <f>Report!E198</f>
        <v/>
      </c>
      <c r="C142" s="77">
        <f>Report!U198</f>
        <v/>
      </c>
      <c r="D142" s="59">
        <f>Report!X198</f>
        <v/>
      </c>
    </row>
    <row r="143" ht="12.75" customHeight="1" s="60">
      <c r="A143" s="75">
        <f>Report!C199</f>
        <v/>
      </c>
      <c r="B143" s="59">
        <f>Report!E199</f>
        <v/>
      </c>
      <c r="C143" s="77">
        <f>Report!U199</f>
        <v/>
      </c>
      <c r="D143" s="59">
        <f>Report!X199</f>
        <v/>
      </c>
    </row>
    <row r="144" ht="12.75" customHeight="1" s="60">
      <c r="A144" s="75">
        <f>Report!C200</f>
        <v/>
      </c>
      <c r="B144" s="59">
        <f>Report!E200</f>
        <v/>
      </c>
      <c r="C144" s="77">
        <f>Report!U200</f>
        <v/>
      </c>
      <c r="D144" s="59">
        <f>Report!X200</f>
        <v/>
      </c>
    </row>
    <row r="145" ht="12.75" customHeight="1" s="60">
      <c r="A145" s="75">
        <f>Report!C201</f>
        <v/>
      </c>
      <c r="B145" s="59">
        <f>Report!E201</f>
        <v/>
      </c>
      <c r="C145" s="77">
        <f>Report!U201</f>
        <v/>
      </c>
      <c r="D145" s="59">
        <f>Report!X201</f>
        <v/>
      </c>
    </row>
    <row r="146" ht="12.75" customHeight="1" s="60">
      <c r="A146" s="75">
        <f>Report!C202</f>
        <v/>
      </c>
      <c r="B146" s="59">
        <f>Report!E202</f>
        <v/>
      </c>
      <c r="C146" s="77">
        <f>Report!U202</f>
        <v/>
      </c>
      <c r="D146" s="59">
        <f>Report!X202</f>
        <v/>
      </c>
    </row>
    <row r="147" ht="12.75" customHeight="1" s="60">
      <c r="A147" s="75">
        <f>Report!C203</f>
        <v/>
      </c>
      <c r="B147" s="59">
        <f>Report!E203</f>
        <v/>
      </c>
      <c r="C147" s="77">
        <f>Report!U203</f>
        <v/>
      </c>
      <c r="D147" s="59">
        <f>Report!X203</f>
        <v/>
      </c>
    </row>
    <row r="148" ht="12.75" customHeight="1" s="60">
      <c r="A148" s="75">
        <f>Report!C204</f>
        <v/>
      </c>
      <c r="B148" s="59">
        <f>Report!E204</f>
        <v/>
      </c>
      <c r="C148" s="77">
        <f>Report!U204</f>
        <v/>
      </c>
      <c r="D148" s="59">
        <f>Report!X204</f>
        <v/>
      </c>
    </row>
    <row r="149" ht="12.75" customHeight="1" s="60">
      <c r="A149" s="75">
        <f>Report!C205</f>
        <v/>
      </c>
      <c r="B149" s="59">
        <f>Report!E205</f>
        <v/>
      </c>
      <c r="C149" s="77">
        <f>Report!U205</f>
        <v/>
      </c>
      <c r="D149" s="59">
        <f>Report!X205</f>
        <v/>
      </c>
    </row>
    <row r="150" ht="12.75" customHeight="1" s="60">
      <c r="A150" s="75">
        <f>Report!C206</f>
        <v/>
      </c>
      <c r="B150" s="59">
        <f>Report!E206</f>
        <v/>
      </c>
      <c r="C150" s="77">
        <f>Report!U206</f>
        <v/>
      </c>
      <c r="D150" s="59">
        <f>Report!X206</f>
        <v/>
      </c>
    </row>
    <row r="151" ht="12.75" customHeight="1" s="60">
      <c r="A151" s="75">
        <f>Report!C207</f>
        <v/>
      </c>
      <c r="B151" s="59">
        <f>Report!E207</f>
        <v/>
      </c>
      <c r="C151" s="77">
        <f>Report!U207</f>
        <v/>
      </c>
      <c r="D151" s="59">
        <f>Report!X207</f>
        <v/>
      </c>
    </row>
    <row r="152" ht="12.75" customHeight="1" s="60">
      <c r="A152" s="75">
        <f>Report!C209</f>
        <v/>
      </c>
      <c r="B152" s="59">
        <f>Report!E209</f>
        <v/>
      </c>
      <c r="C152" s="77">
        <f>Report!U209</f>
        <v/>
      </c>
      <c r="D152" s="59">
        <f>Report!X209</f>
        <v/>
      </c>
    </row>
    <row r="153" ht="12.75" customHeight="1" s="60">
      <c r="A153" s="75">
        <f>Report!C210</f>
        <v/>
      </c>
      <c r="B153" s="59">
        <f>Report!E210</f>
        <v/>
      </c>
      <c r="C153" s="77">
        <f>Report!U210</f>
        <v/>
      </c>
      <c r="D153" s="59">
        <f>Report!X210</f>
        <v/>
      </c>
    </row>
    <row r="154" ht="12.75" customHeight="1" s="60">
      <c r="A154" s="75">
        <f>Report!C211</f>
        <v/>
      </c>
      <c r="B154" s="59">
        <f>Report!E211</f>
        <v/>
      </c>
      <c r="C154" s="77">
        <f>Report!U211</f>
        <v/>
      </c>
      <c r="D154" s="59">
        <f>Report!X211</f>
        <v/>
      </c>
    </row>
    <row r="155" ht="12.75" customHeight="1" s="60">
      <c r="A155" s="75">
        <f>Report!C212</f>
        <v/>
      </c>
      <c r="B155" s="59">
        <f>Report!E212</f>
        <v/>
      </c>
      <c r="C155" s="77">
        <f>Report!U212</f>
        <v/>
      </c>
      <c r="D155" s="59">
        <f>Report!X212</f>
        <v/>
      </c>
    </row>
    <row r="156" ht="12.75" customHeight="1" s="60">
      <c r="A156" s="75">
        <f>Report!C213</f>
        <v/>
      </c>
      <c r="B156" s="59">
        <f>Report!E213</f>
        <v/>
      </c>
      <c r="C156" s="77">
        <f>Report!U213</f>
        <v/>
      </c>
      <c r="D156" s="59">
        <f>Report!X213</f>
        <v/>
      </c>
    </row>
    <row r="157" ht="12.75" customHeight="1" s="60">
      <c r="A157" s="75">
        <f>Report!C214</f>
        <v/>
      </c>
      <c r="B157" s="59">
        <f>Report!E214</f>
        <v/>
      </c>
      <c r="C157" s="77">
        <f>Report!U214</f>
        <v/>
      </c>
      <c r="D157" s="59">
        <f>Report!X214</f>
        <v/>
      </c>
    </row>
    <row r="158" ht="12.75" customHeight="1" s="60">
      <c r="A158" s="75">
        <f>Report!C215</f>
        <v/>
      </c>
      <c r="B158" s="59">
        <f>Report!E215</f>
        <v/>
      </c>
      <c r="C158" s="77">
        <f>Report!U215</f>
        <v/>
      </c>
      <c r="D158" s="59">
        <f>Report!X215</f>
        <v/>
      </c>
    </row>
    <row r="159" ht="12.75" customHeight="1" s="60">
      <c r="A159" s="75">
        <f>Report!C216</f>
        <v/>
      </c>
      <c r="B159" s="59">
        <f>Report!E216</f>
        <v/>
      </c>
      <c r="C159" s="77">
        <f>Report!U216</f>
        <v/>
      </c>
      <c r="D159" s="59">
        <f>Report!X216</f>
        <v/>
      </c>
    </row>
    <row r="160" ht="12.75" customHeight="1" s="60">
      <c r="A160" s="75">
        <f>Report!C217</f>
        <v/>
      </c>
      <c r="B160" s="59">
        <f>Report!E217</f>
        <v/>
      </c>
      <c r="C160" s="77">
        <f>Report!U217</f>
        <v/>
      </c>
      <c r="D160" s="59">
        <f>Report!X217</f>
        <v/>
      </c>
    </row>
    <row r="161" ht="12.75" customHeight="1" s="60">
      <c r="A161" s="75">
        <f>Report!C218</f>
        <v/>
      </c>
      <c r="B161" s="59">
        <f>Report!E218</f>
        <v/>
      </c>
      <c r="C161" s="77">
        <f>Report!U218</f>
        <v/>
      </c>
      <c r="D161" s="59">
        <f>Report!X218</f>
        <v/>
      </c>
    </row>
    <row r="162" ht="12.75" customHeight="1" s="60">
      <c r="A162" s="75">
        <f>Report!C219</f>
        <v/>
      </c>
      <c r="B162" s="59">
        <f>Report!E219</f>
        <v/>
      </c>
      <c r="C162" s="77">
        <f>Report!U219</f>
        <v/>
      </c>
      <c r="D162" s="59">
        <f>Report!X219</f>
        <v/>
      </c>
    </row>
    <row r="163" ht="12.75" customHeight="1" s="60">
      <c r="A163" s="75">
        <f>Report!C220</f>
        <v/>
      </c>
      <c r="B163" s="59">
        <f>Report!E220</f>
        <v/>
      </c>
      <c r="C163" s="77">
        <f>Report!U220</f>
        <v/>
      </c>
      <c r="D163" s="59">
        <f>Report!X220</f>
        <v/>
      </c>
    </row>
    <row r="164" ht="12.75" customHeight="1" s="60">
      <c r="A164" s="75">
        <f>Report!C221</f>
        <v/>
      </c>
      <c r="B164" s="59">
        <f>Report!E221</f>
        <v/>
      </c>
      <c r="C164" s="77">
        <f>Report!U221</f>
        <v/>
      </c>
      <c r="D164" s="59">
        <f>Report!X221</f>
        <v/>
      </c>
    </row>
    <row r="165" ht="12.75" customHeight="1" s="60">
      <c r="A165" s="75">
        <f>Report!C222</f>
        <v/>
      </c>
      <c r="B165" s="59">
        <f>Report!E222</f>
        <v/>
      </c>
      <c r="C165" s="77">
        <f>Report!U222</f>
        <v/>
      </c>
      <c r="D165" s="59">
        <f>Report!X222</f>
        <v/>
      </c>
    </row>
    <row r="166" ht="12.75" customHeight="1" s="60">
      <c r="A166" s="75">
        <f>Report!C223</f>
        <v/>
      </c>
      <c r="B166" s="59">
        <f>Report!E223</f>
        <v/>
      </c>
      <c r="C166" s="77">
        <f>Report!U223</f>
        <v/>
      </c>
      <c r="D166" s="59">
        <f>Report!X223</f>
        <v/>
      </c>
    </row>
    <row r="167" ht="12.75" customHeight="1" s="60">
      <c r="A167" s="75">
        <f>Report!C224</f>
        <v/>
      </c>
      <c r="B167" s="59">
        <f>Report!E224</f>
        <v/>
      </c>
      <c r="C167" s="77">
        <f>Report!U224</f>
        <v/>
      </c>
      <c r="D167" s="59">
        <f>Report!X224</f>
        <v/>
      </c>
    </row>
    <row r="168" ht="12.75" customHeight="1" s="60">
      <c r="A168" s="75">
        <f>Report!C225</f>
        <v/>
      </c>
      <c r="B168" s="59">
        <f>Report!E225</f>
        <v/>
      </c>
      <c r="C168" s="77">
        <f>Report!U225</f>
        <v/>
      </c>
      <c r="D168" s="59">
        <f>Report!X225</f>
        <v/>
      </c>
    </row>
    <row r="169" ht="12.75" customHeight="1" s="60">
      <c r="A169" s="75">
        <f>Report!C226</f>
        <v/>
      </c>
      <c r="B169" s="59">
        <f>Report!E226</f>
        <v/>
      </c>
      <c r="C169" s="77">
        <f>Report!U226</f>
        <v/>
      </c>
      <c r="D169" s="59">
        <f>Report!X226</f>
        <v/>
      </c>
    </row>
    <row r="170" ht="12.75" customHeight="1" s="60">
      <c r="A170" s="75">
        <f>Report!C227</f>
        <v/>
      </c>
      <c r="B170" s="59">
        <f>Report!E227</f>
        <v/>
      </c>
      <c r="C170" s="77">
        <f>Report!U227</f>
        <v/>
      </c>
      <c r="D170" s="59">
        <f>Report!X227</f>
        <v/>
      </c>
    </row>
    <row r="171" ht="12.75" customHeight="1" s="60">
      <c r="A171" s="75">
        <f>Report!C228</f>
        <v/>
      </c>
      <c r="B171" s="59">
        <f>Report!E228</f>
        <v/>
      </c>
      <c r="C171" s="77">
        <f>Report!U228</f>
        <v/>
      </c>
      <c r="D171" s="59">
        <f>Report!X228</f>
        <v/>
      </c>
    </row>
    <row r="172" ht="12.75" customHeight="1" s="60">
      <c r="A172" s="75">
        <f>Report!C229</f>
        <v/>
      </c>
      <c r="B172" s="59">
        <f>Report!E229</f>
        <v/>
      </c>
      <c r="C172" s="77">
        <f>Report!U229</f>
        <v/>
      </c>
      <c r="D172" s="59">
        <f>Report!X229</f>
        <v/>
      </c>
    </row>
    <row r="173" ht="12.75" customHeight="1" s="60">
      <c r="A173" s="75">
        <f>Report!C230</f>
        <v/>
      </c>
      <c r="B173" s="59">
        <f>Report!E230</f>
        <v/>
      </c>
      <c r="C173" s="77">
        <f>Report!U230</f>
        <v/>
      </c>
      <c r="D173" s="59">
        <f>Report!X230</f>
        <v/>
      </c>
    </row>
    <row r="174" ht="12.75" customHeight="1" s="60">
      <c r="A174" s="75">
        <f>Report!C231</f>
        <v/>
      </c>
      <c r="B174" s="59">
        <f>Report!E231</f>
        <v/>
      </c>
      <c r="C174" s="77">
        <f>Report!U231</f>
        <v/>
      </c>
      <c r="D174" s="59">
        <f>Report!X231</f>
        <v/>
      </c>
    </row>
    <row r="175" ht="12.75" customHeight="1" s="60">
      <c r="A175" s="75">
        <f>Report!C232</f>
        <v/>
      </c>
      <c r="B175" s="59">
        <f>Report!E232</f>
        <v/>
      </c>
      <c r="C175" s="77">
        <f>Report!U232</f>
        <v/>
      </c>
      <c r="D175" s="59">
        <f>Report!X232</f>
        <v/>
      </c>
    </row>
    <row r="176" ht="12.75" customHeight="1" s="60">
      <c r="A176" s="75">
        <f>Report!C234</f>
        <v/>
      </c>
      <c r="B176" s="59">
        <f>Report!E234</f>
        <v/>
      </c>
      <c r="C176" s="77">
        <f>Report!U234</f>
        <v/>
      </c>
      <c r="D176" s="59">
        <f>Report!X234</f>
        <v/>
      </c>
    </row>
    <row r="177" ht="12.75" customHeight="1" s="60">
      <c r="A177" s="75">
        <f>Report!C235</f>
        <v/>
      </c>
      <c r="B177" s="59">
        <f>Report!E235</f>
        <v/>
      </c>
      <c r="C177" s="77">
        <f>Report!U235</f>
        <v/>
      </c>
      <c r="D177" s="59">
        <f>Report!X235</f>
        <v/>
      </c>
    </row>
    <row r="178" ht="12.75" customHeight="1" s="60">
      <c r="A178" s="75">
        <f>Report!C236</f>
        <v/>
      </c>
      <c r="B178" s="59">
        <f>Report!E236</f>
        <v/>
      </c>
      <c r="C178" s="77">
        <f>Report!U236</f>
        <v/>
      </c>
      <c r="D178" s="59">
        <f>Report!X236</f>
        <v/>
      </c>
    </row>
    <row r="179" ht="12.75" customHeight="1" s="60">
      <c r="A179" s="75">
        <f>Report!C237</f>
        <v/>
      </c>
      <c r="B179" s="59">
        <f>Report!E237</f>
        <v/>
      </c>
      <c r="C179" s="77">
        <f>Report!U237</f>
        <v/>
      </c>
      <c r="D179" s="59">
        <f>Report!X237</f>
        <v/>
      </c>
    </row>
    <row r="180" ht="12.75" customHeight="1" s="60">
      <c r="A180" s="75">
        <f>Report!C238</f>
        <v/>
      </c>
      <c r="B180" s="59">
        <f>Report!E238</f>
        <v/>
      </c>
      <c r="C180" s="77">
        <f>Report!U238</f>
        <v/>
      </c>
      <c r="D180" s="59">
        <f>Report!X238</f>
        <v/>
      </c>
    </row>
    <row r="181" ht="12.75" customHeight="1" s="60">
      <c r="A181" s="75">
        <f>Report!C239</f>
        <v/>
      </c>
      <c r="B181" s="59">
        <f>Report!E239</f>
        <v/>
      </c>
      <c r="C181" s="77">
        <f>Report!U239</f>
        <v/>
      </c>
      <c r="D181" s="59">
        <f>Report!X239</f>
        <v/>
      </c>
    </row>
    <row r="182" ht="12.75" customHeight="1" s="60">
      <c r="A182" s="75">
        <f>Report!C240</f>
        <v/>
      </c>
      <c r="B182" s="59">
        <f>Report!E240</f>
        <v/>
      </c>
      <c r="C182" s="77">
        <f>Report!U240</f>
        <v/>
      </c>
      <c r="D182" s="59">
        <f>Report!X240</f>
        <v/>
      </c>
    </row>
    <row r="183" ht="12.75" customHeight="1" s="60">
      <c r="A183" s="75">
        <f>Report!C241</f>
        <v/>
      </c>
      <c r="B183" s="59">
        <f>Report!E241</f>
        <v/>
      </c>
      <c r="C183" s="77">
        <f>Report!U241</f>
        <v/>
      </c>
      <c r="D183" s="59">
        <f>Report!X241</f>
        <v/>
      </c>
    </row>
    <row r="184" ht="12.75" customHeight="1" s="60">
      <c r="A184" s="75">
        <f>Report!C242</f>
        <v/>
      </c>
      <c r="B184" s="59">
        <f>Report!E242</f>
        <v/>
      </c>
      <c r="C184" s="77">
        <f>Report!U242</f>
        <v/>
      </c>
      <c r="D184" s="59">
        <f>Report!X242</f>
        <v/>
      </c>
    </row>
    <row r="185" ht="12.75" customHeight="1" s="60">
      <c r="A185" s="75">
        <f>Report!C245</f>
        <v/>
      </c>
      <c r="B185" s="59">
        <f>Report!E245</f>
        <v/>
      </c>
      <c r="C185" s="77">
        <f>Report!U245</f>
        <v/>
      </c>
      <c r="D185" s="59">
        <f>Report!X245</f>
        <v/>
      </c>
    </row>
    <row r="186" ht="12.75" customHeight="1" s="60">
      <c r="A186" s="75">
        <f>Report!C246</f>
        <v/>
      </c>
      <c r="B186" s="59">
        <f>Report!E246</f>
        <v/>
      </c>
      <c r="C186" s="77">
        <f>Report!U246</f>
        <v/>
      </c>
      <c r="D186" s="59">
        <f>Report!X246</f>
        <v/>
      </c>
    </row>
    <row r="187" ht="12.75" customHeight="1" s="60">
      <c r="A187" s="75">
        <f>Report!C247</f>
        <v/>
      </c>
      <c r="B187" s="59">
        <f>Report!E247</f>
        <v/>
      </c>
      <c r="C187" s="77">
        <f>Report!U247</f>
        <v/>
      </c>
      <c r="D187" s="59">
        <f>Report!X247</f>
        <v/>
      </c>
    </row>
    <row r="188" ht="12.75" customHeight="1" s="60">
      <c r="A188" s="75">
        <f>Report!C248</f>
        <v/>
      </c>
      <c r="B188" s="59">
        <f>Report!E248</f>
        <v/>
      </c>
      <c r="C188" s="77">
        <f>Report!U248</f>
        <v/>
      </c>
      <c r="D188" s="59">
        <f>Report!X248</f>
        <v/>
      </c>
    </row>
    <row r="189" ht="12.75" customHeight="1" s="60">
      <c r="A189" s="75">
        <f>Report!C262</f>
        <v/>
      </c>
      <c r="B189" s="59">
        <f>Report!E262</f>
        <v/>
      </c>
      <c r="C189" s="77">
        <f>Report!U262</f>
        <v/>
      </c>
      <c r="D189" s="59">
        <f>Report!X262</f>
        <v/>
      </c>
    </row>
    <row r="190" ht="12.75" customHeight="1" s="60">
      <c r="A190" s="75">
        <f>Report!C271</f>
        <v/>
      </c>
      <c r="B190" s="59">
        <f>Report!E271</f>
        <v/>
      </c>
      <c r="C190" s="77">
        <f>Report!U271</f>
        <v/>
      </c>
      <c r="D190" s="59">
        <f>Report!X271</f>
        <v/>
      </c>
    </row>
    <row r="191" ht="12.75" customHeight="1" s="60">
      <c r="A191" s="75">
        <f>Report!C272</f>
        <v/>
      </c>
      <c r="B191" s="59">
        <f>Report!E272</f>
        <v/>
      </c>
      <c r="C191" s="77">
        <f>Report!U272</f>
        <v/>
      </c>
      <c r="D191" s="59">
        <f>Report!X272</f>
        <v/>
      </c>
    </row>
    <row r="192" ht="12.75" customHeight="1" s="60">
      <c r="A192" s="75">
        <f>Report!C273</f>
        <v/>
      </c>
      <c r="B192" s="59">
        <f>Report!E273</f>
        <v/>
      </c>
      <c r="C192" s="77">
        <f>Report!U273</f>
        <v/>
      </c>
      <c r="D192" s="59">
        <f>Report!X273</f>
        <v/>
      </c>
    </row>
    <row r="193" ht="12.75" customHeight="1" s="60">
      <c r="A193" s="75">
        <f>Report!C275</f>
        <v/>
      </c>
      <c r="B193" s="59">
        <f>Report!E275</f>
        <v/>
      </c>
      <c r="C193" s="77">
        <f>Report!U275</f>
        <v/>
      </c>
      <c r="D193" s="59">
        <f>Report!X275</f>
        <v/>
      </c>
    </row>
    <row r="194" ht="12.75" customHeight="1" s="60">
      <c r="A194" s="75">
        <f>Report!C276</f>
        <v/>
      </c>
      <c r="B194" s="59">
        <f>Report!E276</f>
        <v/>
      </c>
      <c r="C194" s="77">
        <f>Report!U276</f>
        <v/>
      </c>
      <c r="D194" s="59">
        <f>Report!X276</f>
        <v/>
      </c>
    </row>
    <row r="195" ht="12.75" customHeight="1" s="60">
      <c r="A195" s="75">
        <f>Report!C278</f>
        <v/>
      </c>
      <c r="B195" s="59">
        <f>Report!E278</f>
        <v/>
      </c>
      <c r="C195" s="77">
        <f>Report!U278</f>
        <v/>
      </c>
      <c r="D195" s="59">
        <f>Report!X278</f>
        <v/>
      </c>
    </row>
    <row r="196" ht="12.75" customHeight="1" s="60">
      <c r="A196" s="75">
        <f>Report!C281</f>
        <v/>
      </c>
      <c r="B196" s="59">
        <f>Report!E281</f>
        <v/>
      </c>
      <c r="C196" s="77">
        <f>Report!U281</f>
        <v/>
      </c>
      <c r="D196" s="59">
        <f>Report!X281</f>
        <v/>
      </c>
    </row>
    <row r="197" ht="12.75" customHeight="1" s="60">
      <c r="A197" s="75">
        <f>Report!C283</f>
        <v/>
      </c>
      <c r="B197" s="59">
        <f>Report!E283</f>
        <v/>
      </c>
      <c r="C197" s="77">
        <f>Report!U283</f>
        <v/>
      </c>
      <c r="D197" s="59">
        <f>Report!X283</f>
        <v/>
      </c>
    </row>
    <row r="198" ht="12.75" customHeight="1" s="60">
      <c r="A198" s="75">
        <f>Report!C284</f>
        <v/>
      </c>
      <c r="B198" s="59">
        <f>Report!E284</f>
        <v/>
      </c>
      <c r="C198" s="77">
        <f>Report!U284</f>
        <v/>
      </c>
      <c r="D198" s="59">
        <f>Report!X284</f>
        <v/>
      </c>
    </row>
    <row r="199" ht="12.75" customHeight="1" s="60">
      <c r="A199" s="75">
        <f>Report!C285</f>
        <v/>
      </c>
      <c r="B199" s="59">
        <f>Report!E285</f>
        <v/>
      </c>
      <c r="C199" s="77">
        <f>Report!U285</f>
        <v/>
      </c>
      <c r="D199" s="59">
        <f>Report!X285</f>
        <v/>
      </c>
    </row>
    <row r="200" ht="12.75" customHeight="1" s="60">
      <c r="A200" s="75">
        <f>Report!C287</f>
        <v/>
      </c>
      <c r="B200" s="59">
        <f>Report!E287</f>
        <v/>
      </c>
      <c r="C200" s="77">
        <f>Report!U287</f>
        <v/>
      </c>
      <c r="D200" s="59">
        <f>Report!X287</f>
        <v/>
      </c>
    </row>
    <row r="201" ht="12.75" customHeight="1" s="60">
      <c r="A201" s="75">
        <f>Report!C288</f>
        <v/>
      </c>
      <c r="B201" s="59">
        <f>Report!E288</f>
        <v/>
      </c>
      <c r="C201" s="77">
        <f>Report!U288</f>
        <v/>
      </c>
      <c r="D201" s="59">
        <f>Report!X288</f>
        <v/>
      </c>
    </row>
    <row r="202" ht="12.75" customHeight="1" s="60">
      <c r="A202" s="75">
        <f>Report!C289</f>
        <v/>
      </c>
      <c r="B202" s="59">
        <f>Report!E289</f>
        <v/>
      </c>
      <c r="C202" s="77">
        <f>Report!U289</f>
        <v/>
      </c>
      <c r="D202" s="59">
        <f>Report!X289</f>
        <v/>
      </c>
    </row>
    <row r="203" ht="12.75" customHeight="1" s="60">
      <c r="A203" s="75">
        <f>Report!C290</f>
        <v/>
      </c>
      <c r="B203" s="59">
        <f>Report!E290</f>
        <v/>
      </c>
      <c r="C203" s="77">
        <f>Report!U290</f>
        <v/>
      </c>
      <c r="D203" s="59">
        <f>Report!X290</f>
        <v/>
      </c>
    </row>
    <row r="204" ht="12.75" customHeight="1" s="60">
      <c r="A204" s="75">
        <f>Report!C291</f>
        <v/>
      </c>
      <c r="B204" s="59">
        <f>Report!E291</f>
        <v/>
      </c>
      <c r="C204" s="77">
        <f>Report!U291</f>
        <v/>
      </c>
      <c r="D204" s="59">
        <f>Report!X291</f>
        <v/>
      </c>
    </row>
    <row r="205" ht="12.75" customHeight="1" s="60">
      <c r="A205" s="75">
        <f>Report!C292</f>
        <v/>
      </c>
      <c r="B205" s="59">
        <f>Report!E292</f>
        <v/>
      </c>
      <c r="C205" s="77">
        <f>Report!U292</f>
        <v/>
      </c>
      <c r="D205" s="59">
        <f>Report!X292</f>
        <v/>
      </c>
    </row>
    <row r="206" ht="12.75" customHeight="1" s="60">
      <c r="A206" s="75">
        <f>Report!C299</f>
        <v/>
      </c>
      <c r="B206" s="59">
        <f>Report!E299</f>
        <v/>
      </c>
      <c r="C206" s="77">
        <f>Report!U299</f>
        <v/>
      </c>
      <c r="D206" s="59">
        <f>Report!X299</f>
        <v/>
      </c>
    </row>
    <row r="207" ht="12.75" customHeight="1" s="60">
      <c r="A207" s="75">
        <f>Report!C304</f>
        <v/>
      </c>
      <c r="B207" s="59">
        <f>Report!E304</f>
        <v/>
      </c>
      <c r="C207" s="77">
        <f>Report!U304</f>
        <v/>
      </c>
      <c r="D207" s="59">
        <f>Report!X304</f>
        <v/>
      </c>
    </row>
    <row r="208" ht="12.75" customHeight="1" s="60">
      <c r="A208" s="75">
        <f>Report!C305</f>
        <v/>
      </c>
      <c r="B208" s="59">
        <f>Report!E305</f>
        <v/>
      </c>
      <c r="C208" s="77">
        <f>Report!U305</f>
        <v/>
      </c>
      <c r="D208" s="59">
        <f>Report!X305</f>
        <v/>
      </c>
    </row>
    <row r="209" ht="12.75" customHeight="1" s="60">
      <c r="A209" s="75">
        <f>Report!C306</f>
        <v/>
      </c>
      <c r="B209" s="59">
        <f>Report!E306</f>
        <v/>
      </c>
      <c r="C209" s="77">
        <f>Report!U306</f>
        <v/>
      </c>
      <c r="D209" s="59">
        <f>Report!X306</f>
        <v/>
      </c>
    </row>
    <row r="210" ht="12.75" customHeight="1" s="60">
      <c r="A210" s="75">
        <f>Report!C307</f>
        <v/>
      </c>
      <c r="B210" s="59">
        <f>Report!E307</f>
        <v/>
      </c>
      <c r="C210" s="77">
        <f>Report!U307</f>
        <v/>
      </c>
      <c r="D210" s="59">
        <f>Report!X307</f>
        <v/>
      </c>
    </row>
    <row r="211" ht="12.75" customHeight="1" s="60">
      <c r="A211" s="75">
        <f>Report!C308</f>
        <v/>
      </c>
      <c r="B211" s="59">
        <f>Report!E308</f>
        <v/>
      </c>
      <c r="C211" s="77">
        <f>Report!U308</f>
        <v/>
      </c>
      <c r="D211" s="59">
        <f>Report!X308</f>
        <v/>
      </c>
    </row>
    <row r="212" ht="12.75" customHeight="1" s="60">
      <c r="A212" s="75">
        <f>Report!C309</f>
        <v/>
      </c>
      <c r="B212" s="59">
        <f>Report!E309</f>
        <v/>
      </c>
      <c r="C212" s="77">
        <f>Report!U309</f>
        <v/>
      </c>
      <c r="D212" s="59">
        <f>Report!X309</f>
        <v/>
      </c>
    </row>
    <row r="213" ht="12.75" customHeight="1" s="60">
      <c r="A213" s="75">
        <f>Report!C311</f>
        <v/>
      </c>
      <c r="B213" s="59">
        <f>Report!E311</f>
        <v/>
      </c>
      <c r="C213" s="77">
        <f>Report!U311</f>
        <v/>
      </c>
      <c r="D213" s="59">
        <f>Report!X311</f>
        <v/>
      </c>
    </row>
    <row r="214" ht="12.75" customHeight="1" s="60">
      <c r="A214" s="75">
        <f>Report!C312</f>
        <v/>
      </c>
      <c r="B214" s="59">
        <f>Report!E312</f>
        <v/>
      </c>
      <c r="C214" s="77">
        <f>Report!U312</f>
        <v/>
      </c>
      <c r="D214" s="59">
        <f>Report!X312</f>
        <v/>
      </c>
    </row>
    <row r="215" ht="12.75" customHeight="1" s="60">
      <c r="A215" s="75">
        <f>Report!C313</f>
        <v/>
      </c>
      <c r="B215" s="59">
        <f>Report!E313</f>
        <v/>
      </c>
      <c r="C215" s="77">
        <f>Report!U313</f>
        <v/>
      </c>
      <c r="D215" s="59">
        <f>Report!X313</f>
        <v/>
      </c>
    </row>
    <row r="216" ht="12.75" customHeight="1" s="60">
      <c r="A216" s="75">
        <f>Report!C315</f>
        <v/>
      </c>
      <c r="B216" s="59">
        <f>Report!E315</f>
        <v/>
      </c>
      <c r="C216" s="77">
        <f>Report!U315</f>
        <v/>
      </c>
      <c r="D216" s="59">
        <f>Report!X315</f>
        <v/>
      </c>
    </row>
    <row r="217" ht="12.75" customHeight="1" s="60">
      <c r="A217" s="75">
        <f>Report!C316</f>
        <v/>
      </c>
      <c r="B217" s="59">
        <f>Report!E316</f>
        <v/>
      </c>
      <c r="C217" s="77">
        <f>Report!U316</f>
        <v/>
      </c>
      <c r="D217" s="59">
        <f>Report!X316</f>
        <v/>
      </c>
    </row>
    <row r="218" ht="12.75" customHeight="1" s="60">
      <c r="A218" s="75">
        <f>Report!C317</f>
        <v/>
      </c>
      <c r="B218" s="59">
        <f>Report!E317</f>
        <v/>
      </c>
      <c r="C218" s="77">
        <f>Report!U317</f>
        <v/>
      </c>
      <c r="D218" s="59">
        <f>Report!X317</f>
        <v/>
      </c>
    </row>
    <row r="219" ht="12.75" customHeight="1" s="60">
      <c r="A219" s="75">
        <f>Report!C318</f>
        <v/>
      </c>
      <c r="B219" s="59">
        <f>Report!E318</f>
        <v/>
      </c>
      <c r="C219" s="77">
        <f>Report!U318</f>
        <v/>
      </c>
      <c r="D219" s="59">
        <f>Report!X318</f>
        <v/>
      </c>
    </row>
    <row r="220" ht="12.75" customHeight="1" s="60">
      <c r="A220" s="75">
        <f>Report!C319</f>
        <v/>
      </c>
      <c r="B220" s="59">
        <f>Report!E319</f>
        <v/>
      </c>
      <c r="C220" s="77">
        <f>Report!U319</f>
        <v/>
      </c>
      <c r="D220" s="59">
        <f>Report!X319</f>
        <v/>
      </c>
    </row>
    <row r="221" ht="12.75" customHeight="1" s="60">
      <c r="A221" s="75">
        <f>Report!C320</f>
        <v/>
      </c>
      <c r="B221" s="59">
        <f>Report!E320</f>
        <v/>
      </c>
      <c r="C221" s="77">
        <f>Report!U320</f>
        <v/>
      </c>
      <c r="D221" s="59">
        <f>Report!X320</f>
        <v/>
      </c>
    </row>
    <row r="222" ht="12.75" customHeight="1" s="60">
      <c r="A222" s="75">
        <f>Report!C321</f>
        <v/>
      </c>
      <c r="B222" s="59">
        <f>Report!E321</f>
        <v/>
      </c>
      <c r="C222" s="77">
        <f>Report!U321</f>
        <v/>
      </c>
      <c r="D222" s="59">
        <f>Report!X321</f>
        <v/>
      </c>
    </row>
    <row r="223" ht="12.75" customHeight="1" s="60">
      <c r="A223" s="75">
        <f>Report!C322</f>
        <v/>
      </c>
      <c r="B223" s="59">
        <f>Report!E322</f>
        <v/>
      </c>
      <c r="C223" s="77">
        <f>Report!U322</f>
        <v/>
      </c>
      <c r="D223" s="59">
        <f>Report!X322</f>
        <v/>
      </c>
    </row>
    <row r="224" ht="12.75" customHeight="1" s="60">
      <c r="A224" s="75">
        <f>Report!C323</f>
        <v/>
      </c>
      <c r="B224" s="59">
        <f>Report!E323</f>
        <v/>
      </c>
      <c r="C224" s="77">
        <f>Report!U323</f>
        <v/>
      </c>
      <c r="D224" s="59">
        <f>Report!X323</f>
        <v/>
      </c>
    </row>
    <row r="225" ht="12.75" customHeight="1" s="60">
      <c r="A225" s="75">
        <f>Report!C324</f>
        <v/>
      </c>
      <c r="B225" s="59">
        <f>Report!E324</f>
        <v/>
      </c>
      <c r="C225" s="77">
        <f>Report!U324</f>
        <v/>
      </c>
      <c r="D225" s="59">
        <f>Report!X324</f>
        <v/>
      </c>
    </row>
    <row r="226" ht="12.75" customHeight="1" s="60">
      <c r="A226" s="75">
        <f>Report!C325</f>
        <v/>
      </c>
      <c r="B226" s="59">
        <f>Report!E325</f>
        <v/>
      </c>
      <c r="C226" s="77">
        <f>Report!U325</f>
        <v/>
      </c>
      <c r="D226" s="59">
        <f>Report!X325</f>
        <v/>
      </c>
    </row>
    <row r="227" ht="12.75" customHeight="1" s="60">
      <c r="A227" s="75">
        <f>Report!C326</f>
        <v/>
      </c>
      <c r="B227" s="59">
        <f>Report!E326</f>
        <v/>
      </c>
      <c r="C227" s="77">
        <f>Report!U326</f>
        <v/>
      </c>
      <c r="D227" s="59">
        <f>Report!X326</f>
        <v/>
      </c>
    </row>
    <row r="228" ht="12.75" customHeight="1" s="60">
      <c r="A228" s="75">
        <f>Report!C327</f>
        <v/>
      </c>
      <c r="B228" s="59">
        <f>Report!E327</f>
        <v/>
      </c>
      <c r="C228" s="77">
        <f>Report!U327</f>
        <v/>
      </c>
      <c r="D228" s="59">
        <f>Report!X327</f>
        <v/>
      </c>
    </row>
    <row r="229" ht="12.75" customHeight="1" s="60">
      <c r="A229" s="75">
        <f>Report!C328</f>
        <v/>
      </c>
      <c r="B229" s="59">
        <f>Report!E328</f>
        <v/>
      </c>
      <c r="C229" s="77">
        <f>Report!U328</f>
        <v/>
      </c>
      <c r="D229" s="59">
        <f>Report!X328</f>
        <v/>
      </c>
    </row>
    <row r="230" ht="12.75" customHeight="1" s="60">
      <c r="A230" s="75">
        <f>Report!C329</f>
        <v/>
      </c>
      <c r="B230" s="59">
        <f>Report!E329</f>
        <v/>
      </c>
      <c r="C230" s="77">
        <f>Report!U329</f>
        <v/>
      </c>
      <c r="D230" s="59">
        <f>Report!X329</f>
        <v/>
      </c>
    </row>
    <row r="231" ht="12.75" customHeight="1" s="60">
      <c r="A231" s="75">
        <f>Report!C330</f>
        <v/>
      </c>
      <c r="B231" s="59">
        <f>Report!E330</f>
        <v/>
      </c>
      <c r="C231" s="77">
        <f>Report!U330</f>
        <v/>
      </c>
      <c r="D231" s="59">
        <f>Report!X330</f>
        <v/>
      </c>
    </row>
    <row r="232" ht="12.75" customHeight="1" s="60">
      <c r="A232" s="75">
        <f>Report!C331</f>
        <v/>
      </c>
      <c r="B232" s="59">
        <f>Report!E331</f>
        <v/>
      </c>
      <c r="C232" s="77">
        <f>Report!U331</f>
        <v/>
      </c>
      <c r="D232" s="59">
        <f>Report!X331</f>
        <v/>
      </c>
    </row>
    <row r="233" ht="12.75" customHeight="1" s="60">
      <c r="A233" s="75">
        <f>Report!C332</f>
        <v/>
      </c>
      <c r="B233" s="59">
        <f>Report!E332</f>
        <v/>
      </c>
      <c r="C233" s="77">
        <f>Report!U332</f>
        <v/>
      </c>
      <c r="D233" s="59">
        <f>Report!X332</f>
        <v/>
      </c>
    </row>
    <row r="234" ht="12.75" customHeight="1" s="60">
      <c r="A234" s="75">
        <f>Report!C333</f>
        <v/>
      </c>
      <c r="B234" s="59">
        <f>Report!E333</f>
        <v/>
      </c>
      <c r="C234" s="77">
        <f>Report!U333</f>
        <v/>
      </c>
      <c r="D234" s="59">
        <f>Report!X333</f>
        <v/>
      </c>
    </row>
    <row r="235" ht="12.75" customHeight="1" s="60">
      <c r="A235" s="75">
        <f>Report!C334</f>
        <v/>
      </c>
      <c r="B235" s="59">
        <f>Report!E334</f>
        <v/>
      </c>
      <c r="C235" s="77">
        <f>Report!U334</f>
        <v/>
      </c>
      <c r="D235" s="59">
        <f>Report!X334</f>
        <v/>
      </c>
    </row>
    <row r="236" ht="12.75" customHeight="1" s="60">
      <c r="A236" s="75">
        <f>Report!C336</f>
        <v/>
      </c>
      <c r="B236" s="59">
        <f>Report!E336</f>
        <v/>
      </c>
      <c r="C236" s="77">
        <f>Report!U336</f>
        <v/>
      </c>
      <c r="D236" s="59">
        <f>Report!X336</f>
        <v/>
      </c>
    </row>
    <row r="237" ht="12.75" customHeight="1" s="60">
      <c r="A237" s="75">
        <f>Report!C337</f>
        <v/>
      </c>
      <c r="B237" s="59">
        <f>Report!E337</f>
        <v/>
      </c>
      <c r="C237" s="77">
        <f>Report!U337</f>
        <v/>
      </c>
      <c r="D237" s="59">
        <f>Report!X337</f>
        <v/>
      </c>
    </row>
    <row r="238" ht="12.75" customHeight="1" s="60">
      <c r="A238" s="75">
        <f>Report!C338</f>
        <v/>
      </c>
      <c r="B238" s="59">
        <f>Report!E338</f>
        <v/>
      </c>
      <c r="C238" s="77">
        <f>Report!U338</f>
        <v/>
      </c>
      <c r="D238" s="59">
        <f>Report!X338</f>
        <v/>
      </c>
    </row>
    <row r="239" ht="12.75" customHeight="1" s="60">
      <c r="A239" s="75">
        <f>Report!C339</f>
        <v/>
      </c>
      <c r="B239" s="59">
        <f>Report!E339</f>
        <v/>
      </c>
      <c r="C239" s="77">
        <f>Report!U339</f>
        <v/>
      </c>
      <c r="D239" s="59">
        <f>Report!X339</f>
        <v/>
      </c>
    </row>
    <row r="240" ht="12.75" customHeight="1" s="60">
      <c r="A240" s="75">
        <f>Report!C340</f>
        <v/>
      </c>
      <c r="B240" s="59">
        <f>Report!E340</f>
        <v/>
      </c>
      <c r="C240" s="77">
        <f>Report!U340</f>
        <v/>
      </c>
      <c r="D240" s="59">
        <f>Report!X340</f>
        <v/>
      </c>
    </row>
    <row r="241" ht="12.75" customHeight="1" s="60">
      <c r="A241" s="75">
        <f>Report!C341</f>
        <v/>
      </c>
      <c r="B241" s="59">
        <f>Report!E341</f>
        <v/>
      </c>
      <c r="C241" s="77">
        <f>Report!U341</f>
        <v/>
      </c>
      <c r="D241" s="59">
        <f>Report!X341</f>
        <v/>
      </c>
    </row>
    <row r="242" ht="12.75" customHeight="1" s="60">
      <c r="A242" s="75">
        <f>Report!C343</f>
        <v/>
      </c>
      <c r="B242" s="59">
        <f>Report!E343</f>
        <v/>
      </c>
      <c r="C242" s="77">
        <f>Report!U343</f>
        <v/>
      </c>
      <c r="D242" s="59">
        <f>Report!X343</f>
        <v/>
      </c>
    </row>
    <row r="243" ht="12.75" customHeight="1" s="60">
      <c r="A243" s="75">
        <f>Report!C344</f>
        <v/>
      </c>
      <c r="B243" s="59">
        <f>Report!E344</f>
        <v/>
      </c>
      <c r="C243" s="77">
        <f>Report!U344</f>
        <v/>
      </c>
      <c r="D243" s="59">
        <f>Report!X344</f>
        <v/>
      </c>
    </row>
    <row r="244" ht="12.75" customHeight="1" s="60">
      <c r="A244" s="75">
        <f>Report!C345</f>
        <v/>
      </c>
      <c r="B244" s="59">
        <f>Report!E345</f>
        <v/>
      </c>
      <c r="C244" s="77">
        <f>Report!U345</f>
        <v/>
      </c>
      <c r="D244" s="59">
        <f>Report!X345</f>
        <v/>
      </c>
    </row>
    <row r="245" ht="12.75" customHeight="1" s="60">
      <c r="A245" s="75">
        <f>Report!C346</f>
        <v/>
      </c>
      <c r="B245" s="59">
        <f>Report!E346</f>
        <v/>
      </c>
      <c r="C245" s="77">
        <f>Report!U346</f>
        <v/>
      </c>
      <c r="D245" s="59">
        <f>Report!X346</f>
        <v/>
      </c>
    </row>
    <row r="246" ht="12.75" customHeight="1" s="60">
      <c r="A246" s="75">
        <f>Report!C348</f>
        <v/>
      </c>
      <c r="B246" s="59">
        <f>Report!E348</f>
        <v/>
      </c>
      <c r="C246" s="77">
        <f>Report!U348</f>
        <v/>
      </c>
      <c r="D246" s="59">
        <f>Report!X348</f>
        <v/>
      </c>
    </row>
    <row r="247" ht="12.75" customHeight="1" s="60">
      <c r="A247" s="75">
        <f>Report!C349</f>
        <v/>
      </c>
      <c r="B247" s="59">
        <f>Report!E349</f>
        <v/>
      </c>
      <c r="C247" s="77">
        <f>Report!U349</f>
        <v/>
      </c>
      <c r="D247" s="59">
        <f>Report!X349</f>
        <v/>
      </c>
    </row>
    <row r="248" ht="12.75" customHeight="1" s="60">
      <c r="A248" s="75">
        <f>Report!C350</f>
        <v/>
      </c>
      <c r="B248" s="59">
        <f>Report!E350</f>
        <v/>
      </c>
      <c r="C248" s="77">
        <f>Report!U350</f>
        <v/>
      </c>
      <c r="D248" s="59">
        <f>Report!X350</f>
        <v/>
      </c>
    </row>
    <row r="249" ht="12.75" customHeight="1" s="60">
      <c r="A249" s="75">
        <f>Report!C351</f>
        <v/>
      </c>
      <c r="B249" s="59">
        <f>Report!E351</f>
        <v/>
      </c>
      <c r="C249" s="77">
        <f>Report!U351</f>
        <v/>
      </c>
      <c r="D249" s="59">
        <f>Report!X351</f>
        <v/>
      </c>
    </row>
    <row r="250" ht="12.75" customHeight="1" s="60">
      <c r="A250" s="75">
        <f>Report!C352</f>
        <v/>
      </c>
      <c r="B250" s="59">
        <f>Report!E352</f>
        <v/>
      </c>
      <c r="C250" s="77">
        <f>Report!U352</f>
        <v/>
      </c>
      <c r="D250" s="59">
        <f>Report!X352</f>
        <v/>
      </c>
    </row>
    <row r="251" ht="12.75" customHeight="1" s="60">
      <c r="A251" s="75">
        <f>Report!C353</f>
        <v/>
      </c>
      <c r="B251" s="59">
        <f>Report!E353</f>
        <v/>
      </c>
      <c r="C251" s="77">
        <f>Report!U353</f>
        <v/>
      </c>
      <c r="D251" s="59">
        <f>Report!X353</f>
        <v/>
      </c>
    </row>
    <row r="252" ht="12.75" customHeight="1" s="60">
      <c r="A252" s="75">
        <f>Report!C354</f>
        <v/>
      </c>
      <c r="B252" s="59">
        <f>Report!E354</f>
        <v/>
      </c>
      <c r="C252" s="77">
        <f>Report!U354</f>
        <v/>
      </c>
      <c r="D252" s="59">
        <f>Report!X354</f>
        <v/>
      </c>
    </row>
    <row r="253" ht="12.75" customHeight="1" s="60">
      <c r="A253" s="75">
        <f>Report!C355</f>
        <v/>
      </c>
      <c r="B253" s="59">
        <f>Report!E355</f>
        <v/>
      </c>
      <c r="C253" s="77">
        <f>Report!U355</f>
        <v/>
      </c>
      <c r="D253" s="59">
        <f>Report!X355</f>
        <v/>
      </c>
    </row>
    <row r="254" ht="12.75" customHeight="1" s="60">
      <c r="A254" s="75">
        <f>Report!C356</f>
        <v/>
      </c>
      <c r="B254" s="59">
        <f>Report!E356</f>
        <v/>
      </c>
      <c r="C254" s="77">
        <f>Report!U356</f>
        <v/>
      </c>
      <c r="D254" s="59">
        <f>Report!X356</f>
        <v/>
      </c>
    </row>
    <row r="255" ht="12.75" customHeight="1" s="60">
      <c r="A255" s="75">
        <f>Report!C357</f>
        <v/>
      </c>
      <c r="B255" s="59">
        <f>Report!E357</f>
        <v/>
      </c>
      <c r="C255" s="77">
        <f>Report!U357</f>
        <v/>
      </c>
      <c r="D255" s="59">
        <f>Report!X357</f>
        <v/>
      </c>
    </row>
    <row r="256" ht="12.75" customHeight="1" s="60">
      <c r="A256" s="75">
        <f>Report!C358</f>
        <v/>
      </c>
      <c r="B256" s="59">
        <f>Report!E358</f>
        <v/>
      </c>
      <c r="C256" s="77">
        <f>Report!U358</f>
        <v/>
      </c>
      <c r="D256" s="59">
        <f>Report!X358</f>
        <v/>
      </c>
    </row>
    <row r="257" ht="12.75" customHeight="1" s="60">
      <c r="A257" s="75">
        <f>Report!C359</f>
        <v/>
      </c>
      <c r="B257" s="59">
        <f>Report!E359</f>
        <v/>
      </c>
      <c r="C257" s="77">
        <f>Report!U359</f>
        <v/>
      </c>
      <c r="D257" s="59">
        <f>Report!X359</f>
        <v/>
      </c>
    </row>
    <row r="258" ht="12.75" customHeight="1" s="60">
      <c r="A258" s="75">
        <f>Report!C360</f>
        <v/>
      </c>
      <c r="B258" s="59">
        <f>Report!E360</f>
        <v/>
      </c>
      <c r="C258" s="77">
        <f>Report!U360</f>
        <v/>
      </c>
      <c r="D258" s="59">
        <f>Report!X360</f>
        <v/>
      </c>
    </row>
    <row r="259" ht="12.75" customHeight="1" s="60">
      <c r="A259" s="75">
        <f>Report!C361</f>
        <v/>
      </c>
      <c r="B259" s="59">
        <f>Report!E361</f>
        <v/>
      </c>
      <c r="C259" s="77">
        <f>Report!U361</f>
        <v/>
      </c>
      <c r="D259" s="59">
        <f>Report!X361</f>
        <v/>
      </c>
    </row>
    <row r="260" ht="12.75" customHeight="1" s="60">
      <c r="A260" s="75">
        <f>Report!C362</f>
        <v/>
      </c>
      <c r="B260" s="59">
        <f>Report!E362</f>
        <v/>
      </c>
      <c r="C260" s="77">
        <f>Report!U362</f>
        <v/>
      </c>
      <c r="D260" s="59">
        <f>Report!X362</f>
        <v/>
      </c>
    </row>
    <row r="261" ht="12.75" customHeight="1" s="60">
      <c r="A261" s="75">
        <f>Report!C363</f>
        <v/>
      </c>
      <c r="B261" s="59">
        <f>Report!E363</f>
        <v/>
      </c>
      <c r="C261" s="77">
        <f>Report!U363</f>
        <v/>
      </c>
      <c r="D261" s="59">
        <f>Report!X363</f>
        <v/>
      </c>
    </row>
    <row r="262" ht="12.75" customHeight="1" s="60">
      <c r="A262" s="75">
        <f>Report!C367</f>
        <v/>
      </c>
      <c r="B262" s="59">
        <f>Report!E367</f>
        <v/>
      </c>
      <c r="C262" s="77">
        <f>Report!U367</f>
        <v/>
      </c>
      <c r="D262" s="59">
        <f>Report!X367</f>
        <v/>
      </c>
    </row>
    <row r="263" ht="12.75" customHeight="1" s="60">
      <c r="A263" s="75">
        <f>Report!C368</f>
        <v/>
      </c>
      <c r="B263" s="59">
        <f>Report!E368</f>
        <v/>
      </c>
      <c r="C263" s="77">
        <f>Report!U368</f>
        <v/>
      </c>
      <c r="D263" s="59">
        <f>Report!X368</f>
        <v/>
      </c>
    </row>
    <row r="264" ht="12.75" customHeight="1" s="60">
      <c r="A264" s="75">
        <f>Report!C369</f>
        <v/>
      </c>
      <c r="B264" s="59">
        <f>Report!E369</f>
        <v/>
      </c>
      <c r="C264" s="77">
        <f>Report!U369</f>
        <v/>
      </c>
      <c r="D264" s="59">
        <f>Report!X369</f>
        <v/>
      </c>
    </row>
    <row r="265" ht="12.75" customHeight="1" s="60">
      <c r="A265" s="75">
        <f>Report!C370</f>
        <v/>
      </c>
      <c r="B265" s="59">
        <f>Report!E370</f>
        <v/>
      </c>
      <c r="C265" s="77">
        <f>Report!U370</f>
        <v/>
      </c>
      <c r="D265" s="59">
        <f>Report!X370</f>
        <v/>
      </c>
    </row>
    <row r="266" ht="12.75" customHeight="1" s="60">
      <c r="A266" s="75">
        <f>Report!C371</f>
        <v/>
      </c>
      <c r="B266" s="59">
        <f>Report!E371</f>
        <v/>
      </c>
      <c r="C266" s="77">
        <f>Report!U371</f>
        <v/>
      </c>
      <c r="D266" s="59">
        <f>Report!X371</f>
        <v/>
      </c>
    </row>
    <row r="267" ht="12.75" customHeight="1" s="60">
      <c r="A267" s="75">
        <f>Report!C372</f>
        <v/>
      </c>
      <c r="B267" s="59">
        <f>Report!E372</f>
        <v/>
      </c>
      <c r="C267" s="77">
        <f>Report!U372</f>
        <v/>
      </c>
      <c r="D267" s="59">
        <f>Report!X372</f>
        <v/>
      </c>
    </row>
    <row r="268" ht="12.75" customHeight="1" s="60">
      <c r="A268" s="75">
        <f>Report!C373</f>
        <v/>
      </c>
      <c r="B268" s="59">
        <f>Report!E373</f>
        <v/>
      </c>
      <c r="C268" s="77">
        <f>Report!U373</f>
        <v/>
      </c>
      <c r="D268" s="59">
        <f>Report!X373</f>
        <v/>
      </c>
    </row>
    <row r="269" ht="12.75" customHeight="1" s="60">
      <c r="A269" s="75">
        <f>Report!C374</f>
        <v/>
      </c>
      <c r="B269" s="59">
        <f>Report!E374</f>
        <v/>
      </c>
      <c r="C269" s="77">
        <f>Report!U374</f>
        <v/>
      </c>
      <c r="D269" s="59">
        <f>Report!X374</f>
        <v/>
      </c>
    </row>
    <row r="270" ht="12.75" customHeight="1" s="60">
      <c r="A270" s="75">
        <f>Report!C375</f>
        <v/>
      </c>
      <c r="B270" s="59">
        <f>Report!E375</f>
        <v/>
      </c>
      <c r="C270" s="77">
        <f>Report!U375</f>
        <v/>
      </c>
      <c r="D270" s="59">
        <f>Report!X375</f>
        <v/>
      </c>
    </row>
    <row r="271" ht="12.75" customHeight="1" s="60">
      <c r="A271" s="75">
        <f>Report!C376</f>
        <v/>
      </c>
      <c r="B271" s="59">
        <f>Report!E376</f>
        <v/>
      </c>
      <c r="C271" s="77">
        <f>Report!U376</f>
        <v/>
      </c>
      <c r="D271" s="59">
        <f>Report!X376</f>
        <v/>
      </c>
    </row>
    <row r="272" ht="12.75" customHeight="1" s="60">
      <c r="A272" s="75">
        <f>Report!C377</f>
        <v/>
      </c>
      <c r="B272" s="59">
        <f>Report!E377</f>
        <v/>
      </c>
      <c r="C272" s="77">
        <f>Report!U377</f>
        <v/>
      </c>
      <c r="D272" s="59">
        <f>Report!X377</f>
        <v/>
      </c>
    </row>
    <row r="273" ht="12.75" customHeight="1" s="60">
      <c r="A273" s="75">
        <f>Report!C379</f>
        <v/>
      </c>
      <c r="B273" s="59">
        <f>Report!E379</f>
        <v/>
      </c>
      <c r="C273" s="77">
        <f>Report!U379</f>
        <v/>
      </c>
      <c r="D273" s="59">
        <f>Report!X379</f>
        <v/>
      </c>
    </row>
    <row r="274" ht="12.75" customHeight="1" s="60">
      <c r="A274" s="75">
        <f>Report!C380</f>
        <v/>
      </c>
      <c r="B274" s="59">
        <f>Report!E380</f>
        <v/>
      </c>
      <c r="C274" s="77">
        <f>Report!U380</f>
        <v/>
      </c>
      <c r="D274" s="59">
        <f>Report!X380</f>
        <v/>
      </c>
    </row>
    <row r="275" ht="12.75" customHeight="1" s="60">
      <c r="A275" s="75">
        <f>Report!C381</f>
        <v/>
      </c>
      <c r="B275" s="59">
        <f>Report!E381</f>
        <v/>
      </c>
      <c r="C275" s="77">
        <f>Report!U381</f>
        <v/>
      </c>
      <c r="D275" s="59">
        <f>Report!X381</f>
        <v/>
      </c>
    </row>
    <row r="276" ht="12.75" customHeight="1" s="60">
      <c r="A276" s="75">
        <f>Report!C382</f>
        <v/>
      </c>
      <c r="B276" s="59">
        <f>Report!E382</f>
        <v/>
      </c>
      <c r="C276" s="77">
        <f>Report!U382</f>
        <v/>
      </c>
      <c r="D276" s="59">
        <f>Report!X382</f>
        <v/>
      </c>
    </row>
    <row r="277" ht="12.75" customHeight="1" s="60">
      <c r="A277" s="75">
        <f>Report!C383</f>
        <v/>
      </c>
      <c r="B277" s="59">
        <f>Report!E383</f>
        <v/>
      </c>
      <c r="C277" s="77">
        <f>Report!U383</f>
        <v/>
      </c>
      <c r="D277" s="59">
        <f>Report!X383</f>
        <v/>
      </c>
    </row>
    <row r="278" ht="12.75" customHeight="1" s="60">
      <c r="A278" s="75">
        <f>Report!C384</f>
        <v/>
      </c>
      <c r="B278" s="59">
        <f>Report!E384</f>
        <v/>
      </c>
      <c r="C278" s="77">
        <f>Report!U384</f>
        <v/>
      </c>
      <c r="D278" s="59">
        <f>Report!X384</f>
        <v/>
      </c>
    </row>
    <row r="279" ht="12.75" customHeight="1" s="60">
      <c r="A279" s="75">
        <f>Report!C385</f>
        <v/>
      </c>
      <c r="B279" s="59">
        <f>Report!E385</f>
        <v/>
      </c>
      <c r="C279" s="77">
        <f>Report!U385</f>
        <v/>
      </c>
      <c r="D279" s="59">
        <f>Report!X385</f>
        <v/>
      </c>
    </row>
    <row r="280" ht="12.75" customHeight="1" s="60">
      <c r="A280" s="75">
        <f>Report!C386</f>
        <v/>
      </c>
      <c r="B280" s="59">
        <f>Report!E386</f>
        <v/>
      </c>
      <c r="C280" s="77">
        <f>Report!U386</f>
        <v/>
      </c>
      <c r="D280" s="59">
        <f>Report!X386</f>
        <v/>
      </c>
    </row>
    <row r="281" ht="12.75" customHeight="1" s="60">
      <c r="A281" s="75">
        <f>Report!C388</f>
        <v/>
      </c>
      <c r="B281" s="59">
        <f>Report!E388</f>
        <v/>
      </c>
      <c r="C281" s="77">
        <f>Report!U388</f>
        <v/>
      </c>
      <c r="D281" s="59">
        <f>Report!X388</f>
        <v/>
      </c>
    </row>
    <row r="282" ht="12.75" customHeight="1" s="60">
      <c r="A282" s="75">
        <f>Report!C389</f>
        <v/>
      </c>
      <c r="B282" s="59">
        <f>Report!E389</f>
        <v/>
      </c>
      <c r="C282" s="77">
        <f>Report!U389</f>
        <v/>
      </c>
      <c r="D282" s="59">
        <f>Report!X389</f>
        <v/>
      </c>
    </row>
    <row r="283" ht="12.75" customHeight="1" s="60">
      <c r="A283" s="75">
        <f>Report!C390</f>
        <v/>
      </c>
      <c r="B283" s="59">
        <f>Report!E390</f>
        <v/>
      </c>
      <c r="C283" s="77">
        <f>Report!U390</f>
        <v/>
      </c>
      <c r="D283" s="59">
        <f>Report!X390</f>
        <v/>
      </c>
    </row>
    <row r="284" ht="12.75" customHeight="1" s="60">
      <c r="A284" s="75">
        <f>Report!C391</f>
        <v/>
      </c>
      <c r="B284" s="59">
        <f>Report!E391</f>
        <v/>
      </c>
      <c r="C284" s="77">
        <f>Report!U391</f>
        <v/>
      </c>
      <c r="D284" s="59">
        <f>Report!X391</f>
        <v/>
      </c>
    </row>
    <row r="285" ht="12.75" customHeight="1" s="60">
      <c r="A285" s="75">
        <f>Report!C392</f>
        <v/>
      </c>
      <c r="B285" s="59">
        <f>Report!E392</f>
        <v/>
      </c>
      <c r="C285" s="77">
        <f>Report!U392</f>
        <v/>
      </c>
      <c r="D285" s="59">
        <f>Report!X392</f>
        <v/>
      </c>
    </row>
    <row r="286" ht="12.75" customHeight="1" s="60">
      <c r="A286" s="75">
        <f>Report!C393</f>
        <v/>
      </c>
      <c r="B286" s="59">
        <f>Report!E393</f>
        <v/>
      </c>
      <c r="C286" s="77">
        <f>Report!U393</f>
        <v/>
      </c>
      <c r="D286" s="59">
        <f>Report!X393</f>
        <v/>
      </c>
    </row>
    <row r="287" ht="12.75" customHeight="1" s="60">
      <c r="A287" s="75">
        <f>Report!C396</f>
        <v/>
      </c>
      <c r="B287" s="59">
        <f>Report!E396</f>
        <v/>
      </c>
      <c r="C287" s="77">
        <f>Report!U396</f>
        <v/>
      </c>
      <c r="D287" s="59">
        <f>Report!X396</f>
        <v/>
      </c>
    </row>
    <row r="288" ht="12.75" customHeight="1" s="60">
      <c r="A288" s="75">
        <f>Report!C397</f>
        <v/>
      </c>
      <c r="B288" s="59">
        <f>Report!E397</f>
        <v/>
      </c>
      <c r="C288" s="77">
        <f>Report!U397</f>
        <v/>
      </c>
      <c r="D288" s="59">
        <f>Report!X397</f>
        <v/>
      </c>
    </row>
    <row r="289" ht="12.75" customHeight="1" s="60">
      <c r="A289" s="75">
        <f>Report!C398</f>
        <v/>
      </c>
      <c r="B289" s="59">
        <f>Report!E398</f>
        <v/>
      </c>
      <c r="C289" s="77">
        <f>Report!U398</f>
        <v/>
      </c>
      <c r="D289" s="59">
        <f>Report!X398</f>
        <v/>
      </c>
    </row>
    <row r="290" ht="12.75" customHeight="1" s="60">
      <c r="A290" s="75">
        <f>Report!C399</f>
        <v/>
      </c>
      <c r="B290" s="59">
        <f>Report!E399</f>
        <v/>
      </c>
      <c r="C290" s="77">
        <f>Report!U399</f>
        <v/>
      </c>
      <c r="D290" s="59">
        <f>Report!X399</f>
        <v/>
      </c>
    </row>
    <row r="291" ht="12.75" customHeight="1" s="60">
      <c r="A291" s="75">
        <f>Report!C400</f>
        <v/>
      </c>
      <c r="B291" s="59">
        <f>Report!E400</f>
        <v/>
      </c>
      <c r="C291" s="77">
        <f>Report!U400</f>
        <v/>
      </c>
      <c r="D291" s="59">
        <f>Report!X400</f>
        <v/>
      </c>
    </row>
    <row r="292" ht="12.75" customHeight="1" s="60">
      <c r="A292" s="75">
        <f>Report!C401</f>
        <v/>
      </c>
      <c r="B292" s="59">
        <f>Report!E401</f>
        <v/>
      </c>
      <c r="C292" s="77">
        <f>Report!U401</f>
        <v/>
      </c>
      <c r="D292" s="59">
        <f>Report!X401</f>
        <v/>
      </c>
    </row>
    <row r="293" ht="12.75" customHeight="1" s="60">
      <c r="A293" s="75">
        <f>Report!C402</f>
        <v/>
      </c>
      <c r="B293" s="59">
        <f>Report!E402</f>
        <v/>
      </c>
      <c r="C293" s="77">
        <f>Report!U402</f>
        <v/>
      </c>
      <c r="D293" s="59">
        <f>Report!X402</f>
        <v/>
      </c>
    </row>
    <row r="294" ht="12.75" customHeight="1" s="60">
      <c r="A294" s="75">
        <f>Report!C403</f>
        <v/>
      </c>
      <c r="B294" s="59">
        <f>Report!E403</f>
        <v/>
      </c>
      <c r="C294" s="77">
        <f>Report!U403</f>
        <v/>
      </c>
      <c r="D294" s="59">
        <f>Report!X403</f>
        <v/>
      </c>
    </row>
    <row r="295" ht="12.75" customHeight="1" s="60">
      <c r="A295" s="75">
        <f>Report!C404</f>
        <v/>
      </c>
      <c r="B295" s="59">
        <f>Report!E404</f>
        <v/>
      </c>
      <c r="C295" s="77">
        <f>Report!U404</f>
        <v/>
      </c>
      <c r="D295" s="59">
        <f>Report!X404</f>
        <v/>
      </c>
    </row>
    <row r="296" ht="12.75" customHeight="1" s="60">
      <c r="A296" s="75">
        <f>Report!C407</f>
        <v/>
      </c>
      <c r="B296" s="59">
        <f>Report!E407</f>
        <v/>
      </c>
      <c r="C296" s="77">
        <f>Report!U407</f>
        <v/>
      </c>
      <c r="D296" s="59">
        <f>Report!X407</f>
        <v/>
      </c>
    </row>
    <row r="297" ht="12.75" customHeight="1" s="60">
      <c r="A297" s="75">
        <f>Report!C408</f>
        <v/>
      </c>
      <c r="B297" s="59">
        <f>Report!E408</f>
        <v/>
      </c>
      <c r="C297" s="77">
        <f>Report!U408</f>
        <v/>
      </c>
      <c r="D297" s="59">
        <f>Report!X408</f>
        <v/>
      </c>
    </row>
    <row r="298" ht="12.75" customHeight="1" s="60">
      <c r="A298" s="75">
        <f>Report!C409</f>
        <v/>
      </c>
      <c r="B298" s="59">
        <f>Report!E409</f>
        <v/>
      </c>
      <c r="C298" s="77">
        <f>Report!U409</f>
        <v/>
      </c>
      <c r="D298" s="59">
        <f>Report!X409</f>
        <v/>
      </c>
    </row>
    <row r="299" ht="12.75" customHeight="1" s="60">
      <c r="A299" s="75">
        <f>Report!C410</f>
        <v/>
      </c>
      <c r="B299" s="59">
        <f>Report!E410</f>
        <v/>
      </c>
      <c r="C299" s="77">
        <f>Report!U410</f>
        <v/>
      </c>
      <c r="D299" s="59">
        <f>Report!X410</f>
        <v/>
      </c>
    </row>
    <row r="300" ht="12.75" customHeight="1" s="60">
      <c r="A300" s="75">
        <f>Report!C411</f>
        <v/>
      </c>
      <c r="B300" s="59">
        <f>Report!E411</f>
        <v/>
      </c>
      <c r="C300" s="77">
        <f>Report!U411</f>
        <v/>
      </c>
      <c r="D300" s="59">
        <f>Report!X411</f>
        <v/>
      </c>
    </row>
    <row r="301" ht="12.75" customHeight="1" s="60">
      <c r="A301" s="75">
        <f>Report!C412</f>
        <v/>
      </c>
      <c r="B301" s="59">
        <f>Report!E412</f>
        <v/>
      </c>
      <c r="C301" s="77">
        <f>Report!U412</f>
        <v/>
      </c>
      <c r="D301" s="59">
        <f>Report!X412</f>
        <v/>
      </c>
    </row>
    <row r="302" ht="12.75" customHeight="1" s="60">
      <c r="A302" s="75">
        <f>Report!C413</f>
        <v/>
      </c>
      <c r="B302" s="59">
        <f>Report!E413</f>
        <v/>
      </c>
      <c r="C302" s="77">
        <f>Report!U413</f>
        <v/>
      </c>
      <c r="D302" s="59">
        <f>Report!X413</f>
        <v/>
      </c>
    </row>
    <row r="303" ht="12.75" customHeight="1" s="60">
      <c r="A303" s="75">
        <f>Report!C414</f>
        <v/>
      </c>
      <c r="B303" s="59">
        <f>Report!E414</f>
        <v/>
      </c>
      <c r="C303" s="77">
        <f>Report!U414</f>
        <v/>
      </c>
      <c r="D303" s="59">
        <f>Report!X414</f>
        <v/>
      </c>
    </row>
    <row r="304" ht="12.75" customHeight="1" s="60">
      <c r="A304" s="75">
        <f>Report!C415</f>
        <v/>
      </c>
      <c r="B304" s="59">
        <f>Report!E415</f>
        <v/>
      </c>
      <c r="C304" s="77">
        <f>Report!U415</f>
        <v/>
      </c>
      <c r="D304" s="59">
        <f>Report!X415</f>
        <v/>
      </c>
    </row>
    <row r="305" ht="12.75" customHeight="1" s="60">
      <c r="A305" s="75">
        <f>Report!C416</f>
        <v/>
      </c>
      <c r="B305" s="59">
        <f>Report!E416</f>
        <v/>
      </c>
      <c r="C305" s="77">
        <f>Report!U416</f>
        <v/>
      </c>
      <c r="D305" s="59">
        <f>Report!X416</f>
        <v/>
      </c>
    </row>
    <row r="306" ht="12.75" customHeight="1" s="60">
      <c r="A306" s="75">
        <f>Report!C417</f>
        <v/>
      </c>
      <c r="B306" s="59">
        <f>Report!E417</f>
        <v/>
      </c>
      <c r="C306" s="77">
        <f>Report!U417</f>
        <v/>
      </c>
      <c r="D306" s="59">
        <f>Report!X417</f>
        <v/>
      </c>
    </row>
    <row r="307" ht="12.75" customHeight="1" s="60">
      <c r="A307" s="75">
        <f>Report!C419</f>
        <v/>
      </c>
      <c r="B307" s="59">
        <f>Report!E419</f>
        <v/>
      </c>
      <c r="C307" s="77">
        <f>Report!U419</f>
        <v/>
      </c>
      <c r="D307" s="59">
        <f>Report!X419</f>
        <v/>
      </c>
    </row>
    <row r="308" ht="12.75" customHeight="1" s="60">
      <c r="A308" s="75">
        <f>Report!C425</f>
        <v/>
      </c>
      <c r="B308" s="59">
        <f>Report!E425</f>
        <v/>
      </c>
      <c r="C308" s="77">
        <f>Report!U425</f>
        <v/>
      </c>
      <c r="D308" s="59">
        <f>Report!X425</f>
        <v/>
      </c>
    </row>
    <row r="309" ht="12.75" customHeight="1" s="60">
      <c r="A309" s="75">
        <f>Report!C426</f>
        <v/>
      </c>
      <c r="B309" s="59">
        <f>Report!E426</f>
        <v/>
      </c>
      <c r="C309" s="77">
        <f>Report!U426</f>
        <v/>
      </c>
      <c r="D309" s="59">
        <f>Report!X426</f>
        <v/>
      </c>
    </row>
    <row r="310" ht="12.75" customHeight="1" s="60">
      <c r="A310" s="75">
        <f>Report!C427</f>
        <v/>
      </c>
      <c r="B310" s="59">
        <f>Report!E427</f>
        <v/>
      </c>
      <c r="C310" s="77">
        <f>Report!U427</f>
        <v/>
      </c>
      <c r="D310" s="59">
        <f>Report!X427</f>
        <v/>
      </c>
    </row>
    <row r="311" ht="12.75" customHeight="1" s="60">
      <c r="A311" s="75">
        <f>Report!C428</f>
        <v/>
      </c>
      <c r="B311" s="59">
        <f>Report!E428</f>
        <v/>
      </c>
      <c r="C311" s="77">
        <f>Report!U428</f>
        <v/>
      </c>
      <c r="D311" s="59">
        <f>Report!X428</f>
        <v/>
      </c>
    </row>
    <row r="312" ht="12.75" customHeight="1" s="60">
      <c r="A312" s="75">
        <f>Report!C429</f>
        <v/>
      </c>
      <c r="B312" s="59">
        <f>Report!E429</f>
        <v/>
      </c>
      <c r="C312" s="77">
        <f>Report!U429</f>
        <v/>
      </c>
      <c r="D312" s="59">
        <f>Report!X429</f>
        <v/>
      </c>
    </row>
    <row r="313" ht="12.75" customHeight="1" s="60">
      <c r="A313" s="75">
        <f>Report!C430</f>
        <v/>
      </c>
      <c r="B313" s="59">
        <f>Report!E430</f>
        <v/>
      </c>
      <c r="C313" s="77">
        <f>Report!U430</f>
        <v/>
      </c>
      <c r="D313" s="59">
        <f>Report!X430</f>
        <v/>
      </c>
    </row>
    <row r="314" ht="12.75" customHeight="1" s="60">
      <c r="A314" s="75">
        <f>Report!C431</f>
        <v/>
      </c>
      <c r="B314" s="59">
        <f>Report!E431</f>
        <v/>
      </c>
      <c r="C314" s="77">
        <f>Report!U431</f>
        <v/>
      </c>
      <c r="D314" s="59">
        <f>Report!X431</f>
        <v/>
      </c>
    </row>
    <row r="315" ht="12.75" customHeight="1" s="60">
      <c r="A315" s="75">
        <f>Report!C432</f>
        <v/>
      </c>
      <c r="B315" s="59">
        <f>Report!E432</f>
        <v/>
      </c>
      <c r="C315" s="77">
        <f>Report!U432</f>
        <v/>
      </c>
      <c r="D315" s="59">
        <f>Report!X432</f>
        <v/>
      </c>
    </row>
    <row r="316" ht="12.75" customHeight="1" s="60">
      <c r="A316" s="75">
        <f>Report!C433</f>
        <v/>
      </c>
      <c r="B316" s="59">
        <f>Report!E433</f>
        <v/>
      </c>
      <c r="C316" s="77">
        <f>Report!U433</f>
        <v/>
      </c>
      <c r="D316" s="59">
        <f>Report!X433</f>
        <v/>
      </c>
    </row>
    <row r="317" ht="12.75" customHeight="1" s="60">
      <c r="A317" s="75">
        <f>Report!C434</f>
        <v/>
      </c>
      <c r="B317" s="59">
        <f>Report!E434</f>
        <v/>
      </c>
      <c r="C317" s="77">
        <f>Report!U434</f>
        <v/>
      </c>
      <c r="D317" s="59">
        <f>Report!X434</f>
        <v/>
      </c>
    </row>
    <row r="318" ht="12.75" customHeight="1" s="60">
      <c r="A318" s="75">
        <f>Report!C435</f>
        <v/>
      </c>
      <c r="B318" s="59">
        <f>Report!E435</f>
        <v/>
      </c>
      <c r="C318" s="77">
        <f>Report!U435</f>
        <v/>
      </c>
      <c r="D318" s="59">
        <f>Report!X435</f>
        <v/>
      </c>
    </row>
    <row r="319" ht="12.75" customHeight="1" s="60">
      <c r="A319" s="75">
        <f>Report!C436</f>
        <v/>
      </c>
      <c r="B319" s="59">
        <f>Report!E436</f>
        <v/>
      </c>
      <c r="C319" s="77">
        <f>Report!U436</f>
        <v/>
      </c>
      <c r="D319" s="59">
        <f>Report!X436</f>
        <v/>
      </c>
    </row>
    <row r="320" ht="12.75" customHeight="1" s="60">
      <c r="A320" s="75">
        <f>Report!C437</f>
        <v/>
      </c>
      <c r="B320" s="59">
        <f>Report!E437</f>
        <v/>
      </c>
      <c r="C320" s="77">
        <f>Report!U437</f>
        <v/>
      </c>
      <c r="D320" s="59">
        <f>Report!X437</f>
        <v/>
      </c>
    </row>
    <row r="321" ht="12.75" customHeight="1" s="60">
      <c r="A321" s="75">
        <f>Report!C438</f>
        <v/>
      </c>
      <c r="B321" s="59">
        <f>Report!E438</f>
        <v/>
      </c>
      <c r="C321" s="77">
        <f>Report!U438</f>
        <v/>
      </c>
      <c r="D321" s="59">
        <f>Report!X438</f>
        <v/>
      </c>
    </row>
    <row r="322" ht="12.75" customHeight="1" s="60">
      <c r="A322" s="75">
        <f>Report!C439</f>
        <v/>
      </c>
      <c r="B322" s="59">
        <f>Report!E439</f>
        <v/>
      </c>
      <c r="C322" s="77">
        <f>Report!U439</f>
        <v/>
      </c>
      <c r="D322" s="59">
        <f>Report!X439</f>
        <v/>
      </c>
    </row>
    <row r="323" ht="12.75" customHeight="1" s="60">
      <c r="A323" s="75">
        <f>Report!C440</f>
        <v/>
      </c>
      <c r="B323" s="59">
        <f>Report!E440</f>
        <v/>
      </c>
      <c r="C323" s="77">
        <f>Report!U440</f>
        <v/>
      </c>
      <c r="D323" s="59">
        <f>Report!X440</f>
        <v/>
      </c>
    </row>
    <row r="324" ht="12.75" customHeight="1" s="60">
      <c r="A324" s="75">
        <f>Report!C441</f>
        <v/>
      </c>
      <c r="B324" s="59">
        <f>Report!E441</f>
        <v/>
      </c>
      <c r="C324" s="77">
        <f>Report!U441</f>
        <v/>
      </c>
      <c r="D324" s="59">
        <f>Report!X441</f>
        <v/>
      </c>
    </row>
    <row r="325" ht="12.75" customHeight="1" s="60">
      <c r="A325" s="75">
        <f>Report!C442</f>
        <v/>
      </c>
      <c r="B325" s="59">
        <f>Report!E442</f>
        <v/>
      </c>
      <c r="C325" s="77">
        <f>Report!U442</f>
        <v/>
      </c>
      <c r="D325" s="59">
        <f>Report!X442</f>
        <v/>
      </c>
    </row>
    <row r="326" ht="12.75" customHeight="1" s="60">
      <c r="A326" s="75">
        <f>Report!C443</f>
        <v/>
      </c>
      <c r="B326" s="59">
        <f>Report!E443</f>
        <v/>
      </c>
      <c r="C326" s="77">
        <f>Report!U443</f>
        <v/>
      </c>
      <c r="D326" s="59">
        <f>Report!X443</f>
        <v/>
      </c>
    </row>
    <row r="327" ht="12.75" customHeight="1" s="60">
      <c r="A327" s="75">
        <f>Report!C444</f>
        <v/>
      </c>
      <c r="B327" s="59">
        <f>Report!E444</f>
        <v/>
      </c>
      <c r="C327" s="77">
        <f>Report!U444</f>
        <v/>
      </c>
      <c r="D327" s="59">
        <f>Report!X444</f>
        <v/>
      </c>
    </row>
    <row r="328" ht="12.75" customHeight="1" s="60">
      <c r="A328" s="75">
        <f>Report!C445</f>
        <v/>
      </c>
      <c r="B328" s="59">
        <f>Report!E445</f>
        <v/>
      </c>
      <c r="C328" s="77">
        <f>Report!U445</f>
        <v/>
      </c>
      <c r="D328" s="59">
        <f>Report!X445</f>
        <v/>
      </c>
    </row>
    <row r="329" ht="12.75" customHeight="1" s="60">
      <c r="A329" s="75">
        <f>Report!C446</f>
        <v/>
      </c>
      <c r="B329" s="59">
        <f>Report!E446</f>
        <v/>
      </c>
      <c r="C329" s="77">
        <f>Report!U446</f>
        <v/>
      </c>
      <c r="D329" s="59">
        <f>Report!X446</f>
        <v/>
      </c>
    </row>
    <row r="330" ht="12.75" customHeight="1" s="60">
      <c r="A330" s="75">
        <f>Report!C447</f>
        <v/>
      </c>
      <c r="B330" s="59">
        <f>Report!E447</f>
        <v/>
      </c>
      <c r="C330" s="77">
        <f>Report!U447</f>
        <v/>
      </c>
      <c r="D330" s="59">
        <f>Report!X447</f>
        <v/>
      </c>
    </row>
    <row r="331" ht="12.75" customHeight="1" s="60">
      <c r="A331" s="75">
        <f>Report!C450</f>
        <v/>
      </c>
      <c r="B331" s="59">
        <f>Report!E450</f>
        <v/>
      </c>
      <c r="C331" s="77">
        <f>Report!U450</f>
        <v/>
      </c>
      <c r="D331" s="59">
        <f>Report!X450</f>
        <v/>
      </c>
    </row>
    <row r="332" ht="12.75" customHeight="1" s="60">
      <c r="A332" s="75">
        <f>Report!C451</f>
        <v/>
      </c>
      <c r="B332" s="59">
        <f>Report!E451</f>
        <v/>
      </c>
      <c r="C332" s="77">
        <f>Report!U451</f>
        <v/>
      </c>
      <c r="D332" s="59">
        <f>Report!X451</f>
        <v/>
      </c>
    </row>
    <row r="333" ht="12.75" customHeight="1" s="60">
      <c r="A333" s="75">
        <f>Report!C452</f>
        <v/>
      </c>
      <c r="B333" s="59">
        <f>Report!E452</f>
        <v/>
      </c>
      <c r="C333" s="77">
        <f>Report!U452</f>
        <v/>
      </c>
      <c r="D333" s="59">
        <f>Report!X452</f>
        <v/>
      </c>
    </row>
    <row r="334" ht="12.75" customHeight="1" s="60">
      <c r="A334" s="75">
        <f>Report!C453</f>
        <v/>
      </c>
      <c r="B334" s="59">
        <f>Report!E453</f>
        <v/>
      </c>
      <c r="C334" s="77">
        <f>Report!U453</f>
        <v/>
      </c>
      <c r="D334" s="59">
        <f>Report!X453</f>
        <v/>
      </c>
    </row>
    <row r="335" ht="12.75" customHeight="1" s="60">
      <c r="A335" s="75">
        <f>Report!C454</f>
        <v/>
      </c>
      <c r="B335" s="59">
        <f>Report!E454</f>
        <v/>
      </c>
      <c r="C335" s="77">
        <f>Report!U454</f>
        <v/>
      </c>
      <c r="D335" s="59">
        <f>Report!X454</f>
        <v/>
      </c>
    </row>
    <row r="336" ht="12.75" customHeight="1" s="60">
      <c r="A336" s="75">
        <f>Report!C455</f>
        <v/>
      </c>
      <c r="B336" s="59">
        <f>Report!E455</f>
        <v/>
      </c>
      <c r="C336" s="77">
        <f>Report!U455</f>
        <v/>
      </c>
      <c r="D336" s="59">
        <f>Report!X455</f>
        <v/>
      </c>
    </row>
    <row r="337" ht="12.75" customHeight="1" s="60">
      <c r="A337" s="75">
        <f>Report!C456</f>
        <v/>
      </c>
      <c r="B337" s="59">
        <f>Report!E456</f>
        <v/>
      </c>
      <c r="C337" s="77">
        <f>Report!U456</f>
        <v/>
      </c>
      <c r="D337" s="59">
        <f>Report!X456</f>
        <v/>
      </c>
    </row>
    <row r="338" ht="12.75" customHeight="1" s="60">
      <c r="A338" s="75">
        <f>Report!C457</f>
        <v/>
      </c>
      <c r="B338" s="59">
        <f>Report!E457</f>
        <v/>
      </c>
      <c r="C338" s="77">
        <f>Report!U457</f>
        <v/>
      </c>
      <c r="D338" s="59">
        <f>Report!X457</f>
        <v/>
      </c>
    </row>
    <row r="339" ht="12.75" customHeight="1" s="60">
      <c r="A339" s="75">
        <f>Report!C458</f>
        <v/>
      </c>
      <c r="B339" s="59">
        <f>Report!E458</f>
        <v/>
      </c>
      <c r="C339" s="77">
        <f>Report!U458</f>
        <v/>
      </c>
      <c r="D339" s="59">
        <f>Report!X458</f>
        <v/>
      </c>
    </row>
    <row r="340" ht="12.75" customHeight="1" s="60">
      <c r="A340" s="75">
        <f>Report!C459</f>
        <v/>
      </c>
      <c r="B340" s="59">
        <f>Report!E459</f>
        <v/>
      </c>
      <c r="C340" s="77">
        <f>Report!U459</f>
        <v/>
      </c>
      <c r="D340" s="59">
        <f>Report!X459</f>
        <v/>
      </c>
    </row>
    <row r="341" ht="12.75" customHeight="1" s="60">
      <c r="A341" s="75">
        <f>Report!C460</f>
        <v/>
      </c>
      <c r="B341" s="59">
        <f>Report!E460</f>
        <v/>
      </c>
      <c r="C341" s="77">
        <f>Report!U460</f>
        <v/>
      </c>
      <c r="D341" s="59">
        <f>Report!X460</f>
        <v/>
      </c>
    </row>
    <row r="342" ht="12.75" customHeight="1" s="60">
      <c r="A342" s="75">
        <f>Report!C461</f>
        <v/>
      </c>
      <c r="B342" s="59">
        <f>Report!E461</f>
        <v/>
      </c>
      <c r="C342" s="77">
        <f>Report!U461</f>
        <v/>
      </c>
      <c r="D342" s="59">
        <f>Report!X461</f>
        <v/>
      </c>
    </row>
    <row r="343" ht="12.75" customHeight="1" s="60">
      <c r="A343" s="75">
        <f>Report!C462</f>
        <v/>
      </c>
      <c r="B343" s="59">
        <f>Report!E462</f>
        <v/>
      </c>
      <c r="C343" s="77">
        <f>Report!U462</f>
        <v/>
      </c>
      <c r="D343" s="59">
        <f>Report!X462</f>
        <v/>
      </c>
    </row>
    <row r="344" ht="12.75" customHeight="1" s="60">
      <c r="A344" s="75">
        <f>Report!C463</f>
        <v/>
      </c>
      <c r="B344" s="59">
        <f>Report!E463</f>
        <v/>
      </c>
      <c r="C344" s="77">
        <f>Report!U463</f>
        <v/>
      </c>
      <c r="D344" s="59">
        <f>Report!X463</f>
        <v/>
      </c>
    </row>
    <row r="345" ht="12.75" customHeight="1" s="60">
      <c r="A345" s="75">
        <f>Report!C464</f>
        <v/>
      </c>
      <c r="B345" s="59">
        <f>Report!E464</f>
        <v/>
      </c>
      <c r="C345" s="77">
        <f>Report!U464</f>
        <v/>
      </c>
      <c r="D345" s="59">
        <f>Report!X464</f>
        <v/>
      </c>
    </row>
    <row r="346" ht="12.75" customHeight="1" s="60">
      <c r="A346" s="75">
        <f>Report!C466</f>
        <v/>
      </c>
      <c r="B346" s="59">
        <f>Report!E466</f>
        <v/>
      </c>
      <c r="C346" s="77">
        <f>Report!U466</f>
        <v/>
      </c>
      <c r="D346" s="59">
        <f>Report!X466</f>
        <v/>
      </c>
    </row>
    <row r="347" ht="12.75" customHeight="1" s="60">
      <c r="A347" s="75">
        <f>Report!C467</f>
        <v/>
      </c>
      <c r="B347" s="59">
        <f>Report!E467</f>
        <v/>
      </c>
      <c r="C347" s="77">
        <f>Report!U467</f>
        <v/>
      </c>
      <c r="D347" s="59">
        <f>Report!X467</f>
        <v/>
      </c>
    </row>
    <row r="348" ht="12.75" customHeight="1" s="60">
      <c r="A348" s="75">
        <f>Report!C468</f>
        <v/>
      </c>
      <c r="B348" s="59">
        <f>Report!E468</f>
        <v/>
      </c>
      <c r="C348" s="77">
        <f>Report!U468</f>
        <v/>
      </c>
      <c r="D348" s="59">
        <f>Report!X468</f>
        <v/>
      </c>
    </row>
    <row r="349" ht="12.75" customHeight="1" s="60">
      <c r="A349" s="75">
        <f>Report!C469</f>
        <v/>
      </c>
      <c r="B349" s="59">
        <f>Report!E469</f>
        <v/>
      </c>
      <c r="C349" s="77">
        <f>Report!U469</f>
        <v/>
      </c>
      <c r="D349" s="59">
        <f>Report!X469</f>
        <v/>
      </c>
    </row>
    <row r="350" ht="12.75" customHeight="1" s="60">
      <c r="A350" s="75">
        <f>Report!C470</f>
        <v/>
      </c>
      <c r="B350" s="59">
        <f>Report!E470</f>
        <v/>
      </c>
      <c r="C350" s="77">
        <f>Report!U470</f>
        <v/>
      </c>
      <c r="D350" s="59">
        <f>Report!X470</f>
        <v/>
      </c>
    </row>
    <row r="351" ht="12.75" customHeight="1" s="60">
      <c r="A351" s="75">
        <f>Report!C472</f>
        <v/>
      </c>
      <c r="B351" s="59">
        <f>Report!E472</f>
        <v/>
      </c>
      <c r="C351" s="77">
        <f>Report!U472</f>
        <v/>
      </c>
      <c r="D351" s="59">
        <f>Report!X472</f>
        <v/>
      </c>
    </row>
    <row r="352" ht="12.75" customHeight="1" s="60">
      <c r="A352" s="75">
        <f>Report!C473</f>
        <v/>
      </c>
      <c r="B352" s="59">
        <f>Report!E473</f>
        <v/>
      </c>
      <c r="C352" s="77">
        <f>Report!U473</f>
        <v/>
      </c>
      <c r="D352" s="59">
        <f>Report!X473</f>
        <v/>
      </c>
    </row>
    <row r="353" ht="12.75" customHeight="1" s="60">
      <c r="A353" s="75">
        <f>Report!C474</f>
        <v/>
      </c>
      <c r="B353" s="59">
        <f>Report!E474</f>
        <v/>
      </c>
      <c r="C353" s="77">
        <f>Report!U474</f>
        <v/>
      </c>
      <c r="D353" s="59">
        <f>Report!X474</f>
        <v/>
      </c>
    </row>
    <row r="354" ht="12.75" customHeight="1" s="60">
      <c r="A354" s="75">
        <f>Report!C475</f>
        <v/>
      </c>
      <c r="B354" s="59">
        <f>Report!E475</f>
        <v/>
      </c>
      <c r="C354" s="77">
        <f>Report!U475</f>
        <v/>
      </c>
      <c r="D354" s="59">
        <f>Report!X475</f>
        <v/>
      </c>
    </row>
    <row r="355" ht="12.75" customHeight="1" s="60">
      <c r="A355" s="75">
        <f>Report!C476</f>
        <v/>
      </c>
      <c r="B355" s="59">
        <f>Report!E476</f>
        <v/>
      </c>
      <c r="C355" s="77">
        <f>Report!U476</f>
        <v/>
      </c>
      <c r="D355" s="59">
        <f>Report!X476</f>
        <v/>
      </c>
    </row>
    <row r="356" ht="12.75" customHeight="1" s="60">
      <c r="A356" s="75">
        <f>Report!C477</f>
        <v/>
      </c>
      <c r="B356" s="59">
        <f>Report!E477</f>
        <v/>
      </c>
      <c r="C356" s="77">
        <f>Report!U477</f>
        <v/>
      </c>
      <c r="D356" s="59">
        <f>Report!X477</f>
        <v/>
      </c>
    </row>
    <row r="357" ht="12.75" customHeight="1" s="60">
      <c r="A357" s="75">
        <f>Report!C478</f>
        <v/>
      </c>
      <c r="B357" s="59">
        <f>Report!E478</f>
        <v/>
      </c>
      <c r="C357" s="77">
        <f>Report!U478</f>
        <v/>
      </c>
      <c r="D357" s="59">
        <f>Report!X478</f>
        <v/>
      </c>
    </row>
    <row r="358" ht="12.75" customHeight="1" s="60">
      <c r="A358" s="75">
        <f>Report!C479</f>
        <v/>
      </c>
      <c r="B358" s="59">
        <f>Report!E479</f>
        <v/>
      </c>
      <c r="C358" s="77">
        <f>Report!U479</f>
        <v/>
      </c>
      <c r="D358" s="59">
        <f>Report!X479</f>
        <v/>
      </c>
    </row>
    <row r="359" ht="12.75" customHeight="1" s="60">
      <c r="A359" s="75">
        <f>Report!C480</f>
        <v/>
      </c>
      <c r="B359" s="59">
        <f>Report!E480</f>
        <v/>
      </c>
      <c r="C359" s="77">
        <f>Report!U480</f>
        <v/>
      </c>
      <c r="D359" s="59">
        <f>Report!X480</f>
        <v/>
      </c>
    </row>
    <row r="360" ht="12.75" customHeight="1" s="60">
      <c r="A360" s="75">
        <f>Report!C481</f>
        <v/>
      </c>
      <c r="B360" s="59">
        <f>Report!E481</f>
        <v/>
      </c>
      <c r="C360" s="77">
        <f>Report!U481</f>
        <v/>
      </c>
      <c r="D360" s="59">
        <f>Report!X481</f>
        <v/>
      </c>
    </row>
    <row r="361" ht="12.75" customHeight="1" s="60">
      <c r="A361" s="75">
        <f>Report!C482</f>
        <v/>
      </c>
      <c r="B361" s="59">
        <f>Report!E482</f>
        <v/>
      </c>
      <c r="C361" s="77">
        <f>Report!U482</f>
        <v/>
      </c>
      <c r="D361" s="59">
        <f>Report!X482</f>
        <v/>
      </c>
    </row>
    <row r="362" ht="12.75" customHeight="1" s="60">
      <c r="A362" s="75">
        <f>Report!C483</f>
        <v/>
      </c>
      <c r="B362" s="59">
        <f>Report!E483</f>
        <v/>
      </c>
      <c r="C362" s="77">
        <f>Report!U483</f>
        <v/>
      </c>
      <c r="D362" s="59">
        <f>Report!X483</f>
        <v/>
      </c>
    </row>
    <row r="363" ht="12.75" customHeight="1" s="60">
      <c r="A363" s="75">
        <f>Report!C484</f>
        <v/>
      </c>
      <c r="B363" s="59">
        <f>Report!E484</f>
        <v/>
      </c>
      <c r="C363" s="77">
        <f>Report!U484</f>
        <v/>
      </c>
      <c r="D363" s="59">
        <f>Report!X484</f>
        <v/>
      </c>
    </row>
    <row r="364" ht="12.75" customHeight="1" s="60">
      <c r="A364" s="75">
        <f>Report!C485</f>
        <v/>
      </c>
      <c r="B364" s="59">
        <f>Report!E485</f>
        <v/>
      </c>
      <c r="C364" s="77">
        <f>Report!U485</f>
        <v/>
      </c>
      <c r="D364" s="59">
        <f>Report!X485</f>
        <v/>
      </c>
    </row>
    <row r="365" ht="12.75" customHeight="1" s="60">
      <c r="A365" s="75">
        <f>Report!C486</f>
        <v/>
      </c>
      <c r="B365" s="59">
        <f>Report!E486</f>
        <v/>
      </c>
      <c r="C365" s="77">
        <f>Report!U486</f>
        <v/>
      </c>
      <c r="D365" s="59">
        <f>Report!X486</f>
        <v/>
      </c>
    </row>
    <row r="366" ht="12.75" customHeight="1" s="60">
      <c r="A366" s="75">
        <f>Report!C487</f>
        <v/>
      </c>
      <c r="B366" s="59">
        <f>Report!E487</f>
        <v/>
      </c>
      <c r="C366" s="77">
        <f>Report!U487</f>
        <v/>
      </c>
      <c r="D366" s="59">
        <f>Report!X487</f>
        <v/>
      </c>
    </row>
    <row r="367" ht="12.75" customHeight="1" s="60">
      <c r="A367" s="75">
        <f>Report!C488</f>
        <v/>
      </c>
      <c r="B367" s="59">
        <f>Report!E488</f>
        <v/>
      </c>
      <c r="C367" s="77">
        <f>Report!U488</f>
        <v/>
      </c>
      <c r="D367" s="59">
        <f>Report!X488</f>
        <v/>
      </c>
    </row>
    <row r="368" ht="12.75" customHeight="1" s="60">
      <c r="A368" s="75">
        <f>Report!C490</f>
        <v/>
      </c>
      <c r="B368" s="59">
        <f>Report!E490</f>
        <v/>
      </c>
      <c r="C368" s="77">
        <f>Report!U490</f>
        <v/>
      </c>
      <c r="D368" s="59">
        <f>Report!X490</f>
        <v/>
      </c>
    </row>
    <row r="369" ht="12.75" customHeight="1" s="60">
      <c r="A369" s="75">
        <f>Report!C491</f>
        <v/>
      </c>
      <c r="B369" s="59">
        <f>Report!E491</f>
        <v/>
      </c>
      <c r="C369" s="77">
        <f>Report!U491</f>
        <v/>
      </c>
      <c r="D369" s="59">
        <f>Report!X491</f>
        <v/>
      </c>
    </row>
    <row r="370" ht="12.75" customHeight="1" s="60">
      <c r="A370" s="75">
        <f>Report!C494</f>
        <v/>
      </c>
      <c r="B370" s="59">
        <f>Report!E494</f>
        <v/>
      </c>
      <c r="C370" s="77">
        <f>Report!U494</f>
        <v/>
      </c>
      <c r="D370" s="59">
        <f>Report!X494</f>
        <v/>
      </c>
    </row>
    <row r="371" ht="12.75" customHeight="1" s="60">
      <c r="A371" s="75">
        <f>Report!C497</f>
        <v/>
      </c>
      <c r="B371" s="59">
        <f>Report!E497</f>
        <v/>
      </c>
      <c r="C371" s="77">
        <f>Report!U497</f>
        <v/>
      </c>
      <c r="D371" s="59">
        <f>Report!X497</f>
        <v/>
      </c>
    </row>
    <row r="372" ht="12.75" customHeight="1" s="60">
      <c r="A372" s="75">
        <f>Report!C498</f>
        <v/>
      </c>
      <c r="B372" s="59">
        <f>Report!E498</f>
        <v/>
      </c>
      <c r="C372" s="77">
        <f>Report!U498</f>
        <v/>
      </c>
      <c r="D372" s="59">
        <f>Report!X498</f>
        <v/>
      </c>
    </row>
    <row r="373" ht="12.75" customHeight="1" s="60">
      <c r="A373" s="75">
        <f>Report!C499</f>
        <v/>
      </c>
      <c r="B373" s="59">
        <f>Report!E499</f>
        <v/>
      </c>
      <c r="C373" s="77">
        <f>Report!U499</f>
        <v/>
      </c>
      <c r="D373" s="59">
        <f>Report!X499</f>
        <v/>
      </c>
    </row>
    <row r="374" ht="12.75" customHeight="1" s="60">
      <c r="A374" s="75">
        <f>Report!C500</f>
        <v/>
      </c>
      <c r="B374" s="59">
        <f>Report!E500</f>
        <v/>
      </c>
      <c r="C374" s="77">
        <f>Report!U500</f>
        <v/>
      </c>
      <c r="D374" s="59">
        <f>Report!X500</f>
        <v/>
      </c>
    </row>
    <row r="375" ht="12.75" customHeight="1" s="60">
      <c r="A375" s="75">
        <f>Report!C504</f>
        <v/>
      </c>
      <c r="B375" s="59">
        <f>Report!E504</f>
        <v/>
      </c>
      <c r="C375" s="77">
        <f>Report!U504</f>
        <v/>
      </c>
      <c r="D375" s="59">
        <f>Report!X504</f>
        <v/>
      </c>
    </row>
    <row r="376" ht="12.75" customHeight="1" s="60">
      <c r="A376" s="75">
        <f>Report!C506</f>
        <v/>
      </c>
      <c r="B376" s="59">
        <f>Report!E506</f>
        <v/>
      </c>
      <c r="C376" s="77">
        <f>Report!U506</f>
        <v/>
      </c>
      <c r="D376" s="59">
        <f>Report!X506</f>
        <v/>
      </c>
    </row>
    <row r="377" ht="12.75" customHeight="1" s="60">
      <c r="A377" s="75">
        <f>Report!C508</f>
        <v/>
      </c>
      <c r="B377" s="59">
        <f>Report!E508</f>
        <v/>
      </c>
      <c r="C377" s="77">
        <f>Report!U508</f>
        <v/>
      </c>
      <c r="D377" s="59">
        <f>Report!X508</f>
        <v/>
      </c>
    </row>
    <row r="378" ht="12.75" customHeight="1" s="60">
      <c r="A378" s="75">
        <f>Report!C512</f>
        <v/>
      </c>
      <c r="B378" s="59">
        <f>Report!E512</f>
        <v/>
      </c>
      <c r="C378" s="77">
        <f>Report!U512</f>
        <v/>
      </c>
      <c r="D378" s="59">
        <f>Report!X512</f>
        <v/>
      </c>
    </row>
    <row r="379" ht="12.75" customHeight="1" s="60">
      <c r="A379" s="75">
        <f>Report!C513</f>
        <v/>
      </c>
      <c r="B379" s="59">
        <f>Report!E513</f>
        <v/>
      </c>
      <c r="C379" s="77">
        <f>Report!U513</f>
        <v/>
      </c>
      <c r="D379" s="59">
        <f>Report!X513</f>
        <v/>
      </c>
    </row>
    <row r="380" ht="12.75" customHeight="1" s="60">
      <c r="A380" s="75">
        <f>Report!C514</f>
        <v/>
      </c>
      <c r="B380" s="59">
        <f>Report!E514</f>
        <v/>
      </c>
      <c r="C380" s="77">
        <f>Report!U514</f>
        <v/>
      </c>
      <c r="D380" s="59">
        <f>Report!X514</f>
        <v/>
      </c>
    </row>
    <row r="381" ht="12.75" customHeight="1" s="60">
      <c r="A381" s="75">
        <f>Report!C515</f>
        <v/>
      </c>
      <c r="B381" s="59">
        <f>Report!E515</f>
        <v/>
      </c>
      <c r="C381" s="77">
        <f>Report!U515</f>
        <v/>
      </c>
      <c r="D381" s="59">
        <f>Report!X515</f>
        <v/>
      </c>
    </row>
    <row r="382" ht="12.75" customHeight="1" s="60">
      <c r="A382" s="75">
        <f>Report!C517</f>
        <v/>
      </c>
      <c r="B382" s="59">
        <f>Report!E517</f>
        <v/>
      </c>
      <c r="C382" s="77">
        <f>Report!U517</f>
        <v/>
      </c>
      <c r="D382" s="59">
        <f>Report!X517</f>
        <v/>
      </c>
    </row>
    <row r="383" ht="12.75" customHeight="1" s="60">
      <c r="A383" s="75">
        <f>Report!C518</f>
        <v/>
      </c>
      <c r="B383" s="59">
        <f>Report!E518</f>
        <v/>
      </c>
      <c r="C383" s="77">
        <f>Report!U518</f>
        <v/>
      </c>
      <c r="D383" s="59">
        <f>Report!X518</f>
        <v/>
      </c>
    </row>
    <row r="384" ht="12.75" customHeight="1" s="60">
      <c r="A384" s="75">
        <f>Report!C519</f>
        <v/>
      </c>
      <c r="B384" s="59">
        <f>Report!E519</f>
        <v/>
      </c>
      <c r="C384" s="77">
        <f>Report!U519</f>
        <v/>
      </c>
      <c r="D384" s="59">
        <f>Report!X519</f>
        <v/>
      </c>
    </row>
    <row r="385" ht="12.75" customHeight="1" s="60">
      <c r="A385" s="75">
        <f>Report!C520</f>
        <v/>
      </c>
      <c r="B385" s="59">
        <f>Report!E520</f>
        <v/>
      </c>
      <c r="C385" s="77">
        <f>Report!U520</f>
        <v/>
      </c>
      <c r="D385" s="59">
        <f>Report!X520</f>
        <v/>
      </c>
    </row>
    <row r="386" ht="12.75" customHeight="1" s="60">
      <c r="A386" s="75">
        <f>Report!C521</f>
        <v/>
      </c>
      <c r="B386" s="59">
        <f>Report!E521</f>
        <v/>
      </c>
      <c r="C386" s="77">
        <f>Report!U521</f>
        <v/>
      </c>
      <c r="D386" s="59">
        <f>Report!X521</f>
        <v/>
      </c>
    </row>
    <row r="387" ht="12.75" customHeight="1" s="60">
      <c r="A387" s="75">
        <f>Report!C522</f>
        <v/>
      </c>
      <c r="B387" s="59">
        <f>Report!E522</f>
        <v/>
      </c>
      <c r="C387" s="77">
        <f>Report!U522</f>
        <v/>
      </c>
      <c r="D387" s="59">
        <f>Report!X522</f>
        <v/>
      </c>
    </row>
    <row r="388" ht="12.75" customHeight="1" s="60">
      <c r="A388" s="75">
        <f>Report!C523</f>
        <v/>
      </c>
      <c r="B388" s="59">
        <f>Report!E523</f>
        <v/>
      </c>
      <c r="C388" s="77">
        <f>Report!U523</f>
        <v/>
      </c>
      <c r="D388" s="59">
        <f>Report!X523</f>
        <v/>
      </c>
    </row>
    <row r="389" ht="12.75" customHeight="1" s="60">
      <c r="A389" s="75">
        <f>Report!C524</f>
        <v/>
      </c>
      <c r="B389" s="59">
        <f>Report!E524</f>
        <v/>
      </c>
      <c r="C389" s="77">
        <f>Report!U524</f>
        <v/>
      </c>
      <c r="D389" s="59">
        <f>Report!X524</f>
        <v/>
      </c>
    </row>
    <row r="390" ht="12.75" customHeight="1" s="60">
      <c r="A390" s="75">
        <f>Report!C527</f>
        <v/>
      </c>
      <c r="B390" s="59">
        <f>Report!E527</f>
        <v/>
      </c>
      <c r="C390" s="77">
        <f>Report!U527</f>
        <v/>
      </c>
      <c r="D390" s="59">
        <f>Report!X527</f>
        <v/>
      </c>
    </row>
    <row r="391" ht="12.75" customHeight="1" s="60">
      <c r="A391" s="75">
        <f>Report!C528</f>
        <v/>
      </c>
      <c r="B391" s="59">
        <f>Report!E528</f>
        <v/>
      </c>
      <c r="C391" s="77">
        <f>Report!U528</f>
        <v/>
      </c>
      <c r="D391" s="59">
        <f>Report!X528</f>
        <v/>
      </c>
    </row>
    <row r="392" ht="12.75" customHeight="1" s="60">
      <c r="A392" s="75">
        <f>Report!C529</f>
        <v/>
      </c>
      <c r="B392" s="59">
        <f>Report!E529</f>
        <v/>
      </c>
      <c r="C392" s="77">
        <f>Report!U529</f>
        <v/>
      </c>
      <c r="D392" s="59">
        <f>Report!X529</f>
        <v/>
      </c>
    </row>
    <row r="393" ht="12.75" customHeight="1" s="60">
      <c r="A393" s="75">
        <f>Report!C531</f>
        <v/>
      </c>
      <c r="B393" s="59">
        <f>Report!E531</f>
        <v/>
      </c>
      <c r="C393" s="77">
        <f>Report!U531</f>
        <v/>
      </c>
      <c r="D393" s="59">
        <f>Report!X531</f>
        <v/>
      </c>
    </row>
    <row r="394" ht="12.75" customHeight="1" s="60">
      <c r="A394" s="75">
        <f>Report!C532</f>
        <v/>
      </c>
      <c r="B394" s="59">
        <f>Report!E532</f>
        <v/>
      </c>
      <c r="C394" s="77">
        <f>Report!U532</f>
        <v/>
      </c>
      <c r="D394" s="59">
        <f>Report!X532</f>
        <v/>
      </c>
    </row>
    <row r="395" ht="12.75" customHeight="1" s="60">
      <c r="A395" s="75">
        <f>Report!C533</f>
        <v/>
      </c>
      <c r="B395" s="59">
        <f>Report!E533</f>
        <v/>
      </c>
      <c r="C395" s="77">
        <f>Report!U533</f>
        <v/>
      </c>
      <c r="D395" s="59">
        <f>Report!X533</f>
        <v/>
      </c>
    </row>
    <row r="396" ht="12.75" customHeight="1" s="60">
      <c r="A396" s="75">
        <f>Report!C534</f>
        <v/>
      </c>
      <c r="B396" s="59">
        <f>Report!E534</f>
        <v/>
      </c>
      <c r="C396" s="77">
        <f>Report!U534</f>
        <v/>
      </c>
      <c r="D396" s="59">
        <f>Report!X534</f>
        <v/>
      </c>
    </row>
    <row r="397" ht="12.75" customHeight="1" s="60">
      <c r="A397" s="75">
        <f>Report!C535</f>
        <v/>
      </c>
      <c r="B397" s="59">
        <f>Report!E535</f>
        <v/>
      </c>
      <c r="C397" s="77">
        <f>Report!U535</f>
        <v/>
      </c>
      <c r="D397" s="59">
        <f>Report!X535</f>
        <v/>
      </c>
    </row>
    <row r="398" ht="12.75" customHeight="1" s="60">
      <c r="A398" s="75">
        <f>Report!C536</f>
        <v/>
      </c>
      <c r="B398" s="59">
        <f>Report!E536</f>
        <v/>
      </c>
      <c r="C398" s="77">
        <f>Report!U536</f>
        <v/>
      </c>
      <c r="D398" s="59">
        <f>Report!X536</f>
        <v/>
      </c>
    </row>
    <row r="399" ht="12.75" customHeight="1" s="60">
      <c r="A399" s="75">
        <f>Report!C544</f>
        <v/>
      </c>
      <c r="B399" s="59">
        <f>Report!E544</f>
        <v/>
      </c>
      <c r="C399" s="77">
        <f>Report!U544</f>
        <v/>
      </c>
      <c r="D399" s="59">
        <f>Report!X544</f>
        <v/>
      </c>
    </row>
    <row r="400" ht="12.75" customHeight="1" s="60">
      <c r="A400" s="75">
        <f>Report!C545</f>
        <v/>
      </c>
      <c r="B400" s="59">
        <f>Report!E545</f>
        <v/>
      </c>
      <c r="C400" s="77">
        <f>Report!U545</f>
        <v/>
      </c>
      <c r="D400" s="59">
        <f>Report!X545</f>
        <v/>
      </c>
    </row>
    <row r="401" ht="12.75" customHeight="1" s="60">
      <c r="A401" s="75">
        <f>Report!C546</f>
        <v/>
      </c>
      <c r="B401" s="59">
        <f>Report!E546</f>
        <v/>
      </c>
      <c r="C401" s="77">
        <f>Report!U546</f>
        <v/>
      </c>
      <c r="D401" s="59">
        <f>Report!X546</f>
        <v/>
      </c>
    </row>
    <row r="402" ht="12.75" customHeight="1" s="60">
      <c r="A402" s="75">
        <f>Report!C547</f>
        <v/>
      </c>
      <c r="B402" s="59">
        <f>Report!E547</f>
        <v/>
      </c>
      <c r="C402" s="77">
        <f>Report!U547</f>
        <v/>
      </c>
      <c r="D402" s="59">
        <f>Report!X547</f>
        <v/>
      </c>
    </row>
    <row r="403" ht="12.75" customHeight="1" s="60">
      <c r="A403" s="75">
        <f>Report!C548</f>
        <v/>
      </c>
      <c r="B403" s="59">
        <f>Report!E548</f>
        <v/>
      </c>
      <c r="C403" s="77">
        <f>Report!U548</f>
        <v/>
      </c>
      <c r="D403" s="59">
        <f>Report!X548</f>
        <v/>
      </c>
    </row>
    <row r="404" ht="12.75" customHeight="1" s="60">
      <c r="A404" s="75">
        <f>Report!C549</f>
        <v/>
      </c>
      <c r="B404" s="59">
        <f>Report!E549</f>
        <v/>
      </c>
      <c r="C404" s="77">
        <f>Report!U549</f>
        <v/>
      </c>
      <c r="D404" s="59">
        <f>Report!X549</f>
        <v/>
      </c>
    </row>
    <row r="405" ht="12.75" customHeight="1" s="60">
      <c r="A405" s="75">
        <f>Report!C551</f>
        <v/>
      </c>
      <c r="B405" s="59">
        <f>Report!E551</f>
        <v/>
      </c>
      <c r="C405" s="77">
        <f>Report!U551</f>
        <v/>
      </c>
      <c r="D405" s="59">
        <f>Report!X551</f>
        <v/>
      </c>
    </row>
    <row r="406" ht="12.75" customHeight="1" s="60">
      <c r="A406" s="75">
        <f>Report!C553</f>
        <v/>
      </c>
      <c r="B406" s="59">
        <f>Report!E553</f>
        <v/>
      </c>
      <c r="C406" s="77">
        <f>Report!U553</f>
        <v/>
      </c>
      <c r="D406" s="59">
        <f>Report!X553</f>
        <v/>
      </c>
    </row>
    <row r="407" ht="12.75" customHeight="1" s="60">
      <c r="A407" s="75">
        <f>Report!C554</f>
        <v/>
      </c>
      <c r="B407" s="59">
        <f>Report!E554</f>
        <v/>
      </c>
      <c r="C407" s="77">
        <f>Report!U554</f>
        <v/>
      </c>
      <c r="D407" s="59">
        <f>Report!X554</f>
        <v/>
      </c>
    </row>
    <row r="408" ht="12.75" customHeight="1" s="60">
      <c r="A408" s="75">
        <f>Report!C555</f>
        <v/>
      </c>
      <c r="B408" s="59">
        <f>Report!E555</f>
        <v/>
      </c>
      <c r="C408" s="77">
        <f>Report!U555</f>
        <v/>
      </c>
      <c r="D408" s="59">
        <f>Report!X555</f>
        <v/>
      </c>
    </row>
    <row r="409" ht="12.75" customHeight="1" s="60">
      <c r="A409" s="75">
        <f>Report!C557</f>
        <v/>
      </c>
      <c r="B409" s="59">
        <f>Report!E557</f>
        <v/>
      </c>
      <c r="C409" s="77">
        <f>Report!U557</f>
        <v/>
      </c>
      <c r="D409" s="59">
        <f>Report!X557</f>
        <v/>
      </c>
    </row>
    <row r="410" ht="12.75" customHeight="1" s="60">
      <c r="A410" s="75">
        <f>Report!C558</f>
        <v/>
      </c>
      <c r="B410" s="59">
        <f>Report!E558</f>
        <v/>
      </c>
      <c r="C410" s="77">
        <f>Report!U558</f>
        <v/>
      </c>
      <c r="D410" s="59">
        <f>Report!X558</f>
        <v/>
      </c>
    </row>
    <row r="411" ht="12.75" customHeight="1" s="60">
      <c r="A411" s="75">
        <f>Report!C559</f>
        <v/>
      </c>
      <c r="B411" s="59">
        <f>Report!E559</f>
        <v/>
      </c>
      <c r="C411" s="77">
        <f>Report!U559</f>
        <v/>
      </c>
      <c r="D411" s="59">
        <f>Report!X559</f>
        <v/>
      </c>
    </row>
    <row r="412" ht="12.75" customHeight="1" s="60">
      <c r="A412" s="75">
        <f>Report!C560</f>
        <v/>
      </c>
      <c r="B412" s="59">
        <f>Report!E560</f>
        <v/>
      </c>
      <c r="C412" s="77">
        <f>Report!U560</f>
        <v/>
      </c>
      <c r="D412" s="59">
        <f>Report!X560</f>
        <v/>
      </c>
    </row>
    <row r="413" ht="12.75" customHeight="1" s="60">
      <c r="A413" s="75">
        <f>Report!C561</f>
        <v/>
      </c>
      <c r="B413" s="59">
        <f>Report!E561</f>
        <v/>
      </c>
      <c r="C413" s="77">
        <f>Report!U561</f>
        <v/>
      </c>
      <c r="D413" s="59">
        <f>Report!X561</f>
        <v/>
      </c>
    </row>
    <row r="414" ht="12.75" customHeight="1" s="60">
      <c r="A414" s="75">
        <f>Report!C562</f>
        <v/>
      </c>
      <c r="B414" s="59">
        <f>Report!E562</f>
        <v/>
      </c>
      <c r="C414" s="77">
        <f>Report!U562</f>
        <v/>
      </c>
      <c r="D414" s="59">
        <f>Report!X562</f>
        <v/>
      </c>
    </row>
    <row r="415" ht="12.75" customHeight="1" s="60">
      <c r="A415" s="75">
        <f>Report!C563</f>
        <v/>
      </c>
      <c r="B415" s="59">
        <f>Report!E563</f>
        <v/>
      </c>
      <c r="C415" s="77">
        <f>Report!U563</f>
        <v/>
      </c>
      <c r="D415" s="59">
        <f>Report!X563</f>
        <v/>
      </c>
    </row>
    <row r="416" ht="12.75" customHeight="1" s="60">
      <c r="A416" s="75">
        <f>Report!C564</f>
        <v/>
      </c>
      <c r="B416" s="59">
        <f>Report!E564</f>
        <v/>
      </c>
      <c r="C416" s="77">
        <f>Report!U564</f>
        <v/>
      </c>
      <c r="D416" s="59">
        <f>Report!X564</f>
        <v/>
      </c>
    </row>
    <row r="417" ht="12.75" customHeight="1" s="60">
      <c r="A417" s="75">
        <f>Report!C565</f>
        <v/>
      </c>
      <c r="B417" s="59">
        <f>Report!E565</f>
        <v/>
      </c>
      <c r="C417" s="77">
        <f>Report!U565</f>
        <v/>
      </c>
      <c r="D417" s="59">
        <f>Report!X565</f>
        <v/>
      </c>
    </row>
    <row r="418" ht="12.75" customHeight="1" s="60">
      <c r="A418" s="75">
        <f>Report!C566</f>
        <v/>
      </c>
      <c r="B418" s="59">
        <f>Report!E566</f>
        <v/>
      </c>
      <c r="C418" s="77">
        <f>Report!U566</f>
        <v/>
      </c>
      <c r="D418" s="59">
        <f>Report!X566</f>
        <v/>
      </c>
    </row>
    <row r="419" ht="12.75" customHeight="1" s="60">
      <c r="A419" s="75">
        <f>Report!C567</f>
        <v/>
      </c>
      <c r="B419" s="59">
        <f>Report!E567</f>
        <v/>
      </c>
      <c r="C419" s="77">
        <f>Report!U567</f>
        <v/>
      </c>
      <c r="D419" s="59">
        <f>Report!X567</f>
        <v/>
      </c>
    </row>
    <row r="420" ht="12.75" customHeight="1" s="60">
      <c r="A420" s="75">
        <f>Report!C569</f>
        <v/>
      </c>
      <c r="B420" s="59">
        <f>Report!E569</f>
        <v/>
      </c>
      <c r="C420" s="77">
        <f>Report!U569</f>
        <v/>
      </c>
      <c r="D420" s="59">
        <f>Report!X569</f>
        <v/>
      </c>
    </row>
    <row r="421" ht="12.75" customHeight="1" s="60">
      <c r="A421" s="75">
        <f>Report!C571</f>
        <v/>
      </c>
      <c r="B421" s="59">
        <f>Report!E571</f>
        <v/>
      </c>
      <c r="C421" s="77">
        <f>Report!U571</f>
        <v/>
      </c>
      <c r="D421" s="59">
        <f>Report!X571</f>
        <v/>
      </c>
    </row>
    <row r="422" ht="12.75" customHeight="1" s="60">
      <c r="A422" s="75">
        <f>Report!C572</f>
        <v/>
      </c>
      <c r="B422" s="59">
        <f>Report!E572</f>
        <v/>
      </c>
      <c r="C422" s="77">
        <f>Report!U572</f>
        <v/>
      </c>
      <c r="D422" s="59">
        <f>Report!X572</f>
        <v/>
      </c>
    </row>
    <row r="423" ht="12.75" customHeight="1" s="60">
      <c r="A423" s="75">
        <f>Report!C573</f>
        <v/>
      </c>
      <c r="B423" s="59">
        <f>Report!E573</f>
        <v/>
      </c>
      <c r="C423" s="77">
        <f>Report!U573</f>
        <v/>
      </c>
      <c r="D423" s="59">
        <f>Report!X573</f>
        <v/>
      </c>
    </row>
    <row r="424" ht="12.75" customHeight="1" s="60">
      <c r="A424" s="75">
        <f>Report!C575</f>
        <v/>
      </c>
      <c r="B424" s="59">
        <f>Report!E575</f>
        <v/>
      </c>
      <c r="C424" s="77">
        <f>Report!U575</f>
        <v/>
      </c>
      <c r="D424" s="59">
        <f>Report!X575</f>
        <v/>
      </c>
    </row>
    <row r="425" ht="12.75" customHeight="1" s="60">
      <c r="A425" s="75">
        <f>Report!C576</f>
        <v/>
      </c>
      <c r="B425" s="59">
        <f>Report!E576</f>
        <v/>
      </c>
      <c r="C425" s="77">
        <f>Report!U576</f>
        <v/>
      </c>
      <c r="D425" s="59">
        <f>Report!X576</f>
        <v/>
      </c>
    </row>
    <row r="426" ht="12.75" customHeight="1" s="60">
      <c r="A426" s="75">
        <f>Report!C577</f>
        <v/>
      </c>
      <c r="B426" s="59">
        <f>Report!E577</f>
        <v/>
      </c>
      <c r="C426" s="77">
        <f>Report!U577</f>
        <v/>
      </c>
      <c r="D426" s="59">
        <f>Report!X577</f>
        <v/>
      </c>
    </row>
    <row r="427" ht="12.75" customHeight="1" s="60">
      <c r="A427" s="75">
        <f>Report!C578</f>
        <v/>
      </c>
      <c r="B427" s="59">
        <f>Report!E578</f>
        <v/>
      </c>
      <c r="C427" s="77">
        <f>Report!U578</f>
        <v/>
      </c>
      <c r="D427" s="59">
        <f>Report!X578</f>
        <v/>
      </c>
    </row>
    <row r="428" ht="12.75" customHeight="1" s="60">
      <c r="A428" s="75">
        <f>Report!C579</f>
        <v/>
      </c>
      <c r="B428" s="59">
        <f>Report!E579</f>
        <v/>
      </c>
      <c r="C428" s="77">
        <f>Report!U579</f>
        <v/>
      </c>
      <c r="D428" s="59">
        <f>Report!X579</f>
        <v/>
      </c>
    </row>
    <row r="429" ht="12.75" customHeight="1" s="60">
      <c r="A429" s="75">
        <f>Report!C580</f>
        <v/>
      </c>
      <c r="B429" s="59">
        <f>Report!E580</f>
        <v/>
      </c>
      <c r="C429" s="77">
        <f>Report!U580</f>
        <v/>
      </c>
      <c r="D429" s="59">
        <f>Report!X580</f>
        <v/>
      </c>
    </row>
    <row r="430" ht="12.75" customHeight="1" s="60">
      <c r="A430" s="75">
        <f>Report!C581</f>
        <v/>
      </c>
      <c r="B430" s="59">
        <f>Report!E581</f>
        <v/>
      </c>
      <c r="C430" s="77">
        <f>Report!U581</f>
        <v/>
      </c>
      <c r="D430" s="59">
        <f>Report!X581</f>
        <v/>
      </c>
    </row>
    <row r="431" ht="12.75" customHeight="1" s="60">
      <c r="A431" s="75">
        <f>Report!C582</f>
        <v/>
      </c>
      <c r="B431" s="59">
        <f>Report!E582</f>
        <v/>
      </c>
      <c r="C431" s="77">
        <f>Report!U582</f>
        <v/>
      </c>
      <c r="D431" s="59">
        <f>Report!X582</f>
        <v/>
      </c>
    </row>
    <row r="432" ht="12.75" customHeight="1" s="60">
      <c r="A432" s="75">
        <f>Report!C583</f>
        <v/>
      </c>
      <c r="B432" s="59">
        <f>Report!E583</f>
        <v/>
      </c>
      <c r="C432" s="77">
        <f>Report!U583</f>
        <v/>
      </c>
      <c r="D432" s="59">
        <f>Report!X583</f>
        <v/>
      </c>
    </row>
    <row r="433" ht="12.75" customHeight="1" s="60">
      <c r="A433" s="75">
        <f>Report!C584</f>
        <v/>
      </c>
      <c r="B433" s="59">
        <f>Report!E584</f>
        <v/>
      </c>
      <c r="C433" s="77">
        <f>Report!U584</f>
        <v/>
      </c>
      <c r="D433" s="59">
        <f>Report!X584</f>
        <v/>
      </c>
    </row>
    <row r="434" ht="12.75" customHeight="1" s="60">
      <c r="A434" s="75">
        <f>Report!C585</f>
        <v/>
      </c>
      <c r="B434" s="59">
        <f>Report!E585</f>
        <v/>
      </c>
      <c r="C434" s="77">
        <f>Report!U585</f>
        <v/>
      </c>
      <c r="D434" s="59">
        <f>Report!X585</f>
        <v/>
      </c>
    </row>
    <row r="435" ht="12.75" customHeight="1" s="60">
      <c r="A435" s="75">
        <f>Report!C586</f>
        <v/>
      </c>
      <c r="B435" s="59">
        <f>Report!E586</f>
        <v/>
      </c>
      <c r="C435" s="77">
        <f>Report!U586</f>
        <v/>
      </c>
      <c r="D435" s="59">
        <f>Report!X586</f>
        <v/>
      </c>
    </row>
    <row r="436" ht="12.75" customHeight="1" s="60">
      <c r="A436" s="75">
        <f>Report!C587</f>
        <v/>
      </c>
      <c r="B436" s="59">
        <f>Report!E587</f>
        <v/>
      </c>
      <c r="C436" s="77">
        <f>Report!U587</f>
        <v/>
      </c>
      <c r="D436" s="59">
        <f>Report!X587</f>
        <v/>
      </c>
    </row>
    <row r="437" ht="12.75" customHeight="1" s="60">
      <c r="A437" s="75">
        <f>Report!C588</f>
        <v/>
      </c>
      <c r="B437" s="59">
        <f>Report!E588</f>
        <v/>
      </c>
      <c r="C437" s="77">
        <f>Report!U588</f>
        <v/>
      </c>
      <c r="D437" s="59">
        <f>Report!X588</f>
        <v/>
      </c>
    </row>
    <row r="438" ht="12.75" customHeight="1" s="60">
      <c r="A438" s="75">
        <f>Report!C590</f>
        <v/>
      </c>
      <c r="B438" s="59">
        <f>Report!E590</f>
        <v/>
      </c>
      <c r="C438" s="77">
        <f>Report!U590</f>
        <v/>
      </c>
      <c r="D438" s="59">
        <f>Report!X590</f>
        <v/>
      </c>
    </row>
    <row r="439" ht="12.75" customHeight="1" s="60">
      <c r="A439" s="75">
        <f>Report!C592</f>
        <v/>
      </c>
      <c r="B439" s="59">
        <f>Report!E592</f>
        <v/>
      </c>
      <c r="C439" s="77">
        <f>Report!U592</f>
        <v/>
      </c>
      <c r="D439" s="59">
        <f>Report!X592</f>
        <v/>
      </c>
    </row>
    <row r="440" ht="12.75" customHeight="1" s="60">
      <c r="A440" s="75">
        <f>Report!C595</f>
        <v/>
      </c>
      <c r="B440" s="59">
        <f>Report!E595</f>
        <v/>
      </c>
      <c r="C440" s="77">
        <f>Report!U595</f>
        <v/>
      </c>
      <c r="D440" s="59">
        <f>Report!X595</f>
        <v/>
      </c>
    </row>
    <row r="441" ht="12.75" customHeight="1" s="60">
      <c r="A441" s="75">
        <f>Report!C598</f>
        <v/>
      </c>
      <c r="B441" s="59">
        <f>Report!E598</f>
        <v/>
      </c>
      <c r="C441" s="77">
        <f>Report!U598</f>
        <v/>
      </c>
      <c r="D441" s="59">
        <f>Report!X598</f>
        <v/>
      </c>
    </row>
    <row r="442" ht="12.75" customHeight="1" s="60">
      <c r="A442" s="75">
        <f>Report!C599</f>
        <v/>
      </c>
      <c r="B442" s="59">
        <f>Report!E599</f>
        <v/>
      </c>
      <c r="C442" s="77">
        <f>Report!U599</f>
        <v/>
      </c>
      <c r="D442" s="59">
        <f>Report!X599</f>
        <v/>
      </c>
    </row>
    <row r="443" ht="12.75" customHeight="1" s="60">
      <c r="A443" s="75">
        <f>Report!C600</f>
        <v/>
      </c>
      <c r="B443" s="59">
        <f>Report!E600</f>
        <v/>
      </c>
      <c r="C443" s="77">
        <f>Report!U600</f>
        <v/>
      </c>
      <c r="D443" s="59">
        <f>Report!X600</f>
        <v/>
      </c>
    </row>
    <row r="444" ht="12.75" customHeight="1" s="60">
      <c r="A444" s="75">
        <f>Report!C601</f>
        <v/>
      </c>
      <c r="B444" s="59">
        <f>Report!E601</f>
        <v/>
      </c>
      <c r="C444" s="77">
        <f>Report!U601</f>
        <v/>
      </c>
      <c r="D444" s="59">
        <f>Report!X601</f>
        <v/>
      </c>
    </row>
    <row r="445" ht="12.75" customHeight="1" s="60">
      <c r="A445" s="75">
        <f>Report!C602</f>
        <v/>
      </c>
      <c r="B445" s="59">
        <f>Report!E602</f>
        <v/>
      </c>
      <c r="C445" s="77">
        <f>Report!U602</f>
        <v/>
      </c>
      <c r="D445" s="59">
        <f>Report!X602</f>
        <v/>
      </c>
    </row>
    <row r="446" ht="12.75" customHeight="1" s="60">
      <c r="A446" s="75">
        <f>Report!C603</f>
        <v/>
      </c>
      <c r="B446" s="59">
        <f>Report!E603</f>
        <v/>
      </c>
      <c r="C446" s="77">
        <f>Report!U603</f>
        <v/>
      </c>
      <c r="D446" s="59">
        <f>Report!X603</f>
        <v/>
      </c>
    </row>
    <row r="447" ht="12.75" customHeight="1" s="60">
      <c r="A447" s="75">
        <f>Report!C604</f>
        <v/>
      </c>
      <c r="B447" s="59">
        <f>Report!E604</f>
        <v/>
      </c>
      <c r="C447" s="77">
        <f>Report!U604</f>
        <v/>
      </c>
      <c r="D447" s="59">
        <f>Report!X604</f>
        <v/>
      </c>
    </row>
    <row r="448" ht="12.75" customHeight="1" s="60">
      <c r="A448" s="75">
        <f>Report!C605</f>
        <v/>
      </c>
      <c r="B448" s="59">
        <f>Report!E605</f>
        <v/>
      </c>
      <c r="C448" s="77">
        <f>Report!U605</f>
        <v/>
      </c>
      <c r="D448" s="59">
        <f>Report!X605</f>
        <v/>
      </c>
    </row>
    <row r="449" ht="12.75" customHeight="1" s="60">
      <c r="A449" s="75">
        <f>Report!C606</f>
        <v/>
      </c>
      <c r="B449" s="59">
        <f>Report!E606</f>
        <v/>
      </c>
      <c r="C449" s="77">
        <f>Report!U606</f>
        <v/>
      </c>
      <c r="D449" s="59">
        <f>Report!X606</f>
        <v/>
      </c>
    </row>
    <row r="450" ht="12.75" customHeight="1" s="60">
      <c r="A450" s="75">
        <f>Report!C607</f>
        <v/>
      </c>
      <c r="B450" s="59">
        <f>Report!E607</f>
        <v/>
      </c>
      <c r="C450" s="77">
        <f>Report!U607</f>
        <v/>
      </c>
      <c r="D450" s="59">
        <f>Report!X607</f>
        <v/>
      </c>
    </row>
    <row r="451" ht="12.75" customHeight="1" s="60">
      <c r="A451" s="75">
        <f>Report!C608</f>
        <v/>
      </c>
      <c r="B451" s="59">
        <f>Report!E608</f>
        <v/>
      </c>
      <c r="C451" s="77">
        <f>Report!U608</f>
        <v/>
      </c>
      <c r="D451" s="59">
        <f>Report!X608</f>
        <v/>
      </c>
    </row>
    <row r="452" ht="12.75" customHeight="1" s="60">
      <c r="A452" s="75">
        <f>Report!C609</f>
        <v/>
      </c>
      <c r="B452" s="59">
        <f>Report!E609</f>
        <v/>
      </c>
      <c r="C452" s="77">
        <f>Report!U609</f>
        <v/>
      </c>
      <c r="D452" s="59">
        <f>Report!X609</f>
        <v/>
      </c>
    </row>
    <row r="453" ht="12.75" customHeight="1" s="60">
      <c r="A453" s="75">
        <f>Report!C611</f>
        <v/>
      </c>
      <c r="B453" s="59">
        <f>Report!E611</f>
        <v/>
      </c>
      <c r="C453" s="77">
        <f>Report!U611</f>
        <v/>
      </c>
      <c r="D453" s="59">
        <f>Report!X611</f>
        <v/>
      </c>
    </row>
    <row r="454" ht="12.75" customHeight="1" s="60">
      <c r="A454" s="75">
        <f>Report!C614</f>
        <v/>
      </c>
      <c r="B454" s="59">
        <f>Report!E614</f>
        <v/>
      </c>
      <c r="C454" s="77">
        <f>Report!U614</f>
        <v/>
      </c>
      <c r="D454" s="59">
        <f>Report!X614</f>
        <v/>
      </c>
    </row>
    <row r="455" ht="12.75" customHeight="1" s="60">
      <c r="A455" s="75">
        <f>Report!C615</f>
        <v/>
      </c>
      <c r="B455" s="59">
        <f>Report!E615</f>
        <v/>
      </c>
      <c r="C455" s="77">
        <f>Report!U615</f>
        <v/>
      </c>
      <c r="D455" s="59">
        <f>Report!X615</f>
        <v/>
      </c>
    </row>
    <row r="456" ht="12.75" customHeight="1" s="60">
      <c r="A456" s="75">
        <f>Report!C616</f>
        <v/>
      </c>
      <c r="B456" s="59">
        <f>Report!E616</f>
        <v/>
      </c>
      <c r="C456" s="77">
        <f>Report!U616</f>
        <v/>
      </c>
      <c r="D456" s="59">
        <f>Report!X616</f>
        <v/>
      </c>
    </row>
    <row r="457" ht="12.75" customHeight="1" s="60">
      <c r="A457" s="75">
        <f>Report!C619</f>
        <v/>
      </c>
      <c r="B457" s="59">
        <f>Report!E619</f>
        <v/>
      </c>
      <c r="C457" s="77">
        <f>Report!U619</f>
        <v/>
      </c>
      <c r="D457" s="59">
        <f>Report!X619</f>
        <v/>
      </c>
    </row>
    <row r="458" ht="12.75" customHeight="1" s="60">
      <c r="A458" s="75">
        <f>Report!C620</f>
        <v/>
      </c>
      <c r="B458" s="59">
        <f>Report!E620</f>
        <v/>
      </c>
      <c r="C458" s="77">
        <f>Report!U620</f>
        <v/>
      </c>
      <c r="D458" s="59">
        <f>Report!X620</f>
        <v/>
      </c>
    </row>
    <row r="459" ht="12.75" customHeight="1" s="60">
      <c r="A459" s="75">
        <f>Report!C621</f>
        <v/>
      </c>
      <c r="B459" s="59">
        <f>Report!E621</f>
        <v/>
      </c>
      <c r="C459" s="77">
        <f>Report!U621</f>
        <v/>
      </c>
      <c r="D459" s="59">
        <f>Report!X621</f>
        <v/>
      </c>
    </row>
    <row r="460" ht="12.75" customHeight="1" s="60">
      <c r="A460" s="75">
        <f>Report!C622</f>
        <v/>
      </c>
      <c r="B460" s="59">
        <f>Report!E622</f>
        <v/>
      </c>
      <c r="C460" s="77">
        <f>Report!U622</f>
        <v/>
      </c>
      <c r="D460" s="59">
        <f>Report!X622</f>
        <v/>
      </c>
    </row>
    <row r="461" ht="12.75" customHeight="1" s="60">
      <c r="A461" s="75">
        <f>Report!C623</f>
        <v/>
      </c>
      <c r="B461" s="59">
        <f>Report!E623</f>
        <v/>
      </c>
      <c r="C461" s="77">
        <f>Report!U623</f>
        <v/>
      </c>
      <c r="D461" s="59">
        <f>Report!X623</f>
        <v/>
      </c>
    </row>
    <row r="462" ht="12.75" customHeight="1" s="60">
      <c r="A462" s="75">
        <f>Report!C624</f>
        <v/>
      </c>
      <c r="B462" s="59">
        <f>Report!E624</f>
        <v/>
      </c>
      <c r="C462" s="77">
        <f>Report!U624</f>
        <v/>
      </c>
      <c r="D462" s="59">
        <f>Report!X624</f>
        <v/>
      </c>
    </row>
    <row r="463" ht="12.75" customHeight="1" s="60">
      <c r="A463" s="75">
        <f>Report!C625</f>
        <v/>
      </c>
      <c r="B463" s="59">
        <f>Report!E625</f>
        <v/>
      </c>
      <c r="C463" s="77">
        <f>Report!U625</f>
        <v/>
      </c>
      <c r="D463" s="59">
        <f>Report!X625</f>
        <v/>
      </c>
    </row>
    <row r="464" ht="12.75" customHeight="1" s="60">
      <c r="A464" s="75">
        <f>Report!C626</f>
        <v/>
      </c>
      <c r="B464" s="59">
        <f>Report!E626</f>
        <v/>
      </c>
      <c r="C464" s="77">
        <f>Report!U626</f>
        <v/>
      </c>
      <c r="D464" s="59">
        <f>Report!X626</f>
        <v/>
      </c>
    </row>
    <row r="465" ht="12.75" customHeight="1" s="60">
      <c r="A465" s="75">
        <f>Report!C627</f>
        <v/>
      </c>
      <c r="B465" s="59">
        <f>Report!E627</f>
        <v/>
      </c>
      <c r="C465" s="77">
        <f>Report!U627</f>
        <v/>
      </c>
      <c r="D465" s="59">
        <f>Report!X627</f>
        <v/>
      </c>
    </row>
    <row r="466" ht="12.75" customHeight="1" s="60">
      <c r="A466" s="75">
        <f>Report!C628</f>
        <v/>
      </c>
      <c r="B466" s="59">
        <f>Report!E628</f>
        <v/>
      </c>
      <c r="C466" s="77">
        <f>Report!U628</f>
        <v/>
      </c>
      <c r="D466" s="59">
        <f>Report!X628</f>
        <v/>
      </c>
    </row>
    <row r="467" ht="12.75" customHeight="1" s="60">
      <c r="A467" s="75">
        <f>Report!C629</f>
        <v/>
      </c>
      <c r="B467" s="59">
        <f>Report!E629</f>
        <v/>
      </c>
      <c r="C467" s="77">
        <f>Report!U629</f>
        <v/>
      </c>
      <c r="D467" s="59">
        <f>Report!X629</f>
        <v/>
      </c>
    </row>
    <row r="468" ht="12.75" customHeight="1" s="60">
      <c r="A468" s="75">
        <f>Report!C630</f>
        <v/>
      </c>
      <c r="B468" s="59">
        <f>Report!E630</f>
        <v/>
      </c>
      <c r="C468" s="77">
        <f>Report!U630</f>
        <v/>
      </c>
      <c r="D468" s="59">
        <f>Report!X630</f>
        <v/>
      </c>
    </row>
    <row r="469" ht="12.75" customHeight="1" s="60">
      <c r="A469" s="75">
        <f>Report!C631</f>
        <v/>
      </c>
      <c r="B469" s="59">
        <f>Report!E631</f>
        <v/>
      </c>
      <c r="C469" s="77">
        <f>Report!U631</f>
        <v/>
      </c>
      <c r="D469" s="59">
        <f>Report!X631</f>
        <v/>
      </c>
    </row>
    <row r="470" ht="12.75" customHeight="1" s="60">
      <c r="A470" s="75">
        <f>Report!C632</f>
        <v/>
      </c>
      <c r="B470" s="59">
        <f>Report!E632</f>
        <v/>
      </c>
      <c r="C470" s="77">
        <f>Report!U632</f>
        <v/>
      </c>
      <c r="D470" s="59">
        <f>Report!X632</f>
        <v/>
      </c>
    </row>
    <row r="471" ht="12.75" customHeight="1" s="60">
      <c r="A471" s="75">
        <f>Report!C633</f>
        <v/>
      </c>
      <c r="B471" s="59">
        <f>Report!E633</f>
        <v/>
      </c>
      <c r="C471" s="77">
        <f>Report!U633</f>
        <v/>
      </c>
      <c r="D471" s="59">
        <f>Report!X633</f>
        <v/>
      </c>
    </row>
    <row r="472" ht="12.75" customHeight="1" s="60">
      <c r="A472" s="75">
        <f>Report!C634</f>
        <v/>
      </c>
      <c r="B472" s="59">
        <f>Report!E634</f>
        <v/>
      </c>
      <c r="C472" s="77">
        <f>Report!U634</f>
        <v/>
      </c>
      <c r="D472" s="59">
        <f>Report!X634</f>
        <v/>
      </c>
    </row>
    <row r="473" ht="12.75" customHeight="1" s="60">
      <c r="A473" s="75">
        <f>Report!C635</f>
        <v/>
      </c>
      <c r="B473" s="59">
        <f>Report!E635</f>
        <v/>
      </c>
      <c r="C473" s="77">
        <f>Report!U635</f>
        <v/>
      </c>
      <c r="D473" s="59">
        <f>Report!X635</f>
        <v/>
      </c>
    </row>
    <row r="474" ht="12.75" customHeight="1" s="60">
      <c r="A474" s="75">
        <f>Report!C636</f>
        <v/>
      </c>
      <c r="B474" s="59">
        <f>Report!E636</f>
        <v/>
      </c>
      <c r="C474" s="77">
        <f>Report!U636</f>
        <v/>
      </c>
      <c r="D474" s="59">
        <f>Report!X636</f>
        <v/>
      </c>
    </row>
    <row r="475" ht="12.75" customHeight="1" s="60">
      <c r="A475" s="75">
        <f>Report!C637</f>
        <v/>
      </c>
      <c r="B475" s="59">
        <f>Report!E637</f>
        <v/>
      </c>
      <c r="C475" s="77">
        <f>Report!U637</f>
        <v/>
      </c>
      <c r="D475" s="59">
        <f>Report!X637</f>
        <v/>
      </c>
    </row>
    <row r="476" ht="12.75" customHeight="1" s="60">
      <c r="A476" s="75">
        <f>Report!C638</f>
        <v/>
      </c>
      <c r="B476" s="59">
        <f>Report!E638</f>
        <v/>
      </c>
      <c r="C476" s="77">
        <f>Report!U638</f>
        <v/>
      </c>
      <c r="D476" s="59">
        <f>Report!X638</f>
        <v/>
      </c>
    </row>
    <row r="477" ht="12.75" customHeight="1" s="60">
      <c r="A477" s="75">
        <f>Report!C640</f>
        <v/>
      </c>
      <c r="B477" s="59">
        <f>Report!E640</f>
        <v/>
      </c>
      <c r="C477" s="77">
        <f>Report!U640</f>
        <v/>
      </c>
      <c r="D477" s="59">
        <f>Report!X640</f>
        <v/>
      </c>
    </row>
    <row r="478" ht="12.75" customHeight="1" s="60">
      <c r="A478" s="75">
        <f>Report!C642</f>
        <v/>
      </c>
      <c r="B478" s="59">
        <f>Report!E642</f>
        <v/>
      </c>
      <c r="C478" s="77">
        <f>Report!U642</f>
        <v/>
      </c>
      <c r="D478" s="59">
        <f>Report!X642</f>
        <v/>
      </c>
    </row>
    <row r="479" ht="12.75" customHeight="1" s="60">
      <c r="A479" s="75">
        <f>Report!C643</f>
        <v/>
      </c>
      <c r="B479" s="59">
        <f>Report!E643</f>
        <v/>
      </c>
      <c r="C479" s="77">
        <f>Report!U643</f>
        <v/>
      </c>
      <c r="D479" s="59">
        <f>Report!X643</f>
        <v/>
      </c>
    </row>
    <row r="480" ht="12.75" customHeight="1" s="60">
      <c r="A480" s="75">
        <f>Report!C647</f>
        <v/>
      </c>
      <c r="B480" s="59">
        <f>Report!E647</f>
        <v/>
      </c>
      <c r="C480" s="77">
        <f>Report!U647</f>
        <v/>
      </c>
      <c r="D480" s="59">
        <f>Report!X647</f>
        <v/>
      </c>
    </row>
    <row r="481" ht="12.75" customHeight="1" s="60">
      <c r="A481" s="75">
        <f>Report!C648</f>
        <v/>
      </c>
      <c r="B481" s="59">
        <f>Report!E648</f>
        <v/>
      </c>
      <c r="C481" s="77">
        <f>Report!U648</f>
        <v/>
      </c>
      <c r="D481" s="59">
        <f>Report!X648</f>
        <v/>
      </c>
    </row>
    <row r="482" ht="12.75" customHeight="1" s="60">
      <c r="A482" s="75">
        <f>Report!C649</f>
        <v/>
      </c>
      <c r="B482" s="59">
        <f>Report!E649</f>
        <v/>
      </c>
      <c r="C482" s="77">
        <f>Report!U649</f>
        <v/>
      </c>
      <c r="D482" s="59">
        <f>Report!X649</f>
        <v/>
      </c>
    </row>
    <row r="483" ht="12.75" customHeight="1" s="60">
      <c r="A483" s="75">
        <f>Report!C650</f>
        <v/>
      </c>
      <c r="B483" s="59">
        <f>Report!E650</f>
        <v/>
      </c>
      <c r="C483" s="77">
        <f>Report!U650</f>
        <v/>
      </c>
      <c r="D483" s="59">
        <f>Report!X650</f>
        <v/>
      </c>
    </row>
    <row r="484" ht="12.75" customHeight="1" s="60">
      <c r="A484" s="75">
        <f>Report!C651</f>
        <v/>
      </c>
      <c r="B484" s="59">
        <f>Report!E651</f>
        <v/>
      </c>
      <c r="C484" s="77">
        <f>Report!U651</f>
        <v/>
      </c>
      <c r="D484" s="59">
        <f>Report!X651</f>
        <v/>
      </c>
    </row>
    <row r="485" ht="12.75" customHeight="1" s="60">
      <c r="A485" s="75">
        <f>Report!C652</f>
        <v/>
      </c>
      <c r="B485" s="59">
        <f>Report!E652</f>
        <v/>
      </c>
      <c r="C485" s="77">
        <f>Report!U652</f>
        <v/>
      </c>
      <c r="D485" s="59">
        <f>Report!X652</f>
        <v/>
      </c>
    </row>
    <row r="486" ht="12.75" customHeight="1" s="60">
      <c r="A486" s="75">
        <f>Report!C653</f>
        <v/>
      </c>
      <c r="B486" s="59">
        <f>Report!E653</f>
        <v/>
      </c>
      <c r="C486" s="77">
        <f>Report!U653</f>
        <v/>
      </c>
      <c r="D486" s="59">
        <f>Report!X653</f>
        <v/>
      </c>
    </row>
    <row r="487" ht="12.75" customHeight="1" s="60">
      <c r="A487" s="75">
        <f>Report!C654</f>
        <v/>
      </c>
      <c r="B487" s="59">
        <f>Report!E654</f>
        <v/>
      </c>
      <c r="C487" s="77">
        <f>Report!U654</f>
        <v/>
      </c>
      <c r="D487" s="59">
        <f>Report!X654</f>
        <v/>
      </c>
    </row>
    <row r="488" ht="12.75" customHeight="1" s="60">
      <c r="A488" s="75">
        <f>Report!C655</f>
        <v/>
      </c>
      <c r="B488" s="59">
        <f>Report!E655</f>
        <v/>
      </c>
      <c r="C488" s="77">
        <f>Report!U655</f>
        <v/>
      </c>
      <c r="D488" s="59">
        <f>Report!X655</f>
        <v/>
      </c>
    </row>
    <row r="489" ht="12.75" customHeight="1" s="60">
      <c r="A489" s="75">
        <f>Report!C656</f>
        <v/>
      </c>
      <c r="B489" s="59">
        <f>Report!E656</f>
        <v/>
      </c>
      <c r="C489" s="77">
        <f>Report!U656</f>
        <v/>
      </c>
      <c r="D489" s="59">
        <f>Report!X656</f>
        <v/>
      </c>
    </row>
    <row r="490" ht="12.75" customHeight="1" s="60">
      <c r="A490" s="75">
        <f>Report!C657</f>
        <v/>
      </c>
      <c r="B490" s="59">
        <f>Report!E657</f>
        <v/>
      </c>
      <c r="C490" s="77">
        <f>Report!U657</f>
        <v/>
      </c>
      <c r="D490" s="59">
        <f>Report!X657</f>
        <v/>
      </c>
    </row>
    <row r="491" ht="12.75" customHeight="1" s="60">
      <c r="A491" s="75">
        <f>Report!C658</f>
        <v/>
      </c>
      <c r="B491" s="59">
        <f>Report!E658</f>
        <v/>
      </c>
      <c r="C491" s="77">
        <f>Report!U658</f>
        <v/>
      </c>
      <c r="D491" s="59">
        <f>Report!X658</f>
        <v/>
      </c>
    </row>
    <row r="492" ht="12.75" customHeight="1" s="60">
      <c r="A492" s="75">
        <f>Report!C659</f>
        <v/>
      </c>
      <c r="B492" s="59">
        <f>Report!E659</f>
        <v/>
      </c>
      <c r="C492" s="77">
        <f>Report!U659</f>
        <v/>
      </c>
      <c r="D492" s="59">
        <f>Report!X659</f>
        <v/>
      </c>
    </row>
    <row r="493" ht="12.75" customHeight="1" s="60">
      <c r="A493" s="75">
        <f>Report!C660</f>
        <v/>
      </c>
      <c r="B493" s="59">
        <f>Report!E660</f>
        <v/>
      </c>
      <c r="C493" s="77">
        <f>Report!U660</f>
        <v/>
      </c>
      <c r="D493" s="59">
        <f>Report!X660</f>
        <v/>
      </c>
    </row>
    <row r="494" ht="12.75" customHeight="1" s="60">
      <c r="A494" s="75">
        <f>Report!C661</f>
        <v/>
      </c>
      <c r="B494" s="59">
        <f>Report!E661</f>
        <v/>
      </c>
      <c r="C494" s="77">
        <f>Report!U661</f>
        <v/>
      </c>
      <c r="D494" s="59">
        <f>Report!X661</f>
        <v/>
      </c>
    </row>
    <row r="495" ht="12.75" customHeight="1" s="60">
      <c r="A495" s="75">
        <f>Report!C662</f>
        <v/>
      </c>
      <c r="B495" s="59">
        <f>Report!E662</f>
        <v/>
      </c>
      <c r="C495" s="77">
        <f>Report!U662</f>
        <v/>
      </c>
      <c r="D495" s="59">
        <f>Report!X662</f>
        <v/>
      </c>
    </row>
    <row r="496" ht="12.75" customHeight="1" s="60">
      <c r="A496" s="75">
        <f>Report!C663</f>
        <v/>
      </c>
      <c r="B496" s="59">
        <f>Report!E663</f>
        <v/>
      </c>
      <c r="C496" s="77">
        <f>Report!U663</f>
        <v/>
      </c>
      <c r="D496" s="59">
        <f>Report!X663</f>
        <v/>
      </c>
    </row>
    <row r="497" ht="12.75" customHeight="1" s="60">
      <c r="A497" s="75">
        <f>Report!C664</f>
        <v/>
      </c>
      <c r="B497" s="59">
        <f>Report!E664</f>
        <v/>
      </c>
      <c r="C497" s="77">
        <f>Report!U664</f>
        <v/>
      </c>
      <c r="D497" s="59">
        <f>Report!X664</f>
        <v/>
      </c>
    </row>
    <row r="498" ht="12.75" customHeight="1" s="60">
      <c r="A498" s="75">
        <f>Report!C665</f>
        <v/>
      </c>
      <c r="B498" s="59">
        <f>Report!E665</f>
        <v/>
      </c>
      <c r="C498" s="77">
        <f>Report!U665</f>
        <v/>
      </c>
      <c r="D498" s="59">
        <f>Report!X665</f>
        <v/>
      </c>
    </row>
    <row r="499" ht="12.75" customHeight="1" s="60">
      <c r="A499" s="75">
        <f>Report!C666</f>
        <v/>
      </c>
      <c r="B499" s="59">
        <f>Report!E666</f>
        <v/>
      </c>
      <c r="C499" s="77">
        <f>Report!U666</f>
        <v/>
      </c>
      <c r="D499" s="59">
        <f>Report!X666</f>
        <v/>
      </c>
    </row>
    <row r="500" ht="12.75" customHeight="1" s="60">
      <c r="A500" s="75">
        <f>Report!C667</f>
        <v/>
      </c>
      <c r="B500" s="59">
        <f>Report!E667</f>
        <v/>
      </c>
      <c r="C500" s="77">
        <f>Report!U667</f>
        <v/>
      </c>
      <c r="D500" s="59">
        <f>Report!X667</f>
        <v/>
      </c>
    </row>
    <row r="501" ht="12.75" customHeight="1" s="60">
      <c r="A501" s="75">
        <f>Report!C668</f>
        <v/>
      </c>
      <c r="B501" s="59">
        <f>Report!E668</f>
        <v/>
      </c>
      <c r="C501" s="77">
        <f>Report!U668</f>
        <v/>
      </c>
      <c r="D501" s="59">
        <f>Report!X668</f>
        <v/>
      </c>
    </row>
    <row r="502" ht="12.75" customHeight="1" s="60">
      <c r="A502" s="75">
        <f>Report!C669</f>
        <v/>
      </c>
      <c r="B502" s="59">
        <f>Report!E669</f>
        <v/>
      </c>
      <c r="C502" s="77">
        <f>Report!U669</f>
        <v/>
      </c>
      <c r="D502" s="59">
        <f>Report!X669</f>
        <v/>
      </c>
    </row>
    <row r="503" ht="12.75" customHeight="1" s="60">
      <c r="A503" s="75">
        <f>Report!C670</f>
        <v/>
      </c>
      <c r="B503" s="59">
        <f>Report!E670</f>
        <v/>
      </c>
      <c r="C503" s="77">
        <f>Report!U670</f>
        <v/>
      </c>
      <c r="D503" s="59">
        <f>Report!X670</f>
        <v/>
      </c>
    </row>
    <row r="504" ht="12.75" customHeight="1" s="60">
      <c r="A504" s="75">
        <f>Report!C671</f>
        <v/>
      </c>
      <c r="B504" s="59">
        <f>Report!E671</f>
        <v/>
      </c>
      <c r="C504" s="77">
        <f>Report!U671</f>
        <v/>
      </c>
      <c r="D504" s="59">
        <f>Report!X671</f>
        <v/>
      </c>
    </row>
    <row r="505" ht="12.75" customHeight="1" s="60">
      <c r="A505" s="75">
        <f>Report!C672</f>
        <v/>
      </c>
      <c r="B505" s="59">
        <f>Report!E672</f>
        <v/>
      </c>
      <c r="C505" s="77">
        <f>Report!U672</f>
        <v/>
      </c>
      <c r="D505" s="59">
        <f>Report!X672</f>
        <v/>
      </c>
    </row>
    <row r="506" ht="12.75" customHeight="1" s="60">
      <c r="A506" s="75">
        <f>Report!C673</f>
        <v/>
      </c>
      <c r="B506" s="59">
        <f>Report!E673</f>
        <v/>
      </c>
      <c r="C506" s="77">
        <f>Report!U673</f>
        <v/>
      </c>
      <c r="D506" s="59">
        <f>Report!X673</f>
        <v/>
      </c>
    </row>
    <row r="507" ht="12.75" customHeight="1" s="60">
      <c r="A507" s="75">
        <f>Report!C674</f>
        <v/>
      </c>
      <c r="B507" s="59">
        <f>Report!E674</f>
        <v/>
      </c>
      <c r="C507" s="77">
        <f>Report!U674</f>
        <v/>
      </c>
      <c r="D507" s="59">
        <f>Report!X674</f>
        <v/>
      </c>
    </row>
    <row r="508" ht="12.75" customHeight="1" s="60">
      <c r="A508" s="75">
        <f>Report!C675</f>
        <v/>
      </c>
      <c r="B508" s="59">
        <f>Report!E675</f>
        <v/>
      </c>
      <c r="C508" s="77">
        <f>Report!U675</f>
        <v/>
      </c>
      <c r="D508" s="59">
        <f>Report!X675</f>
        <v/>
      </c>
    </row>
    <row r="509" ht="12.75" customHeight="1" s="60">
      <c r="A509" s="75">
        <f>Report!C676</f>
        <v/>
      </c>
      <c r="B509" s="59">
        <f>Report!E676</f>
        <v/>
      </c>
      <c r="C509" s="77">
        <f>Report!U676</f>
        <v/>
      </c>
      <c r="D509" s="59">
        <f>Report!X676</f>
        <v/>
      </c>
    </row>
    <row r="510" ht="12.75" customHeight="1" s="60">
      <c r="A510" s="75">
        <f>Report!C677</f>
        <v/>
      </c>
      <c r="B510" s="59">
        <f>Report!E677</f>
        <v/>
      </c>
      <c r="C510" s="77">
        <f>Report!U677</f>
        <v/>
      </c>
      <c r="D510" s="59">
        <f>Report!X677</f>
        <v/>
      </c>
    </row>
    <row r="511" ht="12.75" customHeight="1" s="60">
      <c r="A511" s="75">
        <f>Report!C678</f>
        <v/>
      </c>
      <c r="B511" s="59">
        <f>Report!E678</f>
        <v/>
      </c>
      <c r="C511" s="77">
        <f>Report!U678</f>
        <v/>
      </c>
      <c r="D511" s="59">
        <f>Report!X678</f>
        <v/>
      </c>
    </row>
    <row r="512" ht="12.75" customHeight="1" s="60">
      <c r="A512" s="75">
        <f>Report!C679</f>
        <v/>
      </c>
      <c r="B512" s="59">
        <f>Report!E679</f>
        <v/>
      </c>
      <c r="C512" s="77">
        <f>Report!U679</f>
        <v/>
      </c>
      <c r="D512" s="59">
        <f>Report!X679</f>
        <v/>
      </c>
    </row>
    <row r="513" ht="12.75" customHeight="1" s="60">
      <c r="A513" s="75">
        <f>Report!C680</f>
        <v/>
      </c>
      <c r="B513" s="59">
        <f>Report!E680</f>
        <v/>
      </c>
      <c r="C513" s="77">
        <f>Report!U680</f>
        <v/>
      </c>
      <c r="D513" s="59">
        <f>Report!X680</f>
        <v/>
      </c>
    </row>
    <row r="514" ht="12.75" customHeight="1" s="60">
      <c r="A514" s="75">
        <f>Report!C681</f>
        <v/>
      </c>
      <c r="B514" s="59">
        <f>Report!E681</f>
        <v/>
      </c>
      <c r="C514" s="77">
        <f>Report!U681</f>
        <v/>
      </c>
      <c r="D514" s="59">
        <f>Report!X681</f>
        <v/>
      </c>
    </row>
    <row r="515" ht="12.75" customHeight="1" s="60">
      <c r="A515" s="75">
        <f>Report!C682</f>
        <v/>
      </c>
      <c r="B515" s="59">
        <f>Report!E682</f>
        <v/>
      </c>
      <c r="C515" s="77">
        <f>Report!U682</f>
        <v/>
      </c>
      <c r="D515" s="59">
        <f>Report!X682</f>
        <v/>
      </c>
    </row>
    <row r="516" ht="12.75" customHeight="1" s="60">
      <c r="A516" s="75">
        <f>Report!C683</f>
        <v/>
      </c>
      <c r="B516" s="59">
        <f>Report!E683</f>
        <v/>
      </c>
      <c r="C516" s="77">
        <f>Report!U683</f>
        <v/>
      </c>
      <c r="D516" s="59">
        <f>Report!X683</f>
        <v/>
      </c>
    </row>
    <row r="517" ht="12.75" customHeight="1" s="60">
      <c r="A517" s="75">
        <f>Report!C684</f>
        <v/>
      </c>
      <c r="B517" s="59">
        <f>Report!E684</f>
        <v/>
      </c>
      <c r="C517" s="77">
        <f>Report!U684</f>
        <v/>
      </c>
      <c r="D517" s="59">
        <f>Report!X684</f>
        <v/>
      </c>
    </row>
    <row r="518" ht="12.75" customHeight="1" s="60">
      <c r="A518" s="75">
        <f>Report!C685</f>
        <v/>
      </c>
      <c r="B518" s="59">
        <f>Report!E685</f>
        <v/>
      </c>
      <c r="C518" s="77">
        <f>Report!U685</f>
        <v/>
      </c>
      <c r="D518" s="59">
        <f>Report!X685</f>
        <v/>
      </c>
    </row>
    <row r="519" ht="12.75" customHeight="1" s="60">
      <c r="A519" s="75">
        <f>Report!C686</f>
        <v/>
      </c>
      <c r="B519" s="59">
        <f>Report!E686</f>
        <v/>
      </c>
      <c r="C519" s="77">
        <f>Report!U686</f>
        <v/>
      </c>
      <c r="D519" s="59">
        <f>Report!X686</f>
        <v/>
      </c>
    </row>
    <row r="520" ht="12.75" customHeight="1" s="60">
      <c r="A520" s="75">
        <f>Report!C687</f>
        <v/>
      </c>
      <c r="B520" s="59">
        <f>Report!E687</f>
        <v/>
      </c>
      <c r="C520" s="77">
        <f>Report!U687</f>
        <v/>
      </c>
      <c r="D520" s="59">
        <f>Report!X687</f>
        <v/>
      </c>
    </row>
    <row r="521" ht="12.75" customHeight="1" s="60">
      <c r="A521" s="75">
        <f>Report!C688</f>
        <v/>
      </c>
      <c r="B521" s="59">
        <f>Report!E688</f>
        <v/>
      </c>
      <c r="C521" s="77">
        <f>Report!U688</f>
        <v/>
      </c>
      <c r="D521" s="59">
        <f>Report!X688</f>
        <v/>
      </c>
    </row>
    <row r="522" ht="12.75" customHeight="1" s="60">
      <c r="A522" s="75">
        <f>Report!C689</f>
        <v/>
      </c>
      <c r="B522" s="59">
        <f>Report!E689</f>
        <v/>
      </c>
      <c r="C522" s="77">
        <f>Report!U689</f>
        <v/>
      </c>
      <c r="D522" s="59">
        <f>Report!X689</f>
        <v/>
      </c>
    </row>
    <row r="523" ht="12.75" customHeight="1" s="60">
      <c r="A523" s="75">
        <f>Report!C690</f>
        <v/>
      </c>
      <c r="B523" s="59">
        <f>Report!E690</f>
        <v/>
      </c>
      <c r="C523" s="77">
        <f>Report!U690</f>
        <v/>
      </c>
      <c r="D523" s="59">
        <f>Report!X690</f>
        <v/>
      </c>
    </row>
    <row r="524" ht="12.75" customHeight="1" s="60">
      <c r="A524" s="75">
        <f>Report!C691</f>
        <v/>
      </c>
      <c r="B524" s="59">
        <f>Report!E691</f>
        <v/>
      </c>
      <c r="C524" s="77">
        <f>Report!U691</f>
        <v/>
      </c>
      <c r="D524" s="59">
        <f>Report!X691</f>
        <v/>
      </c>
    </row>
    <row r="525" ht="12.75" customHeight="1" s="60">
      <c r="A525" s="75">
        <f>Report!C699</f>
        <v/>
      </c>
      <c r="B525" s="59">
        <f>Report!E699</f>
        <v/>
      </c>
      <c r="C525" s="77">
        <f>Report!U699</f>
        <v/>
      </c>
      <c r="D525" s="59">
        <f>Report!X699</f>
        <v/>
      </c>
    </row>
    <row r="526" ht="12.75" customHeight="1" s="60">
      <c r="A526" s="75">
        <f>Report!C700</f>
        <v/>
      </c>
      <c r="B526" s="59">
        <f>Report!E700</f>
        <v/>
      </c>
      <c r="C526" s="77">
        <f>Report!U700</f>
        <v/>
      </c>
      <c r="D526" s="59">
        <f>Report!X700</f>
        <v/>
      </c>
    </row>
    <row r="527" ht="12.75" customHeight="1" s="60">
      <c r="A527" s="75">
        <f>Report!C701</f>
        <v/>
      </c>
      <c r="B527" s="59">
        <f>Report!E701</f>
        <v/>
      </c>
      <c r="C527" s="77">
        <f>Report!U701</f>
        <v/>
      </c>
      <c r="D527" s="59">
        <f>Report!X701</f>
        <v/>
      </c>
    </row>
    <row r="528" ht="12.75" customHeight="1" s="60">
      <c r="A528" s="75">
        <f>Report!C702</f>
        <v/>
      </c>
      <c r="B528" s="59">
        <f>Report!E702</f>
        <v/>
      </c>
      <c r="C528" s="77">
        <f>Report!U702</f>
        <v/>
      </c>
      <c r="D528" s="59">
        <f>Report!X702</f>
        <v/>
      </c>
    </row>
    <row r="529" ht="12.75" customHeight="1" s="60">
      <c r="A529" s="75">
        <f>Report!C703</f>
        <v/>
      </c>
      <c r="B529" s="59">
        <f>Report!E703</f>
        <v/>
      </c>
      <c r="C529" s="77">
        <f>Report!U703</f>
        <v/>
      </c>
      <c r="D529" s="59">
        <f>Report!X703</f>
        <v/>
      </c>
    </row>
    <row r="530" ht="12.75" customHeight="1" s="60">
      <c r="A530" s="75">
        <f>Report!C706</f>
        <v/>
      </c>
      <c r="B530" s="59">
        <f>Report!E706</f>
        <v/>
      </c>
      <c r="C530" s="77">
        <f>Report!U706</f>
        <v/>
      </c>
      <c r="D530" s="59">
        <f>Report!X706</f>
        <v/>
      </c>
    </row>
    <row r="531" ht="12.75" customHeight="1" s="60">
      <c r="A531" s="75">
        <f>Report!C708</f>
        <v/>
      </c>
      <c r="B531" s="59">
        <f>Report!E708</f>
        <v/>
      </c>
      <c r="C531" s="77">
        <f>Report!U708</f>
        <v/>
      </c>
      <c r="D531" s="59">
        <f>Report!X708</f>
        <v/>
      </c>
    </row>
    <row r="532" ht="12.75" customHeight="1" s="60">
      <c r="A532" s="75">
        <f>Report!C709</f>
        <v/>
      </c>
      <c r="B532" s="59">
        <f>Report!E709</f>
        <v/>
      </c>
      <c r="C532" s="77">
        <f>Report!U709</f>
        <v/>
      </c>
      <c r="D532" s="59">
        <f>Report!X709</f>
        <v/>
      </c>
    </row>
    <row r="533" ht="12.75" customHeight="1" s="60">
      <c r="A533" s="75">
        <f>Report!C710</f>
        <v/>
      </c>
      <c r="B533" s="59">
        <f>Report!E710</f>
        <v/>
      </c>
      <c r="C533" s="77">
        <f>Report!U710</f>
        <v/>
      </c>
      <c r="D533" s="59">
        <f>Report!X710</f>
        <v/>
      </c>
    </row>
    <row r="534" ht="12.75" customHeight="1" s="60">
      <c r="A534" s="75">
        <f>Report!C711</f>
        <v/>
      </c>
      <c r="B534" s="59">
        <f>Report!E711</f>
        <v/>
      </c>
      <c r="C534" s="77">
        <f>Report!U711</f>
        <v/>
      </c>
      <c r="D534" s="59">
        <f>Report!X711</f>
        <v/>
      </c>
    </row>
    <row r="535" ht="12.75" customHeight="1" s="60">
      <c r="A535" s="75">
        <f>Report!C712</f>
        <v/>
      </c>
      <c r="B535" s="59">
        <f>Report!E712</f>
        <v/>
      </c>
      <c r="C535" s="77">
        <f>Report!U712</f>
        <v/>
      </c>
      <c r="D535" s="59">
        <f>Report!X712</f>
        <v/>
      </c>
    </row>
    <row r="536" ht="12.75" customHeight="1" s="60">
      <c r="A536" s="75">
        <f>Report!C713</f>
        <v/>
      </c>
      <c r="B536" s="59">
        <f>Report!E713</f>
        <v/>
      </c>
      <c r="C536" s="77">
        <f>Report!U713</f>
        <v/>
      </c>
      <c r="D536" s="59">
        <f>Report!X713</f>
        <v/>
      </c>
    </row>
    <row r="537" ht="12.75" customHeight="1" s="60">
      <c r="A537" s="75">
        <f>Report!C717</f>
        <v/>
      </c>
      <c r="B537" s="59">
        <f>Report!E717</f>
        <v/>
      </c>
      <c r="C537" s="77">
        <f>Report!U717</f>
        <v/>
      </c>
      <c r="D537" s="59">
        <f>Report!X717</f>
        <v/>
      </c>
    </row>
    <row r="538" ht="12.75" customHeight="1" s="60">
      <c r="A538" s="75">
        <f>Report!C718</f>
        <v/>
      </c>
      <c r="B538" s="59">
        <f>Report!E718</f>
        <v/>
      </c>
      <c r="C538" s="77">
        <f>Report!U718</f>
        <v/>
      </c>
      <c r="D538" s="59">
        <f>Report!X718</f>
        <v/>
      </c>
    </row>
    <row r="539" ht="12.75" customHeight="1" s="60">
      <c r="A539" s="75">
        <f>Report!C719</f>
        <v/>
      </c>
      <c r="B539" s="59">
        <f>Report!E719</f>
        <v/>
      </c>
      <c r="C539" s="77">
        <f>Report!U719</f>
        <v/>
      </c>
      <c r="D539" s="59">
        <f>Report!X719</f>
        <v/>
      </c>
    </row>
    <row r="540" ht="12.75" customHeight="1" s="60">
      <c r="A540" s="75">
        <f>Report!C720</f>
        <v/>
      </c>
      <c r="B540" s="59">
        <f>Report!E720</f>
        <v/>
      </c>
      <c r="C540" s="77">
        <f>Report!U720</f>
        <v/>
      </c>
      <c r="D540" s="59">
        <f>Report!X720</f>
        <v/>
      </c>
    </row>
    <row r="541" ht="12.75" customHeight="1" s="60">
      <c r="A541" s="75">
        <f>Report!C721</f>
        <v/>
      </c>
      <c r="B541" s="59">
        <f>Report!E721</f>
        <v/>
      </c>
      <c r="C541" s="77">
        <f>Report!U721</f>
        <v/>
      </c>
      <c r="D541" s="59">
        <f>Report!X721</f>
        <v/>
      </c>
    </row>
    <row r="542" ht="12.75" customHeight="1" s="60">
      <c r="A542" s="75">
        <f>Report!C722</f>
        <v/>
      </c>
      <c r="B542" s="59">
        <f>Report!E722</f>
        <v/>
      </c>
      <c r="C542" s="77">
        <f>Report!U722</f>
        <v/>
      </c>
      <c r="D542" s="59">
        <f>Report!X722</f>
        <v/>
      </c>
    </row>
    <row r="543" ht="12.75" customHeight="1" s="60">
      <c r="A543" s="75">
        <f>Report!C723</f>
        <v/>
      </c>
      <c r="B543" s="59">
        <f>Report!E723</f>
        <v/>
      </c>
      <c r="C543" s="77">
        <f>Report!U723</f>
        <v/>
      </c>
      <c r="D543" s="59">
        <f>Report!X723</f>
        <v/>
      </c>
    </row>
    <row r="544" ht="12.75" customHeight="1" s="60">
      <c r="A544" s="75">
        <f>Report!C724</f>
        <v/>
      </c>
      <c r="B544" s="59">
        <f>Report!E724</f>
        <v/>
      </c>
      <c r="C544" s="77">
        <f>Report!U724</f>
        <v/>
      </c>
      <c r="D544" s="59">
        <f>Report!X724</f>
        <v/>
      </c>
    </row>
    <row r="545" ht="12.75" customHeight="1" s="60">
      <c r="A545" s="75">
        <f>Report!C725</f>
        <v/>
      </c>
      <c r="B545" s="59">
        <f>Report!E725</f>
        <v/>
      </c>
      <c r="C545" s="77">
        <f>Report!U725</f>
        <v/>
      </c>
      <c r="D545" s="59">
        <f>Report!X725</f>
        <v/>
      </c>
    </row>
    <row r="546" ht="12.75" customHeight="1" s="60">
      <c r="A546" s="75">
        <f>Report!C726</f>
        <v/>
      </c>
      <c r="B546" s="59">
        <f>Report!E726</f>
        <v/>
      </c>
      <c r="C546" s="77">
        <f>Report!U726</f>
        <v/>
      </c>
      <c r="D546" s="59">
        <f>Report!X726</f>
        <v/>
      </c>
    </row>
    <row r="547" ht="12.75" customHeight="1" s="60">
      <c r="A547" s="75">
        <f>Report!C728</f>
        <v/>
      </c>
      <c r="B547" s="59">
        <f>Report!E728</f>
        <v/>
      </c>
      <c r="C547" s="77">
        <f>Report!U728</f>
        <v/>
      </c>
      <c r="D547" s="59">
        <f>Report!X728</f>
        <v/>
      </c>
    </row>
    <row r="548" ht="12.75" customHeight="1" s="60">
      <c r="A548" s="75">
        <f>Report!C729</f>
        <v/>
      </c>
      <c r="B548" s="59">
        <f>Report!E729</f>
        <v/>
      </c>
      <c r="C548" s="77">
        <f>Report!U729</f>
        <v/>
      </c>
      <c r="D548" s="59">
        <f>Report!X729</f>
        <v/>
      </c>
    </row>
    <row r="549" ht="12.75" customHeight="1" s="60">
      <c r="A549" s="75">
        <f>Report!C730</f>
        <v/>
      </c>
      <c r="B549" s="59">
        <f>Report!E730</f>
        <v/>
      </c>
      <c r="C549" s="77">
        <f>Report!U730</f>
        <v/>
      </c>
      <c r="D549" s="59">
        <f>Report!X730</f>
        <v/>
      </c>
    </row>
    <row r="550" ht="12.75" customHeight="1" s="60">
      <c r="A550" s="75">
        <f>Report!C731</f>
        <v/>
      </c>
      <c r="B550" s="59">
        <f>Report!E731</f>
        <v/>
      </c>
      <c r="C550" s="77">
        <f>Report!U731</f>
        <v/>
      </c>
      <c r="D550" s="59">
        <f>Report!X731</f>
        <v/>
      </c>
    </row>
    <row r="551" ht="12.75" customHeight="1" s="60">
      <c r="A551" s="75">
        <f>Report!C732</f>
        <v/>
      </c>
      <c r="B551" s="59">
        <f>Report!E732</f>
        <v/>
      </c>
      <c r="C551" s="77">
        <f>Report!U732</f>
        <v/>
      </c>
      <c r="D551" s="59">
        <f>Report!X732</f>
        <v/>
      </c>
    </row>
    <row r="552" ht="12.75" customHeight="1" s="60">
      <c r="A552" s="75">
        <f>Report!C733</f>
        <v/>
      </c>
      <c r="B552" s="59">
        <f>Report!E733</f>
        <v/>
      </c>
      <c r="C552" s="77">
        <f>Report!U733</f>
        <v/>
      </c>
      <c r="D552" s="59">
        <f>Report!X733</f>
        <v/>
      </c>
    </row>
    <row r="553" ht="12.75" customHeight="1" s="60">
      <c r="A553" s="75">
        <f>Report!C734</f>
        <v/>
      </c>
      <c r="B553" s="59">
        <f>Report!E734</f>
        <v/>
      </c>
      <c r="C553" s="77">
        <f>Report!U734</f>
        <v/>
      </c>
      <c r="D553" s="59">
        <f>Report!X734</f>
        <v/>
      </c>
    </row>
    <row r="554" ht="12.75" customHeight="1" s="60">
      <c r="A554" s="75">
        <f>Report!C735</f>
        <v/>
      </c>
      <c r="B554" s="59">
        <f>Report!E735</f>
        <v/>
      </c>
      <c r="C554" s="77">
        <f>Report!U735</f>
        <v/>
      </c>
      <c r="D554" s="59">
        <f>Report!X735</f>
        <v/>
      </c>
    </row>
    <row r="555" ht="12.75" customHeight="1" s="60">
      <c r="A555" s="75">
        <f>Report!C736</f>
        <v/>
      </c>
      <c r="B555" s="59">
        <f>Report!E736</f>
        <v/>
      </c>
      <c r="C555" s="77">
        <f>Report!U736</f>
        <v/>
      </c>
      <c r="D555" s="59">
        <f>Report!X736</f>
        <v/>
      </c>
    </row>
    <row r="556" ht="12.75" customHeight="1" s="60">
      <c r="A556" s="75">
        <f>Report!C737</f>
        <v/>
      </c>
      <c r="B556" s="59">
        <f>Report!E737</f>
        <v/>
      </c>
      <c r="C556" s="77">
        <f>Report!U737</f>
        <v/>
      </c>
      <c r="D556" s="59">
        <f>Report!X737</f>
        <v/>
      </c>
    </row>
    <row r="557" ht="12.75" customHeight="1" s="60">
      <c r="A557" s="75">
        <f>Report!C738</f>
        <v/>
      </c>
      <c r="B557" s="59">
        <f>Report!E738</f>
        <v/>
      </c>
      <c r="C557" s="77">
        <f>Report!U738</f>
        <v/>
      </c>
      <c r="D557" s="59">
        <f>Report!X738</f>
        <v/>
      </c>
    </row>
    <row r="558" ht="12.75" customHeight="1" s="60">
      <c r="A558" s="75">
        <f>Report!C739</f>
        <v/>
      </c>
      <c r="B558" s="59">
        <f>Report!E739</f>
        <v/>
      </c>
      <c r="C558" s="77">
        <f>Report!U739</f>
        <v/>
      </c>
      <c r="D558" s="59">
        <f>Report!X739</f>
        <v/>
      </c>
    </row>
    <row r="559" ht="12.75" customHeight="1" s="60">
      <c r="A559" s="75">
        <f>Report!C740</f>
        <v/>
      </c>
      <c r="B559" s="59">
        <f>Report!E740</f>
        <v/>
      </c>
      <c r="C559" s="77">
        <f>Report!U740</f>
        <v/>
      </c>
      <c r="D559" s="59">
        <f>Report!X740</f>
        <v/>
      </c>
    </row>
    <row r="560" ht="12.75" customHeight="1" s="60">
      <c r="A560" s="75">
        <f>Report!C741</f>
        <v/>
      </c>
      <c r="B560" s="59">
        <f>Report!E741</f>
        <v/>
      </c>
      <c r="C560" s="77">
        <f>Report!U741</f>
        <v/>
      </c>
      <c r="D560" s="59">
        <f>Report!X741</f>
        <v/>
      </c>
    </row>
    <row r="561" ht="12.75" customHeight="1" s="60">
      <c r="A561" s="75">
        <f>Report!C742</f>
        <v/>
      </c>
      <c r="B561" s="59">
        <f>Report!E742</f>
        <v/>
      </c>
      <c r="C561" s="77">
        <f>Report!U742</f>
        <v/>
      </c>
      <c r="D561" s="59">
        <f>Report!X742</f>
        <v/>
      </c>
    </row>
    <row r="562" ht="12.75" customHeight="1" s="60">
      <c r="A562" s="75">
        <f>Report!C743</f>
        <v/>
      </c>
      <c r="B562" s="59">
        <f>Report!E743</f>
        <v/>
      </c>
      <c r="C562" s="77">
        <f>Report!U743</f>
        <v/>
      </c>
      <c r="D562" s="59">
        <f>Report!X743</f>
        <v/>
      </c>
    </row>
    <row r="563" ht="12.75" customHeight="1" s="60">
      <c r="A563" s="75">
        <f>Report!C744</f>
        <v/>
      </c>
      <c r="B563" s="59">
        <f>Report!E744</f>
        <v/>
      </c>
      <c r="C563" s="77">
        <f>Report!U744</f>
        <v/>
      </c>
      <c r="D563" s="59">
        <f>Report!X744</f>
        <v/>
      </c>
    </row>
    <row r="564" ht="12.75" customHeight="1" s="60">
      <c r="A564" s="75">
        <f>Report!C745</f>
        <v/>
      </c>
      <c r="B564" s="59">
        <f>Report!E745</f>
        <v/>
      </c>
      <c r="C564" s="77">
        <f>Report!U745</f>
        <v/>
      </c>
      <c r="D564" s="59">
        <f>Report!X745</f>
        <v/>
      </c>
    </row>
    <row r="565" ht="12.75" customHeight="1" s="60">
      <c r="A565" s="75">
        <f>Report!C746</f>
        <v/>
      </c>
      <c r="B565" s="59">
        <f>Report!E746</f>
        <v/>
      </c>
      <c r="C565" s="77">
        <f>Report!U746</f>
        <v/>
      </c>
      <c r="D565" s="59">
        <f>Report!X746</f>
        <v/>
      </c>
    </row>
    <row r="566" ht="12.75" customHeight="1" s="60">
      <c r="A566" s="75">
        <f>Report!C751</f>
        <v/>
      </c>
      <c r="B566" s="59">
        <f>Report!E751</f>
        <v/>
      </c>
      <c r="C566" s="77">
        <f>Report!U751</f>
        <v/>
      </c>
      <c r="D566" s="59">
        <f>Report!X751</f>
        <v/>
      </c>
    </row>
    <row r="567" ht="12.75" customHeight="1" s="60">
      <c r="A567" s="75">
        <f>Report!C752</f>
        <v/>
      </c>
      <c r="B567" s="59">
        <f>Report!E752</f>
        <v/>
      </c>
      <c r="C567" s="77">
        <f>Report!U752</f>
        <v/>
      </c>
      <c r="D567" s="59">
        <f>Report!X752</f>
        <v/>
      </c>
    </row>
    <row r="568" ht="12.75" customHeight="1" s="60">
      <c r="A568" s="75">
        <f>Report!C753</f>
        <v/>
      </c>
      <c r="B568" s="59">
        <f>Report!E753</f>
        <v/>
      </c>
      <c r="C568" s="77">
        <f>Report!U753</f>
        <v/>
      </c>
      <c r="D568" s="59">
        <f>Report!X753</f>
        <v/>
      </c>
    </row>
    <row r="569" ht="12.75" customHeight="1" s="60">
      <c r="A569" s="75">
        <f>Report!C754</f>
        <v/>
      </c>
      <c r="B569" s="59">
        <f>Report!E754</f>
        <v/>
      </c>
      <c r="C569" s="77">
        <f>Report!U754</f>
        <v/>
      </c>
      <c r="D569" s="59">
        <f>Report!X754</f>
        <v/>
      </c>
    </row>
    <row r="570" ht="12.75" customHeight="1" s="60">
      <c r="A570" s="75">
        <f>Report!C755</f>
        <v/>
      </c>
      <c r="B570" s="59">
        <f>Report!E755</f>
        <v/>
      </c>
      <c r="C570" s="77">
        <f>Report!U755</f>
        <v/>
      </c>
      <c r="D570" s="59">
        <f>Report!X755</f>
        <v/>
      </c>
    </row>
    <row r="571" ht="12.75" customHeight="1" s="60">
      <c r="A571" s="75">
        <f>Report!C756</f>
        <v/>
      </c>
      <c r="B571" s="59">
        <f>Report!E756</f>
        <v/>
      </c>
      <c r="C571" s="77">
        <f>Report!U756</f>
        <v/>
      </c>
      <c r="D571" s="59">
        <f>Report!X756</f>
        <v/>
      </c>
    </row>
    <row r="572" ht="12.75" customHeight="1" s="60">
      <c r="A572" s="75">
        <f>Report!C757</f>
        <v/>
      </c>
      <c r="B572" s="59">
        <f>Report!E757</f>
        <v/>
      </c>
      <c r="C572" s="77">
        <f>Report!U757</f>
        <v/>
      </c>
      <c r="D572" s="59">
        <f>Report!X757</f>
        <v/>
      </c>
    </row>
    <row r="573" ht="12.75" customHeight="1" s="60">
      <c r="A573" s="75">
        <f>Report!C758</f>
        <v/>
      </c>
      <c r="B573" s="59">
        <f>Report!E758</f>
        <v/>
      </c>
      <c r="C573" s="77">
        <f>Report!U758</f>
        <v/>
      </c>
      <c r="D573" s="59">
        <f>Report!X758</f>
        <v/>
      </c>
    </row>
    <row r="574" ht="12.75" customHeight="1" s="60">
      <c r="A574" s="75">
        <f>Report!C759</f>
        <v/>
      </c>
      <c r="B574" s="59">
        <f>Report!E759</f>
        <v/>
      </c>
      <c r="C574" s="77">
        <f>Report!U759</f>
        <v/>
      </c>
      <c r="D574" s="59">
        <f>Report!X759</f>
        <v/>
      </c>
    </row>
    <row r="575" ht="12.75" customHeight="1" s="60">
      <c r="A575" s="75">
        <f>Report!C760</f>
        <v/>
      </c>
      <c r="B575" s="59">
        <f>Report!E760</f>
        <v/>
      </c>
      <c r="C575" s="77">
        <f>Report!U760</f>
        <v/>
      </c>
      <c r="D575" s="59">
        <f>Report!X760</f>
        <v/>
      </c>
    </row>
    <row r="576" ht="12.75" customHeight="1" s="60">
      <c r="A576" s="75">
        <f>Report!C761</f>
        <v/>
      </c>
      <c r="B576" s="59">
        <f>Report!E761</f>
        <v/>
      </c>
      <c r="C576" s="77">
        <f>Report!U761</f>
        <v/>
      </c>
      <c r="D576" s="59">
        <f>Report!X761</f>
        <v/>
      </c>
    </row>
    <row r="577" ht="12.75" customHeight="1" s="60">
      <c r="A577" s="75">
        <f>Report!C762</f>
        <v/>
      </c>
      <c r="B577" s="59">
        <f>Report!E762</f>
        <v/>
      </c>
      <c r="C577" s="77">
        <f>Report!U762</f>
        <v/>
      </c>
      <c r="D577" s="59">
        <f>Report!X762</f>
        <v/>
      </c>
    </row>
    <row r="578" ht="12.75" customHeight="1" s="60">
      <c r="A578" s="75">
        <f>Report!C763</f>
        <v/>
      </c>
      <c r="B578" s="59">
        <f>Report!E763</f>
        <v/>
      </c>
      <c r="C578" s="77">
        <f>Report!U763</f>
        <v/>
      </c>
      <c r="D578" s="59">
        <f>Report!X763</f>
        <v/>
      </c>
    </row>
    <row r="579" ht="12.75" customHeight="1" s="60">
      <c r="A579" s="75">
        <f>Report!C764</f>
        <v/>
      </c>
      <c r="B579" s="59">
        <f>Report!E764</f>
        <v/>
      </c>
      <c r="C579" s="77">
        <f>Report!U764</f>
        <v/>
      </c>
      <c r="D579" s="59">
        <f>Report!X764</f>
        <v/>
      </c>
    </row>
    <row r="580" ht="12.75" customHeight="1" s="60">
      <c r="A580" s="75">
        <f>Report!C765</f>
        <v/>
      </c>
      <c r="B580" s="59">
        <f>Report!E765</f>
        <v/>
      </c>
      <c r="C580" s="77">
        <f>Report!U765</f>
        <v/>
      </c>
      <c r="D580" s="59">
        <f>Report!X765</f>
        <v/>
      </c>
    </row>
    <row r="581" ht="12.75" customHeight="1" s="60">
      <c r="A581" s="75">
        <f>Report!C767</f>
        <v/>
      </c>
      <c r="B581" s="59">
        <f>Report!E767</f>
        <v/>
      </c>
      <c r="C581" s="77">
        <f>Report!U767</f>
        <v/>
      </c>
      <c r="D581" s="59">
        <f>Report!X767</f>
        <v/>
      </c>
    </row>
    <row r="582" ht="12.75" customHeight="1" s="60">
      <c r="A582" s="75">
        <f>Report!C768</f>
        <v/>
      </c>
      <c r="B582" s="59">
        <f>Report!E768</f>
        <v/>
      </c>
      <c r="C582" s="77">
        <f>Report!U768</f>
        <v/>
      </c>
      <c r="D582" s="59">
        <f>Report!X768</f>
        <v/>
      </c>
    </row>
    <row r="583" ht="12.75" customHeight="1" s="60">
      <c r="A583" s="75">
        <f>Report!C769</f>
        <v/>
      </c>
      <c r="B583" s="59">
        <f>Report!E769</f>
        <v/>
      </c>
      <c r="C583" s="77">
        <f>Report!U769</f>
        <v/>
      </c>
      <c r="D583" s="59">
        <f>Report!X769</f>
        <v/>
      </c>
    </row>
    <row r="584" ht="12.75" customHeight="1" s="60">
      <c r="A584" s="75">
        <f>Report!C770</f>
        <v/>
      </c>
      <c r="B584" s="59">
        <f>Report!E770</f>
        <v/>
      </c>
      <c r="C584" s="77">
        <f>Report!U770</f>
        <v/>
      </c>
      <c r="D584" s="59">
        <f>Report!X770</f>
        <v/>
      </c>
    </row>
    <row r="585" ht="12.75" customHeight="1" s="60">
      <c r="A585" s="75">
        <f>Report!C771</f>
        <v/>
      </c>
      <c r="B585" s="59">
        <f>Report!E771</f>
        <v/>
      </c>
      <c r="C585" s="77">
        <f>Report!U771</f>
        <v/>
      </c>
      <c r="D585" s="59">
        <f>Report!X771</f>
        <v/>
      </c>
    </row>
    <row r="586" ht="12.75" customHeight="1" s="60">
      <c r="A586" s="75">
        <f>Report!C772</f>
        <v/>
      </c>
      <c r="B586" s="59">
        <f>Report!E772</f>
        <v/>
      </c>
      <c r="C586" s="77">
        <f>Report!U772</f>
        <v/>
      </c>
      <c r="D586" s="59">
        <f>Report!X772</f>
        <v/>
      </c>
    </row>
    <row r="587" ht="12.75" customHeight="1" s="60">
      <c r="A587" s="75">
        <f>Report!C773</f>
        <v/>
      </c>
      <c r="B587" s="59">
        <f>Report!E773</f>
        <v/>
      </c>
      <c r="C587" s="77">
        <f>Report!U773</f>
        <v/>
      </c>
      <c r="D587" s="59">
        <f>Report!X773</f>
        <v/>
      </c>
    </row>
    <row r="588" ht="12.75" customHeight="1" s="60">
      <c r="A588" s="75">
        <f>Report!C780</f>
        <v/>
      </c>
      <c r="B588" s="59">
        <f>Report!E780</f>
        <v/>
      </c>
      <c r="C588" s="77">
        <f>Report!U780</f>
        <v/>
      </c>
      <c r="D588" s="59">
        <f>Report!X780</f>
        <v/>
      </c>
    </row>
    <row r="589" ht="12.75" customHeight="1" s="60">
      <c r="A589" s="75">
        <f>Report!C782</f>
        <v/>
      </c>
      <c r="B589" s="59">
        <f>Report!E782</f>
        <v/>
      </c>
      <c r="C589" s="77">
        <f>Report!U782</f>
        <v/>
      </c>
      <c r="D589" s="59">
        <f>Report!X782</f>
        <v/>
      </c>
    </row>
    <row r="590" ht="12.75" customHeight="1" s="60">
      <c r="A590" s="75">
        <f>Report!C783</f>
        <v/>
      </c>
      <c r="B590" s="59">
        <f>Report!E783</f>
        <v/>
      </c>
      <c r="C590" s="77">
        <f>Report!U783</f>
        <v/>
      </c>
      <c r="D590" s="59">
        <f>Report!X783</f>
        <v/>
      </c>
    </row>
    <row r="591" ht="12.75" customHeight="1" s="60">
      <c r="A591" s="75">
        <f>Report!C784</f>
        <v/>
      </c>
      <c r="B591" s="59">
        <f>Report!E784</f>
        <v/>
      </c>
      <c r="C591" s="77">
        <f>Report!U784</f>
        <v/>
      </c>
      <c r="D591" s="59">
        <f>Report!X784</f>
        <v/>
      </c>
    </row>
    <row r="592" ht="12.75" customHeight="1" s="60">
      <c r="A592" s="75">
        <f>Report!C785</f>
        <v/>
      </c>
      <c r="B592" s="59">
        <f>Report!E785</f>
        <v/>
      </c>
      <c r="C592" s="77">
        <f>Report!U785</f>
        <v/>
      </c>
      <c r="D592" s="59">
        <f>Report!X785</f>
        <v/>
      </c>
    </row>
    <row r="593" ht="12.75" customHeight="1" s="60">
      <c r="A593" s="75">
        <f>Report!C786</f>
        <v/>
      </c>
      <c r="B593" s="59">
        <f>Report!E786</f>
        <v/>
      </c>
      <c r="C593" s="77">
        <f>Report!U786</f>
        <v/>
      </c>
      <c r="D593" s="59">
        <f>Report!X786</f>
        <v/>
      </c>
    </row>
    <row r="594" ht="12.75" customHeight="1" s="60">
      <c r="A594" s="75">
        <f>Report!C787</f>
        <v/>
      </c>
      <c r="B594" s="59">
        <f>Report!E787</f>
        <v/>
      </c>
      <c r="C594" s="77">
        <f>Report!U787</f>
        <v/>
      </c>
      <c r="D594" s="59">
        <f>Report!X787</f>
        <v/>
      </c>
    </row>
    <row r="595" ht="12.75" customHeight="1" s="60">
      <c r="A595" s="75">
        <f>Report!C788</f>
        <v/>
      </c>
      <c r="B595" s="59">
        <f>Report!E788</f>
        <v/>
      </c>
      <c r="C595" s="77">
        <f>Report!U788</f>
        <v/>
      </c>
      <c r="D595" s="59">
        <f>Report!X788</f>
        <v/>
      </c>
    </row>
    <row r="596" ht="12.75" customHeight="1" s="60">
      <c r="A596" s="75">
        <f>Report!C789</f>
        <v/>
      </c>
      <c r="B596" s="59">
        <f>Report!E789</f>
        <v/>
      </c>
      <c r="C596" s="77">
        <f>Report!U789</f>
        <v/>
      </c>
      <c r="D596" s="59">
        <f>Report!X789</f>
        <v/>
      </c>
    </row>
    <row r="597" ht="12.75" customHeight="1" s="60">
      <c r="A597" s="75">
        <f>Report!C790</f>
        <v/>
      </c>
      <c r="B597" s="59">
        <f>Report!E790</f>
        <v/>
      </c>
      <c r="C597" s="77">
        <f>Report!U790</f>
        <v/>
      </c>
      <c r="D597" s="59">
        <f>Report!X790</f>
        <v/>
      </c>
    </row>
    <row r="598" ht="12.75" customHeight="1" s="60">
      <c r="A598" s="75">
        <f>Report!C791</f>
        <v/>
      </c>
      <c r="B598" s="59">
        <f>Report!E791</f>
        <v/>
      </c>
      <c r="C598" s="77">
        <f>Report!U791</f>
        <v/>
      </c>
      <c r="D598" s="59">
        <f>Report!X791</f>
        <v/>
      </c>
    </row>
    <row r="599" ht="12.75" customHeight="1" s="60">
      <c r="A599" s="75">
        <f>Report!C792</f>
        <v/>
      </c>
      <c r="B599" s="59">
        <f>Report!E792</f>
        <v/>
      </c>
      <c r="C599" s="77">
        <f>Report!U792</f>
        <v/>
      </c>
      <c r="D599" s="59">
        <f>Report!X792</f>
        <v/>
      </c>
    </row>
    <row r="600" ht="12.75" customHeight="1" s="60">
      <c r="A600" s="75">
        <f>Report!C793</f>
        <v/>
      </c>
      <c r="B600" s="59">
        <f>Report!E793</f>
        <v/>
      </c>
      <c r="C600" s="77">
        <f>Report!U793</f>
        <v/>
      </c>
      <c r="D600" s="59">
        <f>Report!X793</f>
        <v/>
      </c>
    </row>
    <row r="601" ht="12.75" customHeight="1" s="60">
      <c r="A601" s="75">
        <f>Report!C794</f>
        <v/>
      </c>
      <c r="B601" s="59">
        <f>Report!E794</f>
        <v/>
      </c>
      <c r="C601" s="77">
        <f>Report!U794</f>
        <v/>
      </c>
      <c r="D601" s="59">
        <f>Report!X794</f>
        <v/>
      </c>
    </row>
    <row r="602" ht="12.75" customHeight="1" s="60">
      <c r="A602" s="75">
        <f>Report!C795</f>
        <v/>
      </c>
      <c r="B602" s="59">
        <f>Report!E795</f>
        <v/>
      </c>
      <c r="C602" s="77">
        <f>Report!U795</f>
        <v/>
      </c>
      <c r="D602" s="59">
        <f>Report!X795</f>
        <v/>
      </c>
    </row>
    <row r="603" ht="12.75" customHeight="1" s="60">
      <c r="A603" s="75">
        <f>Report!C796</f>
        <v/>
      </c>
      <c r="B603" s="59">
        <f>Report!E796</f>
        <v/>
      </c>
      <c r="C603" s="77">
        <f>Report!U796</f>
        <v/>
      </c>
      <c r="D603" s="59">
        <f>Report!X796</f>
        <v/>
      </c>
    </row>
    <row r="604" ht="12.75" customHeight="1" s="60">
      <c r="A604" s="75">
        <f>Report!C797</f>
        <v/>
      </c>
      <c r="B604" s="59">
        <f>Report!E797</f>
        <v/>
      </c>
      <c r="C604" s="77">
        <f>Report!U797</f>
        <v/>
      </c>
      <c r="D604" s="59">
        <f>Report!X797</f>
        <v/>
      </c>
    </row>
    <row r="605" ht="12.75" customHeight="1" s="60">
      <c r="A605" s="75">
        <f>Report!C798</f>
        <v/>
      </c>
      <c r="B605" s="59">
        <f>Report!E798</f>
        <v/>
      </c>
      <c r="C605" s="77">
        <f>Report!U798</f>
        <v/>
      </c>
      <c r="D605" s="59">
        <f>Report!X798</f>
        <v/>
      </c>
    </row>
    <row r="606" ht="12.75" customHeight="1" s="60">
      <c r="A606" s="75">
        <f>Report!C799</f>
        <v/>
      </c>
      <c r="B606" s="59">
        <f>Report!E799</f>
        <v/>
      </c>
      <c r="C606" s="77">
        <f>Report!U799</f>
        <v/>
      </c>
      <c r="D606" s="59">
        <f>Report!X799</f>
        <v/>
      </c>
    </row>
    <row r="607" ht="12.75" customHeight="1" s="60">
      <c r="A607" s="75">
        <f>Report!C800</f>
        <v/>
      </c>
      <c r="B607" s="59">
        <f>Report!E800</f>
        <v/>
      </c>
      <c r="C607" s="77">
        <f>Report!U800</f>
        <v/>
      </c>
      <c r="D607" s="59">
        <f>Report!X800</f>
        <v/>
      </c>
    </row>
    <row r="608" ht="12.75" customHeight="1" s="60">
      <c r="A608" s="75">
        <f>Report!C801</f>
        <v/>
      </c>
      <c r="B608" s="59">
        <f>Report!E801</f>
        <v/>
      </c>
      <c r="C608" s="77">
        <f>Report!U801</f>
        <v/>
      </c>
      <c r="D608" s="59">
        <f>Report!X801</f>
        <v/>
      </c>
    </row>
    <row r="609" ht="12.75" customHeight="1" s="60">
      <c r="A609" s="75">
        <f>Report!C802</f>
        <v/>
      </c>
      <c r="B609" s="59">
        <f>Report!E802</f>
        <v/>
      </c>
      <c r="C609" s="77">
        <f>Report!U802</f>
        <v/>
      </c>
      <c r="D609" s="59">
        <f>Report!X802</f>
        <v/>
      </c>
    </row>
    <row r="610" ht="12.75" customHeight="1" s="60">
      <c r="A610" s="75">
        <f>Report!C803</f>
        <v/>
      </c>
      <c r="B610" s="59">
        <f>Report!E803</f>
        <v/>
      </c>
      <c r="C610" s="77">
        <f>Report!U803</f>
        <v/>
      </c>
      <c r="D610" s="59">
        <f>Report!X803</f>
        <v/>
      </c>
    </row>
    <row r="611" ht="12.75" customHeight="1" s="60">
      <c r="A611" s="75">
        <f>Report!C809</f>
        <v/>
      </c>
      <c r="B611" s="59">
        <f>Report!E809</f>
        <v/>
      </c>
      <c r="C611" s="77">
        <f>Report!U809</f>
        <v/>
      </c>
      <c r="D611" s="59">
        <f>Report!X809</f>
        <v/>
      </c>
    </row>
    <row r="612" ht="12.75" customHeight="1" s="60">
      <c r="A612" s="75">
        <f>Report!C810</f>
        <v/>
      </c>
      <c r="B612" s="59">
        <f>Report!E810</f>
        <v/>
      </c>
      <c r="C612" s="77">
        <f>Report!U810</f>
        <v/>
      </c>
      <c r="D612" s="59">
        <f>Report!X810</f>
        <v/>
      </c>
    </row>
    <row r="613" ht="12.75" customHeight="1" s="60">
      <c r="A613" s="75">
        <f>Report!C811</f>
        <v/>
      </c>
      <c r="B613" s="59">
        <f>Report!E811</f>
        <v/>
      </c>
      <c r="C613" s="77">
        <f>Report!U811</f>
        <v/>
      </c>
      <c r="D613" s="59">
        <f>Report!X811</f>
        <v/>
      </c>
    </row>
    <row r="614" ht="12.75" customHeight="1" s="60">
      <c r="A614" s="75">
        <f>Report!C812</f>
        <v/>
      </c>
      <c r="B614" s="59">
        <f>Report!E812</f>
        <v/>
      </c>
      <c r="C614" s="77">
        <f>Report!U812</f>
        <v/>
      </c>
      <c r="D614" s="59">
        <f>Report!X812</f>
        <v/>
      </c>
    </row>
    <row r="615" ht="12.75" customHeight="1" s="60">
      <c r="A615" s="75">
        <f>Report!C813</f>
        <v/>
      </c>
      <c r="B615" s="59">
        <f>Report!E813</f>
        <v/>
      </c>
      <c r="C615" s="77">
        <f>Report!U813</f>
        <v/>
      </c>
      <c r="D615" s="59">
        <f>Report!X813</f>
        <v/>
      </c>
    </row>
    <row r="616" ht="12.75" customHeight="1" s="60">
      <c r="A616" s="75">
        <f>Report!C814</f>
        <v/>
      </c>
      <c r="B616" s="59">
        <f>Report!E814</f>
        <v/>
      </c>
      <c r="C616" s="77">
        <f>Report!U814</f>
        <v/>
      </c>
      <c r="D616" s="59">
        <f>Report!X814</f>
        <v/>
      </c>
    </row>
    <row r="617" ht="12.75" customHeight="1" s="60">
      <c r="A617" s="75">
        <f>Report!C815</f>
        <v/>
      </c>
      <c r="B617" s="59">
        <f>Report!E815</f>
        <v/>
      </c>
      <c r="C617" s="77">
        <f>Report!U815</f>
        <v/>
      </c>
      <c r="D617" s="59">
        <f>Report!X815</f>
        <v/>
      </c>
    </row>
    <row r="618" ht="12.75" customHeight="1" s="60">
      <c r="A618" s="75">
        <f>Report!C816</f>
        <v/>
      </c>
      <c r="B618" s="59">
        <f>Report!E816</f>
        <v/>
      </c>
      <c r="C618" s="77">
        <f>Report!U816</f>
        <v/>
      </c>
      <c r="D618" s="59">
        <f>Report!X816</f>
        <v/>
      </c>
    </row>
    <row r="619" ht="12.75" customHeight="1" s="60">
      <c r="A619" s="75">
        <f>Report!C817</f>
        <v/>
      </c>
      <c r="B619" s="59">
        <f>Report!E817</f>
        <v/>
      </c>
      <c r="C619" s="77">
        <f>Report!U817</f>
        <v/>
      </c>
      <c r="D619" s="59">
        <f>Report!X817</f>
        <v/>
      </c>
    </row>
    <row r="620" ht="12.75" customHeight="1" s="60">
      <c r="A620" s="75">
        <f>Report!C818</f>
        <v/>
      </c>
      <c r="B620" s="59">
        <f>Report!E818</f>
        <v/>
      </c>
      <c r="C620" s="77">
        <f>Report!U818</f>
        <v/>
      </c>
      <c r="D620" s="59">
        <f>Report!X818</f>
        <v/>
      </c>
    </row>
    <row r="621" ht="12.75" customHeight="1" s="60">
      <c r="A621" s="75">
        <f>Report!C819</f>
        <v/>
      </c>
      <c r="B621" s="59">
        <f>Report!E819</f>
        <v/>
      </c>
      <c r="C621" s="77">
        <f>Report!U819</f>
        <v/>
      </c>
      <c r="D621" s="59">
        <f>Report!X819</f>
        <v/>
      </c>
    </row>
    <row r="622" ht="12.75" customHeight="1" s="60">
      <c r="A622" s="75">
        <f>Report!C820</f>
        <v/>
      </c>
      <c r="B622" s="59">
        <f>Report!E820</f>
        <v/>
      </c>
      <c r="C622" s="77">
        <f>Report!U820</f>
        <v/>
      </c>
      <c r="D622" s="59">
        <f>Report!X820</f>
        <v/>
      </c>
    </row>
    <row r="623" ht="12.75" customHeight="1" s="60">
      <c r="A623" s="75">
        <f>Report!C821</f>
        <v/>
      </c>
      <c r="B623" s="59">
        <f>Report!E821</f>
        <v/>
      </c>
      <c r="C623" s="77">
        <f>Report!U821</f>
        <v/>
      </c>
      <c r="D623" s="59">
        <f>Report!X821</f>
        <v/>
      </c>
    </row>
    <row r="624" ht="12.75" customHeight="1" s="60">
      <c r="A624" s="75">
        <f>Report!C822</f>
        <v/>
      </c>
      <c r="B624" s="59">
        <f>Report!E822</f>
        <v/>
      </c>
      <c r="C624" s="77">
        <f>Report!U822</f>
        <v/>
      </c>
      <c r="D624" s="59">
        <f>Report!X822</f>
        <v/>
      </c>
    </row>
    <row r="625" ht="12.75" customHeight="1" s="60">
      <c r="A625" s="75">
        <f>Report!C824</f>
        <v/>
      </c>
      <c r="B625" s="59">
        <f>Report!E824</f>
        <v/>
      </c>
      <c r="C625" s="77">
        <f>Report!U824</f>
        <v/>
      </c>
      <c r="D625" s="59">
        <f>Report!X824</f>
        <v/>
      </c>
    </row>
    <row r="626" ht="12.75" customHeight="1" s="60">
      <c r="A626" s="75">
        <f>Report!C825</f>
        <v/>
      </c>
      <c r="B626" s="59">
        <f>Report!E825</f>
        <v/>
      </c>
      <c r="C626" s="77">
        <f>Report!U825</f>
        <v/>
      </c>
      <c r="D626" s="59">
        <f>Report!X825</f>
        <v/>
      </c>
    </row>
    <row r="627" ht="12.75" customHeight="1" s="60">
      <c r="A627" s="75">
        <f>Report!C826</f>
        <v/>
      </c>
      <c r="B627" s="59">
        <f>Report!E826</f>
        <v/>
      </c>
      <c r="C627" s="77">
        <f>Report!U826</f>
        <v/>
      </c>
      <c r="D627" s="59">
        <f>Report!X826</f>
        <v/>
      </c>
    </row>
    <row r="628" ht="12.75" customHeight="1" s="60">
      <c r="A628" s="75">
        <f>Report!C827</f>
        <v/>
      </c>
      <c r="B628" s="59">
        <f>Report!E827</f>
        <v/>
      </c>
      <c r="C628" s="77">
        <f>Report!U827</f>
        <v/>
      </c>
      <c r="D628" s="59">
        <f>Report!X827</f>
        <v/>
      </c>
    </row>
    <row r="629" ht="12.75" customHeight="1" s="60">
      <c r="A629" s="75">
        <f>Report!C828</f>
        <v/>
      </c>
      <c r="B629" s="59">
        <f>Report!E828</f>
        <v/>
      </c>
      <c r="C629" s="77">
        <f>Report!U828</f>
        <v/>
      </c>
      <c r="D629" s="59">
        <f>Report!X828</f>
        <v/>
      </c>
    </row>
    <row r="630" ht="12.75" customHeight="1" s="60">
      <c r="A630" s="75">
        <f>Report!C829</f>
        <v/>
      </c>
      <c r="B630" s="59">
        <f>Report!E829</f>
        <v/>
      </c>
      <c r="C630" s="77">
        <f>Report!U829</f>
        <v/>
      </c>
      <c r="D630" s="59">
        <f>Report!X829</f>
        <v/>
      </c>
    </row>
    <row r="631" ht="12.75" customHeight="1" s="60">
      <c r="A631" s="75">
        <f>Report!C830</f>
        <v/>
      </c>
      <c r="B631" s="59">
        <f>Report!E830</f>
        <v/>
      </c>
      <c r="C631" s="77">
        <f>Report!U830</f>
        <v/>
      </c>
      <c r="D631" s="59">
        <f>Report!X830</f>
        <v/>
      </c>
    </row>
    <row r="632" ht="12.75" customHeight="1" s="60">
      <c r="A632" s="75">
        <f>Report!C831</f>
        <v/>
      </c>
      <c r="B632" s="59">
        <f>Report!E831</f>
        <v/>
      </c>
      <c r="C632" s="77">
        <f>Report!U831</f>
        <v/>
      </c>
      <c r="D632" s="59">
        <f>Report!X831</f>
        <v/>
      </c>
    </row>
    <row r="633" ht="12.75" customHeight="1" s="60">
      <c r="A633" s="75">
        <f>Report!C832</f>
        <v/>
      </c>
      <c r="B633" s="59">
        <f>Report!E832</f>
        <v/>
      </c>
      <c r="C633" s="77">
        <f>Report!U832</f>
        <v/>
      </c>
      <c r="D633" s="59">
        <f>Report!X832</f>
        <v/>
      </c>
    </row>
    <row r="634" ht="12.75" customHeight="1" s="60">
      <c r="A634" s="75">
        <f>Report!C833</f>
        <v/>
      </c>
      <c r="B634" s="59">
        <f>Report!E833</f>
        <v/>
      </c>
      <c r="C634" s="77">
        <f>Report!U833</f>
        <v/>
      </c>
      <c r="D634" s="59">
        <f>Report!X833</f>
        <v/>
      </c>
    </row>
    <row r="635" ht="12.75" customHeight="1" s="60">
      <c r="A635" s="75">
        <f>Report!C834</f>
        <v/>
      </c>
      <c r="B635" s="59">
        <f>Report!E834</f>
        <v/>
      </c>
      <c r="C635" s="77">
        <f>Report!U834</f>
        <v/>
      </c>
      <c r="D635" s="59">
        <f>Report!X834</f>
        <v/>
      </c>
    </row>
    <row r="636" ht="12.75" customHeight="1" s="60">
      <c r="A636" s="75">
        <f>Report!C835</f>
        <v/>
      </c>
      <c r="B636" s="59">
        <f>Report!E835</f>
        <v/>
      </c>
      <c r="C636" s="77">
        <f>Report!U835</f>
        <v/>
      </c>
      <c r="D636" s="59">
        <f>Report!X835</f>
        <v/>
      </c>
    </row>
    <row r="637" ht="12.75" customHeight="1" s="60">
      <c r="A637" s="75">
        <f>Report!C836</f>
        <v/>
      </c>
      <c r="B637" s="59">
        <f>Report!E836</f>
        <v/>
      </c>
      <c r="C637" s="77">
        <f>Report!U836</f>
        <v/>
      </c>
      <c r="D637" s="59">
        <f>Report!X836</f>
        <v/>
      </c>
    </row>
    <row r="638" ht="12.75" customHeight="1" s="60">
      <c r="A638" s="75">
        <f>Report!C837</f>
        <v/>
      </c>
      <c r="B638" s="59">
        <f>Report!E837</f>
        <v/>
      </c>
      <c r="C638" s="77">
        <f>Report!U837</f>
        <v/>
      </c>
      <c r="D638" s="59">
        <f>Report!X837</f>
        <v/>
      </c>
    </row>
    <row r="639" ht="12.75" customHeight="1" s="60">
      <c r="A639" s="75">
        <f>Report!C838</f>
        <v/>
      </c>
      <c r="B639" s="59">
        <f>Report!E838</f>
        <v/>
      </c>
      <c r="C639" s="77">
        <f>Report!U838</f>
        <v/>
      </c>
      <c r="D639" s="59">
        <f>Report!X838</f>
        <v/>
      </c>
    </row>
    <row r="640" ht="12.75" customHeight="1" s="60">
      <c r="A640" s="75">
        <f>Report!C841</f>
        <v/>
      </c>
      <c r="B640" s="59">
        <f>Report!E841</f>
        <v/>
      </c>
      <c r="C640" s="77">
        <f>Report!U841</f>
        <v/>
      </c>
      <c r="D640" s="59">
        <f>Report!X841</f>
        <v/>
      </c>
    </row>
    <row r="641" ht="12.75" customHeight="1" s="60">
      <c r="A641" s="75">
        <f>Report!C843</f>
        <v/>
      </c>
      <c r="B641" s="59">
        <f>Report!E843</f>
        <v/>
      </c>
      <c r="C641" s="77">
        <f>Report!U843</f>
        <v/>
      </c>
      <c r="D641" s="59">
        <f>Report!X843</f>
        <v/>
      </c>
    </row>
    <row r="642" ht="12.75" customHeight="1" s="60">
      <c r="A642" s="75">
        <f>Report!C844</f>
        <v/>
      </c>
      <c r="B642" s="59">
        <f>Report!E844</f>
        <v/>
      </c>
      <c r="C642" s="77">
        <f>Report!U844</f>
        <v/>
      </c>
      <c r="D642" s="59">
        <f>Report!X844</f>
        <v/>
      </c>
    </row>
    <row r="643" ht="12.75" customHeight="1" s="60">
      <c r="A643" s="75">
        <f>Report!C845</f>
        <v/>
      </c>
      <c r="B643" s="59">
        <f>Report!E845</f>
        <v/>
      </c>
      <c r="C643" s="77">
        <f>Report!U845</f>
        <v/>
      </c>
      <c r="D643" s="59">
        <f>Report!X845</f>
        <v/>
      </c>
    </row>
    <row r="644" ht="12.75" customHeight="1" s="60">
      <c r="A644" s="75">
        <f>Report!C846</f>
        <v/>
      </c>
      <c r="B644" s="59">
        <f>Report!E846</f>
        <v/>
      </c>
      <c r="C644" s="77">
        <f>Report!U846</f>
        <v/>
      </c>
      <c r="D644" s="59">
        <f>Report!X846</f>
        <v/>
      </c>
    </row>
    <row r="645" ht="12.75" customHeight="1" s="60">
      <c r="A645" s="75">
        <f>Report!C848</f>
        <v/>
      </c>
      <c r="B645" s="59">
        <f>Report!E848</f>
        <v/>
      </c>
      <c r="C645" s="77">
        <f>Report!U848</f>
        <v/>
      </c>
      <c r="D645" s="59">
        <f>Report!X848</f>
        <v/>
      </c>
    </row>
    <row r="646" ht="12.75" customHeight="1" s="60">
      <c r="A646" s="75">
        <f>Report!C849</f>
        <v/>
      </c>
      <c r="B646" s="59">
        <f>Report!E849</f>
        <v/>
      </c>
      <c r="C646" s="77">
        <f>Report!U849</f>
        <v/>
      </c>
      <c r="D646" s="59">
        <f>Report!X849</f>
        <v/>
      </c>
    </row>
    <row r="647" ht="12.75" customHeight="1" s="60">
      <c r="A647" s="75">
        <f>Report!C851</f>
        <v/>
      </c>
      <c r="B647" s="59">
        <f>Report!E851</f>
        <v/>
      </c>
      <c r="C647" s="77">
        <f>Report!U851</f>
        <v/>
      </c>
      <c r="D647" s="59">
        <f>Report!X851</f>
        <v/>
      </c>
    </row>
    <row r="648" ht="12.75" customHeight="1" s="60">
      <c r="A648" s="75">
        <f>Report!C852</f>
        <v/>
      </c>
      <c r="B648" s="59">
        <f>Report!E852</f>
        <v/>
      </c>
      <c r="C648" s="77">
        <f>Report!U852</f>
        <v/>
      </c>
      <c r="D648" s="59">
        <f>Report!X852</f>
        <v/>
      </c>
    </row>
    <row r="649" ht="12.75" customHeight="1" s="60">
      <c r="A649" s="75">
        <f>Report!C853</f>
        <v/>
      </c>
      <c r="B649" s="59">
        <f>Report!E853</f>
        <v/>
      </c>
      <c r="C649" s="77">
        <f>Report!U853</f>
        <v/>
      </c>
      <c r="D649" s="59">
        <f>Report!X853</f>
        <v/>
      </c>
    </row>
    <row r="650" ht="12.75" customHeight="1" s="60">
      <c r="A650" s="75">
        <f>Report!C855</f>
        <v/>
      </c>
      <c r="B650" s="59">
        <f>Report!E855</f>
        <v/>
      </c>
      <c r="C650" s="77">
        <f>Report!U855</f>
        <v/>
      </c>
      <c r="D650" s="59">
        <f>Report!X855</f>
        <v/>
      </c>
    </row>
    <row r="651" ht="12.75" customHeight="1" s="60">
      <c r="A651" s="75">
        <f>Report!C856</f>
        <v/>
      </c>
      <c r="B651" s="59">
        <f>Report!E856</f>
        <v/>
      </c>
      <c r="C651" s="77">
        <f>Report!U856</f>
        <v/>
      </c>
      <c r="D651" s="59">
        <f>Report!X856</f>
        <v/>
      </c>
    </row>
    <row r="652" ht="12.75" customHeight="1" s="60">
      <c r="A652" s="75">
        <f>Report!C857</f>
        <v/>
      </c>
      <c r="B652" s="59">
        <f>Report!E857</f>
        <v/>
      </c>
      <c r="C652" s="77">
        <f>Report!U857</f>
        <v/>
      </c>
      <c r="D652" s="59">
        <f>Report!X857</f>
        <v/>
      </c>
    </row>
    <row r="653" ht="12.75" customHeight="1" s="60">
      <c r="A653" s="75">
        <f>Report!C859</f>
        <v/>
      </c>
      <c r="B653" s="59">
        <f>Report!E859</f>
        <v/>
      </c>
      <c r="C653" s="77">
        <f>Report!U859</f>
        <v/>
      </c>
      <c r="D653" s="59">
        <f>Report!X859</f>
        <v/>
      </c>
    </row>
    <row r="654" ht="12.75" customHeight="1" s="60">
      <c r="A654" s="75">
        <f>Report!C860</f>
        <v/>
      </c>
      <c r="B654" s="59">
        <f>Report!E860</f>
        <v/>
      </c>
      <c r="C654" s="77">
        <f>Report!U860</f>
        <v/>
      </c>
      <c r="D654" s="59">
        <f>Report!X860</f>
        <v/>
      </c>
    </row>
    <row r="655" ht="12.75" customHeight="1" s="60">
      <c r="A655" s="75">
        <f>Report!C866</f>
        <v/>
      </c>
      <c r="B655" s="59">
        <f>Report!E866</f>
        <v/>
      </c>
      <c r="C655" s="77">
        <f>Report!U866</f>
        <v/>
      </c>
      <c r="D655" s="59">
        <f>Report!X866</f>
        <v/>
      </c>
    </row>
    <row r="656" ht="12.75" customHeight="1" s="60">
      <c r="A656" s="75">
        <f>Report!C867</f>
        <v/>
      </c>
      <c r="B656" s="59">
        <f>Report!E867</f>
        <v/>
      </c>
      <c r="C656" s="77">
        <f>Report!U867</f>
        <v/>
      </c>
      <c r="D656" s="59">
        <f>Report!X867</f>
        <v/>
      </c>
    </row>
    <row r="657" ht="12.75" customHeight="1" s="60">
      <c r="A657" s="75">
        <f>Report!C868</f>
        <v/>
      </c>
      <c r="B657" s="59">
        <f>Report!E868</f>
        <v/>
      </c>
      <c r="C657" s="77">
        <f>Report!U868</f>
        <v/>
      </c>
      <c r="D657" s="59">
        <f>Report!X868</f>
        <v/>
      </c>
    </row>
    <row r="658" ht="12.75" customHeight="1" s="60">
      <c r="A658" s="75">
        <f>Report!C870</f>
        <v/>
      </c>
      <c r="B658" s="59">
        <f>Report!E870</f>
        <v/>
      </c>
      <c r="C658" s="77">
        <f>Report!U870</f>
        <v/>
      </c>
      <c r="D658" s="59">
        <f>Report!X870</f>
        <v/>
      </c>
    </row>
    <row r="659" ht="12.75" customHeight="1" s="60">
      <c r="A659" s="75">
        <f>Report!C871</f>
        <v/>
      </c>
      <c r="B659" s="59">
        <f>Report!E871</f>
        <v/>
      </c>
      <c r="C659" s="77">
        <f>Report!U871</f>
        <v/>
      </c>
      <c r="D659" s="59">
        <f>Report!X871</f>
        <v/>
      </c>
    </row>
    <row r="660" ht="12.75" customHeight="1" s="60">
      <c r="A660" s="75">
        <f>Report!C872</f>
        <v/>
      </c>
      <c r="B660" s="59">
        <f>Report!E872</f>
        <v/>
      </c>
      <c r="C660" s="77">
        <f>Report!U872</f>
        <v/>
      </c>
      <c r="D660" s="59">
        <f>Report!X872</f>
        <v/>
      </c>
    </row>
    <row r="661" ht="12.75" customHeight="1" s="60">
      <c r="A661" s="75">
        <f>Report!C874</f>
        <v/>
      </c>
      <c r="B661" s="59">
        <f>Report!E874</f>
        <v/>
      </c>
      <c r="C661" s="77">
        <f>Report!U874</f>
        <v/>
      </c>
      <c r="D661" s="59">
        <f>Report!X874</f>
        <v/>
      </c>
    </row>
    <row r="662" ht="12.75" customHeight="1" s="60">
      <c r="A662" s="75">
        <f>Report!C875</f>
        <v/>
      </c>
      <c r="B662" s="59">
        <f>Report!E875</f>
        <v/>
      </c>
      <c r="C662" s="77">
        <f>Report!U875</f>
        <v/>
      </c>
      <c r="D662" s="59">
        <f>Report!X875</f>
        <v/>
      </c>
    </row>
    <row r="663" ht="12.75" customHeight="1" s="60">
      <c r="A663" s="75">
        <f>Report!C877</f>
        <v/>
      </c>
      <c r="B663" s="59">
        <f>Report!E877</f>
        <v/>
      </c>
      <c r="C663" s="77">
        <f>Report!U877</f>
        <v/>
      </c>
      <c r="D663" s="59">
        <f>Report!X877</f>
        <v/>
      </c>
    </row>
    <row r="664" ht="12.75" customHeight="1" s="60">
      <c r="A664" s="75">
        <f>Report!C878</f>
        <v/>
      </c>
      <c r="B664" s="59">
        <f>Report!E878</f>
        <v/>
      </c>
      <c r="C664" s="77">
        <f>Report!U878</f>
        <v/>
      </c>
      <c r="D664" s="59">
        <f>Report!X878</f>
        <v/>
      </c>
    </row>
    <row r="665" ht="12.75" customHeight="1" s="60">
      <c r="A665" s="75">
        <f>Report!C879</f>
        <v/>
      </c>
      <c r="B665" s="59">
        <f>Report!E879</f>
        <v/>
      </c>
      <c r="C665" s="77">
        <f>Report!U879</f>
        <v/>
      </c>
      <c r="D665" s="59">
        <f>Report!X879</f>
        <v/>
      </c>
    </row>
    <row r="666" ht="12.75" customHeight="1" s="60">
      <c r="A666" s="75">
        <f>Report!C880</f>
        <v/>
      </c>
      <c r="B666" s="59">
        <f>Report!E880</f>
        <v/>
      </c>
      <c r="C666" s="77">
        <f>Report!U880</f>
        <v/>
      </c>
      <c r="D666" s="59">
        <f>Report!X880</f>
        <v/>
      </c>
    </row>
    <row r="667" ht="12.75" customHeight="1" s="60">
      <c r="A667" s="75">
        <f>Report!C881</f>
        <v/>
      </c>
      <c r="B667" s="59">
        <f>Report!E881</f>
        <v/>
      </c>
      <c r="C667" s="77">
        <f>Report!U881</f>
        <v/>
      </c>
      <c r="D667" s="59">
        <f>Report!X881</f>
        <v/>
      </c>
    </row>
    <row r="668" ht="12.75" customHeight="1" s="60">
      <c r="A668" s="75">
        <f>Report!C882</f>
        <v/>
      </c>
      <c r="B668" s="59">
        <f>Report!E882</f>
        <v/>
      </c>
      <c r="C668" s="77">
        <f>Report!U882</f>
        <v/>
      </c>
      <c r="D668" s="59">
        <f>Report!X882</f>
        <v/>
      </c>
    </row>
    <row r="669" ht="12.75" customHeight="1" s="60">
      <c r="A669" s="75">
        <f>Report!C883</f>
        <v/>
      </c>
      <c r="B669" s="59">
        <f>Report!E883</f>
        <v/>
      </c>
      <c r="C669" s="77">
        <f>Report!U883</f>
        <v/>
      </c>
      <c r="D669" s="59">
        <f>Report!X883</f>
        <v/>
      </c>
    </row>
    <row r="670" ht="12.75" customHeight="1" s="60">
      <c r="A670" s="75">
        <f>Report!C884</f>
        <v/>
      </c>
      <c r="B670" s="59">
        <f>Report!E884</f>
        <v/>
      </c>
      <c r="C670" s="77">
        <f>Report!U884</f>
        <v/>
      </c>
      <c r="D670" s="59">
        <f>Report!X884</f>
        <v/>
      </c>
    </row>
    <row r="671" ht="12.75" customHeight="1" s="60">
      <c r="A671" s="75">
        <f>Report!C885</f>
        <v/>
      </c>
      <c r="B671" s="59">
        <f>Report!E885</f>
        <v/>
      </c>
      <c r="C671" s="77">
        <f>Report!U885</f>
        <v/>
      </c>
      <c r="D671" s="59">
        <f>Report!X885</f>
        <v/>
      </c>
    </row>
    <row r="672" ht="12.75" customHeight="1" s="60">
      <c r="A672" s="75">
        <f>Report!C886</f>
        <v/>
      </c>
      <c r="B672" s="59">
        <f>Report!E886</f>
        <v/>
      </c>
      <c r="C672" s="77">
        <f>Report!U886</f>
        <v/>
      </c>
      <c r="D672" s="59">
        <f>Report!X886</f>
        <v/>
      </c>
    </row>
    <row r="673" ht="12.75" customHeight="1" s="60">
      <c r="A673" s="75">
        <f>Report!C887</f>
        <v/>
      </c>
      <c r="B673" s="59">
        <f>Report!E887</f>
        <v/>
      </c>
      <c r="C673" s="77">
        <f>Report!U887</f>
        <v/>
      </c>
      <c r="D673" s="59">
        <f>Report!X887</f>
        <v/>
      </c>
    </row>
    <row r="674" ht="12.75" customHeight="1" s="60">
      <c r="A674" s="75">
        <f>Report!C888</f>
        <v/>
      </c>
      <c r="B674" s="59">
        <f>Report!E888</f>
        <v/>
      </c>
      <c r="C674" s="77">
        <f>Report!U888</f>
        <v/>
      </c>
      <c r="D674" s="59">
        <f>Report!X888</f>
        <v/>
      </c>
    </row>
    <row r="675" ht="12.75" customHeight="1" s="60">
      <c r="A675" s="75">
        <f>Report!C889</f>
        <v/>
      </c>
      <c r="B675" s="59">
        <f>Report!E889</f>
        <v/>
      </c>
      <c r="C675" s="77">
        <f>Report!U889</f>
        <v/>
      </c>
      <c r="D675" s="59">
        <f>Report!X889</f>
        <v/>
      </c>
    </row>
    <row r="676" ht="12.75" customHeight="1" s="60">
      <c r="A676" s="75">
        <f>Report!C891</f>
        <v/>
      </c>
      <c r="B676" s="59">
        <f>Report!E891</f>
        <v/>
      </c>
      <c r="C676" s="77">
        <f>Report!U891</f>
        <v/>
      </c>
      <c r="D676" s="59">
        <f>Report!X891</f>
        <v/>
      </c>
    </row>
    <row r="677" ht="12.75" customHeight="1" s="60">
      <c r="A677" s="75">
        <f>Report!C892</f>
        <v/>
      </c>
      <c r="B677" s="59">
        <f>Report!E892</f>
        <v/>
      </c>
      <c r="C677" s="77">
        <f>Report!U892</f>
        <v/>
      </c>
      <c r="D677" s="59">
        <f>Report!X892</f>
        <v/>
      </c>
    </row>
    <row r="678" ht="12.75" customHeight="1" s="60">
      <c r="A678" s="75">
        <f>Report!C893</f>
        <v/>
      </c>
      <c r="B678" s="59">
        <f>Report!E893</f>
        <v/>
      </c>
      <c r="C678" s="77">
        <f>Report!U893</f>
        <v/>
      </c>
      <c r="D678" s="59">
        <f>Report!X893</f>
        <v/>
      </c>
    </row>
    <row r="679" ht="12.75" customHeight="1" s="60">
      <c r="A679" s="75">
        <f>Report!C899</f>
        <v/>
      </c>
      <c r="B679" s="59">
        <f>Report!E899</f>
        <v/>
      </c>
      <c r="C679" s="77">
        <f>Report!U899</f>
        <v/>
      </c>
      <c r="D679" s="59">
        <f>Report!X899</f>
        <v/>
      </c>
    </row>
    <row r="680" ht="12.75" customHeight="1" s="60">
      <c r="A680" s="75">
        <f>Report!C900</f>
        <v/>
      </c>
      <c r="B680" s="59">
        <f>Report!E900</f>
        <v/>
      </c>
      <c r="C680" s="77">
        <f>Report!U900</f>
        <v/>
      </c>
      <c r="D680" s="59">
        <f>Report!X900</f>
        <v/>
      </c>
    </row>
    <row r="681" ht="12.75" customHeight="1" s="60">
      <c r="A681" s="75">
        <f>Report!C901</f>
        <v/>
      </c>
      <c r="B681" s="59">
        <f>Report!E901</f>
        <v/>
      </c>
      <c r="C681" s="77">
        <f>Report!U901</f>
        <v/>
      </c>
      <c r="D681" s="59">
        <f>Report!X901</f>
        <v/>
      </c>
    </row>
    <row r="682" ht="12.75" customHeight="1" s="60">
      <c r="A682" s="75">
        <f>Report!C902</f>
        <v/>
      </c>
      <c r="B682" s="59">
        <f>Report!E902</f>
        <v/>
      </c>
      <c r="C682" s="77">
        <f>Report!U902</f>
        <v/>
      </c>
      <c r="D682" s="59">
        <f>Report!X902</f>
        <v/>
      </c>
    </row>
    <row r="683" ht="12.75" customHeight="1" s="60">
      <c r="A683" s="75">
        <f>Report!C904</f>
        <v/>
      </c>
      <c r="B683" s="59">
        <f>Report!E904</f>
        <v/>
      </c>
      <c r="C683" s="77">
        <f>Report!U904</f>
        <v/>
      </c>
      <c r="D683" s="59">
        <f>Report!X904</f>
        <v/>
      </c>
    </row>
    <row r="684" ht="12.75" customHeight="1" s="60">
      <c r="A684" s="75">
        <f>Report!C905</f>
        <v/>
      </c>
      <c r="B684" s="59">
        <f>Report!E905</f>
        <v/>
      </c>
      <c r="C684" s="77">
        <f>Report!U905</f>
        <v/>
      </c>
      <c r="D684" s="59">
        <f>Report!X905</f>
        <v/>
      </c>
    </row>
    <row r="685" ht="12.75" customHeight="1" s="60">
      <c r="A685" s="75">
        <f>Report!C906</f>
        <v/>
      </c>
      <c r="B685" s="59">
        <f>Report!E906</f>
        <v/>
      </c>
      <c r="C685" s="77">
        <f>Report!U906</f>
        <v/>
      </c>
      <c r="D685" s="59">
        <f>Report!X906</f>
        <v/>
      </c>
    </row>
    <row r="686" ht="12.75" customHeight="1" s="60">
      <c r="A686" s="75">
        <f>Report!C907</f>
        <v/>
      </c>
      <c r="B686" s="59">
        <f>Report!E907</f>
        <v/>
      </c>
      <c r="C686" s="77">
        <f>Report!U907</f>
        <v/>
      </c>
      <c r="D686" s="59">
        <f>Report!X907</f>
        <v/>
      </c>
    </row>
    <row r="687" ht="12.75" customHeight="1" s="60">
      <c r="A687" s="75">
        <f>Report!C910</f>
        <v/>
      </c>
      <c r="B687" s="59">
        <f>Report!E910</f>
        <v/>
      </c>
      <c r="C687" s="77">
        <f>Report!U910</f>
        <v/>
      </c>
      <c r="D687" s="59">
        <f>Report!X910</f>
        <v/>
      </c>
    </row>
    <row r="688" ht="12.75" customHeight="1" s="60">
      <c r="A688" s="75">
        <f>Report!C914</f>
        <v/>
      </c>
      <c r="B688" s="59">
        <f>Report!E914</f>
        <v/>
      </c>
      <c r="C688" s="77">
        <f>Report!U914</f>
        <v/>
      </c>
      <c r="D688" s="59">
        <f>Report!X914</f>
        <v/>
      </c>
    </row>
    <row r="689" ht="12.75" customHeight="1" s="60">
      <c r="A689" s="75">
        <f>Report!C915</f>
        <v/>
      </c>
      <c r="B689" s="59">
        <f>Report!E915</f>
        <v/>
      </c>
      <c r="C689" s="77">
        <f>Report!U915</f>
        <v/>
      </c>
      <c r="D689" s="59">
        <f>Report!X915</f>
        <v/>
      </c>
    </row>
    <row r="690" ht="12.75" customHeight="1" s="60">
      <c r="A690" s="75">
        <f>Report!C916</f>
        <v/>
      </c>
      <c r="B690" s="59">
        <f>Report!E916</f>
        <v/>
      </c>
      <c r="C690" s="77">
        <f>Report!U916</f>
        <v/>
      </c>
      <c r="D690" s="59">
        <f>Report!X916</f>
        <v/>
      </c>
    </row>
    <row r="691" ht="12.75" customHeight="1" s="60">
      <c r="A691" s="75">
        <f>Report!C917</f>
        <v/>
      </c>
      <c r="B691" s="59">
        <f>Report!E917</f>
        <v/>
      </c>
      <c r="C691" s="77">
        <f>Report!U917</f>
        <v/>
      </c>
      <c r="D691" s="59">
        <f>Report!X917</f>
        <v/>
      </c>
    </row>
    <row r="692" ht="12.75" customHeight="1" s="60">
      <c r="A692" s="75">
        <f>Report!C918</f>
        <v/>
      </c>
      <c r="B692" s="59">
        <f>Report!E918</f>
        <v/>
      </c>
      <c r="C692" s="77">
        <f>Report!U918</f>
        <v/>
      </c>
      <c r="D692" s="59">
        <f>Report!X918</f>
        <v/>
      </c>
    </row>
    <row r="693" ht="12.75" customHeight="1" s="60">
      <c r="A693" s="75">
        <f>Report!C921</f>
        <v/>
      </c>
      <c r="B693" s="59">
        <f>Report!E921</f>
        <v/>
      </c>
      <c r="C693" s="77">
        <f>Report!U921</f>
        <v/>
      </c>
      <c r="D693" s="59">
        <f>Report!X921</f>
        <v/>
      </c>
    </row>
    <row r="694" ht="12.75" customHeight="1" s="60">
      <c r="A694" s="75">
        <f>Report!C922</f>
        <v/>
      </c>
      <c r="B694" s="59">
        <f>Report!E922</f>
        <v/>
      </c>
      <c r="C694" s="77">
        <f>Report!U922</f>
        <v/>
      </c>
      <c r="D694" s="59">
        <f>Report!X922</f>
        <v/>
      </c>
    </row>
    <row r="695" ht="12.75" customHeight="1" s="60">
      <c r="A695" s="75">
        <f>Report!C923</f>
        <v/>
      </c>
      <c r="B695" s="59">
        <f>Report!E923</f>
        <v/>
      </c>
      <c r="C695" s="77">
        <f>Report!U923</f>
        <v/>
      </c>
      <c r="D695" s="59">
        <f>Report!X923</f>
        <v/>
      </c>
    </row>
    <row r="696" ht="12.75" customHeight="1" s="60">
      <c r="A696" s="75">
        <f>Report!C924</f>
        <v/>
      </c>
      <c r="B696" s="59">
        <f>Report!E924</f>
        <v/>
      </c>
      <c r="C696" s="77">
        <f>Report!U924</f>
        <v/>
      </c>
      <c r="D696" s="59">
        <f>Report!X924</f>
        <v/>
      </c>
    </row>
    <row r="697" ht="12.75" customHeight="1" s="60">
      <c r="A697" s="75">
        <f>Report!C925</f>
        <v/>
      </c>
      <c r="B697" s="59">
        <f>Report!E925</f>
        <v/>
      </c>
      <c r="C697" s="77">
        <f>Report!U925</f>
        <v/>
      </c>
      <c r="D697" s="59">
        <f>Report!X925</f>
        <v/>
      </c>
    </row>
    <row r="698" ht="12.75" customHeight="1" s="60">
      <c r="A698" s="75">
        <f>Report!C926</f>
        <v/>
      </c>
      <c r="B698" s="59">
        <f>Report!E926</f>
        <v/>
      </c>
      <c r="C698" s="77">
        <f>Report!U926</f>
        <v/>
      </c>
      <c r="D698" s="59">
        <f>Report!X926</f>
        <v/>
      </c>
    </row>
    <row r="699" ht="12.75" customHeight="1" s="60">
      <c r="A699" s="75">
        <f>Report!C927</f>
        <v/>
      </c>
      <c r="B699" s="59">
        <f>Report!E927</f>
        <v/>
      </c>
      <c r="C699" s="77">
        <f>Report!U927</f>
        <v/>
      </c>
      <c r="D699" s="59">
        <f>Report!X927</f>
        <v/>
      </c>
    </row>
    <row r="700" ht="12.75" customHeight="1" s="60">
      <c r="A700" s="75">
        <f>Report!C930</f>
        <v/>
      </c>
      <c r="B700" s="59">
        <f>Report!E930</f>
        <v/>
      </c>
      <c r="C700" s="77">
        <f>Report!U930</f>
        <v/>
      </c>
      <c r="D700" s="59">
        <f>Report!X930</f>
        <v/>
      </c>
    </row>
    <row r="701" ht="12.75" customHeight="1" s="60">
      <c r="A701" s="75">
        <f>Report!C931</f>
        <v/>
      </c>
      <c r="B701" s="59">
        <f>Report!E931</f>
        <v/>
      </c>
      <c r="C701" s="77">
        <f>Report!U931</f>
        <v/>
      </c>
      <c r="D701" s="59">
        <f>Report!X931</f>
        <v/>
      </c>
    </row>
    <row r="702" ht="12.75" customHeight="1" s="60">
      <c r="A702" s="75">
        <f>Report!C932</f>
        <v/>
      </c>
      <c r="B702" s="59">
        <f>Report!E932</f>
        <v/>
      </c>
      <c r="C702" s="77">
        <f>Report!U932</f>
        <v/>
      </c>
      <c r="D702" s="59">
        <f>Report!X932</f>
        <v/>
      </c>
    </row>
    <row r="703" ht="12.75" customHeight="1" s="60">
      <c r="A703" s="75">
        <f>Report!C933</f>
        <v/>
      </c>
      <c r="B703" s="59">
        <f>Report!E933</f>
        <v/>
      </c>
      <c r="C703" s="77">
        <f>Report!U933</f>
        <v/>
      </c>
      <c r="D703" s="59">
        <f>Report!X933</f>
        <v/>
      </c>
    </row>
    <row r="704" ht="12.75" customHeight="1" s="60">
      <c r="A704" s="75">
        <f>Report!C934</f>
        <v/>
      </c>
      <c r="B704" s="59">
        <f>Report!E934</f>
        <v/>
      </c>
      <c r="C704" s="77">
        <f>Report!U934</f>
        <v/>
      </c>
      <c r="D704" s="59">
        <f>Report!X934</f>
        <v/>
      </c>
    </row>
    <row r="705" ht="12.75" customHeight="1" s="60">
      <c r="A705" s="75">
        <f>Report!C935</f>
        <v/>
      </c>
      <c r="B705" s="59">
        <f>Report!E935</f>
        <v/>
      </c>
      <c r="C705" s="77">
        <f>Report!U935</f>
        <v/>
      </c>
      <c r="D705" s="59">
        <f>Report!X935</f>
        <v/>
      </c>
    </row>
    <row r="706" ht="12.75" customHeight="1" s="60">
      <c r="A706" s="75">
        <f>Report!C936</f>
        <v/>
      </c>
      <c r="B706" s="59">
        <f>Report!E936</f>
        <v/>
      </c>
      <c r="C706" s="77">
        <f>Report!U936</f>
        <v/>
      </c>
      <c r="D706" s="59">
        <f>Report!X936</f>
        <v/>
      </c>
    </row>
    <row r="707" ht="12.75" customHeight="1" s="60">
      <c r="A707" s="75">
        <f>Report!C937</f>
        <v/>
      </c>
      <c r="B707" s="59">
        <f>Report!E937</f>
        <v/>
      </c>
      <c r="C707" s="77">
        <f>Report!U937</f>
        <v/>
      </c>
      <c r="D707" s="59">
        <f>Report!X937</f>
        <v/>
      </c>
    </row>
    <row r="708" ht="12.75" customHeight="1" s="60">
      <c r="A708" s="75">
        <f>Report!C938</f>
        <v/>
      </c>
      <c r="B708" s="59">
        <f>Report!E938</f>
        <v/>
      </c>
      <c r="C708" s="77">
        <f>Report!U938</f>
        <v/>
      </c>
      <c r="D708" s="59">
        <f>Report!X938</f>
        <v/>
      </c>
    </row>
    <row r="709" ht="12.75" customHeight="1" s="60">
      <c r="A709" s="75">
        <f>Report!C939</f>
        <v/>
      </c>
      <c r="B709" s="59">
        <f>Report!E939</f>
        <v/>
      </c>
      <c r="C709" s="77">
        <f>Report!U939</f>
        <v/>
      </c>
      <c r="D709" s="59">
        <f>Report!X939</f>
        <v/>
      </c>
    </row>
    <row r="710" ht="12.75" customHeight="1" s="60">
      <c r="A710" s="75">
        <f>Report!C941</f>
        <v/>
      </c>
      <c r="B710" s="59">
        <f>Report!E941</f>
        <v/>
      </c>
      <c r="C710" s="77">
        <f>Report!U941</f>
        <v/>
      </c>
      <c r="D710" s="59">
        <f>Report!X941</f>
        <v/>
      </c>
    </row>
    <row r="711" ht="12.75" customHeight="1" s="60">
      <c r="A711" s="75">
        <f>Report!C943</f>
        <v/>
      </c>
      <c r="B711" s="59">
        <f>Report!E943</f>
        <v/>
      </c>
      <c r="C711" s="77">
        <f>Report!U943</f>
        <v/>
      </c>
      <c r="D711" s="59">
        <f>Report!X943</f>
        <v/>
      </c>
    </row>
    <row r="712" ht="12.75" customHeight="1" s="60">
      <c r="A712" s="75">
        <f>Report!C945</f>
        <v/>
      </c>
      <c r="B712" s="59">
        <f>Report!E945</f>
        <v/>
      </c>
      <c r="C712" s="77">
        <f>Report!U945</f>
        <v/>
      </c>
      <c r="D712" s="59">
        <f>Report!X945</f>
        <v/>
      </c>
    </row>
    <row r="713" ht="12.75" customHeight="1" s="60">
      <c r="A713" s="75">
        <f>Report!C947</f>
        <v/>
      </c>
      <c r="B713" s="59">
        <f>Report!E947</f>
        <v/>
      </c>
      <c r="C713" s="77">
        <f>Report!U947</f>
        <v/>
      </c>
      <c r="D713" s="59">
        <f>Report!X947</f>
        <v/>
      </c>
    </row>
    <row r="714" ht="12.75" customHeight="1" s="60">
      <c r="A714" s="75">
        <f>Report!C948</f>
        <v/>
      </c>
      <c r="B714" s="59">
        <f>Report!E948</f>
        <v/>
      </c>
      <c r="C714" s="77">
        <f>Report!U948</f>
        <v/>
      </c>
      <c r="D714" s="59">
        <f>Report!X948</f>
        <v/>
      </c>
    </row>
    <row r="715" ht="12.75" customHeight="1" s="60">
      <c r="A715" s="75">
        <f>Report!C949</f>
        <v/>
      </c>
      <c r="B715" s="59">
        <f>Report!E949</f>
        <v/>
      </c>
      <c r="C715" s="77">
        <f>Report!U949</f>
        <v/>
      </c>
      <c r="D715" s="59">
        <f>Report!X949</f>
        <v/>
      </c>
    </row>
    <row r="716" ht="12.75" customHeight="1" s="60">
      <c r="A716" s="75">
        <f>Report!C950</f>
        <v/>
      </c>
      <c r="B716" s="59">
        <f>Report!E950</f>
        <v/>
      </c>
      <c r="C716" s="77">
        <f>Report!U950</f>
        <v/>
      </c>
      <c r="D716" s="59">
        <f>Report!X950</f>
        <v/>
      </c>
    </row>
    <row r="717" ht="12.75" customHeight="1" s="60">
      <c r="A717" s="75">
        <f>Report!C951</f>
        <v/>
      </c>
      <c r="B717" s="59">
        <f>Report!E951</f>
        <v/>
      </c>
      <c r="C717" s="77">
        <f>Report!U951</f>
        <v/>
      </c>
      <c r="D717" s="59">
        <f>Report!X951</f>
        <v/>
      </c>
    </row>
    <row r="718" ht="12.75" customHeight="1" s="60">
      <c r="A718" s="75">
        <f>Report!C952</f>
        <v/>
      </c>
      <c r="B718" s="59">
        <f>Report!E952</f>
        <v/>
      </c>
      <c r="C718" s="77">
        <f>Report!U952</f>
        <v/>
      </c>
      <c r="D718" s="59">
        <f>Report!X952</f>
        <v/>
      </c>
    </row>
    <row r="719" ht="12.75" customHeight="1" s="60">
      <c r="A719" s="75">
        <f>Report!C953</f>
        <v/>
      </c>
      <c r="B719" s="59">
        <f>Report!E953</f>
        <v/>
      </c>
      <c r="C719" s="77">
        <f>Report!U953</f>
        <v/>
      </c>
      <c r="D719" s="59">
        <f>Report!X953</f>
        <v/>
      </c>
    </row>
    <row r="720" ht="12.75" customHeight="1" s="60">
      <c r="A720" s="75">
        <f>Report!C954</f>
        <v/>
      </c>
      <c r="B720" s="59">
        <f>Report!E954</f>
        <v/>
      </c>
      <c r="C720" s="77">
        <f>Report!U954</f>
        <v/>
      </c>
      <c r="D720" s="59">
        <f>Report!X954</f>
        <v/>
      </c>
    </row>
    <row r="721" ht="12.75" customHeight="1" s="60">
      <c r="A721" s="75">
        <f>Report!C955</f>
        <v/>
      </c>
      <c r="B721" s="59">
        <f>Report!E955</f>
        <v/>
      </c>
      <c r="C721" s="77">
        <f>Report!U955</f>
        <v/>
      </c>
      <c r="D721" s="59">
        <f>Report!X955</f>
        <v/>
      </c>
    </row>
    <row r="722" ht="12.75" customHeight="1" s="60">
      <c r="A722" s="75">
        <f>Report!C956</f>
        <v/>
      </c>
      <c r="B722" s="59">
        <f>Report!E956</f>
        <v/>
      </c>
      <c r="C722" s="77">
        <f>Report!U956</f>
        <v/>
      </c>
      <c r="D722" s="59">
        <f>Report!X956</f>
        <v/>
      </c>
    </row>
    <row r="723" ht="12.75" customHeight="1" s="60">
      <c r="A723" s="75">
        <f>Report!C957</f>
        <v/>
      </c>
      <c r="B723" s="59">
        <f>Report!E957</f>
        <v/>
      </c>
      <c r="C723" s="77">
        <f>Report!U957</f>
        <v/>
      </c>
      <c r="D723" s="59">
        <f>Report!X957</f>
        <v/>
      </c>
    </row>
    <row r="724" ht="12.75" customHeight="1" s="60">
      <c r="A724" s="75">
        <f>Report!C958</f>
        <v/>
      </c>
      <c r="B724" s="59">
        <f>Report!E958</f>
        <v/>
      </c>
      <c r="C724" s="77">
        <f>Report!U958</f>
        <v/>
      </c>
      <c r="D724" s="59">
        <f>Report!X958</f>
        <v/>
      </c>
    </row>
    <row r="725" ht="12.75" customHeight="1" s="60">
      <c r="A725" s="75">
        <f>Report!C959</f>
        <v/>
      </c>
      <c r="B725" s="59">
        <f>Report!E959</f>
        <v/>
      </c>
      <c r="C725" s="77">
        <f>Report!U959</f>
        <v/>
      </c>
      <c r="D725" s="59">
        <f>Report!X959</f>
        <v/>
      </c>
    </row>
    <row r="726" ht="12.75" customHeight="1" s="60">
      <c r="A726" s="75">
        <f>Report!C960</f>
        <v/>
      </c>
      <c r="B726" s="59">
        <f>Report!E960</f>
        <v/>
      </c>
      <c r="C726" s="77">
        <f>Report!U960</f>
        <v/>
      </c>
      <c r="D726" s="59">
        <f>Report!X960</f>
        <v/>
      </c>
    </row>
    <row r="727" ht="12.75" customHeight="1" s="60">
      <c r="A727" s="75">
        <f>Report!C961</f>
        <v/>
      </c>
      <c r="B727" s="59">
        <f>Report!E961</f>
        <v/>
      </c>
      <c r="C727" s="77">
        <f>Report!U961</f>
        <v/>
      </c>
      <c r="D727" s="59">
        <f>Report!X961</f>
        <v/>
      </c>
    </row>
    <row r="728" ht="12.75" customHeight="1" s="60">
      <c r="A728" s="75">
        <f>Report!C962</f>
        <v/>
      </c>
      <c r="B728" s="59">
        <f>Report!E962</f>
        <v/>
      </c>
      <c r="C728" s="77">
        <f>Report!U962</f>
        <v/>
      </c>
      <c r="D728" s="59">
        <f>Report!X962</f>
        <v/>
      </c>
    </row>
    <row r="729" ht="12.75" customHeight="1" s="60">
      <c r="A729" s="75">
        <f>Report!C963</f>
        <v/>
      </c>
      <c r="B729" s="59">
        <f>Report!E963</f>
        <v/>
      </c>
      <c r="C729" s="77">
        <f>Report!U963</f>
        <v/>
      </c>
      <c r="D729" s="59">
        <f>Report!X963</f>
        <v/>
      </c>
    </row>
    <row r="730" ht="12.75" customHeight="1" s="60">
      <c r="A730" s="75">
        <f>Report!C964</f>
        <v/>
      </c>
      <c r="B730" s="59">
        <f>Report!E964</f>
        <v/>
      </c>
      <c r="C730" s="77">
        <f>Report!U964</f>
        <v/>
      </c>
      <c r="D730" s="59">
        <f>Report!X964</f>
        <v/>
      </c>
    </row>
    <row r="731" ht="12.75" customHeight="1" s="60">
      <c r="A731" s="75">
        <f>Report!C965</f>
        <v/>
      </c>
      <c r="B731" s="59">
        <f>Report!E965</f>
        <v/>
      </c>
      <c r="C731" s="77">
        <f>Report!U965</f>
        <v/>
      </c>
      <c r="D731" s="59">
        <f>Report!X965</f>
        <v/>
      </c>
    </row>
    <row r="732" ht="12.75" customHeight="1" s="60">
      <c r="A732" s="75">
        <f>Report!C966</f>
        <v/>
      </c>
      <c r="B732" s="59">
        <f>Report!E966</f>
        <v/>
      </c>
      <c r="C732" s="77">
        <f>Report!U966</f>
        <v/>
      </c>
      <c r="D732" s="59">
        <f>Report!X966</f>
        <v/>
      </c>
    </row>
    <row r="733" ht="12.75" customHeight="1" s="60">
      <c r="A733" s="75">
        <f>Report!C967</f>
        <v/>
      </c>
      <c r="B733" s="59">
        <f>Report!E967</f>
        <v/>
      </c>
      <c r="C733" s="77">
        <f>Report!U967</f>
        <v/>
      </c>
      <c r="D733" s="59">
        <f>Report!X967</f>
        <v/>
      </c>
    </row>
    <row r="734" ht="12.75" customHeight="1" s="60">
      <c r="A734" s="75">
        <f>Report!C968</f>
        <v/>
      </c>
      <c r="B734" s="59">
        <f>Report!E968</f>
        <v/>
      </c>
      <c r="C734" s="77">
        <f>Report!U968</f>
        <v/>
      </c>
      <c r="D734" s="59">
        <f>Report!X968</f>
        <v/>
      </c>
    </row>
    <row r="735" ht="12.75" customHeight="1" s="60">
      <c r="A735" s="75">
        <f>Report!C969</f>
        <v/>
      </c>
      <c r="B735" s="59">
        <f>Report!E969</f>
        <v/>
      </c>
      <c r="C735" s="77">
        <f>Report!U969</f>
        <v/>
      </c>
      <c r="D735" s="59">
        <f>Report!X969</f>
        <v/>
      </c>
    </row>
    <row r="736" ht="12.75" customHeight="1" s="60">
      <c r="A736" s="75">
        <f>Report!C970</f>
        <v/>
      </c>
      <c r="B736" s="59">
        <f>Report!E970</f>
        <v/>
      </c>
      <c r="C736" s="77">
        <f>Report!U970</f>
        <v/>
      </c>
      <c r="D736" s="59">
        <f>Report!X970</f>
        <v/>
      </c>
    </row>
    <row r="737" ht="12.75" customHeight="1" s="60">
      <c r="A737" s="75">
        <f>Report!C971</f>
        <v/>
      </c>
      <c r="B737" s="59">
        <f>Report!E971</f>
        <v/>
      </c>
      <c r="C737" s="77">
        <f>Report!U971</f>
        <v/>
      </c>
      <c r="D737" s="59">
        <f>Report!X971</f>
        <v/>
      </c>
    </row>
    <row r="738" ht="12.75" customHeight="1" s="60">
      <c r="A738" s="75">
        <f>Report!C972</f>
        <v/>
      </c>
      <c r="B738" s="59">
        <f>Report!E972</f>
        <v/>
      </c>
      <c r="C738" s="77">
        <f>Report!U972</f>
        <v/>
      </c>
      <c r="D738" s="59">
        <f>Report!X972</f>
        <v/>
      </c>
    </row>
    <row r="739" ht="12.75" customHeight="1" s="60">
      <c r="A739" s="75">
        <f>Report!C973</f>
        <v/>
      </c>
      <c r="B739" s="59">
        <f>Report!E973</f>
        <v/>
      </c>
      <c r="C739" s="77">
        <f>Report!U973</f>
        <v/>
      </c>
      <c r="D739" s="59">
        <f>Report!X973</f>
        <v/>
      </c>
    </row>
    <row r="740" ht="12.75" customHeight="1" s="60">
      <c r="A740" s="75">
        <f>Report!C974</f>
        <v/>
      </c>
      <c r="B740" s="59">
        <f>Report!E974</f>
        <v/>
      </c>
      <c r="C740" s="77">
        <f>Report!U974</f>
        <v/>
      </c>
      <c r="D740" s="59">
        <f>Report!X974</f>
        <v/>
      </c>
    </row>
    <row r="741" ht="12.75" customHeight="1" s="60">
      <c r="A741" s="75">
        <f>Report!C975</f>
        <v/>
      </c>
      <c r="B741" s="59">
        <f>Report!E975</f>
        <v/>
      </c>
      <c r="C741" s="77">
        <f>Report!U975</f>
        <v/>
      </c>
      <c r="D741" s="59">
        <f>Report!X975</f>
        <v/>
      </c>
    </row>
    <row r="742" ht="12.75" customHeight="1" s="60">
      <c r="A742" s="75">
        <f>Report!C976</f>
        <v/>
      </c>
      <c r="B742" s="59">
        <f>Report!E976</f>
        <v/>
      </c>
      <c r="C742" s="77">
        <f>Report!U976</f>
        <v/>
      </c>
      <c r="D742" s="59">
        <f>Report!X976</f>
        <v/>
      </c>
    </row>
    <row r="743" ht="12.75" customHeight="1" s="60">
      <c r="A743" s="75">
        <f>Report!C977</f>
        <v/>
      </c>
      <c r="B743" s="59">
        <f>Report!E977</f>
        <v/>
      </c>
      <c r="C743" s="77">
        <f>Report!U977</f>
        <v/>
      </c>
      <c r="D743" s="59">
        <f>Report!X977</f>
        <v/>
      </c>
    </row>
    <row r="744" ht="12.75" customHeight="1" s="60">
      <c r="A744" s="75">
        <f>Report!C978</f>
        <v/>
      </c>
      <c r="B744" s="59">
        <f>Report!E978</f>
        <v/>
      </c>
      <c r="C744" s="77">
        <f>Report!U978</f>
        <v/>
      </c>
      <c r="D744" s="59">
        <f>Report!X978</f>
        <v/>
      </c>
    </row>
    <row r="745" ht="12.75" customHeight="1" s="60">
      <c r="A745" s="75">
        <f>Report!C979</f>
        <v/>
      </c>
      <c r="B745" s="59">
        <f>Report!E979</f>
        <v/>
      </c>
      <c r="C745" s="77">
        <f>Report!U979</f>
        <v/>
      </c>
      <c r="D745" s="59">
        <f>Report!X979</f>
        <v/>
      </c>
    </row>
    <row r="746" ht="12.75" customHeight="1" s="60">
      <c r="A746" s="75">
        <f>Report!C980</f>
        <v/>
      </c>
      <c r="B746" s="59">
        <f>Report!E980</f>
        <v/>
      </c>
      <c r="C746" s="77">
        <f>Report!U980</f>
        <v/>
      </c>
      <c r="D746" s="59">
        <f>Report!X980</f>
        <v/>
      </c>
    </row>
    <row r="747" ht="12.75" customHeight="1" s="60">
      <c r="A747" s="75">
        <f>Report!C981</f>
        <v/>
      </c>
      <c r="B747" s="59">
        <f>Report!E981</f>
        <v/>
      </c>
      <c r="C747" s="77">
        <f>Report!U981</f>
        <v/>
      </c>
      <c r="D747" s="59">
        <f>Report!X981</f>
        <v/>
      </c>
    </row>
    <row r="748" ht="12.75" customHeight="1" s="60">
      <c r="A748" s="75">
        <f>Report!C982</f>
        <v/>
      </c>
      <c r="B748" s="59">
        <f>Report!E982</f>
        <v/>
      </c>
      <c r="C748" s="77">
        <f>Report!U982</f>
        <v/>
      </c>
      <c r="D748" s="59">
        <f>Report!X982</f>
        <v/>
      </c>
    </row>
    <row r="749" ht="12.75" customHeight="1" s="60">
      <c r="A749" s="75">
        <f>Report!C983</f>
        <v/>
      </c>
      <c r="B749" s="59">
        <f>Report!E983</f>
        <v/>
      </c>
      <c r="C749" s="77">
        <f>Report!U983</f>
        <v/>
      </c>
      <c r="D749" s="59">
        <f>Report!X983</f>
        <v/>
      </c>
    </row>
    <row r="750" ht="12.75" customHeight="1" s="60">
      <c r="A750" s="75">
        <f>Report!C984</f>
        <v/>
      </c>
      <c r="B750" s="59">
        <f>Report!E984</f>
        <v/>
      </c>
      <c r="C750" s="77">
        <f>Report!U984</f>
        <v/>
      </c>
      <c r="D750" s="59">
        <f>Report!X984</f>
        <v/>
      </c>
    </row>
    <row r="751" ht="12.75" customHeight="1" s="60">
      <c r="A751" s="75">
        <f>Report!C985</f>
        <v/>
      </c>
      <c r="B751" s="59">
        <f>Report!E985</f>
        <v/>
      </c>
      <c r="C751" s="77">
        <f>Report!U985</f>
        <v/>
      </c>
      <c r="D751" s="59">
        <f>Report!X985</f>
        <v/>
      </c>
    </row>
    <row r="752" ht="12.75" customHeight="1" s="60">
      <c r="A752" s="75">
        <f>Report!C986</f>
        <v/>
      </c>
      <c r="B752" s="59">
        <f>Report!E986</f>
        <v/>
      </c>
      <c r="C752" s="77">
        <f>Report!U986</f>
        <v/>
      </c>
      <c r="D752" s="59">
        <f>Report!X986</f>
        <v/>
      </c>
    </row>
    <row r="753" ht="12.75" customHeight="1" s="60">
      <c r="A753" s="75">
        <f>Report!C987</f>
        <v/>
      </c>
      <c r="B753" s="59">
        <f>Report!E987</f>
        <v/>
      </c>
      <c r="C753" s="77">
        <f>Report!U987</f>
        <v/>
      </c>
      <c r="D753" s="59">
        <f>Report!X987</f>
        <v/>
      </c>
    </row>
    <row r="754" ht="12.75" customHeight="1" s="60">
      <c r="A754" s="75">
        <f>Report!C990</f>
        <v/>
      </c>
      <c r="B754" s="59">
        <f>Report!E990</f>
        <v/>
      </c>
      <c r="C754" s="77">
        <f>Report!U990</f>
        <v/>
      </c>
      <c r="D754" s="59">
        <f>Report!X990</f>
        <v/>
      </c>
    </row>
    <row r="755" ht="12.75" customHeight="1" s="60">
      <c r="A755" s="75">
        <f>Report!C991</f>
        <v/>
      </c>
      <c r="B755" s="59">
        <f>Report!E991</f>
        <v/>
      </c>
      <c r="C755" s="77">
        <f>Report!U991</f>
        <v/>
      </c>
      <c r="D755" s="59">
        <f>Report!X991</f>
        <v/>
      </c>
    </row>
    <row r="756" ht="12.75" customHeight="1" s="60">
      <c r="A756" s="75">
        <f>Report!C992</f>
        <v/>
      </c>
      <c r="B756" s="59">
        <f>Report!E992</f>
        <v/>
      </c>
      <c r="C756" s="77">
        <f>Report!U992</f>
        <v/>
      </c>
      <c r="D756" s="59">
        <f>Report!X992</f>
        <v/>
      </c>
    </row>
    <row r="757" ht="12.75" customHeight="1" s="60">
      <c r="A757" s="75">
        <f>Report!C993</f>
        <v/>
      </c>
      <c r="B757" s="59">
        <f>Report!E993</f>
        <v/>
      </c>
      <c r="C757" s="77">
        <f>Report!U993</f>
        <v/>
      </c>
      <c r="D757" s="59">
        <f>Report!X993</f>
        <v/>
      </c>
    </row>
    <row r="758" ht="12.75" customHeight="1" s="60">
      <c r="A758" s="75">
        <f>Report!C994</f>
        <v/>
      </c>
      <c r="B758" s="59">
        <f>Report!E994</f>
        <v/>
      </c>
      <c r="C758" s="77">
        <f>Report!U994</f>
        <v/>
      </c>
      <c r="D758" s="59">
        <f>Report!X994</f>
        <v/>
      </c>
    </row>
    <row r="759" ht="12.75" customHeight="1" s="60">
      <c r="A759" s="75">
        <f>Report!C995</f>
        <v/>
      </c>
      <c r="B759" s="59">
        <f>Report!E995</f>
        <v/>
      </c>
      <c r="C759" s="77">
        <f>Report!U995</f>
        <v/>
      </c>
      <c r="D759" s="59">
        <f>Report!X995</f>
        <v/>
      </c>
    </row>
    <row r="760" ht="12.75" customHeight="1" s="60">
      <c r="A760" s="75">
        <f>Report!C996</f>
        <v/>
      </c>
      <c r="B760" s="59">
        <f>Report!E996</f>
        <v/>
      </c>
      <c r="C760" s="77">
        <f>Report!U996</f>
        <v/>
      </c>
      <c r="D760" s="59">
        <f>Report!X996</f>
        <v/>
      </c>
    </row>
    <row r="761" ht="12.75" customHeight="1" s="60">
      <c r="A761" s="75">
        <f>Report!C997</f>
        <v/>
      </c>
      <c r="B761" s="59">
        <f>Report!E997</f>
        <v/>
      </c>
      <c r="C761" s="77">
        <f>Report!U997</f>
        <v/>
      </c>
      <c r="D761" s="59">
        <f>Report!X997</f>
        <v/>
      </c>
    </row>
    <row r="762" ht="12.75" customHeight="1" s="60">
      <c r="A762" s="75">
        <f>Report!C998</f>
        <v/>
      </c>
      <c r="B762" s="59">
        <f>Report!E998</f>
        <v/>
      </c>
      <c r="C762" s="77">
        <f>Report!U998</f>
        <v/>
      </c>
      <c r="D762" s="59">
        <f>Report!X998</f>
        <v/>
      </c>
    </row>
    <row r="763" ht="12.75" customHeight="1" s="60">
      <c r="A763" s="75">
        <f>Report!C999</f>
        <v/>
      </c>
      <c r="B763" s="59">
        <f>Report!E999</f>
        <v/>
      </c>
      <c r="C763" s="77">
        <f>Report!U999</f>
        <v/>
      </c>
      <c r="D763" s="59">
        <f>Report!X999</f>
        <v/>
      </c>
    </row>
    <row r="764" ht="12.75" customHeight="1" s="60">
      <c r="A764" s="75">
        <f>Report!C1000</f>
        <v/>
      </c>
      <c r="B764" s="59">
        <f>Report!E1000</f>
        <v/>
      </c>
      <c r="C764" s="77">
        <f>Report!U1000</f>
        <v/>
      </c>
      <c r="D764" s="59">
        <f>Report!X1000</f>
        <v/>
      </c>
    </row>
    <row r="765" ht="12.75" customHeight="1" s="60">
      <c r="A765" s="75">
        <f>Report!C1001</f>
        <v/>
      </c>
      <c r="B765" s="59">
        <f>Report!E1001</f>
        <v/>
      </c>
      <c r="C765" s="77">
        <f>Report!U1001</f>
        <v/>
      </c>
      <c r="D765" s="59">
        <f>Report!X1001</f>
        <v/>
      </c>
    </row>
    <row r="766" ht="12.75" customHeight="1" s="60">
      <c r="A766" s="75">
        <f>Report!C1002</f>
        <v/>
      </c>
      <c r="B766" s="59">
        <f>Report!E1002</f>
        <v/>
      </c>
      <c r="C766" s="77">
        <f>Report!U1002</f>
        <v/>
      </c>
      <c r="D766" s="59">
        <f>Report!X1002</f>
        <v/>
      </c>
    </row>
    <row r="767" ht="12.75" customHeight="1" s="60">
      <c r="A767" s="75">
        <f>Report!C1003</f>
        <v/>
      </c>
      <c r="B767" s="59">
        <f>Report!E1003</f>
        <v/>
      </c>
      <c r="C767" s="77">
        <f>Report!U1003</f>
        <v/>
      </c>
      <c r="D767" s="59">
        <f>Report!X1003</f>
        <v/>
      </c>
    </row>
    <row r="768" ht="12.75" customHeight="1" s="60">
      <c r="A768" s="75">
        <f>Report!C1004</f>
        <v/>
      </c>
      <c r="B768" s="59">
        <f>Report!E1004</f>
        <v/>
      </c>
      <c r="C768" s="77">
        <f>Report!U1004</f>
        <v/>
      </c>
      <c r="D768" s="59">
        <f>Report!X1004</f>
        <v/>
      </c>
    </row>
    <row r="769" ht="12.75" customHeight="1" s="60">
      <c r="A769" s="75">
        <f>Report!C1005</f>
        <v/>
      </c>
      <c r="B769" s="59">
        <f>Report!E1005</f>
        <v/>
      </c>
      <c r="C769" s="77">
        <f>Report!U1005</f>
        <v/>
      </c>
      <c r="D769" s="59">
        <f>Report!X1005</f>
        <v/>
      </c>
    </row>
    <row r="770" ht="12.75" customHeight="1" s="60">
      <c r="A770" s="75">
        <f>Report!C1006</f>
        <v/>
      </c>
      <c r="B770" s="59">
        <f>Report!E1006</f>
        <v/>
      </c>
      <c r="C770" s="77">
        <f>Report!U1006</f>
        <v/>
      </c>
      <c r="D770" s="59">
        <f>Report!X1006</f>
        <v/>
      </c>
    </row>
    <row r="771" ht="12.75" customHeight="1" s="60">
      <c r="A771" s="75">
        <f>Report!C1007</f>
        <v/>
      </c>
      <c r="B771" s="59">
        <f>Report!E1007</f>
        <v/>
      </c>
      <c r="C771" s="77">
        <f>Report!U1007</f>
        <v/>
      </c>
      <c r="D771" s="59">
        <f>Report!X1007</f>
        <v/>
      </c>
    </row>
    <row r="772" ht="12.75" customHeight="1" s="60">
      <c r="A772" s="75">
        <f>Report!C1008</f>
        <v/>
      </c>
      <c r="B772" s="59">
        <f>Report!E1008</f>
        <v/>
      </c>
      <c r="C772" s="77">
        <f>Report!U1008</f>
        <v/>
      </c>
      <c r="D772" s="59">
        <f>Report!X1008</f>
        <v/>
      </c>
    </row>
    <row r="773" ht="12.75" customHeight="1" s="60">
      <c r="A773" s="75">
        <f>Report!C1009</f>
        <v/>
      </c>
      <c r="B773" s="59">
        <f>Report!E1009</f>
        <v/>
      </c>
      <c r="C773" s="77">
        <f>Report!U1009</f>
        <v/>
      </c>
      <c r="D773" s="59">
        <f>Report!X1009</f>
        <v/>
      </c>
    </row>
    <row r="774" ht="12.75" customHeight="1" s="60">
      <c r="A774" s="75">
        <f>Report!C1010</f>
        <v/>
      </c>
      <c r="B774" s="59">
        <f>Report!E1010</f>
        <v/>
      </c>
      <c r="C774" s="77">
        <f>Report!U1010</f>
        <v/>
      </c>
      <c r="D774" s="59">
        <f>Report!X1010</f>
        <v/>
      </c>
    </row>
    <row r="775" ht="12.75" customHeight="1" s="60">
      <c r="A775" s="75">
        <f>Report!C1011</f>
        <v/>
      </c>
      <c r="B775" s="59">
        <f>Report!E1011</f>
        <v/>
      </c>
      <c r="C775" s="77">
        <f>Report!U1011</f>
        <v/>
      </c>
      <c r="D775" s="59">
        <f>Report!X1011</f>
        <v/>
      </c>
    </row>
    <row r="776" ht="12.75" customHeight="1" s="60">
      <c r="A776" s="75">
        <f>Report!C1012</f>
        <v/>
      </c>
      <c r="B776" s="59">
        <f>Report!E1012</f>
        <v/>
      </c>
      <c r="C776" s="77">
        <f>Report!U1012</f>
        <v/>
      </c>
      <c r="D776" s="59">
        <f>Report!X1012</f>
        <v/>
      </c>
    </row>
    <row r="777" ht="12.75" customHeight="1" s="60">
      <c r="A777" s="75">
        <f>Report!C1023</f>
        <v/>
      </c>
      <c r="B777" s="59">
        <f>Report!E1023</f>
        <v/>
      </c>
      <c r="C777" s="77">
        <f>Report!U1023</f>
        <v/>
      </c>
      <c r="D777" s="59">
        <f>Report!X1023</f>
        <v/>
      </c>
    </row>
    <row r="778" ht="12.75" customHeight="1" s="60">
      <c r="A778" s="75">
        <f>Report!C1030</f>
        <v/>
      </c>
      <c r="B778" s="59">
        <f>Report!E1030</f>
        <v/>
      </c>
      <c r="C778" s="77">
        <f>Report!U1030</f>
        <v/>
      </c>
      <c r="D778" s="59">
        <f>Report!X1030</f>
        <v/>
      </c>
    </row>
    <row r="779" ht="12.75" customHeight="1" s="60">
      <c r="A779" s="75">
        <f>Report!C1032</f>
        <v/>
      </c>
      <c r="B779" s="59">
        <f>Report!E1032</f>
        <v/>
      </c>
      <c r="C779" s="77">
        <f>Report!U1032</f>
        <v/>
      </c>
      <c r="D779" s="59">
        <f>Report!X1032</f>
        <v/>
      </c>
    </row>
    <row r="780" ht="12.75" customHeight="1" s="60">
      <c r="A780" s="75">
        <f>Report!C1035</f>
        <v/>
      </c>
      <c r="B780" s="59">
        <f>Report!E1035</f>
        <v/>
      </c>
      <c r="C780" s="77">
        <f>Report!U1035</f>
        <v/>
      </c>
      <c r="D780" s="59">
        <f>Report!X1035</f>
        <v/>
      </c>
    </row>
    <row r="781" ht="12.75" customHeight="1" s="60">
      <c r="A781" s="75">
        <f>Report!C1036</f>
        <v/>
      </c>
      <c r="B781" s="59">
        <f>Report!E1036</f>
        <v/>
      </c>
      <c r="C781" s="77">
        <f>Report!U1036</f>
        <v/>
      </c>
      <c r="D781" s="59">
        <f>Report!X1036</f>
        <v/>
      </c>
    </row>
    <row r="782" ht="12.75" customHeight="1" s="60">
      <c r="A782" s="75">
        <f>Report!C1037</f>
        <v/>
      </c>
      <c r="B782" s="59">
        <f>Report!E1037</f>
        <v/>
      </c>
      <c r="C782" s="77">
        <f>Report!U1037</f>
        <v/>
      </c>
      <c r="D782" s="59">
        <f>Report!X1037</f>
        <v/>
      </c>
    </row>
    <row r="783" ht="12.75" customHeight="1" s="60">
      <c r="A783" s="75">
        <f>Report!C1038</f>
        <v/>
      </c>
      <c r="B783" s="59">
        <f>Report!E1038</f>
        <v/>
      </c>
      <c r="C783" s="77">
        <f>Report!U1038</f>
        <v/>
      </c>
      <c r="D783" s="59">
        <f>Report!X1038</f>
        <v/>
      </c>
    </row>
    <row r="784" ht="12.75" customHeight="1" s="60">
      <c r="A784" s="75">
        <f>Report!C1041</f>
        <v/>
      </c>
      <c r="B784" s="59">
        <f>Report!E1041</f>
        <v/>
      </c>
      <c r="C784" s="77">
        <f>Report!U1041</f>
        <v/>
      </c>
      <c r="D784" s="59">
        <f>Report!X1041</f>
        <v/>
      </c>
    </row>
    <row r="785" ht="12.75" customHeight="1" s="60">
      <c r="A785" s="75">
        <f>Report!C1042</f>
        <v/>
      </c>
      <c r="B785" s="59">
        <f>Report!E1042</f>
        <v/>
      </c>
      <c r="C785" s="77">
        <f>Report!U1042</f>
        <v/>
      </c>
      <c r="D785" s="59">
        <f>Report!X1042</f>
        <v/>
      </c>
    </row>
    <row r="786" ht="12.75" customHeight="1" s="60">
      <c r="A786" s="75">
        <f>Report!C1043</f>
        <v/>
      </c>
      <c r="B786" s="59">
        <f>Report!E1043</f>
        <v/>
      </c>
      <c r="C786" s="77">
        <f>Report!U1043</f>
        <v/>
      </c>
      <c r="D786" s="59">
        <f>Report!X1043</f>
        <v/>
      </c>
    </row>
    <row r="787" ht="12.75" customHeight="1" s="60">
      <c r="A787" s="75">
        <f>Report!C1044</f>
        <v/>
      </c>
      <c r="B787" s="59">
        <f>Report!E1044</f>
        <v/>
      </c>
      <c r="C787" s="77">
        <f>Report!U1044</f>
        <v/>
      </c>
      <c r="D787" s="59">
        <f>Report!X1044</f>
        <v/>
      </c>
    </row>
    <row r="788" ht="12.75" customHeight="1" s="60">
      <c r="A788" s="75">
        <f>Report!C1047</f>
        <v/>
      </c>
      <c r="B788" s="59">
        <f>Report!E1047</f>
        <v/>
      </c>
      <c r="C788" s="77">
        <f>Report!U1047</f>
        <v/>
      </c>
      <c r="D788" s="59">
        <f>Report!X1047</f>
        <v/>
      </c>
    </row>
    <row r="789" ht="12.75" customHeight="1" s="60">
      <c r="A789" s="75">
        <f>Report!C1048</f>
        <v/>
      </c>
      <c r="B789" s="59">
        <f>Report!E1048</f>
        <v/>
      </c>
      <c r="C789" s="77">
        <f>Report!U1048</f>
        <v/>
      </c>
      <c r="D789" s="59">
        <f>Report!X1048</f>
        <v/>
      </c>
    </row>
    <row r="790" ht="12.75" customHeight="1" s="60">
      <c r="A790" s="75">
        <f>Report!C1049</f>
        <v/>
      </c>
      <c r="B790" s="59">
        <f>Report!E1049</f>
        <v/>
      </c>
      <c r="C790" s="77">
        <f>Report!U1049</f>
        <v/>
      </c>
      <c r="D790" s="59">
        <f>Report!X1049</f>
        <v/>
      </c>
    </row>
    <row r="791" ht="12.75" customHeight="1" s="60">
      <c r="A791" s="75">
        <f>Report!C1050</f>
        <v/>
      </c>
      <c r="B791" s="59">
        <f>Report!E1050</f>
        <v/>
      </c>
      <c r="C791" s="77">
        <f>Report!U1050</f>
        <v/>
      </c>
      <c r="D791" s="59">
        <f>Report!X1050</f>
        <v/>
      </c>
    </row>
    <row r="792" ht="12.75" customHeight="1" s="60">
      <c r="A792" s="75">
        <f>Report!C1051</f>
        <v/>
      </c>
      <c r="B792" s="59">
        <f>Report!E1051</f>
        <v/>
      </c>
      <c r="C792" s="77">
        <f>Report!U1051</f>
        <v/>
      </c>
      <c r="D792" s="59">
        <f>Report!X1051</f>
        <v/>
      </c>
    </row>
    <row r="793" ht="12.75" customHeight="1" s="60">
      <c r="A793" s="75">
        <f>Report!C1052</f>
        <v/>
      </c>
      <c r="B793" s="59">
        <f>Report!E1052</f>
        <v/>
      </c>
      <c r="C793" s="77">
        <f>Report!U1052</f>
        <v/>
      </c>
      <c r="D793" s="59">
        <f>Report!X1052</f>
        <v/>
      </c>
    </row>
    <row r="794" ht="12.75" customHeight="1" s="60">
      <c r="A794" s="75">
        <f>Report!C1053</f>
        <v/>
      </c>
      <c r="B794" s="59">
        <f>Report!E1053</f>
        <v/>
      </c>
      <c r="C794" s="77">
        <f>Report!U1053</f>
        <v/>
      </c>
      <c r="D794" s="59">
        <f>Report!X1053</f>
        <v/>
      </c>
    </row>
    <row r="795" ht="12.75" customHeight="1" s="60">
      <c r="A795" s="75">
        <f>Report!C1054</f>
        <v/>
      </c>
      <c r="B795" s="59">
        <f>Report!E1054</f>
        <v/>
      </c>
      <c r="C795" s="77">
        <f>Report!U1054</f>
        <v/>
      </c>
      <c r="D795" s="59">
        <f>Report!X1054</f>
        <v/>
      </c>
    </row>
    <row r="796" ht="12.75" customHeight="1" s="60">
      <c r="A796" s="75">
        <f>Report!C1058</f>
        <v/>
      </c>
      <c r="B796" s="59">
        <f>Report!E1058</f>
        <v/>
      </c>
      <c r="C796" s="77">
        <f>Report!U1058</f>
        <v/>
      </c>
      <c r="D796" s="59">
        <f>Report!X1058</f>
        <v/>
      </c>
    </row>
    <row r="797" ht="12.75" customHeight="1" s="60">
      <c r="A797" s="75">
        <f>Report!C1059</f>
        <v/>
      </c>
      <c r="B797" s="59">
        <f>Report!E1059</f>
        <v/>
      </c>
      <c r="C797" s="77">
        <f>Report!U1059</f>
        <v/>
      </c>
      <c r="D797" s="59">
        <f>Report!X1059</f>
        <v/>
      </c>
    </row>
    <row r="798" ht="12.75" customHeight="1" s="60">
      <c r="A798" s="75">
        <f>Report!C1063</f>
        <v/>
      </c>
      <c r="B798" s="59">
        <f>Report!E1063</f>
        <v/>
      </c>
      <c r="C798" s="77">
        <f>Report!U1063</f>
        <v/>
      </c>
      <c r="D798" s="59">
        <f>Report!X1063</f>
        <v/>
      </c>
    </row>
    <row r="799" ht="12.75" customHeight="1" s="60">
      <c r="A799" s="75">
        <f>Report!C1083</f>
        <v/>
      </c>
      <c r="B799" s="59">
        <f>Report!E1083</f>
        <v/>
      </c>
      <c r="C799" s="77">
        <f>Report!U1083</f>
        <v/>
      </c>
      <c r="D799" s="59">
        <f>Report!X1083</f>
        <v/>
      </c>
    </row>
    <row r="800" ht="12.75" customHeight="1" s="60">
      <c r="A800" s="75">
        <f>Report!C1084</f>
        <v/>
      </c>
      <c r="B800" s="59">
        <f>Report!E1084</f>
        <v/>
      </c>
      <c r="C800" s="77">
        <f>Report!U1084</f>
        <v/>
      </c>
      <c r="D800" s="59">
        <f>Report!X1084</f>
        <v/>
      </c>
    </row>
    <row r="801" ht="12.75" customHeight="1" s="60">
      <c r="A801" s="75">
        <f>Report!C1085</f>
        <v/>
      </c>
      <c r="B801" s="59">
        <f>Report!E1085</f>
        <v/>
      </c>
      <c r="C801" s="77">
        <f>Report!U1085</f>
        <v/>
      </c>
      <c r="D801" s="59">
        <f>Report!X1085</f>
        <v/>
      </c>
    </row>
    <row r="802" ht="12.75" customHeight="1" s="60">
      <c r="A802" s="75">
        <f>Report!C1086</f>
        <v/>
      </c>
      <c r="B802" s="59">
        <f>Report!E1086</f>
        <v/>
      </c>
      <c r="C802" s="77">
        <f>Report!U1086</f>
        <v/>
      </c>
      <c r="D802" s="59">
        <f>Report!X1086</f>
        <v/>
      </c>
    </row>
    <row r="803" ht="12.75" customHeight="1" s="60">
      <c r="A803" s="75">
        <f>Report!C1087</f>
        <v/>
      </c>
      <c r="B803" s="59">
        <f>Report!E1087</f>
        <v/>
      </c>
      <c r="C803" s="77">
        <f>Report!U1087</f>
        <v/>
      </c>
      <c r="D803" s="59">
        <f>Report!X1087</f>
        <v/>
      </c>
    </row>
    <row r="804" ht="12.75" customHeight="1" s="60">
      <c r="A804" s="75">
        <f>Report!C1088</f>
        <v/>
      </c>
      <c r="B804" s="59">
        <f>Report!E1088</f>
        <v/>
      </c>
      <c r="C804" s="77">
        <f>Report!U1088</f>
        <v/>
      </c>
      <c r="D804" s="59">
        <f>Report!X1088</f>
        <v/>
      </c>
    </row>
    <row r="805" ht="12.75" customHeight="1" s="60">
      <c r="A805" s="75">
        <f>Report!C1089</f>
        <v/>
      </c>
      <c r="B805" s="59">
        <f>Report!E1089</f>
        <v/>
      </c>
      <c r="C805" s="77">
        <f>Report!U1089</f>
        <v/>
      </c>
      <c r="D805" s="59">
        <f>Report!X1089</f>
        <v/>
      </c>
    </row>
    <row r="806" ht="12.75" customHeight="1" s="60">
      <c r="A806" s="75">
        <f>Report!C1091</f>
        <v/>
      </c>
      <c r="B806" s="59">
        <f>Report!E1091</f>
        <v/>
      </c>
      <c r="C806" s="77">
        <f>Report!U1091</f>
        <v/>
      </c>
      <c r="D806" s="59">
        <f>Report!X1091</f>
        <v/>
      </c>
    </row>
    <row r="807" ht="12.75" customHeight="1" s="60">
      <c r="A807" s="75">
        <f>Report!C1092</f>
        <v/>
      </c>
      <c r="B807" s="59">
        <f>Report!E1092</f>
        <v/>
      </c>
      <c r="C807" s="77">
        <f>Report!U1092</f>
        <v/>
      </c>
      <c r="D807" s="59">
        <f>Report!X1092</f>
        <v/>
      </c>
    </row>
    <row r="808" ht="12.75" customHeight="1" s="60">
      <c r="A808" s="75">
        <f>Report!C1093</f>
        <v/>
      </c>
      <c r="B808" s="59">
        <f>Report!E1093</f>
        <v/>
      </c>
      <c r="C808" s="77">
        <f>Report!U1093</f>
        <v/>
      </c>
      <c r="D808" s="59">
        <f>Report!X1093</f>
        <v/>
      </c>
    </row>
    <row r="809" ht="12.75" customHeight="1" s="60">
      <c r="A809" s="75">
        <f>Report!C1094</f>
        <v/>
      </c>
      <c r="B809" s="59">
        <f>Report!E1094</f>
        <v/>
      </c>
      <c r="C809" s="77">
        <f>Report!U1094</f>
        <v/>
      </c>
      <c r="D809" s="59">
        <f>Report!X1094</f>
        <v/>
      </c>
    </row>
    <row r="810" ht="12.75" customHeight="1" s="60">
      <c r="A810" s="75">
        <f>Report!C1096</f>
        <v/>
      </c>
      <c r="B810" s="59">
        <f>Report!E1096</f>
        <v/>
      </c>
      <c r="C810" s="77">
        <f>Report!U1096</f>
        <v/>
      </c>
      <c r="D810" s="59">
        <f>Report!X1096</f>
        <v/>
      </c>
    </row>
    <row r="811" ht="12.75" customHeight="1" s="60">
      <c r="A811" s="75">
        <f>Report!C1097</f>
        <v/>
      </c>
      <c r="B811" s="59">
        <f>Report!E1097</f>
        <v/>
      </c>
      <c r="C811" s="77">
        <f>Report!U1097</f>
        <v/>
      </c>
      <c r="D811" s="59">
        <f>Report!X1097</f>
        <v/>
      </c>
    </row>
    <row r="812" ht="12.75" customHeight="1" s="60">
      <c r="A812" s="75">
        <f>Report!C1098</f>
        <v/>
      </c>
      <c r="B812" s="59">
        <f>Report!E1098</f>
        <v/>
      </c>
      <c r="C812" s="77">
        <f>Report!U1098</f>
        <v/>
      </c>
      <c r="D812" s="59">
        <f>Report!X1098</f>
        <v/>
      </c>
    </row>
    <row r="813" ht="12.75" customHeight="1" s="60">
      <c r="A813" s="75">
        <f>Report!C1099</f>
        <v/>
      </c>
      <c r="B813" s="59">
        <f>Report!E1099</f>
        <v/>
      </c>
      <c r="C813" s="77">
        <f>Report!U1099</f>
        <v/>
      </c>
      <c r="D813" s="59">
        <f>Report!X1099</f>
        <v/>
      </c>
    </row>
    <row r="814" ht="12.75" customHeight="1" s="60">
      <c r="A814" s="75">
        <f>Report!C1100</f>
        <v/>
      </c>
      <c r="B814" s="59">
        <f>Report!E1100</f>
        <v/>
      </c>
      <c r="C814" s="77">
        <f>Report!U1100</f>
        <v/>
      </c>
      <c r="D814" s="59">
        <f>Report!X1100</f>
        <v/>
      </c>
    </row>
    <row r="815" ht="12.75" customHeight="1" s="60">
      <c r="A815" s="75">
        <f>Report!C1103</f>
        <v/>
      </c>
      <c r="B815" s="59">
        <f>Report!E1103</f>
        <v/>
      </c>
      <c r="C815" s="77">
        <f>Report!U1103</f>
        <v/>
      </c>
      <c r="D815" s="59">
        <f>Report!X1103</f>
        <v/>
      </c>
    </row>
    <row r="816" ht="12.75" customHeight="1" s="60">
      <c r="A816" s="75">
        <f>Report!C1104</f>
        <v/>
      </c>
      <c r="B816" s="59">
        <f>Report!E1104</f>
        <v/>
      </c>
      <c r="C816" s="77">
        <f>Report!U1104</f>
        <v/>
      </c>
      <c r="D816" s="59">
        <f>Report!X1104</f>
        <v/>
      </c>
    </row>
    <row r="817" ht="12.75" customHeight="1" s="60">
      <c r="A817" s="75">
        <f>Report!C1105</f>
        <v/>
      </c>
      <c r="B817" s="59">
        <f>Report!E1105</f>
        <v/>
      </c>
      <c r="C817" s="77">
        <f>Report!U1105</f>
        <v/>
      </c>
      <c r="D817" s="59">
        <f>Report!X1105</f>
        <v/>
      </c>
    </row>
    <row r="818" ht="12.75" customHeight="1" s="60">
      <c r="A818" s="75">
        <f>Report!C1106</f>
        <v/>
      </c>
      <c r="B818" s="59">
        <f>Report!E1106</f>
        <v/>
      </c>
      <c r="C818" s="77">
        <f>Report!U1106</f>
        <v/>
      </c>
      <c r="D818" s="59">
        <f>Report!X1106</f>
        <v/>
      </c>
    </row>
    <row r="819" ht="12.75" customHeight="1" s="60">
      <c r="A819" s="75">
        <f>Report!C1107</f>
        <v/>
      </c>
      <c r="B819" s="59">
        <f>Report!E1107</f>
        <v/>
      </c>
      <c r="C819" s="77">
        <f>Report!U1107</f>
        <v/>
      </c>
      <c r="D819" s="59">
        <f>Report!X1107</f>
        <v/>
      </c>
    </row>
    <row r="820" ht="12.75" customHeight="1" s="60">
      <c r="A820" s="75">
        <f>Report!C1108</f>
        <v/>
      </c>
      <c r="B820" s="59">
        <f>Report!E1108</f>
        <v/>
      </c>
      <c r="C820" s="77">
        <f>Report!U1108</f>
        <v/>
      </c>
      <c r="D820" s="59">
        <f>Report!X1108</f>
        <v/>
      </c>
    </row>
    <row r="821" ht="12.75" customHeight="1" s="60">
      <c r="A821" s="75">
        <f>Report!C1109</f>
        <v/>
      </c>
      <c r="B821" s="59">
        <f>Report!E1109</f>
        <v/>
      </c>
      <c r="C821" s="77">
        <f>Report!U1109</f>
        <v/>
      </c>
      <c r="D821" s="59">
        <f>Report!X1109</f>
        <v/>
      </c>
    </row>
    <row r="822" ht="12.75" customHeight="1" s="60">
      <c r="A822" s="75">
        <f>Report!C1110</f>
        <v/>
      </c>
      <c r="B822" s="59">
        <f>Report!E1110</f>
        <v/>
      </c>
      <c r="C822" s="77">
        <f>Report!U1110</f>
        <v/>
      </c>
      <c r="D822" s="59">
        <f>Report!X1110</f>
        <v/>
      </c>
    </row>
    <row r="823" ht="12.75" customHeight="1" s="60">
      <c r="A823" s="75">
        <f>Report!C1111</f>
        <v/>
      </c>
      <c r="B823" s="59">
        <f>Report!E1111</f>
        <v/>
      </c>
      <c r="C823" s="77">
        <f>Report!U1111</f>
        <v/>
      </c>
      <c r="D823" s="59">
        <f>Report!X1111</f>
        <v/>
      </c>
    </row>
    <row r="824" ht="12.75" customHeight="1" s="60">
      <c r="A824" s="75">
        <f>Report!C1112</f>
        <v/>
      </c>
      <c r="B824" s="59">
        <f>Report!E1112</f>
        <v/>
      </c>
      <c r="C824" s="77">
        <f>Report!U1112</f>
        <v/>
      </c>
      <c r="D824" s="59">
        <f>Report!X1112</f>
        <v/>
      </c>
    </row>
    <row r="825" ht="12.75" customHeight="1" s="60">
      <c r="A825" s="75">
        <f>Report!C1114</f>
        <v/>
      </c>
      <c r="B825" s="59">
        <f>Report!E1114</f>
        <v/>
      </c>
      <c r="C825" s="77">
        <f>Report!U1114</f>
        <v/>
      </c>
      <c r="D825" s="59">
        <f>Report!X1114</f>
        <v/>
      </c>
    </row>
    <row r="826" ht="12.75" customHeight="1" s="60">
      <c r="A826" s="75">
        <f>Report!C1115</f>
        <v/>
      </c>
      <c r="B826" s="59">
        <f>Report!E1115</f>
        <v/>
      </c>
      <c r="C826" s="77">
        <f>Report!U1115</f>
        <v/>
      </c>
      <c r="D826" s="59">
        <f>Report!X1115</f>
        <v/>
      </c>
    </row>
    <row r="827" ht="12.75" customHeight="1" s="60">
      <c r="A827" s="75">
        <f>Report!C1116</f>
        <v/>
      </c>
      <c r="B827" s="59">
        <f>Report!E1116</f>
        <v/>
      </c>
      <c r="C827" s="77">
        <f>Report!U1116</f>
        <v/>
      </c>
      <c r="D827" s="59">
        <f>Report!X1116</f>
        <v/>
      </c>
    </row>
    <row r="828" ht="12.75" customHeight="1" s="60">
      <c r="A828" s="75">
        <f>Report!C1117</f>
        <v/>
      </c>
      <c r="B828" s="59">
        <f>Report!E1117</f>
        <v/>
      </c>
      <c r="C828" s="77">
        <f>Report!U1117</f>
        <v/>
      </c>
      <c r="D828" s="59">
        <f>Report!X1117</f>
        <v/>
      </c>
    </row>
    <row r="829" ht="12.75" customHeight="1" s="60">
      <c r="A829" s="75">
        <f>Report!C1118</f>
        <v/>
      </c>
      <c r="B829" s="59">
        <f>Report!E1118</f>
        <v/>
      </c>
      <c r="C829" s="77">
        <f>Report!U1118</f>
        <v/>
      </c>
      <c r="D829" s="59">
        <f>Report!X1118</f>
        <v/>
      </c>
    </row>
    <row r="830" ht="12.75" customHeight="1" s="60">
      <c r="A830" s="75">
        <f>Report!C1119</f>
        <v/>
      </c>
      <c r="B830" s="59">
        <f>Report!E1119</f>
        <v/>
      </c>
      <c r="C830" s="77">
        <f>Report!U1119</f>
        <v/>
      </c>
      <c r="D830" s="59">
        <f>Report!X1119</f>
        <v/>
      </c>
    </row>
    <row r="831" ht="12.75" customHeight="1" s="60">
      <c r="A831" s="75">
        <f>Report!C1120</f>
        <v/>
      </c>
      <c r="B831" s="59">
        <f>Report!E1120</f>
        <v/>
      </c>
      <c r="C831" s="77">
        <f>Report!U1120</f>
        <v/>
      </c>
      <c r="D831" s="59">
        <f>Report!X1120</f>
        <v/>
      </c>
    </row>
    <row r="832" ht="12.75" customHeight="1" s="60">
      <c r="A832" s="75">
        <f>Report!C1121</f>
        <v/>
      </c>
      <c r="B832" s="59">
        <f>Report!E1121</f>
        <v/>
      </c>
      <c r="C832" s="77">
        <f>Report!U1121</f>
        <v/>
      </c>
      <c r="D832" s="59">
        <f>Report!X1121</f>
        <v/>
      </c>
    </row>
    <row r="833" ht="12.75" customHeight="1" s="60">
      <c r="A833" s="75">
        <f>Report!C1122</f>
        <v/>
      </c>
      <c r="B833" s="59">
        <f>Report!E1122</f>
        <v/>
      </c>
      <c r="C833" s="77">
        <f>Report!U1122</f>
        <v/>
      </c>
      <c r="D833" s="59">
        <f>Report!X1122</f>
        <v/>
      </c>
    </row>
    <row r="834" ht="12.75" customHeight="1" s="60">
      <c r="A834" s="75">
        <f>Report!C1123</f>
        <v/>
      </c>
      <c r="B834" s="59">
        <f>Report!E1123</f>
        <v/>
      </c>
      <c r="C834" s="77">
        <f>Report!U1123</f>
        <v/>
      </c>
      <c r="D834" s="59">
        <f>Report!X1123</f>
        <v/>
      </c>
    </row>
    <row r="835" ht="12.75" customHeight="1" s="60">
      <c r="A835" s="75">
        <f>Report!C1124</f>
        <v/>
      </c>
      <c r="B835" s="59">
        <f>Report!E1124</f>
        <v/>
      </c>
      <c r="C835" s="77">
        <f>Report!U1124</f>
        <v/>
      </c>
      <c r="D835" s="59">
        <f>Report!X1124</f>
        <v/>
      </c>
    </row>
    <row r="836" ht="12.75" customHeight="1" s="60">
      <c r="A836" s="75">
        <f>Report!C1125</f>
        <v/>
      </c>
      <c r="B836" s="59">
        <f>Report!E1125</f>
        <v/>
      </c>
      <c r="C836" s="77">
        <f>Report!U1125</f>
        <v/>
      </c>
      <c r="D836" s="59">
        <f>Report!X1125</f>
        <v/>
      </c>
    </row>
    <row r="837" ht="12.75" customHeight="1" s="60">
      <c r="A837" s="75">
        <f>Report!C1128</f>
        <v/>
      </c>
      <c r="B837" s="59">
        <f>Report!E1128</f>
        <v/>
      </c>
      <c r="C837" s="77">
        <f>Report!U1128</f>
        <v/>
      </c>
      <c r="D837" s="59">
        <f>Report!X1128</f>
        <v/>
      </c>
    </row>
    <row r="838" ht="12.75" customHeight="1" s="60">
      <c r="A838" s="75">
        <f>Report!C1129</f>
        <v/>
      </c>
      <c r="B838" s="59">
        <f>Report!E1129</f>
        <v/>
      </c>
      <c r="C838" s="77">
        <f>Report!U1129</f>
        <v/>
      </c>
      <c r="D838" s="59">
        <f>Report!X1129</f>
        <v/>
      </c>
    </row>
    <row r="839" ht="12.75" customHeight="1" s="60">
      <c r="A839" s="75">
        <f>Report!C1130</f>
        <v/>
      </c>
      <c r="B839" s="59">
        <f>Report!E1130</f>
        <v/>
      </c>
      <c r="C839" s="77">
        <f>Report!U1130</f>
        <v/>
      </c>
      <c r="D839" s="59">
        <f>Report!X1130</f>
        <v/>
      </c>
    </row>
    <row r="840" ht="12.75" customHeight="1" s="60">
      <c r="A840" s="75">
        <f>Report!C1131</f>
        <v/>
      </c>
      <c r="B840" s="59">
        <f>Report!E1131</f>
        <v/>
      </c>
      <c r="C840" s="77">
        <f>Report!U1131</f>
        <v/>
      </c>
      <c r="D840" s="59">
        <f>Report!X1131</f>
        <v/>
      </c>
    </row>
    <row r="841" ht="12.75" customHeight="1" s="60">
      <c r="A841" s="75">
        <f>Report!C1132</f>
        <v/>
      </c>
      <c r="B841" s="59">
        <f>Report!E1132</f>
        <v/>
      </c>
      <c r="C841" s="77">
        <f>Report!U1132</f>
        <v/>
      </c>
      <c r="D841" s="59">
        <f>Report!X1132</f>
        <v/>
      </c>
    </row>
    <row r="842" ht="12.75" customHeight="1" s="60">
      <c r="A842" s="75">
        <f>Report!C1137</f>
        <v/>
      </c>
      <c r="B842" s="59">
        <f>Report!E1137</f>
        <v/>
      </c>
      <c r="C842" s="77">
        <f>Report!U1137</f>
        <v/>
      </c>
      <c r="D842" s="59">
        <f>Report!X1137</f>
        <v/>
      </c>
    </row>
    <row r="843" ht="12.75" customHeight="1" s="60">
      <c r="A843" s="75">
        <f>Report!C1139</f>
        <v/>
      </c>
      <c r="B843" s="59">
        <f>Report!E1139</f>
        <v/>
      </c>
      <c r="C843" s="77">
        <f>Report!U1139</f>
        <v/>
      </c>
      <c r="D843" s="59">
        <f>Report!X1139</f>
        <v/>
      </c>
    </row>
    <row r="844" ht="12.75" customHeight="1" s="60">
      <c r="A844" s="75">
        <f>Report!C1140</f>
        <v/>
      </c>
      <c r="B844" s="59">
        <f>Report!E1140</f>
        <v/>
      </c>
      <c r="C844" s="77">
        <f>Report!U1140</f>
        <v/>
      </c>
      <c r="D844" s="59">
        <f>Report!X1140</f>
        <v/>
      </c>
    </row>
    <row r="845" ht="12.75" customHeight="1" s="60">
      <c r="A845" s="75">
        <f>Report!C1141</f>
        <v/>
      </c>
      <c r="B845" s="59">
        <f>Report!E1141</f>
        <v/>
      </c>
      <c r="C845" s="77">
        <f>Report!U1141</f>
        <v/>
      </c>
      <c r="D845" s="59">
        <f>Report!X1141</f>
        <v/>
      </c>
    </row>
    <row r="846" ht="12.75" customHeight="1" s="60">
      <c r="A846" s="75">
        <f>Report!C1142</f>
        <v/>
      </c>
      <c r="B846" s="59">
        <f>Report!E1142</f>
        <v/>
      </c>
      <c r="C846" s="77">
        <f>Report!U1142</f>
        <v/>
      </c>
      <c r="D846" s="59">
        <f>Report!X1142</f>
        <v/>
      </c>
    </row>
    <row r="847" ht="12.75" customHeight="1" s="60">
      <c r="A847" s="75">
        <f>Report!C1143</f>
        <v/>
      </c>
      <c r="B847" s="59">
        <f>Report!E1143</f>
        <v/>
      </c>
      <c r="C847" s="77">
        <f>Report!U1143</f>
        <v/>
      </c>
      <c r="D847" s="59">
        <f>Report!X1143</f>
        <v/>
      </c>
    </row>
    <row r="848" ht="12.75" customHeight="1" s="60">
      <c r="A848" s="75">
        <f>Report!C1145</f>
        <v/>
      </c>
      <c r="B848" s="59">
        <f>Report!E1145</f>
        <v/>
      </c>
      <c r="C848" s="77">
        <f>Report!U1145</f>
        <v/>
      </c>
      <c r="D848" s="59">
        <f>Report!X1145</f>
        <v/>
      </c>
    </row>
    <row r="849" ht="12.75" customHeight="1" s="60">
      <c r="A849" s="75">
        <f>Report!C1146</f>
        <v/>
      </c>
      <c r="B849" s="59">
        <f>Report!E1146</f>
        <v/>
      </c>
      <c r="C849" s="77">
        <f>Report!U1146</f>
        <v/>
      </c>
      <c r="D849" s="59">
        <f>Report!X1146</f>
        <v/>
      </c>
    </row>
    <row r="850" ht="12.75" customHeight="1" s="60">
      <c r="A850" s="75">
        <f>Report!C1147</f>
        <v/>
      </c>
      <c r="B850" s="59">
        <f>Report!E1147</f>
        <v/>
      </c>
      <c r="C850" s="77">
        <f>Report!U1147</f>
        <v/>
      </c>
      <c r="D850" s="59">
        <f>Report!X1147</f>
        <v/>
      </c>
    </row>
    <row r="851" ht="12.75" customHeight="1" s="60">
      <c r="A851" s="75">
        <f>Report!C1148</f>
        <v/>
      </c>
      <c r="B851" s="59">
        <f>Report!E1148</f>
        <v/>
      </c>
      <c r="C851" s="77">
        <f>Report!U1148</f>
        <v/>
      </c>
      <c r="D851" s="59">
        <f>Report!X1148</f>
        <v/>
      </c>
    </row>
    <row r="852" ht="12.75" customHeight="1" s="60">
      <c r="A852" s="75">
        <f>Report!C1149</f>
        <v/>
      </c>
      <c r="B852" s="59">
        <f>Report!E1149</f>
        <v/>
      </c>
      <c r="C852" s="77">
        <f>Report!U1149</f>
        <v/>
      </c>
      <c r="D852" s="59">
        <f>Report!X1149</f>
        <v/>
      </c>
    </row>
    <row r="853" ht="12.75" customHeight="1" s="60">
      <c r="A853" s="75">
        <f>Report!C1150</f>
        <v/>
      </c>
      <c r="B853" s="59">
        <f>Report!E1150</f>
        <v/>
      </c>
      <c r="C853" s="77">
        <f>Report!U1150</f>
        <v/>
      </c>
      <c r="D853" s="59">
        <f>Report!X1150</f>
        <v/>
      </c>
    </row>
    <row r="854" ht="12.75" customHeight="1" s="60">
      <c r="A854" s="75">
        <f>Report!C1151</f>
        <v/>
      </c>
      <c r="B854" s="59">
        <f>Report!E1151</f>
        <v/>
      </c>
      <c r="C854" s="77">
        <f>Report!U1151</f>
        <v/>
      </c>
      <c r="D854" s="59">
        <f>Report!X1151</f>
        <v/>
      </c>
    </row>
    <row r="855" ht="12.75" customHeight="1" s="60">
      <c r="A855" s="75">
        <f>Report!C1152</f>
        <v/>
      </c>
      <c r="B855" s="59">
        <f>Report!E1152</f>
        <v/>
      </c>
      <c r="C855" s="77">
        <f>Report!U1152</f>
        <v/>
      </c>
      <c r="D855" s="59">
        <f>Report!X1152</f>
        <v/>
      </c>
    </row>
    <row r="856" ht="12.75" customHeight="1" s="60">
      <c r="A856" s="75">
        <f>Report!C1153</f>
        <v/>
      </c>
      <c r="B856" s="59">
        <f>Report!E1153</f>
        <v/>
      </c>
      <c r="C856" s="77">
        <f>Report!U1153</f>
        <v/>
      </c>
      <c r="D856" s="59">
        <f>Report!X1153</f>
        <v/>
      </c>
    </row>
    <row r="857" ht="12.75" customHeight="1" s="60">
      <c r="A857" s="75">
        <f>Report!C1154</f>
        <v/>
      </c>
      <c r="B857" s="59">
        <f>Report!E1154</f>
        <v/>
      </c>
      <c r="C857" s="77">
        <f>Report!U1154</f>
        <v/>
      </c>
      <c r="D857" s="59">
        <f>Report!X1154</f>
        <v/>
      </c>
    </row>
    <row r="858" ht="12.75" customHeight="1" s="60">
      <c r="A858" s="75">
        <f>Report!C1155</f>
        <v/>
      </c>
      <c r="B858" s="59">
        <f>Report!E1155</f>
        <v/>
      </c>
      <c r="C858" s="77">
        <f>Report!U1155</f>
        <v/>
      </c>
      <c r="D858" s="59">
        <f>Report!X1155</f>
        <v/>
      </c>
    </row>
    <row r="859" ht="12.75" customHeight="1" s="60">
      <c r="A859" s="75">
        <f>Report!C1156</f>
        <v/>
      </c>
      <c r="B859" s="59">
        <f>Report!E1156</f>
        <v/>
      </c>
      <c r="C859" s="77">
        <f>Report!U1156</f>
        <v/>
      </c>
      <c r="D859" s="59">
        <f>Report!X1156</f>
        <v/>
      </c>
    </row>
    <row r="860" ht="12.75" customHeight="1" s="60">
      <c r="A860" s="75">
        <f>Report!C1157</f>
        <v/>
      </c>
      <c r="B860" s="59">
        <f>Report!E1157</f>
        <v/>
      </c>
      <c r="C860" s="77">
        <f>Report!U1157</f>
        <v/>
      </c>
      <c r="D860" s="59">
        <f>Report!X1157</f>
        <v/>
      </c>
    </row>
    <row r="861" ht="12.75" customHeight="1" s="60">
      <c r="A861" s="75">
        <f>Report!C1158</f>
        <v/>
      </c>
      <c r="B861" s="59">
        <f>Report!E1158</f>
        <v/>
      </c>
      <c r="C861" s="77">
        <f>Report!U1158</f>
        <v/>
      </c>
      <c r="D861" s="59">
        <f>Report!X1158</f>
        <v/>
      </c>
    </row>
    <row r="862" ht="12.75" customHeight="1" s="60">
      <c r="A862" s="75">
        <f>Report!C1159</f>
        <v/>
      </c>
      <c r="B862" s="59">
        <f>Report!E1159</f>
        <v/>
      </c>
      <c r="C862" s="77">
        <f>Report!U1159</f>
        <v/>
      </c>
      <c r="D862" s="59">
        <f>Report!X1159</f>
        <v/>
      </c>
    </row>
    <row r="863" ht="12.75" customHeight="1" s="60">
      <c r="A863" s="75">
        <f>Report!C1160</f>
        <v/>
      </c>
      <c r="B863" s="59">
        <f>Report!E1160</f>
        <v/>
      </c>
      <c r="C863" s="77">
        <f>Report!U1160</f>
        <v/>
      </c>
      <c r="D863" s="59">
        <f>Report!X1160</f>
        <v/>
      </c>
    </row>
    <row r="864" ht="12.75" customHeight="1" s="60">
      <c r="A864" s="75">
        <f>Report!C1161</f>
        <v/>
      </c>
      <c r="B864" s="59">
        <f>Report!E1161</f>
        <v/>
      </c>
      <c r="C864" s="77">
        <f>Report!U1161</f>
        <v/>
      </c>
      <c r="D864" s="59">
        <f>Report!X1161</f>
        <v/>
      </c>
    </row>
    <row r="865" ht="12.75" customHeight="1" s="60">
      <c r="A865" s="75">
        <f>Report!C1163</f>
        <v/>
      </c>
      <c r="B865" s="59">
        <f>Report!E1163</f>
        <v/>
      </c>
      <c r="C865" s="77">
        <f>Report!U1163</f>
        <v/>
      </c>
      <c r="D865" s="59">
        <f>Report!X1163</f>
        <v/>
      </c>
    </row>
    <row r="866" ht="12.75" customHeight="1" s="60">
      <c r="A866" s="75">
        <f>Report!C1165</f>
        <v/>
      </c>
      <c r="B866" s="59">
        <f>Report!E1165</f>
        <v/>
      </c>
      <c r="C866" s="77">
        <f>Report!U1165</f>
        <v/>
      </c>
      <c r="D866" s="59">
        <f>Report!X1165</f>
        <v/>
      </c>
    </row>
    <row r="867" ht="12.75" customHeight="1" s="60">
      <c r="A867" s="75">
        <f>Report!C1166</f>
        <v/>
      </c>
      <c r="B867" s="59">
        <f>Report!E1166</f>
        <v/>
      </c>
      <c r="C867" s="77">
        <f>Report!U1166</f>
        <v/>
      </c>
      <c r="D867" s="59">
        <f>Report!X1166</f>
        <v/>
      </c>
    </row>
    <row r="868" ht="12.75" customHeight="1" s="60">
      <c r="A868" s="75">
        <f>Report!C1172</f>
        <v/>
      </c>
      <c r="B868" s="59">
        <f>Report!E1172</f>
        <v/>
      </c>
      <c r="C868" s="77">
        <f>Report!U1172</f>
        <v/>
      </c>
      <c r="D868" s="59">
        <f>Report!X1172</f>
        <v/>
      </c>
    </row>
    <row r="869" ht="12.75" customHeight="1" s="60">
      <c r="A869" s="75">
        <f>Report!C1173</f>
        <v/>
      </c>
      <c r="B869" s="59">
        <f>Report!E1173</f>
        <v/>
      </c>
      <c r="C869" s="77">
        <f>Report!U1173</f>
        <v/>
      </c>
      <c r="D869" s="59">
        <f>Report!X1173</f>
        <v/>
      </c>
    </row>
    <row r="870" ht="12.75" customHeight="1" s="60">
      <c r="A870" s="75">
        <f>Report!C1174</f>
        <v/>
      </c>
      <c r="B870" s="59">
        <f>Report!E1174</f>
        <v/>
      </c>
      <c r="C870" s="77">
        <f>Report!U1174</f>
        <v/>
      </c>
      <c r="D870" s="59">
        <f>Report!X1174</f>
        <v/>
      </c>
    </row>
    <row r="871" ht="12.75" customHeight="1" s="60">
      <c r="A871" s="75">
        <f>Report!C1175</f>
        <v/>
      </c>
      <c r="B871" s="59">
        <f>Report!E1175</f>
        <v/>
      </c>
      <c r="C871" s="77">
        <f>Report!U1175</f>
        <v/>
      </c>
      <c r="D871" s="59">
        <f>Report!X1175</f>
        <v/>
      </c>
    </row>
    <row r="872" ht="12.75" customHeight="1" s="60">
      <c r="A872" s="75">
        <f>Report!C1176</f>
        <v/>
      </c>
      <c r="B872" s="59">
        <f>Report!E1176</f>
        <v/>
      </c>
      <c r="C872" s="77">
        <f>Report!U1176</f>
        <v/>
      </c>
      <c r="D872" s="59">
        <f>Report!X1176</f>
        <v/>
      </c>
    </row>
    <row r="873" ht="12.75" customHeight="1" s="60">
      <c r="A873" s="75">
        <f>Report!C1177</f>
        <v/>
      </c>
      <c r="B873" s="59">
        <f>Report!E1177</f>
        <v/>
      </c>
      <c r="C873" s="77">
        <f>Report!U1177</f>
        <v/>
      </c>
      <c r="D873" s="59">
        <f>Report!X1177</f>
        <v/>
      </c>
    </row>
    <row r="874" ht="12.75" customHeight="1" s="60">
      <c r="A874" s="75">
        <f>Report!C1178</f>
        <v/>
      </c>
      <c r="B874" s="59">
        <f>Report!E1178</f>
        <v/>
      </c>
      <c r="C874" s="77">
        <f>Report!U1178</f>
        <v/>
      </c>
      <c r="D874" s="59">
        <f>Report!X1178</f>
        <v/>
      </c>
    </row>
    <row r="875" ht="12.75" customHeight="1" s="60">
      <c r="A875" s="75">
        <f>Report!C1179</f>
        <v/>
      </c>
      <c r="B875" s="59">
        <f>Report!E1179</f>
        <v/>
      </c>
      <c r="C875" s="77">
        <f>Report!U1179</f>
        <v/>
      </c>
      <c r="D875" s="59">
        <f>Report!X1179</f>
        <v/>
      </c>
    </row>
    <row r="876" ht="12.75" customHeight="1" s="60">
      <c r="A876" s="75">
        <f>Report!C1180</f>
        <v/>
      </c>
      <c r="B876" s="59">
        <f>Report!E1180</f>
        <v/>
      </c>
      <c r="C876" s="77">
        <f>Report!U1180</f>
        <v/>
      </c>
      <c r="D876" s="59">
        <f>Report!X1180</f>
        <v/>
      </c>
    </row>
    <row r="877" ht="12.75" customHeight="1" s="60">
      <c r="A877" s="75">
        <f>Report!C1181</f>
        <v/>
      </c>
      <c r="B877" s="59">
        <f>Report!E1181</f>
        <v/>
      </c>
      <c r="C877" s="77">
        <f>Report!U1181</f>
        <v/>
      </c>
      <c r="D877" s="59">
        <f>Report!X1181</f>
        <v/>
      </c>
    </row>
    <row r="878" ht="12.75" customHeight="1" s="60">
      <c r="A878" s="75">
        <f>Report!C1182</f>
        <v/>
      </c>
      <c r="B878" s="59">
        <f>Report!E1182</f>
        <v/>
      </c>
      <c r="C878" s="77">
        <f>Report!U1182</f>
        <v/>
      </c>
      <c r="D878" s="59">
        <f>Report!X1182</f>
        <v/>
      </c>
    </row>
    <row r="879" ht="12.75" customHeight="1" s="60">
      <c r="A879" s="75">
        <f>Report!C1183</f>
        <v/>
      </c>
      <c r="B879" s="59">
        <f>Report!E1183</f>
        <v/>
      </c>
      <c r="C879" s="77">
        <f>Report!U1183</f>
        <v/>
      </c>
      <c r="D879" s="59">
        <f>Report!X1183</f>
        <v/>
      </c>
    </row>
    <row r="880" ht="12.75" customHeight="1" s="60">
      <c r="A880" s="75">
        <f>Report!C1184</f>
        <v/>
      </c>
      <c r="B880" s="59">
        <f>Report!E1184</f>
        <v/>
      </c>
      <c r="C880" s="77">
        <f>Report!U1184</f>
        <v/>
      </c>
      <c r="D880" s="59">
        <f>Report!X1184</f>
        <v/>
      </c>
    </row>
    <row r="881" ht="12.75" customHeight="1" s="60">
      <c r="A881" s="75">
        <f>Report!C1185</f>
        <v/>
      </c>
      <c r="B881" s="59">
        <f>Report!E1185</f>
        <v/>
      </c>
      <c r="C881" s="77">
        <f>Report!U1185</f>
        <v/>
      </c>
      <c r="D881" s="59">
        <f>Report!X1185</f>
        <v/>
      </c>
    </row>
    <row r="882" ht="12.75" customHeight="1" s="60">
      <c r="A882" s="75">
        <f>Report!C1187</f>
        <v/>
      </c>
      <c r="B882" s="59">
        <f>Report!E1187</f>
        <v/>
      </c>
      <c r="C882" s="77">
        <f>Report!U1187</f>
        <v/>
      </c>
      <c r="D882" s="59">
        <f>Report!X1187</f>
        <v/>
      </c>
    </row>
    <row r="883" ht="12.75" customHeight="1" s="60">
      <c r="A883" s="75">
        <f>Report!C1188</f>
        <v/>
      </c>
      <c r="B883" s="59">
        <f>Report!E1188</f>
        <v/>
      </c>
      <c r="C883" s="77">
        <f>Report!U1188</f>
        <v/>
      </c>
      <c r="D883" s="59">
        <f>Report!X1188</f>
        <v/>
      </c>
    </row>
    <row r="884" ht="12.75" customHeight="1" s="60">
      <c r="A884" s="75">
        <f>Report!C1189</f>
        <v/>
      </c>
      <c r="B884" s="59">
        <f>Report!E1189</f>
        <v/>
      </c>
      <c r="C884" s="77">
        <f>Report!U1189</f>
        <v/>
      </c>
      <c r="D884" s="59">
        <f>Report!X1189</f>
        <v/>
      </c>
    </row>
    <row r="885" ht="12.75" customHeight="1" s="60">
      <c r="A885" s="75">
        <f>Report!C1190</f>
        <v/>
      </c>
      <c r="B885" s="59">
        <f>Report!E1190</f>
        <v/>
      </c>
      <c r="C885" s="77">
        <f>Report!U1190</f>
        <v/>
      </c>
      <c r="D885" s="59">
        <f>Report!X1190</f>
        <v/>
      </c>
    </row>
    <row r="886" ht="12.75" customHeight="1" s="60">
      <c r="A886" s="75">
        <f>Report!C1191</f>
        <v/>
      </c>
      <c r="B886" s="59">
        <f>Report!E1191</f>
        <v/>
      </c>
      <c r="C886" s="77">
        <f>Report!U1191</f>
        <v/>
      </c>
      <c r="D886" s="59">
        <f>Report!X1191</f>
        <v/>
      </c>
    </row>
    <row r="887" ht="12.75" customHeight="1" s="60">
      <c r="A887" s="75">
        <f>Report!C1192</f>
        <v/>
      </c>
      <c r="B887" s="59">
        <f>Report!E1192</f>
        <v/>
      </c>
      <c r="C887" s="77">
        <f>Report!U1192</f>
        <v/>
      </c>
      <c r="D887" s="59">
        <f>Report!X1192</f>
        <v/>
      </c>
    </row>
    <row r="888" ht="12.75" customHeight="1" s="60">
      <c r="A888" s="75">
        <f>Report!C1193</f>
        <v/>
      </c>
      <c r="B888" s="59">
        <f>Report!E1193</f>
        <v/>
      </c>
      <c r="C888" s="77">
        <f>Report!U1193</f>
        <v/>
      </c>
      <c r="D888" s="59">
        <f>Report!X1193</f>
        <v/>
      </c>
    </row>
    <row r="889" ht="12.75" customHeight="1" s="60">
      <c r="A889" s="75">
        <f>Report!C1194</f>
        <v/>
      </c>
      <c r="B889" s="59">
        <f>Report!E1194</f>
        <v/>
      </c>
      <c r="C889" s="77">
        <f>Report!U1194</f>
        <v/>
      </c>
      <c r="D889" s="59">
        <f>Report!X1194</f>
        <v/>
      </c>
    </row>
    <row r="890" ht="12.75" customHeight="1" s="60">
      <c r="A890" s="75">
        <f>Report!C1195</f>
        <v/>
      </c>
      <c r="B890" s="59">
        <f>Report!E1195</f>
        <v/>
      </c>
      <c r="C890" s="77">
        <f>Report!U1195</f>
        <v/>
      </c>
      <c r="D890" s="59">
        <f>Report!X1195</f>
        <v/>
      </c>
    </row>
    <row r="891" ht="12.75" customHeight="1" s="60">
      <c r="A891" s="75">
        <f>Report!C1196</f>
        <v/>
      </c>
      <c r="B891" s="59">
        <f>Report!E1196</f>
        <v/>
      </c>
      <c r="C891" s="77">
        <f>Report!U1196</f>
        <v/>
      </c>
      <c r="D891" s="59">
        <f>Report!X1196</f>
        <v/>
      </c>
    </row>
    <row r="892" ht="12.75" customHeight="1" s="60">
      <c r="A892" s="75">
        <f>Report!C1197</f>
        <v/>
      </c>
      <c r="B892" s="59">
        <f>Report!E1197</f>
        <v/>
      </c>
      <c r="C892" s="77">
        <f>Report!U1197</f>
        <v/>
      </c>
      <c r="D892" s="59">
        <f>Report!X1197</f>
        <v/>
      </c>
    </row>
    <row r="893" ht="12.75" customHeight="1" s="60">
      <c r="A893" s="75">
        <f>Report!C1198</f>
        <v/>
      </c>
      <c r="B893" s="59">
        <f>Report!E1198</f>
        <v/>
      </c>
      <c r="C893" s="77">
        <f>Report!U1198</f>
        <v/>
      </c>
      <c r="D893" s="59">
        <f>Report!X1198</f>
        <v/>
      </c>
    </row>
    <row r="894" ht="12.75" customHeight="1" s="60">
      <c r="A894" s="75">
        <f>Report!C1202</f>
        <v/>
      </c>
      <c r="B894" s="59">
        <f>Report!E1202</f>
        <v/>
      </c>
      <c r="C894" s="77">
        <f>Report!U1202</f>
        <v/>
      </c>
      <c r="D894" s="59">
        <f>Report!X1202</f>
        <v/>
      </c>
    </row>
    <row r="895" ht="12.75" customHeight="1" s="60">
      <c r="A895" s="75">
        <f>Report!C1203</f>
        <v/>
      </c>
      <c r="B895" s="59">
        <f>Report!E1203</f>
        <v/>
      </c>
      <c r="C895" s="77">
        <f>Report!U1203</f>
        <v/>
      </c>
      <c r="D895" s="59">
        <f>Report!X1203</f>
        <v/>
      </c>
    </row>
    <row r="896" ht="12.75" customHeight="1" s="60">
      <c r="A896" s="75">
        <f>Report!C1204</f>
        <v/>
      </c>
      <c r="B896" s="59">
        <f>Report!E1204</f>
        <v/>
      </c>
      <c r="C896" s="77">
        <f>Report!U1204</f>
        <v/>
      </c>
      <c r="D896" s="59">
        <f>Report!X1204</f>
        <v/>
      </c>
    </row>
    <row r="897" ht="12.75" customHeight="1" s="60">
      <c r="A897" s="75">
        <f>Report!C1205</f>
        <v/>
      </c>
      <c r="B897" s="59">
        <f>Report!E1205</f>
        <v/>
      </c>
      <c r="C897" s="77">
        <f>Report!U1205</f>
        <v/>
      </c>
      <c r="D897" s="59">
        <f>Report!X1205</f>
        <v/>
      </c>
    </row>
    <row r="898" ht="12.75" customHeight="1" s="60">
      <c r="A898" s="75">
        <f>Report!C1206</f>
        <v/>
      </c>
      <c r="B898" s="59">
        <f>Report!E1206</f>
        <v/>
      </c>
      <c r="C898" s="77">
        <f>Report!U1206</f>
        <v/>
      </c>
      <c r="D898" s="59">
        <f>Report!X1206</f>
        <v/>
      </c>
    </row>
    <row r="899" ht="12.75" customHeight="1" s="60">
      <c r="A899" s="75">
        <f>Report!C1207</f>
        <v/>
      </c>
      <c r="B899" s="59">
        <f>Report!E1207</f>
        <v/>
      </c>
      <c r="C899" s="77">
        <f>Report!U1207</f>
        <v/>
      </c>
      <c r="D899" s="59">
        <f>Report!X1207</f>
        <v/>
      </c>
    </row>
    <row r="900" ht="12.75" customHeight="1" s="60">
      <c r="A900" s="75">
        <f>Report!C1208</f>
        <v/>
      </c>
      <c r="B900" s="59">
        <f>Report!E1208</f>
        <v/>
      </c>
      <c r="C900" s="77">
        <f>Report!U1208</f>
        <v/>
      </c>
      <c r="D900" s="59">
        <f>Report!X1208</f>
        <v/>
      </c>
    </row>
    <row r="901" ht="12.75" customHeight="1" s="60">
      <c r="A901" s="75">
        <f>Report!C1209</f>
        <v/>
      </c>
      <c r="B901" s="59">
        <f>Report!E1209</f>
        <v/>
      </c>
      <c r="C901" s="77">
        <f>Report!U1209</f>
        <v/>
      </c>
      <c r="D901" s="59">
        <f>Report!X1209</f>
        <v/>
      </c>
    </row>
    <row r="902" ht="12.75" customHeight="1" s="60">
      <c r="A902" s="75">
        <f>Report!C1210</f>
        <v/>
      </c>
      <c r="B902" s="59">
        <f>Report!E1210</f>
        <v/>
      </c>
      <c r="C902" s="77">
        <f>Report!U1210</f>
        <v/>
      </c>
      <c r="D902" s="59">
        <f>Report!X1210</f>
        <v/>
      </c>
    </row>
    <row r="903" ht="12.75" customHeight="1" s="60">
      <c r="A903" s="75">
        <f>Report!C1211</f>
        <v/>
      </c>
      <c r="B903" s="59">
        <f>Report!E1211</f>
        <v/>
      </c>
      <c r="C903" s="77">
        <f>Report!U1211</f>
        <v/>
      </c>
      <c r="D903" s="59">
        <f>Report!X1211</f>
        <v/>
      </c>
    </row>
    <row r="904" ht="12.75" customHeight="1" s="60">
      <c r="A904" s="75">
        <f>Report!C1212</f>
        <v/>
      </c>
      <c r="B904" s="59">
        <f>Report!E1212</f>
        <v/>
      </c>
      <c r="C904" s="77">
        <f>Report!U1212</f>
        <v/>
      </c>
      <c r="D904" s="59">
        <f>Report!X1212</f>
        <v/>
      </c>
    </row>
    <row r="905" ht="12.75" customHeight="1" s="60">
      <c r="A905" s="75">
        <f>Report!C1213</f>
        <v/>
      </c>
      <c r="B905" s="59">
        <f>Report!E1213</f>
        <v/>
      </c>
      <c r="C905" s="77">
        <f>Report!U1213</f>
        <v/>
      </c>
      <c r="D905" s="59">
        <f>Report!X1213</f>
        <v/>
      </c>
    </row>
    <row r="906" ht="12.75" customHeight="1" s="60">
      <c r="A906" s="75">
        <f>Report!C1214</f>
        <v/>
      </c>
      <c r="B906" s="59">
        <f>Report!E1214</f>
        <v/>
      </c>
      <c r="C906" s="77">
        <f>Report!U1214</f>
        <v/>
      </c>
      <c r="D906" s="59">
        <f>Report!X1214</f>
        <v/>
      </c>
    </row>
    <row r="907" ht="12.75" customHeight="1" s="60">
      <c r="A907" s="75">
        <f>Report!C1215</f>
        <v/>
      </c>
      <c r="B907" s="59">
        <f>Report!E1215</f>
        <v/>
      </c>
      <c r="C907" s="77">
        <f>Report!U1215</f>
        <v/>
      </c>
      <c r="D907" s="59">
        <f>Report!X1215</f>
        <v/>
      </c>
    </row>
    <row r="908" ht="12.75" customHeight="1" s="60">
      <c r="A908" s="75">
        <f>Report!C1216</f>
        <v/>
      </c>
      <c r="B908" s="59">
        <f>Report!E1216</f>
        <v/>
      </c>
      <c r="C908" s="77">
        <f>Report!U1216</f>
        <v/>
      </c>
      <c r="D908" s="59">
        <f>Report!X1216</f>
        <v/>
      </c>
    </row>
    <row r="909" ht="12.75" customHeight="1" s="60">
      <c r="A909" s="75">
        <f>Report!C1217</f>
        <v/>
      </c>
      <c r="B909" s="59">
        <f>Report!E1217</f>
        <v/>
      </c>
      <c r="C909" s="77">
        <f>Report!U1217</f>
        <v/>
      </c>
      <c r="D909" s="59">
        <f>Report!X1217</f>
        <v/>
      </c>
    </row>
    <row r="910" ht="12.75" customHeight="1" s="60">
      <c r="A910" s="75">
        <f>Report!C1218</f>
        <v/>
      </c>
      <c r="B910" s="59">
        <f>Report!E1218</f>
        <v/>
      </c>
      <c r="C910" s="77">
        <f>Report!U1218</f>
        <v/>
      </c>
      <c r="D910" s="59">
        <f>Report!X1218</f>
        <v/>
      </c>
    </row>
    <row r="911" ht="12.75" customHeight="1" s="60">
      <c r="A911" s="75">
        <f>Report!C1219</f>
        <v/>
      </c>
      <c r="B911" s="59">
        <f>Report!E1219</f>
        <v/>
      </c>
      <c r="C911" s="77">
        <f>Report!U1219</f>
        <v/>
      </c>
      <c r="D911" s="59">
        <f>Report!X1219</f>
        <v/>
      </c>
    </row>
    <row r="912" ht="12.75" customHeight="1" s="60">
      <c r="A912" s="75">
        <f>Report!C1220</f>
        <v/>
      </c>
      <c r="B912" s="59">
        <f>Report!E1220</f>
        <v/>
      </c>
      <c r="C912" s="77">
        <f>Report!U1220</f>
        <v/>
      </c>
      <c r="D912" s="59">
        <f>Report!X1220</f>
        <v/>
      </c>
    </row>
    <row r="913" ht="12.75" customHeight="1" s="60">
      <c r="A913" s="75">
        <f>Report!C1221</f>
        <v/>
      </c>
      <c r="B913" s="59">
        <f>Report!E1221</f>
        <v/>
      </c>
      <c r="C913" s="77">
        <f>Report!U1221</f>
        <v/>
      </c>
      <c r="D913" s="59">
        <f>Report!X1221</f>
        <v/>
      </c>
    </row>
    <row r="914" ht="12.75" customHeight="1" s="60">
      <c r="A914" s="75">
        <f>Report!C1222</f>
        <v/>
      </c>
      <c r="B914" s="59">
        <f>Report!E1222</f>
        <v/>
      </c>
      <c r="C914" s="77">
        <f>Report!U1222</f>
        <v/>
      </c>
      <c r="D914" s="59">
        <f>Report!X1222</f>
        <v/>
      </c>
    </row>
    <row r="915" ht="12.75" customHeight="1" s="60">
      <c r="A915" s="75">
        <f>Report!C1223</f>
        <v/>
      </c>
      <c r="B915" s="59">
        <f>Report!E1223</f>
        <v/>
      </c>
      <c r="C915" s="77">
        <f>Report!U1223</f>
        <v/>
      </c>
      <c r="D915" s="59">
        <f>Report!X1223</f>
        <v/>
      </c>
    </row>
    <row r="916" ht="12.75" customHeight="1" s="60">
      <c r="A916" s="75">
        <f>Report!C1224</f>
        <v/>
      </c>
      <c r="B916" s="59">
        <f>Report!E1224</f>
        <v/>
      </c>
      <c r="C916" s="77">
        <f>Report!U1224</f>
        <v/>
      </c>
      <c r="D916" s="59">
        <f>Report!X1224</f>
        <v/>
      </c>
    </row>
    <row r="917" ht="12.75" customHeight="1" s="60">
      <c r="A917" s="75">
        <f>Report!C1225</f>
        <v/>
      </c>
      <c r="B917" s="59">
        <f>Report!E1225</f>
        <v/>
      </c>
      <c r="C917" s="77">
        <f>Report!U1225</f>
        <v/>
      </c>
      <c r="D917" s="59">
        <f>Report!X1225</f>
        <v/>
      </c>
    </row>
    <row r="918" ht="12.75" customHeight="1" s="60">
      <c r="A918" s="75">
        <f>Report!C1226</f>
        <v/>
      </c>
      <c r="B918" s="59">
        <f>Report!E1226</f>
        <v/>
      </c>
      <c r="C918" s="77">
        <f>Report!U1226</f>
        <v/>
      </c>
      <c r="D918" s="59">
        <f>Report!X1226</f>
        <v/>
      </c>
    </row>
    <row r="919" ht="12.75" customHeight="1" s="60">
      <c r="A919" s="75">
        <f>Report!C1227</f>
        <v/>
      </c>
      <c r="B919" s="59">
        <f>Report!E1227</f>
        <v/>
      </c>
      <c r="C919" s="77">
        <f>Report!U1227</f>
        <v/>
      </c>
      <c r="D919" s="59">
        <f>Report!X1227</f>
        <v/>
      </c>
    </row>
    <row r="920" ht="12.75" customHeight="1" s="60">
      <c r="A920" s="75">
        <f>Report!C1228</f>
        <v/>
      </c>
      <c r="B920" s="59">
        <f>Report!E1228</f>
        <v/>
      </c>
      <c r="C920" s="77">
        <f>Report!U1228</f>
        <v/>
      </c>
      <c r="D920" s="59">
        <f>Report!X1228</f>
        <v/>
      </c>
    </row>
    <row r="921" ht="12.75" customHeight="1" s="60">
      <c r="A921" s="75">
        <f>Report!C1232</f>
        <v/>
      </c>
      <c r="B921" s="59">
        <f>Report!E1232</f>
        <v/>
      </c>
      <c r="C921" s="77">
        <f>Report!U1232</f>
        <v/>
      </c>
      <c r="D921" s="59">
        <f>Report!X1232</f>
        <v/>
      </c>
    </row>
    <row r="922" ht="12.75" customHeight="1" s="60">
      <c r="A922" s="75">
        <f>Report!C1233</f>
        <v/>
      </c>
      <c r="B922" s="59">
        <f>Report!E1233</f>
        <v/>
      </c>
      <c r="C922" s="77">
        <f>Report!U1233</f>
        <v/>
      </c>
      <c r="D922" s="59">
        <f>Report!X1233</f>
        <v/>
      </c>
    </row>
    <row r="923" ht="12.75" customHeight="1" s="60">
      <c r="A923" s="75">
        <f>Report!C1235</f>
        <v/>
      </c>
      <c r="B923" s="59">
        <f>Report!E1235</f>
        <v/>
      </c>
      <c r="C923" s="77">
        <f>Report!U1235</f>
        <v/>
      </c>
      <c r="D923" s="59">
        <f>Report!X1235</f>
        <v/>
      </c>
    </row>
    <row r="924" ht="12.75" customHeight="1" s="60">
      <c r="A924" s="75">
        <f>Report!C1236</f>
        <v/>
      </c>
      <c r="B924" s="59">
        <f>Report!E1236</f>
        <v/>
      </c>
      <c r="C924" s="77">
        <f>Report!U1236</f>
        <v/>
      </c>
      <c r="D924" s="59">
        <f>Report!X1236</f>
        <v/>
      </c>
    </row>
    <row r="925" ht="12.75" customHeight="1" s="60">
      <c r="A925" s="75">
        <f>Report!C1237</f>
        <v/>
      </c>
      <c r="B925" s="59">
        <f>Report!E1237</f>
        <v/>
      </c>
      <c r="C925" s="77">
        <f>Report!U1237</f>
        <v/>
      </c>
      <c r="D925" s="59">
        <f>Report!X1237</f>
        <v/>
      </c>
    </row>
    <row r="926" ht="12.75" customHeight="1" s="60">
      <c r="A926" s="75">
        <f>Report!C1238</f>
        <v/>
      </c>
      <c r="B926" s="59">
        <f>Report!E1238</f>
        <v/>
      </c>
      <c r="C926" s="77">
        <f>Report!U1238</f>
        <v/>
      </c>
      <c r="D926" s="59">
        <f>Report!X1238</f>
        <v/>
      </c>
    </row>
    <row r="927" ht="12.75" customHeight="1" s="60">
      <c r="A927" s="75">
        <f>Report!C1239</f>
        <v/>
      </c>
      <c r="B927" s="59">
        <f>Report!E1239</f>
        <v/>
      </c>
      <c r="C927" s="77">
        <f>Report!U1239</f>
        <v/>
      </c>
      <c r="D927" s="59">
        <f>Report!X1239</f>
        <v/>
      </c>
    </row>
    <row r="928" ht="12.75" customHeight="1" s="60">
      <c r="A928" s="75">
        <f>Report!C1240</f>
        <v/>
      </c>
      <c r="B928" s="59">
        <f>Report!E1240</f>
        <v/>
      </c>
      <c r="C928" s="77">
        <f>Report!U1240</f>
        <v/>
      </c>
      <c r="D928" s="59">
        <f>Report!X1240</f>
        <v/>
      </c>
    </row>
    <row r="929" ht="12.75" customHeight="1" s="60">
      <c r="A929" s="75">
        <f>Report!C1241</f>
        <v/>
      </c>
      <c r="B929" s="59">
        <f>Report!E1241</f>
        <v/>
      </c>
      <c r="C929" s="77">
        <f>Report!U1241</f>
        <v/>
      </c>
      <c r="D929" s="59">
        <f>Report!X1241</f>
        <v/>
      </c>
    </row>
    <row r="930" ht="12.75" customHeight="1" s="60">
      <c r="A930" s="75">
        <f>Report!C1242</f>
        <v/>
      </c>
      <c r="B930" s="59">
        <f>Report!E1242</f>
        <v/>
      </c>
      <c r="C930" s="77">
        <f>Report!U1242</f>
        <v/>
      </c>
      <c r="D930" s="59">
        <f>Report!X1242</f>
        <v/>
      </c>
    </row>
    <row r="931" ht="12.75" customHeight="1" s="60">
      <c r="A931" s="75">
        <f>Report!C1243</f>
        <v/>
      </c>
      <c r="B931" s="59">
        <f>Report!E1243</f>
        <v/>
      </c>
      <c r="C931" s="77">
        <f>Report!U1243</f>
        <v/>
      </c>
      <c r="D931" s="59">
        <f>Report!X1243</f>
        <v/>
      </c>
    </row>
    <row r="932" ht="12.75" customHeight="1" s="60">
      <c r="A932" s="75">
        <f>Report!C1244</f>
        <v/>
      </c>
      <c r="B932" s="59">
        <f>Report!E1244</f>
        <v/>
      </c>
      <c r="C932" s="77">
        <f>Report!U1244</f>
        <v/>
      </c>
      <c r="D932" s="59">
        <f>Report!X1244</f>
        <v/>
      </c>
    </row>
    <row r="933" ht="12.75" customHeight="1" s="60">
      <c r="A933" s="75">
        <f>Report!C1245</f>
        <v/>
      </c>
      <c r="B933" s="59">
        <f>Report!E1245</f>
        <v/>
      </c>
      <c r="C933" s="77">
        <f>Report!U1245</f>
        <v/>
      </c>
      <c r="D933" s="59">
        <f>Report!X1245</f>
        <v/>
      </c>
    </row>
    <row r="934" ht="12.75" customHeight="1" s="60">
      <c r="A934" s="75">
        <f>Report!C1246</f>
        <v/>
      </c>
      <c r="B934" s="59">
        <f>Report!E1246</f>
        <v/>
      </c>
      <c r="C934" s="77">
        <f>Report!U1246</f>
        <v/>
      </c>
      <c r="D934" s="59">
        <f>Report!X1246</f>
        <v/>
      </c>
    </row>
    <row r="935" ht="12.75" customHeight="1" s="60">
      <c r="A935" s="75">
        <f>Report!C1247</f>
        <v/>
      </c>
      <c r="B935" s="59">
        <f>Report!E1247</f>
        <v/>
      </c>
      <c r="C935" s="77">
        <f>Report!U1247</f>
        <v/>
      </c>
      <c r="D935" s="59">
        <f>Report!X1247</f>
        <v/>
      </c>
    </row>
    <row r="936" ht="12.75" customHeight="1" s="60">
      <c r="A936" s="75">
        <f>Report!C1248</f>
        <v/>
      </c>
      <c r="B936" s="59">
        <f>Report!E1248</f>
        <v/>
      </c>
      <c r="C936" s="77">
        <f>Report!U1248</f>
        <v/>
      </c>
      <c r="D936" s="59">
        <f>Report!X1248</f>
        <v/>
      </c>
    </row>
    <row r="937" ht="12.75" customHeight="1" s="60">
      <c r="A937" s="75">
        <f>Report!C1249</f>
        <v/>
      </c>
      <c r="B937" s="59">
        <f>Report!E1249</f>
        <v/>
      </c>
      <c r="C937" s="77">
        <f>Report!U1249</f>
        <v/>
      </c>
      <c r="D937" s="59">
        <f>Report!X1249</f>
        <v/>
      </c>
    </row>
    <row r="938" ht="12.75" customHeight="1" s="60">
      <c r="A938" s="75">
        <f>Report!C1250</f>
        <v/>
      </c>
      <c r="B938" s="59">
        <f>Report!E1250</f>
        <v/>
      </c>
      <c r="C938" s="77">
        <f>Report!U1250</f>
        <v/>
      </c>
      <c r="D938" s="59">
        <f>Report!X1250</f>
        <v/>
      </c>
    </row>
    <row r="939" ht="12.75" customHeight="1" s="60">
      <c r="A939" s="75">
        <f>Report!C1252</f>
        <v/>
      </c>
      <c r="B939" s="59">
        <f>Report!E1252</f>
        <v/>
      </c>
      <c r="C939" s="77">
        <f>Report!U1252</f>
        <v/>
      </c>
      <c r="D939" s="59">
        <f>Report!X1252</f>
        <v/>
      </c>
    </row>
    <row r="940" ht="12.75" customHeight="1" s="60">
      <c r="A940" s="75">
        <f>Report!C1253</f>
        <v/>
      </c>
      <c r="B940" s="59">
        <f>Report!E1253</f>
        <v/>
      </c>
      <c r="C940" s="77">
        <f>Report!U1253</f>
        <v/>
      </c>
      <c r="D940" s="59">
        <f>Report!X1253</f>
        <v/>
      </c>
    </row>
    <row r="941" ht="12.75" customHeight="1" s="60">
      <c r="A941" s="75">
        <f>Report!C1254</f>
        <v/>
      </c>
      <c r="B941" s="59">
        <f>Report!E1254</f>
        <v/>
      </c>
      <c r="C941" s="77">
        <f>Report!U1254</f>
        <v/>
      </c>
      <c r="D941" s="59">
        <f>Report!X1254</f>
        <v/>
      </c>
    </row>
    <row r="942" ht="12.75" customHeight="1" s="60">
      <c r="A942" s="75">
        <f>Report!C1255</f>
        <v/>
      </c>
      <c r="B942" s="59">
        <f>Report!E1255</f>
        <v/>
      </c>
      <c r="C942" s="77">
        <f>Report!U1255</f>
        <v/>
      </c>
      <c r="D942" s="59">
        <f>Report!X1255</f>
        <v/>
      </c>
    </row>
    <row r="943" ht="12.75" customHeight="1" s="60">
      <c r="A943" s="75">
        <f>Report!C1256</f>
        <v/>
      </c>
      <c r="B943" s="59">
        <f>Report!E1256</f>
        <v/>
      </c>
      <c r="C943" s="77">
        <f>Report!U1256</f>
        <v/>
      </c>
      <c r="D943" s="59">
        <f>Report!X1256</f>
        <v/>
      </c>
    </row>
    <row r="944" ht="12.75" customHeight="1" s="60">
      <c r="A944" s="75">
        <f>Report!C1257</f>
        <v/>
      </c>
      <c r="B944" s="59">
        <f>Report!E1257</f>
        <v/>
      </c>
      <c r="C944" s="77">
        <f>Report!U1257</f>
        <v/>
      </c>
      <c r="D944" s="59">
        <f>Report!X1257</f>
        <v/>
      </c>
    </row>
    <row r="945" ht="12.75" customHeight="1" s="60">
      <c r="A945" s="75">
        <f>Report!C1258</f>
        <v/>
      </c>
      <c r="B945" s="59">
        <f>Report!E1258</f>
        <v/>
      </c>
      <c r="C945" s="77">
        <f>Report!U1258</f>
        <v/>
      </c>
      <c r="D945" s="59">
        <f>Report!X1258</f>
        <v/>
      </c>
    </row>
    <row r="946" ht="12.75" customHeight="1" s="60">
      <c r="A946" s="75">
        <f>Report!C1259</f>
        <v/>
      </c>
      <c r="B946" s="59">
        <f>Report!E1259</f>
        <v/>
      </c>
      <c r="C946" s="77">
        <f>Report!U1259</f>
        <v/>
      </c>
      <c r="D946" s="59">
        <f>Report!X1259</f>
        <v/>
      </c>
    </row>
    <row r="947" ht="12.75" customHeight="1" s="60">
      <c r="A947" s="75">
        <f>Report!C1260</f>
        <v/>
      </c>
      <c r="B947" s="59">
        <f>Report!E1260</f>
        <v/>
      </c>
      <c r="C947" s="77">
        <f>Report!U1260</f>
        <v/>
      </c>
      <c r="D947" s="59">
        <f>Report!X1260</f>
        <v/>
      </c>
    </row>
    <row r="948" ht="12.75" customHeight="1" s="60">
      <c r="A948" s="75">
        <f>Report!C1261</f>
        <v/>
      </c>
      <c r="B948" s="59">
        <f>Report!E1261</f>
        <v/>
      </c>
      <c r="C948" s="77">
        <f>Report!U1261</f>
        <v/>
      </c>
      <c r="D948" s="59">
        <f>Report!X1261</f>
        <v/>
      </c>
    </row>
    <row r="949" ht="12.75" customHeight="1" s="60">
      <c r="A949" s="75">
        <f>Report!C1263</f>
        <v/>
      </c>
      <c r="B949" s="59">
        <f>Report!E1263</f>
        <v/>
      </c>
      <c r="C949" s="77">
        <f>Report!U1263</f>
        <v/>
      </c>
      <c r="D949" s="59">
        <f>Report!X1263</f>
        <v/>
      </c>
    </row>
    <row r="950" ht="12.75" customHeight="1" s="60">
      <c r="A950" s="75">
        <f>Report!C1265</f>
        <v/>
      </c>
      <c r="B950" s="59">
        <f>Report!E1265</f>
        <v/>
      </c>
      <c r="C950" s="77">
        <f>Report!U1265</f>
        <v/>
      </c>
      <c r="D950" s="59">
        <f>Report!X1265</f>
        <v/>
      </c>
    </row>
    <row r="951" ht="12.75" customHeight="1" s="60">
      <c r="A951" s="75">
        <f>Report!C1266</f>
        <v/>
      </c>
      <c r="B951" s="59">
        <f>Report!E1266</f>
        <v/>
      </c>
      <c r="C951" s="77">
        <f>Report!U1266</f>
        <v/>
      </c>
      <c r="D951" s="59">
        <f>Report!X1266</f>
        <v/>
      </c>
    </row>
    <row r="952" ht="12.75" customHeight="1" s="60">
      <c r="A952" s="75">
        <f>Report!C1267</f>
        <v/>
      </c>
      <c r="B952" s="59">
        <f>Report!E1267</f>
        <v/>
      </c>
      <c r="C952" s="77">
        <f>Report!U1267</f>
        <v/>
      </c>
      <c r="D952" s="59">
        <f>Report!X1267</f>
        <v/>
      </c>
    </row>
    <row r="953" ht="12.75" customHeight="1" s="60">
      <c r="A953" s="75">
        <f>Report!C1268</f>
        <v/>
      </c>
      <c r="B953" s="59">
        <f>Report!E1268</f>
        <v/>
      </c>
      <c r="C953" s="77">
        <f>Report!U1268</f>
        <v/>
      </c>
      <c r="D953" s="59">
        <f>Report!X1268</f>
        <v/>
      </c>
    </row>
    <row r="954" ht="12.75" customHeight="1" s="60">
      <c r="A954" s="75">
        <f>Report!C1269</f>
        <v/>
      </c>
      <c r="B954" s="59">
        <f>Report!E1269</f>
        <v/>
      </c>
      <c r="C954" s="77">
        <f>Report!U1269</f>
        <v/>
      </c>
      <c r="D954" s="59">
        <f>Report!X1269</f>
        <v/>
      </c>
    </row>
    <row r="955" ht="12.75" customHeight="1" s="60">
      <c r="A955" s="75">
        <f>Report!C1270</f>
        <v/>
      </c>
      <c r="B955" s="59">
        <f>Report!E1270</f>
        <v/>
      </c>
      <c r="C955" s="77">
        <f>Report!U1270</f>
        <v/>
      </c>
      <c r="D955" s="59">
        <f>Report!X1270</f>
        <v/>
      </c>
    </row>
    <row r="956" ht="12.75" customHeight="1" s="60">
      <c r="A956" s="75">
        <f>Report!C1271</f>
        <v/>
      </c>
      <c r="B956" s="59">
        <f>Report!E1271</f>
        <v/>
      </c>
      <c r="C956" s="77">
        <f>Report!U1271</f>
        <v/>
      </c>
      <c r="D956" s="59">
        <f>Report!X1271</f>
        <v/>
      </c>
    </row>
    <row r="957" ht="12.75" customHeight="1" s="60">
      <c r="A957" s="75">
        <f>Report!C1272</f>
        <v/>
      </c>
      <c r="B957" s="59">
        <f>Report!E1272</f>
        <v/>
      </c>
      <c r="C957" s="77">
        <f>Report!U1272</f>
        <v/>
      </c>
      <c r="D957" s="59">
        <f>Report!X1272</f>
        <v/>
      </c>
    </row>
    <row r="958" ht="12.75" customHeight="1" s="60">
      <c r="A958" s="75">
        <f>Report!C1273</f>
        <v/>
      </c>
      <c r="B958" s="59">
        <f>Report!E1273</f>
        <v/>
      </c>
      <c r="C958" s="77">
        <f>Report!U1273</f>
        <v/>
      </c>
      <c r="D958" s="59">
        <f>Report!X1273</f>
        <v/>
      </c>
    </row>
    <row r="959" ht="12.75" customHeight="1" s="60">
      <c r="A959" s="75">
        <f>Report!C1274</f>
        <v/>
      </c>
      <c r="B959" s="59">
        <f>Report!E1274</f>
        <v/>
      </c>
      <c r="C959" s="77">
        <f>Report!U1274</f>
        <v/>
      </c>
      <c r="D959" s="59">
        <f>Report!X1274</f>
        <v/>
      </c>
    </row>
    <row r="960" ht="12.75" customHeight="1" s="60">
      <c r="A960" s="75">
        <f>Report!C1275</f>
        <v/>
      </c>
      <c r="B960" s="59">
        <f>Report!E1275</f>
        <v/>
      </c>
      <c r="C960" s="77">
        <f>Report!U1275</f>
        <v/>
      </c>
      <c r="D960" s="59">
        <f>Report!X1275</f>
        <v/>
      </c>
    </row>
    <row r="961" ht="12.75" customHeight="1" s="60">
      <c r="A961" s="75">
        <f>Report!C1276</f>
        <v/>
      </c>
      <c r="B961" s="59">
        <f>Report!E1276</f>
        <v/>
      </c>
      <c r="C961" s="77">
        <f>Report!U1276</f>
        <v/>
      </c>
      <c r="D961" s="59">
        <f>Report!X1276</f>
        <v/>
      </c>
    </row>
    <row r="962" ht="12.75" customHeight="1" s="60">
      <c r="A962" s="75">
        <f>Report!C1277</f>
        <v/>
      </c>
      <c r="B962" s="59">
        <f>Report!E1277</f>
        <v/>
      </c>
      <c r="C962" s="77">
        <f>Report!U1277</f>
        <v/>
      </c>
      <c r="D962" s="59">
        <f>Report!X1277</f>
        <v/>
      </c>
    </row>
    <row r="963" ht="12.75" customHeight="1" s="60">
      <c r="A963" s="75">
        <f>Report!C1278</f>
        <v/>
      </c>
      <c r="B963" s="59">
        <f>Report!E1278</f>
        <v/>
      </c>
      <c r="C963" s="77">
        <f>Report!U1278</f>
        <v/>
      </c>
      <c r="D963" s="59">
        <f>Report!X1278</f>
        <v/>
      </c>
    </row>
    <row r="964" ht="12.75" customHeight="1" s="60">
      <c r="A964" s="75">
        <f>Report!C1279</f>
        <v/>
      </c>
      <c r="B964" s="59">
        <f>Report!E1279</f>
        <v/>
      </c>
      <c r="C964" s="77">
        <f>Report!U1279</f>
        <v/>
      </c>
      <c r="D964" s="59">
        <f>Report!X1279</f>
        <v/>
      </c>
    </row>
    <row r="965" ht="12.75" customHeight="1" s="60">
      <c r="A965" s="75">
        <f>Report!C1280</f>
        <v/>
      </c>
      <c r="B965" s="59">
        <f>Report!E1280</f>
        <v/>
      </c>
      <c r="C965" s="77">
        <f>Report!U1280</f>
        <v/>
      </c>
      <c r="D965" s="59">
        <f>Report!X1280</f>
        <v/>
      </c>
    </row>
    <row r="966" ht="12.75" customHeight="1" s="60">
      <c r="A966" s="75">
        <f>Report!C1283</f>
        <v/>
      </c>
      <c r="B966" s="59">
        <f>Report!E1283</f>
        <v/>
      </c>
      <c r="C966" s="77">
        <f>Report!U1283</f>
        <v/>
      </c>
      <c r="D966" s="59">
        <f>Report!X1283</f>
        <v/>
      </c>
    </row>
    <row r="967" ht="12.75" customHeight="1" s="60">
      <c r="A967" s="75">
        <f>Report!C1284</f>
        <v/>
      </c>
      <c r="B967" s="59">
        <f>Report!E1284</f>
        <v/>
      </c>
      <c r="C967" s="77">
        <f>Report!U1284</f>
        <v/>
      </c>
      <c r="D967" s="59">
        <f>Report!X1284</f>
        <v/>
      </c>
    </row>
    <row r="968" ht="12.75" customHeight="1" s="60">
      <c r="A968" s="75">
        <f>Report!C1285</f>
        <v/>
      </c>
      <c r="B968" s="59">
        <f>Report!E1285</f>
        <v/>
      </c>
      <c r="C968" s="77">
        <f>Report!U1285</f>
        <v/>
      </c>
      <c r="D968" s="59">
        <f>Report!X1285</f>
        <v/>
      </c>
    </row>
    <row r="969" ht="12.75" customHeight="1" s="60">
      <c r="A969" s="75">
        <f>Report!C1286</f>
        <v/>
      </c>
      <c r="B969" s="59">
        <f>Report!E1286</f>
        <v/>
      </c>
      <c r="C969" s="77">
        <f>Report!U1286</f>
        <v/>
      </c>
      <c r="D969" s="59">
        <f>Report!X1286</f>
        <v/>
      </c>
    </row>
    <row r="970" ht="12.75" customHeight="1" s="60">
      <c r="A970" s="75">
        <f>Report!C1287</f>
        <v/>
      </c>
      <c r="B970" s="59">
        <f>Report!E1287</f>
        <v/>
      </c>
      <c r="C970" s="77">
        <f>Report!U1287</f>
        <v/>
      </c>
      <c r="D970" s="59">
        <f>Report!X1287</f>
        <v/>
      </c>
    </row>
    <row r="971" ht="12.75" customHeight="1" s="60">
      <c r="A971" s="75">
        <f>Report!C1288</f>
        <v/>
      </c>
      <c r="B971" s="59">
        <f>Report!E1288</f>
        <v/>
      </c>
      <c r="C971" s="77">
        <f>Report!U1288</f>
        <v/>
      </c>
      <c r="D971" s="59">
        <f>Report!X1288</f>
        <v/>
      </c>
    </row>
    <row r="972" ht="12.75" customHeight="1" s="60">
      <c r="A972" s="75">
        <f>Report!C1289</f>
        <v/>
      </c>
      <c r="B972" s="59">
        <f>Report!E1289</f>
        <v/>
      </c>
      <c r="C972" s="77">
        <f>Report!U1289</f>
        <v/>
      </c>
      <c r="D972" s="59">
        <f>Report!X1289</f>
        <v/>
      </c>
    </row>
    <row r="973" ht="12.75" customHeight="1" s="60">
      <c r="A973" s="75">
        <f>Report!C1290</f>
        <v/>
      </c>
      <c r="B973" s="59">
        <f>Report!E1290</f>
        <v/>
      </c>
      <c r="C973" s="77">
        <f>Report!U1290</f>
        <v/>
      </c>
      <c r="D973" s="59">
        <f>Report!X1290</f>
        <v/>
      </c>
    </row>
    <row r="974" ht="12.75" customHeight="1" s="60">
      <c r="A974" s="75">
        <f>Report!C1291</f>
        <v/>
      </c>
      <c r="B974" s="59">
        <f>Report!E1291</f>
        <v/>
      </c>
      <c r="C974" s="77">
        <f>Report!U1291</f>
        <v/>
      </c>
      <c r="D974" s="59">
        <f>Report!X1291</f>
        <v/>
      </c>
    </row>
    <row r="975" ht="12.75" customHeight="1" s="60">
      <c r="A975" s="75">
        <f>Report!C1292</f>
        <v/>
      </c>
      <c r="B975" s="59">
        <f>Report!E1292</f>
        <v/>
      </c>
      <c r="C975" s="77">
        <f>Report!U1292</f>
        <v/>
      </c>
      <c r="D975" s="59">
        <f>Report!X1292</f>
        <v/>
      </c>
    </row>
    <row r="976" ht="12.75" customHeight="1" s="60">
      <c r="A976" s="75">
        <f>Report!C1293</f>
        <v/>
      </c>
      <c r="B976" s="59">
        <f>Report!E1293</f>
        <v/>
      </c>
      <c r="C976" s="77">
        <f>Report!U1293</f>
        <v/>
      </c>
      <c r="D976" s="59">
        <f>Report!X1293</f>
        <v/>
      </c>
    </row>
    <row r="977" ht="12.75" customHeight="1" s="60">
      <c r="A977" s="75">
        <f>Report!C1295</f>
        <v/>
      </c>
      <c r="B977" s="59">
        <f>Report!E1295</f>
        <v/>
      </c>
      <c r="C977" s="77">
        <f>Report!U1295</f>
        <v/>
      </c>
      <c r="D977" s="59">
        <f>Report!X1295</f>
        <v/>
      </c>
    </row>
    <row r="978" ht="12.75" customHeight="1" s="60">
      <c r="A978" s="75">
        <f>Report!C1296</f>
        <v/>
      </c>
      <c r="B978" s="59">
        <f>Report!E1296</f>
        <v/>
      </c>
      <c r="C978" s="77">
        <f>Report!U1296</f>
        <v/>
      </c>
      <c r="D978" s="59">
        <f>Report!X1296</f>
        <v/>
      </c>
    </row>
    <row r="979" ht="12.75" customHeight="1" s="60">
      <c r="A979" s="75">
        <f>Report!C1297</f>
        <v/>
      </c>
      <c r="B979" s="59">
        <f>Report!E1297</f>
        <v/>
      </c>
      <c r="C979" s="77">
        <f>Report!U1297</f>
        <v/>
      </c>
      <c r="D979" s="59">
        <f>Report!X1297</f>
        <v/>
      </c>
    </row>
    <row r="980" ht="12.75" customHeight="1" s="60">
      <c r="A980" s="75">
        <f>Report!C1298</f>
        <v/>
      </c>
      <c r="B980" s="59">
        <f>Report!E1298</f>
        <v/>
      </c>
      <c r="C980" s="77">
        <f>Report!U1298</f>
        <v/>
      </c>
      <c r="D980" s="59">
        <f>Report!X1298</f>
        <v/>
      </c>
    </row>
    <row r="981" ht="12.75" customHeight="1" s="60">
      <c r="A981" s="75">
        <f>Report!C1299</f>
        <v/>
      </c>
      <c r="B981" s="59">
        <f>Report!E1299</f>
        <v/>
      </c>
      <c r="C981" s="77">
        <f>Report!U1299</f>
        <v/>
      </c>
      <c r="D981" s="59">
        <f>Report!X1299</f>
        <v/>
      </c>
    </row>
    <row r="982" ht="12.75" customHeight="1" s="60">
      <c r="A982" s="75">
        <f>Report!C1300</f>
        <v/>
      </c>
      <c r="B982" s="59">
        <f>Report!E1300</f>
        <v/>
      </c>
      <c r="C982" s="77">
        <f>Report!U1300</f>
        <v/>
      </c>
      <c r="D982" s="59">
        <f>Report!X1300</f>
        <v/>
      </c>
    </row>
    <row r="983" ht="12.75" customHeight="1" s="60">
      <c r="A983" s="75">
        <f>Report!C1301</f>
        <v/>
      </c>
      <c r="B983" s="59">
        <f>Report!E1301</f>
        <v/>
      </c>
      <c r="C983" s="77">
        <f>Report!U1301</f>
        <v/>
      </c>
      <c r="D983" s="59">
        <f>Report!X1301</f>
        <v/>
      </c>
    </row>
    <row r="984" ht="12.75" customHeight="1" s="60">
      <c r="A984" s="75">
        <f>Report!C1302</f>
        <v/>
      </c>
      <c r="B984" s="59">
        <f>Report!E1302</f>
        <v/>
      </c>
      <c r="C984" s="77">
        <f>Report!U1302</f>
        <v/>
      </c>
      <c r="D984" s="59">
        <f>Report!X1302</f>
        <v/>
      </c>
    </row>
    <row r="985" ht="12.75" customHeight="1" s="60">
      <c r="A985" s="75">
        <f>Report!C1303</f>
        <v/>
      </c>
      <c r="B985" s="59">
        <f>Report!E1303</f>
        <v/>
      </c>
      <c r="C985" s="77">
        <f>Report!U1303</f>
        <v/>
      </c>
      <c r="D985" s="59">
        <f>Report!X1303</f>
        <v/>
      </c>
    </row>
    <row r="986" ht="12.75" customHeight="1" s="60">
      <c r="A986" s="75">
        <f>Report!C1304</f>
        <v/>
      </c>
      <c r="B986" s="59">
        <f>Report!E1304</f>
        <v/>
      </c>
      <c r="C986" s="77">
        <f>Report!U1304</f>
        <v/>
      </c>
      <c r="D986" s="59">
        <f>Report!X1304</f>
        <v/>
      </c>
    </row>
    <row r="987" ht="12.75" customHeight="1" s="60">
      <c r="A987" s="75">
        <f>Report!C1305</f>
        <v/>
      </c>
      <c r="B987" s="59">
        <f>Report!E1305</f>
        <v/>
      </c>
      <c r="C987" s="77">
        <f>Report!U1305</f>
        <v/>
      </c>
      <c r="D987" s="59">
        <f>Report!X1305</f>
        <v/>
      </c>
    </row>
    <row r="988" ht="12.75" customHeight="1" s="60">
      <c r="A988" s="75">
        <f>Report!C1309</f>
        <v/>
      </c>
      <c r="B988" s="59">
        <f>Report!E1309</f>
        <v/>
      </c>
      <c r="C988" s="77">
        <f>Report!U1309</f>
        <v/>
      </c>
      <c r="D988" s="59">
        <f>Report!X1309</f>
        <v/>
      </c>
    </row>
    <row r="989" ht="12.75" customHeight="1" s="60">
      <c r="A989" s="75">
        <f>Report!C1310</f>
        <v/>
      </c>
      <c r="B989" s="59">
        <f>Report!E1310</f>
        <v/>
      </c>
      <c r="C989" s="77">
        <f>Report!U1310</f>
        <v/>
      </c>
      <c r="D989" s="59">
        <f>Report!X1310</f>
        <v/>
      </c>
    </row>
    <row r="990" ht="12.75" customHeight="1" s="60">
      <c r="A990" s="75">
        <f>Report!C1312</f>
        <v/>
      </c>
      <c r="B990" s="59">
        <f>Report!E1312</f>
        <v/>
      </c>
      <c r="C990" s="77">
        <f>Report!U1312</f>
        <v/>
      </c>
      <c r="D990" s="59">
        <f>Report!X1312</f>
        <v/>
      </c>
    </row>
    <row r="991" ht="12.75" customHeight="1" s="60">
      <c r="A991" s="75">
        <f>Report!C1313</f>
        <v/>
      </c>
      <c r="B991" s="59">
        <f>Report!E1313</f>
        <v/>
      </c>
      <c r="C991" s="77">
        <f>Report!U1313</f>
        <v/>
      </c>
      <c r="D991" s="59">
        <f>Report!X1313</f>
        <v/>
      </c>
    </row>
    <row r="992" ht="12.75" customHeight="1" s="60">
      <c r="A992" s="75">
        <f>Report!C1314</f>
        <v/>
      </c>
      <c r="B992" s="59">
        <f>Report!E1314</f>
        <v/>
      </c>
      <c r="C992" s="77">
        <f>Report!U1314</f>
        <v/>
      </c>
      <c r="D992" s="59">
        <f>Report!X1314</f>
        <v/>
      </c>
    </row>
    <row r="993" ht="12.75" customHeight="1" s="60">
      <c r="A993" s="75">
        <f>Report!C1315</f>
        <v/>
      </c>
      <c r="B993" s="59">
        <f>Report!E1315</f>
        <v/>
      </c>
      <c r="C993" s="77">
        <f>Report!U1315</f>
        <v/>
      </c>
      <c r="D993" s="59">
        <f>Report!X1315</f>
        <v/>
      </c>
    </row>
    <row r="994" ht="12.75" customHeight="1" s="60">
      <c r="A994" s="75">
        <f>Report!C1316</f>
        <v/>
      </c>
      <c r="B994" s="59">
        <f>Report!E1316</f>
        <v/>
      </c>
      <c r="C994" s="77">
        <f>Report!U1316</f>
        <v/>
      </c>
      <c r="D994" s="59">
        <f>Report!X1316</f>
        <v/>
      </c>
    </row>
    <row r="995" ht="12.75" customHeight="1" s="60">
      <c r="A995" s="75">
        <f>Report!C1317</f>
        <v/>
      </c>
      <c r="B995" s="59">
        <f>Report!E1317</f>
        <v/>
      </c>
      <c r="C995" s="77">
        <f>Report!U1317</f>
        <v/>
      </c>
      <c r="D995" s="59">
        <f>Report!X1317</f>
        <v/>
      </c>
    </row>
    <row r="996" ht="12.75" customHeight="1" s="60">
      <c r="A996" s="75">
        <f>Report!C1318</f>
        <v/>
      </c>
      <c r="B996" s="59">
        <f>Report!E1318</f>
        <v/>
      </c>
      <c r="C996" s="77">
        <f>Report!U1318</f>
        <v/>
      </c>
      <c r="D996" s="59">
        <f>Report!X1318</f>
        <v/>
      </c>
    </row>
    <row r="997" ht="12.75" customHeight="1" s="60">
      <c r="A997" s="75">
        <f>Report!C1322</f>
        <v/>
      </c>
      <c r="B997" s="59">
        <f>Report!E1322</f>
        <v/>
      </c>
      <c r="C997" s="77">
        <f>Report!U1322</f>
        <v/>
      </c>
      <c r="D997" s="59">
        <f>Report!X1322</f>
        <v/>
      </c>
    </row>
    <row r="998" ht="12.75" customHeight="1" s="60">
      <c r="A998" s="75">
        <f>Report!C1326</f>
        <v/>
      </c>
      <c r="B998" s="59">
        <f>Report!E1326</f>
        <v/>
      </c>
      <c r="C998" s="77">
        <f>Report!U1326</f>
        <v/>
      </c>
      <c r="D998" s="59">
        <f>Report!X1326</f>
        <v/>
      </c>
    </row>
    <row r="999" ht="12.75" customHeight="1" s="60">
      <c r="A999" s="75">
        <f>Report!C1327</f>
        <v/>
      </c>
      <c r="B999" s="59">
        <f>Report!E1327</f>
        <v/>
      </c>
      <c r="C999" s="77">
        <f>Report!U1327</f>
        <v/>
      </c>
      <c r="D999" s="59">
        <f>Report!X1327</f>
        <v/>
      </c>
    </row>
    <row r="1000" ht="12.75" customHeight="1" s="60">
      <c r="A1000" s="75">
        <f>Report!C1333</f>
        <v/>
      </c>
      <c r="B1000" s="59">
        <f>Report!E1333</f>
        <v/>
      </c>
      <c r="C1000" s="77">
        <f>Report!U1333</f>
        <v/>
      </c>
      <c r="D1000" s="59">
        <f>Report!X1333</f>
        <v/>
      </c>
    </row>
    <row r="1001" ht="12.75" customHeight="1" s="60">
      <c r="A1001" s="75">
        <f>Report!C1334</f>
        <v/>
      </c>
      <c r="B1001" s="59">
        <f>Report!E1334</f>
        <v/>
      </c>
      <c r="C1001" s="77">
        <f>Report!U1334</f>
        <v/>
      </c>
      <c r="D1001" s="59">
        <f>Report!X1334</f>
        <v/>
      </c>
    </row>
    <row r="1002" ht="12.75" customHeight="1" s="60">
      <c r="A1002" s="75">
        <f>Report!C1335</f>
        <v/>
      </c>
      <c r="B1002" s="59">
        <f>Report!E1335</f>
        <v/>
      </c>
      <c r="C1002" s="77">
        <f>Report!U1335</f>
        <v/>
      </c>
      <c r="D1002" s="59">
        <f>Report!X1335</f>
        <v/>
      </c>
    </row>
    <row r="1003" ht="12.75" customHeight="1" s="60">
      <c r="A1003" s="75">
        <f>Report!C1338</f>
        <v/>
      </c>
      <c r="B1003" s="59">
        <f>Report!E1338</f>
        <v/>
      </c>
      <c r="C1003" s="77">
        <f>Report!U1338</f>
        <v/>
      </c>
      <c r="D1003" s="59">
        <f>Report!X1338</f>
        <v/>
      </c>
    </row>
    <row r="1004" ht="12.75" customHeight="1" s="60">
      <c r="A1004" s="75">
        <f>Report!C1340</f>
        <v/>
      </c>
      <c r="B1004" s="59">
        <f>Report!E1340</f>
        <v/>
      </c>
      <c r="C1004" s="77">
        <f>Report!U1340</f>
        <v/>
      </c>
      <c r="D1004" s="59">
        <f>Report!X1340</f>
        <v/>
      </c>
    </row>
    <row r="1005" ht="12.75" customHeight="1" s="60">
      <c r="A1005" s="75">
        <f>Report!C1341</f>
        <v/>
      </c>
      <c r="B1005" s="59">
        <f>Report!E1341</f>
        <v/>
      </c>
      <c r="C1005" s="77">
        <f>Report!U1341</f>
        <v/>
      </c>
      <c r="D1005" s="59">
        <f>Report!X1341</f>
        <v/>
      </c>
    </row>
    <row r="1006" ht="12.75" customHeight="1" s="60">
      <c r="A1006" s="75">
        <f>Report!C1342</f>
        <v/>
      </c>
      <c r="B1006" s="59">
        <f>Report!E1342</f>
        <v/>
      </c>
      <c r="C1006" s="77">
        <f>Report!U1342</f>
        <v/>
      </c>
      <c r="D1006" s="59">
        <f>Report!X1342</f>
        <v/>
      </c>
    </row>
    <row r="1007" ht="12.75" customHeight="1" s="60">
      <c r="A1007" s="75">
        <f>Report!C1343</f>
        <v/>
      </c>
      <c r="B1007" s="59">
        <f>Report!E1343</f>
        <v/>
      </c>
      <c r="C1007" s="77">
        <f>Report!U1343</f>
        <v/>
      </c>
      <c r="D1007" s="59">
        <f>Report!X1343</f>
        <v/>
      </c>
    </row>
    <row r="1008" ht="12.75" customHeight="1" s="60">
      <c r="A1008" s="75">
        <f>Report!C1344</f>
        <v/>
      </c>
      <c r="B1008" s="59">
        <f>Report!E1344</f>
        <v/>
      </c>
      <c r="C1008" s="77">
        <f>Report!U1344</f>
        <v/>
      </c>
      <c r="D1008" s="59">
        <f>Report!X1344</f>
        <v/>
      </c>
    </row>
    <row r="1009" ht="12.75" customHeight="1" s="60">
      <c r="A1009" s="75">
        <f>Report!C1345</f>
        <v/>
      </c>
      <c r="B1009" s="59">
        <f>Report!E1345</f>
        <v/>
      </c>
      <c r="C1009" s="77">
        <f>Report!U1345</f>
        <v/>
      </c>
      <c r="D1009" s="59">
        <f>Report!X1345</f>
        <v/>
      </c>
    </row>
    <row r="1010" ht="12.75" customHeight="1" s="60">
      <c r="A1010" s="75">
        <f>Report!C1346</f>
        <v/>
      </c>
      <c r="B1010" s="59">
        <f>Report!E1346</f>
        <v/>
      </c>
      <c r="C1010" s="77">
        <f>Report!U1346</f>
        <v/>
      </c>
      <c r="D1010" s="59">
        <f>Report!X1346</f>
        <v/>
      </c>
    </row>
    <row r="1011" ht="12.75" customHeight="1" s="60">
      <c r="A1011" s="75">
        <f>Report!C1347</f>
        <v/>
      </c>
      <c r="B1011" s="59">
        <f>Report!E1347</f>
        <v/>
      </c>
      <c r="C1011" s="77">
        <f>Report!U1347</f>
        <v/>
      </c>
      <c r="D1011" s="59">
        <f>Report!X1347</f>
        <v/>
      </c>
    </row>
    <row r="1012" ht="12.75" customHeight="1" s="60">
      <c r="A1012" s="75">
        <f>Report!C1348</f>
        <v/>
      </c>
      <c r="B1012" s="59">
        <f>Report!E1348</f>
        <v/>
      </c>
      <c r="C1012" s="77">
        <f>Report!U1348</f>
        <v/>
      </c>
      <c r="D1012" s="59">
        <f>Report!X1348</f>
        <v/>
      </c>
    </row>
    <row r="1013" ht="12.75" customHeight="1" s="60">
      <c r="A1013" s="75">
        <f>Report!C1349</f>
        <v/>
      </c>
      <c r="B1013" s="59">
        <f>Report!E1349</f>
        <v/>
      </c>
      <c r="C1013" s="77">
        <f>Report!U1349</f>
        <v/>
      </c>
      <c r="D1013" s="59">
        <f>Report!X1349</f>
        <v/>
      </c>
    </row>
    <row r="1014" ht="12.75" customHeight="1" s="60">
      <c r="A1014" s="75">
        <f>Report!C1350</f>
        <v/>
      </c>
      <c r="B1014" s="59">
        <f>Report!E1350</f>
        <v/>
      </c>
      <c r="C1014" s="77">
        <f>Report!U1350</f>
        <v/>
      </c>
      <c r="D1014" s="59">
        <f>Report!X1350</f>
        <v/>
      </c>
    </row>
    <row r="1015" ht="12.75" customHeight="1" s="60">
      <c r="A1015" s="75">
        <f>Report!C1351</f>
        <v/>
      </c>
      <c r="B1015" s="59">
        <f>Report!E1351</f>
        <v/>
      </c>
      <c r="C1015" s="77">
        <f>Report!U1351</f>
        <v/>
      </c>
      <c r="D1015" s="59">
        <f>Report!X1351</f>
        <v/>
      </c>
    </row>
    <row r="1016" ht="12.75" customHeight="1" s="60">
      <c r="A1016" s="75">
        <f>Report!C1352</f>
        <v/>
      </c>
      <c r="B1016" s="59">
        <f>Report!E1352</f>
        <v/>
      </c>
      <c r="C1016" s="77">
        <f>Report!U1352</f>
        <v/>
      </c>
      <c r="D1016" s="59">
        <f>Report!X1352</f>
        <v/>
      </c>
    </row>
    <row r="1017" ht="12.75" customHeight="1" s="60">
      <c r="A1017" s="75">
        <f>Report!C1353</f>
        <v/>
      </c>
      <c r="B1017" s="59">
        <f>Report!E1353</f>
        <v/>
      </c>
      <c r="C1017" s="77">
        <f>Report!U1353</f>
        <v/>
      </c>
      <c r="D1017" s="59">
        <f>Report!X1353</f>
        <v/>
      </c>
    </row>
    <row r="1018" ht="12.75" customHeight="1" s="60">
      <c r="A1018" s="75">
        <f>Report!C1356</f>
        <v/>
      </c>
      <c r="B1018" s="59">
        <f>Report!E1356</f>
        <v/>
      </c>
      <c r="C1018" s="77">
        <f>Report!U1356</f>
        <v/>
      </c>
      <c r="D1018" s="59">
        <f>Report!X1356</f>
        <v/>
      </c>
    </row>
    <row r="1019" ht="12.75" customHeight="1" s="60">
      <c r="A1019" s="75">
        <f>Report!C1359</f>
        <v/>
      </c>
      <c r="B1019" s="59">
        <f>Report!E1359</f>
        <v/>
      </c>
      <c r="C1019" s="77">
        <f>Report!U1359</f>
        <v/>
      </c>
      <c r="D1019" s="59">
        <f>Report!X1359</f>
        <v/>
      </c>
    </row>
    <row r="1020" ht="12.75" customHeight="1" s="60">
      <c r="A1020" s="75">
        <f>Report!C1360</f>
        <v/>
      </c>
      <c r="B1020" s="59">
        <f>Report!E1360</f>
        <v/>
      </c>
      <c r="C1020" s="77">
        <f>Report!U1360</f>
        <v/>
      </c>
      <c r="D1020" s="59">
        <f>Report!X1360</f>
        <v/>
      </c>
    </row>
    <row r="1021" ht="12.75" customHeight="1" s="60">
      <c r="A1021" s="75">
        <f>Report!C1361</f>
        <v/>
      </c>
      <c r="B1021" s="59">
        <f>Report!E1361</f>
        <v/>
      </c>
      <c r="C1021" s="77">
        <f>Report!U1361</f>
        <v/>
      </c>
      <c r="D1021" s="59">
        <f>Report!X1361</f>
        <v/>
      </c>
    </row>
    <row r="1022" ht="12.75" customHeight="1" s="60">
      <c r="A1022" s="75">
        <f>Report!C1362</f>
        <v/>
      </c>
      <c r="B1022" s="59">
        <f>Report!E1362</f>
        <v/>
      </c>
      <c r="C1022" s="77">
        <f>Report!U1362</f>
        <v/>
      </c>
      <c r="D1022" s="59">
        <f>Report!X1362</f>
        <v/>
      </c>
    </row>
    <row r="1023" ht="12.75" customHeight="1" s="60">
      <c r="A1023" s="75">
        <f>Report!C1363</f>
        <v/>
      </c>
      <c r="B1023" s="59">
        <f>Report!E1363</f>
        <v/>
      </c>
      <c r="C1023" s="77">
        <f>Report!U1363</f>
        <v/>
      </c>
      <c r="D1023" s="59">
        <f>Report!X1363</f>
        <v/>
      </c>
    </row>
    <row r="1024" ht="12.75" customHeight="1" s="60">
      <c r="A1024" s="75">
        <f>Report!C1364</f>
        <v/>
      </c>
      <c r="B1024" s="59">
        <f>Report!E1364</f>
        <v/>
      </c>
      <c r="C1024" s="77">
        <f>Report!U1364</f>
        <v/>
      </c>
      <c r="D1024" s="59">
        <f>Report!X1364</f>
        <v/>
      </c>
    </row>
    <row r="1025" ht="12.75" customHeight="1" s="60">
      <c r="A1025" s="75">
        <f>Report!C1365</f>
        <v/>
      </c>
      <c r="B1025" s="59">
        <f>Report!E1365</f>
        <v/>
      </c>
      <c r="C1025" s="77">
        <f>Report!U1365</f>
        <v/>
      </c>
      <c r="D1025" s="59">
        <f>Report!X1365</f>
        <v/>
      </c>
    </row>
    <row r="1026" ht="12.75" customHeight="1" s="60">
      <c r="A1026" s="75">
        <f>Report!C1366</f>
        <v/>
      </c>
      <c r="B1026" s="59">
        <f>Report!E1366</f>
        <v/>
      </c>
      <c r="C1026" s="77">
        <f>Report!U1366</f>
        <v/>
      </c>
      <c r="D1026" s="59">
        <f>Report!X1366</f>
        <v/>
      </c>
    </row>
    <row r="1027" ht="12.75" customHeight="1" s="60">
      <c r="A1027" s="75">
        <f>Report!C1367</f>
        <v/>
      </c>
      <c r="B1027" s="59">
        <f>Report!E1367</f>
        <v/>
      </c>
      <c r="C1027" s="77">
        <f>Report!U1367</f>
        <v/>
      </c>
      <c r="D1027" s="59">
        <f>Report!X1367</f>
        <v/>
      </c>
    </row>
    <row r="1028" ht="12.75" customHeight="1" s="60">
      <c r="A1028" s="75">
        <f>Report!C1368</f>
        <v/>
      </c>
      <c r="B1028" s="59">
        <f>Report!E1368</f>
        <v/>
      </c>
      <c r="C1028" s="77">
        <f>Report!U1368</f>
        <v/>
      </c>
      <c r="D1028" s="59">
        <f>Report!X1368</f>
        <v/>
      </c>
    </row>
    <row r="1029" ht="12.75" customHeight="1" s="60">
      <c r="A1029" s="75">
        <f>Report!C1369</f>
        <v/>
      </c>
      <c r="B1029" s="59">
        <f>Report!E1369</f>
        <v/>
      </c>
      <c r="C1029" s="77">
        <f>Report!U1369</f>
        <v/>
      </c>
      <c r="D1029" s="59">
        <f>Report!X1369</f>
        <v/>
      </c>
    </row>
    <row r="1030" ht="12.75" customHeight="1" s="60">
      <c r="A1030" s="75">
        <f>Report!C1370</f>
        <v/>
      </c>
      <c r="B1030" s="59">
        <f>Report!E1370</f>
        <v/>
      </c>
      <c r="C1030" s="77">
        <f>Report!U1370</f>
        <v/>
      </c>
      <c r="D1030" s="59">
        <f>Report!X1370</f>
        <v/>
      </c>
    </row>
    <row r="1031" ht="12.75" customHeight="1" s="60">
      <c r="A1031" s="75">
        <f>Report!C1371</f>
        <v/>
      </c>
      <c r="B1031" s="59">
        <f>Report!E1371</f>
        <v/>
      </c>
      <c r="C1031" s="77">
        <f>Report!U1371</f>
        <v/>
      </c>
      <c r="D1031" s="59">
        <f>Report!X1371</f>
        <v/>
      </c>
    </row>
    <row r="1032" ht="12.75" customHeight="1" s="60">
      <c r="A1032" s="75">
        <f>Report!C1372</f>
        <v/>
      </c>
      <c r="B1032" s="59">
        <f>Report!E1372</f>
        <v/>
      </c>
      <c r="C1032" s="77">
        <f>Report!U1372</f>
        <v/>
      </c>
      <c r="D1032" s="59">
        <f>Report!X1372</f>
        <v/>
      </c>
    </row>
    <row r="1033" ht="12.75" customHeight="1" s="60">
      <c r="A1033" s="75">
        <f>Report!C1373</f>
        <v/>
      </c>
      <c r="B1033" s="59">
        <f>Report!E1373</f>
        <v/>
      </c>
      <c r="C1033" s="77">
        <f>Report!U1373</f>
        <v/>
      </c>
      <c r="D1033" s="59">
        <f>Report!X1373</f>
        <v/>
      </c>
    </row>
    <row r="1034" ht="12.75" customHeight="1" s="60">
      <c r="A1034" s="75">
        <f>Report!C1374</f>
        <v/>
      </c>
      <c r="B1034" s="59">
        <f>Report!E1374</f>
        <v/>
      </c>
      <c r="C1034" s="77">
        <f>Report!U1374</f>
        <v/>
      </c>
      <c r="D1034" s="59">
        <f>Report!X1374</f>
        <v/>
      </c>
    </row>
    <row r="1035" ht="12.75" customHeight="1" s="60">
      <c r="A1035" s="75">
        <f>Report!C1375</f>
        <v/>
      </c>
      <c r="B1035" s="59">
        <f>Report!E1375</f>
        <v/>
      </c>
      <c r="C1035" s="77">
        <f>Report!U1375</f>
        <v/>
      </c>
      <c r="D1035" s="59">
        <f>Report!X1375</f>
        <v/>
      </c>
    </row>
    <row r="1036" ht="12.75" customHeight="1" s="60">
      <c r="A1036" s="75">
        <f>Report!C1376</f>
        <v/>
      </c>
      <c r="B1036" s="59">
        <f>Report!E1376</f>
        <v/>
      </c>
      <c r="C1036" s="77">
        <f>Report!U1376</f>
        <v/>
      </c>
      <c r="D1036" s="59">
        <f>Report!X1376</f>
        <v/>
      </c>
    </row>
    <row r="1037" ht="12.75" customHeight="1" s="60">
      <c r="A1037" s="75">
        <f>Report!C1377</f>
        <v/>
      </c>
      <c r="B1037" s="59">
        <f>Report!E1377</f>
        <v/>
      </c>
      <c r="C1037" s="77">
        <f>Report!U1377</f>
        <v/>
      </c>
      <c r="D1037" s="59">
        <f>Report!X1377</f>
        <v/>
      </c>
    </row>
    <row r="1038" ht="12.75" customHeight="1" s="60">
      <c r="A1038" s="75">
        <f>Report!C1378</f>
        <v/>
      </c>
      <c r="B1038" s="59">
        <f>Report!E1378</f>
        <v/>
      </c>
      <c r="C1038" s="77">
        <f>Report!U1378</f>
        <v/>
      </c>
      <c r="D1038" s="59">
        <f>Report!X1378</f>
        <v/>
      </c>
    </row>
    <row r="1039" ht="12.75" customHeight="1" s="60">
      <c r="A1039" s="75">
        <f>Report!C1379</f>
        <v/>
      </c>
      <c r="B1039" s="59">
        <f>Report!E1379</f>
        <v/>
      </c>
      <c r="C1039" s="77">
        <f>Report!U1379</f>
        <v/>
      </c>
      <c r="D1039" s="59">
        <f>Report!X1379</f>
        <v/>
      </c>
    </row>
    <row r="1040" ht="12.75" customHeight="1" s="60">
      <c r="A1040" s="75">
        <f>Report!C1380</f>
        <v/>
      </c>
      <c r="B1040" s="59">
        <f>Report!E1380</f>
        <v/>
      </c>
      <c r="C1040" s="77">
        <f>Report!U1380</f>
        <v/>
      </c>
      <c r="D1040" s="59">
        <f>Report!X1380</f>
        <v/>
      </c>
    </row>
    <row r="1041" ht="12.75" customHeight="1" s="60">
      <c r="A1041" s="75">
        <f>Report!C1381</f>
        <v/>
      </c>
      <c r="B1041" s="59">
        <f>Report!E1381</f>
        <v/>
      </c>
      <c r="C1041" s="77">
        <f>Report!U1381</f>
        <v/>
      </c>
      <c r="D1041" s="59">
        <f>Report!X1381</f>
        <v/>
      </c>
    </row>
    <row r="1042" ht="12.75" customHeight="1" s="60">
      <c r="A1042" s="75">
        <f>Report!C1382</f>
        <v/>
      </c>
      <c r="B1042" s="59">
        <f>Report!E1382</f>
        <v/>
      </c>
      <c r="C1042" s="77">
        <f>Report!U1382</f>
        <v/>
      </c>
      <c r="D1042" s="59">
        <f>Report!X1382</f>
        <v/>
      </c>
    </row>
    <row r="1043" ht="12.75" customHeight="1" s="60">
      <c r="A1043" s="75">
        <f>Report!C1383</f>
        <v/>
      </c>
      <c r="B1043" s="59">
        <f>Report!E1383</f>
        <v/>
      </c>
      <c r="C1043" s="77">
        <f>Report!U1383</f>
        <v/>
      </c>
      <c r="D1043" s="59">
        <f>Report!X1383</f>
        <v/>
      </c>
    </row>
    <row r="1044" ht="12.75" customHeight="1" s="60">
      <c r="A1044" s="75">
        <f>Report!C1384</f>
        <v/>
      </c>
      <c r="B1044" s="59">
        <f>Report!E1384</f>
        <v/>
      </c>
      <c r="C1044" s="77">
        <f>Report!U1384</f>
        <v/>
      </c>
      <c r="D1044" s="59">
        <f>Report!X1384</f>
        <v/>
      </c>
    </row>
    <row r="1045" ht="12.75" customHeight="1" s="60">
      <c r="A1045" s="75">
        <f>Report!C1387</f>
        <v/>
      </c>
      <c r="B1045" s="59">
        <f>Report!E1387</f>
        <v/>
      </c>
      <c r="C1045" s="77">
        <f>Report!U1387</f>
        <v/>
      </c>
      <c r="D1045" s="59">
        <f>Report!X1387</f>
        <v/>
      </c>
    </row>
    <row r="1046" ht="12.75" customHeight="1" s="60">
      <c r="A1046" s="75">
        <f>Report!C1388</f>
        <v/>
      </c>
      <c r="B1046" s="59">
        <f>Report!E1388</f>
        <v/>
      </c>
      <c r="C1046" s="77">
        <f>Report!U1388</f>
        <v/>
      </c>
      <c r="D1046" s="59">
        <f>Report!X1388</f>
        <v/>
      </c>
    </row>
    <row r="1047" ht="12.75" customHeight="1" s="60">
      <c r="A1047" s="75">
        <f>Report!C1389</f>
        <v/>
      </c>
      <c r="B1047" s="59">
        <f>Report!E1389</f>
        <v/>
      </c>
      <c r="C1047" s="77">
        <f>Report!U1389</f>
        <v/>
      </c>
      <c r="D1047" s="59">
        <f>Report!X1389</f>
        <v/>
      </c>
    </row>
    <row r="1048" ht="12.75" customHeight="1" s="60">
      <c r="A1048" s="75">
        <f>Report!C1390</f>
        <v/>
      </c>
      <c r="B1048" s="59">
        <f>Report!E1390</f>
        <v/>
      </c>
      <c r="C1048" s="77">
        <f>Report!U1390</f>
        <v/>
      </c>
      <c r="D1048" s="59">
        <f>Report!X1390</f>
        <v/>
      </c>
    </row>
    <row r="1049" ht="12.75" customHeight="1" s="60">
      <c r="A1049" s="75">
        <f>Report!C1391</f>
        <v/>
      </c>
      <c r="B1049" s="59">
        <f>Report!E1391</f>
        <v/>
      </c>
      <c r="C1049" s="77">
        <f>Report!U1391</f>
        <v/>
      </c>
      <c r="D1049" s="59">
        <f>Report!X1391</f>
        <v/>
      </c>
    </row>
    <row r="1050" ht="12.75" customHeight="1" s="60">
      <c r="A1050" s="75">
        <f>Report!C1392</f>
        <v/>
      </c>
      <c r="B1050" s="59">
        <f>Report!E1392</f>
        <v/>
      </c>
      <c r="C1050" s="77">
        <f>Report!U1392</f>
        <v/>
      </c>
      <c r="D1050" s="59">
        <f>Report!X1392</f>
        <v/>
      </c>
    </row>
    <row r="1051" ht="12.75" customHeight="1" s="60">
      <c r="A1051" s="75">
        <f>Report!C1393</f>
        <v/>
      </c>
      <c r="B1051" s="59">
        <f>Report!E1393</f>
        <v/>
      </c>
      <c r="C1051" s="77">
        <f>Report!U1393</f>
        <v/>
      </c>
      <c r="D1051" s="59">
        <f>Report!X1393</f>
        <v/>
      </c>
    </row>
    <row r="1052" ht="12.75" customHeight="1" s="60">
      <c r="A1052" s="75">
        <f>Report!C1394</f>
        <v/>
      </c>
      <c r="B1052" s="59">
        <f>Report!E1394</f>
        <v/>
      </c>
      <c r="C1052" s="77">
        <f>Report!U1394</f>
        <v/>
      </c>
      <c r="D1052" s="59">
        <f>Report!X1394</f>
        <v/>
      </c>
    </row>
    <row r="1053" ht="12.75" customHeight="1" s="60">
      <c r="A1053" s="75">
        <f>Report!C1395</f>
        <v/>
      </c>
      <c r="B1053" s="59">
        <f>Report!E1395</f>
        <v/>
      </c>
      <c r="C1053" s="77">
        <f>Report!U1395</f>
        <v/>
      </c>
      <c r="D1053" s="59">
        <f>Report!X1395</f>
        <v/>
      </c>
    </row>
    <row r="1054" ht="12.75" customHeight="1" s="60">
      <c r="A1054" s="75">
        <f>Report!C1396</f>
        <v/>
      </c>
      <c r="B1054" s="59">
        <f>Report!E1396</f>
        <v/>
      </c>
      <c r="C1054" s="77">
        <f>Report!U1396</f>
        <v/>
      </c>
      <c r="D1054" s="59">
        <f>Report!X1396</f>
        <v/>
      </c>
    </row>
    <row r="1055" ht="12.75" customHeight="1" s="60">
      <c r="A1055" s="75">
        <f>Report!C1397</f>
        <v/>
      </c>
      <c r="B1055" s="59">
        <f>Report!E1397</f>
        <v/>
      </c>
      <c r="C1055" s="77">
        <f>Report!U1397</f>
        <v/>
      </c>
      <c r="D1055" s="59">
        <f>Report!X1397</f>
        <v/>
      </c>
    </row>
    <row r="1056" ht="12.75" customHeight="1" s="60">
      <c r="A1056" s="75">
        <f>Report!C1398</f>
        <v/>
      </c>
      <c r="B1056" s="59">
        <f>Report!E1398</f>
        <v/>
      </c>
      <c r="C1056" s="77">
        <f>Report!U1398</f>
        <v/>
      </c>
      <c r="D1056" s="59">
        <f>Report!X1398</f>
        <v/>
      </c>
    </row>
    <row r="1057" ht="12.75" customHeight="1" s="60">
      <c r="A1057" s="75">
        <f>Report!C1399</f>
        <v/>
      </c>
      <c r="B1057" s="59">
        <f>Report!E1399</f>
        <v/>
      </c>
      <c r="C1057" s="77">
        <f>Report!U1399</f>
        <v/>
      </c>
      <c r="D1057" s="59">
        <f>Report!X1399</f>
        <v/>
      </c>
    </row>
    <row r="1058" ht="12.75" customHeight="1" s="60">
      <c r="A1058" s="75">
        <f>Report!C1400</f>
        <v/>
      </c>
      <c r="B1058" s="59">
        <f>Report!E1400</f>
        <v/>
      </c>
      <c r="C1058" s="77">
        <f>Report!U1400</f>
        <v/>
      </c>
      <c r="D1058" s="59">
        <f>Report!X1400</f>
        <v/>
      </c>
    </row>
    <row r="1059" ht="12.75" customHeight="1" s="60">
      <c r="A1059" s="75">
        <f>Report!C1401</f>
        <v/>
      </c>
      <c r="B1059" s="59">
        <f>Report!E1401</f>
        <v/>
      </c>
      <c r="C1059" s="77">
        <f>Report!U1401</f>
        <v/>
      </c>
      <c r="D1059" s="59">
        <f>Report!X1401</f>
        <v/>
      </c>
    </row>
    <row r="1060" ht="12.75" customHeight="1" s="60">
      <c r="A1060" s="75">
        <f>Report!C1402</f>
        <v/>
      </c>
      <c r="B1060" s="59">
        <f>Report!E1402</f>
        <v/>
      </c>
      <c r="C1060" s="77">
        <f>Report!U1402</f>
        <v/>
      </c>
      <c r="D1060" s="59">
        <f>Report!X1402</f>
        <v/>
      </c>
    </row>
    <row r="1061" ht="12.75" customHeight="1" s="60">
      <c r="A1061" s="75">
        <f>Report!C1403</f>
        <v/>
      </c>
      <c r="B1061" s="59">
        <f>Report!E1403</f>
        <v/>
      </c>
      <c r="C1061" s="77">
        <f>Report!U1403</f>
        <v/>
      </c>
      <c r="D1061" s="59">
        <f>Report!X1403</f>
        <v/>
      </c>
    </row>
    <row r="1062" ht="12.75" customHeight="1" s="60">
      <c r="A1062" s="75">
        <f>Report!C1404</f>
        <v/>
      </c>
      <c r="B1062" s="59">
        <f>Report!E1404</f>
        <v/>
      </c>
      <c r="C1062" s="77">
        <f>Report!U1404</f>
        <v/>
      </c>
      <c r="D1062" s="59">
        <f>Report!X1404</f>
        <v/>
      </c>
    </row>
    <row r="1063" ht="12.75" customHeight="1" s="60">
      <c r="A1063" s="75">
        <f>Report!C1405</f>
        <v/>
      </c>
      <c r="B1063" s="59">
        <f>Report!E1405</f>
        <v/>
      </c>
      <c r="C1063" s="77">
        <f>Report!U1405</f>
        <v/>
      </c>
      <c r="D1063" s="59">
        <f>Report!X1405</f>
        <v/>
      </c>
    </row>
    <row r="1064" ht="12.75" customHeight="1" s="60">
      <c r="A1064" s="75">
        <f>Report!C1406</f>
        <v/>
      </c>
      <c r="B1064" s="59">
        <f>Report!E1406</f>
        <v/>
      </c>
      <c r="C1064" s="77">
        <f>Report!U1406</f>
        <v/>
      </c>
      <c r="D1064" s="59">
        <f>Report!X1406</f>
        <v/>
      </c>
    </row>
    <row r="1065" ht="12.75" customHeight="1" s="60">
      <c r="A1065" s="75">
        <f>Report!C1407</f>
        <v/>
      </c>
      <c r="B1065" s="59">
        <f>Report!E1407</f>
        <v/>
      </c>
      <c r="C1065" s="77">
        <f>Report!U1407</f>
        <v/>
      </c>
      <c r="D1065" s="59">
        <f>Report!X1407</f>
        <v/>
      </c>
    </row>
    <row r="1066" ht="12.75" customHeight="1" s="60">
      <c r="A1066" s="75">
        <f>Report!C1408</f>
        <v/>
      </c>
      <c r="B1066" s="59">
        <f>Report!E1408</f>
        <v/>
      </c>
      <c r="C1066" s="77">
        <f>Report!U1408</f>
        <v/>
      </c>
      <c r="D1066" s="59">
        <f>Report!X1408</f>
        <v/>
      </c>
    </row>
    <row r="1067" ht="12.75" customHeight="1" s="60">
      <c r="A1067" s="75">
        <f>Report!C1409</f>
        <v/>
      </c>
      <c r="B1067" s="59">
        <f>Report!E1409</f>
        <v/>
      </c>
      <c r="C1067" s="77">
        <f>Report!U1409</f>
        <v/>
      </c>
      <c r="D1067" s="59">
        <f>Report!X1409</f>
        <v/>
      </c>
    </row>
    <row r="1068" ht="12.75" customHeight="1" s="60">
      <c r="A1068" s="75">
        <f>Report!C1410</f>
        <v/>
      </c>
      <c r="B1068" s="59">
        <f>Report!E1410</f>
        <v/>
      </c>
      <c r="C1068" s="77">
        <f>Report!U1410</f>
        <v/>
      </c>
      <c r="D1068" s="59">
        <f>Report!X1410</f>
        <v/>
      </c>
    </row>
    <row r="1069" ht="12.75" customHeight="1" s="60">
      <c r="A1069" s="75">
        <f>Report!C1411</f>
        <v/>
      </c>
      <c r="B1069" s="59">
        <f>Report!E1411</f>
        <v/>
      </c>
      <c r="C1069" s="77">
        <f>Report!U1411</f>
        <v/>
      </c>
      <c r="D1069" s="59">
        <f>Report!X1411</f>
        <v/>
      </c>
    </row>
    <row r="1070" ht="12.75" customHeight="1" s="60">
      <c r="A1070" s="75">
        <f>Report!C1412</f>
        <v/>
      </c>
      <c r="B1070" s="59">
        <f>Report!E1412</f>
        <v/>
      </c>
      <c r="C1070" s="77">
        <f>Report!U1412</f>
        <v/>
      </c>
      <c r="D1070" s="59">
        <f>Report!X1412</f>
        <v/>
      </c>
    </row>
    <row r="1071" ht="12.75" customHeight="1" s="60">
      <c r="A1071" s="75">
        <f>Report!C1414</f>
        <v/>
      </c>
      <c r="B1071" s="59">
        <f>Report!E1414</f>
        <v/>
      </c>
      <c r="C1071" s="77">
        <f>Report!U1414</f>
        <v/>
      </c>
      <c r="D1071" s="59">
        <f>Report!X1414</f>
        <v/>
      </c>
    </row>
    <row r="1072" ht="12.75" customHeight="1" s="60">
      <c r="A1072" s="75">
        <f>Report!C1415</f>
        <v/>
      </c>
      <c r="B1072" s="59">
        <f>Report!E1415</f>
        <v/>
      </c>
      <c r="C1072" s="77">
        <f>Report!U1415</f>
        <v/>
      </c>
      <c r="D1072" s="59">
        <f>Report!X1415</f>
        <v/>
      </c>
    </row>
    <row r="1073" ht="12.75" customHeight="1" s="60">
      <c r="A1073" s="75">
        <f>Report!C1416</f>
        <v/>
      </c>
      <c r="B1073" s="59">
        <f>Report!E1416</f>
        <v/>
      </c>
      <c r="C1073" s="77">
        <f>Report!U1416</f>
        <v/>
      </c>
      <c r="D1073" s="59">
        <f>Report!X1416</f>
        <v/>
      </c>
    </row>
    <row r="1074" ht="12.75" customHeight="1" s="60">
      <c r="A1074" s="75">
        <f>Report!C1417</f>
        <v/>
      </c>
      <c r="B1074" s="59">
        <f>Report!E1417</f>
        <v/>
      </c>
      <c r="C1074" s="77">
        <f>Report!U1417</f>
        <v/>
      </c>
      <c r="D1074" s="59">
        <f>Report!X1417</f>
        <v/>
      </c>
    </row>
    <row r="1075" ht="12.75" customHeight="1" s="60">
      <c r="A1075" s="75">
        <f>Report!C1418</f>
        <v/>
      </c>
      <c r="B1075" s="59">
        <f>Report!E1418</f>
        <v/>
      </c>
      <c r="C1075" s="77">
        <f>Report!U1418</f>
        <v/>
      </c>
      <c r="D1075" s="59">
        <f>Report!X1418</f>
        <v/>
      </c>
    </row>
    <row r="1076" ht="12.75" customHeight="1" s="60">
      <c r="A1076" s="75">
        <f>Report!C1419</f>
        <v/>
      </c>
      <c r="B1076" s="59">
        <f>Report!E1419</f>
        <v/>
      </c>
      <c r="C1076" s="77">
        <f>Report!U1419</f>
        <v/>
      </c>
      <c r="D1076" s="59">
        <f>Report!X1419</f>
        <v/>
      </c>
    </row>
    <row r="1077" ht="12.75" customHeight="1" s="60">
      <c r="A1077" s="75">
        <f>Report!C1420</f>
        <v/>
      </c>
      <c r="B1077" s="59">
        <f>Report!E1420</f>
        <v/>
      </c>
      <c r="C1077" s="77">
        <f>Report!U1420</f>
        <v/>
      </c>
      <c r="D1077" s="59">
        <f>Report!X1420</f>
        <v/>
      </c>
    </row>
    <row r="1078" ht="12.75" customHeight="1" s="60">
      <c r="A1078" s="75">
        <f>Report!C1421</f>
        <v/>
      </c>
      <c r="B1078" s="59">
        <f>Report!E1421</f>
        <v/>
      </c>
      <c r="C1078" s="77">
        <f>Report!U1421</f>
        <v/>
      </c>
      <c r="D1078" s="59">
        <f>Report!X1421</f>
        <v/>
      </c>
    </row>
    <row r="1079" ht="12.75" customHeight="1" s="60">
      <c r="A1079" s="75">
        <f>Report!C1422</f>
        <v/>
      </c>
      <c r="B1079" s="59">
        <f>Report!E1422</f>
        <v/>
      </c>
      <c r="C1079" s="77">
        <f>Report!U1422</f>
        <v/>
      </c>
      <c r="D1079" s="59">
        <f>Report!X1422</f>
        <v/>
      </c>
    </row>
    <row r="1080" ht="12.75" customHeight="1" s="60">
      <c r="A1080" s="75">
        <f>Report!C1423</f>
        <v/>
      </c>
      <c r="B1080" s="59">
        <f>Report!E1423</f>
        <v/>
      </c>
      <c r="C1080" s="77">
        <f>Report!U1423</f>
        <v/>
      </c>
      <c r="D1080" s="59">
        <f>Report!X1423</f>
        <v/>
      </c>
    </row>
    <row r="1081" ht="12.75" customHeight="1" s="60">
      <c r="A1081" s="75">
        <f>Report!C1424</f>
        <v/>
      </c>
      <c r="B1081" s="59">
        <f>Report!E1424</f>
        <v/>
      </c>
      <c r="C1081" s="77">
        <f>Report!U1424</f>
        <v/>
      </c>
      <c r="D1081" s="59">
        <f>Report!X1424</f>
        <v/>
      </c>
    </row>
    <row r="1082" ht="12.75" customHeight="1" s="60">
      <c r="A1082" s="75">
        <f>Report!C1425</f>
        <v/>
      </c>
      <c r="B1082" s="59">
        <f>Report!E1425</f>
        <v/>
      </c>
      <c r="C1082" s="77">
        <f>Report!U1425</f>
        <v/>
      </c>
      <c r="D1082" s="59">
        <f>Report!X1425</f>
        <v/>
      </c>
    </row>
    <row r="1083" ht="12.75" customHeight="1" s="60">
      <c r="A1083" s="75">
        <f>Report!C1426</f>
        <v/>
      </c>
      <c r="B1083" s="59">
        <f>Report!E1426</f>
        <v/>
      </c>
      <c r="C1083" s="77">
        <f>Report!U1426</f>
        <v/>
      </c>
      <c r="D1083" s="59">
        <f>Report!X1426</f>
        <v/>
      </c>
    </row>
    <row r="1084" ht="12.75" customHeight="1" s="60">
      <c r="A1084" s="75">
        <f>Report!C1427</f>
        <v/>
      </c>
      <c r="B1084" s="59">
        <f>Report!E1427</f>
        <v/>
      </c>
      <c r="C1084" s="77">
        <f>Report!U1427</f>
        <v/>
      </c>
      <c r="D1084" s="59">
        <f>Report!X1427</f>
        <v/>
      </c>
    </row>
    <row r="1085" ht="12.75" customHeight="1" s="60">
      <c r="A1085" s="75">
        <f>Report!C1428</f>
        <v/>
      </c>
      <c r="B1085" s="59">
        <f>Report!E1428</f>
        <v/>
      </c>
      <c r="C1085" s="77">
        <f>Report!U1428</f>
        <v/>
      </c>
      <c r="D1085" s="59">
        <f>Report!X1428</f>
        <v/>
      </c>
    </row>
    <row r="1086" ht="12.75" customHeight="1" s="60">
      <c r="A1086" s="75">
        <f>Report!C1429</f>
        <v/>
      </c>
      <c r="B1086" s="59">
        <f>Report!E1429</f>
        <v/>
      </c>
      <c r="C1086" s="77">
        <f>Report!U1429</f>
        <v/>
      </c>
      <c r="D1086" s="59">
        <f>Report!X1429</f>
        <v/>
      </c>
    </row>
    <row r="1087" ht="12.75" customHeight="1" s="60">
      <c r="A1087" s="75">
        <f>Report!C1430</f>
        <v/>
      </c>
      <c r="B1087" s="59">
        <f>Report!E1430</f>
        <v/>
      </c>
      <c r="C1087" s="77">
        <f>Report!U1430</f>
        <v/>
      </c>
      <c r="D1087" s="59">
        <f>Report!X1430</f>
        <v/>
      </c>
    </row>
    <row r="1088" ht="12.75" customHeight="1" s="60">
      <c r="A1088" s="75">
        <f>Report!C1431</f>
        <v/>
      </c>
      <c r="B1088" s="59">
        <f>Report!E1431</f>
        <v/>
      </c>
      <c r="C1088" s="77">
        <f>Report!U1431</f>
        <v/>
      </c>
      <c r="D1088" s="59">
        <f>Report!X1431</f>
        <v/>
      </c>
    </row>
    <row r="1089" ht="12.75" customHeight="1" s="60">
      <c r="A1089" s="75">
        <f>Report!C1432</f>
        <v/>
      </c>
      <c r="B1089" s="59">
        <f>Report!E1432</f>
        <v/>
      </c>
      <c r="C1089" s="77">
        <f>Report!U1432</f>
        <v/>
      </c>
      <c r="D1089" s="59">
        <f>Report!X1432</f>
        <v/>
      </c>
    </row>
    <row r="1090" ht="12.75" customHeight="1" s="60">
      <c r="A1090" s="75">
        <f>Report!C1433</f>
        <v/>
      </c>
      <c r="B1090" s="59">
        <f>Report!E1433</f>
        <v/>
      </c>
      <c r="C1090" s="77">
        <f>Report!U1433</f>
        <v/>
      </c>
      <c r="D1090" s="59">
        <f>Report!X1433</f>
        <v/>
      </c>
    </row>
    <row r="1091" ht="12.75" customHeight="1" s="60">
      <c r="A1091" s="75">
        <f>Report!C1434</f>
        <v/>
      </c>
      <c r="B1091" s="59">
        <f>Report!E1434</f>
        <v/>
      </c>
      <c r="C1091" s="77">
        <f>Report!U1434</f>
        <v/>
      </c>
      <c r="D1091" s="59">
        <f>Report!X1434</f>
        <v/>
      </c>
    </row>
    <row r="1092" ht="12.75" customHeight="1" s="60">
      <c r="A1092" s="75">
        <f>Report!C1435</f>
        <v/>
      </c>
      <c r="B1092" s="59">
        <f>Report!E1435</f>
        <v/>
      </c>
      <c r="C1092" s="77">
        <f>Report!U1435</f>
        <v/>
      </c>
      <c r="D1092" s="59">
        <f>Report!X1435</f>
        <v/>
      </c>
    </row>
    <row r="1093" ht="12.75" customHeight="1" s="60">
      <c r="A1093" s="75">
        <f>Report!C1436</f>
        <v/>
      </c>
      <c r="B1093" s="59">
        <f>Report!E1436</f>
        <v/>
      </c>
      <c r="C1093" s="77">
        <f>Report!U1436</f>
        <v/>
      </c>
      <c r="D1093" s="59">
        <f>Report!X1436</f>
        <v/>
      </c>
    </row>
    <row r="1094" ht="12.75" customHeight="1" s="60">
      <c r="A1094" s="75">
        <f>Report!C1437</f>
        <v/>
      </c>
      <c r="B1094" s="59">
        <f>Report!E1437</f>
        <v/>
      </c>
      <c r="C1094" s="77">
        <f>Report!U1437</f>
        <v/>
      </c>
      <c r="D1094" s="59">
        <f>Report!X1437</f>
        <v/>
      </c>
    </row>
    <row r="1095" ht="12.75" customHeight="1" s="60">
      <c r="A1095" s="75">
        <f>Report!C1440</f>
        <v/>
      </c>
      <c r="B1095" s="59">
        <f>Report!E1440</f>
        <v/>
      </c>
      <c r="C1095" s="77">
        <f>Report!U1440</f>
        <v/>
      </c>
      <c r="D1095" s="59">
        <f>Report!X1440</f>
        <v/>
      </c>
    </row>
    <row r="1096" ht="12.75" customHeight="1" s="60">
      <c r="A1096" s="75">
        <f>Report!C1442</f>
        <v/>
      </c>
      <c r="B1096" s="59">
        <f>Report!E1442</f>
        <v/>
      </c>
      <c r="C1096" s="77">
        <f>Report!U1442</f>
        <v/>
      </c>
      <c r="D1096" s="59">
        <f>Report!X1442</f>
        <v/>
      </c>
    </row>
    <row r="1097" ht="12.75" customHeight="1" s="60">
      <c r="A1097" s="75">
        <f>Report!C1445</f>
        <v/>
      </c>
      <c r="B1097" s="59">
        <f>Report!E1445</f>
        <v/>
      </c>
      <c r="C1097" s="77">
        <f>Report!U1445</f>
        <v/>
      </c>
      <c r="D1097" s="59">
        <f>Report!X1445</f>
        <v/>
      </c>
    </row>
    <row r="1098" ht="12.75" customHeight="1" s="60">
      <c r="A1098" s="75">
        <f>Report!C1448</f>
        <v/>
      </c>
      <c r="B1098" s="59">
        <f>Report!E1448</f>
        <v/>
      </c>
      <c r="C1098" s="77">
        <f>Report!U1448</f>
        <v/>
      </c>
      <c r="D1098" s="59">
        <f>Report!X1448</f>
        <v/>
      </c>
    </row>
    <row r="1099" ht="12.75" customHeight="1" s="60">
      <c r="A1099" s="75">
        <f>Report!C1449</f>
        <v/>
      </c>
      <c r="B1099" s="59">
        <f>Report!E1449</f>
        <v/>
      </c>
      <c r="C1099" s="77">
        <f>Report!U1449</f>
        <v/>
      </c>
      <c r="D1099" s="59">
        <f>Report!X1449</f>
        <v/>
      </c>
    </row>
    <row r="1100" ht="12.75" customHeight="1" s="60">
      <c r="A1100" s="75">
        <f>Report!C1450</f>
        <v/>
      </c>
      <c r="B1100" s="59">
        <f>Report!E1450</f>
        <v/>
      </c>
      <c r="C1100" s="77">
        <f>Report!U1450</f>
        <v/>
      </c>
      <c r="D1100" s="59">
        <f>Report!X1450</f>
        <v/>
      </c>
    </row>
    <row r="1101" ht="12.75" customHeight="1" s="60">
      <c r="A1101" s="75">
        <f>Report!C1451</f>
        <v/>
      </c>
      <c r="B1101" s="59">
        <f>Report!E1451</f>
        <v/>
      </c>
      <c r="C1101" s="77">
        <f>Report!U1451</f>
        <v/>
      </c>
      <c r="D1101" s="59">
        <f>Report!X1451</f>
        <v/>
      </c>
    </row>
    <row r="1102" ht="12.75" customHeight="1" s="60">
      <c r="A1102" s="75">
        <f>Report!C1452</f>
        <v/>
      </c>
      <c r="B1102" s="59">
        <f>Report!E1452</f>
        <v/>
      </c>
      <c r="C1102" s="77">
        <f>Report!U1452</f>
        <v/>
      </c>
      <c r="D1102" s="59">
        <f>Report!X1452</f>
        <v/>
      </c>
    </row>
    <row r="1103" ht="12.75" customHeight="1" s="60">
      <c r="A1103" s="75">
        <f>Report!C1453</f>
        <v/>
      </c>
      <c r="B1103" s="59">
        <f>Report!E1453</f>
        <v/>
      </c>
      <c r="C1103" s="77">
        <f>Report!U1453</f>
        <v/>
      </c>
      <c r="D1103" s="59">
        <f>Report!X1453</f>
        <v/>
      </c>
    </row>
    <row r="1104" ht="12.75" customHeight="1" s="60">
      <c r="A1104" s="75">
        <f>Report!C1454</f>
        <v/>
      </c>
      <c r="B1104" s="59">
        <f>Report!E1454</f>
        <v/>
      </c>
      <c r="C1104" s="77">
        <f>Report!U1454</f>
        <v/>
      </c>
      <c r="D1104" s="59">
        <f>Report!X1454</f>
        <v/>
      </c>
    </row>
    <row r="1105" ht="12.75" customHeight="1" s="60">
      <c r="A1105" s="75">
        <f>Report!C1455</f>
        <v/>
      </c>
      <c r="B1105" s="59">
        <f>Report!E1455</f>
        <v/>
      </c>
      <c r="C1105" s="77">
        <f>Report!U1455</f>
        <v/>
      </c>
      <c r="D1105" s="59">
        <f>Report!X1455</f>
        <v/>
      </c>
    </row>
    <row r="1106" ht="12.75" customHeight="1" s="60">
      <c r="A1106" s="75">
        <f>Report!C1456</f>
        <v/>
      </c>
      <c r="B1106" s="59">
        <f>Report!E1456</f>
        <v/>
      </c>
      <c r="C1106" s="77">
        <f>Report!U1456</f>
        <v/>
      </c>
      <c r="D1106" s="59">
        <f>Report!X1456</f>
        <v/>
      </c>
    </row>
    <row r="1107" ht="12.75" customHeight="1" s="60">
      <c r="A1107" s="75">
        <f>Report!C1457</f>
        <v/>
      </c>
      <c r="B1107" s="59">
        <f>Report!E1457</f>
        <v/>
      </c>
      <c r="C1107" s="77">
        <f>Report!U1457</f>
        <v/>
      </c>
      <c r="D1107" s="59">
        <f>Report!X1457</f>
        <v/>
      </c>
    </row>
    <row r="1108" ht="12.75" customHeight="1" s="60">
      <c r="A1108" s="75">
        <f>Report!C1458</f>
        <v/>
      </c>
      <c r="B1108" s="59">
        <f>Report!E1458</f>
        <v/>
      </c>
      <c r="C1108" s="77">
        <f>Report!U1458</f>
        <v/>
      </c>
      <c r="D1108" s="59">
        <f>Report!X1458</f>
        <v/>
      </c>
    </row>
    <row r="1109" ht="12.75" customHeight="1" s="60">
      <c r="A1109" s="75">
        <f>Report!C1459</f>
        <v/>
      </c>
      <c r="B1109" s="59">
        <f>Report!E1459</f>
        <v/>
      </c>
      <c r="C1109" s="77">
        <f>Report!U1459</f>
        <v/>
      </c>
      <c r="D1109" s="59">
        <f>Report!X1459</f>
        <v/>
      </c>
    </row>
    <row r="1110" ht="12.75" customHeight="1" s="60">
      <c r="A1110" s="75">
        <f>Report!C1460</f>
        <v/>
      </c>
      <c r="B1110" s="59">
        <f>Report!E1460</f>
        <v/>
      </c>
      <c r="C1110" s="77">
        <f>Report!U1460</f>
        <v/>
      </c>
      <c r="D1110" s="59">
        <f>Report!X1460</f>
        <v/>
      </c>
    </row>
    <row r="1111" ht="12.75" customHeight="1" s="60">
      <c r="A1111" s="75">
        <f>Report!C1461</f>
        <v/>
      </c>
      <c r="B1111" s="59">
        <f>Report!E1461</f>
        <v/>
      </c>
      <c r="C1111" s="77">
        <f>Report!U1461</f>
        <v/>
      </c>
      <c r="D1111" s="59">
        <f>Report!X1461</f>
        <v/>
      </c>
    </row>
    <row r="1112" ht="12.75" customHeight="1" s="60">
      <c r="A1112" s="75">
        <f>Report!C1462</f>
        <v/>
      </c>
      <c r="B1112" s="59">
        <f>Report!E1462</f>
        <v/>
      </c>
      <c r="C1112" s="77">
        <f>Report!U1462</f>
        <v/>
      </c>
      <c r="D1112" s="59">
        <f>Report!X1462</f>
        <v/>
      </c>
    </row>
    <row r="1113" ht="12.75" customHeight="1" s="60">
      <c r="A1113" s="75">
        <f>Report!C1463</f>
        <v/>
      </c>
      <c r="B1113" s="59">
        <f>Report!E1463</f>
        <v/>
      </c>
      <c r="C1113" s="77">
        <f>Report!U1463</f>
        <v/>
      </c>
      <c r="D1113" s="59">
        <f>Report!X1463</f>
        <v/>
      </c>
    </row>
    <row r="1114" ht="12.75" customHeight="1" s="60">
      <c r="A1114" s="75">
        <f>Report!C1464</f>
        <v/>
      </c>
      <c r="B1114" s="59">
        <f>Report!E1464</f>
        <v/>
      </c>
      <c r="C1114" s="77">
        <f>Report!U1464</f>
        <v/>
      </c>
      <c r="D1114" s="59">
        <f>Report!X1464</f>
        <v/>
      </c>
    </row>
    <row r="1115" ht="12.75" customHeight="1" s="60">
      <c r="A1115" s="75">
        <f>Report!C1465</f>
        <v/>
      </c>
      <c r="B1115" s="59">
        <f>Report!E1465</f>
        <v/>
      </c>
      <c r="C1115" s="77">
        <f>Report!U1465</f>
        <v/>
      </c>
      <c r="D1115" s="59">
        <f>Report!X1465</f>
        <v/>
      </c>
    </row>
    <row r="1116" ht="12.75" customHeight="1" s="60">
      <c r="A1116" s="75">
        <f>Report!C1469</f>
        <v/>
      </c>
      <c r="B1116" s="59">
        <f>Report!E1469</f>
        <v/>
      </c>
      <c r="C1116" s="77">
        <f>Report!U1469</f>
        <v/>
      </c>
      <c r="D1116" s="59">
        <f>Report!X1469</f>
        <v/>
      </c>
    </row>
    <row r="1117" ht="12.75" customHeight="1" s="60">
      <c r="A1117" s="75">
        <f>Report!C1470</f>
        <v/>
      </c>
      <c r="B1117" s="59">
        <f>Report!E1470</f>
        <v/>
      </c>
      <c r="C1117" s="77">
        <f>Report!U1470</f>
        <v/>
      </c>
      <c r="D1117" s="59">
        <f>Report!X1470</f>
        <v/>
      </c>
    </row>
    <row r="1118" ht="12.75" customHeight="1" s="60">
      <c r="A1118" s="75">
        <f>Report!C1472</f>
        <v/>
      </c>
      <c r="B1118" s="59">
        <f>Report!E1472</f>
        <v/>
      </c>
      <c r="C1118" s="77">
        <f>Report!U1472</f>
        <v/>
      </c>
      <c r="D1118" s="59">
        <f>Report!X1472</f>
        <v/>
      </c>
    </row>
    <row r="1119" ht="12.75" customHeight="1" s="60">
      <c r="A1119" s="75">
        <f>Report!C1473</f>
        <v/>
      </c>
      <c r="B1119" s="59">
        <f>Report!E1473</f>
        <v/>
      </c>
      <c r="C1119" s="77">
        <f>Report!U1473</f>
        <v/>
      </c>
      <c r="D1119" s="59">
        <f>Report!X1473</f>
        <v/>
      </c>
    </row>
    <row r="1120" ht="12.75" customHeight="1" s="60">
      <c r="A1120" s="75">
        <f>Report!C1477</f>
        <v/>
      </c>
      <c r="B1120" s="59">
        <f>Report!E1477</f>
        <v/>
      </c>
      <c r="C1120" s="77">
        <f>Report!U1477</f>
        <v/>
      </c>
      <c r="D1120" s="59">
        <f>Report!X1477</f>
        <v/>
      </c>
    </row>
    <row r="1121" ht="12.75" customHeight="1" s="60">
      <c r="A1121" s="75">
        <f>Report!C1478</f>
        <v/>
      </c>
      <c r="B1121" s="59">
        <f>Report!E1478</f>
        <v/>
      </c>
      <c r="C1121" s="77">
        <f>Report!U1478</f>
        <v/>
      </c>
      <c r="D1121" s="59">
        <f>Report!X1478</f>
        <v/>
      </c>
    </row>
    <row r="1122" ht="12.75" customHeight="1" s="60">
      <c r="A1122" s="75">
        <f>Report!C1479</f>
        <v/>
      </c>
      <c r="B1122" s="59">
        <f>Report!E1479</f>
        <v/>
      </c>
      <c r="C1122" s="77">
        <f>Report!U1479</f>
        <v/>
      </c>
      <c r="D1122" s="59">
        <f>Report!X1479</f>
        <v/>
      </c>
    </row>
    <row r="1123" ht="12.75" customHeight="1" s="60">
      <c r="A1123" s="75">
        <f>Report!C1480</f>
        <v/>
      </c>
      <c r="B1123" s="59">
        <f>Report!E1480</f>
        <v/>
      </c>
      <c r="C1123" s="77">
        <f>Report!U1480</f>
        <v/>
      </c>
      <c r="D1123" s="59">
        <f>Report!X1480</f>
        <v/>
      </c>
    </row>
    <row r="1124" ht="12.75" customHeight="1" s="60">
      <c r="A1124" s="75">
        <f>Report!C1481</f>
        <v/>
      </c>
      <c r="B1124" s="59">
        <f>Report!E1481</f>
        <v/>
      </c>
      <c r="C1124" s="77">
        <f>Report!U1481</f>
        <v/>
      </c>
      <c r="D1124" s="59">
        <f>Report!X1481</f>
        <v/>
      </c>
    </row>
    <row r="1125" ht="12.75" customHeight="1" s="60">
      <c r="A1125" s="75">
        <f>Report!C1482</f>
        <v/>
      </c>
      <c r="B1125" s="59">
        <f>Report!E1482</f>
        <v/>
      </c>
      <c r="C1125" s="77">
        <f>Report!U1482</f>
        <v/>
      </c>
      <c r="D1125" s="59">
        <f>Report!X1482</f>
        <v/>
      </c>
    </row>
    <row r="1126" ht="12.75" customHeight="1" s="60">
      <c r="A1126" s="75">
        <f>Report!C1483</f>
        <v/>
      </c>
      <c r="B1126" s="59">
        <f>Report!E1483</f>
        <v/>
      </c>
      <c r="C1126" s="77">
        <f>Report!U1483</f>
        <v/>
      </c>
      <c r="D1126" s="59">
        <f>Report!X1483</f>
        <v/>
      </c>
    </row>
    <row r="1127" ht="12.75" customHeight="1" s="60">
      <c r="A1127" s="75">
        <f>Report!C1484</f>
        <v/>
      </c>
      <c r="B1127" s="59">
        <f>Report!E1484</f>
        <v/>
      </c>
      <c r="C1127" s="77">
        <f>Report!U1484</f>
        <v/>
      </c>
      <c r="D1127" s="59">
        <f>Report!X1484</f>
        <v/>
      </c>
    </row>
    <row r="1128" ht="12.75" customHeight="1" s="60">
      <c r="A1128" s="75">
        <f>Report!C1485</f>
        <v/>
      </c>
      <c r="B1128" s="59">
        <f>Report!E1485</f>
        <v/>
      </c>
      <c r="C1128" s="77">
        <f>Report!U1485</f>
        <v/>
      </c>
      <c r="D1128" s="59">
        <f>Report!X1485</f>
        <v/>
      </c>
    </row>
    <row r="1129" ht="12.75" customHeight="1" s="60">
      <c r="A1129" s="75">
        <f>Report!C1486</f>
        <v/>
      </c>
      <c r="B1129" s="59">
        <f>Report!E1486</f>
        <v/>
      </c>
      <c r="C1129" s="77">
        <f>Report!U1486</f>
        <v/>
      </c>
      <c r="D1129" s="59">
        <f>Report!X1486</f>
        <v/>
      </c>
    </row>
    <row r="1130" ht="12.75" customHeight="1" s="60">
      <c r="A1130" s="75">
        <f>Report!C1487</f>
        <v/>
      </c>
      <c r="B1130" s="59">
        <f>Report!E1487</f>
        <v/>
      </c>
      <c r="C1130" s="77">
        <f>Report!U1487</f>
        <v/>
      </c>
      <c r="D1130" s="59">
        <f>Report!X1487</f>
        <v/>
      </c>
    </row>
    <row r="1131" ht="12.75" customHeight="1" s="60">
      <c r="A1131" s="75">
        <f>Report!C1488</f>
        <v/>
      </c>
      <c r="B1131" s="59">
        <f>Report!E1488</f>
        <v/>
      </c>
      <c r="C1131" s="77">
        <f>Report!U1488</f>
        <v/>
      </c>
      <c r="D1131" s="59">
        <f>Report!X1488</f>
        <v/>
      </c>
    </row>
    <row r="1132" ht="12.75" customHeight="1" s="60">
      <c r="A1132" s="75">
        <f>Report!C1489</f>
        <v/>
      </c>
      <c r="B1132" s="59">
        <f>Report!E1489</f>
        <v/>
      </c>
      <c r="C1132" s="77">
        <f>Report!U1489</f>
        <v/>
      </c>
      <c r="D1132" s="59">
        <f>Report!X1489</f>
        <v/>
      </c>
    </row>
    <row r="1133" ht="12.75" customHeight="1" s="60">
      <c r="A1133" s="75">
        <f>Report!C1490</f>
        <v/>
      </c>
      <c r="B1133" s="59">
        <f>Report!E1490</f>
        <v/>
      </c>
      <c r="C1133" s="77">
        <f>Report!U1490</f>
        <v/>
      </c>
      <c r="D1133" s="59">
        <f>Report!X1490</f>
        <v/>
      </c>
    </row>
    <row r="1134" ht="12.75" customHeight="1" s="60">
      <c r="A1134" s="75">
        <f>Report!C1491</f>
        <v/>
      </c>
      <c r="B1134" s="59">
        <f>Report!E1491</f>
        <v/>
      </c>
      <c r="C1134" s="77">
        <f>Report!U1491</f>
        <v/>
      </c>
      <c r="D1134" s="59">
        <f>Report!X1491</f>
        <v/>
      </c>
    </row>
    <row r="1135" ht="12.75" customHeight="1" s="60">
      <c r="A1135" s="75">
        <f>Report!C1492</f>
        <v/>
      </c>
      <c r="B1135" s="59">
        <f>Report!E1492</f>
        <v/>
      </c>
      <c r="C1135" s="77">
        <f>Report!U1492</f>
        <v/>
      </c>
      <c r="D1135" s="59">
        <f>Report!X1492</f>
        <v/>
      </c>
    </row>
    <row r="1136" ht="12.75" customHeight="1" s="60">
      <c r="A1136" s="75">
        <f>Report!C1493</f>
        <v/>
      </c>
      <c r="B1136" s="59">
        <f>Report!E1493</f>
        <v/>
      </c>
      <c r="C1136" s="77">
        <f>Report!U1493</f>
        <v/>
      </c>
      <c r="D1136" s="59">
        <f>Report!X1493</f>
        <v/>
      </c>
    </row>
    <row r="1137" ht="12.75" customHeight="1" s="60">
      <c r="A1137" s="75">
        <f>Report!C1495</f>
        <v/>
      </c>
      <c r="B1137" s="59">
        <f>Report!E1495</f>
        <v/>
      </c>
      <c r="C1137" s="77">
        <f>Report!U1495</f>
        <v/>
      </c>
      <c r="D1137" s="59">
        <f>Report!X1495</f>
        <v/>
      </c>
    </row>
    <row r="1138" ht="12.75" customHeight="1" s="60">
      <c r="A1138" s="75">
        <f>Report!C1496</f>
        <v/>
      </c>
      <c r="B1138" s="59">
        <f>Report!E1496</f>
        <v/>
      </c>
      <c r="C1138" s="77">
        <f>Report!U1496</f>
        <v/>
      </c>
      <c r="D1138" s="59">
        <f>Report!X1496</f>
        <v/>
      </c>
    </row>
    <row r="1139" ht="12.75" customHeight="1" s="60">
      <c r="A1139" s="75">
        <f>Report!C1497</f>
        <v/>
      </c>
      <c r="B1139" s="59">
        <f>Report!E1497</f>
        <v/>
      </c>
      <c r="C1139" s="77">
        <f>Report!U1497</f>
        <v/>
      </c>
      <c r="D1139" s="59">
        <f>Report!X1497</f>
        <v/>
      </c>
    </row>
    <row r="1140" ht="12.75" customHeight="1" s="60">
      <c r="A1140" s="75">
        <f>Report!C1500</f>
        <v/>
      </c>
      <c r="B1140" s="59">
        <f>Report!E1500</f>
        <v/>
      </c>
      <c r="C1140" s="77">
        <f>Report!U1500</f>
        <v/>
      </c>
      <c r="D1140" s="59">
        <f>Report!X1500</f>
        <v/>
      </c>
    </row>
    <row r="1141" ht="12.75" customHeight="1" s="60">
      <c r="A1141" s="75">
        <f>Report!C1501</f>
        <v/>
      </c>
      <c r="B1141" s="59">
        <f>Report!E1501</f>
        <v/>
      </c>
      <c r="C1141" s="77">
        <f>Report!U1501</f>
        <v/>
      </c>
      <c r="D1141" s="59">
        <f>Report!X1501</f>
        <v/>
      </c>
    </row>
    <row r="1142" ht="12.75" customHeight="1" s="60">
      <c r="A1142" s="75">
        <f>Report!C1502</f>
        <v/>
      </c>
      <c r="B1142" s="59">
        <f>Report!E1502</f>
        <v/>
      </c>
      <c r="C1142" s="77">
        <f>Report!U1502</f>
        <v/>
      </c>
      <c r="D1142" s="59">
        <f>Report!X1502</f>
        <v/>
      </c>
    </row>
    <row r="1143" ht="12.75" customHeight="1" s="60">
      <c r="A1143" s="75">
        <f>Report!C1505</f>
        <v/>
      </c>
      <c r="B1143" s="59">
        <f>Report!E1505</f>
        <v/>
      </c>
      <c r="C1143" s="77">
        <f>Report!U1505</f>
        <v/>
      </c>
      <c r="D1143" s="59">
        <f>Report!X1505</f>
        <v/>
      </c>
    </row>
    <row r="1144" ht="12.75" customHeight="1" s="60">
      <c r="A1144" s="75">
        <f>Report!C1506</f>
        <v/>
      </c>
      <c r="B1144" s="59">
        <f>Report!E1506</f>
        <v/>
      </c>
      <c r="C1144" s="77">
        <f>Report!U1506</f>
        <v/>
      </c>
      <c r="D1144" s="59">
        <f>Report!X1506</f>
        <v/>
      </c>
    </row>
    <row r="1145" ht="12.75" customHeight="1" s="60">
      <c r="A1145" s="75">
        <f>Report!C1507</f>
        <v/>
      </c>
      <c r="B1145" s="59">
        <f>Report!E1507</f>
        <v/>
      </c>
      <c r="C1145" s="77">
        <f>Report!U1507</f>
        <v/>
      </c>
      <c r="D1145" s="59">
        <f>Report!X1507</f>
        <v/>
      </c>
    </row>
    <row r="1146" ht="12.75" customHeight="1" s="60">
      <c r="A1146" s="75">
        <f>Report!C1510</f>
        <v/>
      </c>
      <c r="B1146" s="59">
        <f>Report!E1510</f>
        <v/>
      </c>
      <c r="C1146" s="77">
        <f>Report!U1510</f>
        <v/>
      </c>
      <c r="D1146" s="59">
        <f>Report!X1510</f>
        <v/>
      </c>
    </row>
    <row r="1147" ht="12.75" customHeight="1" s="60">
      <c r="A1147" s="75">
        <f>Report!C1511</f>
        <v/>
      </c>
      <c r="B1147" s="59">
        <f>Report!E1511</f>
        <v/>
      </c>
      <c r="C1147" s="77">
        <f>Report!U1511</f>
        <v/>
      </c>
      <c r="D1147" s="59">
        <f>Report!X1511</f>
        <v/>
      </c>
    </row>
    <row r="1148" ht="12.75" customHeight="1" s="60">
      <c r="A1148" s="75">
        <f>Report!C1512</f>
        <v/>
      </c>
      <c r="B1148" s="59">
        <f>Report!E1512</f>
        <v/>
      </c>
      <c r="C1148" s="77">
        <f>Report!U1512</f>
        <v/>
      </c>
      <c r="D1148" s="59">
        <f>Report!X1512</f>
        <v/>
      </c>
    </row>
    <row r="1149" ht="12.75" customHeight="1" s="60">
      <c r="A1149" s="75">
        <f>Report!C1513</f>
        <v/>
      </c>
      <c r="B1149" s="59">
        <f>Report!E1513</f>
        <v/>
      </c>
      <c r="C1149" s="77">
        <f>Report!U1513</f>
        <v/>
      </c>
      <c r="D1149" s="59">
        <f>Report!X1513</f>
        <v/>
      </c>
    </row>
    <row r="1150" ht="12.75" customHeight="1" s="60">
      <c r="A1150" s="75">
        <f>Report!C1514</f>
        <v/>
      </c>
      <c r="B1150" s="59">
        <f>Report!E1514</f>
        <v/>
      </c>
      <c r="C1150" s="77">
        <f>Report!U1514</f>
        <v/>
      </c>
      <c r="D1150" s="59">
        <f>Report!X1514</f>
        <v/>
      </c>
    </row>
    <row r="1151" ht="12.75" customHeight="1" s="60">
      <c r="A1151" s="75">
        <f>Report!C1515</f>
        <v/>
      </c>
      <c r="B1151" s="59">
        <f>Report!E1515</f>
        <v/>
      </c>
      <c r="C1151" s="77">
        <f>Report!U1515</f>
        <v/>
      </c>
      <c r="D1151" s="59">
        <f>Report!X1515</f>
        <v/>
      </c>
    </row>
    <row r="1152" ht="12.75" customHeight="1" s="60">
      <c r="A1152" s="75">
        <f>Report!C1517</f>
        <v/>
      </c>
      <c r="B1152" s="59">
        <f>Report!E1517</f>
        <v/>
      </c>
      <c r="C1152" s="77">
        <f>Report!U1517</f>
        <v/>
      </c>
      <c r="D1152" s="59">
        <f>Report!X1517</f>
        <v/>
      </c>
    </row>
    <row r="1153" ht="12.75" customHeight="1" s="60">
      <c r="A1153" s="75">
        <f>Report!C1519</f>
        <v/>
      </c>
      <c r="B1153" s="59">
        <f>Report!E1519</f>
        <v/>
      </c>
      <c r="C1153" s="77">
        <f>Report!U1519</f>
        <v/>
      </c>
      <c r="D1153" s="59">
        <f>Report!X1519</f>
        <v/>
      </c>
    </row>
    <row r="1154" ht="12.75" customHeight="1" s="60">
      <c r="A1154" s="75">
        <f>Report!C1520</f>
        <v/>
      </c>
      <c r="B1154" s="59">
        <f>Report!E1520</f>
        <v/>
      </c>
      <c r="C1154" s="77">
        <f>Report!U1520</f>
        <v/>
      </c>
      <c r="D1154" s="59">
        <f>Report!X1520</f>
        <v/>
      </c>
    </row>
    <row r="1155" ht="12.75" customHeight="1" s="60">
      <c r="A1155" s="75">
        <f>Report!C1521</f>
        <v/>
      </c>
      <c r="B1155" s="59">
        <f>Report!E1521</f>
        <v/>
      </c>
      <c r="C1155" s="77">
        <f>Report!U1521</f>
        <v/>
      </c>
      <c r="D1155" s="59">
        <f>Report!X1521</f>
        <v/>
      </c>
    </row>
    <row r="1156" ht="12.75" customHeight="1" s="60">
      <c r="A1156" s="75">
        <f>Report!C1522</f>
        <v/>
      </c>
      <c r="B1156" s="59">
        <f>Report!E1522</f>
        <v/>
      </c>
      <c r="C1156" s="77">
        <f>Report!U1522</f>
        <v/>
      </c>
      <c r="D1156" s="59">
        <f>Report!X1522</f>
        <v/>
      </c>
    </row>
    <row r="1157" ht="12.75" customHeight="1" s="60">
      <c r="A1157" s="75">
        <f>Report!C1523</f>
        <v/>
      </c>
      <c r="B1157" s="59">
        <f>Report!E1523</f>
        <v/>
      </c>
      <c r="C1157" s="77">
        <f>Report!U1523</f>
        <v/>
      </c>
      <c r="D1157" s="59">
        <f>Report!X1523</f>
        <v/>
      </c>
    </row>
    <row r="1158" ht="12.75" customHeight="1" s="60">
      <c r="A1158" s="75">
        <f>Report!C1524</f>
        <v/>
      </c>
      <c r="B1158" s="59">
        <f>Report!E1524</f>
        <v/>
      </c>
      <c r="C1158" s="77">
        <f>Report!U1524</f>
        <v/>
      </c>
      <c r="D1158" s="59">
        <f>Report!X1524</f>
        <v/>
      </c>
    </row>
    <row r="1159" ht="12.75" customHeight="1" s="60">
      <c r="A1159" s="75">
        <f>Report!C1526</f>
        <v/>
      </c>
      <c r="B1159" s="59">
        <f>Report!E1526</f>
        <v/>
      </c>
      <c r="C1159" s="77">
        <f>Report!U1526</f>
        <v/>
      </c>
      <c r="D1159" s="59">
        <f>Report!X1526</f>
        <v/>
      </c>
    </row>
    <row r="1160" ht="12.75" customHeight="1" s="60">
      <c r="A1160" s="75">
        <f>Report!C1527</f>
        <v/>
      </c>
      <c r="B1160" s="59">
        <f>Report!E1527</f>
        <v/>
      </c>
      <c r="C1160" s="77">
        <f>Report!U1527</f>
        <v/>
      </c>
      <c r="D1160" s="59">
        <f>Report!X1527</f>
        <v/>
      </c>
    </row>
    <row r="1161" ht="12.75" customHeight="1" s="60">
      <c r="A1161" s="75">
        <f>Report!C1528</f>
        <v/>
      </c>
      <c r="B1161" s="59">
        <f>Report!E1528</f>
        <v/>
      </c>
      <c r="C1161" s="77">
        <f>Report!U1528</f>
        <v/>
      </c>
      <c r="D1161" s="59">
        <f>Report!X1528</f>
        <v/>
      </c>
    </row>
    <row r="1162" ht="12.75" customHeight="1" s="60">
      <c r="A1162" s="75">
        <f>Report!C1529</f>
        <v/>
      </c>
      <c r="B1162" s="59">
        <f>Report!E1529</f>
        <v/>
      </c>
      <c r="C1162" s="77">
        <f>Report!U1529</f>
        <v/>
      </c>
      <c r="D1162" s="59">
        <f>Report!X1529</f>
        <v/>
      </c>
    </row>
    <row r="1163" ht="12.75" customHeight="1" s="60">
      <c r="A1163" s="75">
        <f>Report!C1530</f>
        <v/>
      </c>
      <c r="B1163" s="59">
        <f>Report!E1530</f>
        <v/>
      </c>
      <c r="C1163" s="77">
        <f>Report!U1530</f>
        <v/>
      </c>
      <c r="D1163" s="59">
        <f>Report!X1530</f>
        <v/>
      </c>
    </row>
    <row r="1164" ht="12.75" customHeight="1" s="60">
      <c r="A1164" s="75">
        <f>Report!C1531</f>
        <v/>
      </c>
      <c r="B1164" s="59">
        <f>Report!E1531</f>
        <v/>
      </c>
      <c r="C1164" s="77">
        <f>Report!U1531</f>
        <v/>
      </c>
      <c r="D1164" s="59">
        <f>Report!X1531</f>
        <v/>
      </c>
    </row>
    <row r="1165" ht="12.75" customHeight="1" s="60">
      <c r="A1165" s="75">
        <f>Report!C1532</f>
        <v/>
      </c>
      <c r="B1165" s="59">
        <f>Report!E1532</f>
        <v/>
      </c>
      <c r="C1165" s="77">
        <f>Report!U1532</f>
        <v/>
      </c>
      <c r="D1165" s="59">
        <f>Report!X1532</f>
        <v/>
      </c>
    </row>
    <row r="1166" ht="12.75" customHeight="1" s="60">
      <c r="A1166" s="75">
        <f>Report!C1533</f>
        <v/>
      </c>
      <c r="B1166" s="59">
        <f>Report!E1533</f>
        <v/>
      </c>
      <c r="C1166" s="77">
        <f>Report!U1533</f>
        <v/>
      </c>
      <c r="D1166" s="59">
        <f>Report!X1533</f>
        <v/>
      </c>
    </row>
    <row r="1167" ht="12.75" customHeight="1" s="60">
      <c r="A1167" s="75">
        <f>Report!C1534</f>
        <v/>
      </c>
      <c r="B1167" s="59">
        <f>Report!E1534</f>
        <v/>
      </c>
      <c r="C1167" s="77">
        <f>Report!U1534</f>
        <v/>
      </c>
      <c r="D1167" s="59">
        <f>Report!X1534</f>
        <v/>
      </c>
    </row>
    <row r="1168" ht="12.75" customHeight="1" s="60">
      <c r="A1168" s="75">
        <f>Report!C1535</f>
        <v/>
      </c>
      <c r="B1168" s="59">
        <f>Report!E1535</f>
        <v/>
      </c>
      <c r="C1168" s="77">
        <f>Report!U1535</f>
        <v/>
      </c>
      <c r="D1168" s="59">
        <f>Report!X1535</f>
        <v/>
      </c>
    </row>
    <row r="1169" ht="12.75" customHeight="1" s="60">
      <c r="A1169" s="75">
        <f>Report!C1536</f>
        <v/>
      </c>
      <c r="B1169" s="59">
        <f>Report!E1536</f>
        <v/>
      </c>
      <c r="C1169" s="77">
        <f>Report!U1536</f>
        <v/>
      </c>
      <c r="D1169" s="59">
        <f>Report!X1536</f>
        <v/>
      </c>
    </row>
    <row r="1170" ht="12.75" customHeight="1" s="60">
      <c r="A1170" s="75">
        <f>Report!C1537</f>
        <v/>
      </c>
      <c r="B1170" s="59">
        <f>Report!E1537</f>
        <v/>
      </c>
      <c r="C1170" s="77">
        <f>Report!U1537</f>
        <v/>
      </c>
      <c r="D1170" s="59">
        <f>Report!X1537</f>
        <v/>
      </c>
    </row>
    <row r="1171" ht="12.75" customHeight="1" s="60">
      <c r="A1171" s="75">
        <f>Report!C1538</f>
        <v/>
      </c>
      <c r="B1171" s="59">
        <f>Report!E1538</f>
        <v/>
      </c>
      <c r="C1171" s="77">
        <f>Report!U1538</f>
        <v/>
      </c>
      <c r="D1171" s="59">
        <f>Report!X1538</f>
        <v/>
      </c>
    </row>
    <row r="1172" ht="12.75" customHeight="1" s="60">
      <c r="A1172" s="75">
        <f>Report!C1539</f>
        <v/>
      </c>
      <c r="B1172" s="59">
        <f>Report!E1539</f>
        <v/>
      </c>
      <c r="C1172" s="77">
        <f>Report!U1539</f>
        <v/>
      </c>
      <c r="D1172" s="59">
        <f>Report!X1539</f>
        <v/>
      </c>
    </row>
    <row r="1173" ht="12.75" customHeight="1" s="60">
      <c r="A1173" s="75">
        <f>Report!C1540</f>
        <v/>
      </c>
      <c r="B1173" s="59">
        <f>Report!E1540</f>
        <v/>
      </c>
      <c r="C1173" s="77">
        <f>Report!U1540</f>
        <v/>
      </c>
      <c r="D1173" s="59">
        <f>Report!X1540</f>
        <v/>
      </c>
    </row>
    <row r="1174" ht="12.75" customHeight="1" s="60">
      <c r="A1174" s="75">
        <f>Report!C1541</f>
        <v/>
      </c>
      <c r="B1174" s="59">
        <f>Report!E1541</f>
        <v/>
      </c>
      <c r="C1174" s="77">
        <f>Report!U1541</f>
        <v/>
      </c>
      <c r="D1174" s="59">
        <f>Report!X1541</f>
        <v/>
      </c>
    </row>
    <row r="1175" ht="12.75" customHeight="1" s="60">
      <c r="A1175" s="75">
        <f>Report!C1543</f>
        <v/>
      </c>
      <c r="B1175" s="59">
        <f>Report!E1543</f>
        <v/>
      </c>
      <c r="C1175" s="77">
        <f>Report!U1543</f>
        <v/>
      </c>
      <c r="D1175" s="59">
        <f>Report!X1543</f>
        <v/>
      </c>
    </row>
    <row r="1176" ht="12.75" customHeight="1" s="60">
      <c r="A1176" s="75">
        <f>Report!C1544</f>
        <v/>
      </c>
      <c r="B1176" s="59">
        <f>Report!E1544</f>
        <v/>
      </c>
      <c r="C1176" s="77">
        <f>Report!U1544</f>
        <v/>
      </c>
      <c r="D1176" s="59">
        <f>Report!X1544</f>
        <v/>
      </c>
    </row>
    <row r="1177" ht="12.75" customHeight="1" s="60">
      <c r="A1177" s="75">
        <f>Report!C1545</f>
        <v/>
      </c>
      <c r="B1177" s="59">
        <f>Report!E1545</f>
        <v/>
      </c>
      <c r="C1177" s="77">
        <f>Report!U1545</f>
        <v/>
      </c>
      <c r="D1177" s="59">
        <f>Report!X1545</f>
        <v/>
      </c>
    </row>
    <row r="1178" ht="12.75" customHeight="1" s="60">
      <c r="A1178" s="75">
        <f>Report!C1546</f>
        <v/>
      </c>
      <c r="B1178" s="59">
        <f>Report!E1546</f>
        <v/>
      </c>
      <c r="C1178" s="77">
        <f>Report!U1546</f>
        <v/>
      </c>
      <c r="D1178" s="59">
        <f>Report!X1546</f>
        <v/>
      </c>
    </row>
    <row r="1179" ht="12.75" customHeight="1" s="60">
      <c r="A1179" s="75">
        <f>Report!C1547</f>
        <v/>
      </c>
      <c r="B1179" s="59">
        <f>Report!E1547</f>
        <v/>
      </c>
      <c r="C1179" s="77">
        <f>Report!U1547</f>
        <v/>
      </c>
      <c r="D1179" s="59">
        <f>Report!X1547</f>
        <v/>
      </c>
    </row>
    <row r="1180" ht="12.75" customHeight="1" s="60">
      <c r="A1180" s="75">
        <f>Report!C1548</f>
        <v/>
      </c>
      <c r="B1180" s="59">
        <f>Report!E1548</f>
        <v/>
      </c>
      <c r="C1180" s="77">
        <f>Report!U1548</f>
        <v/>
      </c>
      <c r="D1180" s="59">
        <f>Report!X1548</f>
        <v/>
      </c>
    </row>
    <row r="1181" ht="12.75" customHeight="1" s="60">
      <c r="A1181" s="75">
        <f>Report!C1549</f>
        <v/>
      </c>
      <c r="B1181" s="59">
        <f>Report!E1549</f>
        <v/>
      </c>
      <c r="C1181" s="77">
        <f>Report!U1549</f>
        <v/>
      </c>
      <c r="D1181" s="59">
        <f>Report!X1549</f>
        <v/>
      </c>
    </row>
    <row r="1182" ht="12.75" customHeight="1" s="60">
      <c r="A1182" s="75">
        <f>Report!C1550</f>
        <v/>
      </c>
      <c r="B1182" s="59">
        <f>Report!E1550</f>
        <v/>
      </c>
      <c r="C1182" s="77">
        <f>Report!U1550</f>
        <v/>
      </c>
      <c r="D1182" s="59">
        <f>Report!X1550</f>
        <v/>
      </c>
    </row>
    <row r="1183" ht="12.75" customHeight="1" s="60">
      <c r="A1183" s="75">
        <f>Report!C1551</f>
        <v/>
      </c>
      <c r="B1183" s="59">
        <f>Report!E1551</f>
        <v/>
      </c>
      <c r="C1183" s="77">
        <f>Report!U1551</f>
        <v/>
      </c>
      <c r="D1183" s="59">
        <f>Report!X1551</f>
        <v/>
      </c>
    </row>
    <row r="1184" ht="12.75" customHeight="1" s="60">
      <c r="A1184" s="75">
        <f>Report!C1553</f>
        <v/>
      </c>
      <c r="B1184" s="59">
        <f>Report!E1553</f>
        <v/>
      </c>
      <c r="C1184" s="77">
        <f>Report!U1553</f>
        <v/>
      </c>
      <c r="D1184" s="59">
        <f>Report!X1553</f>
        <v/>
      </c>
    </row>
    <row r="1185" ht="12.75" customHeight="1" s="60">
      <c r="A1185" s="75">
        <f>Report!C1554</f>
        <v/>
      </c>
      <c r="B1185" s="59">
        <f>Report!E1554</f>
        <v/>
      </c>
      <c r="C1185" s="77">
        <f>Report!U1554</f>
        <v/>
      </c>
      <c r="D1185" s="59">
        <f>Report!X1554</f>
        <v/>
      </c>
    </row>
    <row r="1186" ht="12.75" customHeight="1" s="60">
      <c r="A1186" s="75">
        <f>Report!C1555</f>
        <v/>
      </c>
      <c r="B1186" s="59">
        <f>Report!E1555</f>
        <v/>
      </c>
      <c r="C1186" s="77">
        <f>Report!U1555</f>
        <v/>
      </c>
      <c r="D1186" s="59">
        <f>Report!X1555</f>
        <v/>
      </c>
    </row>
    <row r="1187" ht="12.75" customHeight="1" s="60">
      <c r="A1187" s="75">
        <f>Report!C1558</f>
        <v/>
      </c>
      <c r="B1187" s="59">
        <f>Report!E1558</f>
        <v/>
      </c>
      <c r="C1187" s="77">
        <f>Report!U1558</f>
        <v/>
      </c>
      <c r="D1187" s="59">
        <f>Report!X1558</f>
        <v/>
      </c>
    </row>
    <row r="1188" ht="12.75" customHeight="1" s="60">
      <c r="A1188" s="75">
        <f>Report!C1559</f>
        <v/>
      </c>
      <c r="B1188" s="59">
        <f>Report!E1559</f>
        <v/>
      </c>
      <c r="C1188" s="77">
        <f>Report!U1559</f>
        <v/>
      </c>
      <c r="D1188" s="59">
        <f>Report!X1559</f>
        <v/>
      </c>
    </row>
    <row r="1189" ht="12.75" customHeight="1" s="60">
      <c r="A1189" s="75">
        <f>Report!C1560</f>
        <v/>
      </c>
      <c r="B1189" s="59">
        <f>Report!E1560</f>
        <v/>
      </c>
      <c r="C1189" s="77">
        <f>Report!U1560</f>
        <v/>
      </c>
      <c r="D1189" s="59">
        <f>Report!X1560</f>
        <v/>
      </c>
    </row>
    <row r="1190" ht="12.75" customHeight="1" s="60">
      <c r="A1190" s="75">
        <f>Report!C1561</f>
        <v/>
      </c>
      <c r="B1190" s="59">
        <f>Report!E1561</f>
        <v/>
      </c>
      <c r="C1190" s="77">
        <f>Report!U1561</f>
        <v/>
      </c>
      <c r="D1190" s="59">
        <f>Report!X1561</f>
        <v/>
      </c>
    </row>
    <row r="1191" ht="12.75" customHeight="1" s="60">
      <c r="A1191" s="75">
        <f>Report!C1563</f>
        <v/>
      </c>
      <c r="B1191" s="59">
        <f>Report!E1563</f>
        <v/>
      </c>
      <c r="C1191" s="77">
        <f>Report!U1563</f>
        <v/>
      </c>
      <c r="D1191" s="59">
        <f>Report!X1563</f>
        <v/>
      </c>
    </row>
    <row r="1192" ht="12.75" customHeight="1" s="60">
      <c r="A1192" s="75">
        <f>Report!C1564</f>
        <v/>
      </c>
      <c r="B1192" s="59">
        <f>Report!E1564</f>
        <v/>
      </c>
      <c r="C1192" s="77">
        <f>Report!U1564</f>
        <v/>
      </c>
      <c r="D1192" s="59">
        <f>Report!X1564</f>
        <v/>
      </c>
    </row>
    <row r="1193" ht="12.75" customHeight="1" s="60">
      <c r="A1193" s="75">
        <f>Report!C1565</f>
        <v/>
      </c>
      <c r="B1193" s="59">
        <f>Report!E1565</f>
        <v/>
      </c>
      <c r="C1193" s="77">
        <f>Report!U1565</f>
        <v/>
      </c>
      <c r="D1193" s="59">
        <f>Report!X1565</f>
        <v/>
      </c>
    </row>
    <row r="1194" ht="12.75" customHeight="1" s="60">
      <c r="A1194" s="75">
        <f>Report!C1566</f>
        <v/>
      </c>
      <c r="B1194" s="59">
        <f>Report!E1566</f>
        <v/>
      </c>
      <c r="C1194" s="77">
        <f>Report!U1566</f>
        <v/>
      </c>
      <c r="D1194" s="59">
        <f>Report!X1566</f>
        <v/>
      </c>
    </row>
    <row r="1195" ht="12.75" customHeight="1" s="60">
      <c r="A1195" s="75">
        <f>Report!C1567</f>
        <v/>
      </c>
      <c r="B1195" s="59">
        <f>Report!E1567</f>
        <v/>
      </c>
      <c r="C1195" s="77">
        <f>Report!U1567</f>
        <v/>
      </c>
      <c r="D1195" s="59">
        <f>Report!X1567</f>
        <v/>
      </c>
    </row>
    <row r="1196" ht="12.75" customHeight="1" s="60">
      <c r="A1196" s="75">
        <f>Report!C1568</f>
        <v/>
      </c>
      <c r="B1196" s="59">
        <f>Report!E1568</f>
        <v/>
      </c>
      <c r="C1196" s="77">
        <f>Report!U1568</f>
        <v/>
      </c>
      <c r="D1196" s="59">
        <f>Report!X1568</f>
        <v/>
      </c>
    </row>
    <row r="1197" ht="12.75" customHeight="1" s="60">
      <c r="A1197" s="75">
        <f>Report!C1569</f>
        <v/>
      </c>
      <c r="B1197" s="59">
        <f>Report!E1569</f>
        <v/>
      </c>
      <c r="C1197" s="77">
        <f>Report!U1569</f>
        <v/>
      </c>
      <c r="D1197" s="59">
        <f>Report!X1569</f>
        <v/>
      </c>
    </row>
    <row r="1198" ht="12.75" customHeight="1" s="60">
      <c r="A1198" s="75">
        <f>Report!C1570</f>
        <v/>
      </c>
      <c r="B1198" s="59">
        <f>Report!E1570</f>
        <v/>
      </c>
      <c r="C1198" s="77">
        <f>Report!U1570</f>
        <v/>
      </c>
      <c r="D1198" s="59">
        <f>Report!X1570</f>
        <v/>
      </c>
    </row>
    <row r="1199" ht="12.75" customHeight="1" s="60">
      <c r="A1199" s="75">
        <f>Report!C1571</f>
        <v/>
      </c>
      <c r="B1199" s="59">
        <f>Report!E1571</f>
        <v/>
      </c>
      <c r="C1199" s="77">
        <f>Report!U1571</f>
        <v/>
      </c>
      <c r="D1199" s="59">
        <f>Report!X1571</f>
        <v/>
      </c>
    </row>
    <row r="1200" ht="12.75" customHeight="1" s="60">
      <c r="A1200" s="75">
        <f>Report!C1572</f>
        <v/>
      </c>
      <c r="B1200" s="59">
        <f>Report!E1572</f>
        <v/>
      </c>
      <c r="C1200" s="77">
        <f>Report!U1572</f>
        <v/>
      </c>
      <c r="D1200" s="59">
        <f>Report!X1572</f>
        <v/>
      </c>
    </row>
    <row r="1201" ht="12.75" customHeight="1" s="60">
      <c r="A1201" s="75">
        <f>Report!C1573</f>
        <v/>
      </c>
      <c r="B1201" s="59">
        <f>Report!E1573</f>
        <v/>
      </c>
      <c r="C1201" s="77">
        <f>Report!U1573</f>
        <v/>
      </c>
      <c r="D1201" s="59">
        <f>Report!X1573</f>
        <v/>
      </c>
    </row>
    <row r="1202" ht="12.75" customHeight="1" s="60">
      <c r="A1202" s="75">
        <f>Report!C1574</f>
        <v/>
      </c>
      <c r="B1202" s="59">
        <f>Report!E1574</f>
        <v/>
      </c>
      <c r="C1202" s="77">
        <f>Report!U1574</f>
        <v/>
      </c>
      <c r="D1202" s="59">
        <f>Report!X1574</f>
        <v/>
      </c>
    </row>
    <row r="1203" ht="12.75" customHeight="1" s="60">
      <c r="A1203" s="75">
        <f>Report!C1575</f>
        <v/>
      </c>
      <c r="B1203" s="59">
        <f>Report!E1575</f>
        <v/>
      </c>
      <c r="C1203" s="77">
        <f>Report!U1575</f>
        <v/>
      </c>
      <c r="D1203" s="59">
        <f>Report!X1575</f>
        <v/>
      </c>
    </row>
    <row r="1204" ht="12.75" customHeight="1" s="60">
      <c r="A1204" s="75">
        <f>Report!C1576</f>
        <v/>
      </c>
      <c r="B1204" s="59">
        <f>Report!E1576</f>
        <v/>
      </c>
      <c r="C1204" s="77">
        <f>Report!U1576</f>
        <v/>
      </c>
      <c r="D1204" s="59">
        <f>Report!X1576</f>
        <v/>
      </c>
    </row>
    <row r="1205" ht="12.75" customHeight="1" s="60">
      <c r="A1205" s="75">
        <f>Report!C1577</f>
        <v/>
      </c>
      <c r="B1205" s="59">
        <f>Report!E1577</f>
        <v/>
      </c>
      <c r="C1205" s="77">
        <f>Report!U1577</f>
        <v/>
      </c>
      <c r="D1205" s="59">
        <f>Report!X1577</f>
        <v/>
      </c>
    </row>
    <row r="1206" ht="12.75" customHeight="1" s="60">
      <c r="A1206" s="75">
        <f>Report!C1578</f>
        <v/>
      </c>
      <c r="B1206" s="59">
        <f>Report!E1578</f>
        <v/>
      </c>
      <c r="C1206" s="77">
        <f>Report!U1578</f>
        <v/>
      </c>
      <c r="D1206" s="59">
        <f>Report!X1578</f>
        <v/>
      </c>
    </row>
    <row r="1207" ht="12.75" customHeight="1" s="60">
      <c r="A1207" s="75">
        <f>Report!C1582</f>
        <v/>
      </c>
      <c r="B1207" s="59">
        <f>Report!E1582</f>
        <v/>
      </c>
      <c r="C1207" s="77">
        <f>Report!U1582</f>
        <v/>
      </c>
      <c r="D1207" s="59">
        <f>Report!X1582</f>
        <v/>
      </c>
    </row>
    <row r="1208" ht="12.75" customHeight="1" s="60">
      <c r="A1208" s="75">
        <f>Report!C1585</f>
        <v/>
      </c>
      <c r="B1208" s="59">
        <f>Report!E1585</f>
        <v/>
      </c>
      <c r="C1208" s="77">
        <f>Report!U1585</f>
        <v/>
      </c>
      <c r="D1208" s="59">
        <f>Report!X1585</f>
        <v/>
      </c>
    </row>
    <row r="1209" ht="12.75" customHeight="1" s="60">
      <c r="A1209" s="75">
        <f>Report!C1586</f>
        <v/>
      </c>
      <c r="B1209" s="59">
        <f>Report!E1586</f>
        <v/>
      </c>
      <c r="C1209" s="77">
        <f>Report!U1586</f>
        <v/>
      </c>
      <c r="D1209" s="59">
        <f>Report!X1586</f>
        <v/>
      </c>
    </row>
    <row r="1210" ht="12.75" customHeight="1" s="60">
      <c r="A1210" s="75">
        <f>Report!C1587</f>
        <v/>
      </c>
      <c r="B1210" s="59">
        <f>Report!E1587</f>
        <v/>
      </c>
      <c r="C1210" s="77">
        <f>Report!U1587</f>
        <v/>
      </c>
      <c r="D1210" s="59">
        <f>Report!X1587</f>
        <v/>
      </c>
    </row>
    <row r="1211" ht="12.75" customHeight="1" s="60">
      <c r="A1211" s="75">
        <f>Report!C1588</f>
        <v/>
      </c>
      <c r="B1211" s="59">
        <f>Report!E1588</f>
        <v/>
      </c>
      <c r="C1211" s="77">
        <f>Report!U1588</f>
        <v/>
      </c>
      <c r="D1211" s="59">
        <f>Report!X1588</f>
        <v/>
      </c>
    </row>
    <row r="1212" ht="12.75" customHeight="1" s="60">
      <c r="A1212" s="75">
        <f>Report!C1590</f>
        <v/>
      </c>
      <c r="B1212" s="59">
        <f>Report!E1590</f>
        <v/>
      </c>
      <c r="C1212" s="77">
        <f>Report!U1590</f>
        <v/>
      </c>
      <c r="D1212" s="59">
        <f>Report!X1590</f>
        <v/>
      </c>
    </row>
    <row r="1213" ht="12.75" customHeight="1" s="60">
      <c r="A1213" s="75">
        <f>Report!C1591</f>
        <v/>
      </c>
      <c r="B1213" s="59">
        <f>Report!E1591</f>
        <v/>
      </c>
      <c r="C1213" s="77">
        <f>Report!U1591</f>
        <v/>
      </c>
      <c r="D1213" s="59">
        <f>Report!X1591</f>
        <v/>
      </c>
    </row>
    <row r="1214" ht="12.75" customHeight="1" s="60">
      <c r="A1214" s="75">
        <f>Report!C1592</f>
        <v/>
      </c>
      <c r="B1214" s="59">
        <f>Report!E1592</f>
        <v/>
      </c>
      <c r="C1214" s="77">
        <f>Report!U1592</f>
        <v/>
      </c>
      <c r="D1214" s="59">
        <f>Report!X1592</f>
        <v/>
      </c>
    </row>
    <row r="1215" ht="12.75" customHeight="1" s="60">
      <c r="A1215" s="75">
        <f>Report!C1593</f>
        <v/>
      </c>
      <c r="B1215" s="59">
        <f>Report!E1593</f>
        <v/>
      </c>
      <c r="C1215" s="77">
        <f>Report!U1593</f>
        <v/>
      </c>
      <c r="D1215" s="59">
        <f>Report!X1593</f>
        <v/>
      </c>
    </row>
    <row r="1216" ht="12.75" customHeight="1" s="60">
      <c r="A1216" s="75">
        <f>Report!C1594</f>
        <v/>
      </c>
      <c r="B1216" s="59">
        <f>Report!E1594</f>
        <v/>
      </c>
      <c r="C1216" s="77">
        <f>Report!U1594</f>
        <v/>
      </c>
      <c r="D1216" s="59">
        <f>Report!X1594</f>
        <v/>
      </c>
    </row>
    <row r="1217" ht="12.75" customHeight="1" s="60">
      <c r="A1217" s="75">
        <f>Report!C1595</f>
        <v/>
      </c>
      <c r="B1217" s="59">
        <f>Report!E1595</f>
        <v/>
      </c>
      <c r="C1217" s="77">
        <f>Report!U1595</f>
        <v/>
      </c>
      <c r="D1217" s="59">
        <f>Report!X1595</f>
        <v/>
      </c>
    </row>
    <row r="1218" ht="12.75" customHeight="1" s="60">
      <c r="A1218" s="75">
        <f>Report!C1596</f>
        <v/>
      </c>
      <c r="B1218" s="59">
        <f>Report!E1596</f>
        <v/>
      </c>
      <c r="C1218" s="77">
        <f>Report!U1596</f>
        <v/>
      </c>
      <c r="D1218" s="59">
        <f>Report!X1596</f>
        <v/>
      </c>
    </row>
    <row r="1219" ht="12.75" customHeight="1" s="60">
      <c r="A1219" s="75">
        <f>Report!C1597</f>
        <v/>
      </c>
      <c r="B1219" s="59">
        <f>Report!E1597</f>
        <v/>
      </c>
      <c r="C1219" s="77">
        <f>Report!U1597</f>
        <v/>
      </c>
      <c r="D1219" s="59">
        <f>Report!X1597</f>
        <v/>
      </c>
    </row>
    <row r="1220" ht="12.75" customHeight="1" s="60">
      <c r="A1220" s="75">
        <f>Report!C1598</f>
        <v/>
      </c>
      <c r="B1220" s="59">
        <f>Report!E1598</f>
        <v/>
      </c>
      <c r="C1220" s="77">
        <f>Report!U1598</f>
        <v/>
      </c>
      <c r="D1220" s="59">
        <f>Report!X1598</f>
        <v/>
      </c>
    </row>
    <row r="1221" ht="12.75" customHeight="1" s="60">
      <c r="A1221" s="75">
        <f>Report!C1599</f>
        <v/>
      </c>
      <c r="B1221" s="59">
        <f>Report!E1599</f>
        <v/>
      </c>
      <c r="C1221" s="77">
        <f>Report!U1599</f>
        <v/>
      </c>
      <c r="D1221" s="59">
        <f>Report!X1599</f>
        <v/>
      </c>
    </row>
    <row r="1222" ht="12.75" customHeight="1" s="60">
      <c r="A1222" s="75">
        <f>Report!C1600</f>
        <v/>
      </c>
      <c r="B1222" s="59">
        <f>Report!E1600</f>
        <v/>
      </c>
      <c r="C1222" s="77">
        <f>Report!U1600</f>
        <v/>
      </c>
      <c r="D1222" s="59">
        <f>Report!X1600</f>
        <v/>
      </c>
    </row>
    <row r="1223" ht="12.75" customHeight="1" s="60">
      <c r="A1223" s="75">
        <f>Report!C1601</f>
        <v/>
      </c>
      <c r="B1223" s="59">
        <f>Report!E1601</f>
        <v/>
      </c>
      <c r="C1223" s="77">
        <f>Report!U1601</f>
        <v/>
      </c>
      <c r="D1223" s="59">
        <f>Report!X1601</f>
        <v/>
      </c>
    </row>
    <row r="1224" ht="12.75" customHeight="1" s="60">
      <c r="A1224" s="75">
        <f>Report!C1602</f>
        <v/>
      </c>
      <c r="B1224" s="59">
        <f>Report!E1602</f>
        <v/>
      </c>
      <c r="C1224" s="77">
        <f>Report!U1602</f>
        <v/>
      </c>
      <c r="D1224" s="59">
        <f>Report!X1602</f>
        <v/>
      </c>
    </row>
    <row r="1225" ht="12.75" customHeight="1" s="60">
      <c r="A1225" s="75">
        <f>Report!C1603</f>
        <v/>
      </c>
      <c r="B1225" s="59">
        <f>Report!E1603</f>
        <v/>
      </c>
      <c r="C1225" s="77">
        <f>Report!U1603</f>
        <v/>
      </c>
      <c r="D1225" s="59">
        <f>Report!X1603</f>
        <v/>
      </c>
    </row>
    <row r="1226" ht="12.75" customHeight="1" s="60">
      <c r="A1226" s="75">
        <f>Report!C1605</f>
        <v/>
      </c>
      <c r="B1226" s="59">
        <f>Report!E1605</f>
        <v/>
      </c>
      <c r="C1226" s="77">
        <f>Report!U1605</f>
        <v/>
      </c>
      <c r="D1226" s="59">
        <f>Report!X1605</f>
        <v/>
      </c>
    </row>
    <row r="1227" ht="12.75" customHeight="1" s="60">
      <c r="A1227" s="75">
        <f>Report!C1606</f>
        <v/>
      </c>
      <c r="B1227" s="59">
        <f>Report!E1606</f>
        <v/>
      </c>
      <c r="C1227" s="77">
        <f>Report!U1606</f>
        <v/>
      </c>
      <c r="D1227" s="59">
        <f>Report!X1606</f>
        <v/>
      </c>
    </row>
    <row r="1228" ht="12.75" customHeight="1" s="60">
      <c r="A1228" s="75">
        <f>Report!C1607</f>
        <v/>
      </c>
      <c r="B1228" s="59">
        <f>Report!E1607</f>
        <v/>
      </c>
      <c r="C1228" s="77">
        <f>Report!U1607</f>
        <v/>
      </c>
      <c r="D1228" s="59">
        <f>Report!X1607</f>
        <v/>
      </c>
    </row>
    <row r="1229" ht="12.75" customHeight="1" s="60">
      <c r="A1229" s="75">
        <f>Report!C1608</f>
        <v/>
      </c>
      <c r="B1229" s="59">
        <f>Report!E1608</f>
        <v/>
      </c>
      <c r="C1229" s="77">
        <f>Report!U1608</f>
        <v/>
      </c>
      <c r="D1229" s="59">
        <f>Report!X1608</f>
        <v/>
      </c>
    </row>
    <row r="1230" ht="12.75" customHeight="1" s="60">
      <c r="A1230" s="75">
        <f>Report!C1609</f>
        <v/>
      </c>
      <c r="B1230" s="59">
        <f>Report!E1609</f>
        <v/>
      </c>
      <c r="C1230" s="77">
        <f>Report!U1609</f>
        <v/>
      </c>
      <c r="D1230" s="59">
        <f>Report!X1609</f>
        <v/>
      </c>
    </row>
    <row r="1231" ht="12.75" customHeight="1" s="60">
      <c r="A1231" s="75">
        <f>Report!C1610</f>
        <v/>
      </c>
      <c r="B1231" s="59">
        <f>Report!E1610</f>
        <v/>
      </c>
      <c r="C1231" s="77">
        <f>Report!U1610</f>
        <v/>
      </c>
      <c r="D1231" s="59">
        <f>Report!X1610</f>
        <v/>
      </c>
    </row>
    <row r="1232" ht="12.75" customHeight="1" s="60">
      <c r="A1232" s="75">
        <f>Report!C1611</f>
        <v/>
      </c>
      <c r="B1232" s="59">
        <f>Report!E1611</f>
        <v/>
      </c>
      <c r="C1232" s="77">
        <f>Report!U1611</f>
        <v/>
      </c>
      <c r="D1232" s="59">
        <f>Report!X1611</f>
        <v/>
      </c>
    </row>
    <row r="1233" ht="12.75" customHeight="1" s="60">
      <c r="A1233" s="75">
        <f>Report!C1612</f>
        <v/>
      </c>
      <c r="B1233" s="59">
        <f>Report!E1612</f>
        <v/>
      </c>
      <c r="C1233" s="77">
        <f>Report!U1612</f>
        <v/>
      </c>
      <c r="D1233" s="59">
        <f>Report!X1612</f>
        <v/>
      </c>
    </row>
    <row r="1234" ht="12.75" customHeight="1" s="60">
      <c r="A1234" s="75">
        <f>Report!C1613</f>
        <v/>
      </c>
      <c r="B1234" s="59">
        <f>Report!E1613</f>
        <v/>
      </c>
      <c r="C1234" s="77">
        <f>Report!U1613</f>
        <v/>
      </c>
      <c r="D1234" s="59">
        <f>Report!X1613</f>
        <v/>
      </c>
    </row>
    <row r="1235" ht="12.75" customHeight="1" s="60">
      <c r="A1235" s="75">
        <f>Report!C1614</f>
        <v/>
      </c>
      <c r="B1235" s="59">
        <f>Report!E1614</f>
        <v/>
      </c>
      <c r="C1235" s="77">
        <f>Report!U1614</f>
        <v/>
      </c>
      <c r="D1235" s="59">
        <f>Report!X1614</f>
        <v/>
      </c>
    </row>
    <row r="1236" ht="12.75" customHeight="1" s="60">
      <c r="A1236" s="75">
        <f>Report!C1615</f>
        <v/>
      </c>
      <c r="B1236" s="59">
        <f>Report!E1615</f>
        <v/>
      </c>
      <c r="C1236" s="77">
        <f>Report!U1615</f>
        <v/>
      </c>
      <c r="D1236" s="59">
        <f>Report!X1615</f>
        <v/>
      </c>
    </row>
    <row r="1237" ht="12.75" customHeight="1" s="60">
      <c r="A1237" s="75">
        <f>Report!C1616</f>
        <v/>
      </c>
      <c r="B1237" s="59">
        <f>Report!E1616</f>
        <v/>
      </c>
      <c r="C1237" s="77">
        <f>Report!U1616</f>
        <v/>
      </c>
      <c r="D1237" s="59">
        <f>Report!X1616</f>
        <v/>
      </c>
    </row>
    <row r="1238" ht="12.75" customHeight="1" s="60">
      <c r="A1238" s="75">
        <f>Report!C1617</f>
        <v/>
      </c>
      <c r="B1238" s="59">
        <f>Report!E1617</f>
        <v/>
      </c>
      <c r="C1238" s="77">
        <f>Report!U1617</f>
        <v/>
      </c>
      <c r="D1238" s="59">
        <f>Report!X1617</f>
        <v/>
      </c>
    </row>
    <row r="1239" ht="12.75" customHeight="1" s="60">
      <c r="A1239" s="75">
        <f>Report!C1618</f>
        <v/>
      </c>
      <c r="B1239" s="59">
        <f>Report!E1618</f>
        <v/>
      </c>
      <c r="C1239" s="77">
        <f>Report!U1618</f>
        <v/>
      </c>
      <c r="D1239" s="59">
        <f>Report!X1618</f>
        <v/>
      </c>
    </row>
    <row r="1240" ht="12.75" customHeight="1" s="60">
      <c r="A1240" s="75">
        <f>Report!C1619</f>
        <v/>
      </c>
      <c r="B1240" s="59">
        <f>Report!E1619</f>
        <v/>
      </c>
      <c r="C1240" s="77">
        <f>Report!U1619</f>
        <v/>
      </c>
      <c r="D1240" s="59">
        <f>Report!X1619</f>
        <v/>
      </c>
    </row>
    <row r="1241" ht="12.75" customHeight="1" s="60">
      <c r="A1241" s="75">
        <f>Report!C1620</f>
        <v/>
      </c>
      <c r="B1241" s="59">
        <f>Report!E1620</f>
        <v/>
      </c>
      <c r="C1241" s="77">
        <f>Report!U1620</f>
        <v/>
      </c>
      <c r="D1241" s="59">
        <f>Report!X1620</f>
        <v/>
      </c>
    </row>
    <row r="1242" ht="12.75" customHeight="1" s="60">
      <c r="A1242" s="75">
        <f>Report!C1621</f>
        <v/>
      </c>
      <c r="B1242" s="59">
        <f>Report!E1621</f>
        <v/>
      </c>
      <c r="C1242" s="77">
        <f>Report!U1621</f>
        <v/>
      </c>
      <c r="D1242" s="59">
        <f>Report!X1621</f>
        <v/>
      </c>
    </row>
    <row r="1243" ht="12.75" customHeight="1" s="60">
      <c r="A1243" s="75">
        <f>Report!C1622</f>
        <v/>
      </c>
      <c r="B1243" s="59">
        <f>Report!E1622</f>
        <v/>
      </c>
      <c r="C1243" s="77">
        <f>Report!U1622</f>
        <v/>
      </c>
      <c r="D1243" s="59">
        <f>Report!X1622</f>
        <v/>
      </c>
    </row>
    <row r="1244" ht="12.75" customHeight="1" s="60">
      <c r="A1244" s="75">
        <f>Report!C1623</f>
        <v/>
      </c>
      <c r="B1244" s="59">
        <f>Report!E1623</f>
        <v/>
      </c>
      <c r="C1244" s="77">
        <f>Report!U1623</f>
        <v/>
      </c>
      <c r="D1244" s="59">
        <f>Report!X1623</f>
        <v/>
      </c>
    </row>
    <row r="1245" ht="12.75" customHeight="1" s="60">
      <c r="A1245" s="75">
        <f>Report!C1624</f>
        <v/>
      </c>
      <c r="B1245" s="59">
        <f>Report!E1624</f>
        <v/>
      </c>
      <c r="C1245" s="77">
        <f>Report!U1624</f>
        <v/>
      </c>
      <c r="D1245" s="59">
        <f>Report!X1624</f>
        <v/>
      </c>
    </row>
    <row r="1246" ht="12.75" customHeight="1" s="60">
      <c r="A1246" s="75">
        <f>Report!C1625</f>
        <v/>
      </c>
      <c r="B1246" s="59">
        <f>Report!E1625</f>
        <v/>
      </c>
      <c r="C1246" s="77">
        <f>Report!U1625</f>
        <v/>
      </c>
      <c r="D1246" s="59">
        <f>Report!X1625</f>
        <v/>
      </c>
    </row>
    <row r="1247" ht="12.75" customHeight="1" s="60">
      <c r="A1247" s="75">
        <f>Report!C1629</f>
        <v/>
      </c>
      <c r="B1247" s="59">
        <f>Report!E1629</f>
        <v/>
      </c>
      <c r="C1247" s="77">
        <f>Report!U1629</f>
        <v/>
      </c>
      <c r="D1247" s="59">
        <f>Report!X1629</f>
        <v/>
      </c>
    </row>
    <row r="1248" ht="12.75" customHeight="1" s="60">
      <c r="A1248" s="75">
        <f>Report!C1630</f>
        <v/>
      </c>
      <c r="B1248" s="59">
        <f>Report!E1630</f>
        <v/>
      </c>
      <c r="C1248" s="77">
        <f>Report!U1630</f>
        <v/>
      </c>
      <c r="D1248" s="59">
        <f>Report!X1630</f>
        <v/>
      </c>
    </row>
    <row r="1249" ht="12.75" customHeight="1" s="60">
      <c r="A1249" s="75">
        <f>Report!C1631</f>
        <v/>
      </c>
      <c r="B1249" s="59">
        <f>Report!E1631</f>
        <v/>
      </c>
      <c r="C1249" s="77">
        <f>Report!U1631</f>
        <v/>
      </c>
      <c r="D1249" s="59">
        <f>Report!X1631</f>
        <v/>
      </c>
    </row>
    <row r="1250" ht="12.75" customHeight="1" s="60">
      <c r="A1250" s="75">
        <f>Report!C1633</f>
        <v/>
      </c>
      <c r="B1250" s="59">
        <f>Report!E1633</f>
        <v/>
      </c>
      <c r="C1250" s="77">
        <f>Report!U1633</f>
        <v/>
      </c>
      <c r="D1250" s="59">
        <f>Report!X1633</f>
        <v/>
      </c>
    </row>
    <row r="1251" ht="12.75" customHeight="1" s="60">
      <c r="A1251" s="75">
        <f>Report!C1634</f>
        <v/>
      </c>
      <c r="B1251" s="59">
        <f>Report!E1634</f>
        <v/>
      </c>
      <c r="C1251" s="77">
        <f>Report!U1634</f>
        <v/>
      </c>
      <c r="D1251" s="59">
        <f>Report!X1634</f>
        <v/>
      </c>
    </row>
    <row r="1252" ht="12.75" customHeight="1" s="60">
      <c r="A1252" s="75">
        <f>Report!C1635</f>
        <v/>
      </c>
      <c r="B1252" s="59">
        <f>Report!E1635</f>
        <v/>
      </c>
      <c r="C1252" s="77">
        <f>Report!U1635</f>
        <v/>
      </c>
      <c r="D1252" s="59">
        <f>Report!X1635</f>
        <v/>
      </c>
    </row>
    <row r="1253" ht="12.75" customHeight="1" s="60">
      <c r="A1253" s="75">
        <f>Report!C1637</f>
        <v/>
      </c>
      <c r="B1253" s="59">
        <f>Report!E1637</f>
        <v/>
      </c>
      <c r="C1253" s="77">
        <f>Report!U1637</f>
        <v/>
      </c>
      <c r="D1253" s="59">
        <f>Report!X1637</f>
        <v/>
      </c>
    </row>
    <row r="1254" ht="12.75" customHeight="1" s="60">
      <c r="A1254" s="75">
        <f>Report!C1638</f>
        <v/>
      </c>
      <c r="B1254" s="59">
        <f>Report!E1638</f>
        <v/>
      </c>
      <c r="C1254" s="77">
        <f>Report!U1638</f>
        <v/>
      </c>
      <c r="D1254" s="59">
        <f>Report!X1638</f>
        <v/>
      </c>
    </row>
    <row r="1255" ht="12.75" customHeight="1" s="60">
      <c r="A1255" s="75">
        <f>Report!C1639</f>
        <v/>
      </c>
      <c r="B1255" s="59">
        <f>Report!E1639</f>
        <v/>
      </c>
      <c r="C1255" s="77">
        <f>Report!U1639</f>
        <v/>
      </c>
      <c r="D1255" s="59">
        <f>Report!X1639</f>
        <v/>
      </c>
    </row>
    <row r="1256" ht="12.75" customHeight="1" s="60">
      <c r="A1256" s="75">
        <f>Report!C1642</f>
        <v/>
      </c>
      <c r="B1256" s="59">
        <f>Report!E1642</f>
        <v/>
      </c>
      <c r="C1256" s="77">
        <f>Report!U1642</f>
        <v/>
      </c>
      <c r="D1256" s="59">
        <f>Report!X1642</f>
        <v/>
      </c>
    </row>
    <row r="1257" ht="12.75" customHeight="1" s="60">
      <c r="A1257" s="75">
        <f>Report!C1644</f>
        <v/>
      </c>
      <c r="B1257" s="59">
        <f>Report!E1644</f>
        <v/>
      </c>
      <c r="C1257" s="77">
        <f>Report!U1644</f>
        <v/>
      </c>
      <c r="D1257" s="59">
        <f>Report!X1644</f>
        <v/>
      </c>
    </row>
    <row r="1258" ht="12.75" customHeight="1" s="60">
      <c r="A1258" s="75">
        <f>Report!C1645</f>
        <v/>
      </c>
      <c r="B1258" s="59">
        <f>Report!E1645</f>
        <v/>
      </c>
      <c r="C1258" s="77">
        <f>Report!U1645</f>
        <v/>
      </c>
      <c r="D1258" s="59">
        <f>Report!X1645</f>
        <v/>
      </c>
    </row>
    <row r="1259" ht="12.75" customHeight="1" s="60">
      <c r="A1259" s="75">
        <f>Report!C1646</f>
        <v/>
      </c>
      <c r="B1259" s="59">
        <f>Report!E1646</f>
        <v/>
      </c>
      <c r="C1259" s="77">
        <f>Report!U1646</f>
        <v/>
      </c>
      <c r="D1259" s="59">
        <f>Report!X1646</f>
        <v/>
      </c>
    </row>
    <row r="1260" ht="12.75" customHeight="1" s="60">
      <c r="A1260" s="75">
        <f>Report!C1648</f>
        <v/>
      </c>
      <c r="B1260" s="59">
        <f>Report!E1648</f>
        <v/>
      </c>
      <c r="C1260" s="77">
        <f>Report!U1648</f>
        <v/>
      </c>
      <c r="D1260" s="59">
        <f>Report!X1648</f>
        <v/>
      </c>
    </row>
    <row r="1261" ht="12.75" customHeight="1" s="60">
      <c r="A1261" s="75">
        <f>Report!C1649</f>
        <v/>
      </c>
      <c r="B1261" s="59">
        <f>Report!E1649</f>
        <v/>
      </c>
      <c r="C1261" s="77">
        <f>Report!U1649</f>
        <v/>
      </c>
      <c r="D1261" s="59">
        <f>Report!X1649</f>
        <v/>
      </c>
    </row>
    <row r="1262" ht="12.75" customHeight="1" s="60">
      <c r="A1262" s="75">
        <f>Report!C1651</f>
        <v/>
      </c>
      <c r="B1262" s="59">
        <f>Report!E1651</f>
        <v/>
      </c>
      <c r="C1262" s="77">
        <f>Report!U1651</f>
        <v/>
      </c>
      <c r="D1262" s="59">
        <f>Report!X1651</f>
        <v/>
      </c>
    </row>
    <row r="1263" ht="12.75" customHeight="1" s="60">
      <c r="A1263" s="75">
        <f>Report!C1652</f>
        <v/>
      </c>
      <c r="B1263" s="59">
        <f>Report!E1652</f>
        <v/>
      </c>
      <c r="C1263" s="77">
        <f>Report!U1652</f>
        <v/>
      </c>
      <c r="D1263" s="59">
        <f>Report!X1652</f>
        <v/>
      </c>
    </row>
    <row r="1264" ht="12.75" customHeight="1" s="60">
      <c r="A1264" s="75">
        <f>Report!C1653</f>
        <v/>
      </c>
      <c r="B1264" s="59">
        <f>Report!E1653</f>
        <v/>
      </c>
      <c r="C1264" s="77">
        <f>Report!U1653</f>
        <v/>
      </c>
      <c r="D1264" s="59">
        <f>Report!X1653</f>
        <v/>
      </c>
    </row>
    <row r="1265" ht="12.75" customHeight="1" s="60">
      <c r="A1265" s="75">
        <f>Report!C1654</f>
        <v/>
      </c>
      <c r="B1265" s="59">
        <f>Report!E1654</f>
        <v/>
      </c>
      <c r="C1265" s="77">
        <f>Report!U1654</f>
        <v/>
      </c>
      <c r="D1265" s="59">
        <f>Report!X1654</f>
        <v/>
      </c>
    </row>
    <row r="1266" ht="12.75" customHeight="1" s="60">
      <c r="A1266" s="75">
        <f>Report!C1655</f>
        <v/>
      </c>
      <c r="B1266" s="59">
        <f>Report!E1655</f>
        <v/>
      </c>
      <c r="C1266" s="77">
        <f>Report!U1655</f>
        <v/>
      </c>
      <c r="D1266" s="59">
        <f>Report!X1655</f>
        <v/>
      </c>
    </row>
    <row r="1267" ht="12.75" customHeight="1" s="60">
      <c r="A1267" s="75">
        <f>Report!C1657</f>
        <v/>
      </c>
      <c r="B1267" s="59">
        <f>Report!E1657</f>
        <v/>
      </c>
      <c r="C1267" s="77">
        <f>Report!U1657</f>
        <v/>
      </c>
      <c r="D1267" s="59">
        <f>Report!X1657</f>
        <v/>
      </c>
    </row>
    <row r="1268" ht="12.75" customHeight="1" s="60">
      <c r="A1268" s="75">
        <f>Report!C1658</f>
        <v/>
      </c>
      <c r="B1268" s="59">
        <f>Report!E1658</f>
        <v/>
      </c>
      <c r="C1268" s="77">
        <f>Report!U1658</f>
        <v/>
      </c>
      <c r="D1268" s="59">
        <f>Report!X1658</f>
        <v/>
      </c>
    </row>
    <row r="1269" ht="12.75" customHeight="1" s="60">
      <c r="A1269" s="75">
        <f>Report!C1659</f>
        <v/>
      </c>
      <c r="B1269" s="59">
        <f>Report!E1659</f>
        <v/>
      </c>
      <c r="C1269" s="77">
        <f>Report!U1659</f>
        <v/>
      </c>
      <c r="D1269" s="59">
        <f>Report!X1659</f>
        <v/>
      </c>
    </row>
    <row r="1270" ht="12.75" customHeight="1" s="60">
      <c r="A1270" s="75">
        <f>Report!C1660</f>
        <v/>
      </c>
      <c r="B1270" s="59">
        <f>Report!E1660</f>
        <v/>
      </c>
      <c r="C1270" s="77">
        <f>Report!U1660</f>
        <v/>
      </c>
      <c r="D1270" s="59">
        <f>Report!X1660</f>
        <v/>
      </c>
    </row>
    <row r="1271" ht="12.75" customHeight="1" s="60">
      <c r="A1271" s="75">
        <f>Report!C1661</f>
        <v/>
      </c>
      <c r="B1271" s="59">
        <f>Report!E1661</f>
        <v/>
      </c>
      <c r="C1271" s="77">
        <f>Report!U1661</f>
        <v/>
      </c>
      <c r="D1271" s="59">
        <f>Report!X1661</f>
        <v/>
      </c>
    </row>
    <row r="1272" ht="12.75" customHeight="1" s="60">
      <c r="A1272" s="75">
        <f>Report!C1662</f>
        <v/>
      </c>
      <c r="B1272" s="59">
        <f>Report!E1662</f>
        <v/>
      </c>
      <c r="C1272" s="77">
        <f>Report!U1662</f>
        <v/>
      </c>
      <c r="D1272" s="59">
        <f>Report!X1662</f>
        <v/>
      </c>
    </row>
    <row r="1273" ht="12.75" customHeight="1" s="60">
      <c r="A1273" s="75">
        <f>Report!C1663</f>
        <v/>
      </c>
      <c r="B1273" s="59">
        <f>Report!E1663</f>
        <v/>
      </c>
      <c r="C1273" s="77">
        <f>Report!U1663</f>
        <v/>
      </c>
      <c r="D1273" s="59">
        <f>Report!X1663</f>
        <v/>
      </c>
    </row>
    <row r="1274" ht="12.75" customHeight="1" s="60">
      <c r="A1274" s="75">
        <f>Report!C1664</f>
        <v/>
      </c>
      <c r="B1274" s="59">
        <f>Report!E1664</f>
        <v/>
      </c>
      <c r="C1274" s="77">
        <f>Report!U1664</f>
        <v/>
      </c>
      <c r="D1274" s="59">
        <f>Report!X1664</f>
        <v/>
      </c>
    </row>
    <row r="1275" ht="12.75" customHeight="1" s="60">
      <c r="A1275" s="75">
        <f>Report!C1665</f>
        <v/>
      </c>
      <c r="B1275" s="59">
        <f>Report!E1665</f>
        <v/>
      </c>
      <c r="C1275" s="77">
        <f>Report!U1665</f>
        <v/>
      </c>
      <c r="D1275" s="59">
        <f>Report!X1665</f>
        <v/>
      </c>
    </row>
    <row r="1276" ht="12.75" customHeight="1" s="60">
      <c r="A1276" s="75">
        <f>Report!C1666</f>
        <v/>
      </c>
      <c r="B1276" s="59">
        <f>Report!E1666</f>
        <v/>
      </c>
      <c r="C1276" s="77">
        <f>Report!U1666</f>
        <v/>
      </c>
      <c r="D1276" s="59">
        <f>Report!X1666</f>
        <v/>
      </c>
    </row>
    <row r="1277" ht="12.75" customHeight="1" s="60">
      <c r="A1277" s="75">
        <f>Report!C1667</f>
        <v/>
      </c>
      <c r="B1277" s="59">
        <f>Report!E1667</f>
        <v/>
      </c>
      <c r="C1277" s="77">
        <f>Report!U1667</f>
        <v/>
      </c>
      <c r="D1277" s="59">
        <f>Report!X1667</f>
        <v/>
      </c>
    </row>
    <row r="1278" ht="12.75" customHeight="1" s="60">
      <c r="A1278" s="75">
        <f>Report!C1668</f>
        <v/>
      </c>
      <c r="B1278" s="59">
        <f>Report!E1668</f>
        <v/>
      </c>
      <c r="C1278" s="77">
        <f>Report!U1668</f>
        <v/>
      </c>
      <c r="D1278" s="59">
        <f>Report!X1668</f>
        <v/>
      </c>
    </row>
    <row r="1279" ht="12.75" customHeight="1" s="60">
      <c r="A1279" s="75">
        <f>Report!C1669</f>
        <v/>
      </c>
      <c r="B1279" s="59">
        <f>Report!E1669</f>
        <v/>
      </c>
      <c r="C1279" s="77">
        <f>Report!U1669</f>
        <v/>
      </c>
      <c r="D1279" s="59">
        <f>Report!X1669</f>
        <v/>
      </c>
    </row>
    <row r="1280" ht="12.75" customHeight="1" s="60">
      <c r="A1280" s="75">
        <f>Report!C1673</f>
        <v/>
      </c>
      <c r="B1280" s="59">
        <f>Report!E1673</f>
        <v/>
      </c>
      <c r="C1280" s="77">
        <f>Report!U1673</f>
        <v/>
      </c>
      <c r="D1280" s="59">
        <f>Report!X1673</f>
        <v/>
      </c>
    </row>
    <row r="1281" ht="12.75" customHeight="1" s="60">
      <c r="A1281" s="75">
        <f>Report!C1674</f>
        <v/>
      </c>
      <c r="B1281" s="59">
        <f>Report!E1674</f>
        <v/>
      </c>
      <c r="C1281" s="77">
        <f>Report!U1674</f>
        <v/>
      </c>
      <c r="D1281" s="59">
        <f>Report!X1674</f>
        <v/>
      </c>
    </row>
    <row r="1282" ht="12.75" customHeight="1" s="60">
      <c r="A1282" s="75">
        <f>Report!C1676</f>
        <v/>
      </c>
      <c r="B1282" s="59">
        <f>Report!E1676</f>
        <v/>
      </c>
      <c r="C1282" s="77">
        <f>Report!U1676</f>
        <v/>
      </c>
      <c r="D1282" s="59">
        <f>Report!X1676</f>
        <v/>
      </c>
    </row>
    <row r="1283" ht="12.75" customHeight="1" s="60">
      <c r="A1283" s="75">
        <f>Report!C1677</f>
        <v/>
      </c>
      <c r="B1283" s="59">
        <f>Report!E1677</f>
        <v/>
      </c>
      <c r="C1283" s="77">
        <f>Report!U1677</f>
        <v/>
      </c>
      <c r="D1283" s="59">
        <f>Report!X1677</f>
        <v/>
      </c>
    </row>
    <row r="1284" ht="12.75" customHeight="1" s="60">
      <c r="A1284" s="75">
        <f>Report!C1679</f>
        <v/>
      </c>
      <c r="B1284" s="59">
        <f>Report!E1679</f>
        <v/>
      </c>
      <c r="C1284" s="77">
        <f>Report!U1679</f>
        <v/>
      </c>
      <c r="D1284" s="59">
        <f>Report!X1679</f>
        <v/>
      </c>
    </row>
    <row r="1285" ht="12.75" customHeight="1" s="60">
      <c r="A1285" s="75">
        <f>Report!C1680</f>
        <v/>
      </c>
      <c r="B1285" s="59">
        <f>Report!E1680</f>
        <v/>
      </c>
      <c r="C1285" s="77">
        <f>Report!U1680</f>
        <v/>
      </c>
      <c r="D1285" s="59">
        <f>Report!X1680</f>
        <v/>
      </c>
    </row>
    <row r="1286" ht="12.75" customHeight="1" s="60">
      <c r="A1286" s="75">
        <f>Report!C1681</f>
        <v/>
      </c>
      <c r="B1286" s="59">
        <f>Report!E1681</f>
        <v/>
      </c>
      <c r="C1286" s="77">
        <f>Report!U1681</f>
        <v/>
      </c>
      <c r="D1286" s="59">
        <f>Report!X1681</f>
        <v/>
      </c>
    </row>
    <row r="1287" ht="12.75" customHeight="1" s="60">
      <c r="A1287" s="75">
        <f>Report!C1682</f>
        <v/>
      </c>
      <c r="B1287" s="59">
        <f>Report!E1682</f>
        <v/>
      </c>
      <c r="C1287" s="77">
        <f>Report!U1682</f>
        <v/>
      </c>
      <c r="D1287" s="59">
        <f>Report!X1682</f>
        <v/>
      </c>
    </row>
    <row r="1288" ht="12.75" customHeight="1" s="60">
      <c r="A1288" s="75">
        <f>Report!C1683</f>
        <v/>
      </c>
      <c r="B1288" s="59">
        <f>Report!E1683</f>
        <v/>
      </c>
      <c r="C1288" s="77">
        <f>Report!U1683</f>
        <v/>
      </c>
      <c r="D1288" s="59">
        <f>Report!X1683</f>
        <v/>
      </c>
    </row>
    <row r="1289" ht="12.75" customHeight="1" s="60">
      <c r="A1289" s="75">
        <f>Report!C1684</f>
        <v/>
      </c>
      <c r="B1289" s="59">
        <f>Report!E1684</f>
        <v/>
      </c>
      <c r="C1289" s="77">
        <f>Report!U1684</f>
        <v/>
      </c>
      <c r="D1289" s="59">
        <f>Report!X1684</f>
        <v/>
      </c>
    </row>
    <row r="1290" ht="12.75" customHeight="1" s="60">
      <c r="A1290" s="75">
        <f>Report!C1685</f>
        <v/>
      </c>
      <c r="B1290" s="59">
        <f>Report!E1685</f>
        <v/>
      </c>
      <c r="C1290" s="77">
        <f>Report!U1685</f>
        <v/>
      </c>
      <c r="D1290" s="59">
        <f>Report!X1685</f>
        <v/>
      </c>
    </row>
    <row r="1291" ht="12.75" customHeight="1" s="60">
      <c r="A1291" s="75">
        <f>Report!C1686</f>
        <v/>
      </c>
      <c r="B1291" s="59">
        <f>Report!E1686</f>
        <v/>
      </c>
      <c r="C1291" s="77">
        <f>Report!U1686</f>
        <v/>
      </c>
      <c r="D1291" s="59">
        <f>Report!X1686</f>
        <v/>
      </c>
    </row>
    <row r="1292" ht="12.75" customHeight="1" s="60">
      <c r="A1292" s="75">
        <f>Report!C1687</f>
        <v/>
      </c>
      <c r="B1292" s="59">
        <f>Report!E1687</f>
        <v/>
      </c>
      <c r="C1292" s="77">
        <f>Report!U1687</f>
        <v/>
      </c>
      <c r="D1292" s="59">
        <f>Report!X1687</f>
        <v/>
      </c>
    </row>
    <row r="1293" ht="12.75" customHeight="1" s="60">
      <c r="A1293" s="75">
        <f>Report!C1688</f>
        <v/>
      </c>
      <c r="B1293" s="59">
        <f>Report!E1688</f>
        <v/>
      </c>
      <c r="C1293" s="77">
        <f>Report!U1688</f>
        <v/>
      </c>
      <c r="D1293" s="59">
        <f>Report!X1688</f>
        <v/>
      </c>
    </row>
    <row r="1294" ht="12.75" customHeight="1" s="60">
      <c r="A1294" s="75">
        <f>Report!C1689</f>
        <v/>
      </c>
      <c r="B1294" s="59">
        <f>Report!E1689</f>
        <v/>
      </c>
      <c r="C1294" s="77">
        <f>Report!U1689</f>
        <v/>
      </c>
      <c r="D1294" s="59">
        <f>Report!X1689</f>
        <v/>
      </c>
    </row>
    <row r="1295" ht="12.75" customHeight="1" s="60">
      <c r="A1295" s="75">
        <f>Report!C1690</f>
        <v/>
      </c>
      <c r="B1295" s="59">
        <f>Report!E1690</f>
        <v/>
      </c>
      <c r="C1295" s="77">
        <f>Report!U1690</f>
        <v/>
      </c>
      <c r="D1295" s="59">
        <f>Report!X1690</f>
        <v/>
      </c>
    </row>
    <row r="1296" ht="12.75" customHeight="1" s="60">
      <c r="A1296" s="75">
        <f>Report!C1691</f>
        <v/>
      </c>
      <c r="B1296" s="59">
        <f>Report!E1691</f>
        <v/>
      </c>
      <c r="C1296" s="77">
        <f>Report!U1691</f>
        <v/>
      </c>
      <c r="D1296" s="59">
        <f>Report!X1691</f>
        <v/>
      </c>
    </row>
    <row r="1297" ht="12.75" customHeight="1" s="60">
      <c r="A1297" s="75">
        <f>Report!C1693</f>
        <v/>
      </c>
      <c r="B1297" s="59">
        <f>Report!E1693</f>
        <v/>
      </c>
      <c r="C1297" s="77">
        <f>Report!U1693</f>
        <v/>
      </c>
      <c r="D1297" s="59">
        <f>Report!X1693</f>
        <v/>
      </c>
    </row>
    <row r="1298" ht="12.75" customHeight="1" s="60">
      <c r="A1298" s="75">
        <f>Report!C1694</f>
        <v/>
      </c>
      <c r="B1298" s="59">
        <f>Report!E1694</f>
        <v/>
      </c>
      <c r="C1298" s="77">
        <f>Report!U1694</f>
        <v/>
      </c>
      <c r="D1298" s="59">
        <f>Report!X1694</f>
        <v/>
      </c>
    </row>
    <row r="1299" ht="12.75" customHeight="1" s="60">
      <c r="A1299" s="75">
        <f>Report!C1695</f>
        <v/>
      </c>
      <c r="B1299" s="59">
        <f>Report!E1695</f>
        <v/>
      </c>
      <c r="C1299" s="77">
        <f>Report!U1695</f>
        <v/>
      </c>
      <c r="D1299" s="59">
        <f>Report!X1695</f>
        <v/>
      </c>
    </row>
    <row r="1300" ht="12.75" customHeight="1" s="60">
      <c r="A1300" s="75">
        <f>Report!C1696</f>
        <v/>
      </c>
      <c r="B1300" s="59">
        <f>Report!E1696</f>
        <v/>
      </c>
      <c r="C1300" s="77">
        <f>Report!U1696</f>
        <v/>
      </c>
      <c r="D1300" s="59">
        <f>Report!X1696</f>
        <v/>
      </c>
    </row>
    <row r="1301" ht="12.75" customHeight="1" s="60">
      <c r="A1301" s="75">
        <f>Report!C1699</f>
        <v/>
      </c>
      <c r="B1301" s="59">
        <f>Report!E1699</f>
        <v/>
      </c>
      <c r="C1301" s="77">
        <f>Report!U1699</f>
        <v/>
      </c>
      <c r="D1301" s="59">
        <f>Report!X1699</f>
        <v/>
      </c>
    </row>
    <row r="1302" ht="12.75" customHeight="1" s="60">
      <c r="A1302" s="75">
        <f>Report!C1703</f>
        <v/>
      </c>
      <c r="B1302" s="59">
        <f>Report!E1703</f>
        <v/>
      </c>
      <c r="C1302" s="77">
        <f>Report!U1703</f>
        <v/>
      </c>
      <c r="D1302" s="59">
        <f>Report!X1703</f>
        <v/>
      </c>
    </row>
    <row r="1303" ht="12.75" customHeight="1" s="60">
      <c r="A1303" s="75">
        <f>Report!C1705</f>
        <v/>
      </c>
      <c r="B1303" s="59">
        <f>Report!E1705</f>
        <v/>
      </c>
      <c r="C1303" s="77">
        <f>Report!U1705</f>
        <v/>
      </c>
      <c r="D1303" s="59">
        <f>Report!X1705</f>
        <v/>
      </c>
    </row>
    <row r="1304" ht="12.75" customHeight="1" s="60">
      <c r="A1304" s="75">
        <f>Report!C1706</f>
        <v/>
      </c>
      <c r="B1304" s="59">
        <f>Report!E1706</f>
        <v/>
      </c>
      <c r="C1304" s="77">
        <f>Report!U1706</f>
        <v/>
      </c>
      <c r="D1304" s="59">
        <f>Report!X1706</f>
        <v/>
      </c>
    </row>
    <row r="1305" ht="12.75" customHeight="1" s="60">
      <c r="A1305" s="75">
        <f>Report!C1712</f>
        <v/>
      </c>
      <c r="B1305" s="59">
        <f>Report!E1712</f>
        <v/>
      </c>
      <c r="C1305" s="77">
        <f>Report!U1712</f>
        <v/>
      </c>
      <c r="D1305" s="59">
        <f>Report!X1712</f>
        <v/>
      </c>
    </row>
    <row r="1306" ht="12.75" customHeight="1" s="60">
      <c r="A1306" s="75">
        <f>Report!C1718</f>
        <v/>
      </c>
      <c r="B1306" s="59">
        <f>Report!E1718</f>
        <v/>
      </c>
      <c r="C1306" s="77">
        <f>Report!U1718</f>
        <v/>
      </c>
      <c r="D1306" s="59">
        <f>Report!X1718</f>
        <v/>
      </c>
    </row>
    <row r="1307" ht="12.75" customHeight="1" s="60">
      <c r="A1307" s="75">
        <f>Report!C1720</f>
        <v/>
      </c>
      <c r="B1307" s="59">
        <f>Report!E1720</f>
        <v/>
      </c>
      <c r="C1307" s="77">
        <f>Report!U1720</f>
        <v/>
      </c>
      <c r="D1307" s="59">
        <f>Report!X1720</f>
        <v/>
      </c>
    </row>
    <row r="1308" ht="12.75" customHeight="1" s="60">
      <c r="A1308" s="75">
        <f>Report!C1721</f>
        <v/>
      </c>
      <c r="B1308" s="59">
        <f>Report!E1721</f>
        <v/>
      </c>
      <c r="C1308" s="77">
        <f>Report!U1721</f>
        <v/>
      </c>
      <c r="D1308" s="59">
        <f>Report!X1721</f>
        <v/>
      </c>
    </row>
    <row r="1309" ht="12.75" customHeight="1" s="60">
      <c r="A1309" s="75">
        <f>Report!C1722</f>
        <v/>
      </c>
      <c r="B1309" s="59">
        <f>Report!E1722</f>
        <v/>
      </c>
      <c r="C1309" s="77">
        <f>Report!U1722</f>
        <v/>
      </c>
      <c r="D1309" s="59">
        <f>Report!X1722</f>
        <v/>
      </c>
    </row>
    <row r="1310" ht="12.75" customHeight="1" s="60">
      <c r="A1310" s="75">
        <f>Report!C1723</f>
        <v/>
      </c>
      <c r="B1310" s="59">
        <f>Report!E1723</f>
        <v/>
      </c>
      <c r="C1310" s="77">
        <f>Report!U1723</f>
        <v/>
      </c>
      <c r="D1310" s="59">
        <f>Report!X1723</f>
        <v/>
      </c>
    </row>
    <row r="1311" ht="12.75" customHeight="1" s="60">
      <c r="A1311" s="75">
        <f>Report!C1724</f>
        <v/>
      </c>
      <c r="B1311" s="59">
        <f>Report!E1724</f>
        <v/>
      </c>
      <c r="C1311" s="77">
        <f>Report!U1724</f>
        <v/>
      </c>
      <c r="D1311" s="59">
        <f>Report!X1724</f>
        <v/>
      </c>
    </row>
    <row r="1312" ht="12.75" customHeight="1" s="60">
      <c r="A1312" s="75">
        <f>Report!C1725</f>
        <v/>
      </c>
      <c r="B1312" s="59">
        <f>Report!E1725</f>
        <v/>
      </c>
      <c r="C1312" s="77">
        <f>Report!U1725</f>
        <v/>
      </c>
      <c r="D1312" s="59">
        <f>Report!X1725</f>
        <v/>
      </c>
    </row>
    <row r="1313" ht="12.75" customHeight="1" s="60">
      <c r="A1313" s="75">
        <f>Report!C1726</f>
        <v/>
      </c>
      <c r="B1313" s="59">
        <f>Report!E1726</f>
        <v/>
      </c>
      <c r="C1313" s="77">
        <f>Report!U1726</f>
        <v/>
      </c>
      <c r="D1313" s="59">
        <f>Report!X1726</f>
        <v/>
      </c>
    </row>
    <row r="1314" ht="12.75" customHeight="1" s="60">
      <c r="A1314" s="75">
        <f>Report!C1727</f>
        <v/>
      </c>
      <c r="B1314" s="59">
        <f>Report!E1727</f>
        <v/>
      </c>
      <c r="C1314" s="77">
        <f>Report!U1727</f>
        <v/>
      </c>
      <c r="D1314" s="59">
        <f>Report!X1727</f>
        <v/>
      </c>
    </row>
    <row r="1315" ht="12.75" customHeight="1" s="60">
      <c r="A1315" s="75">
        <f>Report!C1728</f>
        <v/>
      </c>
      <c r="B1315" s="59">
        <f>Report!E1728</f>
        <v/>
      </c>
      <c r="C1315" s="77">
        <f>Report!U1728</f>
        <v/>
      </c>
      <c r="D1315" s="59">
        <f>Report!X1728</f>
        <v/>
      </c>
    </row>
    <row r="1316" ht="12.75" customHeight="1" s="60">
      <c r="A1316" s="75">
        <f>Report!C1729</f>
        <v/>
      </c>
      <c r="B1316" s="59">
        <f>Report!E1729</f>
        <v/>
      </c>
      <c r="C1316" s="77">
        <f>Report!U1729</f>
        <v/>
      </c>
      <c r="D1316" s="59">
        <f>Report!X1729</f>
        <v/>
      </c>
    </row>
    <row r="1317" ht="12.75" customHeight="1" s="60">
      <c r="A1317" s="75">
        <f>Report!C1730</f>
        <v/>
      </c>
      <c r="B1317" s="59">
        <f>Report!E1730</f>
        <v/>
      </c>
      <c r="C1317" s="77">
        <f>Report!U1730</f>
        <v/>
      </c>
      <c r="D1317" s="59">
        <f>Report!X1730</f>
        <v/>
      </c>
    </row>
    <row r="1318" ht="12.75" customHeight="1" s="60">
      <c r="A1318" s="75">
        <f>Report!C1731</f>
        <v/>
      </c>
      <c r="B1318" s="59">
        <f>Report!E1731</f>
        <v/>
      </c>
      <c r="C1318" s="77">
        <f>Report!U1731</f>
        <v/>
      </c>
      <c r="D1318" s="59">
        <f>Report!X1731</f>
        <v/>
      </c>
    </row>
    <row r="1319" ht="12.75" customHeight="1" s="60">
      <c r="A1319" s="75">
        <f>Report!C1732</f>
        <v/>
      </c>
      <c r="B1319" s="59">
        <f>Report!E1732</f>
        <v/>
      </c>
      <c r="C1319" s="77">
        <f>Report!U1732</f>
        <v/>
      </c>
      <c r="D1319" s="59">
        <f>Report!X1732</f>
        <v/>
      </c>
    </row>
    <row r="1320" ht="12.75" customHeight="1" s="60">
      <c r="A1320" s="75">
        <f>Report!C1736</f>
        <v/>
      </c>
      <c r="B1320" s="59">
        <f>Report!E1736</f>
        <v/>
      </c>
      <c r="C1320" s="77">
        <f>Report!U1736</f>
        <v/>
      </c>
      <c r="D1320" s="59">
        <f>Report!X1736</f>
        <v/>
      </c>
    </row>
    <row r="1321" ht="12.75" customHeight="1" s="60">
      <c r="A1321" s="75">
        <f>Report!C1737</f>
        <v/>
      </c>
      <c r="B1321" s="59">
        <f>Report!E1737</f>
        <v/>
      </c>
      <c r="C1321" s="77">
        <f>Report!U1737</f>
        <v/>
      </c>
      <c r="D1321" s="59">
        <f>Report!X1737</f>
        <v/>
      </c>
    </row>
    <row r="1322" ht="12.75" customHeight="1" s="60">
      <c r="A1322" s="75">
        <f>Report!C1739</f>
        <v/>
      </c>
      <c r="B1322" s="59">
        <f>Report!E1739</f>
        <v/>
      </c>
      <c r="C1322" s="77">
        <f>Report!U1739</f>
        <v/>
      </c>
      <c r="D1322" s="59">
        <f>Report!X1739</f>
        <v/>
      </c>
    </row>
    <row r="1323" ht="12.75" customHeight="1" s="60">
      <c r="A1323" s="75">
        <f>Report!C1740</f>
        <v/>
      </c>
      <c r="B1323" s="59">
        <f>Report!E1740</f>
        <v/>
      </c>
      <c r="C1323" s="77">
        <f>Report!U1740</f>
        <v/>
      </c>
      <c r="D1323" s="59">
        <f>Report!X1740</f>
        <v/>
      </c>
    </row>
    <row r="1324" ht="12.75" customHeight="1" s="60">
      <c r="A1324" s="75">
        <f>Report!C1741</f>
        <v/>
      </c>
      <c r="B1324" s="59">
        <f>Report!E1741</f>
        <v/>
      </c>
      <c r="C1324" s="77">
        <f>Report!U1741</f>
        <v/>
      </c>
      <c r="D1324" s="59">
        <f>Report!X1741</f>
        <v/>
      </c>
    </row>
    <row r="1325" ht="12.75" customHeight="1" s="60">
      <c r="A1325" s="75">
        <f>Report!C1742</f>
        <v/>
      </c>
      <c r="B1325" s="59">
        <f>Report!E1742</f>
        <v/>
      </c>
      <c r="C1325" s="77">
        <f>Report!U1742</f>
        <v/>
      </c>
      <c r="D1325" s="59">
        <f>Report!X1742</f>
        <v/>
      </c>
    </row>
    <row r="1326" ht="12.75" customHeight="1" s="60">
      <c r="A1326" s="75">
        <f>Report!C1745</f>
        <v/>
      </c>
      <c r="B1326" s="59">
        <f>Report!E1745</f>
        <v/>
      </c>
      <c r="C1326" s="77">
        <f>Report!U1745</f>
        <v/>
      </c>
      <c r="D1326" s="59">
        <f>Report!X1745</f>
        <v/>
      </c>
    </row>
    <row r="1327" ht="12.75" customHeight="1" s="60">
      <c r="A1327" s="75">
        <f>Report!C1746</f>
        <v/>
      </c>
      <c r="B1327" s="59">
        <f>Report!E1746</f>
        <v/>
      </c>
      <c r="C1327" s="77">
        <f>Report!U1746</f>
        <v/>
      </c>
      <c r="D1327" s="59">
        <f>Report!X1746</f>
        <v/>
      </c>
    </row>
    <row r="1328" ht="12.75" customHeight="1" s="60">
      <c r="A1328" s="75">
        <f>Report!C1750</f>
        <v/>
      </c>
      <c r="B1328" s="59">
        <f>Report!E1750</f>
        <v/>
      </c>
      <c r="C1328" s="77">
        <f>Report!U1750</f>
        <v/>
      </c>
      <c r="D1328" s="59">
        <f>Report!X1750</f>
        <v/>
      </c>
    </row>
    <row r="1329" ht="12.75" customHeight="1" s="60">
      <c r="A1329" s="75">
        <f>Report!C1751</f>
        <v/>
      </c>
      <c r="B1329" s="59">
        <f>Report!E1751</f>
        <v/>
      </c>
      <c r="C1329" s="77">
        <f>Report!U1751</f>
        <v/>
      </c>
      <c r="D1329" s="59">
        <f>Report!X1751</f>
        <v/>
      </c>
    </row>
    <row r="1330" ht="12.75" customHeight="1" s="60">
      <c r="A1330" s="75">
        <f>Report!C1752</f>
        <v/>
      </c>
      <c r="B1330" s="59">
        <f>Report!E1752</f>
        <v/>
      </c>
      <c r="C1330" s="77">
        <f>Report!U1752</f>
        <v/>
      </c>
      <c r="D1330" s="59">
        <f>Report!X1752</f>
        <v/>
      </c>
    </row>
    <row r="1331" ht="12.75" customHeight="1" s="60">
      <c r="A1331" s="75">
        <f>Report!C1753</f>
        <v/>
      </c>
      <c r="B1331" s="59">
        <f>Report!E1753</f>
        <v/>
      </c>
      <c r="C1331" s="77">
        <f>Report!U1753</f>
        <v/>
      </c>
      <c r="D1331" s="59">
        <f>Report!X1753</f>
        <v/>
      </c>
    </row>
    <row r="1332" ht="12.75" customHeight="1" s="60">
      <c r="A1332" s="75">
        <f>Report!C1754</f>
        <v/>
      </c>
      <c r="B1332" s="59">
        <f>Report!E1754</f>
        <v/>
      </c>
      <c r="C1332" s="77">
        <f>Report!U1754</f>
        <v/>
      </c>
      <c r="D1332" s="59">
        <f>Report!X1754</f>
        <v/>
      </c>
    </row>
    <row r="1333" ht="12.75" customHeight="1" s="60">
      <c r="A1333" s="75">
        <f>Report!C1755</f>
        <v/>
      </c>
      <c r="B1333" s="59">
        <f>Report!E1755</f>
        <v/>
      </c>
      <c r="C1333" s="77">
        <f>Report!U1755</f>
        <v/>
      </c>
      <c r="D1333" s="59">
        <f>Report!X1755</f>
        <v/>
      </c>
    </row>
    <row r="1334" ht="12.75" customHeight="1" s="60">
      <c r="A1334" s="75">
        <f>Report!C1756</f>
        <v/>
      </c>
      <c r="B1334" s="59">
        <f>Report!E1756</f>
        <v/>
      </c>
      <c r="C1334" s="77">
        <f>Report!U1756</f>
        <v/>
      </c>
      <c r="D1334" s="59">
        <f>Report!X1756</f>
        <v/>
      </c>
    </row>
    <row r="1335" ht="12.75" customHeight="1" s="60">
      <c r="A1335" s="75">
        <f>Report!C1757</f>
        <v/>
      </c>
      <c r="B1335" s="59">
        <f>Report!E1757</f>
        <v/>
      </c>
      <c r="C1335" s="77">
        <f>Report!U1757</f>
        <v/>
      </c>
      <c r="D1335" s="59">
        <f>Report!X1757</f>
        <v/>
      </c>
    </row>
    <row r="1336" ht="12.75" customHeight="1" s="60">
      <c r="A1336" s="75">
        <f>Report!C1758</f>
        <v/>
      </c>
      <c r="B1336" s="59">
        <f>Report!E1758</f>
        <v/>
      </c>
      <c r="C1336" s="77">
        <f>Report!U1758</f>
        <v/>
      </c>
      <c r="D1336" s="59">
        <f>Report!X1758</f>
        <v/>
      </c>
    </row>
    <row r="1337" ht="12.75" customHeight="1" s="60">
      <c r="A1337" s="75">
        <f>Report!C1759</f>
        <v/>
      </c>
      <c r="B1337" s="59">
        <f>Report!E1759</f>
        <v/>
      </c>
      <c r="C1337" s="77">
        <f>Report!U1759</f>
        <v/>
      </c>
      <c r="D1337" s="59">
        <f>Report!X1759</f>
        <v/>
      </c>
    </row>
    <row r="1338" ht="12.75" customHeight="1" s="60">
      <c r="A1338" s="75">
        <f>Report!C1760</f>
        <v/>
      </c>
      <c r="B1338" s="59">
        <f>Report!E1760</f>
        <v/>
      </c>
      <c r="C1338" s="77">
        <f>Report!U1760</f>
        <v/>
      </c>
      <c r="D1338" s="59">
        <f>Report!X1760</f>
        <v/>
      </c>
    </row>
    <row r="1339" ht="12.75" customHeight="1" s="60">
      <c r="A1339" s="75">
        <f>Report!C1761</f>
        <v/>
      </c>
      <c r="B1339" s="59">
        <f>Report!E1761</f>
        <v/>
      </c>
      <c r="C1339" s="77">
        <f>Report!U1761</f>
        <v/>
      </c>
      <c r="D1339" s="59">
        <f>Report!X1761</f>
        <v/>
      </c>
    </row>
    <row r="1340" ht="12.75" customHeight="1" s="60">
      <c r="A1340" s="75">
        <f>Report!C1762</f>
        <v/>
      </c>
      <c r="B1340" s="59">
        <f>Report!E1762</f>
        <v/>
      </c>
      <c r="C1340" s="77">
        <f>Report!U1762</f>
        <v/>
      </c>
      <c r="D1340" s="59">
        <f>Report!X1762</f>
        <v/>
      </c>
    </row>
    <row r="1341" ht="12.75" customHeight="1" s="60">
      <c r="A1341" s="75">
        <f>Report!C1763</f>
        <v/>
      </c>
      <c r="B1341" s="59">
        <f>Report!E1763</f>
        <v/>
      </c>
      <c r="C1341" s="77">
        <f>Report!U1763</f>
        <v/>
      </c>
      <c r="D1341" s="59">
        <f>Report!X1763</f>
        <v/>
      </c>
    </row>
    <row r="1342" ht="12.75" customHeight="1" s="60">
      <c r="A1342" s="75">
        <f>Report!C1764</f>
        <v/>
      </c>
      <c r="B1342" s="59">
        <f>Report!E1764</f>
        <v/>
      </c>
      <c r="C1342" s="77">
        <f>Report!U1764</f>
        <v/>
      </c>
      <c r="D1342" s="59">
        <f>Report!X1764</f>
        <v/>
      </c>
    </row>
    <row r="1343" ht="12.75" customHeight="1" s="60">
      <c r="A1343" s="75">
        <f>Report!C1765</f>
        <v/>
      </c>
      <c r="B1343" s="59">
        <f>Report!E1765</f>
        <v/>
      </c>
      <c r="C1343" s="77">
        <f>Report!U1765</f>
        <v/>
      </c>
      <c r="D1343" s="59">
        <f>Report!X1765</f>
        <v/>
      </c>
    </row>
    <row r="1344" ht="12.75" customHeight="1" s="60">
      <c r="A1344" s="75">
        <f>Report!C1766</f>
        <v/>
      </c>
      <c r="B1344" s="59">
        <f>Report!E1766</f>
        <v/>
      </c>
      <c r="C1344" s="77">
        <f>Report!U1766</f>
        <v/>
      </c>
      <c r="D1344" s="59">
        <f>Report!X1766</f>
        <v/>
      </c>
    </row>
    <row r="1345" ht="12.75" customHeight="1" s="60">
      <c r="A1345" s="75">
        <f>Report!C1767</f>
        <v/>
      </c>
      <c r="B1345" s="59">
        <f>Report!E1767</f>
        <v/>
      </c>
      <c r="C1345" s="77">
        <f>Report!U1767</f>
        <v/>
      </c>
      <c r="D1345" s="59">
        <f>Report!X1767</f>
        <v/>
      </c>
    </row>
    <row r="1346" ht="12.75" customHeight="1" s="60">
      <c r="A1346" s="75">
        <f>Report!C1768</f>
        <v/>
      </c>
      <c r="B1346" s="59">
        <f>Report!E1768</f>
        <v/>
      </c>
      <c r="C1346" s="77">
        <f>Report!U1768</f>
        <v/>
      </c>
      <c r="D1346" s="59">
        <f>Report!X1768</f>
        <v/>
      </c>
    </row>
    <row r="1347" ht="12.75" customHeight="1" s="60">
      <c r="A1347" s="75">
        <f>Report!C1769</f>
        <v/>
      </c>
      <c r="B1347" s="59">
        <f>Report!E1769</f>
        <v/>
      </c>
      <c r="C1347" s="77">
        <f>Report!U1769</f>
        <v/>
      </c>
      <c r="D1347" s="59">
        <f>Report!X1769</f>
        <v/>
      </c>
    </row>
    <row r="1348" ht="12.75" customHeight="1" s="60">
      <c r="A1348" s="75">
        <f>Report!C1770</f>
        <v/>
      </c>
      <c r="B1348" s="59">
        <f>Report!E1770</f>
        <v/>
      </c>
      <c r="C1348" s="77">
        <f>Report!U1770</f>
        <v/>
      </c>
      <c r="D1348" s="59">
        <f>Report!X1770</f>
        <v/>
      </c>
    </row>
    <row r="1349" ht="12.75" customHeight="1" s="60">
      <c r="A1349" s="75">
        <f>Report!C1771</f>
        <v/>
      </c>
      <c r="B1349" s="59">
        <f>Report!E1771</f>
        <v/>
      </c>
      <c r="C1349" s="77">
        <f>Report!U1771</f>
        <v/>
      </c>
      <c r="D1349" s="59">
        <f>Report!X1771</f>
        <v/>
      </c>
    </row>
    <row r="1350" ht="12.75" customHeight="1" s="60">
      <c r="A1350" s="75">
        <f>Report!C1772</f>
        <v/>
      </c>
      <c r="B1350" s="59">
        <f>Report!E1772</f>
        <v/>
      </c>
      <c r="C1350" s="77">
        <f>Report!U1772</f>
        <v/>
      </c>
      <c r="D1350" s="59">
        <f>Report!X1772</f>
        <v/>
      </c>
    </row>
    <row r="1351" ht="12.75" customHeight="1" s="60">
      <c r="A1351" s="75">
        <f>Report!C1776</f>
        <v/>
      </c>
      <c r="B1351" s="59">
        <f>Report!E1776</f>
        <v/>
      </c>
      <c r="C1351" s="77">
        <f>Report!U1776</f>
        <v/>
      </c>
      <c r="D1351" s="59">
        <f>Report!X1776</f>
        <v/>
      </c>
    </row>
    <row r="1352" ht="12.75" customHeight="1" s="60">
      <c r="A1352" s="75">
        <f>Report!C1777</f>
        <v/>
      </c>
      <c r="B1352" s="59">
        <f>Report!E1777</f>
        <v/>
      </c>
      <c r="C1352" s="77">
        <f>Report!U1777</f>
        <v/>
      </c>
      <c r="D1352" s="59">
        <f>Report!X1777</f>
        <v/>
      </c>
    </row>
    <row r="1353" ht="12.75" customHeight="1" s="60">
      <c r="A1353" s="75">
        <f>Report!C1778</f>
        <v/>
      </c>
      <c r="B1353" s="59">
        <f>Report!E1778</f>
        <v/>
      </c>
      <c r="C1353" s="77">
        <f>Report!U1778</f>
        <v/>
      </c>
      <c r="D1353" s="59">
        <f>Report!X1778</f>
        <v/>
      </c>
    </row>
    <row r="1354" ht="12.75" customHeight="1" s="60">
      <c r="A1354" s="75">
        <f>Report!C1779</f>
        <v/>
      </c>
      <c r="B1354" s="59">
        <f>Report!E1779</f>
        <v/>
      </c>
      <c r="C1354" s="77">
        <f>Report!U1779</f>
        <v/>
      </c>
      <c r="D1354" s="59">
        <f>Report!X1779</f>
        <v/>
      </c>
    </row>
    <row r="1355" ht="12.75" customHeight="1" s="60">
      <c r="A1355" s="75">
        <f>Report!C1780</f>
        <v/>
      </c>
      <c r="B1355" s="59">
        <f>Report!E1780</f>
        <v/>
      </c>
      <c r="C1355" s="77">
        <f>Report!U1780</f>
        <v/>
      </c>
      <c r="D1355" s="59">
        <f>Report!X1780</f>
        <v/>
      </c>
    </row>
    <row r="1356" ht="12.75" customHeight="1" s="60">
      <c r="A1356" s="75">
        <f>Report!C1782</f>
        <v/>
      </c>
      <c r="B1356" s="59">
        <f>Report!E1782</f>
        <v/>
      </c>
      <c r="C1356" s="77">
        <f>Report!U1782</f>
        <v/>
      </c>
      <c r="D1356" s="59">
        <f>Report!X1782</f>
        <v/>
      </c>
    </row>
    <row r="1357" ht="12.75" customHeight="1" s="60">
      <c r="A1357" s="75">
        <f>Report!C1783</f>
        <v/>
      </c>
      <c r="B1357" s="59">
        <f>Report!E1783</f>
        <v/>
      </c>
      <c r="C1357" s="77">
        <f>Report!U1783</f>
        <v/>
      </c>
      <c r="D1357" s="59">
        <f>Report!X1783</f>
        <v/>
      </c>
    </row>
    <row r="1358" ht="12.75" customHeight="1" s="60">
      <c r="A1358" s="75">
        <f>Report!C1784</f>
        <v/>
      </c>
      <c r="B1358" s="59">
        <f>Report!E1784</f>
        <v/>
      </c>
      <c r="C1358" s="77">
        <f>Report!U1784</f>
        <v/>
      </c>
      <c r="D1358" s="59">
        <f>Report!X1784</f>
        <v/>
      </c>
    </row>
    <row r="1359" ht="12.75" customHeight="1" s="60">
      <c r="A1359" s="75">
        <f>Report!C1785</f>
        <v/>
      </c>
      <c r="B1359" s="59">
        <f>Report!E1785</f>
        <v/>
      </c>
      <c r="C1359" s="77">
        <f>Report!U1785</f>
        <v/>
      </c>
      <c r="D1359" s="59">
        <f>Report!X1785</f>
        <v/>
      </c>
    </row>
    <row r="1360" ht="12.75" customHeight="1" s="60">
      <c r="A1360" s="75">
        <f>Report!C1786</f>
        <v/>
      </c>
      <c r="B1360" s="59">
        <f>Report!E1786</f>
        <v/>
      </c>
      <c r="C1360" s="77">
        <f>Report!U1786</f>
        <v/>
      </c>
      <c r="D1360" s="59">
        <f>Report!X1786</f>
        <v/>
      </c>
    </row>
    <row r="1361" ht="12.75" customHeight="1" s="60">
      <c r="A1361" s="75">
        <f>Report!C1787</f>
        <v/>
      </c>
      <c r="B1361" s="59">
        <f>Report!E1787</f>
        <v/>
      </c>
      <c r="C1361" s="77">
        <f>Report!U1787</f>
        <v/>
      </c>
      <c r="D1361" s="59">
        <f>Report!X1787</f>
        <v/>
      </c>
    </row>
    <row r="1362" ht="12.75" customHeight="1" s="60">
      <c r="A1362" s="75">
        <f>Report!C1788</f>
        <v/>
      </c>
      <c r="B1362" s="59">
        <f>Report!E1788</f>
        <v/>
      </c>
      <c r="C1362" s="77">
        <f>Report!U1788</f>
        <v/>
      </c>
      <c r="D1362" s="59">
        <f>Report!X1788</f>
        <v/>
      </c>
    </row>
    <row r="1363" ht="12.75" customHeight="1" s="60">
      <c r="A1363" s="75">
        <f>Report!C1789</f>
        <v/>
      </c>
      <c r="B1363" s="59">
        <f>Report!E1789</f>
        <v/>
      </c>
      <c r="C1363" s="77">
        <f>Report!U1789</f>
        <v/>
      </c>
      <c r="D1363" s="59">
        <f>Report!X1789</f>
        <v/>
      </c>
    </row>
    <row r="1364" ht="12.75" customHeight="1" s="60">
      <c r="A1364" s="75">
        <f>Report!C1790</f>
        <v/>
      </c>
      <c r="B1364" s="59">
        <f>Report!E1790</f>
        <v/>
      </c>
      <c r="C1364" s="77">
        <f>Report!U1790</f>
        <v/>
      </c>
      <c r="D1364" s="59">
        <f>Report!X1790</f>
        <v/>
      </c>
    </row>
    <row r="1365" ht="12.75" customHeight="1" s="60">
      <c r="A1365" s="75">
        <f>Report!C1791</f>
        <v/>
      </c>
      <c r="B1365" s="59">
        <f>Report!E1791</f>
        <v/>
      </c>
      <c r="C1365" s="77">
        <f>Report!U1791</f>
        <v/>
      </c>
      <c r="D1365" s="59">
        <f>Report!X1791</f>
        <v/>
      </c>
    </row>
    <row r="1366" ht="12.75" customHeight="1" s="60">
      <c r="A1366" s="75">
        <f>Report!C1792</f>
        <v/>
      </c>
      <c r="B1366" s="59">
        <f>Report!E1792</f>
        <v/>
      </c>
      <c r="C1366" s="77">
        <f>Report!U1792</f>
        <v/>
      </c>
      <c r="D1366" s="59">
        <f>Report!X1792</f>
        <v/>
      </c>
    </row>
    <row r="1367" ht="12.75" customHeight="1" s="60">
      <c r="A1367" s="75">
        <f>Report!C1794</f>
        <v/>
      </c>
      <c r="B1367" s="59">
        <f>Report!E1794</f>
        <v/>
      </c>
      <c r="C1367" s="77">
        <f>Report!U1794</f>
        <v/>
      </c>
      <c r="D1367" s="59">
        <f>Report!X1794</f>
        <v/>
      </c>
    </row>
    <row r="1368" ht="12.75" customHeight="1" s="60">
      <c r="A1368" s="75">
        <f>Report!C1795</f>
        <v/>
      </c>
      <c r="B1368" s="59">
        <f>Report!E1795</f>
        <v/>
      </c>
      <c r="C1368" s="77">
        <f>Report!U1795</f>
        <v/>
      </c>
      <c r="D1368" s="59">
        <f>Report!X1795</f>
        <v/>
      </c>
    </row>
    <row r="1369" ht="12.75" customHeight="1" s="60">
      <c r="A1369" s="75">
        <f>Report!C1796</f>
        <v/>
      </c>
      <c r="B1369" s="59">
        <f>Report!E1796</f>
        <v/>
      </c>
      <c r="C1369" s="77">
        <f>Report!U1796</f>
        <v/>
      </c>
      <c r="D1369" s="59">
        <f>Report!X1796</f>
        <v/>
      </c>
    </row>
    <row r="1370" ht="12.75" customHeight="1" s="60">
      <c r="A1370" s="75">
        <f>Report!C1797</f>
        <v/>
      </c>
      <c r="B1370" s="59">
        <f>Report!E1797</f>
        <v/>
      </c>
      <c r="C1370" s="77">
        <f>Report!U1797</f>
        <v/>
      </c>
      <c r="D1370" s="59">
        <f>Report!X1797</f>
        <v/>
      </c>
    </row>
    <row r="1371" ht="12.75" customHeight="1" s="60">
      <c r="A1371" s="75">
        <f>Report!C1798</f>
        <v/>
      </c>
      <c r="B1371" s="59">
        <f>Report!E1798</f>
        <v/>
      </c>
      <c r="C1371" s="77">
        <f>Report!U1798</f>
        <v/>
      </c>
      <c r="D1371" s="59">
        <f>Report!X1798</f>
        <v/>
      </c>
    </row>
    <row r="1372" ht="12.75" customHeight="1" s="60">
      <c r="A1372" s="75">
        <f>Report!C1799</f>
        <v/>
      </c>
      <c r="B1372" s="59">
        <f>Report!E1799</f>
        <v/>
      </c>
      <c r="C1372" s="77">
        <f>Report!U1799</f>
        <v/>
      </c>
      <c r="D1372" s="59">
        <f>Report!X1799</f>
        <v/>
      </c>
    </row>
    <row r="1373" ht="12.75" customHeight="1" s="60">
      <c r="A1373" s="75">
        <f>Report!C1800</f>
        <v/>
      </c>
      <c r="B1373" s="59">
        <f>Report!E1800</f>
        <v/>
      </c>
      <c r="C1373" s="77">
        <f>Report!U1800</f>
        <v/>
      </c>
      <c r="D1373" s="59">
        <f>Report!X1800</f>
        <v/>
      </c>
    </row>
    <row r="1374" ht="12.75" customHeight="1" s="60">
      <c r="A1374" s="75">
        <f>Report!C1801</f>
        <v/>
      </c>
      <c r="B1374" s="59">
        <f>Report!E1801</f>
        <v/>
      </c>
      <c r="C1374" s="77">
        <f>Report!U1801</f>
        <v/>
      </c>
      <c r="D1374" s="59">
        <f>Report!X1801</f>
        <v/>
      </c>
    </row>
    <row r="1375" ht="12.75" customHeight="1" s="60">
      <c r="A1375" s="75">
        <f>Report!C1802</f>
        <v/>
      </c>
      <c r="B1375" s="59">
        <f>Report!E1802</f>
        <v/>
      </c>
      <c r="C1375" s="77">
        <f>Report!U1802</f>
        <v/>
      </c>
      <c r="D1375" s="59">
        <f>Report!X1802</f>
        <v/>
      </c>
    </row>
    <row r="1376" ht="12.75" customHeight="1" s="60">
      <c r="A1376" s="75">
        <f>Report!C1803</f>
        <v/>
      </c>
      <c r="B1376" s="59">
        <f>Report!E1803</f>
        <v/>
      </c>
      <c r="C1376" s="77">
        <f>Report!U1803</f>
        <v/>
      </c>
      <c r="D1376" s="59">
        <f>Report!X1803</f>
        <v/>
      </c>
    </row>
    <row r="1377" ht="12.75" customHeight="1" s="60">
      <c r="A1377" s="75">
        <f>Report!C1804</f>
        <v/>
      </c>
      <c r="B1377" s="59">
        <f>Report!E1804</f>
        <v/>
      </c>
      <c r="C1377" s="77">
        <f>Report!U1804</f>
        <v/>
      </c>
      <c r="D1377" s="59">
        <f>Report!X1804</f>
        <v/>
      </c>
    </row>
    <row r="1378" ht="12.75" customHeight="1" s="60">
      <c r="A1378" s="75">
        <f>Report!C1805</f>
        <v/>
      </c>
      <c r="B1378" s="59">
        <f>Report!E1805</f>
        <v/>
      </c>
      <c r="C1378" s="77">
        <f>Report!U1805</f>
        <v/>
      </c>
      <c r="D1378" s="59">
        <f>Report!X1805</f>
        <v/>
      </c>
    </row>
    <row r="1379" ht="12.75" customHeight="1" s="60">
      <c r="A1379" s="75">
        <f>Report!C1806</f>
        <v/>
      </c>
      <c r="B1379" s="59">
        <f>Report!E1806</f>
        <v/>
      </c>
      <c r="C1379" s="77">
        <f>Report!U1806</f>
        <v/>
      </c>
      <c r="D1379" s="59">
        <f>Report!X1806</f>
        <v/>
      </c>
    </row>
    <row r="1380" ht="12.75" customHeight="1" s="60">
      <c r="A1380" s="75">
        <f>Report!C1808</f>
        <v/>
      </c>
      <c r="B1380" s="59">
        <f>Report!E1808</f>
        <v/>
      </c>
      <c r="C1380" s="77">
        <f>Report!U1808</f>
        <v/>
      </c>
      <c r="D1380" s="59">
        <f>Report!X1808</f>
        <v/>
      </c>
    </row>
    <row r="1381" ht="12.75" customHeight="1" s="60">
      <c r="A1381" s="75">
        <f>Report!C1809</f>
        <v/>
      </c>
      <c r="B1381" s="59">
        <f>Report!E1809</f>
        <v/>
      </c>
      <c r="C1381" s="77">
        <f>Report!U1809</f>
        <v/>
      </c>
      <c r="D1381" s="59">
        <f>Report!X1809</f>
        <v/>
      </c>
    </row>
    <row r="1382" ht="12.75" customHeight="1" s="60">
      <c r="A1382" s="75">
        <f>Report!C1815</f>
        <v/>
      </c>
      <c r="B1382" s="59">
        <f>Report!E1815</f>
        <v/>
      </c>
      <c r="C1382" s="77">
        <f>Report!U1815</f>
        <v/>
      </c>
      <c r="D1382" s="59">
        <f>Report!X1815</f>
        <v/>
      </c>
    </row>
    <row r="1383" ht="12.75" customHeight="1" s="60">
      <c r="A1383" s="75">
        <f>Report!C1816</f>
        <v/>
      </c>
      <c r="B1383" s="59">
        <f>Report!E1816</f>
        <v/>
      </c>
      <c r="C1383" s="77">
        <f>Report!U1816</f>
        <v/>
      </c>
      <c r="D1383" s="59">
        <f>Report!X1816</f>
        <v/>
      </c>
    </row>
    <row r="1384" ht="12.75" customHeight="1" s="60">
      <c r="A1384" s="75">
        <f>Report!C1817</f>
        <v/>
      </c>
      <c r="B1384" s="59">
        <f>Report!E1817</f>
        <v/>
      </c>
      <c r="C1384" s="77">
        <f>Report!U1817</f>
        <v/>
      </c>
      <c r="D1384" s="59">
        <f>Report!X1817</f>
        <v/>
      </c>
    </row>
    <row r="1385" ht="12.75" customHeight="1" s="60">
      <c r="A1385" s="75">
        <f>Report!C1818</f>
        <v/>
      </c>
      <c r="B1385" s="59">
        <f>Report!E1818</f>
        <v/>
      </c>
      <c r="C1385" s="77">
        <f>Report!U1818</f>
        <v/>
      </c>
      <c r="D1385" s="59">
        <f>Report!X1818</f>
        <v/>
      </c>
    </row>
    <row r="1386" ht="12.75" customHeight="1" s="60">
      <c r="A1386" s="75">
        <f>Report!C1819</f>
        <v/>
      </c>
      <c r="B1386" s="59">
        <f>Report!E1819</f>
        <v/>
      </c>
      <c r="C1386" s="77">
        <f>Report!U1819</f>
        <v/>
      </c>
      <c r="D1386" s="59">
        <f>Report!X1819</f>
        <v/>
      </c>
    </row>
    <row r="1387" ht="12.75" customHeight="1" s="60">
      <c r="A1387" s="75">
        <f>Report!C1820</f>
        <v/>
      </c>
      <c r="B1387" s="59">
        <f>Report!E1820</f>
        <v/>
      </c>
      <c r="C1387" s="77">
        <f>Report!U1820</f>
        <v/>
      </c>
      <c r="D1387" s="59">
        <f>Report!X1820</f>
        <v/>
      </c>
    </row>
    <row r="1388" ht="12.75" customHeight="1" s="60">
      <c r="A1388" s="75">
        <f>Report!C1821</f>
        <v/>
      </c>
      <c r="B1388" s="59">
        <f>Report!E1821</f>
        <v/>
      </c>
      <c r="C1388" s="77">
        <f>Report!U1821</f>
        <v/>
      </c>
      <c r="D1388" s="59">
        <f>Report!X1821</f>
        <v/>
      </c>
    </row>
    <row r="1389" ht="12.75" customHeight="1" s="60">
      <c r="A1389" s="75">
        <f>Report!C1822</f>
        <v/>
      </c>
      <c r="B1389" s="59">
        <f>Report!E1822</f>
        <v/>
      </c>
      <c r="C1389" s="77">
        <f>Report!U1822</f>
        <v/>
      </c>
      <c r="D1389" s="59">
        <f>Report!X1822</f>
        <v/>
      </c>
    </row>
    <row r="1390" ht="12.75" customHeight="1" s="60">
      <c r="A1390" s="75">
        <f>Report!C1823</f>
        <v/>
      </c>
      <c r="B1390" s="59">
        <f>Report!E1823</f>
        <v/>
      </c>
      <c r="C1390" s="77">
        <f>Report!U1823</f>
        <v/>
      </c>
      <c r="D1390" s="59">
        <f>Report!X1823</f>
        <v/>
      </c>
    </row>
    <row r="1391" ht="12.75" customHeight="1" s="60">
      <c r="A1391" s="75">
        <f>Report!C1824</f>
        <v/>
      </c>
      <c r="B1391" s="59">
        <f>Report!E1824</f>
        <v/>
      </c>
      <c r="C1391" s="77">
        <f>Report!U1824</f>
        <v/>
      </c>
      <c r="D1391" s="59">
        <f>Report!X1824</f>
        <v/>
      </c>
    </row>
    <row r="1392" ht="12.75" customHeight="1" s="60">
      <c r="A1392" s="75">
        <f>Report!C1825</f>
        <v/>
      </c>
      <c r="B1392" s="59">
        <f>Report!E1825</f>
        <v/>
      </c>
      <c r="C1392" s="77">
        <f>Report!U1825</f>
        <v/>
      </c>
      <c r="D1392" s="59">
        <f>Report!X1825</f>
        <v/>
      </c>
    </row>
    <row r="1393" ht="12.75" customHeight="1" s="60">
      <c r="A1393" s="75">
        <f>Report!C1826</f>
        <v/>
      </c>
      <c r="B1393" s="59">
        <f>Report!E1826</f>
        <v/>
      </c>
      <c r="C1393" s="77">
        <f>Report!U1826</f>
        <v/>
      </c>
      <c r="D1393" s="59">
        <f>Report!X1826</f>
        <v/>
      </c>
    </row>
    <row r="1394" ht="12.75" customHeight="1" s="60">
      <c r="A1394" s="75">
        <f>Report!C1827</f>
        <v/>
      </c>
      <c r="B1394" s="59">
        <f>Report!E1827</f>
        <v/>
      </c>
      <c r="C1394" s="77">
        <f>Report!U1827</f>
        <v/>
      </c>
      <c r="D1394" s="59">
        <f>Report!X1827</f>
        <v/>
      </c>
    </row>
    <row r="1395" ht="12.75" customHeight="1" s="60">
      <c r="A1395" s="75">
        <f>Report!C1828</f>
        <v/>
      </c>
      <c r="B1395" s="59">
        <f>Report!E1828</f>
        <v/>
      </c>
      <c r="C1395" s="77">
        <f>Report!U1828</f>
        <v/>
      </c>
      <c r="D1395" s="59">
        <f>Report!X1828</f>
        <v/>
      </c>
    </row>
    <row r="1396" ht="12.75" customHeight="1" s="60">
      <c r="A1396" s="75">
        <f>Report!C1829</f>
        <v/>
      </c>
      <c r="B1396" s="59">
        <f>Report!E1829</f>
        <v/>
      </c>
      <c r="C1396" s="77">
        <f>Report!U1829</f>
        <v/>
      </c>
      <c r="D1396" s="59">
        <f>Report!X1829</f>
        <v/>
      </c>
    </row>
    <row r="1397" ht="12.75" customHeight="1" s="60">
      <c r="A1397" s="75">
        <f>Report!C1830</f>
        <v/>
      </c>
      <c r="B1397" s="59">
        <f>Report!E1830</f>
        <v/>
      </c>
      <c r="C1397" s="77">
        <f>Report!U1830</f>
        <v/>
      </c>
      <c r="D1397" s="59">
        <f>Report!X1830</f>
        <v/>
      </c>
    </row>
    <row r="1398" ht="12.75" customHeight="1" s="60">
      <c r="A1398" s="75">
        <f>Report!C1831</f>
        <v/>
      </c>
      <c r="B1398" s="59">
        <f>Report!E1831</f>
        <v/>
      </c>
      <c r="C1398" s="77">
        <f>Report!U1831</f>
        <v/>
      </c>
      <c r="D1398" s="59">
        <f>Report!X1831</f>
        <v/>
      </c>
    </row>
    <row r="1399" ht="12.75" customHeight="1" s="60">
      <c r="A1399" s="75">
        <f>Report!C1832</f>
        <v/>
      </c>
      <c r="B1399" s="59">
        <f>Report!E1832</f>
        <v/>
      </c>
      <c r="C1399" s="77">
        <f>Report!U1832</f>
        <v/>
      </c>
      <c r="D1399" s="59">
        <f>Report!X1832</f>
        <v/>
      </c>
    </row>
    <row r="1400" ht="12.75" customHeight="1" s="60">
      <c r="A1400" s="75">
        <f>Report!C1851</f>
        <v/>
      </c>
      <c r="B1400" s="59">
        <f>Report!E1851</f>
        <v/>
      </c>
      <c r="C1400" s="77">
        <f>Report!U1851</f>
        <v/>
      </c>
      <c r="D1400" s="59">
        <f>Report!X1851</f>
        <v/>
      </c>
    </row>
    <row r="1401" ht="12.75" customHeight="1" s="60">
      <c r="A1401" s="75">
        <f>Report!C1852</f>
        <v/>
      </c>
      <c r="B1401" s="59">
        <f>Report!E1852</f>
        <v/>
      </c>
      <c r="C1401" s="77">
        <f>Report!U1852</f>
        <v/>
      </c>
      <c r="D1401" s="59">
        <f>Report!X1852</f>
        <v/>
      </c>
    </row>
    <row r="1402" ht="12.75" customHeight="1" s="60">
      <c r="A1402" s="75">
        <f>Report!C1853</f>
        <v/>
      </c>
      <c r="B1402" s="59">
        <f>Report!E1853</f>
        <v/>
      </c>
      <c r="C1402" s="77">
        <f>Report!U1853</f>
        <v/>
      </c>
      <c r="D1402" s="59">
        <f>Report!X1853</f>
        <v/>
      </c>
    </row>
    <row r="1403" ht="12.75" customHeight="1" s="60">
      <c r="A1403" s="75">
        <f>Report!C1854</f>
        <v/>
      </c>
      <c r="B1403" s="59">
        <f>Report!E1854</f>
        <v/>
      </c>
      <c r="C1403" s="77">
        <f>Report!U1854</f>
        <v/>
      </c>
      <c r="D1403" s="59">
        <f>Report!X1854</f>
        <v/>
      </c>
    </row>
    <row r="1404" ht="12.75" customHeight="1" s="60">
      <c r="A1404" s="75">
        <f>Report!C1856</f>
        <v/>
      </c>
      <c r="B1404" s="59">
        <f>Report!E1856</f>
        <v/>
      </c>
      <c r="C1404" s="77">
        <f>Report!U1856</f>
        <v/>
      </c>
      <c r="D1404" s="59">
        <f>Report!X1856</f>
        <v/>
      </c>
    </row>
    <row r="1405" ht="12.75" customHeight="1" s="60">
      <c r="A1405" s="75">
        <f>Report!C1857</f>
        <v/>
      </c>
      <c r="B1405" s="59">
        <f>Report!E1857</f>
        <v/>
      </c>
      <c r="C1405" s="77">
        <f>Report!U1857</f>
        <v/>
      </c>
      <c r="D1405" s="59">
        <f>Report!X1857</f>
        <v/>
      </c>
    </row>
    <row r="1406" ht="12.75" customHeight="1" s="60">
      <c r="A1406" s="75">
        <f>Report!C1861</f>
        <v/>
      </c>
      <c r="B1406" s="59">
        <f>Report!E1861</f>
        <v/>
      </c>
      <c r="C1406" s="77">
        <f>Report!U1861</f>
        <v/>
      </c>
      <c r="D1406" s="59">
        <f>Report!X1861</f>
        <v/>
      </c>
    </row>
    <row r="1407" ht="12.75" customHeight="1" s="60">
      <c r="A1407" s="75">
        <f>Report!C1862</f>
        <v/>
      </c>
      <c r="B1407" s="59">
        <f>Report!E1862</f>
        <v/>
      </c>
      <c r="C1407" s="77">
        <f>Report!U1862</f>
        <v/>
      </c>
      <c r="D1407" s="59">
        <f>Report!X1862</f>
        <v/>
      </c>
    </row>
    <row r="1408" ht="12.75" customHeight="1" s="60">
      <c r="A1408" s="75">
        <f>Report!C1865</f>
        <v/>
      </c>
      <c r="B1408" s="59">
        <f>Report!E1865</f>
        <v/>
      </c>
      <c r="C1408" s="77">
        <f>Report!U1865</f>
        <v/>
      </c>
      <c r="D1408" s="59">
        <f>Report!X1865</f>
        <v/>
      </c>
    </row>
    <row r="1409" ht="12.75" customHeight="1" s="60">
      <c r="A1409" s="75">
        <f>Report!C1866</f>
        <v/>
      </c>
      <c r="B1409" s="59">
        <f>Report!E1866</f>
        <v/>
      </c>
      <c r="C1409" s="77">
        <f>Report!U1866</f>
        <v/>
      </c>
      <c r="D1409" s="59">
        <f>Report!X1866</f>
        <v/>
      </c>
    </row>
    <row r="1410" ht="12.75" customHeight="1" s="60">
      <c r="A1410" s="75">
        <f>Report!C1867</f>
        <v/>
      </c>
      <c r="B1410" s="59">
        <f>Report!E1867</f>
        <v/>
      </c>
      <c r="C1410" s="77">
        <f>Report!U1867</f>
        <v/>
      </c>
      <c r="D1410" s="59">
        <f>Report!X1867</f>
        <v/>
      </c>
    </row>
    <row r="1411" ht="12.75" customHeight="1" s="60">
      <c r="A1411" s="75">
        <f>Report!C1868</f>
        <v/>
      </c>
      <c r="B1411" s="59">
        <f>Report!E1868</f>
        <v/>
      </c>
      <c r="C1411" s="77">
        <f>Report!U1868</f>
        <v/>
      </c>
      <c r="D1411" s="59">
        <f>Report!X1868</f>
        <v/>
      </c>
    </row>
    <row r="1412" ht="12.75" customHeight="1" s="60">
      <c r="A1412" s="75">
        <f>Report!C1869</f>
        <v/>
      </c>
      <c r="B1412" s="59">
        <f>Report!E1869</f>
        <v/>
      </c>
      <c r="C1412" s="77">
        <f>Report!U1869</f>
        <v/>
      </c>
      <c r="D1412" s="59">
        <f>Report!X1869</f>
        <v/>
      </c>
    </row>
    <row r="1413" ht="12.75" customHeight="1" s="60">
      <c r="A1413" s="75">
        <f>Report!C1870</f>
        <v/>
      </c>
      <c r="B1413" s="59">
        <f>Report!E1870</f>
        <v/>
      </c>
      <c r="C1413" s="77">
        <f>Report!U1870</f>
        <v/>
      </c>
      <c r="D1413" s="59">
        <f>Report!X1870</f>
        <v/>
      </c>
    </row>
    <row r="1414" ht="12.75" customHeight="1" s="60">
      <c r="A1414" s="75">
        <f>Report!C1871</f>
        <v/>
      </c>
      <c r="B1414" s="59">
        <f>Report!E1871</f>
        <v/>
      </c>
      <c r="C1414" s="77">
        <f>Report!U1871</f>
        <v/>
      </c>
      <c r="D1414" s="59">
        <f>Report!X1871</f>
        <v/>
      </c>
    </row>
    <row r="1415" ht="12.75" customHeight="1" s="60">
      <c r="A1415" s="75">
        <f>Report!C1872</f>
        <v/>
      </c>
      <c r="B1415" s="59">
        <f>Report!E1872</f>
        <v/>
      </c>
      <c r="C1415" s="77">
        <f>Report!U1872</f>
        <v/>
      </c>
      <c r="D1415" s="59">
        <f>Report!X1872</f>
        <v/>
      </c>
    </row>
    <row r="1416" ht="12.75" customHeight="1" s="60">
      <c r="A1416" s="75">
        <f>Report!C1873</f>
        <v/>
      </c>
      <c r="B1416" s="59">
        <f>Report!E1873</f>
        <v/>
      </c>
      <c r="C1416" s="77">
        <f>Report!U1873</f>
        <v/>
      </c>
      <c r="D1416" s="59">
        <f>Report!X1873</f>
        <v/>
      </c>
    </row>
    <row r="1417" ht="12.75" customHeight="1" s="60">
      <c r="A1417" s="75">
        <f>Report!C1874</f>
        <v/>
      </c>
      <c r="B1417" s="59">
        <f>Report!E1874</f>
        <v/>
      </c>
      <c r="C1417" s="77">
        <f>Report!U1874</f>
        <v/>
      </c>
      <c r="D1417" s="59">
        <f>Report!X1874</f>
        <v/>
      </c>
    </row>
    <row r="1418" ht="12.75" customHeight="1" s="60">
      <c r="A1418" s="75">
        <f>Report!C1875</f>
        <v/>
      </c>
      <c r="B1418" s="59">
        <f>Report!E1875</f>
        <v/>
      </c>
      <c r="C1418" s="77">
        <f>Report!U1875</f>
        <v/>
      </c>
      <c r="D1418" s="59">
        <f>Report!X1875</f>
        <v/>
      </c>
    </row>
    <row r="1419" ht="12.75" customHeight="1" s="60">
      <c r="A1419" s="75">
        <f>Report!C1876</f>
        <v/>
      </c>
      <c r="B1419" s="59">
        <f>Report!E1876</f>
        <v/>
      </c>
      <c r="C1419" s="77">
        <f>Report!U1876</f>
        <v/>
      </c>
      <c r="D1419" s="59">
        <f>Report!X1876</f>
        <v/>
      </c>
    </row>
    <row r="1420" ht="12.75" customHeight="1" s="60">
      <c r="A1420" s="75">
        <f>Report!C1877</f>
        <v/>
      </c>
      <c r="B1420" s="59">
        <f>Report!E1877</f>
        <v/>
      </c>
      <c r="C1420" s="77">
        <f>Report!U1877</f>
        <v/>
      </c>
      <c r="D1420" s="59">
        <f>Report!X1877</f>
        <v/>
      </c>
    </row>
    <row r="1421" ht="12.75" customHeight="1" s="60">
      <c r="A1421" s="75">
        <f>Report!C1878</f>
        <v/>
      </c>
      <c r="B1421" s="59">
        <f>Report!E1878</f>
        <v/>
      </c>
      <c r="C1421" s="77">
        <f>Report!U1878</f>
        <v/>
      </c>
      <c r="D1421" s="59">
        <f>Report!X1878</f>
        <v/>
      </c>
    </row>
    <row r="1422" ht="12.75" customHeight="1" s="60">
      <c r="A1422" s="75">
        <f>Report!C1879</f>
        <v/>
      </c>
      <c r="B1422" s="59">
        <f>Report!E1879</f>
        <v/>
      </c>
      <c r="C1422" s="77">
        <f>Report!U1879</f>
        <v/>
      </c>
      <c r="D1422" s="59">
        <f>Report!X1879</f>
        <v/>
      </c>
    </row>
    <row r="1423" ht="12.75" customHeight="1" s="60">
      <c r="A1423" s="75">
        <f>Report!C1880</f>
        <v/>
      </c>
      <c r="B1423" s="59">
        <f>Report!E1880</f>
        <v/>
      </c>
      <c r="C1423" s="77">
        <f>Report!U1880</f>
        <v/>
      </c>
      <c r="D1423" s="59">
        <f>Report!X1880</f>
        <v/>
      </c>
    </row>
    <row r="1424" ht="12.75" customHeight="1" s="60">
      <c r="A1424" s="75">
        <f>Report!C1881</f>
        <v/>
      </c>
      <c r="B1424" s="59">
        <f>Report!E1881</f>
        <v/>
      </c>
      <c r="C1424" s="77">
        <f>Report!U1881</f>
        <v/>
      </c>
      <c r="D1424" s="59">
        <f>Report!X1881</f>
        <v/>
      </c>
    </row>
    <row r="1425" ht="12.75" customHeight="1" s="60">
      <c r="A1425" s="75">
        <f>Report!C1882</f>
        <v/>
      </c>
      <c r="B1425" s="59">
        <f>Report!E1882</f>
        <v/>
      </c>
      <c r="C1425" s="77">
        <f>Report!U1882</f>
        <v/>
      </c>
      <c r="D1425" s="59">
        <f>Report!X1882</f>
        <v/>
      </c>
    </row>
    <row r="1426" ht="12.75" customHeight="1" s="60">
      <c r="A1426" s="75">
        <f>Report!C1883</f>
        <v/>
      </c>
      <c r="B1426" s="59">
        <f>Report!E1883</f>
        <v/>
      </c>
      <c r="C1426" s="77">
        <f>Report!U1883</f>
        <v/>
      </c>
      <c r="D1426" s="59">
        <f>Report!X1883</f>
        <v/>
      </c>
    </row>
    <row r="1427" ht="12.75" customHeight="1" s="60">
      <c r="A1427" s="75">
        <f>Report!C1885</f>
        <v/>
      </c>
      <c r="B1427" s="59">
        <f>Report!E1885</f>
        <v/>
      </c>
      <c r="C1427" s="77">
        <f>Report!U1885</f>
        <v/>
      </c>
      <c r="D1427" s="59">
        <f>Report!X1885</f>
        <v/>
      </c>
    </row>
    <row r="1428" ht="12.75" customHeight="1" s="60">
      <c r="A1428" s="75">
        <f>Report!C1886</f>
        <v/>
      </c>
      <c r="B1428" s="59">
        <f>Report!E1886</f>
        <v/>
      </c>
      <c r="C1428" s="77">
        <f>Report!U1886</f>
        <v/>
      </c>
      <c r="D1428" s="59">
        <f>Report!X1886</f>
        <v/>
      </c>
    </row>
    <row r="1429" ht="12.75" customHeight="1" s="60">
      <c r="A1429" s="75">
        <f>Report!C1894</f>
        <v/>
      </c>
      <c r="B1429" s="59">
        <f>Report!E1894</f>
        <v/>
      </c>
      <c r="C1429" s="77">
        <f>Report!U1894</f>
        <v/>
      </c>
      <c r="D1429" s="59">
        <f>Report!X1894</f>
        <v/>
      </c>
    </row>
    <row r="1430" ht="12.75" customHeight="1" s="60">
      <c r="A1430" s="75">
        <f>Report!C1895</f>
        <v/>
      </c>
      <c r="B1430" s="59">
        <f>Report!E1895</f>
        <v/>
      </c>
      <c r="C1430" s="77">
        <f>Report!U1895</f>
        <v/>
      </c>
      <c r="D1430" s="59">
        <f>Report!X1895</f>
        <v/>
      </c>
    </row>
    <row r="1431" ht="12.75" customHeight="1" s="60">
      <c r="A1431" s="75">
        <f>Report!C1896</f>
        <v/>
      </c>
      <c r="B1431" s="59">
        <f>Report!E1896</f>
        <v/>
      </c>
      <c r="C1431" s="77">
        <f>Report!U1896</f>
        <v/>
      </c>
      <c r="D1431" s="59">
        <f>Report!X1896</f>
        <v/>
      </c>
    </row>
    <row r="1432" ht="12.75" customHeight="1" s="60">
      <c r="A1432" s="75">
        <f>Report!C1899</f>
        <v/>
      </c>
      <c r="B1432" s="59">
        <f>Report!E1899</f>
        <v/>
      </c>
      <c r="C1432" s="77">
        <f>Report!U1899</f>
        <v/>
      </c>
      <c r="D1432" s="59">
        <f>Report!X1899</f>
        <v/>
      </c>
    </row>
    <row r="1433" ht="12.75" customHeight="1" s="60">
      <c r="A1433" s="75">
        <f>Report!C1907</f>
        <v/>
      </c>
      <c r="B1433" s="59">
        <f>Report!E1907</f>
        <v/>
      </c>
      <c r="C1433" s="77">
        <f>Report!U1907</f>
        <v/>
      </c>
      <c r="D1433" s="59">
        <f>Report!X1907</f>
        <v/>
      </c>
    </row>
    <row r="1434" ht="12.75" customHeight="1" s="60">
      <c r="A1434" s="75">
        <f>Report!C1910</f>
        <v/>
      </c>
      <c r="B1434" s="59">
        <f>Report!E1910</f>
        <v/>
      </c>
      <c r="C1434" s="77">
        <f>Report!U1910</f>
        <v/>
      </c>
      <c r="D1434" s="59">
        <f>Report!X1910</f>
        <v/>
      </c>
    </row>
    <row r="1435" ht="12.75" customHeight="1" s="60">
      <c r="A1435" s="75">
        <f>Report!C1911</f>
        <v/>
      </c>
      <c r="B1435" s="59">
        <f>Report!E1911</f>
        <v/>
      </c>
      <c r="C1435" s="77">
        <f>Report!U1911</f>
        <v/>
      </c>
      <c r="D1435" s="59">
        <f>Report!X1911</f>
        <v/>
      </c>
    </row>
    <row r="1436" ht="12.75" customHeight="1" s="60">
      <c r="A1436" s="75">
        <f>Report!C1912</f>
        <v/>
      </c>
      <c r="B1436" s="59">
        <f>Report!E1912</f>
        <v/>
      </c>
      <c r="C1436" s="77">
        <f>Report!U1912</f>
        <v/>
      </c>
      <c r="D1436" s="59">
        <f>Report!X1912</f>
        <v/>
      </c>
    </row>
    <row r="1437" ht="12.75" customHeight="1" s="60">
      <c r="A1437" s="75">
        <f>Report!C1913</f>
        <v/>
      </c>
      <c r="B1437" s="59">
        <f>Report!E1913</f>
        <v/>
      </c>
      <c r="C1437" s="77">
        <f>Report!U1913</f>
        <v/>
      </c>
      <c r="D1437" s="59">
        <f>Report!X1913</f>
        <v/>
      </c>
    </row>
    <row r="1438" ht="12.75" customHeight="1" s="60">
      <c r="A1438" s="75">
        <f>Report!C1917</f>
        <v/>
      </c>
      <c r="B1438" s="59">
        <f>Report!E1917</f>
        <v/>
      </c>
      <c r="C1438" s="77">
        <f>Report!U1917</f>
        <v/>
      </c>
      <c r="D1438" s="59">
        <f>Report!X1917</f>
        <v/>
      </c>
    </row>
    <row r="1439" ht="12.75" customHeight="1" s="60">
      <c r="A1439" s="75">
        <f>Report!C1918</f>
        <v/>
      </c>
      <c r="B1439" s="59">
        <f>Report!E1918</f>
        <v/>
      </c>
      <c r="C1439" s="77">
        <f>Report!U1918</f>
        <v/>
      </c>
      <c r="D1439" s="59">
        <f>Report!X1918</f>
        <v/>
      </c>
    </row>
    <row r="1440" ht="12.75" customHeight="1" s="60">
      <c r="A1440" s="75">
        <f>Report!C1919</f>
        <v/>
      </c>
      <c r="B1440" s="59">
        <f>Report!E1919</f>
        <v/>
      </c>
      <c r="C1440" s="77">
        <f>Report!U1919</f>
        <v/>
      </c>
      <c r="D1440" s="59">
        <f>Report!X1919</f>
        <v/>
      </c>
    </row>
    <row r="1441" ht="12.75" customHeight="1" s="60">
      <c r="A1441" s="75">
        <f>Report!C1920</f>
        <v/>
      </c>
      <c r="B1441" s="59">
        <f>Report!E1920</f>
        <v/>
      </c>
      <c r="C1441" s="77">
        <f>Report!U1920</f>
        <v/>
      </c>
      <c r="D1441" s="59">
        <f>Report!X1920</f>
        <v/>
      </c>
    </row>
    <row r="1442" ht="12.75" customHeight="1" s="60">
      <c r="A1442" s="75">
        <f>Report!C1922</f>
        <v/>
      </c>
      <c r="B1442" s="59">
        <f>Report!E1922</f>
        <v/>
      </c>
      <c r="C1442" s="77">
        <f>Report!U1922</f>
        <v/>
      </c>
      <c r="D1442" s="59">
        <f>Report!X1922</f>
        <v/>
      </c>
    </row>
    <row r="1443" ht="12.75" customHeight="1" s="60">
      <c r="A1443" s="75">
        <f>Report!C1923</f>
        <v/>
      </c>
      <c r="B1443" s="59">
        <f>Report!E1923</f>
        <v/>
      </c>
      <c r="C1443" s="77">
        <f>Report!U1923</f>
        <v/>
      </c>
      <c r="D1443" s="59">
        <f>Report!X1923</f>
        <v/>
      </c>
    </row>
    <row r="1444" ht="12.75" customHeight="1" s="60">
      <c r="A1444" s="75">
        <f>Report!C1924</f>
        <v/>
      </c>
      <c r="B1444" s="59">
        <f>Report!E1924</f>
        <v/>
      </c>
      <c r="C1444" s="77">
        <f>Report!U1924</f>
        <v/>
      </c>
      <c r="D1444" s="59">
        <f>Report!X1924</f>
        <v/>
      </c>
    </row>
    <row r="1445" ht="12.75" customHeight="1" s="60">
      <c r="A1445" s="75">
        <f>Report!C1926</f>
        <v/>
      </c>
      <c r="B1445" s="59">
        <f>Report!E1926</f>
        <v/>
      </c>
      <c r="C1445" s="77">
        <f>Report!U1926</f>
        <v/>
      </c>
      <c r="D1445" s="59">
        <f>Report!X1926</f>
        <v/>
      </c>
    </row>
    <row r="1446" ht="12.75" customHeight="1" s="60">
      <c r="A1446" s="75">
        <f>Report!C1927</f>
        <v/>
      </c>
      <c r="B1446" s="59">
        <f>Report!E1927</f>
        <v/>
      </c>
      <c r="C1446" s="77">
        <f>Report!U1927</f>
        <v/>
      </c>
      <c r="D1446" s="59">
        <f>Report!X1927</f>
        <v/>
      </c>
    </row>
    <row r="1447" ht="12.75" customHeight="1" s="60">
      <c r="A1447" s="75">
        <f>Report!C1928</f>
        <v/>
      </c>
      <c r="B1447" s="59">
        <f>Report!E1928</f>
        <v/>
      </c>
      <c r="C1447" s="77">
        <f>Report!U1928</f>
        <v/>
      </c>
      <c r="D1447" s="59">
        <f>Report!X1928</f>
        <v/>
      </c>
    </row>
    <row r="1448" ht="12.75" customHeight="1" s="60">
      <c r="A1448" s="75">
        <f>Report!C1929</f>
        <v/>
      </c>
      <c r="B1448" s="59">
        <f>Report!E1929</f>
        <v/>
      </c>
      <c r="C1448" s="77">
        <f>Report!U1929</f>
        <v/>
      </c>
      <c r="D1448" s="59">
        <f>Report!X1929</f>
        <v/>
      </c>
    </row>
    <row r="1449" ht="12.75" customHeight="1" s="60">
      <c r="A1449" s="75">
        <f>Report!C1930</f>
        <v/>
      </c>
      <c r="B1449" s="59">
        <f>Report!E1930</f>
        <v/>
      </c>
      <c r="C1449" s="77">
        <f>Report!U1930</f>
        <v/>
      </c>
      <c r="D1449" s="59">
        <f>Report!X1930</f>
        <v/>
      </c>
    </row>
    <row r="1450" ht="12.75" customHeight="1" s="60">
      <c r="A1450" s="75">
        <f>Report!C1931</f>
        <v/>
      </c>
      <c r="B1450" s="59">
        <f>Report!E1931</f>
        <v/>
      </c>
      <c r="C1450" s="77">
        <f>Report!U1931</f>
        <v/>
      </c>
      <c r="D1450" s="59">
        <f>Report!X1931</f>
        <v/>
      </c>
    </row>
    <row r="1451" ht="12.75" customHeight="1" s="60">
      <c r="A1451" s="75">
        <f>Report!C1932</f>
        <v/>
      </c>
      <c r="B1451" s="59">
        <f>Report!E1932</f>
        <v/>
      </c>
      <c r="C1451" s="77">
        <f>Report!U1932</f>
        <v/>
      </c>
      <c r="D1451" s="59">
        <f>Report!X1932</f>
        <v/>
      </c>
    </row>
    <row r="1452" ht="12.75" customHeight="1" s="60">
      <c r="A1452" s="75">
        <f>Report!C1933</f>
        <v/>
      </c>
      <c r="B1452" s="59">
        <f>Report!E1933</f>
        <v/>
      </c>
      <c r="C1452" s="77">
        <f>Report!U1933</f>
        <v/>
      </c>
      <c r="D1452" s="59">
        <f>Report!X1933</f>
        <v/>
      </c>
    </row>
    <row r="1453" ht="12.75" customHeight="1" s="60">
      <c r="A1453" s="75">
        <f>Report!C1934</f>
        <v/>
      </c>
      <c r="B1453" s="59">
        <f>Report!E1934</f>
        <v/>
      </c>
      <c r="C1453" s="77">
        <f>Report!U1934</f>
        <v/>
      </c>
      <c r="D1453" s="59">
        <f>Report!X1934</f>
        <v/>
      </c>
    </row>
    <row r="1454" ht="12.75" customHeight="1" s="60">
      <c r="A1454" s="75">
        <f>Report!C1935</f>
        <v/>
      </c>
      <c r="B1454" s="59">
        <f>Report!E1935</f>
        <v/>
      </c>
      <c r="C1454" s="77">
        <f>Report!U1935</f>
        <v/>
      </c>
      <c r="D1454" s="59">
        <f>Report!X1935</f>
        <v/>
      </c>
    </row>
    <row r="1455" ht="12.75" customHeight="1" s="60">
      <c r="A1455" s="75">
        <f>Report!C1937</f>
        <v/>
      </c>
      <c r="B1455" s="59">
        <f>Report!E1937</f>
        <v/>
      </c>
      <c r="C1455" s="77">
        <f>Report!U1937</f>
        <v/>
      </c>
      <c r="D1455" s="59">
        <f>Report!X1937</f>
        <v/>
      </c>
    </row>
    <row r="1456" ht="12.75" customHeight="1" s="60">
      <c r="A1456" s="75">
        <f>Report!C1938</f>
        <v/>
      </c>
      <c r="B1456" s="59">
        <f>Report!E1938</f>
        <v/>
      </c>
      <c r="C1456" s="77">
        <f>Report!U1938</f>
        <v/>
      </c>
      <c r="D1456" s="59">
        <f>Report!X1938</f>
        <v/>
      </c>
    </row>
    <row r="1457" ht="12.75" customHeight="1" s="60">
      <c r="A1457" s="75">
        <f>Report!C1939</f>
        <v/>
      </c>
      <c r="B1457" s="59">
        <f>Report!E1939</f>
        <v/>
      </c>
      <c r="C1457" s="77">
        <f>Report!U1939</f>
        <v/>
      </c>
      <c r="D1457" s="59">
        <f>Report!X1939</f>
        <v/>
      </c>
    </row>
    <row r="1458" ht="12.75" customHeight="1" s="60">
      <c r="A1458" s="75">
        <f>Report!C1940</f>
        <v/>
      </c>
      <c r="B1458" s="59">
        <f>Report!E1940</f>
        <v/>
      </c>
      <c r="C1458" s="77">
        <f>Report!U1940</f>
        <v/>
      </c>
      <c r="D1458" s="59">
        <f>Report!X1940</f>
        <v/>
      </c>
    </row>
    <row r="1459" ht="12.75" customHeight="1" s="60">
      <c r="A1459" s="75">
        <f>Report!C1941</f>
        <v/>
      </c>
      <c r="B1459" s="59">
        <f>Report!E1941</f>
        <v/>
      </c>
      <c r="C1459" s="77">
        <f>Report!U1941</f>
        <v/>
      </c>
      <c r="D1459" s="59">
        <f>Report!X1941</f>
        <v/>
      </c>
    </row>
    <row r="1460" ht="12.75" customHeight="1" s="60">
      <c r="A1460" s="75">
        <f>Report!C1942</f>
        <v/>
      </c>
      <c r="B1460" s="59">
        <f>Report!E1942</f>
        <v/>
      </c>
      <c r="C1460" s="77">
        <f>Report!U1942</f>
        <v/>
      </c>
      <c r="D1460" s="59">
        <f>Report!X1942</f>
        <v/>
      </c>
    </row>
    <row r="1461" ht="12.75" customHeight="1" s="60">
      <c r="A1461" s="75">
        <f>Report!C1943</f>
        <v/>
      </c>
      <c r="B1461" s="59">
        <f>Report!E1943</f>
        <v/>
      </c>
      <c r="C1461" s="77">
        <f>Report!U1943</f>
        <v/>
      </c>
      <c r="D1461" s="59">
        <f>Report!X1943</f>
        <v/>
      </c>
    </row>
    <row r="1462" ht="12.75" customHeight="1" s="60">
      <c r="A1462" s="75">
        <f>Report!C1944</f>
        <v/>
      </c>
      <c r="B1462" s="59">
        <f>Report!E1944</f>
        <v/>
      </c>
      <c r="C1462" s="77">
        <f>Report!U1944</f>
        <v/>
      </c>
      <c r="D1462" s="59">
        <f>Report!X1944</f>
        <v/>
      </c>
    </row>
    <row r="1463" ht="12.75" customHeight="1" s="60">
      <c r="A1463" s="75">
        <f>Report!C1946</f>
        <v/>
      </c>
      <c r="B1463" s="59">
        <f>Report!E1946</f>
        <v/>
      </c>
      <c r="C1463" s="77">
        <f>Report!U1946</f>
        <v/>
      </c>
      <c r="D1463" s="59">
        <f>Report!X1946</f>
        <v/>
      </c>
    </row>
    <row r="1464" ht="12.75" customHeight="1" s="60">
      <c r="A1464" s="75">
        <f>Report!C1947</f>
        <v/>
      </c>
      <c r="B1464" s="59">
        <f>Report!E1947</f>
        <v/>
      </c>
      <c r="C1464" s="77">
        <f>Report!U1947</f>
        <v/>
      </c>
      <c r="D1464" s="59">
        <f>Report!X1947</f>
        <v/>
      </c>
    </row>
    <row r="1465" ht="12.75" customHeight="1" s="60">
      <c r="A1465" s="75">
        <f>Report!C1948</f>
        <v/>
      </c>
      <c r="B1465" s="59">
        <f>Report!E1948</f>
        <v/>
      </c>
      <c r="C1465" s="77">
        <f>Report!U1948</f>
        <v/>
      </c>
      <c r="D1465" s="59">
        <f>Report!X1948</f>
        <v/>
      </c>
    </row>
    <row r="1466" ht="12.75" customHeight="1" s="60">
      <c r="A1466" s="75">
        <f>Report!C1954</f>
        <v/>
      </c>
      <c r="B1466" s="59">
        <f>Report!E1954</f>
        <v/>
      </c>
      <c r="C1466" s="77">
        <f>Report!U1954</f>
        <v/>
      </c>
      <c r="D1466" s="59">
        <f>Report!X1954</f>
        <v/>
      </c>
    </row>
    <row r="1467" ht="12.75" customHeight="1" s="60">
      <c r="A1467" s="75">
        <f>Report!C1955</f>
        <v/>
      </c>
      <c r="B1467" s="59">
        <f>Report!E1955</f>
        <v/>
      </c>
      <c r="C1467" s="77">
        <f>Report!U1955</f>
        <v/>
      </c>
      <c r="D1467" s="59">
        <f>Report!X1955</f>
        <v/>
      </c>
    </row>
    <row r="1468" ht="12.75" customHeight="1" s="60">
      <c r="A1468" s="75">
        <f>Report!C1957</f>
        <v/>
      </c>
      <c r="B1468" s="59">
        <f>Report!E1957</f>
        <v/>
      </c>
      <c r="C1468" s="77">
        <f>Report!U1957</f>
        <v/>
      </c>
      <c r="D1468" s="59">
        <f>Report!X1957</f>
        <v/>
      </c>
    </row>
    <row r="1469" ht="12.75" customHeight="1" s="60">
      <c r="A1469" s="75">
        <f>Report!C1959</f>
        <v/>
      </c>
      <c r="B1469" s="59">
        <f>Report!E1959</f>
        <v/>
      </c>
      <c r="C1469" s="77">
        <f>Report!U1959</f>
        <v/>
      </c>
      <c r="D1469" s="59">
        <f>Report!X1959</f>
        <v/>
      </c>
    </row>
    <row r="1470" ht="12.75" customHeight="1" s="60">
      <c r="A1470" s="75">
        <f>Report!C1960</f>
        <v/>
      </c>
      <c r="B1470" s="59">
        <f>Report!E1960</f>
        <v/>
      </c>
      <c r="C1470" s="77">
        <f>Report!U1960</f>
        <v/>
      </c>
      <c r="D1470" s="59">
        <f>Report!X1960</f>
        <v/>
      </c>
    </row>
    <row r="1471" ht="12.75" customHeight="1" s="60">
      <c r="A1471" s="75">
        <f>Report!C1961</f>
        <v/>
      </c>
      <c r="B1471" s="59">
        <f>Report!E1961</f>
        <v/>
      </c>
      <c r="C1471" s="77">
        <f>Report!U1961</f>
        <v/>
      </c>
      <c r="D1471" s="59">
        <f>Report!X1961</f>
        <v/>
      </c>
    </row>
    <row r="1472" ht="12.75" customHeight="1" s="60">
      <c r="A1472" s="75">
        <f>Report!C1963</f>
        <v/>
      </c>
      <c r="B1472" s="59">
        <f>Report!E1963</f>
        <v/>
      </c>
      <c r="C1472" s="77">
        <f>Report!U1963</f>
        <v/>
      </c>
      <c r="D1472" s="59">
        <f>Report!X1963</f>
        <v/>
      </c>
    </row>
    <row r="1473" ht="12.75" customHeight="1" s="60">
      <c r="A1473" s="75">
        <f>Report!C1964</f>
        <v/>
      </c>
      <c r="B1473" s="59">
        <f>Report!E1964</f>
        <v/>
      </c>
      <c r="C1473" s="77">
        <f>Report!U1964</f>
        <v/>
      </c>
      <c r="D1473" s="59">
        <f>Report!X1964</f>
        <v/>
      </c>
    </row>
    <row r="1474" ht="12.75" customHeight="1" s="60">
      <c r="A1474" s="75">
        <f>Report!C1966</f>
        <v/>
      </c>
      <c r="B1474" s="59">
        <f>Report!E1966</f>
        <v/>
      </c>
      <c r="C1474" s="77">
        <f>Report!U1966</f>
        <v/>
      </c>
      <c r="D1474" s="59">
        <f>Report!X1966</f>
        <v/>
      </c>
    </row>
    <row r="1475" ht="12.75" customHeight="1" s="60">
      <c r="A1475" s="75">
        <f>Report!C1967</f>
        <v/>
      </c>
      <c r="B1475" s="59">
        <f>Report!E1967</f>
        <v/>
      </c>
      <c r="C1475" s="77">
        <f>Report!U1967</f>
        <v/>
      </c>
      <c r="D1475" s="59">
        <f>Report!X1967</f>
        <v/>
      </c>
    </row>
    <row r="1476" ht="12.75" customHeight="1" s="60">
      <c r="A1476" s="75">
        <f>Report!C1968</f>
        <v/>
      </c>
      <c r="B1476" s="59">
        <f>Report!E1968</f>
        <v/>
      </c>
      <c r="C1476" s="77">
        <f>Report!U1968</f>
        <v/>
      </c>
      <c r="D1476" s="59">
        <f>Report!X1968</f>
        <v/>
      </c>
    </row>
    <row r="1477" ht="12.75" customHeight="1" s="60">
      <c r="A1477" s="75">
        <f>Report!C1969</f>
        <v/>
      </c>
      <c r="B1477" s="59">
        <f>Report!E1969</f>
        <v/>
      </c>
      <c r="C1477" s="77">
        <f>Report!U1969</f>
        <v/>
      </c>
      <c r="D1477" s="59">
        <f>Report!X1969</f>
        <v/>
      </c>
    </row>
    <row r="1478" ht="12.75" customHeight="1" s="60">
      <c r="A1478" s="75">
        <f>Report!C1970</f>
        <v/>
      </c>
      <c r="B1478" s="59">
        <f>Report!E1970</f>
        <v/>
      </c>
      <c r="C1478" s="77">
        <f>Report!U1970</f>
        <v/>
      </c>
      <c r="D1478" s="59">
        <f>Report!X1970</f>
        <v/>
      </c>
    </row>
    <row r="1479" ht="12.75" customHeight="1" s="60">
      <c r="A1479" s="75">
        <f>Report!C1971</f>
        <v/>
      </c>
      <c r="B1479" s="59">
        <f>Report!E1971</f>
        <v/>
      </c>
      <c r="C1479" s="77">
        <f>Report!U1971</f>
        <v/>
      </c>
      <c r="D1479" s="59">
        <f>Report!X1971</f>
        <v/>
      </c>
    </row>
    <row r="1480" ht="12.75" customHeight="1" s="60">
      <c r="A1480" s="75">
        <f>Report!C1972</f>
        <v/>
      </c>
      <c r="B1480" s="59">
        <f>Report!E1972</f>
        <v/>
      </c>
      <c r="C1480" s="77">
        <f>Report!U1972</f>
        <v/>
      </c>
      <c r="D1480" s="59">
        <f>Report!X1972</f>
        <v/>
      </c>
    </row>
    <row r="1481" ht="12.75" customHeight="1" s="60">
      <c r="A1481" s="75">
        <f>Report!C1973</f>
        <v/>
      </c>
      <c r="B1481" s="59">
        <f>Report!E1973</f>
        <v/>
      </c>
      <c r="C1481" s="77">
        <f>Report!U1973</f>
        <v/>
      </c>
      <c r="D1481" s="59">
        <f>Report!X1973</f>
        <v/>
      </c>
    </row>
    <row r="1482" ht="12.75" customHeight="1" s="60">
      <c r="A1482" s="75">
        <f>Report!C1974</f>
        <v/>
      </c>
      <c r="B1482" s="59">
        <f>Report!E1974</f>
        <v/>
      </c>
      <c r="C1482" s="77">
        <f>Report!U1974</f>
        <v/>
      </c>
      <c r="D1482" s="59">
        <f>Report!X1974</f>
        <v/>
      </c>
    </row>
    <row r="1483" ht="12.75" customHeight="1" s="60">
      <c r="A1483" s="75">
        <f>Report!C1975</f>
        <v/>
      </c>
      <c r="B1483" s="59">
        <f>Report!E1975</f>
        <v/>
      </c>
      <c r="C1483" s="77">
        <f>Report!U1975</f>
        <v/>
      </c>
      <c r="D1483" s="59">
        <f>Report!X1975</f>
        <v/>
      </c>
    </row>
    <row r="1484" ht="12.75" customHeight="1" s="60">
      <c r="A1484" s="75">
        <f>Report!C1976</f>
        <v/>
      </c>
      <c r="B1484" s="59">
        <f>Report!E1976</f>
        <v/>
      </c>
      <c r="C1484" s="77">
        <f>Report!U1976</f>
        <v/>
      </c>
      <c r="D1484" s="59">
        <f>Report!X1976</f>
        <v/>
      </c>
    </row>
    <row r="1485" ht="12.75" customHeight="1" s="60">
      <c r="A1485" s="75">
        <f>Report!C1977</f>
        <v/>
      </c>
      <c r="B1485" s="59">
        <f>Report!E1977</f>
        <v/>
      </c>
      <c r="C1485" s="77">
        <f>Report!U1977</f>
        <v/>
      </c>
      <c r="D1485" s="59">
        <f>Report!X1977</f>
        <v/>
      </c>
    </row>
    <row r="1486" ht="12.75" customHeight="1" s="60">
      <c r="A1486" s="75">
        <f>Report!C1978</f>
        <v/>
      </c>
      <c r="B1486" s="59">
        <f>Report!E1978</f>
        <v/>
      </c>
      <c r="C1486" s="77">
        <f>Report!U1978</f>
        <v/>
      </c>
      <c r="D1486" s="59">
        <f>Report!X1978</f>
        <v/>
      </c>
    </row>
    <row r="1487" ht="12.75" customHeight="1" s="60">
      <c r="A1487" s="75">
        <f>Report!C1979</f>
        <v/>
      </c>
      <c r="B1487" s="59">
        <f>Report!E1979</f>
        <v/>
      </c>
      <c r="C1487" s="77">
        <f>Report!U1979</f>
        <v/>
      </c>
      <c r="D1487" s="59">
        <f>Report!X1979</f>
        <v/>
      </c>
    </row>
    <row r="1488" ht="12.75" customHeight="1" s="60">
      <c r="A1488" s="75">
        <f>Report!C1980</f>
        <v/>
      </c>
      <c r="B1488" s="59">
        <f>Report!E1980</f>
        <v/>
      </c>
      <c r="C1488" s="77">
        <f>Report!U1980</f>
        <v/>
      </c>
      <c r="D1488" s="59">
        <f>Report!X1980</f>
        <v/>
      </c>
    </row>
    <row r="1489" ht="12.75" customHeight="1" s="60">
      <c r="A1489" s="75">
        <f>Report!C1981</f>
        <v/>
      </c>
      <c r="B1489" s="59">
        <f>Report!E1981</f>
        <v/>
      </c>
      <c r="C1489" s="77">
        <f>Report!U1981</f>
        <v/>
      </c>
      <c r="D1489" s="59">
        <f>Report!X1981</f>
        <v/>
      </c>
    </row>
    <row r="1490" ht="12.75" customHeight="1" s="60">
      <c r="A1490" s="75">
        <f>Report!C1982</f>
        <v/>
      </c>
      <c r="B1490" s="59">
        <f>Report!E1982</f>
        <v/>
      </c>
      <c r="C1490" s="77">
        <f>Report!U1982</f>
        <v/>
      </c>
      <c r="D1490" s="59">
        <f>Report!X1982</f>
        <v/>
      </c>
    </row>
    <row r="1491" ht="12.75" customHeight="1" s="60">
      <c r="A1491" s="75">
        <f>Report!C1983</f>
        <v/>
      </c>
      <c r="B1491" s="59">
        <f>Report!E1983</f>
        <v/>
      </c>
      <c r="C1491" s="77">
        <f>Report!U1983</f>
        <v/>
      </c>
      <c r="D1491" s="59">
        <f>Report!X1983</f>
        <v/>
      </c>
    </row>
    <row r="1492" ht="12.75" customHeight="1" s="60">
      <c r="A1492" s="75">
        <f>Report!C1986</f>
        <v/>
      </c>
      <c r="B1492" s="59">
        <f>Report!E1986</f>
        <v/>
      </c>
      <c r="C1492" s="77">
        <f>Report!U1986</f>
        <v/>
      </c>
      <c r="D1492" s="59">
        <f>Report!X1986</f>
        <v/>
      </c>
    </row>
    <row r="1493" ht="12.75" customHeight="1" s="60">
      <c r="A1493" s="75">
        <f>Report!C1987</f>
        <v/>
      </c>
      <c r="B1493" s="59">
        <f>Report!E1987</f>
        <v/>
      </c>
      <c r="C1493" s="77">
        <f>Report!U1987</f>
        <v/>
      </c>
      <c r="D1493" s="59">
        <f>Report!X1987</f>
        <v/>
      </c>
    </row>
    <row r="1494" ht="12.75" customHeight="1" s="60">
      <c r="A1494" s="75">
        <f>Report!C1988</f>
        <v/>
      </c>
      <c r="B1494" s="59">
        <f>Report!E1988</f>
        <v/>
      </c>
      <c r="C1494" s="77">
        <f>Report!U1988</f>
        <v/>
      </c>
      <c r="D1494" s="59">
        <f>Report!X1988</f>
        <v/>
      </c>
    </row>
    <row r="1495" ht="12.75" customHeight="1" s="60">
      <c r="A1495" s="75">
        <f>Report!C1989</f>
        <v/>
      </c>
      <c r="B1495" s="59">
        <f>Report!E1989</f>
        <v/>
      </c>
      <c r="C1495" s="77">
        <f>Report!U1989</f>
        <v/>
      </c>
      <c r="D1495" s="59">
        <f>Report!X1989</f>
        <v/>
      </c>
    </row>
    <row r="1496" ht="12.75" customHeight="1" s="60">
      <c r="A1496" s="75">
        <f>Report!C1991</f>
        <v/>
      </c>
      <c r="B1496" s="59">
        <f>Report!E1991</f>
        <v/>
      </c>
      <c r="C1496" s="77">
        <f>Report!U1991</f>
        <v/>
      </c>
      <c r="D1496" s="59">
        <f>Report!X1991</f>
        <v/>
      </c>
    </row>
    <row r="1497" ht="12.75" customHeight="1" s="60">
      <c r="A1497" s="75">
        <f>Report!C1992</f>
        <v/>
      </c>
      <c r="B1497" s="59">
        <f>Report!E1992</f>
        <v/>
      </c>
      <c r="C1497" s="77">
        <f>Report!U1992</f>
        <v/>
      </c>
      <c r="D1497" s="59">
        <f>Report!X1992</f>
        <v/>
      </c>
    </row>
    <row r="1498" ht="12.75" customHeight="1" s="60">
      <c r="A1498" s="75">
        <f>Report!C1993</f>
        <v/>
      </c>
      <c r="B1498" s="59">
        <f>Report!E1993</f>
        <v/>
      </c>
      <c r="C1498" s="77">
        <f>Report!U1993</f>
        <v/>
      </c>
      <c r="D1498" s="59">
        <f>Report!X1993</f>
        <v/>
      </c>
    </row>
    <row r="1499" ht="12.75" customHeight="1" s="60">
      <c r="A1499" s="75">
        <f>Report!C1994</f>
        <v/>
      </c>
      <c r="B1499" s="59">
        <f>Report!E1994</f>
        <v/>
      </c>
      <c r="C1499" s="77">
        <f>Report!U1994</f>
        <v/>
      </c>
      <c r="D1499" s="59">
        <f>Report!X1994</f>
        <v/>
      </c>
    </row>
    <row r="1500" ht="12.75" customHeight="1" s="60">
      <c r="A1500" s="75">
        <f>Report!C1995</f>
        <v/>
      </c>
      <c r="B1500" s="59">
        <f>Report!E1995</f>
        <v/>
      </c>
      <c r="C1500" s="77">
        <f>Report!U1995</f>
        <v/>
      </c>
      <c r="D1500" s="59">
        <f>Report!X1995</f>
        <v/>
      </c>
    </row>
    <row r="1501" ht="12.75" customHeight="1" s="60">
      <c r="A1501" s="75">
        <f>Report!C1997</f>
        <v/>
      </c>
      <c r="B1501" s="59">
        <f>Report!E1997</f>
        <v/>
      </c>
      <c r="C1501" s="77">
        <f>Report!U1997</f>
        <v/>
      </c>
      <c r="D1501" s="59">
        <f>Report!X1997</f>
        <v/>
      </c>
    </row>
    <row r="1502" ht="12.75" customHeight="1" s="60">
      <c r="A1502" s="75">
        <f>Report!C1999</f>
        <v/>
      </c>
      <c r="B1502" s="59">
        <f>Report!E1999</f>
        <v/>
      </c>
      <c r="C1502" s="77">
        <f>Report!U1999</f>
        <v/>
      </c>
      <c r="D1502" s="59">
        <f>Report!X1999</f>
        <v/>
      </c>
    </row>
    <row r="1503" ht="12.75" customHeight="1" s="60">
      <c r="A1503" s="75">
        <f>Report!C2001</f>
        <v/>
      </c>
      <c r="B1503" s="59">
        <f>Report!E2001</f>
        <v/>
      </c>
      <c r="C1503" s="77">
        <f>Report!U2001</f>
        <v/>
      </c>
      <c r="D1503" s="59">
        <f>Report!X2001</f>
        <v/>
      </c>
    </row>
    <row r="1504" ht="12.75" customHeight="1" s="60">
      <c r="A1504" s="75">
        <f>Report!C2002</f>
        <v/>
      </c>
      <c r="B1504" s="59">
        <f>Report!E2002</f>
        <v/>
      </c>
      <c r="C1504" s="77">
        <f>Report!U2002</f>
        <v/>
      </c>
      <c r="D1504" s="59">
        <f>Report!X2002</f>
        <v/>
      </c>
    </row>
    <row r="1505" ht="12.75" customHeight="1" s="60">
      <c r="A1505" s="75">
        <f>Report!C2003</f>
        <v/>
      </c>
      <c r="B1505" s="59">
        <f>Report!E2003</f>
        <v/>
      </c>
      <c r="C1505" s="77">
        <f>Report!U2003</f>
        <v/>
      </c>
      <c r="D1505" s="59">
        <f>Report!X2003</f>
        <v/>
      </c>
    </row>
    <row r="1506" ht="12.75" customHeight="1" s="60">
      <c r="A1506" s="75">
        <f>Report!C2004</f>
        <v/>
      </c>
      <c r="B1506" s="59">
        <f>Report!E2004</f>
        <v/>
      </c>
      <c r="C1506" s="77">
        <f>Report!U2004</f>
        <v/>
      </c>
      <c r="D1506" s="59">
        <f>Report!X2004</f>
        <v/>
      </c>
    </row>
    <row r="1507" ht="12.75" customHeight="1" s="60">
      <c r="A1507" s="75">
        <f>Report!C2006</f>
        <v/>
      </c>
      <c r="B1507" s="59">
        <f>Report!E2006</f>
        <v/>
      </c>
      <c r="C1507" s="77">
        <f>Report!U2006</f>
        <v/>
      </c>
      <c r="D1507" s="59">
        <f>Report!X2006</f>
        <v/>
      </c>
    </row>
    <row r="1508" ht="12.75" customHeight="1" s="60">
      <c r="A1508" s="75">
        <f>Report!C2007</f>
        <v/>
      </c>
      <c r="B1508" s="59">
        <f>Report!E2007</f>
        <v/>
      </c>
      <c r="C1508" s="77">
        <f>Report!U2007</f>
        <v/>
      </c>
      <c r="D1508" s="59">
        <f>Report!X2007</f>
        <v/>
      </c>
    </row>
    <row r="1509" ht="12.75" customHeight="1" s="60">
      <c r="A1509" s="75">
        <f>Report!C2008</f>
        <v/>
      </c>
      <c r="B1509" s="59">
        <f>Report!E2008</f>
        <v/>
      </c>
      <c r="C1509" s="77">
        <f>Report!U2008</f>
        <v/>
      </c>
      <c r="D1509" s="59">
        <f>Report!X2008</f>
        <v/>
      </c>
    </row>
    <row r="1510" ht="12.75" customHeight="1" s="60">
      <c r="A1510" s="75">
        <f>Report!C2009</f>
        <v/>
      </c>
      <c r="B1510" s="59">
        <f>Report!E2009</f>
        <v/>
      </c>
      <c r="C1510" s="77">
        <f>Report!U2009</f>
        <v/>
      </c>
      <c r="D1510" s="59">
        <f>Report!X2009</f>
        <v/>
      </c>
    </row>
    <row r="1511" ht="12.75" customHeight="1" s="60">
      <c r="A1511" s="75">
        <f>Report!C2010</f>
        <v/>
      </c>
      <c r="B1511" s="59">
        <f>Report!E2010</f>
        <v/>
      </c>
      <c r="C1511" s="77">
        <f>Report!U2010</f>
        <v/>
      </c>
      <c r="D1511" s="59">
        <f>Report!X2010</f>
        <v/>
      </c>
    </row>
    <row r="1512" ht="12.75" customHeight="1" s="60">
      <c r="A1512" s="75">
        <f>Report!C2011</f>
        <v/>
      </c>
      <c r="B1512" s="59">
        <f>Report!E2011</f>
        <v/>
      </c>
      <c r="C1512" s="77">
        <f>Report!U2011</f>
        <v/>
      </c>
      <c r="D1512" s="59">
        <f>Report!X2011</f>
        <v/>
      </c>
    </row>
    <row r="1513" ht="12.75" customHeight="1" s="60">
      <c r="A1513" s="75">
        <f>Report!C2012</f>
        <v/>
      </c>
      <c r="B1513" s="59">
        <f>Report!E2012</f>
        <v/>
      </c>
      <c r="C1513" s="77">
        <f>Report!U2012</f>
        <v/>
      </c>
      <c r="D1513" s="59">
        <f>Report!X2012</f>
        <v/>
      </c>
    </row>
    <row r="1514" ht="12.75" customHeight="1" s="60">
      <c r="A1514" s="75">
        <f>Report!C2013</f>
        <v/>
      </c>
      <c r="B1514" s="59">
        <f>Report!E2013</f>
        <v/>
      </c>
      <c r="C1514" s="77">
        <f>Report!U2013</f>
        <v/>
      </c>
      <c r="D1514" s="59">
        <f>Report!X2013</f>
        <v/>
      </c>
    </row>
    <row r="1515" ht="12.75" customHeight="1" s="60">
      <c r="A1515" s="75">
        <f>Report!C2014</f>
        <v/>
      </c>
      <c r="B1515" s="59">
        <f>Report!E2014</f>
        <v/>
      </c>
      <c r="C1515" s="77">
        <f>Report!U2014</f>
        <v/>
      </c>
      <c r="D1515" s="59">
        <f>Report!X2014</f>
        <v/>
      </c>
    </row>
    <row r="1516" ht="12.75" customHeight="1" s="60">
      <c r="A1516" s="75">
        <f>Report!C2015</f>
        <v/>
      </c>
      <c r="B1516" s="59">
        <f>Report!E2015</f>
        <v/>
      </c>
      <c r="C1516" s="77">
        <f>Report!U2015</f>
        <v/>
      </c>
      <c r="D1516" s="59">
        <f>Report!X2015</f>
        <v/>
      </c>
    </row>
    <row r="1517" ht="12.75" customHeight="1" s="60">
      <c r="A1517" s="75">
        <f>Report!C2016</f>
        <v/>
      </c>
      <c r="B1517" s="59">
        <f>Report!E2016</f>
        <v/>
      </c>
      <c r="C1517" s="77">
        <f>Report!U2016</f>
        <v/>
      </c>
      <c r="D1517" s="59">
        <f>Report!X2016</f>
        <v/>
      </c>
    </row>
    <row r="1518" ht="12.75" customHeight="1" s="60">
      <c r="A1518" s="75">
        <f>Report!C2017</f>
        <v/>
      </c>
      <c r="B1518" s="59">
        <f>Report!E2017</f>
        <v/>
      </c>
      <c r="C1518" s="77">
        <f>Report!U2017</f>
        <v/>
      </c>
      <c r="D1518" s="59">
        <f>Report!X2017</f>
        <v/>
      </c>
    </row>
    <row r="1519" ht="12.75" customHeight="1" s="60">
      <c r="A1519" s="75">
        <f>Report!C2018</f>
        <v/>
      </c>
      <c r="B1519" s="59">
        <f>Report!E2018</f>
        <v/>
      </c>
      <c r="C1519" s="77">
        <f>Report!U2018</f>
        <v/>
      </c>
      <c r="D1519" s="59">
        <f>Report!X2018</f>
        <v/>
      </c>
    </row>
    <row r="1520" ht="12.75" customHeight="1" s="60">
      <c r="A1520" s="75">
        <f>Report!C2019</f>
        <v/>
      </c>
      <c r="B1520" s="59">
        <f>Report!E2019</f>
        <v/>
      </c>
      <c r="C1520" s="77">
        <f>Report!U2019</f>
        <v/>
      </c>
      <c r="D1520" s="59">
        <f>Report!X2019</f>
        <v/>
      </c>
    </row>
    <row r="1521" ht="12.75" customHeight="1" s="60">
      <c r="A1521" s="75">
        <f>Report!C2020</f>
        <v/>
      </c>
      <c r="B1521" s="59">
        <f>Report!E2020</f>
        <v/>
      </c>
      <c r="C1521" s="77">
        <f>Report!U2020</f>
        <v/>
      </c>
      <c r="D1521" s="59">
        <f>Report!X2020</f>
        <v/>
      </c>
    </row>
    <row r="1522" ht="12.75" customHeight="1" s="60">
      <c r="A1522" s="75">
        <f>Report!C2021</f>
        <v/>
      </c>
      <c r="B1522" s="59">
        <f>Report!E2021</f>
        <v/>
      </c>
      <c r="C1522" s="77">
        <f>Report!U2021</f>
        <v/>
      </c>
      <c r="D1522" s="59">
        <f>Report!X2021</f>
        <v/>
      </c>
    </row>
    <row r="1523" ht="12.75" customHeight="1" s="60">
      <c r="A1523" s="75">
        <f>Report!C2022</f>
        <v/>
      </c>
      <c r="B1523" s="59">
        <f>Report!E2022</f>
        <v/>
      </c>
      <c r="C1523" s="77">
        <f>Report!U2022</f>
        <v/>
      </c>
      <c r="D1523" s="59">
        <f>Report!X2022</f>
        <v/>
      </c>
    </row>
    <row r="1524" ht="12.75" customHeight="1" s="60">
      <c r="A1524" s="75">
        <f>Report!C2023</f>
        <v/>
      </c>
      <c r="B1524" s="59">
        <f>Report!E2023</f>
        <v/>
      </c>
      <c r="C1524" s="77">
        <f>Report!U2023</f>
        <v/>
      </c>
      <c r="D1524" s="59">
        <f>Report!X2023</f>
        <v/>
      </c>
    </row>
    <row r="1525" ht="12.75" customHeight="1" s="60">
      <c r="A1525" s="75">
        <f>Report!C2024</f>
        <v/>
      </c>
      <c r="B1525" s="59">
        <f>Report!E2024</f>
        <v/>
      </c>
      <c r="C1525" s="77">
        <f>Report!U2024</f>
        <v/>
      </c>
      <c r="D1525" s="59">
        <f>Report!X2024</f>
        <v/>
      </c>
    </row>
    <row r="1526" ht="12.75" customHeight="1" s="60">
      <c r="A1526" s="75">
        <f>Report!C2025</f>
        <v/>
      </c>
      <c r="B1526" s="59">
        <f>Report!E2025</f>
        <v/>
      </c>
      <c r="C1526" s="77">
        <f>Report!U2025</f>
        <v/>
      </c>
      <c r="D1526" s="59">
        <f>Report!X2025</f>
        <v/>
      </c>
    </row>
    <row r="1527" ht="12.75" customHeight="1" s="60">
      <c r="A1527" s="75">
        <f>Report!C2026</f>
        <v/>
      </c>
      <c r="B1527" s="59">
        <f>Report!E2026</f>
        <v/>
      </c>
      <c r="C1527" s="77">
        <f>Report!U2026</f>
        <v/>
      </c>
      <c r="D1527" s="59">
        <f>Report!X2026</f>
        <v/>
      </c>
    </row>
    <row r="1528" ht="12.75" customHeight="1" s="60">
      <c r="A1528" s="75">
        <f>Report!C2027</f>
        <v/>
      </c>
      <c r="B1528" s="59">
        <f>Report!E2027</f>
        <v/>
      </c>
      <c r="C1528" s="77">
        <f>Report!U2027</f>
        <v/>
      </c>
      <c r="D1528" s="59">
        <f>Report!X2027</f>
        <v/>
      </c>
    </row>
    <row r="1529" ht="12.75" customHeight="1" s="60">
      <c r="A1529" s="75">
        <f>Report!C2028</f>
        <v/>
      </c>
      <c r="B1529" s="59">
        <f>Report!E2028</f>
        <v/>
      </c>
      <c r="C1529" s="77">
        <f>Report!U2028</f>
        <v/>
      </c>
      <c r="D1529" s="59">
        <f>Report!X2028</f>
        <v/>
      </c>
    </row>
    <row r="1530" ht="12.75" customHeight="1" s="60">
      <c r="A1530" s="75">
        <f>Report!C2029</f>
        <v/>
      </c>
      <c r="B1530" s="59">
        <f>Report!E2029</f>
        <v/>
      </c>
      <c r="C1530" s="77">
        <f>Report!U2029</f>
        <v/>
      </c>
      <c r="D1530" s="59">
        <f>Report!X2029</f>
        <v/>
      </c>
    </row>
    <row r="1531" ht="12.75" customHeight="1" s="60">
      <c r="A1531" s="75">
        <f>Report!C2030</f>
        <v/>
      </c>
      <c r="B1531" s="59">
        <f>Report!E2030</f>
        <v/>
      </c>
      <c r="C1531" s="77">
        <f>Report!U2030</f>
        <v/>
      </c>
      <c r="D1531" s="59">
        <f>Report!X2030</f>
        <v/>
      </c>
    </row>
    <row r="1532" ht="12.75" customHeight="1" s="60">
      <c r="A1532" s="75">
        <f>Report!C2031</f>
        <v/>
      </c>
      <c r="B1532" s="59">
        <f>Report!E2031</f>
        <v/>
      </c>
      <c r="C1532" s="77">
        <f>Report!U2031</f>
        <v/>
      </c>
      <c r="D1532" s="59">
        <f>Report!X2031</f>
        <v/>
      </c>
    </row>
    <row r="1533" ht="12.75" customHeight="1" s="60">
      <c r="A1533" s="75">
        <f>Report!C2033</f>
        <v/>
      </c>
      <c r="B1533" s="59">
        <f>Report!E2033</f>
        <v/>
      </c>
      <c r="C1533" s="77">
        <f>Report!U2033</f>
        <v/>
      </c>
      <c r="D1533" s="59">
        <f>Report!X2033</f>
        <v/>
      </c>
    </row>
    <row r="1534" ht="12.75" customHeight="1" s="60">
      <c r="A1534" s="75">
        <f>Report!C2034</f>
        <v/>
      </c>
      <c r="B1534" s="59">
        <f>Report!E2034</f>
        <v/>
      </c>
      <c r="C1534" s="77">
        <f>Report!U2034</f>
        <v/>
      </c>
      <c r="D1534" s="59">
        <f>Report!X2034</f>
        <v/>
      </c>
    </row>
    <row r="1535" ht="12.75" customHeight="1" s="60">
      <c r="A1535" s="75">
        <f>Report!C2035</f>
        <v/>
      </c>
      <c r="B1535" s="59">
        <f>Report!E2035</f>
        <v/>
      </c>
      <c r="C1535" s="77">
        <f>Report!U2035</f>
        <v/>
      </c>
      <c r="D1535" s="59">
        <f>Report!X2035</f>
        <v/>
      </c>
    </row>
    <row r="1536" ht="12.75" customHeight="1" s="60">
      <c r="A1536" s="75">
        <f>Report!C2036</f>
        <v/>
      </c>
      <c r="B1536" s="59">
        <f>Report!E2036</f>
        <v/>
      </c>
      <c r="C1536" s="77">
        <f>Report!U2036</f>
        <v/>
      </c>
      <c r="D1536" s="59">
        <f>Report!X2036</f>
        <v/>
      </c>
    </row>
    <row r="1537" ht="12.75" customHeight="1" s="60">
      <c r="A1537" s="75">
        <f>Report!C2037</f>
        <v/>
      </c>
      <c r="B1537" s="59">
        <f>Report!E2037</f>
        <v/>
      </c>
      <c r="C1537" s="77">
        <f>Report!U2037</f>
        <v/>
      </c>
      <c r="D1537" s="59">
        <f>Report!X2037</f>
        <v/>
      </c>
    </row>
    <row r="1538" ht="12.75" customHeight="1" s="60">
      <c r="A1538" s="75">
        <f>Report!C2040</f>
        <v/>
      </c>
      <c r="B1538" s="59">
        <f>Report!E2040</f>
        <v/>
      </c>
      <c r="C1538" s="77">
        <f>Report!U2040</f>
        <v/>
      </c>
      <c r="D1538" s="59">
        <f>Report!X2040</f>
        <v/>
      </c>
    </row>
    <row r="1539" ht="12.75" customHeight="1" s="60">
      <c r="A1539" s="75">
        <f>Report!C2041</f>
        <v/>
      </c>
      <c r="B1539" s="59">
        <f>Report!E2041</f>
        <v/>
      </c>
      <c r="C1539" s="77">
        <f>Report!U2041</f>
        <v/>
      </c>
      <c r="D1539" s="59">
        <f>Report!X2041</f>
        <v/>
      </c>
    </row>
    <row r="1540" ht="12.75" customHeight="1" s="60">
      <c r="A1540" s="75">
        <f>Report!C2042</f>
        <v/>
      </c>
      <c r="B1540" s="59">
        <f>Report!E2042</f>
        <v/>
      </c>
      <c r="C1540" s="77">
        <f>Report!U2042</f>
        <v/>
      </c>
      <c r="D1540" s="59">
        <f>Report!X2042</f>
        <v/>
      </c>
    </row>
    <row r="1541" ht="12.75" customHeight="1" s="60">
      <c r="A1541" s="75">
        <f>Report!C2043</f>
        <v/>
      </c>
      <c r="B1541" s="59">
        <f>Report!E2043</f>
        <v/>
      </c>
      <c r="C1541" s="77">
        <f>Report!U2043</f>
        <v/>
      </c>
      <c r="D1541" s="59">
        <f>Report!X2043</f>
        <v/>
      </c>
    </row>
    <row r="1542" ht="12.75" customHeight="1" s="60">
      <c r="A1542" s="75">
        <f>Report!C2047</f>
        <v/>
      </c>
      <c r="B1542" s="59">
        <f>Report!E2047</f>
        <v/>
      </c>
      <c r="C1542" s="77">
        <f>Report!U2047</f>
        <v/>
      </c>
      <c r="D1542" s="59">
        <f>Report!X2047</f>
        <v/>
      </c>
    </row>
    <row r="1543" ht="12.75" customHeight="1" s="60">
      <c r="A1543" s="75">
        <f>Report!C2048</f>
        <v/>
      </c>
      <c r="B1543" s="59">
        <f>Report!E2048</f>
        <v/>
      </c>
      <c r="C1543" s="77">
        <f>Report!U2048</f>
        <v/>
      </c>
      <c r="D1543" s="59">
        <f>Report!X2048</f>
        <v/>
      </c>
    </row>
    <row r="1544" ht="12.75" customHeight="1" s="60">
      <c r="A1544" s="75">
        <f>Report!C2050</f>
        <v/>
      </c>
      <c r="B1544" s="59">
        <f>Report!E2050</f>
        <v/>
      </c>
      <c r="C1544" s="77">
        <f>Report!U2050</f>
        <v/>
      </c>
      <c r="D1544" s="59">
        <f>Report!X2050</f>
        <v/>
      </c>
    </row>
    <row r="1545" ht="12.75" customHeight="1" s="60">
      <c r="A1545" s="75">
        <f>Report!C2051</f>
        <v/>
      </c>
      <c r="B1545" s="59">
        <f>Report!E2051</f>
        <v/>
      </c>
      <c r="C1545" s="77">
        <f>Report!U2051</f>
        <v/>
      </c>
      <c r="D1545" s="59">
        <f>Report!X2051</f>
        <v/>
      </c>
    </row>
    <row r="1546" ht="12.75" customHeight="1" s="60">
      <c r="A1546" s="75">
        <f>Report!C2052</f>
        <v/>
      </c>
      <c r="B1546" s="59">
        <f>Report!E2052</f>
        <v/>
      </c>
      <c r="C1546" s="77">
        <f>Report!U2052</f>
        <v/>
      </c>
      <c r="D1546" s="59">
        <f>Report!X2052</f>
        <v/>
      </c>
    </row>
    <row r="1547" ht="12.75" customHeight="1" s="60">
      <c r="A1547" s="75">
        <f>Report!C2053</f>
        <v/>
      </c>
      <c r="B1547" s="59">
        <f>Report!E2053</f>
        <v/>
      </c>
      <c r="C1547" s="77">
        <f>Report!U2053</f>
        <v/>
      </c>
      <c r="D1547" s="59">
        <f>Report!X2053</f>
        <v/>
      </c>
    </row>
    <row r="1548" ht="12.75" customHeight="1" s="60">
      <c r="A1548" s="75">
        <f>Report!C2054</f>
        <v/>
      </c>
      <c r="B1548" s="59">
        <f>Report!E2054</f>
        <v/>
      </c>
      <c r="C1548" s="77">
        <f>Report!U2054</f>
        <v/>
      </c>
      <c r="D1548" s="59">
        <f>Report!X2054</f>
        <v/>
      </c>
    </row>
    <row r="1549" ht="12.75" customHeight="1" s="60">
      <c r="A1549" s="75">
        <f>Report!C2055</f>
        <v/>
      </c>
      <c r="B1549" s="59">
        <f>Report!E2055</f>
        <v/>
      </c>
      <c r="C1549" s="77">
        <f>Report!U2055</f>
        <v/>
      </c>
      <c r="D1549" s="59">
        <f>Report!X2055</f>
        <v/>
      </c>
    </row>
    <row r="1550" ht="12.75" customHeight="1" s="60">
      <c r="A1550" s="75">
        <f>Report!C2057</f>
        <v/>
      </c>
      <c r="B1550" s="59">
        <f>Report!E2057</f>
        <v/>
      </c>
      <c r="C1550" s="77">
        <f>Report!U2057</f>
        <v/>
      </c>
      <c r="D1550" s="59">
        <f>Report!X2057</f>
        <v/>
      </c>
    </row>
    <row r="1551" ht="12.75" customHeight="1" s="60">
      <c r="A1551" s="75">
        <f>Report!C2058</f>
        <v/>
      </c>
      <c r="B1551" s="59">
        <f>Report!E2058</f>
        <v/>
      </c>
      <c r="C1551" s="77">
        <f>Report!U2058</f>
        <v/>
      </c>
      <c r="D1551" s="59">
        <f>Report!X2058</f>
        <v/>
      </c>
    </row>
    <row r="1552" ht="12.75" customHeight="1" s="60">
      <c r="A1552" s="75">
        <f>Report!C2059</f>
        <v/>
      </c>
      <c r="B1552" s="59">
        <f>Report!E2059</f>
        <v/>
      </c>
      <c r="C1552" s="77">
        <f>Report!U2059</f>
        <v/>
      </c>
      <c r="D1552" s="59">
        <f>Report!X2059</f>
        <v/>
      </c>
    </row>
    <row r="1553" ht="12.75" customHeight="1" s="60">
      <c r="A1553" s="75">
        <f>Report!C2060</f>
        <v/>
      </c>
      <c r="B1553" s="59">
        <f>Report!E2060</f>
        <v/>
      </c>
      <c r="C1553" s="77">
        <f>Report!U2060</f>
        <v/>
      </c>
      <c r="D1553" s="59">
        <f>Report!X2060</f>
        <v/>
      </c>
    </row>
    <row r="1554" ht="12.75" customHeight="1" s="60">
      <c r="A1554" s="75">
        <f>Report!C2061</f>
        <v/>
      </c>
      <c r="B1554" s="59">
        <f>Report!E2061</f>
        <v/>
      </c>
      <c r="C1554" s="77">
        <f>Report!U2061</f>
        <v/>
      </c>
      <c r="D1554" s="59">
        <f>Report!X2061</f>
        <v/>
      </c>
    </row>
    <row r="1555" ht="12.75" customHeight="1" s="60">
      <c r="A1555" s="75">
        <f>Report!C2063</f>
        <v/>
      </c>
      <c r="B1555" s="59">
        <f>Report!E2063</f>
        <v/>
      </c>
      <c r="C1555" s="77">
        <f>Report!U2063</f>
        <v/>
      </c>
      <c r="D1555" s="59">
        <f>Report!X2063</f>
        <v/>
      </c>
    </row>
    <row r="1556" ht="12.75" customHeight="1" s="60">
      <c r="A1556" s="75">
        <f>Report!C2064</f>
        <v/>
      </c>
      <c r="B1556" s="59">
        <f>Report!E2064</f>
        <v/>
      </c>
      <c r="C1556" s="77">
        <f>Report!U2064</f>
        <v/>
      </c>
      <c r="D1556" s="59">
        <f>Report!X2064</f>
        <v/>
      </c>
    </row>
    <row r="1557" ht="12.75" customHeight="1" s="60">
      <c r="A1557" s="75">
        <f>Report!C2065</f>
        <v/>
      </c>
      <c r="B1557" s="59">
        <f>Report!E2065</f>
        <v/>
      </c>
      <c r="C1557" s="77">
        <f>Report!U2065</f>
        <v/>
      </c>
      <c r="D1557" s="59">
        <f>Report!X2065</f>
        <v/>
      </c>
    </row>
    <row r="1558" ht="12.75" customHeight="1" s="60">
      <c r="A1558" s="75">
        <f>Report!C2066</f>
        <v/>
      </c>
      <c r="B1558" s="59">
        <f>Report!E2066</f>
        <v/>
      </c>
      <c r="C1558" s="77">
        <f>Report!U2066</f>
        <v/>
      </c>
      <c r="D1558" s="59">
        <f>Report!X2066</f>
        <v/>
      </c>
    </row>
    <row r="1559" ht="12.75" customHeight="1" s="60">
      <c r="A1559" s="75">
        <f>Report!C2067</f>
        <v/>
      </c>
      <c r="B1559" s="59">
        <f>Report!E2067</f>
        <v/>
      </c>
      <c r="C1559" s="77">
        <f>Report!U2067</f>
        <v/>
      </c>
      <c r="D1559" s="59">
        <f>Report!X2067</f>
        <v/>
      </c>
    </row>
    <row r="1560" ht="12.75" customHeight="1" s="60">
      <c r="A1560" s="75">
        <f>Report!C2069</f>
        <v/>
      </c>
      <c r="B1560" s="59">
        <f>Report!E2069</f>
        <v/>
      </c>
      <c r="C1560" s="77">
        <f>Report!U2069</f>
        <v/>
      </c>
      <c r="D1560" s="59">
        <f>Report!X2069</f>
        <v/>
      </c>
    </row>
    <row r="1561" ht="12.75" customHeight="1" s="60">
      <c r="A1561" s="75">
        <f>Report!C2071</f>
        <v/>
      </c>
      <c r="B1561" s="59">
        <f>Report!E2071</f>
        <v/>
      </c>
      <c r="C1561" s="77">
        <f>Report!U2071</f>
        <v/>
      </c>
      <c r="D1561" s="59">
        <f>Report!X2071</f>
        <v/>
      </c>
    </row>
    <row r="1562" ht="12.75" customHeight="1" s="60">
      <c r="A1562" s="75">
        <f>Report!C2072</f>
        <v/>
      </c>
      <c r="B1562" s="59">
        <f>Report!E2072</f>
        <v/>
      </c>
      <c r="C1562" s="77">
        <f>Report!U2072</f>
        <v/>
      </c>
      <c r="D1562" s="59">
        <f>Report!X2072</f>
        <v/>
      </c>
    </row>
    <row r="1563" ht="12.75" customHeight="1" s="60">
      <c r="A1563" s="75">
        <f>Report!C2073</f>
        <v/>
      </c>
      <c r="B1563" s="59">
        <f>Report!E2073</f>
        <v/>
      </c>
      <c r="C1563" s="77">
        <f>Report!U2073</f>
        <v/>
      </c>
      <c r="D1563" s="59">
        <f>Report!X2073</f>
        <v/>
      </c>
    </row>
    <row r="1564" ht="12.75" customHeight="1" s="60">
      <c r="A1564" s="75">
        <f>Report!C2074</f>
        <v/>
      </c>
      <c r="B1564" s="59">
        <f>Report!E2074</f>
        <v/>
      </c>
      <c r="C1564" s="77">
        <f>Report!U2074</f>
        <v/>
      </c>
      <c r="D1564" s="59">
        <f>Report!X2074</f>
        <v/>
      </c>
    </row>
    <row r="1565" ht="12.75" customHeight="1" s="60">
      <c r="A1565" s="75">
        <f>Report!C2075</f>
        <v/>
      </c>
      <c r="B1565" s="59">
        <f>Report!E2075</f>
        <v/>
      </c>
      <c r="C1565" s="77">
        <f>Report!U2075</f>
        <v/>
      </c>
      <c r="D1565" s="59">
        <f>Report!X2075</f>
        <v/>
      </c>
    </row>
    <row r="1566" ht="12.75" customHeight="1" s="60">
      <c r="A1566" s="75">
        <f>Report!C2076</f>
        <v/>
      </c>
      <c r="B1566" s="59">
        <f>Report!E2076</f>
        <v/>
      </c>
      <c r="C1566" s="77">
        <f>Report!U2076</f>
        <v/>
      </c>
      <c r="D1566" s="59">
        <f>Report!X2076</f>
        <v/>
      </c>
    </row>
    <row r="1567" ht="12.75" customHeight="1" s="60">
      <c r="A1567" s="75">
        <f>Report!C2077</f>
        <v/>
      </c>
      <c r="B1567" s="59">
        <f>Report!E2077</f>
        <v/>
      </c>
      <c r="C1567" s="77">
        <f>Report!U2077</f>
        <v/>
      </c>
      <c r="D1567" s="59">
        <f>Report!X2077</f>
        <v/>
      </c>
    </row>
    <row r="1568" ht="12.75" customHeight="1" s="60">
      <c r="A1568" s="75">
        <f>Report!C2078</f>
        <v/>
      </c>
      <c r="B1568" s="59">
        <f>Report!E2078</f>
        <v/>
      </c>
      <c r="C1568" s="77">
        <f>Report!U2078</f>
        <v/>
      </c>
      <c r="D1568" s="59">
        <f>Report!X2078</f>
        <v/>
      </c>
    </row>
    <row r="1569" ht="12.75" customHeight="1" s="60">
      <c r="A1569" s="75">
        <f>Report!C2080</f>
        <v/>
      </c>
      <c r="B1569" s="59">
        <f>Report!E2080</f>
        <v/>
      </c>
      <c r="C1569" s="77">
        <f>Report!U2080</f>
        <v/>
      </c>
      <c r="D1569" s="59">
        <f>Report!X2080</f>
        <v/>
      </c>
    </row>
    <row r="1570" ht="12.75" customHeight="1" s="60">
      <c r="A1570" s="75">
        <f>Report!C2081</f>
        <v/>
      </c>
      <c r="B1570" s="59">
        <f>Report!E2081</f>
        <v/>
      </c>
      <c r="C1570" s="77">
        <f>Report!U2081</f>
        <v/>
      </c>
      <c r="D1570" s="59">
        <f>Report!X2081</f>
        <v/>
      </c>
    </row>
    <row r="1571" ht="12.75" customHeight="1" s="60">
      <c r="A1571" s="75">
        <f>Report!C2082</f>
        <v/>
      </c>
      <c r="B1571" s="59">
        <f>Report!E2082</f>
        <v/>
      </c>
      <c r="C1571" s="77">
        <f>Report!U2082</f>
        <v/>
      </c>
      <c r="D1571" s="59">
        <f>Report!X2082</f>
        <v/>
      </c>
    </row>
    <row r="1572" ht="12.75" customHeight="1" s="60">
      <c r="A1572" s="75">
        <f>Report!C2087</f>
        <v/>
      </c>
      <c r="B1572" s="59">
        <f>Report!E2087</f>
        <v/>
      </c>
      <c r="C1572" s="77">
        <f>Report!U2087</f>
        <v/>
      </c>
      <c r="D1572" s="59">
        <f>Report!X2087</f>
        <v/>
      </c>
    </row>
    <row r="1573" ht="12.75" customHeight="1" s="60">
      <c r="A1573" s="75">
        <f>Report!C2088</f>
        <v/>
      </c>
      <c r="B1573" s="59">
        <f>Report!E2088</f>
        <v/>
      </c>
      <c r="C1573" s="77">
        <f>Report!U2088</f>
        <v/>
      </c>
      <c r="D1573" s="59">
        <f>Report!X2088</f>
        <v/>
      </c>
    </row>
    <row r="1574" ht="12.75" customHeight="1" s="60">
      <c r="A1574" s="75">
        <f>Report!C2089</f>
        <v/>
      </c>
      <c r="B1574" s="59">
        <f>Report!E2089</f>
        <v/>
      </c>
      <c r="C1574" s="77">
        <f>Report!U2089</f>
        <v/>
      </c>
      <c r="D1574" s="59">
        <f>Report!X2089</f>
        <v/>
      </c>
    </row>
    <row r="1575" ht="12.75" customHeight="1" s="60">
      <c r="A1575" s="75">
        <f>Report!C2093</f>
        <v/>
      </c>
      <c r="B1575" s="59">
        <f>Report!E2093</f>
        <v/>
      </c>
      <c r="C1575" s="77">
        <f>Report!U2093</f>
        <v/>
      </c>
      <c r="D1575" s="59">
        <f>Report!X2093</f>
        <v/>
      </c>
    </row>
    <row r="1576" ht="12.75" customHeight="1" s="60">
      <c r="A1576" s="75">
        <f>Report!C2094</f>
        <v/>
      </c>
      <c r="B1576" s="59">
        <f>Report!E2094</f>
        <v/>
      </c>
      <c r="C1576" s="77">
        <f>Report!U2094</f>
        <v/>
      </c>
      <c r="D1576" s="59">
        <f>Report!X2094</f>
        <v/>
      </c>
    </row>
    <row r="1577" ht="12.75" customHeight="1" s="60">
      <c r="A1577" s="75">
        <f>Report!C2095</f>
        <v/>
      </c>
      <c r="B1577" s="59">
        <f>Report!E2095</f>
        <v/>
      </c>
      <c r="C1577" s="77">
        <f>Report!U2095</f>
        <v/>
      </c>
      <c r="D1577" s="59">
        <f>Report!X2095</f>
        <v/>
      </c>
    </row>
    <row r="1578" ht="12.75" customHeight="1" s="60">
      <c r="A1578" s="75">
        <f>Report!C2096</f>
        <v/>
      </c>
      <c r="B1578" s="59">
        <f>Report!E2096</f>
        <v/>
      </c>
      <c r="C1578" s="77">
        <f>Report!U2096</f>
        <v/>
      </c>
      <c r="D1578" s="59">
        <f>Report!X2096</f>
        <v/>
      </c>
    </row>
    <row r="1579" ht="12.75" customHeight="1" s="60">
      <c r="A1579" s="75">
        <f>Report!C2097</f>
        <v/>
      </c>
      <c r="B1579" s="59">
        <f>Report!E2097</f>
        <v/>
      </c>
      <c r="C1579" s="77">
        <f>Report!U2097</f>
        <v/>
      </c>
      <c r="D1579" s="59">
        <f>Report!X2097</f>
        <v/>
      </c>
    </row>
    <row r="1580" ht="12.75" customHeight="1" s="60">
      <c r="A1580" s="75">
        <f>Report!C2098</f>
        <v/>
      </c>
      <c r="B1580" s="59">
        <f>Report!E2098</f>
        <v/>
      </c>
      <c r="C1580" s="77">
        <f>Report!U2098</f>
        <v/>
      </c>
      <c r="D1580" s="59">
        <f>Report!X2098</f>
        <v/>
      </c>
    </row>
    <row r="1581" ht="12.75" customHeight="1" s="60">
      <c r="A1581" s="75">
        <f>Report!C2099</f>
        <v/>
      </c>
      <c r="B1581" s="59">
        <f>Report!E2099</f>
        <v/>
      </c>
      <c r="C1581" s="77">
        <f>Report!U2099</f>
        <v/>
      </c>
      <c r="D1581" s="59">
        <f>Report!X2099</f>
        <v/>
      </c>
    </row>
    <row r="1582" ht="12.75" customHeight="1" s="60">
      <c r="A1582" s="75">
        <f>Report!C2100</f>
        <v/>
      </c>
      <c r="B1582" s="59">
        <f>Report!E2100</f>
        <v/>
      </c>
      <c r="C1582" s="77">
        <f>Report!U2100</f>
        <v/>
      </c>
      <c r="D1582" s="59">
        <f>Report!X2100</f>
        <v/>
      </c>
    </row>
    <row r="1583" ht="12.75" customHeight="1" s="60">
      <c r="A1583" s="75">
        <f>Report!C2102</f>
        <v/>
      </c>
      <c r="B1583" s="59">
        <f>Report!E2102</f>
        <v/>
      </c>
      <c r="C1583" s="77">
        <f>Report!U2102</f>
        <v/>
      </c>
      <c r="D1583" s="59">
        <f>Report!X2102</f>
        <v/>
      </c>
    </row>
    <row r="1584" ht="12.75" customHeight="1" s="60">
      <c r="A1584" s="75">
        <f>Report!C2103</f>
        <v/>
      </c>
      <c r="B1584" s="59">
        <f>Report!E2103</f>
        <v/>
      </c>
      <c r="C1584" s="77">
        <f>Report!U2103</f>
        <v/>
      </c>
      <c r="D1584" s="59">
        <f>Report!X2103</f>
        <v/>
      </c>
    </row>
    <row r="1585" ht="12.75" customHeight="1" s="60">
      <c r="A1585" s="75">
        <f>Report!C2104</f>
        <v/>
      </c>
      <c r="B1585" s="59">
        <f>Report!E2104</f>
        <v/>
      </c>
      <c r="C1585" s="77">
        <f>Report!U2104</f>
        <v/>
      </c>
      <c r="D1585" s="59">
        <f>Report!X2104</f>
        <v/>
      </c>
    </row>
    <row r="1586" ht="12.75" customHeight="1" s="60">
      <c r="A1586" s="75">
        <f>Report!C2105</f>
        <v/>
      </c>
      <c r="B1586" s="59">
        <f>Report!E2105</f>
        <v/>
      </c>
      <c r="C1586" s="77">
        <f>Report!U2105</f>
        <v/>
      </c>
      <c r="D1586" s="59">
        <f>Report!X2105</f>
        <v/>
      </c>
    </row>
    <row r="1587" ht="12.75" customHeight="1" s="60">
      <c r="A1587" s="75">
        <f>Report!C2106</f>
        <v/>
      </c>
      <c r="B1587" s="59">
        <f>Report!E2106</f>
        <v/>
      </c>
      <c r="C1587" s="77">
        <f>Report!U2106</f>
        <v/>
      </c>
      <c r="D1587" s="59">
        <f>Report!X2106</f>
        <v/>
      </c>
    </row>
    <row r="1588" ht="12.75" customHeight="1" s="60">
      <c r="A1588" s="75">
        <f>Report!C2107</f>
        <v/>
      </c>
      <c r="B1588" s="59">
        <f>Report!E2107</f>
        <v/>
      </c>
      <c r="C1588" s="77">
        <f>Report!U2107</f>
        <v/>
      </c>
      <c r="D1588" s="59">
        <f>Report!X2107</f>
        <v/>
      </c>
    </row>
    <row r="1589" ht="12.75" customHeight="1" s="60">
      <c r="A1589" s="75">
        <f>Report!C2108</f>
        <v/>
      </c>
      <c r="B1589" s="59">
        <f>Report!E2108</f>
        <v/>
      </c>
      <c r="C1589" s="77">
        <f>Report!U2108</f>
        <v/>
      </c>
      <c r="D1589" s="59">
        <f>Report!X2108</f>
        <v/>
      </c>
    </row>
    <row r="1590" ht="12.75" customHeight="1" s="60">
      <c r="A1590" s="75">
        <f>Report!C2109</f>
        <v/>
      </c>
      <c r="B1590" s="59">
        <f>Report!E2109</f>
        <v/>
      </c>
      <c r="C1590" s="77">
        <f>Report!U2109</f>
        <v/>
      </c>
      <c r="D1590" s="59">
        <f>Report!X2109</f>
        <v/>
      </c>
    </row>
    <row r="1591" ht="12.75" customHeight="1" s="60">
      <c r="A1591" s="75">
        <f>Report!C2111</f>
        <v/>
      </c>
      <c r="B1591" s="59">
        <f>Report!E2111</f>
        <v/>
      </c>
      <c r="C1591" s="77">
        <f>Report!U2111</f>
        <v/>
      </c>
      <c r="D1591" s="59">
        <f>Report!X2111</f>
        <v/>
      </c>
    </row>
    <row r="1592" ht="12.75" customHeight="1" s="60">
      <c r="A1592" s="75">
        <f>Report!C2112</f>
        <v/>
      </c>
      <c r="B1592" s="59">
        <f>Report!E2112</f>
        <v/>
      </c>
      <c r="C1592" s="77">
        <f>Report!U2112</f>
        <v/>
      </c>
      <c r="D1592" s="59">
        <f>Report!X2112</f>
        <v/>
      </c>
    </row>
    <row r="1593" ht="12.75" customHeight="1" s="60">
      <c r="A1593" s="75">
        <f>Report!C2113</f>
        <v/>
      </c>
      <c r="B1593" s="59">
        <f>Report!E2113</f>
        <v/>
      </c>
      <c r="C1593" s="77">
        <f>Report!U2113</f>
        <v/>
      </c>
      <c r="D1593" s="59">
        <f>Report!X2113</f>
        <v/>
      </c>
    </row>
    <row r="1594" ht="12.75" customHeight="1" s="60">
      <c r="A1594" s="75">
        <f>Report!C2114</f>
        <v/>
      </c>
      <c r="B1594" s="59">
        <f>Report!E2114</f>
        <v/>
      </c>
      <c r="C1594" s="77">
        <f>Report!U2114</f>
        <v/>
      </c>
      <c r="D1594" s="59">
        <f>Report!X2114</f>
        <v/>
      </c>
    </row>
    <row r="1595" ht="12.75" customHeight="1" s="60">
      <c r="A1595" s="75">
        <f>Report!C2116</f>
        <v/>
      </c>
      <c r="B1595" s="59">
        <f>Report!E2116</f>
        <v/>
      </c>
      <c r="C1595" s="77">
        <f>Report!U2116</f>
        <v/>
      </c>
      <c r="D1595" s="59">
        <f>Report!X2116</f>
        <v/>
      </c>
    </row>
    <row r="1596" ht="12.75" customHeight="1" s="60">
      <c r="A1596" s="75">
        <f>Report!C2117</f>
        <v/>
      </c>
      <c r="B1596" s="59">
        <f>Report!E2117</f>
        <v/>
      </c>
      <c r="C1596" s="77">
        <f>Report!U2117</f>
        <v/>
      </c>
      <c r="D1596" s="59">
        <f>Report!X2117</f>
        <v/>
      </c>
    </row>
    <row r="1597" ht="12.75" customHeight="1" s="60">
      <c r="A1597" s="75">
        <f>Report!C2118</f>
        <v/>
      </c>
      <c r="B1597" s="59">
        <f>Report!E2118</f>
        <v/>
      </c>
      <c r="C1597" s="77">
        <f>Report!U2118</f>
        <v/>
      </c>
      <c r="D1597" s="59">
        <f>Report!X2118</f>
        <v/>
      </c>
    </row>
    <row r="1598" ht="12.75" customHeight="1" s="60">
      <c r="A1598" s="75">
        <f>Report!C2119</f>
        <v/>
      </c>
      <c r="B1598" s="59">
        <f>Report!E2119</f>
        <v/>
      </c>
      <c r="C1598" s="77">
        <f>Report!U2119</f>
        <v/>
      </c>
      <c r="D1598" s="59">
        <f>Report!X2119</f>
        <v/>
      </c>
    </row>
    <row r="1599" ht="12.75" customHeight="1" s="60">
      <c r="A1599" s="75">
        <f>Report!C2120</f>
        <v/>
      </c>
      <c r="B1599" s="59">
        <f>Report!E2120</f>
        <v/>
      </c>
      <c r="C1599" s="77">
        <f>Report!U2120</f>
        <v/>
      </c>
      <c r="D1599" s="59">
        <f>Report!X2120</f>
        <v/>
      </c>
    </row>
    <row r="1600" ht="12.75" customHeight="1" s="60">
      <c r="A1600" s="75">
        <f>Report!C2121</f>
        <v/>
      </c>
      <c r="B1600" s="59">
        <f>Report!E2121</f>
        <v/>
      </c>
      <c r="C1600" s="77">
        <f>Report!U2121</f>
        <v/>
      </c>
      <c r="D1600" s="59">
        <f>Report!X2121</f>
        <v/>
      </c>
    </row>
    <row r="1601" ht="12.75" customHeight="1" s="60">
      <c r="A1601" s="75">
        <f>Report!C2122</f>
        <v/>
      </c>
      <c r="B1601" s="59">
        <f>Report!E2122</f>
        <v/>
      </c>
      <c r="C1601" s="77">
        <f>Report!U2122</f>
        <v/>
      </c>
      <c r="D1601" s="59">
        <f>Report!X2122</f>
        <v/>
      </c>
    </row>
    <row r="1602" ht="12.75" customHeight="1" s="60">
      <c r="A1602" s="75">
        <f>Report!C2123</f>
        <v/>
      </c>
      <c r="B1602" s="59">
        <f>Report!E2123</f>
        <v/>
      </c>
      <c r="C1602" s="77">
        <f>Report!U2123</f>
        <v/>
      </c>
      <c r="D1602" s="59">
        <f>Report!X2123</f>
        <v/>
      </c>
    </row>
    <row r="1603" ht="12.75" customHeight="1" s="60">
      <c r="A1603" s="75">
        <f>Report!C2124</f>
        <v/>
      </c>
      <c r="B1603" s="59">
        <f>Report!E2124</f>
        <v/>
      </c>
      <c r="C1603" s="77">
        <f>Report!U2124</f>
        <v/>
      </c>
      <c r="D1603" s="59">
        <f>Report!X2124</f>
        <v/>
      </c>
    </row>
    <row r="1604" ht="12.75" customHeight="1" s="60">
      <c r="A1604" s="75">
        <f>Report!C2125</f>
        <v/>
      </c>
      <c r="B1604" s="59">
        <f>Report!E2125</f>
        <v/>
      </c>
      <c r="C1604" s="77">
        <f>Report!U2125</f>
        <v/>
      </c>
      <c r="D1604" s="59">
        <f>Report!X2125</f>
        <v/>
      </c>
    </row>
    <row r="1605" ht="12.75" customHeight="1" s="60">
      <c r="A1605" s="75">
        <f>Report!C2126</f>
        <v/>
      </c>
      <c r="B1605" s="59">
        <f>Report!E2126</f>
        <v/>
      </c>
      <c r="C1605" s="77">
        <f>Report!U2126</f>
        <v/>
      </c>
      <c r="D1605" s="59">
        <f>Report!X2126</f>
        <v/>
      </c>
    </row>
    <row r="1606" ht="12.75" customHeight="1" s="60">
      <c r="A1606" s="75">
        <f>Report!C2127</f>
        <v/>
      </c>
      <c r="B1606" s="59">
        <f>Report!E2127</f>
        <v/>
      </c>
      <c r="C1606" s="77">
        <f>Report!U2127</f>
        <v/>
      </c>
      <c r="D1606" s="59">
        <f>Report!X2127</f>
        <v/>
      </c>
    </row>
    <row r="1607" ht="12.75" customHeight="1" s="60">
      <c r="A1607" s="75">
        <f>Report!C2128</f>
        <v/>
      </c>
      <c r="B1607" s="59">
        <f>Report!E2128</f>
        <v/>
      </c>
      <c r="C1607" s="77">
        <f>Report!U2128</f>
        <v/>
      </c>
      <c r="D1607" s="59">
        <f>Report!X2128</f>
        <v/>
      </c>
    </row>
    <row r="1608" ht="12.75" customHeight="1" s="60">
      <c r="A1608" s="75">
        <f>Report!C2129</f>
        <v/>
      </c>
      <c r="B1608" s="59">
        <f>Report!E2129</f>
        <v/>
      </c>
      <c r="C1608" s="77">
        <f>Report!U2129</f>
        <v/>
      </c>
      <c r="D1608" s="59">
        <f>Report!X2129</f>
        <v/>
      </c>
    </row>
    <row r="1609" ht="12.75" customHeight="1" s="60">
      <c r="A1609" s="75">
        <f>Report!C2130</f>
        <v/>
      </c>
      <c r="B1609" s="59">
        <f>Report!E2130</f>
        <v/>
      </c>
      <c r="C1609" s="77">
        <f>Report!U2130</f>
        <v/>
      </c>
      <c r="D1609" s="59">
        <f>Report!X2130</f>
        <v/>
      </c>
    </row>
    <row r="1610" ht="12.75" customHeight="1" s="60">
      <c r="A1610" s="75">
        <f>Report!C2131</f>
        <v/>
      </c>
      <c r="B1610" s="59">
        <f>Report!E2131</f>
        <v/>
      </c>
      <c r="C1610" s="77">
        <f>Report!U2131</f>
        <v/>
      </c>
      <c r="D1610" s="59">
        <f>Report!X2131</f>
        <v/>
      </c>
    </row>
    <row r="1611" ht="12.75" customHeight="1" s="60">
      <c r="A1611" s="75">
        <f>Report!C2132</f>
        <v/>
      </c>
      <c r="B1611" s="59">
        <f>Report!E2132</f>
        <v/>
      </c>
      <c r="C1611" s="77">
        <f>Report!U2132</f>
        <v/>
      </c>
      <c r="D1611" s="59">
        <f>Report!X2132</f>
        <v/>
      </c>
    </row>
    <row r="1612" ht="12.75" customHeight="1" s="60">
      <c r="A1612" s="75">
        <f>Report!C2133</f>
        <v/>
      </c>
      <c r="B1612" s="59">
        <f>Report!E2133</f>
        <v/>
      </c>
      <c r="C1612" s="77">
        <f>Report!U2133</f>
        <v/>
      </c>
      <c r="D1612" s="59">
        <f>Report!X2133</f>
        <v/>
      </c>
    </row>
    <row r="1613" ht="12.75" customHeight="1" s="60">
      <c r="A1613" s="75">
        <f>Report!C2135</f>
        <v/>
      </c>
      <c r="B1613" s="59">
        <f>Report!E2135</f>
        <v/>
      </c>
      <c r="C1613" s="77">
        <f>Report!U2135</f>
        <v/>
      </c>
      <c r="D1613" s="59">
        <f>Report!X2135</f>
        <v/>
      </c>
    </row>
    <row r="1614" ht="12.75" customHeight="1" s="60">
      <c r="A1614" s="75">
        <f>Report!C2136</f>
        <v/>
      </c>
      <c r="B1614" s="59">
        <f>Report!E2136</f>
        <v/>
      </c>
      <c r="C1614" s="77">
        <f>Report!U2136</f>
        <v/>
      </c>
      <c r="D1614" s="59">
        <f>Report!X2136</f>
        <v/>
      </c>
    </row>
    <row r="1615" ht="12.75" customHeight="1" s="60">
      <c r="A1615" s="75">
        <f>Report!C2139</f>
        <v/>
      </c>
      <c r="B1615" s="59">
        <f>Report!E2139</f>
        <v/>
      </c>
      <c r="C1615" s="77">
        <f>Report!U2139</f>
        <v/>
      </c>
      <c r="D1615" s="59">
        <f>Report!X2139</f>
        <v/>
      </c>
    </row>
    <row r="1616" ht="12.75" customHeight="1" s="60">
      <c r="A1616" s="75">
        <f>Report!C2140</f>
        <v/>
      </c>
      <c r="B1616" s="59">
        <f>Report!E2140</f>
        <v/>
      </c>
      <c r="C1616" s="77">
        <f>Report!U2140</f>
        <v/>
      </c>
      <c r="D1616" s="59">
        <f>Report!X2140</f>
        <v/>
      </c>
    </row>
    <row r="1617" ht="12.75" customHeight="1" s="60">
      <c r="A1617" s="75">
        <f>Report!C2143</f>
        <v/>
      </c>
      <c r="B1617" s="59">
        <f>Report!E2143</f>
        <v/>
      </c>
      <c r="C1617" s="77">
        <f>Report!U2143</f>
        <v/>
      </c>
      <c r="D1617" s="59">
        <f>Report!X2143</f>
        <v/>
      </c>
    </row>
    <row r="1618" ht="12.75" customHeight="1" s="60">
      <c r="A1618" s="75">
        <f>Report!C2144</f>
        <v/>
      </c>
      <c r="B1618" s="59">
        <f>Report!E2144</f>
        <v/>
      </c>
      <c r="C1618" s="77">
        <f>Report!U2144</f>
        <v/>
      </c>
      <c r="D1618" s="59">
        <f>Report!X2144</f>
        <v/>
      </c>
    </row>
    <row r="1619" ht="12.75" customHeight="1" s="60">
      <c r="A1619" s="75">
        <f>Report!C2145</f>
        <v/>
      </c>
      <c r="B1619" s="59">
        <f>Report!E2145</f>
        <v/>
      </c>
      <c r="C1619" s="77">
        <f>Report!U2145</f>
        <v/>
      </c>
      <c r="D1619" s="59">
        <f>Report!X2145</f>
        <v/>
      </c>
    </row>
    <row r="1620" ht="12.75" customHeight="1" s="60">
      <c r="A1620" s="75">
        <f>Report!C2146</f>
        <v/>
      </c>
      <c r="B1620" s="59">
        <f>Report!E2146</f>
        <v/>
      </c>
      <c r="C1620" s="77">
        <f>Report!U2146</f>
        <v/>
      </c>
      <c r="D1620" s="59">
        <f>Report!X2146</f>
        <v/>
      </c>
    </row>
    <row r="1621" ht="12.75" customHeight="1" s="60">
      <c r="A1621" s="75">
        <f>Report!C2147</f>
        <v/>
      </c>
      <c r="B1621" s="59">
        <f>Report!E2147</f>
        <v/>
      </c>
      <c r="C1621" s="77">
        <f>Report!U2147</f>
        <v/>
      </c>
      <c r="D1621" s="59">
        <f>Report!X2147</f>
        <v/>
      </c>
    </row>
    <row r="1622" ht="12.75" customHeight="1" s="60">
      <c r="A1622" s="75">
        <f>Report!C2148</f>
        <v/>
      </c>
      <c r="B1622" s="59">
        <f>Report!E2148</f>
        <v/>
      </c>
      <c r="C1622" s="77">
        <f>Report!U2148</f>
        <v/>
      </c>
      <c r="D1622" s="59">
        <f>Report!X2148</f>
        <v/>
      </c>
    </row>
    <row r="1623" ht="12.75" customHeight="1" s="60">
      <c r="A1623" s="75">
        <f>Report!C2149</f>
        <v/>
      </c>
      <c r="B1623" s="59">
        <f>Report!E2149</f>
        <v/>
      </c>
      <c r="C1623" s="77">
        <f>Report!U2149</f>
        <v/>
      </c>
      <c r="D1623" s="59">
        <f>Report!X2149</f>
        <v/>
      </c>
    </row>
    <row r="1624" ht="12.75" customHeight="1" s="60">
      <c r="A1624" s="75">
        <f>Report!C2150</f>
        <v/>
      </c>
      <c r="B1624" s="59">
        <f>Report!E2150</f>
        <v/>
      </c>
      <c r="C1624" s="77">
        <f>Report!U2150</f>
        <v/>
      </c>
      <c r="D1624" s="59">
        <f>Report!X2150</f>
        <v/>
      </c>
    </row>
    <row r="1625" ht="12.75" customHeight="1" s="60">
      <c r="A1625" s="75">
        <f>Report!C2151</f>
        <v/>
      </c>
      <c r="B1625" s="59">
        <f>Report!E2151</f>
        <v/>
      </c>
      <c r="C1625" s="77">
        <f>Report!U2151</f>
        <v/>
      </c>
      <c r="D1625" s="59">
        <f>Report!X2151</f>
        <v/>
      </c>
    </row>
    <row r="1626" ht="12.75" customHeight="1" s="60">
      <c r="A1626" s="75">
        <f>Report!C2153</f>
        <v/>
      </c>
      <c r="B1626" s="59">
        <f>Report!E2153</f>
        <v/>
      </c>
      <c r="C1626" s="77">
        <f>Report!U2153</f>
        <v/>
      </c>
      <c r="D1626" s="59">
        <f>Report!X2153</f>
        <v/>
      </c>
    </row>
    <row r="1627" ht="12.75" customHeight="1" s="60">
      <c r="A1627" s="75">
        <f>Report!C2154</f>
        <v/>
      </c>
      <c r="B1627" s="59">
        <f>Report!E2154</f>
        <v/>
      </c>
      <c r="C1627" s="77">
        <f>Report!U2154</f>
        <v/>
      </c>
      <c r="D1627" s="59">
        <f>Report!X2154</f>
        <v/>
      </c>
    </row>
    <row r="1628" ht="12.75" customHeight="1" s="60">
      <c r="A1628" s="75">
        <f>Report!C2155</f>
        <v/>
      </c>
      <c r="B1628" s="59">
        <f>Report!E2155</f>
        <v/>
      </c>
      <c r="C1628" s="77">
        <f>Report!U2155</f>
        <v/>
      </c>
      <c r="D1628" s="59">
        <f>Report!X2155</f>
        <v/>
      </c>
    </row>
    <row r="1629" ht="12.75" customHeight="1" s="60">
      <c r="A1629" s="75">
        <f>Report!C2156</f>
        <v/>
      </c>
      <c r="B1629" s="59">
        <f>Report!E2156</f>
        <v/>
      </c>
      <c r="C1629" s="77">
        <f>Report!U2156</f>
        <v/>
      </c>
      <c r="D1629" s="59">
        <f>Report!X2156</f>
        <v/>
      </c>
    </row>
    <row r="1630" ht="12.75" customHeight="1" s="60">
      <c r="A1630" s="75">
        <f>Report!C2157</f>
        <v/>
      </c>
      <c r="B1630" s="59">
        <f>Report!E2157</f>
        <v/>
      </c>
      <c r="C1630" s="77">
        <f>Report!U2157</f>
        <v/>
      </c>
      <c r="D1630" s="59">
        <f>Report!X2157</f>
        <v/>
      </c>
    </row>
    <row r="1631" ht="12.75" customHeight="1" s="60">
      <c r="A1631" s="75">
        <f>Report!C2158</f>
        <v/>
      </c>
      <c r="B1631" s="59">
        <f>Report!E2158</f>
        <v/>
      </c>
      <c r="C1631" s="77">
        <f>Report!U2158</f>
        <v/>
      </c>
      <c r="D1631" s="59">
        <f>Report!X2158</f>
        <v/>
      </c>
    </row>
    <row r="1632" ht="12.75" customHeight="1" s="60">
      <c r="A1632" s="75">
        <f>Report!C2159</f>
        <v/>
      </c>
      <c r="B1632" s="59">
        <f>Report!E2159</f>
        <v/>
      </c>
      <c r="C1632" s="77">
        <f>Report!U2159</f>
        <v/>
      </c>
      <c r="D1632" s="59">
        <f>Report!X2159</f>
        <v/>
      </c>
    </row>
    <row r="1633" ht="12.75" customHeight="1" s="60">
      <c r="A1633" s="75">
        <f>Report!C2162</f>
        <v/>
      </c>
      <c r="B1633" s="59">
        <f>Report!E2162</f>
        <v/>
      </c>
      <c r="C1633" s="77">
        <f>Report!U2162</f>
        <v/>
      </c>
      <c r="D1633" s="59">
        <f>Report!X2162</f>
        <v/>
      </c>
    </row>
    <row r="1634" ht="12.75" customHeight="1" s="60">
      <c r="A1634" s="75">
        <f>Report!C2163</f>
        <v/>
      </c>
      <c r="B1634" s="59">
        <f>Report!E2163</f>
        <v/>
      </c>
      <c r="C1634" s="77">
        <f>Report!U2163</f>
        <v/>
      </c>
      <c r="D1634" s="59">
        <f>Report!X2163</f>
        <v/>
      </c>
    </row>
    <row r="1635" ht="12.75" customHeight="1" s="60">
      <c r="A1635" s="75">
        <f>Report!C2164</f>
        <v/>
      </c>
      <c r="B1635" s="59">
        <f>Report!E2164</f>
        <v/>
      </c>
      <c r="C1635" s="77">
        <f>Report!U2164</f>
        <v/>
      </c>
      <c r="D1635" s="59">
        <f>Report!X2164</f>
        <v/>
      </c>
    </row>
    <row r="1636" ht="12.75" customHeight="1" s="60">
      <c r="A1636" s="75">
        <f>Report!C2166</f>
        <v/>
      </c>
      <c r="B1636" s="59">
        <f>Report!E2166</f>
        <v/>
      </c>
      <c r="C1636" s="77">
        <f>Report!U2166</f>
        <v/>
      </c>
      <c r="D1636" s="59">
        <f>Report!X2166</f>
        <v/>
      </c>
    </row>
    <row r="1637" ht="12.75" customHeight="1" s="60">
      <c r="A1637" s="75">
        <f>Report!C2167</f>
        <v/>
      </c>
      <c r="B1637" s="59">
        <f>Report!E2167</f>
        <v/>
      </c>
      <c r="C1637" s="77">
        <f>Report!U2167</f>
        <v/>
      </c>
      <c r="D1637" s="59">
        <f>Report!X2167</f>
        <v/>
      </c>
    </row>
    <row r="1638" ht="12.75" customHeight="1" s="60">
      <c r="A1638" s="75">
        <f>Report!C2168</f>
        <v/>
      </c>
      <c r="B1638" s="59">
        <f>Report!E2168</f>
        <v/>
      </c>
      <c r="C1638" s="77">
        <f>Report!U2168</f>
        <v/>
      </c>
      <c r="D1638" s="59">
        <f>Report!X2168</f>
        <v/>
      </c>
    </row>
    <row r="1639" ht="12.75" customHeight="1" s="60">
      <c r="A1639" s="75">
        <f>Report!C2169</f>
        <v/>
      </c>
      <c r="B1639" s="59">
        <f>Report!E2169</f>
        <v/>
      </c>
      <c r="C1639" s="77">
        <f>Report!U2169</f>
        <v/>
      </c>
      <c r="D1639" s="59">
        <f>Report!X2169</f>
        <v/>
      </c>
    </row>
    <row r="1640" ht="12.75" customHeight="1" s="60">
      <c r="A1640" s="75">
        <f>Report!C2173</f>
        <v/>
      </c>
      <c r="B1640" s="59">
        <f>Report!E2173</f>
        <v/>
      </c>
      <c r="C1640" s="77">
        <f>Report!U2173</f>
        <v/>
      </c>
      <c r="D1640" s="59">
        <f>Report!X2173</f>
        <v/>
      </c>
    </row>
    <row r="1641" ht="12.75" customHeight="1" s="60">
      <c r="A1641" s="75">
        <f>Report!C2174</f>
        <v/>
      </c>
      <c r="B1641" s="59">
        <f>Report!E2174</f>
        <v/>
      </c>
      <c r="C1641" s="77">
        <f>Report!U2174</f>
        <v/>
      </c>
      <c r="D1641" s="59">
        <f>Report!X2174</f>
        <v/>
      </c>
    </row>
    <row r="1642" ht="12.75" customHeight="1" s="60">
      <c r="A1642" s="75">
        <f>Report!C2178</f>
        <v/>
      </c>
      <c r="B1642" s="59">
        <f>Report!E2178</f>
        <v/>
      </c>
      <c r="C1642" s="77">
        <f>Report!U2178</f>
        <v/>
      </c>
      <c r="D1642" s="59">
        <f>Report!X2178</f>
        <v/>
      </c>
    </row>
    <row r="1643" ht="12.75" customHeight="1" s="60">
      <c r="A1643" s="75">
        <f>Report!C2179</f>
        <v/>
      </c>
      <c r="B1643" s="59">
        <f>Report!E2179</f>
        <v/>
      </c>
      <c r="C1643" s="77">
        <f>Report!U2179</f>
        <v/>
      </c>
      <c r="D1643" s="59">
        <f>Report!X2179</f>
        <v/>
      </c>
    </row>
    <row r="1644" ht="12.75" customHeight="1" s="60">
      <c r="A1644" s="75">
        <f>Report!C2180</f>
        <v/>
      </c>
      <c r="B1644" s="59">
        <f>Report!E2180</f>
        <v/>
      </c>
      <c r="C1644" s="77">
        <f>Report!U2180</f>
        <v/>
      </c>
      <c r="D1644" s="59">
        <f>Report!X2180</f>
        <v/>
      </c>
    </row>
    <row r="1645" ht="12.75" customHeight="1" s="60">
      <c r="A1645" s="75">
        <f>Report!C2184</f>
        <v/>
      </c>
      <c r="B1645" s="59">
        <f>Report!E2184</f>
        <v/>
      </c>
      <c r="C1645" s="77">
        <f>Report!U2184</f>
        <v/>
      </c>
      <c r="D1645" s="59">
        <f>Report!X2184</f>
        <v/>
      </c>
    </row>
    <row r="1646" ht="12.75" customHeight="1" s="60">
      <c r="A1646" s="75">
        <f>Report!C2185</f>
        <v/>
      </c>
      <c r="B1646" s="59">
        <f>Report!E2185</f>
        <v/>
      </c>
      <c r="C1646" s="77">
        <f>Report!U2185</f>
        <v/>
      </c>
      <c r="D1646" s="59">
        <f>Report!X2185</f>
        <v/>
      </c>
    </row>
    <row r="1647" ht="12.75" customHeight="1" s="60">
      <c r="A1647" s="75">
        <f>Report!C2186</f>
        <v/>
      </c>
      <c r="B1647" s="59">
        <f>Report!E2186</f>
        <v/>
      </c>
      <c r="C1647" s="77">
        <f>Report!U2186</f>
        <v/>
      </c>
      <c r="D1647" s="59">
        <f>Report!X2186</f>
        <v/>
      </c>
    </row>
    <row r="1648" ht="12.75" customHeight="1" s="60">
      <c r="A1648" s="75">
        <f>Report!C2187</f>
        <v/>
      </c>
      <c r="B1648" s="59">
        <f>Report!E2187</f>
        <v/>
      </c>
      <c r="C1648" s="77">
        <f>Report!U2187</f>
        <v/>
      </c>
      <c r="D1648" s="59">
        <f>Report!X2187</f>
        <v/>
      </c>
    </row>
    <row r="1649" ht="12.75" customHeight="1" s="60">
      <c r="A1649" s="75">
        <f>Report!C2188</f>
        <v/>
      </c>
      <c r="B1649" s="59">
        <f>Report!E2188</f>
        <v/>
      </c>
      <c r="C1649" s="77">
        <f>Report!U2188</f>
        <v/>
      </c>
      <c r="D1649" s="59">
        <f>Report!X2188</f>
        <v/>
      </c>
    </row>
    <row r="1650" ht="12.75" customHeight="1" s="60">
      <c r="A1650" s="75">
        <f>Report!C2189</f>
        <v/>
      </c>
      <c r="B1650" s="59">
        <f>Report!E2189</f>
        <v/>
      </c>
      <c r="C1650" s="77">
        <f>Report!U2189</f>
        <v/>
      </c>
      <c r="D1650" s="59">
        <f>Report!X2189</f>
        <v/>
      </c>
    </row>
    <row r="1651" ht="12.75" customHeight="1" s="60">
      <c r="A1651" s="75">
        <f>Report!C2190</f>
        <v/>
      </c>
      <c r="B1651" s="59">
        <f>Report!E2190</f>
        <v/>
      </c>
      <c r="C1651" s="77">
        <f>Report!U2190</f>
        <v/>
      </c>
      <c r="D1651" s="59">
        <f>Report!X2190</f>
        <v/>
      </c>
    </row>
    <row r="1652" ht="12.75" customHeight="1" s="60">
      <c r="A1652" s="75">
        <f>Report!C2191</f>
        <v/>
      </c>
      <c r="B1652" s="59">
        <f>Report!E2191</f>
        <v/>
      </c>
      <c r="C1652" s="77">
        <f>Report!U2191</f>
        <v/>
      </c>
      <c r="D1652" s="59">
        <f>Report!X2191</f>
        <v/>
      </c>
    </row>
    <row r="1653" ht="12.75" customHeight="1" s="60">
      <c r="A1653" s="75">
        <f>Report!C2192</f>
        <v/>
      </c>
      <c r="B1653" s="59">
        <f>Report!E2192</f>
        <v/>
      </c>
      <c r="C1653" s="77">
        <f>Report!U2192</f>
        <v/>
      </c>
      <c r="D1653" s="59">
        <f>Report!X2192</f>
        <v/>
      </c>
    </row>
    <row r="1654" ht="12.75" customHeight="1" s="60">
      <c r="A1654" s="75">
        <f>Report!C2193</f>
        <v/>
      </c>
      <c r="B1654" s="59">
        <f>Report!E2193</f>
        <v/>
      </c>
      <c r="C1654" s="77">
        <f>Report!U2193</f>
        <v/>
      </c>
      <c r="D1654" s="59">
        <f>Report!X2193</f>
        <v/>
      </c>
    </row>
    <row r="1655" ht="12.75" customHeight="1" s="60">
      <c r="A1655" s="75">
        <f>Report!C2194</f>
        <v/>
      </c>
      <c r="B1655" s="59">
        <f>Report!E2194</f>
        <v/>
      </c>
      <c r="C1655" s="77">
        <f>Report!U2194</f>
        <v/>
      </c>
      <c r="D1655" s="59">
        <f>Report!X2194</f>
        <v/>
      </c>
    </row>
    <row r="1656" ht="12.75" customHeight="1" s="60">
      <c r="A1656" s="75">
        <f>Report!C2195</f>
        <v/>
      </c>
      <c r="B1656" s="59">
        <f>Report!E2195</f>
        <v/>
      </c>
      <c r="C1656" s="77">
        <f>Report!U2195</f>
        <v/>
      </c>
      <c r="D1656" s="59">
        <f>Report!X2195</f>
        <v/>
      </c>
    </row>
    <row r="1657" ht="12.75" customHeight="1" s="60">
      <c r="A1657" s="75">
        <f>Report!C2196</f>
        <v/>
      </c>
      <c r="B1657" s="59">
        <f>Report!E2196</f>
        <v/>
      </c>
      <c r="C1657" s="77">
        <f>Report!U2196</f>
        <v/>
      </c>
      <c r="D1657" s="59">
        <f>Report!X2196</f>
        <v/>
      </c>
    </row>
    <row r="1658" ht="12.75" customHeight="1" s="60">
      <c r="A1658" s="75">
        <f>Report!C2197</f>
        <v/>
      </c>
      <c r="B1658" s="59">
        <f>Report!E2197</f>
        <v/>
      </c>
      <c r="C1658" s="77">
        <f>Report!U2197</f>
        <v/>
      </c>
      <c r="D1658" s="59">
        <f>Report!X2197</f>
        <v/>
      </c>
    </row>
    <row r="1659" ht="12.75" customHeight="1" s="60">
      <c r="A1659" s="75">
        <f>Report!C2198</f>
        <v/>
      </c>
      <c r="B1659" s="59">
        <f>Report!E2198</f>
        <v/>
      </c>
      <c r="C1659" s="77">
        <f>Report!U2198</f>
        <v/>
      </c>
      <c r="D1659" s="59">
        <f>Report!X2198</f>
        <v/>
      </c>
    </row>
    <row r="1660" ht="12.75" customHeight="1" s="60">
      <c r="A1660" s="75">
        <f>Report!C2199</f>
        <v/>
      </c>
      <c r="B1660" s="59">
        <f>Report!E2199</f>
        <v/>
      </c>
      <c r="C1660" s="77">
        <f>Report!U2199</f>
        <v/>
      </c>
      <c r="D1660" s="59">
        <f>Report!X2199</f>
        <v/>
      </c>
    </row>
    <row r="1661" ht="12.75" customHeight="1" s="60">
      <c r="A1661" s="75">
        <f>Report!C2201</f>
        <v/>
      </c>
      <c r="B1661" s="59">
        <f>Report!E2201</f>
        <v/>
      </c>
      <c r="C1661" s="77">
        <f>Report!U2201</f>
        <v/>
      </c>
      <c r="D1661" s="59">
        <f>Report!X2201</f>
        <v/>
      </c>
    </row>
    <row r="1662" ht="12.75" customHeight="1" s="60">
      <c r="A1662" s="75">
        <f>Report!C2202</f>
        <v/>
      </c>
      <c r="B1662" s="59">
        <f>Report!E2202</f>
        <v/>
      </c>
      <c r="C1662" s="77">
        <f>Report!U2202</f>
        <v/>
      </c>
      <c r="D1662" s="59">
        <f>Report!X2202</f>
        <v/>
      </c>
    </row>
    <row r="1663" ht="12.75" customHeight="1" s="60">
      <c r="A1663" s="75">
        <f>Report!C2203</f>
        <v/>
      </c>
      <c r="B1663" s="59">
        <f>Report!E2203</f>
        <v/>
      </c>
      <c r="C1663" s="77">
        <f>Report!U2203</f>
        <v/>
      </c>
      <c r="D1663" s="59">
        <f>Report!X2203</f>
        <v/>
      </c>
    </row>
    <row r="1664" ht="12.75" customHeight="1" s="60">
      <c r="A1664" s="75">
        <f>Report!C2204</f>
        <v/>
      </c>
      <c r="B1664" s="59">
        <f>Report!E2204</f>
        <v/>
      </c>
      <c r="C1664" s="77">
        <f>Report!U2204</f>
        <v/>
      </c>
      <c r="D1664" s="59">
        <f>Report!X2204</f>
        <v/>
      </c>
    </row>
    <row r="1665" ht="12.75" customHeight="1" s="60">
      <c r="A1665" s="75">
        <f>Report!C2205</f>
        <v/>
      </c>
      <c r="B1665" s="59">
        <f>Report!E2205</f>
        <v/>
      </c>
      <c r="C1665" s="77">
        <f>Report!U2205</f>
        <v/>
      </c>
      <c r="D1665" s="59">
        <f>Report!X2205</f>
        <v/>
      </c>
    </row>
    <row r="1666" ht="12.75" customHeight="1" s="60">
      <c r="A1666" s="75">
        <f>Report!C2206</f>
        <v/>
      </c>
      <c r="B1666" s="59">
        <f>Report!E2206</f>
        <v/>
      </c>
      <c r="C1666" s="77">
        <f>Report!U2206</f>
        <v/>
      </c>
      <c r="D1666" s="59">
        <f>Report!X2206</f>
        <v/>
      </c>
    </row>
    <row r="1667" ht="12.75" customHeight="1" s="60">
      <c r="A1667" s="75">
        <f>Report!C2207</f>
        <v/>
      </c>
      <c r="B1667" s="59">
        <f>Report!E2207</f>
        <v/>
      </c>
      <c r="C1667" s="77">
        <f>Report!U2207</f>
        <v/>
      </c>
      <c r="D1667" s="59">
        <f>Report!X2207</f>
        <v/>
      </c>
    </row>
    <row r="1668" ht="12.75" customHeight="1" s="60">
      <c r="A1668" s="75">
        <f>Report!C2208</f>
        <v/>
      </c>
      <c r="B1668" s="59">
        <f>Report!E2208</f>
        <v/>
      </c>
      <c r="C1668" s="77">
        <f>Report!U2208</f>
        <v/>
      </c>
      <c r="D1668" s="59">
        <f>Report!X2208</f>
        <v/>
      </c>
    </row>
    <row r="1669" ht="12.75" customHeight="1" s="60">
      <c r="A1669" s="75">
        <f>Report!C2209</f>
        <v/>
      </c>
      <c r="B1669" s="59">
        <f>Report!E2209</f>
        <v/>
      </c>
      <c r="C1669" s="77">
        <f>Report!U2209</f>
        <v/>
      </c>
      <c r="D1669" s="59">
        <f>Report!X2209</f>
        <v/>
      </c>
    </row>
    <row r="1670" ht="12.75" customHeight="1" s="60">
      <c r="A1670" s="75">
        <f>Report!C2210</f>
        <v/>
      </c>
      <c r="B1670" s="59">
        <f>Report!E2210</f>
        <v/>
      </c>
      <c r="C1670" s="77">
        <f>Report!U2210</f>
        <v/>
      </c>
      <c r="D1670" s="59">
        <f>Report!X2210</f>
        <v/>
      </c>
    </row>
    <row r="1671" ht="12.75" customHeight="1" s="60">
      <c r="A1671" s="75">
        <f>Report!C2213</f>
        <v/>
      </c>
      <c r="B1671" s="59">
        <f>Report!E2213</f>
        <v/>
      </c>
      <c r="C1671" s="77">
        <f>Report!U2213</f>
        <v/>
      </c>
      <c r="D1671" s="59">
        <f>Report!X2213</f>
        <v/>
      </c>
    </row>
    <row r="1672" ht="12.75" customHeight="1" s="60">
      <c r="A1672" s="75">
        <f>Report!C2214</f>
        <v/>
      </c>
      <c r="B1672" s="59">
        <f>Report!E2214</f>
        <v/>
      </c>
      <c r="C1672" s="77">
        <f>Report!U2214</f>
        <v/>
      </c>
      <c r="D1672" s="59">
        <f>Report!X2214</f>
        <v/>
      </c>
    </row>
    <row r="1673" ht="12.75" customHeight="1" s="60">
      <c r="A1673" s="75">
        <f>Report!C2215</f>
        <v/>
      </c>
      <c r="B1673" s="59">
        <f>Report!E2215</f>
        <v/>
      </c>
      <c r="C1673" s="77">
        <f>Report!U2215</f>
        <v/>
      </c>
      <c r="D1673" s="59">
        <f>Report!X2215</f>
        <v/>
      </c>
    </row>
    <row r="1674" ht="12.75" customHeight="1" s="60">
      <c r="A1674" s="75">
        <f>Report!C2216</f>
        <v/>
      </c>
      <c r="B1674" s="59">
        <f>Report!E2216</f>
        <v/>
      </c>
      <c r="C1674" s="77">
        <f>Report!U2216</f>
        <v/>
      </c>
      <c r="D1674" s="59">
        <f>Report!X2216</f>
        <v/>
      </c>
    </row>
    <row r="1675" ht="12.75" customHeight="1" s="60">
      <c r="A1675" s="75">
        <f>Report!C2217</f>
        <v/>
      </c>
      <c r="B1675" s="59">
        <f>Report!E2217</f>
        <v/>
      </c>
      <c r="C1675" s="77">
        <f>Report!U2217</f>
        <v/>
      </c>
      <c r="D1675" s="59">
        <f>Report!X2217</f>
        <v/>
      </c>
    </row>
    <row r="1676" ht="12.75" customHeight="1" s="60">
      <c r="A1676" s="75">
        <f>Report!C2218</f>
        <v/>
      </c>
      <c r="B1676" s="59">
        <f>Report!E2218</f>
        <v/>
      </c>
      <c r="C1676" s="77">
        <f>Report!U2218</f>
        <v/>
      </c>
      <c r="D1676" s="59">
        <f>Report!X2218</f>
        <v/>
      </c>
    </row>
    <row r="1677" ht="12.75" customHeight="1" s="60">
      <c r="A1677" s="75">
        <f>Report!C2219</f>
        <v/>
      </c>
      <c r="B1677" s="59">
        <f>Report!E2219</f>
        <v/>
      </c>
      <c r="C1677" s="77">
        <f>Report!U2219</f>
        <v/>
      </c>
      <c r="D1677" s="59">
        <f>Report!X2219</f>
        <v/>
      </c>
    </row>
    <row r="1678" ht="12.75" customHeight="1" s="60">
      <c r="A1678" s="75">
        <f>Report!C2220</f>
        <v/>
      </c>
      <c r="B1678" s="59">
        <f>Report!E2220</f>
        <v/>
      </c>
      <c r="C1678" s="77">
        <f>Report!U2220</f>
        <v/>
      </c>
      <c r="D1678" s="59">
        <f>Report!X2220</f>
        <v/>
      </c>
    </row>
    <row r="1679" ht="12.75" customHeight="1" s="60">
      <c r="A1679" s="75">
        <f>Report!C2221</f>
        <v/>
      </c>
      <c r="B1679" s="59">
        <f>Report!E2221</f>
        <v/>
      </c>
      <c r="C1679" s="77">
        <f>Report!U2221</f>
        <v/>
      </c>
      <c r="D1679" s="59">
        <f>Report!X2221</f>
        <v/>
      </c>
    </row>
    <row r="1680" ht="12.75" customHeight="1" s="60">
      <c r="A1680" s="75">
        <f>Report!C2222</f>
        <v/>
      </c>
      <c r="B1680" s="59">
        <f>Report!E2222</f>
        <v/>
      </c>
      <c r="C1680" s="77">
        <f>Report!U2222</f>
        <v/>
      </c>
      <c r="D1680" s="59">
        <f>Report!X2222</f>
        <v/>
      </c>
    </row>
    <row r="1681" ht="12.75" customHeight="1" s="60">
      <c r="A1681" s="75">
        <f>Report!C2223</f>
        <v/>
      </c>
      <c r="B1681" s="59">
        <f>Report!E2223</f>
        <v/>
      </c>
      <c r="C1681" s="77">
        <f>Report!U2223</f>
        <v/>
      </c>
      <c r="D1681" s="59">
        <f>Report!X2223</f>
        <v/>
      </c>
    </row>
    <row r="1682" ht="12.75" customHeight="1" s="60">
      <c r="A1682" s="75">
        <f>Report!C2224</f>
        <v/>
      </c>
      <c r="B1682" s="59">
        <f>Report!E2224</f>
        <v/>
      </c>
      <c r="C1682" s="77">
        <f>Report!U2224</f>
        <v/>
      </c>
      <c r="D1682" s="59">
        <f>Report!X2224</f>
        <v/>
      </c>
    </row>
    <row r="1683" ht="12.75" customHeight="1" s="60">
      <c r="A1683" s="75">
        <f>Report!C2225</f>
        <v/>
      </c>
      <c r="B1683" s="59">
        <f>Report!E2225</f>
        <v/>
      </c>
      <c r="C1683" s="77">
        <f>Report!U2225</f>
        <v/>
      </c>
      <c r="D1683" s="59">
        <f>Report!X2225</f>
        <v/>
      </c>
    </row>
    <row r="1684" ht="12.75" customHeight="1" s="60">
      <c r="A1684" s="75">
        <f>Report!C2226</f>
        <v/>
      </c>
      <c r="B1684" s="59">
        <f>Report!E2226</f>
        <v/>
      </c>
      <c r="C1684" s="77">
        <f>Report!U2226</f>
        <v/>
      </c>
      <c r="D1684" s="59">
        <f>Report!X2226</f>
        <v/>
      </c>
    </row>
    <row r="1685" ht="12.75" customHeight="1" s="60">
      <c r="A1685" s="75">
        <f>Report!C2227</f>
        <v/>
      </c>
      <c r="B1685" s="59">
        <f>Report!E2227</f>
        <v/>
      </c>
      <c r="C1685" s="77">
        <f>Report!U2227</f>
        <v/>
      </c>
      <c r="D1685" s="59">
        <f>Report!X2227</f>
        <v/>
      </c>
    </row>
    <row r="1686" ht="12.75" customHeight="1" s="60">
      <c r="A1686" s="75">
        <f>Report!C2229</f>
        <v/>
      </c>
      <c r="B1686" s="59">
        <f>Report!E2229</f>
        <v/>
      </c>
      <c r="C1686" s="77">
        <f>Report!U2229</f>
        <v/>
      </c>
      <c r="D1686" s="59">
        <f>Report!X2229</f>
        <v/>
      </c>
    </row>
    <row r="1687" ht="12.75" customHeight="1" s="60">
      <c r="A1687" s="75">
        <f>Report!C2230</f>
        <v/>
      </c>
      <c r="B1687" s="59">
        <f>Report!E2230</f>
        <v/>
      </c>
      <c r="C1687" s="77">
        <f>Report!U2230</f>
        <v/>
      </c>
      <c r="D1687" s="59">
        <f>Report!X2230</f>
        <v/>
      </c>
    </row>
    <row r="1688" ht="12.75" customHeight="1" s="60">
      <c r="A1688" s="75">
        <f>Report!C2232</f>
        <v/>
      </c>
      <c r="B1688" s="59">
        <f>Report!E2232</f>
        <v/>
      </c>
      <c r="C1688" s="77">
        <f>Report!U2232</f>
        <v/>
      </c>
      <c r="D1688" s="59">
        <f>Report!X2232</f>
        <v/>
      </c>
    </row>
    <row r="1689" ht="12.75" customHeight="1" s="60">
      <c r="A1689" s="75">
        <f>Report!C2234</f>
        <v/>
      </c>
      <c r="B1689" s="59">
        <f>Report!E2234</f>
        <v/>
      </c>
      <c r="C1689" s="77">
        <f>Report!U2234</f>
        <v/>
      </c>
      <c r="D1689" s="59">
        <f>Report!X2234</f>
        <v/>
      </c>
    </row>
    <row r="1690" ht="12.75" customHeight="1" s="60">
      <c r="A1690" s="75">
        <f>Report!C2235</f>
        <v/>
      </c>
      <c r="B1690" s="59">
        <f>Report!E2235</f>
        <v/>
      </c>
      <c r="C1690" s="77">
        <f>Report!U2235</f>
        <v/>
      </c>
      <c r="D1690" s="59">
        <f>Report!X2235</f>
        <v/>
      </c>
    </row>
    <row r="1691" ht="12.75" customHeight="1" s="60">
      <c r="A1691" s="75">
        <f>Report!C2236</f>
        <v/>
      </c>
      <c r="B1691" s="59">
        <f>Report!E2236</f>
        <v/>
      </c>
      <c r="C1691" s="77">
        <f>Report!U2236</f>
        <v/>
      </c>
      <c r="D1691" s="59">
        <f>Report!X2236</f>
        <v/>
      </c>
    </row>
    <row r="1692" ht="12.75" customHeight="1" s="60">
      <c r="A1692" s="75">
        <f>Report!C2237</f>
        <v/>
      </c>
      <c r="B1692" s="59">
        <f>Report!E2237</f>
        <v/>
      </c>
      <c r="C1692" s="77">
        <f>Report!U2237</f>
        <v/>
      </c>
      <c r="D1692" s="59">
        <f>Report!X2237</f>
        <v/>
      </c>
    </row>
    <row r="1693" ht="12.75" customHeight="1" s="60">
      <c r="A1693" s="75">
        <f>Report!C2238</f>
        <v/>
      </c>
      <c r="B1693" s="59">
        <f>Report!E2238</f>
        <v/>
      </c>
      <c r="C1693" s="77">
        <f>Report!U2238</f>
        <v/>
      </c>
      <c r="D1693" s="59">
        <f>Report!X2238</f>
        <v/>
      </c>
    </row>
    <row r="1694" ht="12.75" customHeight="1" s="60">
      <c r="A1694" s="75">
        <f>Report!C2239</f>
        <v/>
      </c>
      <c r="B1694" s="59">
        <f>Report!E2239</f>
        <v/>
      </c>
      <c r="C1694" s="77">
        <f>Report!U2239</f>
        <v/>
      </c>
      <c r="D1694" s="59">
        <f>Report!X2239</f>
        <v/>
      </c>
    </row>
    <row r="1695" ht="12.75" customHeight="1" s="60">
      <c r="A1695" s="75">
        <f>Report!C2240</f>
        <v/>
      </c>
      <c r="B1695" s="59">
        <f>Report!E2240</f>
        <v/>
      </c>
      <c r="C1695" s="77">
        <f>Report!U2240</f>
        <v/>
      </c>
      <c r="D1695" s="59">
        <f>Report!X2240</f>
        <v/>
      </c>
    </row>
    <row r="1696" ht="12.75" customHeight="1" s="60">
      <c r="A1696" s="75">
        <f>Report!C2241</f>
        <v/>
      </c>
      <c r="B1696" s="59">
        <f>Report!E2241</f>
        <v/>
      </c>
      <c r="C1696" s="77">
        <f>Report!U2241</f>
        <v/>
      </c>
      <c r="D1696" s="59">
        <f>Report!X2241</f>
        <v/>
      </c>
    </row>
    <row r="1697" ht="12.75" customHeight="1" s="60">
      <c r="A1697" s="75">
        <f>Report!C2242</f>
        <v/>
      </c>
      <c r="B1697" s="59">
        <f>Report!E2242</f>
        <v/>
      </c>
      <c r="C1697" s="77">
        <f>Report!U2242</f>
        <v/>
      </c>
      <c r="D1697" s="59">
        <f>Report!X2242</f>
        <v/>
      </c>
    </row>
    <row r="1698" ht="12.75" customHeight="1" s="60">
      <c r="A1698" s="75">
        <f>Report!C2243</f>
        <v/>
      </c>
      <c r="B1698" s="59">
        <f>Report!E2243</f>
        <v/>
      </c>
      <c r="C1698" s="77">
        <f>Report!U2243</f>
        <v/>
      </c>
      <c r="D1698" s="59">
        <f>Report!X2243</f>
        <v/>
      </c>
    </row>
    <row r="1699" ht="12.75" customHeight="1" s="60">
      <c r="A1699" s="75">
        <f>Report!C2244</f>
        <v/>
      </c>
      <c r="B1699" s="59">
        <f>Report!E2244</f>
        <v/>
      </c>
      <c r="C1699" s="77">
        <f>Report!U2244</f>
        <v/>
      </c>
      <c r="D1699" s="59">
        <f>Report!X2244</f>
        <v/>
      </c>
    </row>
    <row r="1700" ht="12.75" customHeight="1" s="60">
      <c r="A1700" s="75">
        <f>Report!C2245</f>
        <v/>
      </c>
      <c r="B1700" s="59">
        <f>Report!E2245</f>
        <v/>
      </c>
      <c r="C1700" s="77">
        <f>Report!U2245</f>
        <v/>
      </c>
      <c r="D1700" s="59">
        <f>Report!X2245</f>
        <v/>
      </c>
    </row>
    <row r="1701" ht="12.75" customHeight="1" s="60">
      <c r="A1701" s="75">
        <f>Report!C2246</f>
        <v/>
      </c>
      <c r="B1701" s="59">
        <f>Report!E2246</f>
        <v/>
      </c>
      <c r="C1701" s="77">
        <f>Report!U2246</f>
        <v/>
      </c>
      <c r="D1701" s="59">
        <f>Report!X2246</f>
        <v/>
      </c>
    </row>
    <row r="1702" ht="12.75" customHeight="1" s="60">
      <c r="A1702" s="75">
        <f>Report!C2248</f>
        <v/>
      </c>
      <c r="B1702" s="59">
        <f>Report!E2248</f>
        <v/>
      </c>
      <c r="C1702" s="77">
        <f>Report!U2248</f>
        <v/>
      </c>
      <c r="D1702" s="59">
        <f>Report!X2248</f>
        <v/>
      </c>
    </row>
    <row r="1703" ht="12.75" customHeight="1" s="60">
      <c r="A1703" s="75">
        <f>Report!C2249</f>
        <v/>
      </c>
      <c r="B1703" s="59">
        <f>Report!E2249</f>
        <v/>
      </c>
      <c r="C1703" s="77">
        <f>Report!U2249</f>
        <v/>
      </c>
      <c r="D1703" s="59">
        <f>Report!X2249</f>
        <v/>
      </c>
    </row>
    <row r="1704" ht="12.75" customHeight="1" s="60">
      <c r="A1704" s="75">
        <f>Report!C2250</f>
        <v/>
      </c>
      <c r="B1704" s="59">
        <f>Report!E2250</f>
        <v/>
      </c>
      <c r="C1704" s="77">
        <f>Report!U2250</f>
        <v/>
      </c>
      <c r="D1704" s="59">
        <f>Report!X2250</f>
        <v/>
      </c>
    </row>
    <row r="1705" ht="12.75" customHeight="1" s="60">
      <c r="A1705" s="75">
        <f>Report!C2251</f>
        <v/>
      </c>
      <c r="B1705" s="59">
        <f>Report!E2251</f>
        <v/>
      </c>
      <c r="C1705" s="77">
        <f>Report!U2251</f>
        <v/>
      </c>
      <c r="D1705" s="59">
        <f>Report!X2251</f>
        <v/>
      </c>
    </row>
    <row r="1706" ht="12.75" customHeight="1" s="60">
      <c r="A1706" s="75">
        <f>Report!C2252</f>
        <v/>
      </c>
      <c r="B1706" s="59">
        <f>Report!E2252</f>
        <v/>
      </c>
      <c r="C1706" s="77">
        <f>Report!U2252</f>
        <v/>
      </c>
      <c r="D1706" s="59">
        <f>Report!X2252</f>
        <v/>
      </c>
    </row>
    <row r="1707" ht="12.75" customHeight="1" s="60">
      <c r="A1707" s="75">
        <f>Report!C2253</f>
        <v/>
      </c>
      <c r="B1707" s="59">
        <f>Report!E2253</f>
        <v/>
      </c>
      <c r="C1707" s="77">
        <f>Report!U2253</f>
        <v/>
      </c>
      <c r="D1707" s="59">
        <f>Report!X2253</f>
        <v/>
      </c>
    </row>
    <row r="1708" ht="12.75" customHeight="1" s="60">
      <c r="A1708" s="75">
        <f>Report!C2254</f>
        <v/>
      </c>
      <c r="B1708" s="59">
        <f>Report!E2254</f>
        <v/>
      </c>
      <c r="C1708" s="77">
        <f>Report!U2254</f>
        <v/>
      </c>
      <c r="D1708" s="59">
        <f>Report!X2254</f>
        <v/>
      </c>
    </row>
    <row r="1709" ht="12.75" customHeight="1" s="60">
      <c r="A1709" s="75">
        <f>Report!C2255</f>
        <v/>
      </c>
      <c r="B1709" s="59">
        <f>Report!E2255</f>
        <v/>
      </c>
      <c r="C1709" s="77">
        <f>Report!U2255</f>
        <v/>
      </c>
      <c r="D1709" s="59">
        <f>Report!X2255</f>
        <v/>
      </c>
    </row>
    <row r="1710" ht="12.75" customHeight="1" s="60">
      <c r="A1710" s="75">
        <f>Report!C2256</f>
        <v/>
      </c>
      <c r="B1710" s="59">
        <f>Report!E2256</f>
        <v/>
      </c>
      <c r="C1710" s="77">
        <f>Report!U2256</f>
        <v/>
      </c>
      <c r="D1710" s="59">
        <f>Report!X2256</f>
        <v/>
      </c>
    </row>
    <row r="1711" ht="12.75" customHeight="1" s="60">
      <c r="A1711" s="75">
        <f>Report!C2257</f>
        <v/>
      </c>
      <c r="B1711" s="59">
        <f>Report!E2257</f>
        <v/>
      </c>
      <c r="C1711" s="77">
        <f>Report!U2257</f>
        <v/>
      </c>
      <c r="D1711" s="59">
        <f>Report!X2257</f>
        <v/>
      </c>
    </row>
    <row r="1712" ht="12.75" customHeight="1" s="60">
      <c r="A1712" s="75">
        <f>Report!C2258</f>
        <v/>
      </c>
      <c r="B1712" s="59">
        <f>Report!E2258</f>
        <v/>
      </c>
      <c r="C1712" s="77">
        <f>Report!U2258</f>
        <v/>
      </c>
      <c r="D1712" s="59">
        <f>Report!X2258</f>
        <v/>
      </c>
    </row>
    <row r="1713" ht="12.75" customHeight="1" s="60">
      <c r="A1713" s="75">
        <f>Report!C2261</f>
        <v/>
      </c>
      <c r="B1713" s="59">
        <f>Report!E2261</f>
        <v/>
      </c>
      <c r="C1713" s="77">
        <f>Report!U2261</f>
        <v/>
      </c>
      <c r="D1713" s="59">
        <f>Report!X2261</f>
        <v/>
      </c>
    </row>
    <row r="1714" ht="12.75" customHeight="1" s="60">
      <c r="A1714" s="75">
        <f>Report!C2262</f>
        <v/>
      </c>
      <c r="B1714" s="59">
        <f>Report!E2262</f>
        <v/>
      </c>
      <c r="C1714" s="77">
        <f>Report!U2262</f>
        <v/>
      </c>
      <c r="D1714" s="59">
        <f>Report!X2262</f>
        <v/>
      </c>
    </row>
    <row r="1715" ht="12.75" customHeight="1" s="60">
      <c r="A1715" s="75">
        <f>Report!C2265</f>
        <v/>
      </c>
      <c r="B1715" s="59">
        <f>Report!E2265</f>
        <v/>
      </c>
      <c r="C1715" s="77">
        <f>Report!U2265</f>
        <v/>
      </c>
      <c r="D1715" s="59">
        <f>Report!X2265</f>
        <v/>
      </c>
    </row>
    <row r="1716" ht="12.75" customHeight="1" s="60">
      <c r="A1716" s="75">
        <f>Report!C2266</f>
        <v/>
      </c>
      <c r="B1716" s="59">
        <f>Report!E2266</f>
        <v/>
      </c>
      <c r="C1716" s="77">
        <f>Report!U2266</f>
        <v/>
      </c>
      <c r="D1716" s="59">
        <f>Report!X2266</f>
        <v/>
      </c>
    </row>
    <row r="1717" ht="12.75" customHeight="1" s="60">
      <c r="A1717" s="75">
        <f>Report!C2267</f>
        <v/>
      </c>
      <c r="B1717" s="59">
        <f>Report!E2267</f>
        <v/>
      </c>
      <c r="C1717" s="77">
        <f>Report!U2267</f>
        <v/>
      </c>
      <c r="D1717" s="59">
        <f>Report!X2267</f>
        <v/>
      </c>
    </row>
    <row r="1718" ht="12.75" customHeight="1" s="60">
      <c r="A1718" s="75">
        <f>Report!C2268</f>
        <v/>
      </c>
      <c r="B1718" s="59">
        <f>Report!E2268</f>
        <v/>
      </c>
      <c r="C1718" s="77">
        <f>Report!U2268</f>
        <v/>
      </c>
      <c r="D1718" s="59">
        <f>Report!X2268</f>
        <v/>
      </c>
    </row>
    <row r="1719" ht="12.75" customHeight="1" s="60">
      <c r="A1719" s="75">
        <f>Report!C2269</f>
        <v/>
      </c>
      <c r="B1719" s="59">
        <f>Report!E2269</f>
        <v/>
      </c>
      <c r="C1719" s="77">
        <f>Report!U2269</f>
        <v/>
      </c>
      <c r="D1719" s="59">
        <f>Report!X2269</f>
        <v/>
      </c>
    </row>
    <row r="1720" ht="12.75" customHeight="1" s="60">
      <c r="A1720" s="75">
        <f>Report!C2270</f>
        <v/>
      </c>
      <c r="B1720" s="59">
        <f>Report!E2270</f>
        <v/>
      </c>
      <c r="C1720" s="77">
        <f>Report!U2270</f>
        <v/>
      </c>
      <c r="D1720" s="59">
        <f>Report!X2270</f>
        <v/>
      </c>
    </row>
    <row r="1721" ht="12.75" customHeight="1" s="60">
      <c r="A1721" s="75">
        <f>Report!C2271</f>
        <v/>
      </c>
      <c r="B1721" s="59">
        <f>Report!E2271</f>
        <v/>
      </c>
      <c r="C1721" s="77">
        <f>Report!U2271</f>
        <v/>
      </c>
      <c r="D1721" s="59">
        <f>Report!X2271</f>
        <v/>
      </c>
    </row>
    <row r="1722" ht="12.75" customHeight="1" s="60">
      <c r="A1722" s="75">
        <f>Report!C2272</f>
        <v/>
      </c>
      <c r="B1722" s="59">
        <f>Report!E2272</f>
        <v/>
      </c>
      <c r="C1722" s="77">
        <f>Report!U2272</f>
        <v/>
      </c>
      <c r="D1722" s="59">
        <f>Report!X2272</f>
        <v/>
      </c>
    </row>
    <row r="1723" ht="12.75" customHeight="1" s="60">
      <c r="A1723" s="75">
        <f>Report!C2273</f>
        <v/>
      </c>
      <c r="B1723" s="59">
        <f>Report!E2273</f>
        <v/>
      </c>
      <c r="C1723" s="77">
        <f>Report!U2273</f>
        <v/>
      </c>
      <c r="D1723" s="59">
        <f>Report!X2273</f>
        <v/>
      </c>
    </row>
    <row r="1724" ht="12.75" customHeight="1" s="60">
      <c r="A1724" s="75">
        <f>Report!C2275</f>
        <v/>
      </c>
      <c r="B1724" s="59">
        <f>Report!E2275</f>
        <v/>
      </c>
      <c r="C1724" s="77">
        <f>Report!U2275</f>
        <v/>
      </c>
      <c r="D1724" s="59">
        <f>Report!X2275</f>
        <v/>
      </c>
    </row>
    <row r="1725" ht="12.75" customHeight="1" s="60">
      <c r="A1725" s="75">
        <f>Report!C2277</f>
        <v/>
      </c>
      <c r="B1725" s="59">
        <f>Report!E2277</f>
        <v/>
      </c>
      <c r="C1725" s="77">
        <f>Report!U2277</f>
        <v/>
      </c>
      <c r="D1725" s="59">
        <f>Report!X2277</f>
        <v/>
      </c>
    </row>
    <row r="1726" ht="12.75" customHeight="1" s="60">
      <c r="A1726" s="75">
        <f>Report!C2278</f>
        <v/>
      </c>
      <c r="B1726" s="59">
        <f>Report!E2278</f>
        <v/>
      </c>
      <c r="C1726" s="77">
        <f>Report!U2278</f>
        <v/>
      </c>
      <c r="D1726" s="59">
        <f>Report!X2278</f>
        <v/>
      </c>
    </row>
    <row r="1727" ht="12.75" customHeight="1" s="60">
      <c r="A1727" s="75">
        <f>Report!C2279</f>
        <v/>
      </c>
      <c r="B1727" s="59">
        <f>Report!E2279</f>
        <v/>
      </c>
      <c r="C1727" s="77">
        <f>Report!U2279</f>
        <v/>
      </c>
      <c r="D1727" s="59">
        <f>Report!X2279</f>
        <v/>
      </c>
    </row>
    <row r="1728" ht="12.75" customHeight="1" s="60">
      <c r="A1728" s="75">
        <f>Report!C2280</f>
        <v/>
      </c>
      <c r="B1728" s="59">
        <f>Report!E2280</f>
        <v/>
      </c>
      <c r="C1728" s="77">
        <f>Report!U2280</f>
        <v/>
      </c>
      <c r="D1728" s="59">
        <f>Report!X2280</f>
        <v/>
      </c>
    </row>
    <row r="1729" ht="12.75" customHeight="1" s="60">
      <c r="A1729" s="75">
        <f>Report!C2281</f>
        <v/>
      </c>
      <c r="B1729" s="59">
        <f>Report!E2281</f>
        <v/>
      </c>
      <c r="C1729" s="77">
        <f>Report!U2281</f>
        <v/>
      </c>
      <c r="D1729" s="59">
        <f>Report!X2281</f>
        <v/>
      </c>
    </row>
    <row r="1730" ht="12.75" customHeight="1" s="60">
      <c r="A1730" s="75">
        <f>Report!C2282</f>
        <v/>
      </c>
      <c r="B1730" s="59">
        <f>Report!E2282</f>
        <v/>
      </c>
      <c r="C1730" s="77">
        <f>Report!U2282</f>
        <v/>
      </c>
      <c r="D1730" s="59">
        <f>Report!X2282</f>
        <v/>
      </c>
    </row>
    <row r="1731" ht="12.75" customHeight="1" s="60">
      <c r="A1731" s="75">
        <f>Report!C2283</f>
        <v/>
      </c>
      <c r="B1731" s="59">
        <f>Report!E2283</f>
        <v/>
      </c>
      <c r="C1731" s="77">
        <f>Report!U2283</f>
        <v/>
      </c>
      <c r="D1731" s="59">
        <f>Report!X2283</f>
        <v/>
      </c>
    </row>
    <row r="1732" ht="12.75" customHeight="1" s="60">
      <c r="A1732" s="75">
        <f>Report!C2284</f>
        <v/>
      </c>
      <c r="B1732" s="59">
        <f>Report!E2284</f>
        <v/>
      </c>
      <c r="C1732" s="77">
        <f>Report!U2284</f>
        <v/>
      </c>
      <c r="D1732" s="59">
        <f>Report!X2284</f>
        <v/>
      </c>
    </row>
    <row r="1733" ht="12.75" customHeight="1" s="60">
      <c r="A1733" s="75">
        <f>Report!C2285</f>
        <v/>
      </c>
      <c r="B1733" s="59">
        <f>Report!E2285</f>
        <v/>
      </c>
      <c r="C1733" s="77">
        <f>Report!U2285</f>
        <v/>
      </c>
      <c r="D1733" s="59">
        <f>Report!X2285</f>
        <v/>
      </c>
    </row>
    <row r="1734" ht="12.75" customHeight="1" s="60">
      <c r="A1734" s="75">
        <f>Report!C2286</f>
        <v/>
      </c>
      <c r="B1734" s="59">
        <f>Report!E2286</f>
        <v/>
      </c>
      <c r="C1734" s="77">
        <f>Report!U2286</f>
        <v/>
      </c>
      <c r="D1734" s="59">
        <f>Report!X2286</f>
        <v/>
      </c>
    </row>
    <row r="1735" ht="12.75" customHeight="1" s="60">
      <c r="A1735" s="75">
        <f>Report!C2287</f>
        <v/>
      </c>
      <c r="B1735" s="59">
        <f>Report!E2287</f>
        <v/>
      </c>
      <c r="C1735" s="77">
        <f>Report!U2287</f>
        <v/>
      </c>
      <c r="D1735" s="59">
        <f>Report!X2287</f>
        <v/>
      </c>
    </row>
    <row r="1736" ht="12.75" customHeight="1" s="60">
      <c r="A1736" s="75">
        <f>Report!C2288</f>
        <v/>
      </c>
      <c r="B1736" s="59">
        <f>Report!E2288</f>
        <v/>
      </c>
      <c r="C1736" s="77">
        <f>Report!U2288</f>
        <v/>
      </c>
      <c r="D1736" s="59">
        <f>Report!X2288</f>
        <v/>
      </c>
    </row>
    <row r="1737" ht="12.75" customHeight="1" s="60">
      <c r="A1737" s="75">
        <f>Report!C2289</f>
        <v/>
      </c>
      <c r="B1737" s="59">
        <f>Report!E2289</f>
        <v/>
      </c>
      <c r="C1737" s="77">
        <f>Report!U2289</f>
        <v/>
      </c>
      <c r="D1737" s="59">
        <f>Report!X2289</f>
        <v/>
      </c>
    </row>
    <row r="1738" ht="12.75" customHeight="1" s="60">
      <c r="A1738" s="75">
        <f>Report!C2291</f>
        <v/>
      </c>
      <c r="B1738" s="59">
        <f>Report!E2291</f>
        <v/>
      </c>
      <c r="C1738" s="77">
        <f>Report!U2291</f>
        <v/>
      </c>
      <c r="D1738" s="59">
        <f>Report!X2291</f>
        <v/>
      </c>
    </row>
    <row r="1739" ht="12.75" customHeight="1" s="60">
      <c r="A1739" s="75">
        <f>Report!C2292</f>
        <v/>
      </c>
      <c r="B1739" s="59">
        <f>Report!E2292</f>
        <v/>
      </c>
      <c r="C1739" s="77">
        <f>Report!U2292</f>
        <v/>
      </c>
      <c r="D1739" s="59">
        <f>Report!X2292</f>
        <v/>
      </c>
    </row>
    <row r="1740" ht="12.75" customHeight="1" s="60">
      <c r="A1740" s="75">
        <f>Report!C2293</f>
        <v/>
      </c>
      <c r="B1740" s="59">
        <f>Report!E2293</f>
        <v/>
      </c>
      <c r="C1740" s="77">
        <f>Report!U2293</f>
        <v/>
      </c>
      <c r="D1740" s="59">
        <f>Report!X2293</f>
        <v/>
      </c>
    </row>
    <row r="1741" ht="12.75" customHeight="1" s="60">
      <c r="A1741" s="75">
        <f>Report!C2295</f>
        <v/>
      </c>
      <c r="B1741" s="59">
        <f>Report!E2295</f>
        <v/>
      </c>
      <c r="C1741" s="77">
        <f>Report!U2295</f>
        <v/>
      </c>
      <c r="D1741" s="59">
        <f>Report!X2295</f>
        <v/>
      </c>
    </row>
    <row r="1742" ht="12.75" customHeight="1" s="60">
      <c r="A1742" s="75">
        <f>Report!C2296</f>
        <v/>
      </c>
      <c r="B1742" s="59">
        <f>Report!E2296</f>
        <v/>
      </c>
      <c r="C1742" s="77">
        <f>Report!U2296</f>
        <v/>
      </c>
      <c r="D1742" s="59">
        <f>Report!X2296</f>
        <v/>
      </c>
    </row>
    <row r="1743" ht="12.75" customHeight="1" s="60">
      <c r="A1743" s="75">
        <f>Report!C2297</f>
        <v/>
      </c>
      <c r="B1743" s="59">
        <f>Report!E2297</f>
        <v/>
      </c>
      <c r="C1743" s="77">
        <f>Report!U2297</f>
        <v/>
      </c>
      <c r="D1743" s="59">
        <f>Report!X2297</f>
        <v/>
      </c>
    </row>
    <row r="1744" ht="12.75" customHeight="1" s="60">
      <c r="A1744" s="75">
        <f>Report!C2298</f>
        <v/>
      </c>
      <c r="B1744" s="59">
        <f>Report!E2298</f>
        <v/>
      </c>
      <c r="C1744" s="77">
        <f>Report!U2298</f>
        <v/>
      </c>
      <c r="D1744" s="59">
        <f>Report!X2298</f>
        <v/>
      </c>
    </row>
    <row r="1745" ht="12.75" customHeight="1" s="60">
      <c r="A1745" s="75">
        <f>Report!C2299</f>
        <v/>
      </c>
      <c r="B1745" s="59">
        <f>Report!E2299</f>
        <v/>
      </c>
      <c r="C1745" s="77">
        <f>Report!U2299</f>
        <v/>
      </c>
      <c r="D1745" s="59">
        <f>Report!X2299</f>
        <v/>
      </c>
    </row>
    <row r="1746" ht="12.75" customHeight="1" s="60">
      <c r="A1746" s="75">
        <f>Report!C2300</f>
        <v/>
      </c>
      <c r="B1746" s="59">
        <f>Report!E2300</f>
        <v/>
      </c>
      <c r="C1746" s="77">
        <f>Report!U2300</f>
        <v/>
      </c>
      <c r="D1746" s="59">
        <f>Report!X2300</f>
        <v/>
      </c>
    </row>
    <row r="1747" ht="12.75" customHeight="1" s="60">
      <c r="A1747" s="75">
        <f>Report!C2301</f>
        <v/>
      </c>
      <c r="B1747" s="59">
        <f>Report!E2301</f>
        <v/>
      </c>
      <c r="C1747" s="77">
        <f>Report!U2301</f>
        <v/>
      </c>
      <c r="D1747" s="59">
        <f>Report!X2301</f>
        <v/>
      </c>
    </row>
    <row r="1748" ht="12.75" customHeight="1" s="60">
      <c r="A1748" s="75">
        <f>Report!C2303</f>
        <v/>
      </c>
      <c r="B1748" s="59">
        <f>Report!E2303</f>
        <v/>
      </c>
      <c r="C1748" s="77">
        <f>Report!U2303</f>
        <v/>
      </c>
      <c r="D1748" s="59">
        <f>Report!X2303</f>
        <v/>
      </c>
    </row>
    <row r="1749" ht="12.75" customHeight="1" s="60">
      <c r="A1749" s="75">
        <f>Report!C2304</f>
        <v/>
      </c>
      <c r="B1749" s="59">
        <f>Report!E2304</f>
        <v/>
      </c>
      <c r="C1749" s="77">
        <f>Report!U2304</f>
        <v/>
      </c>
      <c r="D1749" s="59">
        <f>Report!X2304</f>
        <v/>
      </c>
    </row>
    <row r="1750" ht="12.75" customHeight="1" s="60">
      <c r="A1750" s="75">
        <f>Report!C2305</f>
        <v/>
      </c>
      <c r="B1750" s="59">
        <f>Report!E2305</f>
        <v/>
      </c>
      <c r="C1750" s="77">
        <f>Report!U2305</f>
        <v/>
      </c>
      <c r="D1750" s="59">
        <f>Report!X2305</f>
        <v/>
      </c>
    </row>
    <row r="1751" ht="12.75" customHeight="1" s="60">
      <c r="A1751" s="75">
        <f>Report!C2306</f>
        <v/>
      </c>
      <c r="B1751" s="59">
        <f>Report!E2306</f>
        <v/>
      </c>
      <c r="C1751" s="77">
        <f>Report!U2306</f>
        <v/>
      </c>
      <c r="D1751" s="59">
        <f>Report!X2306</f>
        <v/>
      </c>
    </row>
    <row r="1752" ht="12.75" customHeight="1" s="60">
      <c r="A1752" s="75">
        <f>Report!C2307</f>
        <v/>
      </c>
      <c r="B1752" s="59">
        <f>Report!E2307</f>
        <v/>
      </c>
      <c r="C1752" s="77">
        <f>Report!U2307</f>
        <v/>
      </c>
      <c r="D1752" s="59">
        <f>Report!X2307</f>
        <v/>
      </c>
    </row>
    <row r="1753" ht="12.75" customHeight="1" s="60">
      <c r="A1753" s="75">
        <f>Report!C2309</f>
        <v/>
      </c>
      <c r="B1753" s="59">
        <f>Report!E2309</f>
        <v/>
      </c>
      <c r="C1753" s="77">
        <f>Report!U2309</f>
        <v/>
      </c>
      <c r="D1753" s="59">
        <f>Report!X2309</f>
        <v/>
      </c>
    </row>
    <row r="1754" ht="12.75" customHeight="1" s="60">
      <c r="A1754" s="75">
        <f>Report!C2310</f>
        <v/>
      </c>
      <c r="B1754" s="59">
        <f>Report!E2310</f>
        <v/>
      </c>
      <c r="C1754" s="77">
        <f>Report!U2310</f>
        <v/>
      </c>
      <c r="D1754" s="59">
        <f>Report!X2310</f>
        <v/>
      </c>
    </row>
    <row r="1755" ht="12.75" customHeight="1" s="60">
      <c r="A1755" s="83">
        <f>Report!C2311</f>
        <v/>
      </c>
      <c r="B1755" s="59">
        <f>Report!E2311</f>
        <v/>
      </c>
      <c r="C1755" s="77">
        <f>Report!U2311</f>
        <v/>
      </c>
      <c r="D1755" s="59">
        <f>Report!X2311</f>
        <v/>
      </c>
    </row>
    <row r="1756" ht="12.75" customHeight="1" s="60">
      <c r="A1756" s="83">
        <f>Report!C2312</f>
        <v/>
      </c>
      <c r="B1756" s="59">
        <f>Report!E2312</f>
        <v/>
      </c>
      <c r="C1756" s="77">
        <f>Report!U2312</f>
        <v/>
      </c>
      <c r="D1756" s="59">
        <f>Report!X2312</f>
        <v/>
      </c>
    </row>
    <row r="1757" ht="12.75" customHeight="1" s="60">
      <c r="A1757" s="83">
        <f>Report!C2313</f>
        <v/>
      </c>
      <c r="B1757" s="59">
        <f>Report!E2313</f>
        <v/>
      </c>
      <c r="C1757" s="77">
        <f>Report!U2313</f>
        <v/>
      </c>
      <c r="D1757" s="59">
        <f>Report!X2313</f>
        <v/>
      </c>
    </row>
    <row r="1758" ht="12.75" customHeight="1" s="60">
      <c r="A1758" s="83">
        <f>Report!C2314</f>
        <v/>
      </c>
      <c r="B1758" s="59">
        <f>Report!E2314</f>
        <v/>
      </c>
      <c r="C1758" s="77">
        <f>Report!U2314</f>
        <v/>
      </c>
      <c r="D1758" s="59">
        <f>Report!X2314</f>
        <v/>
      </c>
    </row>
    <row r="1759" ht="12.75" customHeight="1" s="60">
      <c r="A1759" s="83">
        <f>Report!C2315</f>
        <v/>
      </c>
      <c r="B1759" s="59">
        <f>Report!E2315</f>
        <v/>
      </c>
      <c r="C1759" s="77">
        <f>Report!U2315</f>
        <v/>
      </c>
      <c r="D1759" s="59">
        <f>Report!X2315</f>
        <v/>
      </c>
    </row>
    <row r="1760" ht="12.75" customHeight="1" s="60">
      <c r="A1760" s="83">
        <f>Report!C2316</f>
        <v/>
      </c>
      <c r="B1760" s="59">
        <f>Report!E2316</f>
        <v/>
      </c>
      <c r="C1760" s="77">
        <f>Report!U2316</f>
        <v/>
      </c>
      <c r="D1760" s="59">
        <f>Report!X2316</f>
        <v/>
      </c>
    </row>
    <row r="1761" ht="12.75" customHeight="1" s="60">
      <c r="A1761" s="83">
        <f>Report!C2317</f>
        <v/>
      </c>
      <c r="B1761" s="59">
        <f>Report!E2317</f>
        <v/>
      </c>
      <c r="C1761" s="77">
        <f>Report!U2317</f>
        <v/>
      </c>
      <c r="D1761" s="59">
        <f>Report!X2317</f>
        <v/>
      </c>
    </row>
    <row r="1762" ht="12.75" customHeight="1" s="60">
      <c r="A1762" s="83">
        <f>Report!C2318</f>
        <v/>
      </c>
      <c r="B1762" s="59">
        <f>Report!E2318</f>
        <v/>
      </c>
      <c r="C1762" s="77">
        <f>Report!U2318</f>
        <v/>
      </c>
      <c r="D1762" s="59">
        <f>Report!X2318</f>
        <v/>
      </c>
    </row>
    <row r="1763" ht="12.75" customHeight="1" s="60">
      <c r="A1763" s="83">
        <f>Report!C2319</f>
        <v/>
      </c>
      <c r="B1763" s="59">
        <f>Report!E2319</f>
        <v/>
      </c>
      <c r="C1763" s="77">
        <f>Report!U2319</f>
        <v/>
      </c>
      <c r="D1763" s="59">
        <f>Report!X2319</f>
        <v/>
      </c>
    </row>
    <row r="1764" ht="12.75" customHeight="1" s="60">
      <c r="A1764" s="83">
        <f>Report!C2320</f>
        <v/>
      </c>
      <c r="B1764" s="59">
        <f>Report!E2320</f>
        <v/>
      </c>
      <c r="C1764" s="77">
        <f>Report!U2320</f>
        <v/>
      </c>
      <c r="D1764" s="59">
        <f>Report!X2320</f>
        <v/>
      </c>
    </row>
    <row r="1765" ht="12.75" customHeight="1" s="60">
      <c r="A1765" s="83">
        <f>Report!C2321</f>
        <v/>
      </c>
      <c r="B1765" s="59">
        <f>Report!E2321</f>
        <v/>
      </c>
      <c r="C1765" s="77">
        <f>Report!U2321</f>
        <v/>
      </c>
      <c r="D1765" s="59">
        <f>Report!X2321</f>
        <v/>
      </c>
    </row>
    <row r="1766" ht="12.75" customHeight="1" s="60">
      <c r="A1766" s="83">
        <f>Report!C2322</f>
        <v/>
      </c>
      <c r="B1766" s="59">
        <f>Report!E2322</f>
        <v/>
      </c>
      <c r="C1766" s="77">
        <f>Report!U2322</f>
        <v/>
      </c>
      <c r="D1766" s="59">
        <f>Report!X2322</f>
        <v/>
      </c>
    </row>
    <row r="1767" ht="12.75" customHeight="1" s="60">
      <c r="A1767" s="83">
        <f>Report!C2323</f>
        <v/>
      </c>
      <c r="B1767" s="59">
        <f>Report!E2323</f>
        <v/>
      </c>
      <c r="C1767" s="77">
        <f>Report!U2323</f>
        <v/>
      </c>
      <c r="D1767" s="59">
        <f>Report!X2323</f>
        <v/>
      </c>
    </row>
    <row r="1768" ht="12.75" customHeight="1" s="60">
      <c r="A1768" s="83">
        <f>Report!C2324</f>
        <v/>
      </c>
      <c r="B1768" s="59">
        <f>Report!E2324</f>
        <v/>
      </c>
      <c r="C1768" s="77">
        <f>Report!U2324</f>
        <v/>
      </c>
      <c r="D1768" s="59">
        <f>Report!X2324</f>
        <v/>
      </c>
    </row>
    <row r="1769" ht="12.75" customHeight="1" s="60">
      <c r="A1769" s="83">
        <f>Report!C2325</f>
        <v/>
      </c>
      <c r="B1769" s="59">
        <f>Report!E2325</f>
        <v/>
      </c>
      <c r="C1769" s="77">
        <f>Report!U2325</f>
        <v/>
      </c>
      <c r="D1769" s="59">
        <f>Report!X2325</f>
        <v/>
      </c>
    </row>
    <row r="1770" ht="12.75" customHeight="1" s="60">
      <c r="A1770" s="83">
        <f>Report!C2326</f>
        <v/>
      </c>
      <c r="B1770" s="59">
        <f>Report!E2326</f>
        <v/>
      </c>
      <c r="C1770" s="77">
        <f>Report!U2326</f>
        <v/>
      </c>
      <c r="D1770" s="59">
        <f>Report!X2326</f>
        <v/>
      </c>
    </row>
    <row r="1771" ht="12.75" customHeight="1" s="60">
      <c r="A1771" s="83">
        <f>Report!C2327</f>
        <v/>
      </c>
      <c r="B1771" s="59">
        <f>Report!E2327</f>
        <v/>
      </c>
      <c r="C1771" s="77">
        <f>Report!U2327</f>
        <v/>
      </c>
      <c r="D1771" s="59">
        <f>Report!X2327</f>
        <v/>
      </c>
    </row>
    <row r="1772" ht="12.75" customHeight="1" s="60">
      <c r="A1772" s="83">
        <f>Report!C2328</f>
        <v/>
      </c>
      <c r="B1772" s="59">
        <f>Report!E2328</f>
        <v/>
      </c>
      <c r="C1772" s="77">
        <f>Report!U2328</f>
        <v/>
      </c>
      <c r="D1772" s="59">
        <f>Report!X2328</f>
        <v/>
      </c>
    </row>
    <row r="1773" ht="12.75" customHeight="1" s="60">
      <c r="A1773" s="83">
        <f>Report!C2329</f>
        <v/>
      </c>
      <c r="B1773" s="59">
        <f>Report!E2329</f>
        <v/>
      </c>
      <c r="C1773" s="77">
        <f>Report!U2329</f>
        <v/>
      </c>
      <c r="D1773" s="59">
        <f>Report!X2329</f>
        <v/>
      </c>
    </row>
    <row r="1774" ht="12.75" customHeight="1" s="60">
      <c r="A1774" s="83">
        <f>Report!C2330</f>
        <v/>
      </c>
      <c r="B1774" s="59">
        <f>Report!E2330</f>
        <v/>
      </c>
      <c r="C1774" s="77">
        <f>Report!U2330</f>
        <v/>
      </c>
      <c r="D1774" s="59">
        <f>Report!X2330</f>
        <v/>
      </c>
    </row>
    <row r="1775" ht="12.75" customHeight="1" s="60">
      <c r="A1775" s="83">
        <f>Report!C2331</f>
        <v/>
      </c>
      <c r="B1775" s="59">
        <f>Report!E2331</f>
        <v/>
      </c>
      <c r="C1775" s="77">
        <f>Report!U2331</f>
        <v/>
      </c>
      <c r="D1775" s="59">
        <f>Report!X2331</f>
        <v/>
      </c>
    </row>
    <row r="1776" ht="12.75" customHeight="1" s="60">
      <c r="A1776" s="83">
        <f>Report!C2332</f>
        <v/>
      </c>
      <c r="B1776" s="59">
        <f>Report!E2332</f>
        <v/>
      </c>
      <c r="C1776" s="77">
        <f>Report!U2332</f>
        <v/>
      </c>
      <c r="D1776" s="59">
        <f>Report!X2332</f>
        <v/>
      </c>
    </row>
    <row r="1777" ht="12.75" customHeight="1" s="60">
      <c r="A1777" s="83">
        <f>Report!C2333</f>
        <v/>
      </c>
      <c r="B1777" s="59">
        <f>Report!E2333</f>
        <v/>
      </c>
      <c r="C1777" s="77">
        <f>Report!U2333</f>
        <v/>
      </c>
      <c r="D1777" s="59">
        <f>Report!X2333</f>
        <v/>
      </c>
    </row>
    <row r="1778" ht="12.75" customHeight="1" s="60">
      <c r="A1778" s="83">
        <f>Report!C2334</f>
        <v/>
      </c>
      <c r="B1778" s="59">
        <f>Report!E2334</f>
        <v/>
      </c>
      <c r="C1778" s="77">
        <f>Report!U2334</f>
        <v/>
      </c>
      <c r="D1778" s="59">
        <f>Report!X2334</f>
        <v/>
      </c>
    </row>
    <row r="1779" ht="12.75" customHeight="1" s="60">
      <c r="A1779" s="83">
        <f>Report!C2335</f>
        <v/>
      </c>
      <c r="B1779" s="59">
        <f>Report!E2335</f>
        <v/>
      </c>
      <c r="C1779" s="77">
        <f>Report!U2335</f>
        <v/>
      </c>
      <c r="D1779" s="59">
        <f>Report!X2335</f>
        <v/>
      </c>
    </row>
    <row r="1780" ht="12.75" customHeight="1" s="60">
      <c r="A1780" s="83">
        <f>Report!C2337</f>
        <v/>
      </c>
      <c r="B1780" s="59">
        <f>Report!E2337</f>
        <v/>
      </c>
      <c r="C1780" s="77">
        <f>Report!U2337</f>
        <v/>
      </c>
      <c r="D1780" s="59">
        <f>Report!X2337</f>
        <v/>
      </c>
    </row>
    <row r="1781" ht="12.75" customHeight="1" s="60">
      <c r="A1781" s="83">
        <f>Report!C2338</f>
        <v/>
      </c>
      <c r="B1781" s="59">
        <f>Report!E2338</f>
        <v/>
      </c>
      <c r="C1781" s="77">
        <f>Report!U2338</f>
        <v/>
      </c>
      <c r="D1781" s="59">
        <f>Report!X2338</f>
        <v/>
      </c>
    </row>
    <row r="1782" ht="12.75" customHeight="1" s="60">
      <c r="A1782" s="83">
        <f>Report!C2339</f>
        <v/>
      </c>
      <c r="B1782" s="59">
        <f>Report!E2339</f>
        <v/>
      </c>
      <c r="C1782" s="77">
        <f>Report!U2339</f>
        <v/>
      </c>
      <c r="D1782" s="59">
        <f>Report!X2339</f>
        <v/>
      </c>
    </row>
    <row r="1783" ht="12.75" customHeight="1" s="60">
      <c r="A1783" s="83">
        <f>Report!C2340</f>
        <v/>
      </c>
      <c r="B1783" s="59">
        <f>Report!E2340</f>
        <v/>
      </c>
      <c r="C1783" s="77">
        <f>Report!U2340</f>
        <v/>
      </c>
      <c r="D1783" s="59">
        <f>Report!X2340</f>
        <v/>
      </c>
    </row>
    <row r="1784" ht="12.75" customHeight="1" s="60">
      <c r="A1784" s="83">
        <f>Report!C2341</f>
        <v/>
      </c>
      <c r="B1784" s="59">
        <f>Report!E2341</f>
        <v/>
      </c>
      <c r="C1784" s="77">
        <f>Report!U2341</f>
        <v/>
      </c>
      <c r="D1784" s="59">
        <f>Report!X2341</f>
        <v/>
      </c>
    </row>
    <row r="1785" ht="12.75" customHeight="1" s="60">
      <c r="A1785" s="83">
        <f>Report!C2342</f>
        <v/>
      </c>
      <c r="B1785" s="59">
        <f>Report!E2342</f>
        <v/>
      </c>
      <c r="C1785" s="77">
        <f>Report!U2342</f>
        <v/>
      </c>
      <c r="D1785" s="59">
        <f>Report!X2342</f>
        <v/>
      </c>
    </row>
    <row r="1786" ht="12.75" customHeight="1" s="60">
      <c r="A1786" s="83">
        <f>Report!C2343</f>
        <v/>
      </c>
      <c r="B1786" s="59">
        <f>Report!E2343</f>
        <v/>
      </c>
      <c r="C1786" s="77">
        <f>Report!U2343</f>
        <v/>
      </c>
      <c r="D1786" s="59">
        <f>Report!X2343</f>
        <v/>
      </c>
    </row>
    <row r="1787" ht="12.75" customHeight="1" s="60">
      <c r="A1787" s="83">
        <f>Report!C2344</f>
        <v/>
      </c>
      <c r="B1787" s="59">
        <f>Report!E2344</f>
        <v/>
      </c>
      <c r="C1787" s="77">
        <f>Report!U2344</f>
        <v/>
      </c>
      <c r="D1787" s="59">
        <f>Report!X2344</f>
        <v/>
      </c>
    </row>
    <row r="1788" ht="12.75" customHeight="1" s="60">
      <c r="A1788" s="83">
        <f>Report!C2345</f>
        <v/>
      </c>
      <c r="B1788" s="59">
        <f>Report!E2345</f>
        <v/>
      </c>
      <c r="C1788" s="77">
        <f>Report!U2345</f>
        <v/>
      </c>
      <c r="D1788" s="59">
        <f>Report!X2345</f>
        <v/>
      </c>
    </row>
    <row r="1789" ht="12.75" customHeight="1" s="60">
      <c r="A1789" s="83">
        <f>Report!C2346</f>
        <v/>
      </c>
      <c r="B1789" s="59">
        <f>Report!E2346</f>
        <v/>
      </c>
      <c r="C1789" s="77">
        <f>Report!U2346</f>
        <v/>
      </c>
      <c r="D1789" s="59">
        <f>Report!X2346</f>
        <v/>
      </c>
    </row>
    <row r="1790" ht="12.75" customHeight="1" s="60">
      <c r="A1790" s="83">
        <f>Report!C2347</f>
        <v/>
      </c>
      <c r="B1790" s="59">
        <f>Report!E2347</f>
        <v/>
      </c>
      <c r="C1790" s="77">
        <f>Report!U2347</f>
        <v/>
      </c>
      <c r="D1790" s="59">
        <f>Report!X2347</f>
        <v/>
      </c>
    </row>
    <row r="1791" ht="12.75" customHeight="1" s="60">
      <c r="A1791" s="83">
        <f>Report!C2348</f>
        <v/>
      </c>
      <c r="B1791" s="59">
        <f>Report!E2348</f>
        <v/>
      </c>
      <c r="C1791" s="77">
        <f>Report!U2348</f>
        <v/>
      </c>
      <c r="D1791" s="59">
        <f>Report!X2348</f>
        <v/>
      </c>
    </row>
    <row r="1792" ht="12.75" customHeight="1" s="60">
      <c r="A1792" s="83">
        <f>Report!C2349</f>
        <v/>
      </c>
      <c r="B1792" s="59">
        <f>Report!E2349</f>
        <v/>
      </c>
      <c r="C1792" s="77">
        <f>Report!U2349</f>
        <v/>
      </c>
      <c r="D1792" s="59">
        <f>Report!X2349</f>
        <v/>
      </c>
    </row>
    <row r="1793" ht="12.75" customHeight="1" s="60">
      <c r="A1793" s="83">
        <f>Report!C2352</f>
        <v/>
      </c>
      <c r="B1793" s="59">
        <f>Report!E2352</f>
        <v/>
      </c>
      <c r="C1793" s="77">
        <f>Report!U2352</f>
        <v/>
      </c>
      <c r="D1793" s="59">
        <f>Report!X2352</f>
        <v/>
      </c>
    </row>
    <row r="1794" ht="12.75" customHeight="1" s="60">
      <c r="A1794" s="83">
        <f>Report!C2353</f>
        <v/>
      </c>
      <c r="B1794" s="59">
        <f>Report!E2353</f>
        <v/>
      </c>
      <c r="C1794" s="77">
        <f>Report!U2353</f>
        <v/>
      </c>
      <c r="D1794" s="59">
        <f>Report!X2353</f>
        <v/>
      </c>
    </row>
    <row r="1795" ht="12.75" customHeight="1" s="60">
      <c r="A1795" s="83">
        <f>Report!C2354</f>
        <v/>
      </c>
      <c r="B1795" s="59">
        <f>Report!E2354</f>
        <v/>
      </c>
      <c r="C1795" s="77">
        <f>Report!U2354</f>
        <v/>
      </c>
      <c r="D1795" s="59">
        <f>Report!X2354</f>
        <v/>
      </c>
    </row>
    <row r="1796" ht="12.75" customHeight="1" s="60">
      <c r="A1796" s="83">
        <f>Report!C2355</f>
        <v/>
      </c>
      <c r="B1796" s="59">
        <f>Report!E2355</f>
        <v/>
      </c>
      <c r="C1796" s="77">
        <f>Report!U2355</f>
        <v/>
      </c>
      <c r="D1796" s="59">
        <f>Report!X2355</f>
        <v/>
      </c>
    </row>
    <row r="1797" ht="12.75" customHeight="1" s="60">
      <c r="A1797" s="83">
        <f>Report!C2356</f>
        <v/>
      </c>
      <c r="B1797" s="59">
        <f>Report!E2356</f>
        <v/>
      </c>
      <c r="C1797" s="77">
        <f>Report!U2356</f>
        <v/>
      </c>
      <c r="D1797" s="59">
        <f>Report!X2356</f>
        <v/>
      </c>
    </row>
    <row r="1798" ht="12.75" customHeight="1" s="60">
      <c r="A1798" s="83">
        <f>Report!C2357</f>
        <v/>
      </c>
      <c r="B1798" s="59">
        <f>Report!E2357</f>
        <v/>
      </c>
      <c r="C1798" s="77">
        <f>Report!U2357</f>
        <v/>
      </c>
      <c r="D1798" s="59">
        <f>Report!X2357</f>
        <v/>
      </c>
    </row>
    <row r="1799" ht="12.75" customHeight="1" s="60">
      <c r="A1799" s="83">
        <f>Report!C2358</f>
        <v/>
      </c>
      <c r="B1799" s="59">
        <f>Report!E2358</f>
        <v/>
      </c>
      <c r="C1799" s="77">
        <f>Report!U2358</f>
        <v/>
      </c>
      <c r="D1799" s="59">
        <f>Report!X2358</f>
        <v/>
      </c>
    </row>
    <row r="1800" ht="12.75" customHeight="1" s="60">
      <c r="A1800" s="83">
        <f>Report!C2359</f>
        <v/>
      </c>
      <c r="B1800" s="59">
        <f>Report!E2359</f>
        <v/>
      </c>
      <c r="C1800" s="77">
        <f>Report!U2359</f>
        <v/>
      </c>
      <c r="D1800" s="59">
        <f>Report!X2359</f>
        <v/>
      </c>
    </row>
    <row r="1801" ht="12.75" customHeight="1" s="60">
      <c r="A1801" s="83">
        <f>Report!C2360</f>
        <v/>
      </c>
      <c r="B1801" s="59">
        <f>Report!E2360</f>
        <v/>
      </c>
      <c r="C1801" s="77">
        <f>Report!U2360</f>
        <v/>
      </c>
      <c r="D1801" s="59">
        <f>Report!X2360</f>
        <v/>
      </c>
    </row>
    <row r="1802" ht="12.75" customHeight="1" s="60">
      <c r="A1802" s="83">
        <f>Report!C2361</f>
        <v/>
      </c>
      <c r="B1802" s="59">
        <f>Report!E2361</f>
        <v/>
      </c>
      <c r="C1802" s="77">
        <f>Report!U2361</f>
        <v/>
      </c>
      <c r="D1802" s="59">
        <f>Report!X2361</f>
        <v/>
      </c>
    </row>
    <row r="1803" ht="12.75" customHeight="1" s="60">
      <c r="A1803" s="83">
        <f>Report!C2362</f>
        <v/>
      </c>
      <c r="B1803" s="59">
        <f>Report!E2362</f>
        <v/>
      </c>
      <c r="C1803" s="77">
        <f>Report!U2362</f>
        <v/>
      </c>
      <c r="D1803" s="59">
        <f>Report!X2362</f>
        <v/>
      </c>
    </row>
    <row r="1804" ht="12.75" customHeight="1" s="60">
      <c r="A1804" s="83">
        <f>Report!C2363</f>
        <v/>
      </c>
      <c r="B1804" s="59">
        <f>Report!E2363</f>
        <v/>
      </c>
      <c r="C1804" s="77">
        <f>Report!U2363</f>
        <v/>
      </c>
      <c r="D1804" s="59">
        <f>Report!X2363</f>
        <v/>
      </c>
    </row>
    <row r="1805" ht="12.75" customHeight="1" s="60">
      <c r="A1805" s="83">
        <f>Report!C2364</f>
        <v/>
      </c>
      <c r="B1805" s="59">
        <f>Report!E2364</f>
        <v/>
      </c>
      <c r="C1805" s="77">
        <f>Report!U2364</f>
        <v/>
      </c>
      <c r="D1805" s="59">
        <f>Report!X2364</f>
        <v/>
      </c>
    </row>
    <row r="1806" ht="12.75" customHeight="1" s="60">
      <c r="A1806" s="83">
        <f>Report!C2365</f>
        <v/>
      </c>
      <c r="B1806" s="59">
        <f>Report!E2365</f>
        <v/>
      </c>
      <c r="C1806" s="77">
        <f>Report!U2365</f>
        <v/>
      </c>
      <c r="D1806" s="59">
        <f>Report!X2365</f>
        <v/>
      </c>
    </row>
    <row r="1807" ht="12.75" customHeight="1" s="60">
      <c r="A1807" s="83">
        <f>Report!C2366</f>
        <v/>
      </c>
      <c r="B1807" s="59">
        <f>Report!E2366</f>
        <v/>
      </c>
      <c r="C1807" s="77">
        <f>Report!U2366</f>
        <v/>
      </c>
      <c r="D1807" s="59">
        <f>Report!X2366</f>
        <v/>
      </c>
    </row>
    <row r="1808" ht="12.75" customHeight="1" s="60">
      <c r="A1808" s="83">
        <f>Report!C2370</f>
        <v/>
      </c>
      <c r="B1808" s="59">
        <f>Report!E2370</f>
        <v/>
      </c>
      <c r="C1808" s="77">
        <f>Report!U2370</f>
        <v/>
      </c>
      <c r="D1808" s="59">
        <f>Report!X2370</f>
        <v/>
      </c>
    </row>
    <row r="1809" ht="12.75" customHeight="1" s="60">
      <c r="A1809" s="83">
        <f>Report!C2371</f>
        <v/>
      </c>
      <c r="B1809" s="59">
        <f>Report!E2371</f>
        <v/>
      </c>
      <c r="C1809" s="77">
        <f>Report!U2371</f>
        <v/>
      </c>
      <c r="D1809" s="59">
        <f>Report!X2371</f>
        <v/>
      </c>
    </row>
    <row r="1810" ht="12.75" customHeight="1" s="60">
      <c r="A1810" s="83">
        <f>Report!C2372</f>
        <v/>
      </c>
      <c r="B1810" s="59">
        <f>Report!E2372</f>
        <v/>
      </c>
      <c r="C1810" s="77">
        <f>Report!U2372</f>
        <v/>
      </c>
      <c r="D1810" s="59">
        <f>Report!X2372</f>
        <v/>
      </c>
    </row>
    <row r="1811" ht="12.75" customHeight="1" s="60">
      <c r="A1811" s="83">
        <f>Report!C2373</f>
        <v/>
      </c>
      <c r="B1811" s="59">
        <f>Report!E2373</f>
        <v/>
      </c>
      <c r="C1811" s="77">
        <f>Report!U2373</f>
        <v/>
      </c>
      <c r="D1811" s="59">
        <f>Report!X2373</f>
        <v/>
      </c>
    </row>
    <row r="1812" ht="12.75" customHeight="1" s="60">
      <c r="A1812" s="83">
        <f>Report!C2374</f>
        <v/>
      </c>
      <c r="B1812" s="59">
        <f>Report!E2374</f>
        <v/>
      </c>
      <c r="C1812" s="77">
        <f>Report!U2374</f>
        <v/>
      </c>
      <c r="D1812" s="59">
        <f>Report!X2374</f>
        <v/>
      </c>
    </row>
    <row r="1813" ht="12.75" customHeight="1" s="60">
      <c r="A1813" s="83">
        <f>Report!C2375</f>
        <v/>
      </c>
      <c r="B1813" s="59">
        <f>Report!E2375</f>
        <v/>
      </c>
      <c r="C1813" s="77">
        <f>Report!U2375</f>
        <v/>
      </c>
      <c r="D1813" s="59">
        <f>Report!X2375</f>
        <v/>
      </c>
    </row>
    <row r="1814" ht="12.75" customHeight="1" s="60">
      <c r="A1814" s="83">
        <f>Report!C2376</f>
        <v/>
      </c>
      <c r="B1814" s="59">
        <f>Report!E2376</f>
        <v/>
      </c>
      <c r="C1814" s="77">
        <f>Report!U2376</f>
        <v/>
      </c>
      <c r="D1814" s="59">
        <f>Report!X2376</f>
        <v/>
      </c>
    </row>
    <row r="1815" ht="12.75" customHeight="1" s="60">
      <c r="A1815" s="83">
        <f>Report!C2377</f>
        <v/>
      </c>
      <c r="B1815" s="59">
        <f>Report!E2377</f>
        <v/>
      </c>
      <c r="C1815" s="77">
        <f>Report!U2377</f>
        <v/>
      </c>
      <c r="D1815" s="59">
        <f>Report!X2377</f>
        <v/>
      </c>
    </row>
    <row r="1816" ht="12.75" customHeight="1" s="60">
      <c r="A1816" s="83">
        <f>Report!C2378</f>
        <v/>
      </c>
      <c r="B1816" s="59">
        <f>Report!E2378</f>
        <v/>
      </c>
      <c r="C1816" s="77">
        <f>Report!U2378</f>
        <v/>
      </c>
      <c r="D1816" s="59">
        <f>Report!X2378</f>
        <v/>
      </c>
    </row>
    <row r="1817" ht="12.75" customHeight="1" s="60">
      <c r="A1817" s="83">
        <f>Report!C2379</f>
        <v/>
      </c>
      <c r="B1817" s="59">
        <f>Report!E2379</f>
        <v/>
      </c>
      <c r="C1817" s="77">
        <f>Report!U2379</f>
        <v/>
      </c>
      <c r="D1817" s="59">
        <f>Report!X2379</f>
        <v/>
      </c>
    </row>
    <row r="1818" ht="12.75" customHeight="1" s="60">
      <c r="A1818" s="83">
        <f>Report!C2380</f>
        <v/>
      </c>
      <c r="B1818" s="59">
        <f>Report!E2380</f>
        <v/>
      </c>
      <c r="C1818" s="77">
        <f>Report!U2380</f>
        <v/>
      </c>
      <c r="D1818" s="59">
        <f>Report!X2380</f>
        <v/>
      </c>
    </row>
    <row r="1819" ht="12.75" customHeight="1" s="60">
      <c r="A1819" s="83">
        <f>Report!C2381</f>
        <v/>
      </c>
      <c r="B1819" s="59">
        <f>Report!E2381</f>
        <v/>
      </c>
      <c r="C1819" s="77">
        <f>Report!U2381</f>
        <v/>
      </c>
      <c r="D1819" s="59">
        <f>Report!X2381</f>
        <v/>
      </c>
    </row>
    <row r="1820" ht="12.75" customHeight="1" s="60">
      <c r="A1820" s="83">
        <f>Report!C2382</f>
        <v/>
      </c>
      <c r="B1820" s="59">
        <f>Report!E2382</f>
        <v/>
      </c>
      <c r="C1820" s="77">
        <f>Report!U2382</f>
        <v/>
      </c>
      <c r="D1820" s="59">
        <f>Report!X2382</f>
        <v/>
      </c>
    </row>
    <row r="1821" ht="12.75" customHeight="1" s="60">
      <c r="A1821" s="83">
        <f>Report!C2383</f>
        <v/>
      </c>
      <c r="B1821" s="59">
        <f>Report!E2383</f>
        <v/>
      </c>
      <c r="C1821" s="77">
        <f>Report!U2383</f>
        <v/>
      </c>
      <c r="D1821" s="59">
        <f>Report!X2383</f>
        <v/>
      </c>
    </row>
    <row r="1822" ht="12.75" customHeight="1" s="60">
      <c r="A1822" s="83">
        <f>Report!C2384</f>
        <v/>
      </c>
      <c r="B1822" s="59">
        <f>Report!E2384</f>
        <v/>
      </c>
      <c r="C1822" s="77">
        <f>Report!U2384</f>
        <v/>
      </c>
      <c r="D1822" s="59">
        <f>Report!X2384</f>
        <v/>
      </c>
    </row>
    <row r="1823" ht="12.75" customHeight="1" s="60">
      <c r="A1823" s="83">
        <f>Report!C2385</f>
        <v/>
      </c>
      <c r="B1823" s="59">
        <f>Report!E2385</f>
        <v/>
      </c>
      <c r="C1823" s="77">
        <f>Report!U2385</f>
        <v/>
      </c>
      <c r="D1823" s="59">
        <f>Report!X2385</f>
        <v/>
      </c>
    </row>
    <row r="1824" ht="12.75" customHeight="1" s="60">
      <c r="A1824" s="83">
        <f>Report!C2386</f>
        <v/>
      </c>
      <c r="B1824" s="59">
        <f>Report!E2386</f>
        <v/>
      </c>
      <c r="C1824" s="77">
        <f>Report!U2386</f>
        <v/>
      </c>
      <c r="D1824" s="59">
        <f>Report!X2386</f>
        <v/>
      </c>
    </row>
    <row r="1825" ht="12.75" customHeight="1" s="60">
      <c r="A1825" s="83">
        <f>Report!C2387</f>
        <v/>
      </c>
      <c r="B1825" s="59">
        <f>Report!E2387</f>
        <v/>
      </c>
      <c r="C1825" s="77">
        <f>Report!U2387</f>
        <v/>
      </c>
      <c r="D1825" s="59">
        <f>Report!X2387</f>
        <v/>
      </c>
    </row>
    <row r="1826" ht="12.75" customHeight="1" s="60">
      <c r="A1826" s="83">
        <f>Report!C2388</f>
        <v/>
      </c>
      <c r="B1826" s="59">
        <f>Report!E2388</f>
        <v/>
      </c>
      <c r="C1826" s="77">
        <f>Report!U2388</f>
        <v/>
      </c>
      <c r="D1826" s="59">
        <f>Report!X2388</f>
        <v/>
      </c>
    </row>
    <row r="1827" ht="12.75" customHeight="1" s="60">
      <c r="A1827" s="83">
        <f>Report!C2389</f>
        <v/>
      </c>
      <c r="B1827" s="59">
        <f>Report!E2389</f>
        <v/>
      </c>
      <c r="C1827" s="77">
        <f>Report!U2389</f>
        <v/>
      </c>
      <c r="D1827" s="59">
        <f>Report!X2389</f>
        <v/>
      </c>
    </row>
    <row r="1828" ht="12.75" customHeight="1" s="60">
      <c r="A1828" s="83">
        <f>Report!C2390</f>
        <v/>
      </c>
      <c r="B1828" s="59">
        <f>Report!E2390</f>
        <v/>
      </c>
      <c r="C1828" s="77">
        <f>Report!U2390</f>
        <v/>
      </c>
      <c r="D1828" s="59">
        <f>Report!X2390</f>
        <v/>
      </c>
    </row>
    <row r="1829" ht="12.75" customHeight="1" s="60">
      <c r="A1829" s="83">
        <f>Report!C2391</f>
        <v/>
      </c>
      <c r="B1829" s="59">
        <f>Report!E2391</f>
        <v/>
      </c>
      <c r="C1829" s="77">
        <f>Report!U2391</f>
        <v/>
      </c>
      <c r="D1829" s="59">
        <f>Report!X2391</f>
        <v/>
      </c>
    </row>
    <row r="1830" ht="12.75" customHeight="1" s="60">
      <c r="A1830" s="83">
        <f>Report!C2392</f>
        <v/>
      </c>
      <c r="B1830" s="59">
        <f>Report!E2392</f>
        <v/>
      </c>
      <c r="C1830" s="77">
        <f>Report!U2392</f>
        <v/>
      </c>
      <c r="D1830" s="59">
        <f>Report!X2392</f>
        <v/>
      </c>
    </row>
    <row r="1831" ht="12.75" customHeight="1" s="60">
      <c r="A1831" s="83">
        <f>Report!C2393</f>
        <v/>
      </c>
      <c r="B1831" s="59">
        <f>Report!E2393</f>
        <v/>
      </c>
      <c r="C1831" s="77">
        <f>Report!U2393</f>
        <v/>
      </c>
      <c r="D1831" s="59">
        <f>Report!X2393</f>
        <v/>
      </c>
    </row>
    <row r="1832" ht="12.75" customHeight="1" s="60">
      <c r="A1832" s="83">
        <f>Report!C2394</f>
        <v/>
      </c>
      <c r="B1832" s="59">
        <f>Report!E2394</f>
        <v/>
      </c>
      <c r="C1832" s="77">
        <f>Report!U2394</f>
        <v/>
      </c>
      <c r="D1832" s="59">
        <f>Report!X2394</f>
        <v/>
      </c>
    </row>
    <row r="1833" ht="12.75" customHeight="1" s="60">
      <c r="A1833" s="83">
        <f>Report!C2395</f>
        <v/>
      </c>
      <c r="B1833" s="59">
        <f>Report!E2395</f>
        <v/>
      </c>
      <c r="C1833" s="77">
        <f>Report!U2395</f>
        <v/>
      </c>
      <c r="D1833" s="59">
        <f>Report!X2395</f>
        <v/>
      </c>
    </row>
    <row r="1834" ht="12.75" customHeight="1" s="60">
      <c r="A1834" s="83">
        <f>Report!C2396</f>
        <v/>
      </c>
      <c r="B1834" s="59">
        <f>Report!E2396</f>
        <v/>
      </c>
      <c r="C1834" s="77">
        <f>Report!U2396</f>
        <v/>
      </c>
      <c r="D1834" s="59">
        <f>Report!X2396</f>
        <v/>
      </c>
    </row>
    <row r="1835" ht="12.75" customHeight="1" s="60">
      <c r="A1835" s="83">
        <f>Report!C2397</f>
        <v/>
      </c>
      <c r="B1835" s="59">
        <f>Report!E2397</f>
        <v/>
      </c>
      <c r="C1835" s="77">
        <f>Report!U2397</f>
        <v/>
      </c>
      <c r="D1835" s="59">
        <f>Report!X2397</f>
        <v/>
      </c>
    </row>
    <row r="1836" ht="12.75" customHeight="1" s="60">
      <c r="A1836" s="83">
        <f>Report!C2398</f>
        <v/>
      </c>
      <c r="B1836" s="59">
        <f>Report!E2398</f>
        <v/>
      </c>
      <c r="C1836" s="77">
        <f>Report!U2398</f>
        <v/>
      </c>
      <c r="D1836" s="59">
        <f>Report!X2398</f>
        <v/>
      </c>
    </row>
    <row r="1837" ht="12.75" customHeight="1" s="60">
      <c r="A1837" s="83">
        <f>Report!C2399</f>
        <v/>
      </c>
      <c r="B1837" s="59">
        <f>Report!E2399</f>
        <v/>
      </c>
      <c r="C1837" s="77">
        <f>Report!U2399</f>
        <v/>
      </c>
      <c r="D1837" s="59">
        <f>Report!X2399</f>
        <v/>
      </c>
    </row>
    <row r="1838" ht="12.75" customHeight="1" s="60">
      <c r="A1838" s="83">
        <f>Report!C2400</f>
        <v/>
      </c>
      <c r="B1838" s="59">
        <f>Report!E2400</f>
        <v/>
      </c>
      <c r="C1838" s="77">
        <f>Report!U2400</f>
        <v/>
      </c>
      <c r="D1838" s="59">
        <f>Report!X2400</f>
        <v/>
      </c>
    </row>
    <row r="1839" ht="12.75" customHeight="1" s="60">
      <c r="A1839" s="83">
        <f>Report!C2401</f>
        <v/>
      </c>
      <c r="B1839" s="59">
        <f>Report!E2401</f>
        <v/>
      </c>
      <c r="C1839" s="77">
        <f>Report!U2401</f>
        <v/>
      </c>
      <c r="D1839" s="59">
        <f>Report!X2401</f>
        <v/>
      </c>
    </row>
    <row r="1840" ht="12.75" customHeight="1" s="60">
      <c r="A1840" s="83">
        <f>Report!C2402</f>
        <v/>
      </c>
      <c r="B1840" s="59">
        <f>Report!E2402</f>
        <v/>
      </c>
      <c r="C1840" s="77">
        <f>Report!U2402</f>
        <v/>
      </c>
      <c r="D1840" s="59">
        <f>Report!X2402</f>
        <v/>
      </c>
    </row>
    <row r="1841" ht="12.75" customHeight="1" s="60">
      <c r="A1841" s="83">
        <f>Report!C2403</f>
        <v/>
      </c>
      <c r="B1841" s="59">
        <f>Report!E2403</f>
        <v/>
      </c>
      <c r="C1841" s="77">
        <f>Report!U2403</f>
        <v/>
      </c>
      <c r="D1841" s="59">
        <f>Report!X2403</f>
        <v/>
      </c>
    </row>
    <row r="1842" ht="12.75" customHeight="1" s="60">
      <c r="A1842" s="83">
        <f>Report!C2404</f>
        <v/>
      </c>
      <c r="B1842" s="59">
        <f>Report!E2404</f>
        <v/>
      </c>
      <c r="C1842" s="77">
        <f>Report!U2404</f>
        <v/>
      </c>
      <c r="D1842" s="59">
        <f>Report!X2404</f>
        <v/>
      </c>
    </row>
    <row r="1843" ht="12.75" customHeight="1" s="60">
      <c r="A1843" s="83">
        <f>Report!C2405</f>
        <v/>
      </c>
      <c r="B1843" s="59">
        <f>Report!E2405</f>
        <v/>
      </c>
      <c r="C1843" s="77">
        <f>Report!U2405</f>
        <v/>
      </c>
      <c r="D1843" s="59">
        <f>Report!X2405</f>
        <v/>
      </c>
    </row>
    <row r="1844" ht="12.75" customHeight="1" s="60">
      <c r="A1844" s="83">
        <f>Report!C2406</f>
        <v/>
      </c>
      <c r="B1844" s="59">
        <f>Report!E2406</f>
        <v/>
      </c>
      <c r="C1844" s="77">
        <f>Report!U2406</f>
        <v/>
      </c>
      <c r="D1844" s="59">
        <f>Report!X2406</f>
        <v/>
      </c>
    </row>
    <row r="1845" ht="12.75" customHeight="1" s="60">
      <c r="A1845" s="83">
        <f>Report!C2408</f>
        <v/>
      </c>
      <c r="B1845" s="59">
        <f>Report!E2408</f>
        <v/>
      </c>
      <c r="C1845" s="77">
        <f>Report!U2408</f>
        <v/>
      </c>
      <c r="D1845" s="59">
        <f>Report!X2408</f>
        <v/>
      </c>
    </row>
    <row r="1846" ht="12.75" customHeight="1" s="60">
      <c r="A1846" s="83">
        <f>Report!C2410</f>
        <v/>
      </c>
      <c r="B1846" s="59">
        <f>Report!E2410</f>
        <v/>
      </c>
      <c r="C1846" s="77">
        <f>Report!U2410</f>
        <v/>
      </c>
      <c r="D1846" s="59">
        <f>Report!X2410</f>
        <v/>
      </c>
    </row>
    <row r="1847" ht="12.75" customHeight="1" s="60">
      <c r="A1847" s="83">
        <f>Report!C2412</f>
        <v/>
      </c>
      <c r="B1847" s="59">
        <f>Report!E2412</f>
        <v/>
      </c>
      <c r="C1847" s="77">
        <f>Report!U2412</f>
        <v/>
      </c>
      <c r="D1847" s="59">
        <f>Report!X2412</f>
        <v/>
      </c>
    </row>
    <row r="1848" ht="12.75" customHeight="1" s="60">
      <c r="A1848" s="83">
        <f>Report!C2413</f>
        <v/>
      </c>
      <c r="B1848" s="59">
        <f>Report!E2413</f>
        <v/>
      </c>
      <c r="C1848" s="77">
        <f>Report!U2413</f>
        <v/>
      </c>
      <c r="D1848" s="59">
        <f>Report!X2413</f>
        <v/>
      </c>
    </row>
    <row r="1849" ht="12.75" customHeight="1" s="60">
      <c r="A1849" s="83">
        <f>Report!C2414</f>
        <v/>
      </c>
      <c r="B1849" s="59">
        <f>Report!E2414</f>
        <v/>
      </c>
      <c r="C1849" s="77">
        <f>Report!U2414</f>
        <v/>
      </c>
      <c r="D1849" s="59">
        <f>Report!X2414</f>
        <v/>
      </c>
    </row>
    <row r="1850" ht="12.75" customHeight="1" s="60">
      <c r="A1850" s="83">
        <f>Report!C2415</f>
        <v/>
      </c>
      <c r="B1850" s="59">
        <f>Report!E2415</f>
        <v/>
      </c>
      <c r="C1850" s="77">
        <f>Report!U2415</f>
        <v/>
      </c>
      <c r="D1850" s="59">
        <f>Report!X2415</f>
        <v/>
      </c>
    </row>
    <row r="1851" ht="12.75" customHeight="1" s="60">
      <c r="A1851" s="83">
        <f>Report!C2416</f>
        <v/>
      </c>
      <c r="B1851" s="59">
        <f>Report!E2416</f>
        <v/>
      </c>
      <c r="C1851" s="77">
        <f>Report!U2416</f>
        <v/>
      </c>
      <c r="D1851" s="59">
        <f>Report!X2416</f>
        <v/>
      </c>
    </row>
    <row r="1852" ht="12.75" customHeight="1" s="60">
      <c r="A1852" s="83">
        <f>Report!C2417</f>
        <v/>
      </c>
      <c r="B1852" s="59">
        <f>Report!E2417</f>
        <v/>
      </c>
      <c r="C1852" s="77">
        <f>Report!U2417</f>
        <v/>
      </c>
      <c r="D1852" s="59">
        <f>Report!X2417</f>
        <v/>
      </c>
    </row>
    <row r="1853" ht="12.75" customHeight="1" s="60">
      <c r="A1853" s="83">
        <f>Report!C2419</f>
        <v/>
      </c>
      <c r="B1853" s="59">
        <f>Report!E2419</f>
        <v/>
      </c>
      <c r="C1853" s="77">
        <f>Report!U2419</f>
        <v/>
      </c>
      <c r="D1853" s="59">
        <f>Report!X2419</f>
        <v/>
      </c>
    </row>
    <row r="1854" ht="12.75" customHeight="1" s="60">
      <c r="A1854" s="83">
        <f>Report!C2420</f>
        <v/>
      </c>
      <c r="B1854" s="59">
        <f>Report!E2420</f>
        <v/>
      </c>
      <c r="C1854" s="77">
        <f>Report!U2420</f>
        <v/>
      </c>
      <c r="D1854" s="59">
        <f>Report!X2420</f>
        <v/>
      </c>
    </row>
    <row r="1855" ht="12.75" customHeight="1" s="60">
      <c r="A1855" s="83">
        <f>Report!C2421</f>
        <v/>
      </c>
      <c r="B1855" s="59">
        <f>Report!E2421</f>
        <v/>
      </c>
      <c r="C1855" s="77">
        <f>Report!U2421</f>
        <v/>
      </c>
      <c r="D1855" s="59">
        <f>Report!X2421</f>
        <v/>
      </c>
    </row>
    <row r="1856" ht="12.75" customHeight="1" s="60">
      <c r="A1856" s="83">
        <f>Report!C2422</f>
        <v/>
      </c>
      <c r="B1856" s="59">
        <f>Report!E2422</f>
        <v/>
      </c>
      <c r="C1856" s="77">
        <f>Report!U2422</f>
        <v/>
      </c>
      <c r="D1856" s="59">
        <f>Report!X2422</f>
        <v/>
      </c>
    </row>
    <row r="1857" ht="12.75" customHeight="1" s="60">
      <c r="A1857" s="83">
        <f>Report!C2423</f>
        <v/>
      </c>
      <c r="B1857" s="59">
        <f>Report!E2423</f>
        <v/>
      </c>
      <c r="C1857" s="77">
        <f>Report!U2423</f>
        <v/>
      </c>
      <c r="D1857" s="59">
        <f>Report!X2423</f>
        <v/>
      </c>
    </row>
    <row r="1858" ht="12.75" customHeight="1" s="60">
      <c r="A1858" s="83">
        <f>Report!C2424</f>
        <v/>
      </c>
      <c r="B1858" s="59">
        <f>Report!E2424</f>
        <v/>
      </c>
      <c r="C1858" s="77">
        <f>Report!U2424</f>
        <v/>
      </c>
      <c r="D1858" s="59">
        <f>Report!X2424</f>
        <v/>
      </c>
    </row>
    <row r="1859" ht="12.75" customHeight="1" s="60">
      <c r="A1859" s="83">
        <f>Report!C2425</f>
        <v/>
      </c>
      <c r="B1859" s="59">
        <f>Report!E2425</f>
        <v/>
      </c>
      <c r="C1859" s="77">
        <f>Report!U2425</f>
        <v/>
      </c>
      <c r="D1859" s="59">
        <f>Report!X2425</f>
        <v/>
      </c>
    </row>
    <row r="1860" ht="12.75" customHeight="1" s="60">
      <c r="A1860" s="83">
        <f>Report!C2426</f>
        <v/>
      </c>
      <c r="B1860" s="59">
        <f>Report!E2426</f>
        <v/>
      </c>
      <c r="C1860" s="77">
        <f>Report!U2426</f>
        <v/>
      </c>
      <c r="D1860" s="59">
        <f>Report!X2426</f>
        <v/>
      </c>
    </row>
    <row r="1861" ht="12.75" customHeight="1" s="60">
      <c r="A1861" s="83">
        <f>Report!C2427</f>
        <v/>
      </c>
      <c r="B1861" s="59">
        <f>Report!E2427</f>
        <v/>
      </c>
      <c r="C1861" s="77">
        <f>Report!U2427</f>
        <v/>
      </c>
      <c r="D1861" s="59">
        <f>Report!X2427</f>
        <v/>
      </c>
    </row>
    <row r="1862" ht="12.75" customHeight="1" s="60">
      <c r="A1862" s="83">
        <f>Report!C2428</f>
        <v/>
      </c>
      <c r="B1862" s="59">
        <f>Report!E2428</f>
        <v/>
      </c>
      <c r="C1862" s="77">
        <f>Report!U2428</f>
        <v/>
      </c>
      <c r="D1862" s="59">
        <f>Report!X2428</f>
        <v/>
      </c>
    </row>
    <row r="1863" ht="12.75" customHeight="1" s="60">
      <c r="A1863" s="83">
        <f>Report!C2429</f>
        <v/>
      </c>
      <c r="B1863" s="59">
        <f>Report!E2429</f>
        <v/>
      </c>
      <c r="C1863" s="77">
        <f>Report!U2429</f>
        <v/>
      </c>
      <c r="D1863" s="59">
        <f>Report!X2429</f>
        <v/>
      </c>
    </row>
    <row r="1864" ht="12.75" customHeight="1" s="60">
      <c r="A1864" s="83">
        <f>Report!C2430</f>
        <v/>
      </c>
      <c r="B1864" s="59">
        <f>Report!E2430</f>
        <v/>
      </c>
      <c r="C1864" s="77">
        <f>Report!U2430</f>
        <v/>
      </c>
      <c r="D1864" s="59">
        <f>Report!X2430</f>
        <v/>
      </c>
    </row>
    <row r="1865" ht="12.75" customHeight="1" s="60">
      <c r="A1865" s="83">
        <f>Report!C2431</f>
        <v/>
      </c>
      <c r="B1865" s="59">
        <f>Report!E2431</f>
        <v/>
      </c>
      <c r="C1865" s="77">
        <f>Report!U2431</f>
        <v/>
      </c>
      <c r="D1865" s="59">
        <f>Report!X2431</f>
        <v/>
      </c>
    </row>
    <row r="1866" ht="12.75" customHeight="1" s="60">
      <c r="A1866" s="83">
        <f>Report!C2432</f>
        <v/>
      </c>
      <c r="B1866" s="59">
        <f>Report!E2432</f>
        <v/>
      </c>
      <c r="C1866" s="77">
        <f>Report!U2432</f>
        <v/>
      </c>
      <c r="D1866" s="59">
        <f>Report!X2432</f>
        <v/>
      </c>
    </row>
    <row r="1867" ht="12.75" customHeight="1" s="60">
      <c r="A1867" s="75">
        <f>Report!C2433</f>
        <v/>
      </c>
      <c r="B1867" s="59">
        <f>Report!E2433</f>
        <v/>
      </c>
      <c r="C1867" s="77">
        <f>Report!U2433</f>
        <v/>
      </c>
      <c r="D1867" s="59">
        <f>Report!X2433</f>
        <v/>
      </c>
    </row>
    <row r="1868" ht="12.75" customHeight="1" s="60">
      <c r="A1868" s="75">
        <f>Report!C2435</f>
        <v/>
      </c>
      <c r="B1868" s="59">
        <f>Report!E2435</f>
        <v/>
      </c>
      <c r="C1868" s="77">
        <f>Report!U2435</f>
        <v/>
      </c>
      <c r="D1868" s="59">
        <f>Report!X2435</f>
        <v/>
      </c>
    </row>
    <row r="1869" ht="12.75" customHeight="1" s="60">
      <c r="A1869" s="75">
        <f>Report!C2436</f>
        <v/>
      </c>
      <c r="B1869" s="59">
        <f>Report!E2436</f>
        <v/>
      </c>
      <c r="C1869" s="77">
        <f>Report!U2436</f>
        <v/>
      </c>
      <c r="D1869" s="59">
        <f>Report!X2436</f>
        <v/>
      </c>
    </row>
    <row r="1870" ht="12.75" customHeight="1" s="60">
      <c r="A1870" s="75">
        <f>Report!C2437</f>
        <v/>
      </c>
      <c r="B1870" s="59">
        <f>Report!E2437</f>
        <v/>
      </c>
      <c r="C1870" s="77">
        <f>Report!U2437</f>
        <v/>
      </c>
      <c r="D1870" s="59">
        <f>Report!X2437</f>
        <v/>
      </c>
    </row>
    <row r="1871" ht="12.75" customHeight="1" s="60">
      <c r="A1871" s="75">
        <f>Report!C2438</f>
        <v/>
      </c>
      <c r="B1871" s="59">
        <f>Report!E2438</f>
        <v/>
      </c>
      <c r="C1871" s="77">
        <f>Report!U2438</f>
        <v/>
      </c>
      <c r="D1871" s="59">
        <f>Report!X2438</f>
        <v/>
      </c>
    </row>
    <row r="1872" ht="12.75" customHeight="1" s="60">
      <c r="A1872" s="75">
        <f>Report!C2439</f>
        <v/>
      </c>
      <c r="B1872" s="59">
        <f>Report!E2439</f>
        <v/>
      </c>
      <c r="C1872" s="77">
        <f>Report!U2439</f>
        <v/>
      </c>
      <c r="D1872" s="59">
        <f>Report!X2439</f>
        <v/>
      </c>
    </row>
    <row r="1873" ht="12.75" customHeight="1" s="60">
      <c r="A1873" s="75">
        <f>Report!C2440</f>
        <v/>
      </c>
      <c r="B1873" s="59">
        <f>Report!E2440</f>
        <v/>
      </c>
      <c r="C1873" s="77">
        <f>Report!U2440</f>
        <v/>
      </c>
      <c r="D1873" s="59">
        <f>Report!X2440</f>
        <v/>
      </c>
    </row>
    <row r="1874" ht="12.75" customHeight="1" s="60">
      <c r="A1874" s="75">
        <f>Report!C2441</f>
        <v/>
      </c>
      <c r="B1874" s="59">
        <f>Report!E2441</f>
        <v/>
      </c>
      <c r="C1874" s="77">
        <f>Report!U2441</f>
        <v/>
      </c>
      <c r="D1874" s="59">
        <f>Report!X2441</f>
        <v/>
      </c>
    </row>
    <row r="1875" ht="12.75" customHeight="1" s="60">
      <c r="A1875" s="75">
        <f>Report!C2442</f>
        <v/>
      </c>
      <c r="B1875" s="59">
        <f>Report!E2442</f>
        <v/>
      </c>
      <c r="C1875" s="77">
        <f>Report!U2442</f>
        <v/>
      </c>
      <c r="D1875" s="59">
        <f>Report!X2442</f>
        <v/>
      </c>
    </row>
    <row r="1876" ht="12.75" customHeight="1" s="60">
      <c r="A1876" s="75">
        <f>Report!C2443</f>
        <v/>
      </c>
      <c r="B1876" s="59">
        <f>Report!E2443</f>
        <v/>
      </c>
      <c r="C1876" s="77">
        <f>Report!U2443</f>
        <v/>
      </c>
      <c r="D1876" s="59">
        <f>Report!X2443</f>
        <v/>
      </c>
    </row>
    <row r="1877" ht="12.75" customHeight="1" s="60">
      <c r="A1877" s="75">
        <f>Report!C2444</f>
        <v/>
      </c>
      <c r="B1877" s="59">
        <f>Report!E2444</f>
        <v/>
      </c>
      <c r="C1877" s="77">
        <f>Report!U2444</f>
        <v/>
      </c>
      <c r="D1877" s="59">
        <f>Report!X2444</f>
        <v/>
      </c>
    </row>
    <row r="1878" ht="12.75" customHeight="1" s="60">
      <c r="A1878" s="75">
        <f>Report!C2445</f>
        <v/>
      </c>
      <c r="B1878" s="59">
        <f>Report!E2445</f>
        <v/>
      </c>
      <c r="C1878" s="77">
        <f>Report!U2445</f>
        <v/>
      </c>
      <c r="D1878" s="59">
        <f>Report!X2445</f>
        <v/>
      </c>
    </row>
    <row r="1879" ht="12.75" customHeight="1" s="60">
      <c r="A1879" s="75">
        <f>Report!C2446</f>
        <v/>
      </c>
      <c r="B1879" s="59">
        <f>Report!E2446</f>
        <v/>
      </c>
      <c r="C1879" s="77">
        <f>Report!U2446</f>
        <v/>
      </c>
      <c r="D1879" s="59">
        <f>Report!X2446</f>
        <v/>
      </c>
    </row>
    <row r="1880" ht="12.75" customHeight="1" s="60">
      <c r="A1880" s="75">
        <f>Report!C2447</f>
        <v/>
      </c>
      <c r="B1880" s="59">
        <f>Report!E2447</f>
        <v/>
      </c>
      <c r="C1880" s="77">
        <f>Report!U2447</f>
        <v/>
      </c>
      <c r="D1880" s="59">
        <f>Report!X2447</f>
        <v/>
      </c>
    </row>
    <row r="1881" ht="12.75" customHeight="1" s="60">
      <c r="A1881" s="75">
        <f>Report!C2448</f>
        <v/>
      </c>
      <c r="B1881" s="59">
        <f>Report!E2448</f>
        <v/>
      </c>
      <c r="C1881" s="77">
        <f>Report!U2448</f>
        <v/>
      </c>
      <c r="D1881" s="59">
        <f>Report!X2448</f>
        <v/>
      </c>
    </row>
    <row r="1882" ht="12.75" customHeight="1" s="60">
      <c r="A1882" s="75">
        <f>Report!C2449</f>
        <v/>
      </c>
      <c r="B1882" s="59">
        <f>Report!E2449</f>
        <v/>
      </c>
      <c r="C1882" s="77">
        <f>Report!U2449</f>
        <v/>
      </c>
      <c r="D1882" s="59">
        <f>Report!X2449</f>
        <v/>
      </c>
    </row>
    <row r="1883" ht="12.75" customHeight="1" s="60">
      <c r="A1883" s="75">
        <f>Report!C2453</f>
        <v/>
      </c>
      <c r="B1883" s="59">
        <f>Report!E2453</f>
        <v/>
      </c>
      <c r="C1883" s="77">
        <f>Report!U2453</f>
        <v/>
      </c>
      <c r="D1883" s="59">
        <f>Report!X2453</f>
        <v/>
      </c>
    </row>
    <row r="1884" ht="12.75" customHeight="1" s="60">
      <c r="A1884" s="75">
        <f>Report!C2454</f>
        <v/>
      </c>
      <c r="B1884" s="59">
        <f>Report!E2454</f>
        <v/>
      </c>
      <c r="C1884" s="77">
        <f>Report!U2454</f>
        <v/>
      </c>
      <c r="D1884" s="59">
        <f>Report!X2454</f>
        <v/>
      </c>
    </row>
    <row r="1885" ht="12.75" customHeight="1" s="60">
      <c r="A1885" s="75">
        <f>Report!C2455</f>
        <v/>
      </c>
      <c r="B1885" s="59">
        <f>Report!E2455</f>
        <v/>
      </c>
      <c r="C1885" s="77">
        <f>Report!U2455</f>
        <v/>
      </c>
      <c r="D1885" s="59">
        <f>Report!X2455</f>
        <v/>
      </c>
    </row>
    <row r="1886" ht="12.75" customHeight="1" s="60">
      <c r="A1886" s="75">
        <f>Report!C2456</f>
        <v/>
      </c>
      <c r="B1886" s="59">
        <f>Report!E2456</f>
        <v/>
      </c>
      <c r="C1886" s="77">
        <f>Report!U2456</f>
        <v/>
      </c>
      <c r="D1886" s="59">
        <f>Report!X2456</f>
        <v/>
      </c>
    </row>
    <row r="1887" ht="12.75" customHeight="1" s="60">
      <c r="A1887" s="75">
        <f>Report!C2457</f>
        <v/>
      </c>
      <c r="B1887" s="59">
        <f>Report!E2457</f>
        <v/>
      </c>
      <c r="C1887" s="77">
        <f>Report!U2457</f>
        <v/>
      </c>
      <c r="D1887" s="59">
        <f>Report!X2457</f>
        <v/>
      </c>
    </row>
    <row r="1888" ht="12.75" customHeight="1" s="60">
      <c r="A1888" s="75">
        <f>Report!C2458</f>
        <v/>
      </c>
      <c r="B1888" s="59">
        <f>Report!E2458</f>
        <v/>
      </c>
      <c r="C1888" s="77">
        <f>Report!U2458</f>
        <v/>
      </c>
      <c r="D1888" s="59">
        <f>Report!X2458</f>
        <v/>
      </c>
    </row>
    <row r="1889" ht="12.75" customHeight="1" s="60">
      <c r="A1889" s="75">
        <f>Report!C2459</f>
        <v/>
      </c>
      <c r="B1889" s="59">
        <f>Report!E2459</f>
        <v/>
      </c>
      <c r="C1889" s="77">
        <f>Report!U2459</f>
        <v/>
      </c>
      <c r="D1889" s="59">
        <f>Report!X2459</f>
        <v/>
      </c>
    </row>
    <row r="1890" ht="12.75" customHeight="1" s="60">
      <c r="A1890" s="75">
        <f>Report!C2460</f>
        <v/>
      </c>
      <c r="B1890" s="59">
        <f>Report!E2460</f>
        <v/>
      </c>
      <c r="C1890" s="77">
        <f>Report!U2460</f>
        <v/>
      </c>
      <c r="D1890" s="59">
        <f>Report!X2460</f>
        <v/>
      </c>
    </row>
    <row r="1891" ht="12.75" customHeight="1" s="60">
      <c r="A1891" s="75">
        <f>Report!C2461</f>
        <v/>
      </c>
      <c r="B1891" s="59">
        <f>Report!E2461</f>
        <v/>
      </c>
      <c r="C1891" s="77">
        <f>Report!U2461</f>
        <v/>
      </c>
      <c r="D1891" s="59">
        <f>Report!X2461</f>
        <v/>
      </c>
    </row>
    <row r="1892" ht="12.75" customHeight="1" s="60">
      <c r="A1892" s="75">
        <f>Report!C2462</f>
        <v/>
      </c>
      <c r="B1892" s="59">
        <f>Report!E2462</f>
        <v/>
      </c>
      <c r="C1892" s="77">
        <f>Report!U2462</f>
        <v/>
      </c>
      <c r="D1892" s="59">
        <f>Report!X2462</f>
        <v/>
      </c>
    </row>
    <row r="1893" ht="12.75" customHeight="1" s="60">
      <c r="A1893" s="75">
        <f>Report!C2463</f>
        <v/>
      </c>
      <c r="B1893" s="59">
        <f>Report!E2463</f>
        <v/>
      </c>
      <c r="C1893" s="77">
        <f>Report!U2463</f>
        <v/>
      </c>
      <c r="D1893" s="59">
        <f>Report!X2463</f>
        <v/>
      </c>
    </row>
    <row r="1894" ht="12.75" customHeight="1" s="60">
      <c r="A1894" s="75">
        <f>Report!C2464</f>
        <v/>
      </c>
      <c r="B1894" s="59">
        <f>Report!E2464</f>
        <v/>
      </c>
      <c r="C1894" s="77">
        <f>Report!U2464</f>
        <v/>
      </c>
      <c r="D1894" s="59">
        <f>Report!X2464</f>
        <v/>
      </c>
    </row>
    <row r="1895" ht="12.75" customHeight="1" s="60">
      <c r="A1895" s="75">
        <f>Report!C2465</f>
        <v/>
      </c>
      <c r="B1895" s="59">
        <f>Report!E2465</f>
        <v/>
      </c>
      <c r="C1895" s="77">
        <f>Report!U2465</f>
        <v/>
      </c>
      <c r="D1895" s="59">
        <f>Report!X2465</f>
        <v/>
      </c>
    </row>
    <row r="1896" ht="12.75" customHeight="1" s="60">
      <c r="A1896" s="75">
        <f>Report!C2466</f>
        <v/>
      </c>
      <c r="B1896" s="59">
        <f>Report!E2466</f>
        <v/>
      </c>
      <c r="C1896" s="77">
        <f>Report!U2466</f>
        <v/>
      </c>
      <c r="D1896" s="59">
        <f>Report!X2466</f>
        <v/>
      </c>
    </row>
    <row r="1897" ht="12.75" customHeight="1" s="60">
      <c r="A1897" s="75">
        <f>Report!C2467</f>
        <v/>
      </c>
      <c r="B1897" s="59">
        <f>Report!E2467</f>
        <v/>
      </c>
      <c r="C1897" s="77">
        <f>Report!U2467</f>
        <v/>
      </c>
      <c r="D1897" s="59">
        <f>Report!X2467</f>
        <v/>
      </c>
    </row>
    <row r="1898" ht="12.75" customHeight="1" s="60">
      <c r="A1898" s="75">
        <f>Report!C2468</f>
        <v/>
      </c>
      <c r="B1898" s="59">
        <f>Report!E2468</f>
        <v/>
      </c>
      <c r="C1898" s="77">
        <f>Report!U2468</f>
        <v/>
      </c>
      <c r="D1898" s="59">
        <f>Report!X2468</f>
        <v/>
      </c>
    </row>
    <row r="1899" ht="12.75" customHeight="1" s="60">
      <c r="A1899" s="75">
        <f>Report!C2472</f>
        <v/>
      </c>
      <c r="B1899" s="59">
        <f>Report!E2472</f>
        <v/>
      </c>
      <c r="C1899" s="77">
        <f>Report!U2472</f>
        <v/>
      </c>
      <c r="D1899" s="59">
        <f>Report!X2472</f>
        <v/>
      </c>
    </row>
    <row r="1900" ht="12.75" customHeight="1" s="60">
      <c r="A1900" s="75">
        <f>Report!C2477</f>
        <v/>
      </c>
      <c r="B1900" s="59">
        <f>Report!E2477</f>
        <v/>
      </c>
      <c r="C1900" s="77">
        <f>Report!U2477</f>
        <v/>
      </c>
      <c r="D1900" s="59">
        <f>Report!X2477</f>
        <v/>
      </c>
    </row>
    <row r="1901" ht="12.75" customHeight="1" s="60">
      <c r="A1901" s="75">
        <f>Report!C2479</f>
        <v/>
      </c>
      <c r="B1901" s="59">
        <f>Report!E2479</f>
        <v/>
      </c>
      <c r="C1901" s="77">
        <f>Report!U2479</f>
        <v/>
      </c>
      <c r="D1901" s="59">
        <f>Report!X2479</f>
        <v/>
      </c>
    </row>
    <row r="1902" ht="12.75" customHeight="1" s="60">
      <c r="A1902" s="75">
        <f>Report!C2481</f>
        <v/>
      </c>
      <c r="B1902" s="59">
        <f>Report!E2481</f>
        <v/>
      </c>
      <c r="C1902" s="77">
        <f>Report!U2481</f>
        <v/>
      </c>
      <c r="D1902" s="59">
        <f>Report!X2481</f>
        <v/>
      </c>
    </row>
    <row r="1903" ht="12.75" customHeight="1" s="60">
      <c r="A1903" s="75">
        <f>Report!C2482</f>
        <v/>
      </c>
      <c r="B1903" s="59">
        <f>Report!E2482</f>
        <v/>
      </c>
      <c r="C1903" s="77">
        <f>Report!U2482</f>
        <v/>
      </c>
      <c r="D1903" s="59">
        <f>Report!X2482</f>
        <v/>
      </c>
    </row>
    <row r="1904" ht="12.75" customHeight="1" s="60">
      <c r="A1904" s="75">
        <f>Report!C2484</f>
        <v/>
      </c>
      <c r="B1904" s="59">
        <f>Report!E2484</f>
        <v/>
      </c>
      <c r="C1904" s="77">
        <f>Report!U2484</f>
        <v/>
      </c>
      <c r="D1904" s="59">
        <f>Report!X2484</f>
        <v/>
      </c>
    </row>
    <row r="1905" ht="12.75" customHeight="1" s="60">
      <c r="A1905" s="75">
        <f>Report!C2485</f>
        <v/>
      </c>
      <c r="B1905" s="59">
        <f>Report!E2485</f>
        <v/>
      </c>
      <c r="C1905" s="77">
        <f>Report!U2485</f>
        <v/>
      </c>
      <c r="D1905" s="59">
        <f>Report!X2485</f>
        <v/>
      </c>
    </row>
    <row r="1906" ht="12.75" customHeight="1" s="60">
      <c r="A1906" s="75">
        <f>Report!C2486</f>
        <v/>
      </c>
      <c r="B1906" s="59">
        <f>Report!E2486</f>
        <v/>
      </c>
      <c r="C1906" s="77">
        <f>Report!U2486</f>
        <v/>
      </c>
      <c r="D1906" s="59">
        <f>Report!X2486</f>
        <v/>
      </c>
    </row>
    <row r="1907" ht="12.75" customHeight="1" s="60">
      <c r="A1907" s="75">
        <f>Report!C2487</f>
        <v/>
      </c>
      <c r="B1907" s="59">
        <f>Report!E2487</f>
        <v/>
      </c>
      <c r="C1907" s="77">
        <f>Report!U2487</f>
        <v/>
      </c>
      <c r="D1907" s="59">
        <f>Report!X2487</f>
        <v/>
      </c>
    </row>
    <row r="1908" ht="12.75" customHeight="1" s="60">
      <c r="A1908" s="75">
        <f>Report!C2488</f>
        <v/>
      </c>
      <c r="B1908" s="59">
        <f>Report!E2488</f>
        <v/>
      </c>
      <c r="C1908" s="77">
        <f>Report!U2488</f>
        <v/>
      </c>
      <c r="D1908" s="59">
        <f>Report!X2488</f>
        <v/>
      </c>
    </row>
    <row r="1909" ht="12.75" customHeight="1" s="60">
      <c r="A1909" s="75">
        <f>Report!C2489</f>
        <v/>
      </c>
      <c r="B1909" s="59">
        <f>Report!E2489</f>
        <v/>
      </c>
      <c r="C1909" s="77">
        <f>Report!U2489</f>
        <v/>
      </c>
      <c r="D1909" s="59">
        <f>Report!X2489</f>
        <v/>
      </c>
    </row>
    <row r="1910" ht="12.75" customHeight="1" s="60">
      <c r="A1910" s="75">
        <f>Report!C2490</f>
        <v/>
      </c>
      <c r="B1910" s="59">
        <f>Report!E2490</f>
        <v/>
      </c>
      <c r="C1910" s="77">
        <f>Report!U2490</f>
        <v/>
      </c>
      <c r="D1910" s="59">
        <f>Report!X2490</f>
        <v/>
      </c>
    </row>
    <row r="1911" ht="12.75" customHeight="1" s="60">
      <c r="A1911" s="75">
        <f>Report!C2491</f>
        <v/>
      </c>
      <c r="B1911" s="59">
        <f>Report!E2491</f>
        <v/>
      </c>
      <c r="C1911" s="77">
        <f>Report!U2491</f>
        <v/>
      </c>
      <c r="D1911" s="59">
        <f>Report!X2491</f>
        <v/>
      </c>
    </row>
    <row r="1912" ht="12.75" customHeight="1" s="60">
      <c r="A1912" s="75">
        <f>Report!C2492</f>
        <v/>
      </c>
      <c r="B1912" s="59">
        <f>Report!E2492</f>
        <v/>
      </c>
      <c r="C1912" s="77">
        <f>Report!U2492</f>
        <v/>
      </c>
      <c r="D1912" s="59">
        <f>Report!X2492</f>
        <v/>
      </c>
    </row>
    <row r="1913" ht="12.75" customHeight="1" s="60">
      <c r="A1913" s="75">
        <f>Report!C2493</f>
        <v/>
      </c>
      <c r="B1913" s="59">
        <f>Report!E2493</f>
        <v/>
      </c>
      <c r="C1913" s="77">
        <f>Report!U2493</f>
        <v/>
      </c>
      <c r="D1913" s="59">
        <f>Report!X2493</f>
        <v/>
      </c>
    </row>
    <row r="1914" ht="12.75" customHeight="1" s="60">
      <c r="A1914" s="75">
        <f>Report!C2494</f>
        <v/>
      </c>
      <c r="B1914" s="59">
        <f>Report!E2494</f>
        <v/>
      </c>
      <c r="C1914" s="77">
        <f>Report!U2494</f>
        <v/>
      </c>
      <c r="D1914" s="59">
        <f>Report!X2494</f>
        <v/>
      </c>
    </row>
    <row r="1915" ht="12.75" customHeight="1" s="60">
      <c r="A1915" s="75">
        <f>Report!C2495</f>
        <v/>
      </c>
      <c r="B1915" s="59">
        <f>Report!E2495</f>
        <v/>
      </c>
      <c r="C1915" s="77">
        <f>Report!U2495</f>
        <v/>
      </c>
      <c r="D1915" s="59">
        <f>Report!X2495</f>
        <v/>
      </c>
    </row>
    <row r="1916" ht="12.75" customHeight="1" s="60">
      <c r="A1916" s="75">
        <f>Report!C2496</f>
        <v/>
      </c>
      <c r="B1916" s="59">
        <f>Report!E2496</f>
        <v/>
      </c>
      <c r="C1916" s="77">
        <f>Report!U2496</f>
        <v/>
      </c>
      <c r="D1916" s="59">
        <f>Report!X2496</f>
        <v/>
      </c>
    </row>
    <row r="1917" ht="12.75" customHeight="1" s="60">
      <c r="A1917" s="75">
        <f>Report!C2497</f>
        <v/>
      </c>
      <c r="B1917" s="59">
        <f>Report!E2497</f>
        <v/>
      </c>
      <c r="C1917" s="77">
        <f>Report!U2497</f>
        <v/>
      </c>
      <c r="D1917" s="59">
        <f>Report!X2497</f>
        <v/>
      </c>
    </row>
    <row r="1918" ht="12.75" customHeight="1" s="60">
      <c r="A1918" s="75">
        <f>Report!C2498</f>
        <v/>
      </c>
      <c r="B1918" s="59">
        <f>Report!E2498</f>
        <v/>
      </c>
      <c r="C1918" s="77">
        <f>Report!U2498</f>
        <v/>
      </c>
      <c r="D1918" s="59">
        <f>Report!X2498</f>
        <v/>
      </c>
    </row>
    <row r="1919" ht="12.75" customHeight="1" s="60">
      <c r="A1919" s="75">
        <f>Report!C2499</f>
        <v/>
      </c>
      <c r="B1919" s="59">
        <f>Report!E2499</f>
        <v/>
      </c>
      <c r="C1919" s="77">
        <f>Report!U2499</f>
        <v/>
      </c>
      <c r="D1919" s="59">
        <f>Report!X2499</f>
        <v/>
      </c>
    </row>
    <row r="1920" ht="12.75" customHeight="1" s="60">
      <c r="A1920" s="75">
        <f>Report!C2500</f>
        <v/>
      </c>
      <c r="B1920" s="59">
        <f>Report!E2500</f>
        <v/>
      </c>
      <c r="C1920" s="77">
        <f>Report!U2500</f>
        <v/>
      </c>
      <c r="D1920" s="59">
        <f>Report!X2500</f>
        <v/>
      </c>
    </row>
    <row r="1921" ht="12.75" customHeight="1" s="60">
      <c r="A1921" s="75">
        <f>Report!C2501</f>
        <v/>
      </c>
      <c r="B1921" s="59">
        <f>Report!E2501</f>
        <v/>
      </c>
      <c r="C1921" s="77">
        <f>Report!U2501</f>
        <v/>
      </c>
      <c r="D1921" s="59">
        <f>Report!X2501</f>
        <v/>
      </c>
    </row>
    <row r="1922" ht="12.75" customHeight="1" s="60">
      <c r="A1922" s="75">
        <f>Report!C2502</f>
        <v/>
      </c>
      <c r="B1922" s="59">
        <f>Report!E2502</f>
        <v/>
      </c>
      <c r="C1922" s="77">
        <f>Report!U2502</f>
        <v/>
      </c>
      <c r="D1922" s="59">
        <f>Report!X2502</f>
        <v/>
      </c>
    </row>
    <row r="1923" ht="12.75" customHeight="1" s="60">
      <c r="A1923" s="75">
        <f>Report!C2503</f>
        <v/>
      </c>
      <c r="B1923" s="59">
        <f>Report!E2503</f>
        <v/>
      </c>
      <c r="C1923" s="77">
        <f>Report!U2503</f>
        <v/>
      </c>
      <c r="D1923" s="59">
        <f>Report!X2503</f>
        <v/>
      </c>
    </row>
    <row r="1924" ht="12.75" customHeight="1" s="60">
      <c r="A1924" s="75">
        <f>Report!C2504</f>
        <v/>
      </c>
      <c r="B1924" s="59">
        <f>Report!E2504</f>
        <v/>
      </c>
      <c r="C1924" s="77">
        <f>Report!U2504</f>
        <v/>
      </c>
      <c r="D1924" s="59">
        <f>Report!X2504</f>
        <v/>
      </c>
    </row>
    <row r="1925" ht="12.75" customHeight="1" s="60">
      <c r="A1925" s="75">
        <f>Report!C2505</f>
        <v/>
      </c>
      <c r="B1925" s="59">
        <f>Report!E2505</f>
        <v/>
      </c>
      <c r="C1925" s="77">
        <f>Report!U2505</f>
        <v/>
      </c>
      <c r="D1925" s="59">
        <f>Report!X2505</f>
        <v/>
      </c>
    </row>
    <row r="1926" ht="12.75" customHeight="1" s="60">
      <c r="A1926" s="75">
        <f>Report!C2506</f>
        <v/>
      </c>
      <c r="B1926" s="59">
        <f>Report!E2506</f>
        <v/>
      </c>
      <c r="C1926" s="77">
        <f>Report!U2506</f>
        <v/>
      </c>
      <c r="D1926" s="59">
        <f>Report!X2506</f>
        <v/>
      </c>
    </row>
    <row r="1927" ht="12.75" customHeight="1" s="60">
      <c r="A1927" s="75">
        <f>Report!C2507</f>
        <v/>
      </c>
      <c r="B1927" s="59">
        <f>Report!E2507</f>
        <v/>
      </c>
      <c r="C1927" s="77">
        <f>Report!U2507</f>
        <v/>
      </c>
      <c r="D1927" s="59">
        <f>Report!X2507</f>
        <v/>
      </c>
    </row>
    <row r="1928" ht="12.75" customHeight="1" s="60">
      <c r="A1928" s="75">
        <f>Report!C2509</f>
        <v/>
      </c>
      <c r="B1928" s="59">
        <f>Report!E2509</f>
        <v/>
      </c>
      <c r="C1928" s="77">
        <f>Report!U2509</f>
        <v/>
      </c>
      <c r="D1928" s="59">
        <f>Report!X2509</f>
        <v/>
      </c>
    </row>
    <row r="1929" ht="12.75" customHeight="1" s="60">
      <c r="A1929" s="75">
        <f>Report!C2510</f>
        <v/>
      </c>
      <c r="B1929" s="59">
        <f>Report!E2510</f>
        <v/>
      </c>
      <c r="C1929" s="77">
        <f>Report!U2510</f>
        <v/>
      </c>
      <c r="D1929" s="59">
        <f>Report!X2510</f>
        <v/>
      </c>
    </row>
    <row r="1930" ht="12.75" customHeight="1" s="60">
      <c r="A1930" s="75">
        <f>Report!C2512</f>
        <v/>
      </c>
      <c r="B1930" s="59">
        <f>Report!E2512</f>
        <v/>
      </c>
      <c r="C1930" s="77">
        <f>Report!U2512</f>
        <v/>
      </c>
      <c r="D1930" s="59">
        <f>Report!X2512</f>
        <v/>
      </c>
    </row>
    <row r="1931" ht="12.75" customHeight="1" s="60">
      <c r="A1931" s="75">
        <f>Report!C2513</f>
        <v/>
      </c>
      <c r="B1931" s="59">
        <f>Report!E2513</f>
        <v/>
      </c>
      <c r="C1931" s="77">
        <f>Report!U2513</f>
        <v/>
      </c>
      <c r="D1931" s="59">
        <f>Report!X2513</f>
        <v/>
      </c>
    </row>
    <row r="1932" ht="12.75" customHeight="1" s="60">
      <c r="A1932" s="75">
        <f>Report!C2514</f>
        <v/>
      </c>
      <c r="B1932" s="59">
        <f>Report!E2514</f>
        <v/>
      </c>
      <c r="C1932" s="77">
        <f>Report!U2514</f>
        <v/>
      </c>
      <c r="D1932" s="59">
        <f>Report!X2514</f>
        <v/>
      </c>
    </row>
    <row r="1933" ht="12.75" customHeight="1" s="60">
      <c r="A1933" s="83">
        <f>Report!C2515</f>
        <v/>
      </c>
      <c r="B1933" s="59">
        <f>Report!E2515</f>
        <v/>
      </c>
      <c r="C1933" s="77">
        <f>Report!U2515</f>
        <v/>
      </c>
      <c r="D1933" s="59">
        <f>Report!X2515</f>
        <v/>
      </c>
    </row>
    <row r="1934" ht="12.75" customHeight="1" s="60">
      <c r="A1934" s="83">
        <f>Report!C2516</f>
        <v/>
      </c>
      <c r="B1934" s="59">
        <f>Report!E2516</f>
        <v/>
      </c>
      <c r="C1934" s="77">
        <f>Report!U2516</f>
        <v/>
      </c>
      <c r="D1934" s="59">
        <f>Report!X2516</f>
        <v/>
      </c>
    </row>
    <row r="1935" ht="12.75" customHeight="1" s="60">
      <c r="A1935" s="83">
        <f>Report!C2517</f>
        <v/>
      </c>
      <c r="B1935" s="59">
        <f>Report!E2517</f>
        <v/>
      </c>
      <c r="C1935" s="77">
        <f>Report!U2517</f>
        <v/>
      </c>
      <c r="D1935" s="59">
        <f>Report!X2517</f>
        <v/>
      </c>
    </row>
    <row r="1936" ht="12.75" customHeight="1" s="60">
      <c r="A1936" s="83">
        <f>Report!C2518</f>
        <v/>
      </c>
      <c r="B1936" s="59">
        <f>Report!E2518</f>
        <v/>
      </c>
      <c r="C1936" s="77">
        <f>Report!U2518</f>
        <v/>
      </c>
      <c r="D1936" s="59">
        <f>Report!X2518</f>
        <v/>
      </c>
    </row>
    <row r="1937" ht="12.75" customHeight="1" s="60">
      <c r="A1937" s="83">
        <f>Report!C2519</f>
        <v/>
      </c>
      <c r="B1937" s="59">
        <f>Report!E2519</f>
        <v/>
      </c>
      <c r="C1937" s="77">
        <f>Report!U2519</f>
        <v/>
      </c>
      <c r="D1937" s="59">
        <f>Report!X2519</f>
        <v/>
      </c>
    </row>
    <row r="1938" ht="12.75" customHeight="1" s="60">
      <c r="A1938" s="83">
        <f>Report!C2520</f>
        <v/>
      </c>
      <c r="B1938" s="59">
        <f>Report!E2520</f>
        <v/>
      </c>
      <c r="C1938" s="77">
        <f>Report!U2520</f>
        <v/>
      </c>
      <c r="D1938" s="59">
        <f>Report!X2520</f>
        <v/>
      </c>
    </row>
    <row r="1939" ht="12.75" customHeight="1" s="60">
      <c r="A1939" s="83">
        <f>Report!C2521</f>
        <v/>
      </c>
      <c r="B1939" s="59">
        <f>Report!E2521</f>
        <v/>
      </c>
      <c r="C1939" s="77">
        <f>Report!U2521</f>
        <v/>
      </c>
      <c r="D1939" s="59">
        <f>Report!X2521</f>
        <v/>
      </c>
    </row>
    <row r="1940" ht="12.75" customHeight="1" s="60">
      <c r="A1940" s="83">
        <f>Report!C2522</f>
        <v/>
      </c>
      <c r="B1940" s="59">
        <f>Report!E2522</f>
        <v/>
      </c>
      <c r="C1940" s="77">
        <f>Report!U2522</f>
        <v/>
      </c>
      <c r="D1940" s="59">
        <f>Report!X2522</f>
        <v/>
      </c>
    </row>
    <row r="1941" ht="12.75" customHeight="1" s="60">
      <c r="A1941" s="83">
        <f>Report!C2523</f>
        <v/>
      </c>
      <c r="B1941" s="59">
        <f>Report!E2523</f>
        <v/>
      </c>
      <c r="C1941" s="77">
        <f>Report!U2523</f>
        <v/>
      </c>
      <c r="D1941" s="59">
        <f>Report!X2523</f>
        <v/>
      </c>
    </row>
    <row r="1942" ht="12.75" customHeight="1" s="60">
      <c r="A1942" s="83">
        <f>Report!C2524</f>
        <v/>
      </c>
      <c r="B1942" s="59">
        <f>Report!E2524</f>
        <v/>
      </c>
      <c r="C1942" s="77">
        <f>Report!U2524</f>
        <v/>
      </c>
      <c r="D1942" s="59">
        <f>Report!X2524</f>
        <v/>
      </c>
    </row>
    <row r="1943" ht="12.75" customHeight="1" s="60">
      <c r="A1943" s="83">
        <f>Report!C2525</f>
        <v/>
      </c>
      <c r="B1943" s="59">
        <f>Report!E2525</f>
        <v/>
      </c>
      <c r="C1943" s="77">
        <f>Report!U2525</f>
        <v/>
      </c>
      <c r="D1943" s="59">
        <f>Report!X2525</f>
        <v/>
      </c>
    </row>
    <row r="1944" ht="12.75" customHeight="1" s="60">
      <c r="A1944" s="83">
        <f>Report!C2526</f>
        <v/>
      </c>
      <c r="B1944" s="59">
        <f>Report!E2526</f>
        <v/>
      </c>
      <c r="C1944" s="77">
        <f>Report!U2526</f>
        <v/>
      </c>
      <c r="D1944" s="59">
        <f>Report!X2526</f>
        <v/>
      </c>
    </row>
    <row r="1945" ht="12.75" customHeight="1" s="60">
      <c r="A1945" s="83">
        <f>Report!C2527</f>
        <v/>
      </c>
      <c r="B1945" s="59">
        <f>Report!E2527</f>
        <v/>
      </c>
      <c r="C1945" s="77">
        <f>Report!U2527</f>
        <v/>
      </c>
      <c r="D1945" s="59">
        <f>Report!X2527</f>
        <v/>
      </c>
    </row>
    <row r="1946" ht="12.75" customHeight="1" s="60">
      <c r="A1946" s="83">
        <f>Report!C2528</f>
        <v/>
      </c>
      <c r="B1946" s="59">
        <f>Report!E2528</f>
        <v/>
      </c>
      <c r="C1946" s="77">
        <f>Report!U2528</f>
        <v/>
      </c>
      <c r="D1946" s="59">
        <f>Report!X2528</f>
        <v/>
      </c>
    </row>
    <row r="1947" ht="12.75" customHeight="1" s="60">
      <c r="A1947" s="83">
        <f>Report!C2533</f>
        <v/>
      </c>
      <c r="B1947" s="59">
        <f>Report!E2533</f>
        <v/>
      </c>
      <c r="C1947" s="77">
        <f>Report!U2533</f>
        <v/>
      </c>
      <c r="D1947" s="59">
        <f>Report!X2533</f>
        <v/>
      </c>
    </row>
    <row r="1948" ht="12.75" customHeight="1" s="60">
      <c r="A1948" s="83">
        <f>Report!C2542</f>
        <v/>
      </c>
      <c r="B1948" s="59">
        <f>Report!E2542</f>
        <v/>
      </c>
      <c r="C1948" s="77">
        <f>Report!U2542</f>
        <v/>
      </c>
      <c r="D1948" s="59">
        <f>Report!X2542</f>
        <v/>
      </c>
    </row>
    <row r="1949" ht="12.75" customHeight="1" s="60">
      <c r="A1949" s="83">
        <f>Report!C2547</f>
        <v/>
      </c>
      <c r="B1949" s="59">
        <f>Report!E2547</f>
        <v/>
      </c>
      <c r="C1949" s="77">
        <f>Report!U2547</f>
        <v/>
      </c>
      <c r="D1949" s="59">
        <f>Report!X2547</f>
        <v/>
      </c>
    </row>
    <row r="1950" ht="12.75" customHeight="1" s="60">
      <c r="A1950" s="83">
        <f>Report!C2550</f>
        <v/>
      </c>
      <c r="B1950" s="59">
        <f>Report!E2550</f>
        <v/>
      </c>
      <c r="C1950" s="77">
        <f>Report!U2550</f>
        <v/>
      </c>
      <c r="D1950" s="59">
        <f>Report!X2550</f>
        <v/>
      </c>
    </row>
    <row r="1951" ht="12.75" customHeight="1" s="60">
      <c r="A1951" s="83">
        <f>Report!C2551</f>
        <v/>
      </c>
      <c r="B1951" s="59">
        <f>Report!E2551</f>
        <v/>
      </c>
      <c r="C1951" s="77">
        <f>Report!U2551</f>
        <v/>
      </c>
      <c r="D1951" s="59">
        <f>Report!X2551</f>
        <v/>
      </c>
    </row>
    <row r="1952" ht="12.75" customHeight="1" s="60">
      <c r="A1952" s="83">
        <f>Report!C2553</f>
        <v/>
      </c>
      <c r="B1952" s="59">
        <f>Report!E2553</f>
        <v/>
      </c>
      <c r="C1952" s="77">
        <f>Report!U2553</f>
        <v/>
      </c>
      <c r="D1952" s="59">
        <f>Report!X2553</f>
        <v/>
      </c>
    </row>
    <row r="1953" ht="12.75" customHeight="1" s="60">
      <c r="A1953" s="83">
        <f>Report!C2554</f>
        <v/>
      </c>
      <c r="B1953" s="59">
        <f>Report!E2554</f>
        <v/>
      </c>
      <c r="C1953" s="77">
        <f>Report!U2554</f>
        <v/>
      </c>
      <c r="D1953" s="59">
        <f>Report!X2554</f>
        <v/>
      </c>
    </row>
    <row r="1954" ht="12.75" customHeight="1" s="60">
      <c r="A1954" s="83">
        <f>Report!C2555</f>
        <v/>
      </c>
      <c r="B1954" s="59">
        <f>Report!E2555</f>
        <v/>
      </c>
      <c r="C1954" s="77">
        <f>Report!U2555</f>
        <v/>
      </c>
      <c r="D1954" s="59">
        <f>Report!X2555</f>
        <v/>
      </c>
    </row>
    <row r="1955" ht="12.75" customHeight="1" s="60">
      <c r="A1955" s="83">
        <f>Report!C2557</f>
        <v/>
      </c>
      <c r="B1955" s="59">
        <f>Report!E2557</f>
        <v/>
      </c>
      <c r="C1955" s="77">
        <f>Report!U2557</f>
        <v/>
      </c>
      <c r="D1955" s="59">
        <f>Report!X2557</f>
        <v/>
      </c>
    </row>
    <row r="1956" ht="12.75" customHeight="1" s="60">
      <c r="A1956" s="83">
        <f>Report!C2558</f>
        <v/>
      </c>
      <c r="B1956" s="59">
        <f>Report!E2558</f>
        <v/>
      </c>
      <c r="C1956" s="77">
        <f>Report!U2558</f>
        <v/>
      </c>
      <c r="D1956" s="59">
        <f>Report!X2558</f>
        <v/>
      </c>
    </row>
    <row r="1957" ht="12.75" customHeight="1" s="60">
      <c r="A1957" s="83">
        <f>Report!C2559</f>
        <v/>
      </c>
      <c r="B1957" s="59">
        <f>Report!E2559</f>
        <v/>
      </c>
      <c r="C1957" s="77">
        <f>Report!U2559</f>
        <v/>
      </c>
      <c r="D1957" s="59">
        <f>Report!X2559</f>
        <v/>
      </c>
    </row>
    <row r="1958" ht="12.75" customHeight="1" s="60">
      <c r="A1958" s="83">
        <f>Report!C2560</f>
        <v/>
      </c>
      <c r="B1958" s="59">
        <f>Report!E2560</f>
        <v/>
      </c>
      <c r="C1958" s="77">
        <f>Report!U2560</f>
        <v/>
      </c>
      <c r="D1958" s="59">
        <f>Report!X2560</f>
        <v/>
      </c>
    </row>
    <row r="1959" ht="12.75" customHeight="1" s="60">
      <c r="A1959" s="83">
        <f>Report!C2561</f>
        <v/>
      </c>
      <c r="B1959" s="59">
        <f>Report!E2561</f>
        <v/>
      </c>
      <c r="C1959" s="77">
        <f>Report!U2561</f>
        <v/>
      </c>
      <c r="D1959" s="59">
        <f>Report!X2561</f>
        <v/>
      </c>
    </row>
    <row r="1960" ht="12.75" customHeight="1" s="60">
      <c r="A1960" s="83">
        <f>Report!C2563</f>
        <v/>
      </c>
      <c r="B1960" s="59">
        <f>Report!E2563</f>
        <v/>
      </c>
      <c r="C1960" s="77">
        <f>Report!U2563</f>
        <v/>
      </c>
      <c r="D1960" s="59">
        <f>Report!X2563</f>
        <v/>
      </c>
    </row>
    <row r="1961" ht="12.75" customHeight="1" s="60">
      <c r="A1961" s="83">
        <f>Report!C2564</f>
        <v/>
      </c>
      <c r="B1961" s="59">
        <f>Report!E2564</f>
        <v/>
      </c>
      <c r="C1961" s="77">
        <f>Report!U2564</f>
        <v/>
      </c>
      <c r="D1961" s="59">
        <f>Report!X2564</f>
        <v/>
      </c>
    </row>
    <row r="1962" ht="12.75" customHeight="1" s="60">
      <c r="A1962" s="83">
        <f>Report!C2565</f>
        <v/>
      </c>
      <c r="B1962" s="59">
        <f>Report!E2565</f>
        <v/>
      </c>
      <c r="C1962" s="77">
        <f>Report!U2565</f>
        <v/>
      </c>
      <c r="D1962" s="59">
        <f>Report!X2565</f>
        <v/>
      </c>
    </row>
    <row r="1963" ht="12.75" customHeight="1" s="60">
      <c r="A1963" s="83">
        <f>Report!C2566</f>
        <v/>
      </c>
      <c r="B1963" s="59">
        <f>Report!E2566</f>
        <v/>
      </c>
      <c r="C1963" s="77">
        <f>Report!U2566</f>
        <v/>
      </c>
      <c r="D1963" s="59">
        <f>Report!X2566</f>
        <v/>
      </c>
    </row>
    <row r="1964" ht="12.75" customHeight="1" s="60">
      <c r="A1964" s="83">
        <f>Report!C2567</f>
        <v/>
      </c>
      <c r="B1964" s="59">
        <f>Report!E2567</f>
        <v/>
      </c>
      <c r="C1964" s="77">
        <f>Report!U2567</f>
        <v/>
      </c>
      <c r="D1964" s="59">
        <f>Report!X2567</f>
        <v/>
      </c>
    </row>
    <row r="1965" ht="12.75" customHeight="1" s="60">
      <c r="A1965" s="83">
        <f>Report!C2568</f>
        <v/>
      </c>
      <c r="B1965" s="59">
        <f>Report!E2568</f>
        <v/>
      </c>
      <c r="C1965" s="77">
        <f>Report!U2568</f>
        <v/>
      </c>
      <c r="D1965" s="59">
        <f>Report!X2568</f>
        <v/>
      </c>
    </row>
    <row r="1966" ht="12.75" customHeight="1" s="60">
      <c r="A1966" s="83">
        <f>Report!C2569</f>
        <v/>
      </c>
      <c r="B1966" s="59">
        <f>Report!E2569</f>
        <v/>
      </c>
      <c r="C1966" s="77">
        <f>Report!U2569</f>
        <v/>
      </c>
      <c r="D1966" s="59">
        <f>Report!X2569</f>
        <v/>
      </c>
    </row>
    <row r="1967" ht="12.75" customHeight="1" s="60">
      <c r="A1967" s="83">
        <f>Report!C2570</f>
        <v/>
      </c>
      <c r="B1967" s="59">
        <f>Report!E2570</f>
        <v/>
      </c>
      <c r="C1967" s="77">
        <f>Report!U2570</f>
        <v/>
      </c>
      <c r="D1967" s="59">
        <f>Report!X2570</f>
        <v/>
      </c>
    </row>
    <row r="1968" ht="12.75" customHeight="1" s="60">
      <c r="A1968" s="83">
        <f>Report!C2571</f>
        <v/>
      </c>
      <c r="B1968" s="59">
        <f>Report!E2571</f>
        <v/>
      </c>
      <c r="C1968" s="77">
        <f>Report!U2571</f>
        <v/>
      </c>
      <c r="D1968" s="59">
        <f>Report!X2571</f>
        <v/>
      </c>
    </row>
    <row r="1969" ht="12.75" customHeight="1" s="60">
      <c r="A1969" s="83">
        <f>Report!C2572</f>
        <v/>
      </c>
      <c r="B1969" s="59">
        <f>Report!E2572</f>
        <v/>
      </c>
      <c r="C1969" s="77">
        <f>Report!U2572</f>
        <v/>
      </c>
      <c r="D1969" s="59">
        <f>Report!X2572</f>
        <v/>
      </c>
    </row>
    <row r="1970" ht="12.75" customHeight="1" s="60">
      <c r="A1970" s="83">
        <f>Report!C2573</f>
        <v/>
      </c>
      <c r="B1970" s="59">
        <f>Report!E2573</f>
        <v/>
      </c>
      <c r="C1970" s="77">
        <f>Report!U2573</f>
        <v/>
      </c>
      <c r="D1970" s="59">
        <f>Report!X2573</f>
        <v/>
      </c>
    </row>
    <row r="1971" ht="12.75" customHeight="1" s="60">
      <c r="A1971" s="83">
        <f>Report!C2576</f>
        <v/>
      </c>
      <c r="B1971" s="59">
        <f>Report!E2576</f>
        <v/>
      </c>
      <c r="C1971" s="77">
        <f>Report!U2576</f>
        <v/>
      </c>
      <c r="D1971" s="59">
        <f>Report!X2576</f>
        <v/>
      </c>
    </row>
    <row r="1972" ht="12.75" customHeight="1" s="60">
      <c r="A1972" s="83">
        <f>Report!C2577</f>
        <v/>
      </c>
      <c r="B1972" s="59">
        <f>Report!E2577</f>
        <v/>
      </c>
      <c r="C1972" s="77">
        <f>Report!U2577</f>
        <v/>
      </c>
      <c r="D1972" s="59">
        <f>Report!X2577</f>
        <v/>
      </c>
    </row>
    <row r="1973" ht="12.75" customHeight="1" s="60">
      <c r="A1973" s="83">
        <f>Report!C2579</f>
        <v/>
      </c>
      <c r="B1973" s="59">
        <f>Report!E2579</f>
        <v/>
      </c>
      <c r="C1973" s="77">
        <f>Report!U2579</f>
        <v/>
      </c>
      <c r="D1973" s="59">
        <f>Report!X2579</f>
        <v/>
      </c>
    </row>
    <row r="1974" ht="12.75" customHeight="1" s="60">
      <c r="A1974" s="83">
        <f>Report!C2583</f>
        <v/>
      </c>
      <c r="B1974" s="59">
        <f>Report!E2583</f>
        <v/>
      </c>
      <c r="C1974" s="77">
        <f>Report!U2583</f>
        <v/>
      </c>
      <c r="D1974" s="59">
        <f>Report!X2583</f>
        <v/>
      </c>
    </row>
    <row r="1975" ht="12.75" customHeight="1" s="60">
      <c r="A1975" s="83">
        <f>Report!C2584</f>
        <v/>
      </c>
      <c r="B1975" s="59">
        <f>Report!E2584</f>
        <v/>
      </c>
      <c r="C1975" s="77">
        <f>Report!U2584</f>
        <v/>
      </c>
      <c r="D1975" s="59">
        <f>Report!X2584</f>
        <v/>
      </c>
    </row>
    <row r="1976" ht="12.75" customHeight="1" s="60">
      <c r="A1976" s="83">
        <f>Report!C2585</f>
        <v/>
      </c>
      <c r="B1976" s="59">
        <f>Report!E2585</f>
        <v/>
      </c>
      <c r="C1976" s="77">
        <f>Report!U2585</f>
        <v/>
      </c>
      <c r="D1976" s="59">
        <f>Report!X2585</f>
        <v/>
      </c>
    </row>
    <row r="1977" ht="12.75" customHeight="1" s="60">
      <c r="A1977" s="83">
        <f>Report!C2586</f>
        <v/>
      </c>
      <c r="B1977" s="59">
        <f>Report!E2586</f>
        <v/>
      </c>
      <c r="C1977" s="77">
        <f>Report!U2586</f>
        <v/>
      </c>
      <c r="D1977" s="59">
        <f>Report!X2586</f>
        <v/>
      </c>
    </row>
    <row r="1978" ht="12.75" customHeight="1" s="60">
      <c r="A1978" s="83">
        <f>Report!C2587</f>
        <v/>
      </c>
      <c r="B1978" s="59">
        <f>Report!E2587</f>
        <v/>
      </c>
      <c r="C1978" s="77">
        <f>Report!U2587</f>
        <v/>
      </c>
      <c r="D1978" s="59">
        <f>Report!X2587</f>
        <v/>
      </c>
    </row>
    <row r="1979" ht="12.75" customHeight="1" s="60">
      <c r="A1979" s="83">
        <f>Report!C2588</f>
        <v/>
      </c>
      <c r="B1979" s="59">
        <f>Report!E2588</f>
        <v/>
      </c>
      <c r="C1979" s="77">
        <f>Report!U2588</f>
        <v/>
      </c>
      <c r="D1979" s="59">
        <f>Report!X2588</f>
        <v/>
      </c>
    </row>
    <row r="1980" ht="12.75" customHeight="1" s="60">
      <c r="A1980" s="83">
        <f>Report!C2589</f>
        <v/>
      </c>
      <c r="B1980" s="59">
        <f>Report!E2589</f>
        <v/>
      </c>
      <c r="C1980" s="77">
        <f>Report!U2589</f>
        <v/>
      </c>
      <c r="D1980" s="59">
        <f>Report!X2589</f>
        <v/>
      </c>
    </row>
    <row r="1981" ht="12.75" customHeight="1" s="60">
      <c r="A1981" s="83">
        <f>Report!C2590</f>
        <v/>
      </c>
      <c r="B1981" s="59">
        <f>Report!E2590</f>
        <v/>
      </c>
      <c r="C1981" s="77">
        <f>Report!U2590</f>
        <v/>
      </c>
      <c r="D1981" s="59">
        <f>Report!X2590</f>
        <v/>
      </c>
    </row>
    <row r="1982" ht="12.75" customHeight="1" s="60">
      <c r="A1982" s="83">
        <f>Report!C2591</f>
        <v/>
      </c>
      <c r="B1982" s="59">
        <f>Report!E2591</f>
        <v/>
      </c>
      <c r="C1982" s="77">
        <f>Report!U2591</f>
        <v/>
      </c>
      <c r="D1982" s="59">
        <f>Report!X2591</f>
        <v/>
      </c>
    </row>
    <row r="1983" ht="12.75" customHeight="1" s="60">
      <c r="A1983" s="83">
        <f>Report!C2592</f>
        <v/>
      </c>
      <c r="B1983" s="59">
        <f>Report!E2592</f>
        <v/>
      </c>
      <c r="C1983" s="77">
        <f>Report!U2592</f>
        <v/>
      </c>
      <c r="D1983" s="59">
        <f>Report!X2592</f>
        <v/>
      </c>
    </row>
    <row r="1984" ht="12.75" customHeight="1" s="60">
      <c r="A1984" s="83">
        <f>Report!C2593</f>
        <v/>
      </c>
      <c r="B1984" s="59">
        <f>Report!E2593</f>
        <v/>
      </c>
      <c r="C1984" s="77">
        <f>Report!U2593</f>
        <v/>
      </c>
      <c r="D1984" s="59">
        <f>Report!X2593</f>
        <v/>
      </c>
    </row>
    <row r="1985" ht="12.75" customHeight="1" s="60">
      <c r="A1985" s="83">
        <f>Report!C2594</f>
        <v/>
      </c>
      <c r="B1985" s="59">
        <f>Report!E2594</f>
        <v/>
      </c>
      <c r="C1985" s="77">
        <f>Report!U2594</f>
        <v/>
      </c>
      <c r="D1985" s="59">
        <f>Report!X2594</f>
        <v/>
      </c>
    </row>
    <row r="1986" ht="12.75" customHeight="1" s="60">
      <c r="A1986" s="83">
        <f>Report!C2595</f>
        <v/>
      </c>
      <c r="B1986" s="59">
        <f>Report!E2595</f>
        <v/>
      </c>
      <c r="C1986" s="77">
        <f>Report!U2595</f>
        <v/>
      </c>
      <c r="D1986" s="59">
        <f>Report!X2595</f>
        <v/>
      </c>
    </row>
    <row r="1987" ht="12.75" customHeight="1" s="60">
      <c r="A1987" s="83">
        <f>Report!C2600</f>
        <v/>
      </c>
      <c r="B1987" s="59">
        <f>Report!E2600</f>
        <v/>
      </c>
      <c r="C1987" s="77">
        <f>Report!U2600</f>
        <v/>
      </c>
      <c r="D1987" s="59">
        <f>Report!X2600</f>
        <v/>
      </c>
    </row>
    <row r="1988" ht="12.75" customHeight="1" s="60">
      <c r="A1988" s="83">
        <f>Report!C2601</f>
        <v/>
      </c>
      <c r="B1988" s="59">
        <f>Report!E2601</f>
        <v/>
      </c>
      <c r="C1988" s="77">
        <f>Report!U2601</f>
        <v/>
      </c>
      <c r="D1988" s="59">
        <f>Report!X2601</f>
        <v/>
      </c>
    </row>
    <row r="1989" ht="12.75" customHeight="1" s="60">
      <c r="A1989" s="83">
        <f>Report!C2602</f>
        <v/>
      </c>
      <c r="B1989" s="59">
        <f>Report!E2602</f>
        <v/>
      </c>
      <c r="C1989" s="77">
        <f>Report!U2602</f>
        <v/>
      </c>
      <c r="D1989" s="59">
        <f>Report!X2602</f>
        <v/>
      </c>
    </row>
    <row r="1990" ht="12.75" customHeight="1" s="60">
      <c r="A1990" s="83">
        <f>Report!C2604</f>
        <v/>
      </c>
      <c r="B1990" s="59">
        <f>Report!E2604</f>
        <v/>
      </c>
      <c r="C1990" s="77">
        <f>Report!U2604</f>
        <v/>
      </c>
      <c r="D1990" s="59">
        <f>Report!X2604</f>
        <v/>
      </c>
    </row>
    <row r="1991" ht="12.75" customHeight="1" s="60">
      <c r="A1991" s="83">
        <f>Report!C2605</f>
        <v/>
      </c>
      <c r="B1991" s="59">
        <f>Report!E2605</f>
        <v/>
      </c>
      <c r="C1991" s="77">
        <f>Report!U2605</f>
        <v/>
      </c>
      <c r="D1991" s="59">
        <f>Report!X2605</f>
        <v/>
      </c>
    </row>
    <row r="1992" ht="12.75" customHeight="1" s="60">
      <c r="A1992" s="83">
        <f>Report!C2606</f>
        <v/>
      </c>
      <c r="B1992" s="59">
        <f>Report!E2606</f>
        <v/>
      </c>
      <c r="C1992" s="77">
        <f>Report!U2606</f>
        <v/>
      </c>
      <c r="D1992" s="59">
        <f>Report!X2606</f>
        <v/>
      </c>
    </row>
    <row r="1993" ht="12.75" customHeight="1" s="60">
      <c r="A1993" s="83">
        <f>Report!C2607</f>
        <v/>
      </c>
      <c r="B1993" s="59">
        <f>Report!E2607</f>
        <v/>
      </c>
      <c r="C1993" s="77">
        <f>Report!U2607</f>
        <v/>
      </c>
      <c r="D1993" s="59">
        <f>Report!X2607</f>
        <v/>
      </c>
    </row>
    <row r="1994" ht="12.75" customHeight="1" s="60">
      <c r="A1994" s="83">
        <f>Report!C2608</f>
        <v/>
      </c>
      <c r="B1994" s="59">
        <f>Report!E2608</f>
        <v/>
      </c>
      <c r="C1994" s="77">
        <f>Report!U2608</f>
        <v/>
      </c>
      <c r="D1994" s="59">
        <f>Report!X2608</f>
        <v/>
      </c>
    </row>
    <row r="1995" ht="12.75" customHeight="1" s="60">
      <c r="A1995" s="83">
        <f>Report!C2609</f>
        <v/>
      </c>
      <c r="B1995" s="59">
        <f>Report!E2609</f>
        <v/>
      </c>
      <c r="C1995" s="77">
        <f>Report!U2609</f>
        <v/>
      </c>
      <c r="D1995" s="59">
        <f>Report!X2609</f>
        <v/>
      </c>
    </row>
    <row r="1996" ht="12.75" customHeight="1" s="60">
      <c r="A1996" s="83">
        <f>Report!C2610</f>
        <v/>
      </c>
      <c r="B1996" s="59">
        <f>Report!E2610</f>
        <v/>
      </c>
      <c r="C1996" s="77">
        <f>Report!U2610</f>
        <v/>
      </c>
      <c r="D1996" s="59">
        <f>Report!X2610</f>
        <v/>
      </c>
    </row>
    <row r="1997" ht="12.75" customHeight="1" s="60">
      <c r="A1997" s="83">
        <f>Report!C2611</f>
        <v/>
      </c>
      <c r="B1997" s="59">
        <f>Report!E2611</f>
        <v/>
      </c>
      <c r="C1997" s="77">
        <f>Report!U2611</f>
        <v/>
      </c>
      <c r="D1997" s="59">
        <f>Report!X2611</f>
        <v/>
      </c>
    </row>
    <row r="1998" ht="12.75" customHeight="1" s="60">
      <c r="A1998" s="83">
        <f>Report!C2612</f>
        <v/>
      </c>
      <c r="B1998" s="59">
        <f>Report!E2612</f>
        <v/>
      </c>
      <c r="C1998" s="77">
        <f>Report!U2612</f>
        <v/>
      </c>
      <c r="D1998" s="59">
        <f>Report!X2612</f>
        <v/>
      </c>
    </row>
    <row r="1999" ht="12.75" customHeight="1" s="60">
      <c r="A1999" s="83">
        <f>Report!C2613</f>
        <v/>
      </c>
      <c r="B1999" s="59">
        <f>Report!E2613</f>
        <v/>
      </c>
      <c r="C1999" s="77">
        <f>Report!U2613</f>
        <v/>
      </c>
      <c r="D1999" s="59">
        <f>Report!X2613</f>
        <v/>
      </c>
    </row>
    <row r="2000" ht="12.75" customHeight="1" s="60">
      <c r="A2000" s="83">
        <f>Report!C2614</f>
        <v/>
      </c>
      <c r="B2000" s="59">
        <f>Report!E2614</f>
        <v/>
      </c>
      <c r="C2000" s="77">
        <f>Report!U2614</f>
        <v/>
      </c>
      <c r="D2000" s="59">
        <f>Report!X2614</f>
        <v/>
      </c>
    </row>
    <row r="2001" ht="12.75" customHeight="1" s="60">
      <c r="A2001" s="83">
        <f>Report!C2615</f>
        <v/>
      </c>
      <c r="B2001" s="59">
        <f>Report!E2615</f>
        <v/>
      </c>
      <c r="C2001" s="77">
        <f>Report!U2615</f>
        <v/>
      </c>
      <c r="D2001" s="59">
        <f>Report!X2615</f>
        <v/>
      </c>
    </row>
    <row r="2002" ht="12.75" customHeight="1" s="60">
      <c r="A2002" s="83">
        <f>Report!C2617</f>
        <v/>
      </c>
      <c r="B2002" s="59">
        <f>Report!E2617</f>
        <v/>
      </c>
      <c r="C2002" s="77">
        <f>Report!U2617</f>
        <v/>
      </c>
      <c r="D2002" s="59">
        <f>Report!X2617</f>
        <v/>
      </c>
    </row>
    <row r="2003" ht="12.75" customHeight="1" s="60">
      <c r="A2003" s="83">
        <f>Report!C2618</f>
        <v/>
      </c>
      <c r="B2003" s="59">
        <f>Report!E2618</f>
        <v/>
      </c>
      <c r="C2003" s="77">
        <f>Report!U2618</f>
        <v/>
      </c>
      <c r="D2003" s="59">
        <f>Report!X2618</f>
        <v/>
      </c>
    </row>
    <row r="2004" ht="12.75" customHeight="1" s="60">
      <c r="A2004" s="83">
        <f>Report!C2619</f>
        <v/>
      </c>
      <c r="B2004" s="59">
        <f>Report!E2619</f>
        <v/>
      </c>
      <c r="C2004" s="77">
        <f>Report!U2619</f>
        <v/>
      </c>
      <c r="D2004" s="59">
        <f>Report!X2619</f>
        <v/>
      </c>
    </row>
    <row r="2005" ht="12.75" customHeight="1" s="60">
      <c r="A2005" s="83">
        <f>Report!C2620</f>
        <v/>
      </c>
      <c r="B2005" s="59">
        <f>Report!E2620</f>
        <v/>
      </c>
      <c r="C2005" s="77">
        <f>Report!U2620</f>
        <v/>
      </c>
      <c r="D2005" s="59">
        <f>Report!X2620</f>
        <v/>
      </c>
    </row>
    <row r="2006" ht="12.75" customHeight="1" s="60">
      <c r="A2006" s="83">
        <f>Report!C2621</f>
        <v/>
      </c>
      <c r="B2006" s="59">
        <f>Report!E2621</f>
        <v/>
      </c>
      <c r="C2006" s="77">
        <f>Report!U2621</f>
        <v/>
      </c>
      <c r="D2006" s="59">
        <f>Report!X2621</f>
        <v/>
      </c>
    </row>
    <row r="2007" ht="12.75" customHeight="1" s="60">
      <c r="A2007" s="83">
        <f>Report!C2623</f>
        <v/>
      </c>
      <c r="B2007" s="59">
        <f>Report!E2623</f>
        <v/>
      </c>
      <c r="C2007" s="77">
        <f>Report!U2623</f>
        <v/>
      </c>
      <c r="D2007" s="59">
        <f>Report!X2623</f>
        <v/>
      </c>
    </row>
    <row r="2008" ht="12.75" customHeight="1" s="60">
      <c r="A2008" s="83">
        <f>Report!C2624</f>
        <v/>
      </c>
      <c r="B2008" s="59">
        <f>Report!E2624</f>
        <v/>
      </c>
      <c r="C2008" s="77">
        <f>Report!U2624</f>
        <v/>
      </c>
      <c r="D2008" s="59">
        <f>Report!X2624</f>
        <v/>
      </c>
    </row>
    <row r="2009" ht="12.75" customHeight="1" s="60">
      <c r="A2009" s="83">
        <f>Report!C2625</f>
        <v/>
      </c>
      <c r="B2009" s="59">
        <f>Report!E2625</f>
        <v/>
      </c>
      <c r="C2009" s="77">
        <f>Report!U2625</f>
        <v/>
      </c>
      <c r="D2009" s="59">
        <f>Report!X2625</f>
        <v/>
      </c>
    </row>
    <row r="2010" ht="12.75" customHeight="1" s="60">
      <c r="A2010" s="83">
        <f>Report!C2626</f>
        <v/>
      </c>
      <c r="B2010" s="59">
        <f>Report!E2626</f>
        <v/>
      </c>
      <c r="C2010" s="77">
        <f>Report!U2626</f>
        <v/>
      </c>
      <c r="D2010" s="59">
        <f>Report!X2626</f>
        <v/>
      </c>
    </row>
    <row r="2011" ht="12.75" customHeight="1" s="60">
      <c r="A2011" s="83">
        <f>Report!C2627</f>
        <v/>
      </c>
      <c r="B2011" s="59">
        <f>Report!E2627</f>
        <v/>
      </c>
      <c r="C2011" s="77">
        <f>Report!U2627</f>
        <v/>
      </c>
      <c r="D2011" s="59">
        <f>Report!X2627</f>
        <v/>
      </c>
    </row>
    <row r="2012" ht="12.75" customHeight="1" s="60">
      <c r="A2012" s="83">
        <f>Report!C2631</f>
        <v/>
      </c>
      <c r="B2012" s="59">
        <f>Report!E2631</f>
        <v/>
      </c>
      <c r="C2012" s="77">
        <f>Report!U2631</f>
        <v/>
      </c>
      <c r="D2012" s="59">
        <f>Report!X2631</f>
        <v/>
      </c>
    </row>
    <row r="2013" ht="12.75" customHeight="1" s="60">
      <c r="A2013" s="83">
        <f>Report!C2632</f>
        <v/>
      </c>
      <c r="B2013" s="59">
        <f>Report!E2632</f>
        <v/>
      </c>
      <c r="C2013" s="77">
        <f>Report!U2632</f>
        <v/>
      </c>
      <c r="D2013" s="59">
        <f>Report!X2632</f>
        <v/>
      </c>
    </row>
    <row r="2014" ht="12.75" customHeight="1" s="60">
      <c r="A2014" s="83">
        <f>Report!C2633</f>
        <v/>
      </c>
      <c r="B2014" s="59">
        <f>Report!E2633</f>
        <v/>
      </c>
      <c r="C2014" s="77">
        <f>Report!U2633</f>
        <v/>
      </c>
      <c r="D2014" s="59">
        <f>Report!X2633</f>
        <v/>
      </c>
    </row>
    <row r="2015" ht="12.75" customHeight="1" s="60">
      <c r="A2015" s="83">
        <f>Report!C2634</f>
        <v/>
      </c>
      <c r="B2015" s="59">
        <f>Report!E2634</f>
        <v/>
      </c>
      <c r="C2015" s="77">
        <f>Report!U2634</f>
        <v/>
      </c>
      <c r="D2015" s="59">
        <f>Report!X2634</f>
        <v/>
      </c>
    </row>
    <row r="2016" ht="12.75" customHeight="1" s="60">
      <c r="A2016" s="83">
        <f>Report!C2635</f>
        <v/>
      </c>
      <c r="B2016" s="59">
        <f>Report!E2635</f>
        <v/>
      </c>
      <c r="C2016" s="77">
        <f>Report!U2635</f>
        <v/>
      </c>
      <c r="D2016" s="59">
        <f>Report!X2635</f>
        <v/>
      </c>
    </row>
    <row r="2017" ht="12.75" customHeight="1" s="60">
      <c r="A2017" s="83">
        <f>Report!C2640</f>
        <v/>
      </c>
      <c r="B2017" s="59">
        <f>Report!E2640</f>
        <v/>
      </c>
      <c r="C2017" s="77">
        <f>Report!U2640</f>
        <v/>
      </c>
      <c r="D2017" s="59">
        <f>Report!X2640</f>
        <v/>
      </c>
    </row>
    <row r="2018" ht="12.75" customHeight="1" s="60">
      <c r="A2018" s="83">
        <f>Report!C2642</f>
        <v/>
      </c>
      <c r="B2018" s="59">
        <f>Report!E2642</f>
        <v/>
      </c>
      <c r="C2018" s="77">
        <f>Report!U2642</f>
        <v/>
      </c>
      <c r="D2018" s="59">
        <f>Report!X2642</f>
        <v/>
      </c>
    </row>
    <row r="2019" ht="12.75" customHeight="1" s="60">
      <c r="A2019" s="83">
        <f>Report!C2643</f>
        <v/>
      </c>
      <c r="B2019" s="59">
        <f>Report!E2643</f>
        <v/>
      </c>
      <c r="C2019" s="77">
        <f>Report!U2643</f>
        <v/>
      </c>
      <c r="D2019" s="59">
        <f>Report!X2643</f>
        <v/>
      </c>
    </row>
    <row r="2020" ht="12.75" customHeight="1" s="60">
      <c r="A2020" s="83">
        <f>Report!C2644</f>
        <v/>
      </c>
      <c r="B2020" s="59">
        <f>Report!E2644</f>
        <v/>
      </c>
      <c r="C2020" s="77">
        <f>Report!U2644</f>
        <v/>
      </c>
      <c r="D2020" s="59">
        <f>Report!X2644</f>
        <v/>
      </c>
    </row>
    <row r="2021" ht="12.75" customHeight="1" s="60">
      <c r="A2021" s="83">
        <f>Report!C2647</f>
        <v/>
      </c>
      <c r="B2021" s="59">
        <f>Report!E2647</f>
        <v/>
      </c>
      <c r="C2021" s="77">
        <f>Report!U2647</f>
        <v/>
      </c>
      <c r="D2021" s="59">
        <f>Report!X2647</f>
        <v/>
      </c>
    </row>
    <row r="2022" ht="12.75" customHeight="1" s="60">
      <c r="A2022" s="83">
        <f>Report!C2649</f>
        <v/>
      </c>
      <c r="B2022" s="59">
        <f>Report!E2649</f>
        <v/>
      </c>
      <c r="C2022" s="77">
        <f>Report!U2649</f>
        <v/>
      </c>
      <c r="D2022" s="59">
        <f>Report!X2649</f>
        <v/>
      </c>
    </row>
    <row r="2023" ht="12.75" customHeight="1" s="60">
      <c r="A2023" s="83">
        <f>Report!C2650</f>
        <v/>
      </c>
      <c r="B2023" s="59">
        <f>Report!E2650</f>
        <v/>
      </c>
      <c r="C2023" s="77">
        <f>Report!U2650</f>
        <v/>
      </c>
      <c r="D2023" s="59">
        <f>Report!X2650</f>
        <v/>
      </c>
    </row>
    <row r="2024" ht="12.75" customHeight="1" s="60">
      <c r="A2024" s="83">
        <f>Report!C2651</f>
        <v/>
      </c>
      <c r="B2024" s="59">
        <f>Report!E2651</f>
        <v/>
      </c>
      <c r="C2024" s="77">
        <f>Report!U2651</f>
        <v/>
      </c>
      <c r="D2024" s="59">
        <f>Report!X2651</f>
        <v/>
      </c>
    </row>
    <row r="2025" ht="12.75" customHeight="1" s="60">
      <c r="A2025" s="83">
        <f>Report!C2654</f>
        <v/>
      </c>
      <c r="B2025" s="59">
        <f>Report!E2654</f>
        <v/>
      </c>
      <c r="C2025" s="77">
        <f>Report!U2654</f>
        <v/>
      </c>
      <c r="D2025" s="59">
        <f>Report!X2654</f>
        <v/>
      </c>
    </row>
    <row r="2026" ht="12.75" customHeight="1" s="60">
      <c r="A2026" s="83">
        <f>Report!C2657</f>
        <v/>
      </c>
      <c r="B2026" s="59">
        <f>Report!E2657</f>
        <v/>
      </c>
      <c r="C2026" s="77">
        <f>Report!U2657</f>
        <v/>
      </c>
      <c r="D2026" s="59">
        <f>Report!X2657</f>
        <v/>
      </c>
    </row>
    <row r="2027" ht="12.75" customHeight="1" s="60">
      <c r="A2027" s="83">
        <f>Report!C2658</f>
        <v/>
      </c>
      <c r="B2027" s="59">
        <f>Report!E2658</f>
        <v/>
      </c>
      <c r="C2027" s="77">
        <f>Report!U2658</f>
        <v/>
      </c>
      <c r="D2027" s="59">
        <f>Report!X2658</f>
        <v/>
      </c>
    </row>
    <row r="2028" ht="12.75" customHeight="1" s="60">
      <c r="A2028" s="83">
        <f>Report!C2659</f>
        <v/>
      </c>
      <c r="B2028" s="59">
        <f>Report!E2659</f>
        <v/>
      </c>
      <c r="C2028" s="77">
        <f>Report!U2659</f>
        <v/>
      </c>
      <c r="D2028" s="59">
        <f>Report!X2659</f>
        <v/>
      </c>
    </row>
    <row r="2029" ht="12.75" customHeight="1" s="60">
      <c r="A2029" s="83">
        <f>Report!C2660</f>
        <v/>
      </c>
      <c r="B2029" s="59">
        <f>Report!E2660</f>
        <v/>
      </c>
      <c r="C2029" s="77">
        <f>Report!U2660</f>
        <v/>
      </c>
      <c r="D2029" s="59">
        <f>Report!X2660</f>
        <v/>
      </c>
    </row>
    <row r="2030" ht="12.75" customHeight="1" s="60">
      <c r="A2030" s="83">
        <f>Report!C2661</f>
        <v/>
      </c>
      <c r="B2030" s="59">
        <f>Report!E2661</f>
        <v/>
      </c>
      <c r="C2030" s="77">
        <f>Report!U2661</f>
        <v/>
      </c>
      <c r="D2030" s="59">
        <f>Report!X2661</f>
        <v/>
      </c>
    </row>
    <row r="2031" ht="12.75" customHeight="1" s="60">
      <c r="A2031" s="83">
        <f>Report!C2662</f>
        <v/>
      </c>
      <c r="B2031" s="59">
        <f>Report!E2662</f>
        <v/>
      </c>
      <c r="C2031" s="77">
        <f>Report!U2662</f>
        <v/>
      </c>
      <c r="D2031" s="59">
        <f>Report!X2662</f>
        <v/>
      </c>
    </row>
    <row r="2032" ht="12.75" customHeight="1" s="60">
      <c r="A2032" s="83">
        <f>Report!C2672</f>
        <v/>
      </c>
      <c r="B2032" s="59">
        <f>Report!E2672</f>
        <v/>
      </c>
      <c r="C2032" s="77">
        <f>Report!U2672</f>
        <v/>
      </c>
      <c r="D2032" s="59">
        <f>Report!X2672</f>
        <v/>
      </c>
    </row>
    <row r="2033" ht="12.75" customHeight="1" s="60">
      <c r="A2033" s="83">
        <f>Report!C2676</f>
        <v/>
      </c>
      <c r="B2033" s="59">
        <f>Report!E2676</f>
        <v/>
      </c>
      <c r="C2033" s="77">
        <f>Report!U2676</f>
        <v/>
      </c>
      <c r="D2033" s="59">
        <f>Report!X2676</f>
        <v/>
      </c>
    </row>
    <row r="2034" ht="12.75" customHeight="1" s="60">
      <c r="A2034" s="83">
        <f>Report!C2678</f>
        <v/>
      </c>
      <c r="B2034" s="59">
        <f>Report!E2678</f>
        <v/>
      </c>
      <c r="C2034" s="77">
        <f>Report!U2678</f>
        <v/>
      </c>
      <c r="D2034" s="59">
        <f>Report!X2678</f>
        <v/>
      </c>
    </row>
    <row r="2035" ht="12.75" customHeight="1" s="60">
      <c r="A2035" s="83">
        <f>Report!C2686</f>
        <v/>
      </c>
      <c r="B2035" s="59">
        <f>Report!E2686</f>
        <v/>
      </c>
      <c r="C2035" s="77">
        <f>Report!U2686</f>
        <v/>
      </c>
      <c r="D2035" s="59">
        <f>Report!X2686</f>
        <v/>
      </c>
    </row>
    <row r="2036" ht="12.75" customHeight="1" s="60">
      <c r="A2036" s="83">
        <f>Report!C2692</f>
        <v/>
      </c>
      <c r="B2036" s="59">
        <f>Report!E2692</f>
        <v/>
      </c>
      <c r="C2036" s="77">
        <f>Report!U2692</f>
        <v/>
      </c>
      <c r="D2036" s="59">
        <f>Report!X2692</f>
        <v/>
      </c>
    </row>
    <row r="2037" ht="12.75" customHeight="1" s="60">
      <c r="A2037" s="83">
        <f>Report!C2699</f>
        <v/>
      </c>
      <c r="B2037" s="59">
        <f>Report!E2699</f>
        <v/>
      </c>
      <c r="C2037" s="77">
        <f>Report!U2699</f>
        <v/>
      </c>
      <c r="D2037" s="59">
        <f>Report!X2699</f>
        <v/>
      </c>
    </row>
    <row r="2038" ht="12.75" customHeight="1" s="60">
      <c r="A2038" s="83">
        <f>Report!C2712</f>
        <v/>
      </c>
      <c r="B2038" s="59">
        <f>Report!E2712</f>
        <v/>
      </c>
      <c r="C2038" s="77">
        <f>Report!U2712</f>
        <v/>
      </c>
      <c r="D2038" s="59">
        <f>Report!X2712</f>
        <v/>
      </c>
    </row>
  </sheetData>
  <autoFilter ref="A1:D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87" min="1" max="1"/>
    <col width="13.11" customWidth="1" style="77" min="2" max="2"/>
    <col width="14.67" customWidth="1" style="77" min="3" max="4"/>
  </cols>
  <sheetData>
    <row r="1" ht="12.75" customHeight="1" s="60">
      <c r="A1" s="88" t="inlineStr">
        <is>
          <t>Mes</t>
        </is>
      </c>
      <c r="B1" s="86" t="inlineStr">
        <is>
          <t>Outras Despesas</t>
        </is>
      </c>
      <c r="C1" s="86" t="inlineStr">
        <is>
          <t>Mercadorias P/Revenda</t>
        </is>
      </c>
      <c r="D1" s="86" t="inlineStr">
        <is>
          <t>Total</t>
        </is>
      </c>
    </row>
    <row r="2" ht="12.75" customHeight="1" s="60">
      <c r="A2" s="87" t="inlineStr">
        <is>
          <t>Jan/2026</t>
        </is>
      </c>
      <c r="B2" s="77">
        <f>SUMIFS(Report!$U:$U,Report!$T:$T,"&lt;&gt;"&amp;"MERCADORIAS P/REVENDA",Report!$AA:$AA,"SIM",Report!$C:$C,"&gt;="&amp;DATE(2026,1,1),Report!$C:$C,"&lt;="&amp;DATE(2026,1,31))</f>
        <v/>
      </c>
      <c r="C2" s="77">
        <f>SUMIFS(Report!$U:$U,Report!$T:$T,"MERCADORIAS P/REVENDA",Report!$AA:$AA,"SIM",Report!$C:$C,"&gt;="&amp;DATE(2026,1,1),Report!$C:$C,"&lt;="&amp;DATE(2026,1,31))</f>
        <v/>
      </c>
      <c r="D2" s="77">
        <f>B2+C2</f>
        <v/>
      </c>
    </row>
    <row r="3" ht="12.75" customHeight="1" s="60">
      <c r="A3" s="87" t="inlineStr">
        <is>
          <t>Fev/2026</t>
        </is>
      </c>
      <c r="B3" s="77">
        <f>SUMIFS(Report!$U:$U,Report!$T:$T,"&lt;&gt;"&amp;"MERCADORIAS P/REVENDA",Report!$AA:$AA,"SIM",Report!$C:$C,"&gt;="&amp;DATE(2026,2,1),Report!$C:$C,"&lt;="&amp;DATE(2026,2,28))</f>
        <v/>
      </c>
      <c r="C3" s="77">
        <f>SUMIFS(Report!$U:$U,Report!$T:$T,"MERCADORIAS P/REVENDA",Report!$AA:$AA,"SIM",Report!$C:$C,"&gt;="&amp;DATE(2026,2,1),Report!$C:$C,"&lt;="&amp;DATE(2026,2,28))</f>
        <v/>
      </c>
      <c r="D3" s="77">
        <f>B3+C3</f>
        <v/>
      </c>
    </row>
    <row r="4" ht="12.75" customHeight="1" s="60">
      <c r="A4" s="87" t="inlineStr">
        <is>
          <t>Mar/2026</t>
        </is>
      </c>
      <c r="B4" s="77">
        <f>SUMIFS(Report!$U:$U,Report!$T:$T,"&lt;&gt;"&amp;"MERCADORIAS P/REVENDA",Report!$AA:$AA,"SIM",Report!$C:$C,"&gt;="&amp;DATE(2026,3,1),Report!$C:$C,"&lt;="&amp;DATE(2026,3,31))</f>
        <v/>
      </c>
      <c r="C4" s="77">
        <f>SUMIFS(Report!$U:$U,Report!$T:$T,"MERCADORIAS P/REVENDA",Report!$AA:$AA,"SIM",Report!$C:$C,"&gt;="&amp;DATE(2026,3,1),Report!$C:$C,"&lt;="&amp;DATE(2026,3,31))</f>
        <v/>
      </c>
      <c r="D4" s="77">
        <f>B4+C4</f>
        <v/>
      </c>
    </row>
    <row r="5" ht="12.75" customHeight="1" s="60">
      <c r="A5" s="87" t="inlineStr">
        <is>
          <t>Abr/2026</t>
        </is>
      </c>
      <c r="B5" s="77">
        <f>SUMIFS(Report!$U:$U,Report!$T:$T,"&lt;&gt;"&amp;"MERCADORIAS P/REVENDA",Report!$AA:$AA,"SIM",Report!$C:$C,"&gt;="&amp;DATE(2026,4,1),Report!$C:$C,"&lt;="&amp;DATE(2026,4,30))</f>
        <v/>
      </c>
      <c r="C5" s="77">
        <f>SUMIFS(Report!$U:$U,Report!$T:$T,"MERCADORIAS P/REVENDA",Report!$AA:$AA,"SIM",Report!$C:$C,"&gt;="&amp;DATE(2026,4,1),Report!$C:$C,"&lt;="&amp;DATE(2026,4,30))</f>
        <v/>
      </c>
      <c r="D5" s="77">
        <f>B5+C5</f>
        <v/>
      </c>
    </row>
    <row r="6" ht="12.75" customHeight="1" s="60">
      <c r="A6" s="87" t="inlineStr">
        <is>
          <t>Mai/2026</t>
        </is>
      </c>
      <c r="B6" s="77">
        <f>SUMIFS(Report!$U:$U,Report!$T:$T,"&lt;&gt;"&amp;"MERCADORIAS P/REVENDA",Report!$AA:$AA,"SIM",Report!$C:$C,"&gt;="&amp;DATE(2026,5,1),Report!$C:$C,"&lt;="&amp;DATE(2026,5,31))</f>
        <v/>
      </c>
      <c r="C6" s="77">
        <f>SUMIFS(Report!$U:$U,Report!$T:$T,"MERCADORIAS P/REVENDA",Report!$AA:$AA,"SIM",Report!$C:$C,"&gt;="&amp;DATE(2026,5,1),Report!$C:$C,"&lt;="&amp;DATE(2026,5,31))</f>
        <v/>
      </c>
      <c r="D6" s="77">
        <f>B6+C6</f>
        <v/>
      </c>
    </row>
    <row r="7" ht="12.75" customHeight="1" s="60">
      <c r="A7" s="87" t="inlineStr">
        <is>
          <t>Jun/2026</t>
        </is>
      </c>
      <c r="B7" s="77">
        <f>SUMIFS(Report!$U:$U,Report!$T:$T,"&lt;&gt;"&amp;"MERCADORIAS P/REVENDA",Report!$AA:$AA,"SIM",Report!$C:$C,"&gt;="&amp;DATE(2026,6,1),Report!$C:$C,"&lt;="&amp;DATE(2026,6,30))</f>
        <v/>
      </c>
      <c r="C7" s="77">
        <f>SUMIFS(Report!$U:$U,Report!$T:$T,"MERCADORIAS P/REVENDA",Report!$AA:$AA,"SIM",Report!$C:$C,"&gt;="&amp;DATE(2026,6,1),Report!$C:$C,"&lt;="&amp;DATE(2026,6,30))</f>
        <v/>
      </c>
      <c r="D7" s="77">
        <f>B7+C7</f>
        <v/>
      </c>
    </row>
    <row r="8" ht="12.75" customHeight="1" s="60">
      <c r="A8" s="87" t="inlineStr">
        <is>
          <t>Jul/2026</t>
        </is>
      </c>
      <c r="B8" s="77">
        <f>SUMIFS(Report!$U:$U,Report!$T:$T,"&lt;&gt;"&amp;"MERCADORIAS P/REVENDA",Report!$AA:$AA,"SIM",Report!$C:$C,"&gt;="&amp;DATE(2026,7,1),Report!$C:$C,"&lt;="&amp;DATE(2026,7,31))</f>
        <v/>
      </c>
      <c r="C8" s="77">
        <f>SUMIFS(Report!$U:$U,Report!$T:$T,"MERCADORIAS P/REVENDA",Report!$AA:$AA,"SIM",Report!$C:$C,"&gt;="&amp;DATE(2026,7,1),Report!$C:$C,"&lt;="&amp;DATE(2026,7,31))</f>
        <v/>
      </c>
      <c r="D8" s="77">
        <f>B8+C8</f>
        <v/>
      </c>
    </row>
    <row r="9" ht="12.75" customHeight="1" s="60">
      <c r="A9" s="87" t="inlineStr">
        <is>
          <t>Ago/2026</t>
        </is>
      </c>
      <c r="B9" s="77">
        <f>SUMIFS(Report!$U:$U,Report!$T:$T,"&lt;&gt;"&amp;"MERCADORIAS P/REVENDA",Report!$AA:$AA,"SIM",Report!$C:$C,"&gt;="&amp;DATE(2026,8,1),Report!$C:$C,"&lt;="&amp;DATE(2026,8,31))</f>
        <v/>
      </c>
      <c r="C9" s="77">
        <f>SUMIFS(Report!$U:$U,Report!$T:$T,"MERCADORIAS P/REVENDA",Report!$AA:$AA,"SIM",Report!$C:$C,"&gt;="&amp;DATE(2026,8,1),Report!$C:$C,"&lt;="&amp;DATE(2026,8,31))</f>
        <v/>
      </c>
      <c r="D9" s="77">
        <f>B9+C9</f>
        <v/>
      </c>
    </row>
    <row r="10" ht="12.75" customHeight="1" s="60">
      <c r="A10" s="87" t="inlineStr">
        <is>
          <t>Set/2026</t>
        </is>
      </c>
      <c r="B10" s="77">
        <f>SUMIFS(Report!$U:$U,Report!$T:$T,"&lt;&gt;"&amp;"MERCADORIAS P/REVENDA",Report!$AA:$AA,"SIM",Report!$C:$C,"&gt;="&amp;DATE(2026,9,1),Report!$C:$C,"&lt;="&amp;DATE(2026,9,30))</f>
        <v/>
      </c>
      <c r="C10" s="77">
        <f>SUMIFS(Report!$U:$U,Report!$T:$T,"MERCADORIAS P/REVENDA",Report!$AA:$AA,"SIM",Report!$C:$C,"&gt;="&amp;DATE(2026,9,1),Report!$C:$C,"&lt;="&amp;DATE(2026,9,30))</f>
        <v/>
      </c>
      <c r="D10" s="77">
        <f>B10+C10</f>
        <v/>
      </c>
    </row>
    <row r="11" ht="12.75" customHeight="1" s="60">
      <c r="A11" s="87" t="inlineStr">
        <is>
          <t>Out/2026</t>
        </is>
      </c>
      <c r="B11" s="77">
        <f>SUMIFS(Report!$U:$U,Report!$T:$T,"&lt;&gt;"&amp;"MERCADORIAS P/REVENDA",Report!$AA:$AA,"SIM",Report!$C:$C,"&gt;="&amp;DATE(2026,10,1),Report!$C:$C,"&lt;="&amp;DATE(2026,10,31))</f>
        <v/>
      </c>
      <c r="C11" s="77">
        <f>SUMIFS(Report!$U:$U,Report!$T:$T,"MERCADORIAS P/REVENDA",Report!$AA:$AA,"SIM",Report!$C:$C,"&gt;="&amp;DATE(2026,10,1),Report!$C:$C,"&lt;="&amp;DATE(2026,10,31))</f>
        <v/>
      </c>
      <c r="D11" s="77">
        <f>B11+C11</f>
        <v/>
      </c>
    </row>
    <row r="12" ht="12.75" customHeight="1" s="60">
      <c r="A12" s="87" t="inlineStr">
        <is>
          <t>Nov/2026</t>
        </is>
      </c>
      <c r="B12" s="77">
        <f>SUMIFS(Report!$U:$U,Report!$T:$T,"&lt;&gt;"&amp;"MERCADORIAS P/REVENDA",Report!$AA:$AA,"SIM",Report!$C:$C,"&gt;="&amp;DATE(2026,11,1),Report!$C:$C,"&lt;="&amp;DATE(2026,11,30))</f>
        <v/>
      </c>
      <c r="C12" s="77">
        <f>SUMIFS(Report!$U:$U,Report!$T:$T,"MERCADORIAS P/REVENDA",Report!$AA:$AA,"SIM",Report!$C:$C,"&gt;="&amp;DATE(2026,11,1),Report!$C:$C,"&lt;="&amp;DATE(2026,11,30))</f>
        <v/>
      </c>
      <c r="D12" s="77">
        <f>B12+C12</f>
        <v/>
      </c>
    </row>
    <row r="13" ht="12.75" customHeight="1" s="60">
      <c r="A13" s="87" t="inlineStr">
        <is>
          <t>Dez/2026</t>
        </is>
      </c>
      <c r="B13" s="77">
        <f>SUMIFS(Report!$U:$U,Report!$T:$T,"&lt;&gt;"&amp;"MERCADORIAS P/REVENDA",Report!$AA:$AA,"SIM",Report!$C:$C,"&gt;="&amp;DATE(2026,12,1),Report!$C:$C,"&lt;="&amp;DATE(2026,12,31))</f>
        <v/>
      </c>
      <c r="C13" s="77">
        <f>SUMIFS(Report!$U:$U,Report!$T:$T,"MERCADORIAS P/REVENDA",Report!$AA:$AA,"SIM",Report!$C:$C,"&gt;="&amp;DATE(2026,12,1),Report!$C:$C,"&lt;="&amp;DATE(2026,12,31))</f>
        <v/>
      </c>
      <c r="D13" s="77">
        <f>B13+C13</f>
        <v/>
      </c>
    </row>
    <row r="14" ht="12.75" customHeight="1" s="60">
      <c r="A14" s="87" t="inlineStr">
        <is>
          <t>Jan/2027</t>
        </is>
      </c>
      <c r="B14" s="77">
        <f>SUMIFS(Report!$U:$U,Report!$T:$T,"&lt;&gt;"&amp;"MERCADORIAS P/REVENDA",Report!$AA:$AA,"SIM",Report!$C:$C,"&gt;="&amp;DATE(2027,1,1),Report!$C:$C,"&lt;="&amp;DATE(2027,1,31))</f>
        <v/>
      </c>
      <c r="C14" s="77">
        <f>SUMIFS(Report!$U:$U,Report!$T:$T,"MERCADORIAS P/REVENDA",Report!$AA:$AA,"SIM",Report!$C:$C,"&gt;="&amp;DATE(2027,1,1),Report!$C:$C,"&lt;="&amp;DATE(2027,1,31))</f>
        <v/>
      </c>
      <c r="D14" s="77">
        <f>B14+C14</f>
        <v/>
      </c>
    </row>
    <row r="15" ht="12.75" customHeight="1" s="60">
      <c r="A15" s="87" t="inlineStr">
        <is>
          <t>Fev/2027</t>
        </is>
      </c>
      <c r="B15" s="77">
        <f>SUMIFS(Report!$U:$U,Report!$T:$T,"&lt;&gt;"&amp;"MERCADORIAS P/REVENDA",Report!$AA:$AA,"SIM",Report!$C:$C,"&gt;="&amp;DATE(2027,2,1),Report!$C:$C,"&lt;="&amp;DATE(2027,2,28))</f>
        <v/>
      </c>
      <c r="C15" s="77">
        <f>SUMIFS(Report!$U:$U,Report!$T:$T,"MERCADORIAS P/REVENDA",Report!$AA:$AA,"SIM",Report!$C:$C,"&gt;="&amp;DATE(2027,2,1),Report!$C:$C,"&lt;="&amp;DATE(2027,2,28))</f>
        <v/>
      </c>
      <c r="D15" s="77">
        <f>B15+C15</f>
        <v/>
      </c>
    </row>
    <row r="16" ht="12.75" customHeight="1" s="60">
      <c r="A16" s="87" t="inlineStr">
        <is>
          <t>Mar/2027</t>
        </is>
      </c>
      <c r="B16" s="77">
        <f>SUMIFS(Report!$U:$U,Report!$T:$T,"&lt;&gt;"&amp;"MERCADORIAS P/REVENDA",Report!$AA:$AA,"SIM",Report!$C:$C,"&gt;="&amp;DATE(2027,3,1),Report!$C:$C,"&lt;="&amp;DATE(2027,3,31))</f>
        <v/>
      </c>
      <c r="C16" s="77">
        <f>SUMIFS(Report!$U:$U,Report!$T:$T,"MERCADORIAS P/REVENDA",Report!$AA:$AA,"SIM",Report!$C:$C,"&gt;="&amp;DATE(2027,3,1),Report!$C:$C,"&lt;="&amp;DATE(2027,3,31))</f>
        <v/>
      </c>
      <c r="D16" s="77">
        <f>B16+C16</f>
        <v/>
      </c>
    </row>
    <row r="17" ht="12.75" customHeight="1" s="60">
      <c r="A17" s="87" t="inlineStr">
        <is>
          <t>Abr/2027</t>
        </is>
      </c>
      <c r="B17" s="77">
        <f>SUMIFS(Report!$U:$U,Report!$T:$T,"&lt;&gt;"&amp;"MERCADORIAS P/REVENDA",Report!$AA:$AA,"SIM",Report!$C:$C,"&gt;="&amp;DATE(2027,4,1),Report!$C:$C,"&lt;="&amp;DATE(2027,4,30))</f>
        <v/>
      </c>
      <c r="C17" s="77">
        <f>SUMIFS(Report!$U:$U,Report!$T:$T,"MERCADORIAS P/REVENDA",Report!$AA:$AA,"SIM",Report!$C:$C,"&gt;="&amp;DATE(2027,4,1),Report!$C:$C,"&lt;="&amp;DATE(2027,4,30))</f>
        <v/>
      </c>
      <c r="D17" s="77">
        <f>B17+C17</f>
        <v/>
      </c>
    </row>
    <row r="18" ht="12.75" customHeight="1" s="60">
      <c r="A18" s="87" t="inlineStr">
        <is>
          <t>Mai/2027</t>
        </is>
      </c>
      <c r="B18" s="77">
        <f>SUMIFS(Report!$U:$U,Report!$T:$T,"&lt;&gt;"&amp;"MERCADORIAS P/REVENDA",Report!$AA:$AA,"SIM",Report!$C:$C,"&gt;="&amp;DATE(2027,5,1),Report!$C:$C,"&lt;="&amp;DATE(2027,5,31))</f>
        <v/>
      </c>
      <c r="C18" s="77">
        <f>SUMIFS(Report!$U:$U,Report!$T:$T,"MERCADORIAS P/REVENDA",Report!$AA:$AA,"SIM",Report!$C:$C,"&gt;="&amp;DATE(2027,5,1),Report!$C:$C,"&lt;="&amp;DATE(2027,5,31))</f>
        <v/>
      </c>
      <c r="D18" s="77">
        <f>B18+C18</f>
        <v/>
      </c>
    </row>
    <row r="19" ht="12.75" customHeight="1" s="60">
      <c r="A19" s="87" t="inlineStr">
        <is>
          <t>Jun/2027</t>
        </is>
      </c>
      <c r="B19" s="77">
        <f>SUMIFS(Report!$U:$U,Report!$T:$T,"&lt;&gt;"&amp;"MERCADORIAS P/REVENDA",Report!$AA:$AA,"SIM",Report!$C:$C,"&gt;="&amp;DATE(2027,6,1),Report!$C:$C,"&lt;="&amp;DATE(2027,6,30))</f>
        <v/>
      </c>
      <c r="C19" s="77">
        <f>SUMIFS(Report!$U:$U,Report!$T:$T,"MERCADORIAS P/REVENDA",Report!$AA:$AA,"SIM",Report!$C:$C,"&gt;="&amp;DATE(2027,6,1),Report!$C:$C,"&lt;="&amp;DATE(2027,6,30))</f>
        <v/>
      </c>
      <c r="D19" s="77">
        <f>B19+C19</f>
        <v/>
      </c>
    </row>
    <row r="20" ht="12.75" customHeight="1" s="60">
      <c r="A20" s="87" t="inlineStr">
        <is>
          <t>Jul/2027</t>
        </is>
      </c>
      <c r="B20" s="77">
        <f>SUMIFS(Report!$U:$U,Report!$T:$T,"&lt;&gt;"&amp;"MERCADORIAS P/REVENDA",Report!$AA:$AA,"SIM",Report!$C:$C,"&gt;="&amp;DATE(2027,7,1),Report!$C:$C,"&lt;="&amp;DATE(2027,7,31))</f>
        <v/>
      </c>
      <c r="C20" s="77">
        <f>SUMIFS(Report!$U:$U,Report!$T:$T,"MERCADORIAS P/REVENDA",Report!$AA:$AA,"SIM",Report!$C:$C,"&gt;="&amp;DATE(2027,7,1),Report!$C:$C,"&lt;="&amp;DATE(2027,7,31))</f>
        <v/>
      </c>
      <c r="D20" s="77">
        <f>B20+C20</f>
        <v/>
      </c>
    </row>
    <row r="21" ht="12.75" customHeight="1" s="60">
      <c r="A21" s="87" t="inlineStr">
        <is>
          <t>Ago/2027</t>
        </is>
      </c>
      <c r="B21" s="77">
        <f>SUMIFS(Report!$U:$U,Report!$T:$T,"&lt;&gt;"&amp;"MERCADORIAS P/REVENDA",Report!$AA:$AA,"SIM",Report!$C:$C,"&gt;="&amp;DATE(2027,8,1),Report!$C:$C,"&lt;="&amp;DATE(2027,8,31))</f>
        <v/>
      </c>
      <c r="C21" s="77">
        <f>SUMIFS(Report!$U:$U,Report!$T:$T,"MERCADORIAS P/REVENDA",Report!$AA:$AA,"SIM",Report!$C:$C,"&gt;="&amp;DATE(2027,8,1),Report!$C:$C,"&lt;="&amp;DATE(2027,8,31))</f>
        <v/>
      </c>
      <c r="D21" s="77">
        <f>B21+C21</f>
        <v/>
      </c>
    </row>
    <row r="22" ht="12.75" customHeight="1" s="60">
      <c r="A22" s="87" t="inlineStr">
        <is>
          <t>Set/2027</t>
        </is>
      </c>
      <c r="B22" s="77">
        <f>SUMIFS(Report!$U:$U,Report!$T:$T,"&lt;&gt;"&amp;"MERCADORIAS P/REVENDA",Report!$AA:$AA,"SIM",Report!$C:$C,"&gt;="&amp;DATE(2027,9,1),Report!$C:$C,"&lt;="&amp;DATE(2027,9,30))</f>
        <v/>
      </c>
      <c r="C22" s="77">
        <f>SUMIFS(Report!$U:$U,Report!$T:$T,"MERCADORIAS P/REVENDA",Report!$AA:$AA,"SIM",Report!$C:$C,"&gt;="&amp;DATE(2027,9,1),Report!$C:$C,"&lt;="&amp;DATE(2027,9,30))</f>
        <v/>
      </c>
      <c r="D22" s="77">
        <f>B22+C22</f>
        <v/>
      </c>
    </row>
    <row r="23" ht="12.75" customHeight="1" s="60">
      <c r="A23" s="87" t="inlineStr">
        <is>
          <t>Out/2027</t>
        </is>
      </c>
      <c r="B23" s="77">
        <f>SUMIFS(Report!$U:$U,Report!$T:$T,"&lt;&gt;"&amp;"MERCADORIAS P/REVENDA",Report!$AA:$AA,"SIM",Report!$C:$C,"&gt;="&amp;DATE(2027,10,1),Report!$C:$C,"&lt;="&amp;DATE(2027,10,31))</f>
        <v/>
      </c>
      <c r="C23" s="77">
        <f>SUMIFS(Report!$U:$U,Report!$T:$T,"MERCADORIAS P/REVENDA",Report!$AA:$AA,"SIM",Report!$C:$C,"&gt;="&amp;DATE(2027,10,1),Report!$C:$C,"&lt;="&amp;DATE(2027,10,31))</f>
        <v/>
      </c>
      <c r="D23" s="77">
        <f>B23+C23</f>
        <v/>
      </c>
    </row>
    <row r="24" ht="12.75" customHeight="1" s="60">
      <c r="A24" s="87" t="inlineStr">
        <is>
          <t>Nov/2027</t>
        </is>
      </c>
      <c r="B24" s="77">
        <f>SUMIFS(Report!$U:$U,Report!$T:$T,"&lt;&gt;"&amp;"MERCADORIAS P/REVENDA",Report!$AA:$AA,"SIM",Report!$C:$C,"&gt;="&amp;DATE(2027,11,1),Report!$C:$C,"&lt;="&amp;DATE(2027,11,30))</f>
        <v/>
      </c>
      <c r="C24" s="77">
        <f>SUMIFS(Report!$U:$U,Report!$T:$T,"MERCADORIAS P/REVENDA",Report!$AA:$AA,"SIM",Report!$C:$C,"&gt;="&amp;DATE(2027,11,1),Report!$C:$C,"&lt;="&amp;DATE(2027,11,30))</f>
        <v/>
      </c>
      <c r="D24" s="77">
        <f>B24+C24</f>
        <v/>
      </c>
    </row>
    <row r="25" ht="12.75" customHeight="1" s="60">
      <c r="A25" s="87" t="inlineStr">
        <is>
          <t>Dez/2027</t>
        </is>
      </c>
      <c r="B25" s="77">
        <f>SUMIFS(Report!$U:$U,Report!$T:$T,"&lt;&gt;"&amp;"MERCADORIAS P/REVENDA",Report!$AA:$AA,"SIM",Report!$C:$C,"&gt;="&amp;DATE(2027,12,1),Report!$C:$C,"&lt;="&amp;DATE(2027,12,31))</f>
        <v/>
      </c>
      <c r="C25" s="77">
        <f>SUMIFS(Report!$U:$U,Report!$T:$T,"MERCADORIAS P/REVENDA",Report!$AA:$AA,"SIM",Report!$C:$C,"&gt;="&amp;DATE(2027,12,1),Report!$C:$C,"&lt;="&amp;DATE(2027,12,31))</f>
        <v/>
      </c>
      <c r="D25" s="77">
        <f>B25+C25</f>
        <v/>
      </c>
    </row>
    <row r="26" ht="12.75" customHeight="1" s="60">
      <c r="A26" s="89" t="inlineStr">
        <is>
          <t>TOTAL</t>
        </is>
      </c>
      <c r="B26" s="90">
        <f>SUM(B2:B25)</f>
        <v/>
      </c>
      <c r="C26" s="90">
        <f>SUM(C2:C25)</f>
        <v/>
      </c>
      <c r="D26" s="90">
        <f>SUM(D2:D25)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2:AE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31.67" customWidth="1" style="59" min="1" max="1"/>
    <col width="12" customWidth="1" style="77" min="2" max="2"/>
    <col width="8.67" customWidth="1" style="77" min="3" max="3"/>
    <col width="12" customWidth="1" style="77" min="4" max="4"/>
    <col width="8.67" customWidth="1" style="77" min="5" max="5"/>
    <col width="8.44" customWidth="1" style="77" min="6" max="6"/>
    <col width="12" customWidth="1" style="77" min="7" max="7"/>
    <col width="14.67" customWidth="1" style="77" min="8" max="8"/>
    <col width="13.11" customWidth="1" style="77" min="9" max="9"/>
    <col width="12" customWidth="1" style="77" min="10" max="10"/>
    <col width="8.76" customWidth="1" style="77" min="11" max="11"/>
    <col width="12" customWidth="1" style="77" min="12" max="12"/>
    <col width="8.880000000000001" customWidth="1" style="77" min="13" max="13"/>
    <col width="12" customWidth="1" style="77" min="14" max="14"/>
    <col width="8.67" customWidth="1" style="77" min="15" max="15"/>
    <col width="12" customWidth="1" style="77" min="16" max="16"/>
    <col width="8.67" customWidth="1" style="77" min="17" max="17"/>
    <col width="8.44" customWidth="1" style="77" min="18" max="18"/>
    <col width="12" customWidth="1" style="77" min="19" max="20"/>
    <col width="9" customWidth="1" style="77" min="21" max="21"/>
    <col width="8.44" customWidth="1" style="77" min="22" max="22"/>
    <col width="8.76" customWidth="1" style="77" min="23" max="23"/>
    <col width="12" customWidth="1" style="77" min="24" max="24"/>
    <col width="8.880000000000001" customWidth="1" style="77" min="25" max="25"/>
    <col width="14.67" customWidth="1" style="77" min="26" max="26"/>
    <col width="45" customWidth="1" style="59" min="28" max="28"/>
    <col width="31.67" customWidth="1" style="59" min="29" max="29"/>
  </cols>
  <sheetData>
    <row r="2" ht="12.75" customHeight="1" s="60">
      <c r="A2" s="85" t="inlineStr">
        <is>
          <t>Grupo</t>
        </is>
      </c>
      <c r="B2" s="91" t="n">
        <v>46023</v>
      </c>
      <c r="C2" s="91" t="n">
        <v>46054</v>
      </c>
      <c r="D2" s="91" t="n">
        <v>46082</v>
      </c>
      <c r="E2" s="91" t="n">
        <v>46113</v>
      </c>
      <c r="F2" s="91" t="n">
        <v>46143</v>
      </c>
      <c r="G2" s="91" t="n">
        <v>46174</v>
      </c>
      <c r="H2" s="91" t="n">
        <v>46204</v>
      </c>
      <c r="I2" s="91" t="n">
        <v>46235</v>
      </c>
      <c r="J2" s="91" t="n">
        <v>46266</v>
      </c>
      <c r="K2" s="91" t="n">
        <v>46296</v>
      </c>
      <c r="L2" s="91" t="n">
        <v>46327</v>
      </c>
      <c r="M2" s="91" t="n">
        <v>46357</v>
      </c>
      <c r="N2" s="91" t="n">
        <v>46388</v>
      </c>
      <c r="O2" s="91" t="n">
        <v>46419</v>
      </c>
      <c r="P2" s="91" t="n">
        <v>46447</v>
      </c>
      <c r="Q2" s="91" t="n">
        <v>46478</v>
      </c>
      <c r="R2" s="91" t="n">
        <v>46508</v>
      </c>
      <c r="S2" s="91" t="n">
        <v>46539</v>
      </c>
      <c r="T2" s="91" t="n">
        <v>46569</v>
      </c>
      <c r="U2" s="91" t="n">
        <v>46600</v>
      </c>
      <c r="V2" s="91" t="n">
        <v>46631</v>
      </c>
      <c r="W2" s="91" t="n">
        <v>46661</v>
      </c>
      <c r="X2" s="91" t="n">
        <v>46692</v>
      </c>
      <c r="Y2" s="91" t="n">
        <v>46722</v>
      </c>
      <c r="Z2" s="86" t="inlineStr">
        <is>
          <t>Total</t>
        </is>
      </c>
      <c r="AA2" s="92" t="n"/>
      <c r="AB2" s="93" t="inlineStr">
        <is>
          <t>Classificação (CC Contra Partida)</t>
        </is>
      </c>
      <c r="AC2" s="93" t="inlineStr">
        <is>
          <t>Grupo (editável)</t>
        </is>
      </c>
      <c r="AE2" s="93" t="inlineStr">
        <is>
          <t>Nao entra no Resumo Diario (editavel)</t>
        </is>
      </c>
    </row>
    <row r="3" ht="12.75" customHeight="1" s="60">
      <c r="A3" s="94" t="inlineStr">
        <is>
          <t>TOTAL GERAL</t>
        </is>
      </c>
      <c r="B3" s="90">
        <f>SUMIFS(Report!$U:$U,Report!$AA:$AA,"SIM",Report!$C:$C,"&gt;="&amp;DATE(2026,1,1),Report!$C:$C,"&lt;="&amp;DATE(2026,1,31))</f>
        <v/>
      </c>
      <c r="C3" s="90">
        <f>SUMIFS(Report!$U:$U,Report!$AA:$AA,"SIM",Report!$C:$C,"&gt;="&amp;DATE(2026,2,1),Report!$C:$C,"&lt;="&amp;DATE(2026,2,28))</f>
        <v/>
      </c>
      <c r="D3" s="90">
        <f>SUMIFS(Report!$U:$U,Report!$AA:$AA,"SIM",Report!$C:$C,"&gt;="&amp;DATE(2026,3,1),Report!$C:$C,"&lt;="&amp;DATE(2026,3,31))</f>
        <v/>
      </c>
      <c r="E3" s="90">
        <f>SUMIFS(Report!$U:$U,Report!$AA:$AA,"SIM",Report!$C:$C,"&gt;="&amp;DATE(2026,4,1),Report!$C:$C,"&lt;="&amp;DATE(2026,4,30))</f>
        <v/>
      </c>
      <c r="F3" s="90">
        <f>SUMIFS(Report!$U:$U,Report!$AA:$AA,"SIM",Report!$C:$C,"&gt;="&amp;DATE(2026,5,1),Report!$C:$C,"&lt;="&amp;DATE(2026,5,31))</f>
        <v/>
      </c>
      <c r="G3" s="90">
        <f>SUMIFS(Report!$U:$U,Report!$AA:$AA,"SIM",Report!$C:$C,"&gt;="&amp;DATE(2026,6,1),Report!$C:$C,"&lt;="&amp;DATE(2026,6,30))</f>
        <v/>
      </c>
      <c r="H3" s="90">
        <f>SUMIFS(Report!$U:$U,Report!$AA:$AA,"SIM",Report!$C:$C,"&gt;="&amp;DATE(2026,7,1),Report!$C:$C,"&lt;="&amp;DATE(2026,7,31))</f>
        <v/>
      </c>
      <c r="I3" s="90">
        <f>SUMIFS(Report!$U:$U,Report!$AA:$AA,"SIM",Report!$C:$C,"&gt;="&amp;DATE(2026,8,1),Report!$C:$C,"&lt;="&amp;DATE(2026,8,31))</f>
        <v/>
      </c>
      <c r="J3" s="90">
        <f>SUMIFS(Report!$U:$U,Report!$AA:$AA,"SIM",Report!$C:$C,"&gt;="&amp;DATE(2026,9,1),Report!$C:$C,"&lt;="&amp;DATE(2026,9,30))</f>
        <v/>
      </c>
      <c r="K3" s="90">
        <f>SUMIFS(Report!$U:$U,Report!$AA:$AA,"SIM",Report!$C:$C,"&gt;="&amp;DATE(2026,10,1),Report!$C:$C,"&lt;="&amp;DATE(2026,10,31))</f>
        <v/>
      </c>
      <c r="L3" s="90">
        <f>SUMIFS(Report!$U:$U,Report!$AA:$AA,"SIM",Report!$C:$C,"&gt;="&amp;DATE(2026,11,1),Report!$C:$C,"&lt;="&amp;DATE(2026,11,30))</f>
        <v/>
      </c>
      <c r="M3" s="90">
        <f>SUMIFS(Report!$U:$U,Report!$AA:$AA,"SIM",Report!$C:$C,"&gt;="&amp;DATE(2026,12,1),Report!$C:$C,"&lt;="&amp;DATE(2026,12,31))</f>
        <v/>
      </c>
      <c r="N3" s="90">
        <f>SUMIFS(Report!$U:$U,Report!$AA:$AA,"SIM",Report!$C:$C,"&gt;="&amp;DATE(2027,1,1),Report!$C:$C,"&lt;="&amp;DATE(2027,1,31))</f>
        <v/>
      </c>
      <c r="O3" s="90">
        <f>SUMIFS(Report!$U:$U,Report!$AA:$AA,"SIM",Report!$C:$C,"&gt;="&amp;DATE(2027,2,1),Report!$C:$C,"&lt;="&amp;DATE(2027,2,28))</f>
        <v/>
      </c>
      <c r="P3" s="90">
        <f>SUMIFS(Report!$U:$U,Report!$AA:$AA,"SIM",Report!$C:$C,"&gt;="&amp;DATE(2027,3,1),Report!$C:$C,"&lt;="&amp;DATE(2027,3,31))</f>
        <v/>
      </c>
      <c r="Q3" s="90">
        <f>SUMIFS(Report!$U:$U,Report!$AA:$AA,"SIM",Report!$C:$C,"&gt;="&amp;DATE(2027,4,1),Report!$C:$C,"&lt;="&amp;DATE(2027,4,30))</f>
        <v/>
      </c>
      <c r="R3" s="90">
        <f>SUMIFS(Report!$U:$U,Report!$AA:$AA,"SIM",Report!$C:$C,"&gt;="&amp;DATE(2027,5,1),Report!$C:$C,"&lt;="&amp;DATE(2027,5,31))</f>
        <v/>
      </c>
      <c r="S3" s="90">
        <f>SUMIFS(Report!$U:$U,Report!$AA:$AA,"SIM",Report!$C:$C,"&gt;="&amp;DATE(2027,6,1),Report!$C:$C,"&lt;="&amp;DATE(2027,6,30))</f>
        <v/>
      </c>
      <c r="T3" s="90">
        <f>SUMIFS(Report!$U:$U,Report!$AA:$AA,"SIM",Report!$C:$C,"&gt;="&amp;DATE(2027,7,1),Report!$C:$C,"&lt;="&amp;DATE(2027,7,31))</f>
        <v/>
      </c>
      <c r="U3" s="90">
        <f>SUMIFS(Report!$U:$U,Report!$AA:$AA,"SIM",Report!$C:$C,"&gt;="&amp;DATE(2027,8,1),Report!$C:$C,"&lt;="&amp;DATE(2027,8,31))</f>
        <v/>
      </c>
      <c r="V3" s="90">
        <f>SUMIFS(Report!$U:$U,Report!$AA:$AA,"SIM",Report!$C:$C,"&gt;="&amp;DATE(2027,9,1),Report!$C:$C,"&lt;="&amp;DATE(2027,9,30))</f>
        <v/>
      </c>
      <c r="W3" s="90">
        <f>SUMIFS(Report!$U:$U,Report!$AA:$AA,"SIM",Report!$C:$C,"&gt;="&amp;DATE(2027,10,1),Report!$C:$C,"&lt;="&amp;DATE(2027,10,31))</f>
        <v/>
      </c>
      <c r="X3" s="90">
        <f>SUMIFS(Report!$U:$U,Report!$AA:$AA,"SIM",Report!$C:$C,"&gt;="&amp;DATE(2027,11,1),Report!$C:$C,"&lt;="&amp;DATE(2027,11,30))</f>
        <v/>
      </c>
      <c r="Y3" s="90">
        <f>SUMIFS(Report!$U:$U,Report!$AA:$AA,"SIM",Report!$C:$C,"&gt;="&amp;DATE(2027,12,1),Report!$C:$C,"&lt;="&amp;DATE(2027,12,31))</f>
        <v/>
      </c>
      <c r="Z3" s="90">
        <f>SUM(B3:Y3)</f>
        <v/>
      </c>
      <c r="AB3" s="59" t="inlineStr">
        <is>
          <t>AGUA</t>
        </is>
      </c>
      <c r="AC3" s="59" t="inlineStr">
        <is>
          <t>Despesa</t>
        </is>
      </c>
      <c r="AE3" s="59" t="inlineStr">
        <is>
          <t>PREVIA DOS EMPRESTIMOS</t>
        </is>
      </c>
    </row>
    <row r="4" ht="12.75" customHeight="1" s="60">
      <c r="A4" s="59" t="inlineStr">
        <is>
          <t>Cobertura de conta</t>
        </is>
      </c>
      <c r="B4" s="77">
        <f>SUMIFS(Report!$U:$U,Report!$Z:$Z,"Cobertura de conta",Report!$AA:$AA,"SIM",Report!$C:$C,"&gt;="&amp;DATE(2026,1,1),Report!$C:$C,"&lt;="&amp;DATE(2026,1,31))</f>
        <v/>
      </c>
      <c r="C4" s="77">
        <f>SUMIFS(Report!$U:$U,Report!$Z:$Z,"Cobertura de conta",Report!$AA:$AA,"SIM",Report!$C:$C,"&gt;="&amp;DATE(2026,2,1),Report!$C:$C,"&lt;="&amp;DATE(2026,2,28))</f>
        <v/>
      </c>
      <c r="D4" s="77">
        <f>SUMIFS(Report!$U:$U,Report!$Z:$Z,"Cobertura de conta",Report!$AA:$AA,"SIM",Report!$C:$C,"&gt;="&amp;DATE(2026,3,1),Report!$C:$C,"&lt;="&amp;DATE(2026,3,31))</f>
        <v/>
      </c>
      <c r="E4" s="77">
        <f>SUMIFS(Report!$U:$U,Report!$Z:$Z,"Cobertura de conta",Report!$AA:$AA,"SIM",Report!$C:$C,"&gt;="&amp;DATE(2026,4,1),Report!$C:$C,"&lt;="&amp;DATE(2026,4,30))</f>
        <v/>
      </c>
      <c r="F4" s="77">
        <f>SUMIFS(Report!$U:$U,Report!$Z:$Z,"Cobertura de conta",Report!$AA:$AA,"SIM",Report!$C:$C,"&gt;="&amp;DATE(2026,5,1),Report!$C:$C,"&lt;="&amp;DATE(2026,5,31))</f>
        <v/>
      </c>
      <c r="G4" s="77">
        <f>SUMIFS(Report!$U:$U,Report!$Z:$Z,"Cobertura de conta",Report!$AA:$AA,"SIM",Report!$C:$C,"&gt;="&amp;DATE(2026,6,1),Report!$C:$C,"&lt;="&amp;DATE(2026,6,30))</f>
        <v/>
      </c>
      <c r="H4" s="77">
        <f>SUMIFS(Report!$U:$U,Report!$Z:$Z,"Cobertura de conta",Report!$AA:$AA,"SIM",Report!$C:$C,"&gt;="&amp;DATE(2026,7,1),Report!$C:$C,"&lt;="&amp;DATE(2026,7,31))</f>
        <v/>
      </c>
      <c r="I4" s="77">
        <f>SUMIFS(Report!$U:$U,Report!$Z:$Z,"Cobertura de conta",Report!$AA:$AA,"SIM",Report!$C:$C,"&gt;="&amp;DATE(2026,8,1),Report!$C:$C,"&lt;="&amp;DATE(2026,8,31))</f>
        <v/>
      </c>
      <c r="J4" s="77">
        <f>SUMIFS(Report!$U:$U,Report!$Z:$Z,"Cobertura de conta",Report!$AA:$AA,"SIM",Report!$C:$C,"&gt;="&amp;DATE(2026,9,1),Report!$C:$C,"&lt;="&amp;DATE(2026,9,30))</f>
        <v/>
      </c>
      <c r="K4" s="77">
        <f>SUMIFS(Report!$U:$U,Report!$Z:$Z,"Cobertura de conta",Report!$AA:$AA,"SIM",Report!$C:$C,"&gt;="&amp;DATE(2026,10,1),Report!$C:$C,"&lt;="&amp;DATE(2026,10,31))</f>
        <v/>
      </c>
      <c r="L4" s="77">
        <f>SUMIFS(Report!$U:$U,Report!$Z:$Z,"Cobertura de conta",Report!$AA:$AA,"SIM",Report!$C:$C,"&gt;="&amp;DATE(2026,11,1),Report!$C:$C,"&lt;="&amp;DATE(2026,11,30))</f>
        <v/>
      </c>
      <c r="M4" s="77">
        <f>SUMIFS(Report!$U:$U,Report!$Z:$Z,"Cobertura de conta",Report!$AA:$AA,"SIM",Report!$C:$C,"&gt;="&amp;DATE(2026,12,1),Report!$C:$C,"&lt;="&amp;DATE(2026,12,31))</f>
        <v/>
      </c>
      <c r="N4" s="77">
        <f>SUMIFS(Report!$U:$U,Report!$Z:$Z,"Cobertura de conta",Report!$AA:$AA,"SIM",Report!$C:$C,"&gt;="&amp;DATE(2027,1,1),Report!$C:$C,"&lt;="&amp;DATE(2027,1,31))</f>
        <v/>
      </c>
      <c r="O4" s="77">
        <f>SUMIFS(Report!$U:$U,Report!$Z:$Z,"Cobertura de conta",Report!$AA:$AA,"SIM",Report!$C:$C,"&gt;="&amp;DATE(2027,2,1),Report!$C:$C,"&lt;="&amp;DATE(2027,2,28))</f>
        <v/>
      </c>
      <c r="P4" s="77">
        <f>SUMIFS(Report!$U:$U,Report!$Z:$Z,"Cobertura de conta",Report!$AA:$AA,"SIM",Report!$C:$C,"&gt;="&amp;DATE(2027,3,1),Report!$C:$C,"&lt;="&amp;DATE(2027,3,31))</f>
        <v/>
      </c>
      <c r="Q4" s="77">
        <f>SUMIFS(Report!$U:$U,Report!$Z:$Z,"Cobertura de conta",Report!$AA:$AA,"SIM",Report!$C:$C,"&gt;="&amp;DATE(2027,4,1),Report!$C:$C,"&lt;="&amp;DATE(2027,4,30))</f>
        <v/>
      </c>
      <c r="R4" s="77">
        <f>SUMIFS(Report!$U:$U,Report!$Z:$Z,"Cobertura de conta",Report!$AA:$AA,"SIM",Report!$C:$C,"&gt;="&amp;DATE(2027,5,1),Report!$C:$C,"&lt;="&amp;DATE(2027,5,31))</f>
        <v/>
      </c>
      <c r="S4" s="77">
        <f>SUMIFS(Report!$U:$U,Report!$Z:$Z,"Cobertura de conta",Report!$AA:$AA,"SIM",Report!$C:$C,"&gt;="&amp;DATE(2027,6,1),Report!$C:$C,"&lt;="&amp;DATE(2027,6,30))</f>
        <v/>
      </c>
      <c r="T4" s="77">
        <f>SUMIFS(Report!$U:$U,Report!$Z:$Z,"Cobertura de conta",Report!$AA:$AA,"SIM",Report!$C:$C,"&gt;="&amp;DATE(2027,7,1),Report!$C:$C,"&lt;="&amp;DATE(2027,7,31))</f>
        <v/>
      </c>
      <c r="U4" s="77">
        <f>SUMIFS(Report!$U:$U,Report!$Z:$Z,"Cobertura de conta",Report!$AA:$AA,"SIM",Report!$C:$C,"&gt;="&amp;DATE(2027,8,1),Report!$C:$C,"&lt;="&amp;DATE(2027,8,31))</f>
        <v/>
      </c>
      <c r="V4" s="77">
        <f>SUMIFS(Report!$U:$U,Report!$Z:$Z,"Cobertura de conta",Report!$AA:$AA,"SIM",Report!$C:$C,"&gt;="&amp;DATE(2027,9,1),Report!$C:$C,"&lt;="&amp;DATE(2027,9,30))</f>
        <v/>
      </c>
      <c r="W4" s="77">
        <f>SUMIFS(Report!$U:$U,Report!$Z:$Z,"Cobertura de conta",Report!$AA:$AA,"SIM",Report!$C:$C,"&gt;="&amp;DATE(2027,10,1),Report!$C:$C,"&lt;="&amp;DATE(2027,10,31))</f>
        <v/>
      </c>
      <c r="X4" s="77">
        <f>SUMIFS(Report!$U:$U,Report!$Z:$Z,"Cobertura de conta",Report!$AA:$AA,"SIM",Report!$C:$C,"&gt;="&amp;DATE(2027,11,1),Report!$C:$C,"&lt;="&amp;DATE(2027,11,30))</f>
        <v/>
      </c>
      <c r="Y4" s="77">
        <f>SUMIFS(Report!$U:$U,Report!$Z:$Z,"Cobertura de conta",Report!$AA:$AA,"SIM",Report!$C:$C,"&gt;="&amp;DATE(2027,12,1),Report!$C:$C,"&lt;="&amp;DATE(2027,12,31))</f>
        <v/>
      </c>
      <c r="Z4" s="77">
        <f>SUM(B4:Y4)</f>
        <v/>
      </c>
      <c r="AB4" s="59" t="inlineStr">
        <is>
          <t>ALIMENTACAO</t>
        </is>
      </c>
      <c r="AC4" s="59" t="inlineStr">
        <is>
          <t>Despesa</t>
        </is>
      </c>
    </row>
    <row r="5" ht="12.75" customHeight="1" s="60">
      <c r="A5" s="59" t="inlineStr">
        <is>
          <t>Despesa</t>
        </is>
      </c>
      <c r="B5" s="77">
        <f>SUMIFS(Report!$U:$U,Report!$Z:$Z,"Despesa",Report!$AA:$AA,"SIM",Report!$C:$C,"&gt;="&amp;DATE(2026,1,1),Report!$C:$C,"&lt;="&amp;DATE(2026,1,31))</f>
        <v/>
      </c>
      <c r="C5" s="77">
        <f>SUMIFS(Report!$U:$U,Report!$Z:$Z,"Despesa",Report!$AA:$AA,"SIM",Report!$C:$C,"&gt;="&amp;DATE(2026,2,1),Report!$C:$C,"&lt;="&amp;DATE(2026,2,28))</f>
        <v/>
      </c>
      <c r="D5" s="77">
        <f>SUMIFS(Report!$U:$U,Report!$Z:$Z,"Despesa",Report!$AA:$AA,"SIM",Report!$C:$C,"&gt;="&amp;DATE(2026,3,1),Report!$C:$C,"&lt;="&amp;DATE(2026,3,31))</f>
        <v/>
      </c>
      <c r="E5" s="77">
        <f>SUMIFS(Report!$U:$U,Report!$Z:$Z,"Despesa",Report!$AA:$AA,"SIM",Report!$C:$C,"&gt;="&amp;DATE(2026,4,1),Report!$C:$C,"&lt;="&amp;DATE(2026,4,30))</f>
        <v/>
      </c>
      <c r="F5" s="77">
        <f>SUMIFS(Report!$U:$U,Report!$Z:$Z,"Despesa",Report!$AA:$AA,"SIM",Report!$C:$C,"&gt;="&amp;DATE(2026,5,1),Report!$C:$C,"&lt;="&amp;DATE(2026,5,31))</f>
        <v/>
      </c>
      <c r="G5" s="77">
        <f>SUMIFS(Report!$U:$U,Report!$Z:$Z,"Despesa",Report!$AA:$AA,"SIM",Report!$C:$C,"&gt;="&amp;DATE(2026,6,1),Report!$C:$C,"&lt;="&amp;DATE(2026,6,30))</f>
        <v/>
      </c>
      <c r="H5" s="77">
        <f>SUMIFS(Report!$U:$U,Report!$Z:$Z,"Despesa",Report!$AA:$AA,"SIM",Report!$C:$C,"&gt;="&amp;DATE(2026,7,1),Report!$C:$C,"&lt;="&amp;DATE(2026,7,31))</f>
        <v/>
      </c>
      <c r="I5" s="77">
        <f>SUMIFS(Report!$U:$U,Report!$Z:$Z,"Despesa",Report!$AA:$AA,"SIM",Report!$C:$C,"&gt;="&amp;DATE(2026,8,1),Report!$C:$C,"&lt;="&amp;DATE(2026,8,31))</f>
        <v/>
      </c>
      <c r="J5" s="77">
        <f>SUMIFS(Report!$U:$U,Report!$Z:$Z,"Despesa",Report!$AA:$AA,"SIM",Report!$C:$C,"&gt;="&amp;DATE(2026,9,1),Report!$C:$C,"&lt;="&amp;DATE(2026,9,30))</f>
        <v/>
      </c>
      <c r="K5" s="77">
        <f>SUMIFS(Report!$U:$U,Report!$Z:$Z,"Despesa",Report!$AA:$AA,"SIM",Report!$C:$C,"&gt;="&amp;DATE(2026,10,1),Report!$C:$C,"&lt;="&amp;DATE(2026,10,31))</f>
        <v/>
      </c>
      <c r="L5" s="77">
        <f>SUMIFS(Report!$U:$U,Report!$Z:$Z,"Despesa",Report!$AA:$AA,"SIM",Report!$C:$C,"&gt;="&amp;DATE(2026,11,1),Report!$C:$C,"&lt;="&amp;DATE(2026,11,30))</f>
        <v/>
      </c>
      <c r="M5" s="77">
        <f>SUMIFS(Report!$U:$U,Report!$Z:$Z,"Despesa",Report!$AA:$AA,"SIM",Report!$C:$C,"&gt;="&amp;DATE(2026,12,1),Report!$C:$C,"&lt;="&amp;DATE(2026,12,31))</f>
        <v/>
      </c>
      <c r="N5" s="77">
        <f>SUMIFS(Report!$U:$U,Report!$Z:$Z,"Despesa",Report!$AA:$AA,"SIM",Report!$C:$C,"&gt;="&amp;DATE(2027,1,1),Report!$C:$C,"&lt;="&amp;DATE(2027,1,31))</f>
        <v/>
      </c>
      <c r="O5" s="77">
        <f>SUMIFS(Report!$U:$U,Report!$Z:$Z,"Despesa",Report!$AA:$AA,"SIM",Report!$C:$C,"&gt;="&amp;DATE(2027,2,1),Report!$C:$C,"&lt;="&amp;DATE(2027,2,28))</f>
        <v/>
      </c>
      <c r="P5" s="77">
        <f>SUMIFS(Report!$U:$U,Report!$Z:$Z,"Despesa",Report!$AA:$AA,"SIM",Report!$C:$C,"&gt;="&amp;DATE(2027,3,1),Report!$C:$C,"&lt;="&amp;DATE(2027,3,31))</f>
        <v/>
      </c>
      <c r="Q5" s="77">
        <f>SUMIFS(Report!$U:$U,Report!$Z:$Z,"Despesa",Report!$AA:$AA,"SIM",Report!$C:$C,"&gt;="&amp;DATE(2027,4,1),Report!$C:$C,"&lt;="&amp;DATE(2027,4,30))</f>
        <v/>
      </c>
      <c r="R5" s="77">
        <f>SUMIFS(Report!$U:$U,Report!$Z:$Z,"Despesa",Report!$AA:$AA,"SIM",Report!$C:$C,"&gt;="&amp;DATE(2027,5,1),Report!$C:$C,"&lt;="&amp;DATE(2027,5,31))</f>
        <v/>
      </c>
      <c r="S5" s="77">
        <f>SUMIFS(Report!$U:$U,Report!$Z:$Z,"Despesa",Report!$AA:$AA,"SIM",Report!$C:$C,"&gt;="&amp;DATE(2027,6,1),Report!$C:$C,"&lt;="&amp;DATE(2027,6,30))</f>
        <v/>
      </c>
      <c r="T5" s="77">
        <f>SUMIFS(Report!$U:$U,Report!$Z:$Z,"Despesa",Report!$AA:$AA,"SIM",Report!$C:$C,"&gt;="&amp;DATE(2027,7,1),Report!$C:$C,"&lt;="&amp;DATE(2027,7,31))</f>
        <v/>
      </c>
      <c r="U5" s="77">
        <f>SUMIFS(Report!$U:$U,Report!$Z:$Z,"Despesa",Report!$AA:$AA,"SIM",Report!$C:$C,"&gt;="&amp;DATE(2027,8,1),Report!$C:$C,"&lt;="&amp;DATE(2027,8,31))</f>
        <v/>
      </c>
      <c r="V5" s="77">
        <f>SUMIFS(Report!$U:$U,Report!$Z:$Z,"Despesa",Report!$AA:$AA,"SIM",Report!$C:$C,"&gt;="&amp;DATE(2027,9,1),Report!$C:$C,"&lt;="&amp;DATE(2027,9,30))</f>
        <v/>
      </c>
      <c r="W5" s="77">
        <f>SUMIFS(Report!$U:$U,Report!$Z:$Z,"Despesa",Report!$AA:$AA,"SIM",Report!$C:$C,"&gt;="&amp;DATE(2027,10,1),Report!$C:$C,"&lt;="&amp;DATE(2027,10,31))</f>
        <v/>
      </c>
      <c r="X5" s="77">
        <f>SUMIFS(Report!$U:$U,Report!$Z:$Z,"Despesa",Report!$AA:$AA,"SIM",Report!$C:$C,"&gt;="&amp;DATE(2027,11,1),Report!$C:$C,"&lt;="&amp;DATE(2027,11,30))</f>
        <v/>
      </c>
      <c r="Y5" s="77">
        <f>SUMIFS(Report!$U:$U,Report!$Z:$Z,"Despesa",Report!$AA:$AA,"SIM",Report!$C:$C,"&gt;="&amp;DATE(2027,12,1),Report!$C:$C,"&lt;="&amp;DATE(2027,12,31))</f>
        <v/>
      </c>
      <c r="Z5" s="77">
        <f>SUM(B5:Y5)</f>
        <v/>
      </c>
      <c r="AB5" s="59" t="inlineStr">
        <is>
          <t>ALUGUEIS PAGOS A PF</t>
        </is>
      </c>
      <c r="AC5" s="59" t="inlineStr">
        <is>
          <t>Despesa</t>
        </is>
      </c>
    </row>
    <row r="6" ht="12.75" customHeight="1" s="60">
      <c r="A6" s="59" t="inlineStr">
        <is>
          <t>Empréstimo</t>
        </is>
      </c>
      <c r="B6" s="77">
        <f>SUMIFS(Report!$U:$U,Report!$Z:$Z,"Empréstimo",Report!$AA:$AA,"SIM",Report!$C:$C,"&gt;="&amp;DATE(2026,1,1),Report!$C:$C,"&lt;="&amp;DATE(2026,1,31))</f>
        <v/>
      </c>
      <c r="C6" s="77">
        <f>SUMIFS(Report!$U:$U,Report!$Z:$Z,"Empréstimo",Report!$AA:$AA,"SIM",Report!$C:$C,"&gt;="&amp;DATE(2026,2,1),Report!$C:$C,"&lt;="&amp;DATE(2026,2,28))</f>
        <v/>
      </c>
      <c r="D6" s="77">
        <f>SUMIFS(Report!$U:$U,Report!$Z:$Z,"Empréstimo",Report!$AA:$AA,"SIM",Report!$C:$C,"&gt;="&amp;DATE(2026,3,1),Report!$C:$C,"&lt;="&amp;DATE(2026,3,31))</f>
        <v/>
      </c>
      <c r="E6" s="77">
        <f>SUMIFS(Report!$U:$U,Report!$Z:$Z,"Empréstimo",Report!$AA:$AA,"SIM",Report!$C:$C,"&gt;="&amp;DATE(2026,4,1),Report!$C:$C,"&lt;="&amp;DATE(2026,4,30))</f>
        <v/>
      </c>
      <c r="F6" s="77">
        <f>SUMIFS(Report!$U:$U,Report!$Z:$Z,"Empréstimo",Report!$AA:$AA,"SIM",Report!$C:$C,"&gt;="&amp;DATE(2026,5,1),Report!$C:$C,"&lt;="&amp;DATE(2026,5,31))</f>
        <v/>
      </c>
      <c r="G6" s="77">
        <f>SUMIFS(Report!$U:$U,Report!$Z:$Z,"Empréstimo",Report!$AA:$AA,"SIM",Report!$C:$C,"&gt;="&amp;DATE(2026,6,1),Report!$C:$C,"&lt;="&amp;DATE(2026,6,30))</f>
        <v/>
      </c>
      <c r="H6" s="77">
        <f>SUMIFS(Report!$U:$U,Report!$Z:$Z,"Empréstimo",Report!$AA:$AA,"SIM",Report!$C:$C,"&gt;="&amp;DATE(2026,7,1),Report!$C:$C,"&lt;="&amp;DATE(2026,7,31))</f>
        <v/>
      </c>
      <c r="I6" s="77">
        <f>SUMIFS(Report!$U:$U,Report!$Z:$Z,"Empréstimo",Report!$AA:$AA,"SIM",Report!$C:$C,"&gt;="&amp;DATE(2026,8,1),Report!$C:$C,"&lt;="&amp;DATE(2026,8,31))</f>
        <v/>
      </c>
      <c r="J6" s="77">
        <f>SUMIFS(Report!$U:$U,Report!$Z:$Z,"Empréstimo",Report!$AA:$AA,"SIM",Report!$C:$C,"&gt;="&amp;DATE(2026,9,1),Report!$C:$C,"&lt;="&amp;DATE(2026,9,30))</f>
        <v/>
      </c>
      <c r="K6" s="77">
        <f>SUMIFS(Report!$U:$U,Report!$Z:$Z,"Empréstimo",Report!$AA:$AA,"SIM",Report!$C:$C,"&gt;="&amp;DATE(2026,10,1),Report!$C:$C,"&lt;="&amp;DATE(2026,10,31))</f>
        <v/>
      </c>
      <c r="L6" s="77">
        <f>SUMIFS(Report!$U:$U,Report!$Z:$Z,"Empréstimo",Report!$AA:$AA,"SIM",Report!$C:$C,"&gt;="&amp;DATE(2026,11,1),Report!$C:$C,"&lt;="&amp;DATE(2026,11,30))</f>
        <v/>
      </c>
      <c r="M6" s="77">
        <f>SUMIFS(Report!$U:$U,Report!$Z:$Z,"Empréstimo",Report!$AA:$AA,"SIM",Report!$C:$C,"&gt;="&amp;DATE(2026,12,1),Report!$C:$C,"&lt;="&amp;DATE(2026,12,31))</f>
        <v/>
      </c>
      <c r="N6" s="77">
        <f>SUMIFS(Report!$U:$U,Report!$Z:$Z,"Empréstimo",Report!$AA:$AA,"SIM",Report!$C:$C,"&gt;="&amp;DATE(2027,1,1),Report!$C:$C,"&lt;="&amp;DATE(2027,1,31))</f>
        <v/>
      </c>
      <c r="O6" s="77">
        <f>SUMIFS(Report!$U:$U,Report!$Z:$Z,"Empréstimo",Report!$AA:$AA,"SIM",Report!$C:$C,"&gt;="&amp;DATE(2027,2,1),Report!$C:$C,"&lt;="&amp;DATE(2027,2,28))</f>
        <v/>
      </c>
      <c r="P6" s="77">
        <f>SUMIFS(Report!$U:$U,Report!$Z:$Z,"Empréstimo",Report!$AA:$AA,"SIM",Report!$C:$C,"&gt;="&amp;DATE(2027,3,1),Report!$C:$C,"&lt;="&amp;DATE(2027,3,31))</f>
        <v/>
      </c>
      <c r="Q6" s="77">
        <f>SUMIFS(Report!$U:$U,Report!$Z:$Z,"Empréstimo",Report!$AA:$AA,"SIM",Report!$C:$C,"&gt;="&amp;DATE(2027,4,1),Report!$C:$C,"&lt;="&amp;DATE(2027,4,30))</f>
        <v/>
      </c>
      <c r="R6" s="77">
        <f>SUMIFS(Report!$U:$U,Report!$Z:$Z,"Empréstimo",Report!$AA:$AA,"SIM",Report!$C:$C,"&gt;="&amp;DATE(2027,5,1),Report!$C:$C,"&lt;="&amp;DATE(2027,5,31))</f>
        <v/>
      </c>
      <c r="S6" s="77">
        <f>SUMIFS(Report!$U:$U,Report!$Z:$Z,"Empréstimo",Report!$AA:$AA,"SIM",Report!$C:$C,"&gt;="&amp;DATE(2027,6,1),Report!$C:$C,"&lt;="&amp;DATE(2027,6,30))</f>
        <v/>
      </c>
      <c r="T6" s="77">
        <f>SUMIFS(Report!$U:$U,Report!$Z:$Z,"Empréstimo",Report!$AA:$AA,"SIM",Report!$C:$C,"&gt;="&amp;DATE(2027,7,1),Report!$C:$C,"&lt;="&amp;DATE(2027,7,31))</f>
        <v/>
      </c>
      <c r="U6" s="77">
        <f>SUMIFS(Report!$U:$U,Report!$Z:$Z,"Empréstimo",Report!$AA:$AA,"SIM",Report!$C:$C,"&gt;="&amp;DATE(2027,8,1),Report!$C:$C,"&lt;="&amp;DATE(2027,8,31))</f>
        <v/>
      </c>
      <c r="V6" s="77">
        <f>SUMIFS(Report!$U:$U,Report!$Z:$Z,"Empréstimo",Report!$AA:$AA,"SIM",Report!$C:$C,"&gt;="&amp;DATE(2027,9,1),Report!$C:$C,"&lt;="&amp;DATE(2027,9,30))</f>
        <v/>
      </c>
      <c r="W6" s="77">
        <f>SUMIFS(Report!$U:$U,Report!$Z:$Z,"Empréstimo",Report!$AA:$AA,"SIM",Report!$C:$C,"&gt;="&amp;DATE(2027,10,1),Report!$C:$C,"&lt;="&amp;DATE(2027,10,31))</f>
        <v/>
      </c>
      <c r="X6" s="77">
        <f>SUMIFS(Report!$U:$U,Report!$Z:$Z,"Empréstimo",Report!$AA:$AA,"SIM",Report!$C:$C,"&gt;="&amp;DATE(2027,11,1),Report!$C:$C,"&lt;="&amp;DATE(2027,11,30))</f>
        <v/>
      </c>
      <c r="Y6" s="77">
        <f>SUMIFS(Report!$U:$U,Report!$Z:$Z,"Empréstimo",Report!$AA:$AA,"SIM",Report!$C:$C,"&gt;="&amp;DATE(2027,12,1),Report!$C:$C,"&lt;="&amp;DATE(2027,12,31))</f>
        <v/>
      </c>
      <c r="Z6" s="77">
        <f>SUM(B6:Y6)</f>
        <v/>
      </c>
      <c r="AB6" s="59" t="inlineStr">
        <is>
          <t>AMORTIZACAO GARANTIDA BANCO</t>
        </is>
      </c>
      <c r="AC6" s="59" t="inlineStr">
        <is>
          <t>Despesa</t>
        </is>
      </c>
    </row>
    <row r="7" ht="12.75" customHeight="1" s="60">
      <c r="A7" s="59" t="inlineStr">
        <is>
          <t>Impostos</t>
        </is>
      </c>
      <c r="B7" s="77">
        <f>SUMIFS(Report!$U:$U,Report!$Z:$Z,"Impostos",Report!$AA:$AA,"SIM",Report!$C:$C,"&gt;="&amp;DATE(2026,1,1),Report!$C:$C,"&lt;="&amp;DATE(2026,1,31))</f>
        <v/>
      </c>
      <c r="C7" s="77">
        <f>SUMIFS(Report!$U:$U,Report!$Z:$Z,"Impostos",Report!$AA:$AA,"SIM",Report!$C:$C,"&gt;="&amp;DATE(2026,2,1),Report!$C:$C,"&lt;="&amp;DATE(2026,2,28))</f>
        <v/>
      </c>
      <c r="D7" s="77">
        <f>SUMIFS(Report!$U:$U,Report!$Z:$Z,"Impostos",Report!$AA:$AA,"SIM",Report!$C:$C,"&gt;="&amp;DATE(2026,3,1),Report!$C:$C,"&lt;="&amp;DATE(2026,3,31))</f>
        <v/>
      </c>
      <c r="E7" s="77">
        <f>SUMIFS(Report!$U:$U,Report!$Z:$Z,"Impostos",Report!$AA:$AA,"SIM",Report!$C:$C,"&gt;="&amp;DATE(2026,4,1),Report!$C:$C,"&lt;="&amp;DATE(2026,4,30))</f>
        <v/>
      </c>
      <c r="F7" s="77">
        <f>SUMIFS(Report!$U:$U,Report!$Z:$Z,"Impostos",Report!$AA:$AA,"SIM",Report!$C:$C,"&gt;="&amp;DATE(2026,5,1),Report!$C:$C,"&lt;="&amp;DATE(2026,5,31))</f>
        <v/>
      </c>
      <c r="G7" s="77">
        <f>SUMIFS(Report!$U:$U,Report!$Z:$Z,"Impostos",Report!$AA:$AA,"SIM",Report!$C:$C,"&gt;="&amp;DATE(2026,6,1),Report!$C:$C,"&lt;="&amp;DATE(2026,6,30))</f>
        <v/>
      </c>
      <c r="H7" s="77">
        <f>SUMIFS(Report!$U:$U,Report!$Z:$Z,"Impostos",Report!$AA:$AA,"SIM",Report!$C:$C,"&gt;="&amp;DATE(2026,7,1),Report!$C:$C,"&lt;="&amp;DATE(2026,7,31))</f>
        <v/>
      </c>
      <c r="I7" s="77">
        <f>SUMIFS(Report!$U:$U,Report!$Z:$Z,"Impostos",Report!$AA:$AA,"SIM",Report!$C:$C,"&gt;="&amp;DATE(2026,8,1),Report!$C:$C,"&lt;="&amp;DATE(2026,8,31))</f>
        <v/>
      </c>
      <c r="J7" s="77">
        <f>SUMIFS(Report!$U:$U,Report!$Z:$Z,"Impostos",Report!$AA:$AA,"SIM",Report!$C:$C,"&gt;="&amp;DATE(2026,9,1),Report!$C:$C,"&lt;="&amp;DATE(2026,9,30))</f>
        <v/>
      </c>
      <c r="K7" s="77">
        <f>SUMIFS(Report!$U:$U,Report!$Z:$Z,"Impostos",Report!$AA:$AA,"SIM",Report!$C:$C,"&gt;="&amp;DATE(2026,10,1),Report!$C:$C,"&lt;="&amp;DATE(2026,10,31))</f>
        <v/>
      </c>
      <c r="L7" s="77">
        <f>SUMIFS(Report!$U:$U,Report!$Z:$Z,"Impostos",Report!$AA:$AA,"SIM",Report!$C:$C,"&gt;="&amp;DATE(2026,11,1),Report!$C:$C,"&lt;="&amp;DATE(2026,11,30))</f>
        <v/>
      </c>
      <c r="M7" s="77">
        <f>SUMIFS(Report!$U:$U,Report!$Z:$Z,"Impostos",Report!$AA:$AA,"SIM",Report!$C:$C,"&gt;="&amp;DATE(2026,12,1),Report!$C:$C,"&lt;="&amp;DATE(2026,12,31))</f>
        <v/>
      </c>
      <c r="N7" s="77">
        <f>SUMIFS(Report!$U:$U,Report!$Z:$Z,"Impostos",Report!$AA:$AA,"SIM",Report!$C:$C,"&gt;="&amp;DATE(2027,1,1),Report!$C:$C,"&lt;="&amp;DATE(2027,1,31))</f>
        <v/>
      </c>
      <c r="O7" s="77">
        <f>SUMIFS(Report!$U:$U,Report!$Z:$Z,"Impostos",Report!$AA:$AA,"SIM",Report!$C:$C,"&gt;="&amp;DATE(2027,2,1),Report!$C:$C,"&lt;="&amp;DATE(2027,2,28))</f>
        <v/>
      </c>
      <c r="P7" s="77">
        <f>SUMIFS(Report!$U:$U,Report!$Z:$Z,"Impostos",Report!$AA:$AA,"SIM",Report!$C:$C,"&gt;="&amp;DATE(2027,3,1),Report!$C:$C,"&lt;="&amp;DATE(2027,3,31))</f>
        <v/>
      </c>
      <c r="Q7" s="77">
        <f>SUMIFS(Report!$U:$U,Report!$Z:$Z,"Impostos",Report!$AA:$AA,"SIM",Report!$C:$C,"&gt;="&amp;DATE(2027,4,1),Report!$C:$C,"&lt;="&amp;DATE(2027,4,30))</f>
        <v/>
      </c>
      <c r="R7" s="77">
        <f>SUMIFS(Report!$U:$U,Report!$Z:$Z,"Impostos",Report!$AA:$AA,"SIM",Report!$C:$C,"&gt;="&amp;DATE(2027,5,1),Report!$C:$C,"&lt;="&amp;DATE(2027,5,31))</f>
        <v/>
      </c>
      <c r="S7" s="77">
        <f>SUMIFS(Report!$U:$U,Report!$Z:$Z,"Impostos",Report!$AA:$AA,"SIM",Report!$C:$C,"&gt;="&amp;DATE(2027,6,1),Report!$C:$C,"&lt;="&amp;DATE(2027,6,30))</f>
        <v/>
      </c>
      <c r="T7" s="77">
        <f>SUMIFS(Report!$U:$U,Report!$Z:$Z,"Impostos",Report!$AA:$AA,"SIM",Report!$C:$C,"&gt;="&amp;DATE(2027,7,1),Report!$C:$C,"&lt;="&amp;DATE(2027,7,31))</f>
        <v/>
      </c>
      <c r="U7" s="77">
        <f>SUMIFS(Report!$U:$U,Report!$Z:$Z,"Impostos",Report!$AA:$AA,"SIM",Report!$C:$C,"&gt;="&amp;DATE(2027,8,1),Report!$C:$C,"&lt;="&amp;DATE(2027,8,31))</f>
        <v/>
      </c>
      <c r="V7" s="77">
        <f>SUMIFS(Report!$U:$U,Report!$Z:$Z,"Impostos",Report!$AA:$AA,"SIM",Report!$C:$C,"&gt;="&amp;DATE(2027,9,1),Report!$C:$C,"&lt;="&amp;DATE(2027,9,30))</f>
        <v/>
      </c>
      <c r="W7" s="77">
        <f>SUMIFS(Report!$U:$U,Report!$Z:$Z,"Impostos",Report!$AA:$AA,"SIM",Report!$C:$C,"&gt;="&amp;DATE(2027,10,1),Report!$C:$C,"&lt;="&amp;DATE(2027,10,31))</f>
        <v/>
      </c>
      <c r="X7" s="77">
        <f>SUMIFS(Report!$U:$U,Report!$Z:$Z,"Impostos",Report!$AA:$AA,"SIM",Report!$C:$C,"&gt;="&amp;DATE(2027,11,1),Report!$C:$C,"&lt;="&amp;DATE(2027,11,30))</f>
        <v/>
      </c>
      <c r="Y7" s="77">
        <f>SUMIFS(Report!$U:$U,Report!$Z:$Z,"Impostos",Report!$AA:$AA,"SIM",Report!$C:$C,"&gt;="&amp;DATE(2027,12,1),Report!$C:$C,"&lt;="&amp;DATE(2027,12,31))</f>
        <v/>
      </c>
      <c r="Z7" s="77">
        <f>SUM(B7:Y7)</f>
        <v/>
      </c>
      <c r="AB7" s="59" t="inlineStr">
        <is>
          <t>APLICACAO BANCO EXEMPLO</t>
        </is>
      </c>
      <c r="AC7" s="59" t="inlineStr">
        <is>
          <t>Cobertura de conta</t>
        </is>
      </c>
    </row>
    <row r="8" ht="12.75" customHeight="1" s="60">
      <c r="A8" s="59" t="inlineStr">
        <is>
          <t>Mercadoria</t>
        </is>
      </c>
      <c r="B8" s="77">
        <f>SUMIFS(Report!$U:$U,Report!$Z:$Z,"Mercadoria",Report!$AA:$AA,"SIM",Report!$C:$C,"&gt;="&amp;DATE(2026,1,1),Report!$C:$C,"&lt;="&amp;DATE(2026,1,31))</f>
        <v/>
      </c>
      <c r="C8" s="77">
        <f>SUMIFS(Report!$U:$U,Report!$Z:$Z,"Mercadoria",Report!$AA:$AA,"SIM",Report!$C:$C,"&gt;="&amp;DATE(2026,2,1),Report!$C:$C,"&lt;="&amp;DATE(2026,2,28))</f>
        <v/>
      </c>
      <c r="D8" s="77">
        <f>SUMIFS(Report!$U:$U,Report!$Z:$Z,"Mercadoria",Report!$AA:$AA,"SIM",Report!$C:$C,"&gt;="&amp;DATE(2026,3,1),Report!$C:$C,"&lt;="&amp;DATE(2026,3,31))</f>
        <v/>
      </c>
      <c r="E8" s="77">
        <f>SUMIFS(Report!$U:$U,Report!$Z:$Z,"Mercadoria",Report!$AA:$AA,"SIM",Report!$C:$C,"&gt;="&amp;DATE(2026,4,1),Report!$C:$C,"&lt;="&amp;DATE(2026,4,30))</f>
        <v/>
      </c>
      <c r="F8" s="77">
        <f>SUMIFS(Report!$U:$U,Report!$Z:$Z,"Mercadoria",Report!$AA:$AA,"SIM",Report!$C:$C,"&gt;="&amp;DATE(2026,5,1),Report!$C:$C,"&lt;="&amp;DATE(2026,5,31))</f>
        <v/>
      </c>
      <c r="G8" s="77">
        <f>SUMIFS(Report!$U:$U,Report!$Z:$Z,"Mercadoria",Report!$AA:$AA,"SIM",Report!$C:$C,"&gt;="&amp;DATE(2026,6,1),Report!$C:$C,"&lt;="&amp;DATE(2026,6,30))</f>
        <v/>
      </c>
      <c r="H8" s="77">
        <f>SUMIFS(Report!$U:$U,Report!$Z:$Z,"Mercadoria",Report!$AA:$AA,"SIM",Report!$C:$C,"&gt;="&amp;DATE(2026,7,1),Report!$C:$C,"&lt;="&amp;DATE(2026,7,31))</f>
        <v/>
      </c>
      <c r="I8" s="77">
        <f>SUMIFS(Report!$U:$U,Report!$Z:$Z,"Mercadoria",Report!$AA:$AA,"SIM",Report!$C:$C,"&gt;="&amp;DATE(2026,8,1),Report!$C:$C,"&lt;="&amp;DATE(2026,8,31))</f>
        <v/>
      </c>
      <c r="J8" s="77">
        <f>SUMIFS(Report!$U:$U,Report!$Z:$Z,"Mercadoria",Report!$AA:$AA,"SIM",Report!$C:$C,"&gt;="&amp;DATE(2026,9,1),Report!$C:$C,"&lt;="&amp;DATE(2026,9,30))</f>
        <v/>
      </c>
      <c r="K8" s="77">
        <f>SUMIFS(Report!$U:$U,Report!$Z:$Z,"Mercadoria",Report!$AA:$AA,"SIM",Report!$C:$C,"&gt;="&amp;DATE(2026,10,1),Report!$C:$C,"&lt;="&amp;DATE(2026,10,31))</f>
        <v/>
      </c>
      <c r="L8" s="77">
        <f>SUMIFS(Report!$U:$U,Report!$Z:$Z,"Mercadoria",Report!$AA:$AA,"SIM",Report!$C:$C,"&gt;="&amp;DATE(2026,11,1),Report!$C:$C,"&lt;="&amp;DATE(2026,11,30))</f>
        <v/>
      </c>
      <c r="M8" s="77">
        <f>SUMIFS(Report!$U:$U,Report!$Z:$Z,"Mercadoria",Report!$AA:$AA,"SIM",Report!$C:$C,"&gt;="&amp;DATE(2026,12,1),Report!$C:$C,"&lt;="&amp;DATE(2026,12,31))</f>
        <v/>
      </c>
      <c r="N8" s="77">
        <f>SUMIFS(Report!$U:$U,Report!$Z:$Z,"Mercadoria",Report!$AA:$AA,"SIM",Report!$C:$C,"&gt;="&amp;DATE(2027,1,1),Report!$C:$C,"&lt;="&amp;DATE(2027,1,31))</f>
        <v/>
      </c>
      <c r="O8" s="77">
        <f>SUMIFS(Report!$U:$U,Report!$Z:$Z,"Mercadoria",Report!$AA:$AA,"SIM",Report!$C:$C,"&gt;="&amp;DATE(2027,2,1),Report!$C:$C,"&lt;="&amp;DATE(2027,2,28))</f>
        <v/>
      </c>
      <c r="P8" s="77">
        <f>SUMIFS(Report!$U:$U,Report!$Z:$Z,"Mercadoria",Report!$AA:$AA,"SIM",Report!$C:$C,"&gt;="&amp;DATE(2027,3,1),Report!$C:$C,"&lt;="&amp;DATE(2027,3,31))</f>
        <v/>
      </c>
      <c r="Q8" s="77">
        <f>SUMIFS(Report!$U:$U,Report!$Z:$Z,"Mercadoria",Report!$AA:$AA,"SIM",Report!$C:$C,"&gt;="&amp;DATE(2027,4,1),Report!$C:$C,"&lt;="&amp;DATE(2027,4,30))</f>
        <v/>
      </c>
      <c r="R8" s="77">
        <f>SUMIFS(Report!$U:$U,Report!$Z:$Z,"Mercadoria",Report!$AA:$AA,"SIM",Report!$C:$C,"&gt;="&amp;DATE(2027,5,1),Report!$C:$C,"&lt;="&amp;DATE(2027,5,31))</f>
        <v/>
      </c>
      <c r="S8" s="77">
        <f>SUMIFS(Report!$U:$U,Report!$Z:$Z,"Mercadoria",Report!$AA:$AA,"SIM",Report!$C:$C,"&gt;="&amp;DATE(2027,6,1),Report!$C:$C,"&lt;="&amp;DATE(2027,6,30))</f>
        <v/>
      </c>
      <c r="T8" s="77">
        <f>SUMIFS(Report!$U:$U,Report!$Z:$Z,"Mercadoria",Report!$AA:$AA,"SIM",Report!$C:$C,"&gt;="&amp;DATE(2027,7,1),Report!$C:$C,"&lt;="&amp;DATE(2027,7,31))</f>
        <v/>
      </c>
      <c r="U8" s="77">
        <f>SUMIFS(Report!$U:$U,Report!$Z:$Z,"Mercadoria",Report!$AA:$AA,"SIM",Report!$C:$C,"&gt;="&amp;DATE(2027,8,1),Report!$C:$C,"&lt;="&amp;DATE(2027,8,31))</f>
        <v/>
      </c>
      <c r="V8" s="77">
        <f>SUMIFS(Report!$U:$U,Report!$Z:$Z,"Mercadoria",Report!$AA:$AA,"SIM",Report!$C:$C,"&gt;="&amp;DATE(2027,9,1),Report!$C:$C,"&lt;="&amp;DATE(2027,9,30))</f>
        <v/>
      </c>
      <c r="W8" s="77">
        <f>SUMIFS(Report!$U:$U,Report!$Z:$Z,"Mercadoria",Report!$AA:$AA,"SIM",Report!$C:$C,"&gt;="&amp;DATE(2027,10,1),Report!$C:$C,"&lt;="&amp;DATE(2027,10,31))</f>
        <v/>
      </c>
      <c r="X8" s="77">
        <f>SUMIFS(Report!$U:$U,Report!$Z:$Z,"Mercadoria",Report!$AA:$AA,"SIM",Report!$C:$C,"&gt;="&amp;DATE(2027,11,1),Report!$C:$C,"&lt;="&amp;DATE(2027,11,30))</f>
        <v/>
      </c>
      <c r="Y8" s="77">
        <f>SUMIFS(Report!$U:$U,Report!$Z:$Z,"Mercadoria",Report!$AA:$AA,"SIM",Report!$C:$C,"&gt;="&amp;DATE(2027,12,1),Report!$C:$C,"&lt;="&amp;DATE(2027,12,31))</f>
        <v/>
      </c>
      <c r="Z8" s="77">
        <f>SUM(B8:Y8)</f>
        <v/>
      </c>
      <c r="AB8" s="59" t="inlineStr">
        <is>
          <t>ASO FUNCIONARIOS</t>
        </is>
      </c>
      <c r="AC8" s="59" t="inlineStr">
        <is>
          <t>Salários</t>
        </is>
      </c>
    </row>
    <row r="9" ht="12.75" customHeight="1" s="60">
      <c r="A9" s="59" t="inlineStr">
        <is>
          <t>Pagamentos outros não operacionais</t>
        </is>
      </c>
      <c r="B9" s="77">
        <f>SUMIFS(Report!$U:$U,Report!$Z:$Z,"Pagamentos outros não operacionais",Report!$AA:$AA,"SIM",Report!$C:$C,"&gt;="&amp;DATE(2026,1,1),Report!$C:$C,"&lt;="&amp;DATE(2026,1,31))</f>
        <v/>
      </c>
      <c r="C9" s="77">
        <f>SUMIFS(Report!$U:$U,Report!$Z:$Z,"Pagamentos outros não operacionais",Report!$AA:$AA,"SIM",Report!$C:$C,"&gt;="&amp;DATE(2026,2,1),Report!$C:$C,"&lt;="&amp;DATE(2026,2,28))</f>
        <v/>
      </c>
      <c r="D9" s="77">
        <f>SUMIFS(Report!$U:$U,Report!$Z:$Z,"Pagamentos outros não operacionais",Report!$AA:$AA,"SIM",Report!$C:$C,"&gt;="&amp;DATE(2026,3,1),Report!$C:$C,"&lt;="&amp;DATE(2026,3,31))</f>
        <v/>
      </c>
      <c r="E9" s="77">
        <f>SUMIFS(Report!$U:$U,Report!$Z:$Z,"Pagamentos outros não operacionais",Report!$AA:$AA,"SIM",Report!$C:$C,"&gt;="&amp;DATE(2026,4,1),Report!$C:$C,"&lt;="&amp;DATE(2026,4,30))</f>
        <v/>
      </c>
      <c r="F9" s="77">
        <f>SUMIFS(Report!$U:$U,Report!$Z:$Z,"Pagamentos outros não operacionais",Report!$AA:$AA,"SIM",Report!$C:$C,"&gt;="&amp;DATE(2026,5,1),Report!$C:$C,"&lt;="&amp;DATE(2026,5,31))</f>
        <v/>
      </c>
      <c r="G9" s="77">
        <f>SUMIFS(Report!$U:$U,Report!$Z:$Z,"Pagamentos outros não operacionais",Report!$AA:$AA,"SIM",Report!$C:$C,"&gt;="&amp;DATE(2026,6,1),Report!$C:$C,"&lt;="&amp;DATE(2026,6,30))</f>
        <v/>
      </c>
      <c r="H9" s="77">
        <f>SUMIFS(Report!$U:$U,Report!$Z:$Z,"Pagamentos outros não operacionais",Report!$AA:$AA,"SIM",Report!$C:$C,"&gt;="&amp;DATE(2026,7,1),Report!$C:$C,"&lt;="&amp;DATE(2026,7,31))</f>
        <v/>
      </c>
      <c r="I9" s="77">
        <f>SUMIFS(Report!$U:$U,Report!$Z:$Z,"Pagamentos outros não operacionais",Report!$AA:$AA,"SIM",Report!$C:$C,"&gt;="&amp;DATE(2026,8,1),Report!$C:$C,"&lt;="&amp;DATE(2026,8,31))</f>
        <v/>
      </c>
      <c r="J9" s="77">
        <f>SUMIFS(Report!$U:$U,Report!$Z:$Z,"Pagamentos outros não operacionais",Report!$AA:$AA,"SIM",Report!$C:$C,"&gt;="&amp;DATE(2026,9,1),Report!$C:$C,"&lt;="&amp;DATE(2026,9,30))</f>
        <v/>
      </c>
      <c r="K9" s="77">
        <f>SUMIFS(Report!$U:$U,Report!$Z:$Z,"Pagamentos outros não operacionais",Report!$AA:$AA,"SIM",Report!$C:$C,"&gt;="&amp;DATE(2026,10,1),Report!$C:$C,"&lt;="&amp;DATE(2026,10,31))</f>
        <v/>
      </c>
      <c r="L9" s="77">
        <f>SUMIFS(Report!$U:$U,Report!$Z:$Z,"Pagamentos outros não operacionais",Report!$AA:$AA,"SIM",Report!$C:$C,"&gt;="&amp;DATE(2026,11,1),Report!$C:$C,"&lt;="&amp;DATE(2026,11,30))</f>
        <v/>
      </c>
      <c r="M9" s="77">
        <f>SUMIFS(Report!$U:$U,Report!$Z:$Z,"Pagamentos outros não operacionais",Report!$AA:$AA,"SIM",Report!$C:$C,"&gt;="&amp;DATE(2026,12,1),Report!$C:$C,"&lt;="&amp;DATE(2026,12,31))</f>
        <v/>
      </c>
      <c r="N9" s="77">
        <f>SUMIFS(Report!$U:$U,Report!$Z:$Z,"Pagamentos outros não operacionais",Report!$AA:$AA,"SIM",Report!$C:$C,"&gt;="&amp;DATE(2027,1,1),Report!$C:$C,"&lt;="&amp;DATE(2027,1,31))</f>
        <v/>
      </c>
      <c r="O9" s="77">
        <f>SUMIFS(Report!$U:$U,Report!$Z:$Z,"Pagamentos outros não operacionais",Report!$AA:$AA,"SIM",Report!$C:$C,"&gt;="&amp;DATE(2027,2,1),Report!$C:$C,"&lt;="&amp;DATE(2027,2,28))</f>
        <v/>
      </c>
      <c r="P9" s="77">
        <f>SUMIFS(Report!$U:$U,Report!$Z:$Z,"Pagamentos outros não operacionais",Report!$AA:$AA,"SIM",Report!$C:$C,"&gt;="&amp;DATE(2027,3,1),Report!$C:$C,"&lt;="&amp;DATE(2027,3,31))</f>
        <v/>
      </c>
      <c r="Q9" s="77">
        <f>SUMIFS(Report!$U:$U,Report!$Z:$Z,"Pagamentos outros não operacionais",Report!$AA:$AA,"SIM",Report!$C:$C,"&gt;="&amp;DATE(2027,4,1),Report!$C:$C,"&lt;="&amp;DATE(2027,4,30))</f>
        <v/>
      </c>
      <c r="R9" s="77">
        <f>SUMIFS(Report!$U:$U,Report!$Z:$Z,"Pagamentos outros não operacionais",Report!$AA:$AA,"SIM",Report!$C:$C,"&gt;="&amp;DATE(2027,5,1),Report!$C:$C,"&lt;="&amp;DATE(2027,5,31))</f>
        <v/>
      </c>
      <c r="S9" s="77">
        <f>SUMIFS(Report!$U:$U,Report!$Z:$Z,"Pagamentos outros não operacionais",Report!$AA:$AA,"SIM",Report!$C:$C,"&gt;="&amp;DATE(2027,6,1),Report!$C:$C,"&lt;="&amp;DATE(2027,6,30))</f>
        <v/>
      </c>
      <c r="T9" s="77">
        <f>SUMIFS(Report!$U:$U,Report!$Z:$Z,"Pagamentos outros não operacionais",Report!$AA:$AA,"SIM",Report!$C:$C,"&gt;="&amp;DATE(2027,7,1),Report!$C:$C,"&lt;="&amp;DATE(2027,7,31))</f>
        <v/>
      </c>
      <c r="U9" s="77">
        <f>SUMIFS(Report!$U:$U,Report!$Z:$Z,"Pagamentos outros não operacionais",Report!$AA:$AA,"SIM",Report!$C:$C,"&gt;="&amp;DATE(2027,8,1),Report!$C:$C,"&lt;="&amp;DATE(2027,8,31))</f>
        <v/>
      </c>
      <c r="V9" s="77">
        <f>SUMIFS(Report!$U:$U,Report!$Z:$Z,"Pagamentos outros não operacionais",Report!$AA:$AA,"SIM",Report!$C:$C,"&gt;="&amp;DATE(2027,9,1),Report!$C:$C,"&lt;="&amp;DATE(2027,9,30))</f>
        <v/>
      </c>
      <c r="W9" s="77">
        <f>SUMIFS(Report!$U:$U,Report!$Z:$Z,"Pagamentos outros não operacionais",Report!$AA:$AA,"SIM",Report!$C:$C,"&gt;="&amp;DATE(2027,10,1),Report!$C:$C,"&lt;="&amp;DATE(2027,10,31))</f>
        <v/>
      </c>
      <c r="X9" s="77">
        <f>SUMIFS(Report!$U:$U,Report!$Z:$Z,"Pagamentos outros não operacionais",Report!$AA:$AA,"SIM",Report!$C:$C,"&gt;="&amp;DATE(2027,11,1),Report!$C:$C,"&lt;="&amp;DATE(2027,11,30))</f>
        <v/>
      </c>
      <c r="Y9" s="77">
        <f>SUMIFS(Report!$U:$U,Report!$Z:$Z,"Pagamentos outros não operacionais",Report!$AA:$AA,"SIM",Report!$C:$C,"&gt;="&amp;DATE(2027,12,1),Report!$C:$C,"&lt;="&amp;DATE(2027,12,31))</f>
        <v/>
      </c>
      <c r="Z9" s="77">
        <f>SUM(B9:Y9)</f>
        <v/>
      </c>
      <c r="AB9" s="59" t="inlineStr">
        <is>
          <t>CAPITALIZACAO BANCO</t>
        </is>
      </c>
      <c r="AC9" s="59" t="inlineStr">
        <is>
          <t>Despesa</t>
        </is>
      </c>
    </row>
    <row r="10" ht="12.75" customHeight="1" s="60">
      <c r="A10" s="59" t="inlineStr">
        <is>
          <t>Salários</t>
        </is>
      </c>
      <c r="B10" s="77">
        <f>SUMIFS(Report!$U:$U,Report!$Z:$Z,"Salários",Report!$AA:$AA,"SIM",Report!$C:$C,"&gt;="&amp;DATE(2026,1,1),Report!$C:$C,"&lt;="&amp;DATE(2026,1,31))</f>
        <v/>
      </c>
      <c r="C10" s="77">
        <f>SUMIFS(Report!$U:$U,Report!$Z:$Z,"Salários",Report!$AA:$AA,"SIM",Report!$C:$C,"&gt;="&amp;DATE(2026,2,1),Report!$C:$C,"&lt;="&amp;DATE(2026,2,28))</f>
        <v/>
      </c>
      <c r="D10" s="77">
        <f>SUMIFS(Report!$U:$U,Report!$Z:$Z,"Salários",Report!$AA:$AA,"SIM",Report!$C:$C,"&gt;="&amp;DATE(2026,3,1),Report!$C:$C,"&lt;="&amp;DATE(2026,3,31))</f>
        <v/>
      </c>
      <c r="E10" s="77">
        <f>SUMIFS(Report!$U:$U,Report!$Z:$Z,"Salários",Report!$AA:$AA,"SIM",Report!$C:$C,"&gt;="&amp;DATE(2026,4,1),Report!$C:$C,"&lt;="&amp;DATE(2026,4,30))</f>
        <v/>
      </c>
      <c r="F10" s="77">
        <f>SUMIFS(Report!$U:$U,Report!$Z:$Z,"Salários",Report!$AA:$AA,"SIM",Report!$C:$C,"&gt;="&amp;DATE(2026,5,1),Report!$C:$C,"&lt;="&amp;DATE(2026,5,31))</f>
        <v/>
      </c>
      <c r="G10" s="77">
        <f>SUMIFS(Report!$U:$U,Report!$Z:$Z,"Salários",Report!$AA:$AA,"SIM",Report!$C:$C,"&gt;="&amp;DATE(2026,6,1),Report!$C:$C,"&lt;="&amp;DATE(2026,6,30))</f>
        <v/>
      </c>
      <c r="H10" s="77">
        <f>SUMIFS(Report!$U:$U,Report!$Z:$Z,"Salários",Report!$AA:$AA,"SIM",Report!$C:$C,"&gt;="&amp;DATE(2026,7,1),Report!$C:$C,"&lt;="&amp;DATE(2026,7,31))</f>
        <v/>
      </c>
      <c r="I10" s="77">
        <f>SUMIFS(Report!$U:$U,Report!$Z:$Z,"Salários",Report!$AA:$AA,"SIM",Report!$C:$C,"&gt;="&amp;DATE(2026,8,1),Report!$C:$C,"&lt;="&amp;DATE(2026,8,31))</f>
        <v/>
      </c>
      <c r="J10" s="77">
        <f>SUMIFS(Report!$U:$U,Report!$Z:$Z,"Salários",Report!$AA:$AA,"SIM",Report!$C:$C,"&gt;="&amp;DATE(2026,9,1),Report!$C:$C,"&lt;="&amp;DATE(2026,9,30))</f>
        <v/>
      </c>
      <c r="K10" s="77">
        <f>SUMIFS(Report!$U:$U,Report!$Z:$Z,"Salários",Report!$AA:$AA,"SIM",Report!$C:$C,"&gt;="&amp;DATE(2026,10,1),Report!$C:$C,"&lt;="&amp;DATE(2026,10,31))</f>
        <v/>
      </c>
      <c r="L10" s="77">
        <f>SUMIFS(Report!$U:$U,Report!$Z:$Z,"Salários",Report!$AA:$AA,"SIM",Report!$C:$C,"&gt;="&amp;DATE(2026,11,1),Report!$C:$C,"&lt;="&amp;DATE(2026,11,30))</f>
        <v/>
      </c>
      <c r="M10" s="77">
        <f>SUMIFS(Report!$U:$U,Report!$Z:$Z,"Salários",Report!$AA:$AA,"SIM",Report!$C:$C,"&gt;="&amp;DATE(2026,12,1),Report!$C:$C,"&lt;="&amp;DATE(2026,12,31))</f>
        <v/>
      </c>
      <c r="N10" s="77">
        <f>SUMIFS(Report!$U:$U,Report!$Z:$Z,"Salários",Report!$AA:$AA,"SIM",Report!$C:$C,"&gt;="&amp;DATE(2027,1,1),Report!$C:$C,"&lt;="&amp;DATE(2027,1,31))</f>
        <v/>
      </c>
      <c r="O10" s="77">
        <f>SUMIFS(Report!$U:$U,Report!$Z:$Z,"Salários",Report!$AA:$AA,"SIM",Report!$C:$C,"&gt;="&amp;DATE(2027,2,1),Report!$C:$C,"&lt;="&amp;DATE(2027,2,28))</f>
        <v/>
      </c>
      <c r="P10" s="77">
        <f>SUMIFS(Report!$U:$U,Report!$Z:$Z,"Salários",Report!$AA:$AA,"SIM",Report!$C:$C,"&gt;="&amp;DATE(2027,3,1),Report!$C:$C,"&lt;="&amp;DATE(2027,3,31))</f>
        <v/>
      </c>
      <c r="Q10" s="77">
        <f>SUMIFS(Report!$U:$U,Report!$Z:$Z,"Salários",Report!$AA:$AA,"SIM",Report!$C:$C,"&gt;="&amp;DATE(2027,4,1),Report!$C:$C,"&lt;="&amp;DATE(2027,4,30))</f>
        <v/>
      </c>
      <c r="R10" s="77">
        <f>SUMIFS(Report!$U:$U,Report!$Z:$Z,"Salários",Report!$AA:$AA,"SIM",Report!$C:$C,"&gt;="&amp;DATE(2027,5,1),Report!$C:$C,"&lt;="&amp;DATE(2027,5,31))</f>
        <v/>
      </c>
      <c r="S10" s="77">
        <f>SUMIFS(Report!$U:$U,Report!$Z:$Z,"Salários",Report!$AA:$AA,"SIM",Report!$C:$C,"&gt;="&amp;DATE(2027,6,1),Report!$C:$C,"&lt;="&amp;DATE(2027,6,30))</f>
        <v/>
      </c>
      <c r="T10" s="77">
        <f>SUMIFS(Report!$U:$U,Report!$Z:$Z,"Salários",Report!$AA:$AA,"SIM",Report!$C:$C,"&gt;="&amp;DATE(2027,7,1),Report!$C:$C,"&lt;="&amp;DATE(2027,7,31))</f>
        <v/>
      </c>
      <c r="U10" s="77">
        <f>SUMIFS(Report!$U:$U,Report!$Z:$Z,"Salários",Report!$AA:$AA,"SIM",Report!$C:$C,"&gt;="&amp;DATE(2027,8,1),Report!$C:$C,"&lt;="&amp;DATE(2027,8,31))</f>
        <v/>
      </c>
      <c r="V10" s="77">
        <f>SUMIFS(Report!$U:$U,Report!$Z:$Z,"Salários",Report!$AA:$AA,"SIM",Report!$C:$C,"&gt;="&amp;DATE(2027,9,1),Report!$C:$C,"&lt;="&amp;DATE(2027,9,30))</f>
        <v/>
      </c>
      <c r="W10" s="77">
        <f>SUMIFS(Report!$U:$U,Report!$Z:$Z,"Salários",Report!$AA:$AA,"SIM",Report!$C:$C,"&gt;="&amp;DATE(2027,10,1),Report!$C:$C,"&lt;="&amp;DATE(2027,10,31))</f>
        <v/>
      </c>
      <c r="X10" s="77">
        <f>SUMIFS(Report!$U:$U,Report!$Z:$Z,"Salários",Report!$AA:$AA,"SIM",Report!$C:$C,"&gt;="&amp;DATE(2027,11,1),Report!$C:$C,"&lt;="&amp;DATE(2027,11,30))</f>
        <v/>
      </c>
      <c r="Y10" s="77">
        <f>SUMIFS(Report!$U:$U,Report!$Z:$Z,"Salários",Report!$AA:$AA,"SIM",Report!$C:$C,"&gt;="&amp;DATE(2027,12,1),Report!$C:$C,"&lt;="&amp;DATE(2027,12,31))</f>
        <v/>
      </c>
      <c r="Z10" s="77">
        <f>SUM(B10:Y10)</f>
        <v/>
      </c>
      <c r="AB10" s="59" t="inlineStr">
        <is>
          <t>CARTAO DE CREDITO - ANUIDADE</t>
        </is>
      </c>
      <c r="AC10" s="59" t="inlineStr">
        <is>
          <t>Despesa</t>
        </is>
      </c>
    </row>
    <row r="11" ht="12.75" customHeight="1" s="60">
      <c r="A11" s="94" t="inlineStr">
        <is>
          <t>n/d / a revisar</t>
        </is>
      </c>
      <c r="B11" s="90">
        <f>B3-SUM(B4:B10)</f>
        <v/>
      </c>
      <c r="C11" s="90">
        <f>C3-SUM(C4:C10)</f>
        <v/>
      </c>
      <c r="D11" s="90">
        <f>D3-SUM(D4:D10)</f>
        <v/>
      </c>
      <c r="E11" s="90">
        <f>E3-SUM(E4:E10)</f>
        <v/>
      </c>
      <c r="F11" s="90">
        <f>F3-SUM(F4:F10)</f>
        <v/>
      </c>
      <c r="G11" s="90">
        <f>G3-SUM(G4:G10)</f>
        <v/>
      </c>
      <c r="H11" s="90">
        <f>H3-SUM(H4:H10)</f>
        <v/>
      </c>
      <c r="I11" s="90">
        <f>I3-SUM(I4:I10)</f>
        <v/>
      </c>
      <c r="J11" s="90">
        <f>J3-SUM(J4:J10)</f>
        <v/>
      </c>
      <c r="K11" s="90">
        <f>K3-SUM(K4:K10)</f>
        <v/>
      </c>
      <c r="L11" s="90">
        <f>L3-SUM(L4:L10)</f>
        <v/>
      </c>
      <c r="M11" s="90">
        <f>M3-SUM(M4:M10)</f>
        <v/>
      </c>
      <c r="N11" s="90">
        <f>N3-SUM(N4:N10)</f>
        <v/>
      </c>
      <c r="O11" s="90">
        <f>O3-SUM(O4:O10)</f>
        <v/>
      </c>
      <c r="P11" s="90">
        <f>P3-SUM(P4:P10)</f>
        <v/>
      </c>
      <c r="Q11" s="90">
        <f>Q3-SUM(Q4:Q10)</f>
        <v/>
      </c>
      <c r="R11" s="90">
        <f>R3-SUM(R4:R10)</f>
        <v/>
      </c>
      <c r="S11" s="90">
        <f>S3-SUM(S4:S10)</f>
        <v/>
      </c>
      <c r="T11" s="90">
        <f>T3-SUM(T4:T10)</f>
        <v/>
      </c>
      <c r="U11" s="90">
        <f>U3-SUM(U4:U10)</f>
        <v/>
      </c>
      <c r="V11" s="90">
        <f>V3-SUM(V4:V10)</f>
        <v/>
      </c>
      <c r="W11" s="90">
        <f>W3-SUM(W4:W10)</f>
        <v/>
      </c>
      <c r="X11" s="90">
        <f>X3-SUM(X4:X10)</f>
        <v/>
      </c>
      <c r="Y11" s="90">
        <f>Y3-SUM(Y4:Y10)</f>
        <v/>
      </c>
      <c r="Z11" s="90">
        <f>SUM(B11:Y11)</f>
        <v/>
      </c>
      <c r="AB11" s="59" t="inlineStr">
        <is>
          <t>CERTIFICADO DIGITAL</t>
        </is>
      </c>
      <c r="AC11" s="59" t="inlineStr">
        <is>
          <t>Despesa</t>
        </is>
      </c>
    </row>
    <row r="12" ht="12.75" customHeight="1" s="60">
      <c r="AB12" s="59" t="inlineStr">
        <is>
          <t>COMBUSTIVEIS</t>
        </is>
      </c>
      <c r="AC12" s="59" t="inlineStr">
        <is>
          <t>Despesa</t>
        </is>
      </c>
    </row>
    <row r="13" ht="12.75" customHeight="1" s="60">
      <c r="A13" s="59" t="inlineStr">
        <is>
          <t>Nota: as abas de resumo NAO incluem as classificacoes listadas em AE (lista editavel). Excluido do periodo:</t>
        </is>
      </c>
      <c r="B13" s="77">
        <f>SUMIFS(Report!$U:$U,Report!$AA:$AA,"NAO",Report!$C:$C,"&gt;="&amp;DATE(2026,1,1),Report!$C:$C,"&lt;="&amp;DATE(2027,12,31))</f>
        <v/>
      </c>
      <c r="AB13" s="59" t="inlineStr">
        <is>
          <t>CONTAS A PAGAR</t>
        </is>
      </c>
      <c r="AC13" s="59" t="inlineStr">
        <is>
          <t>Cobertura de conta</t>
        </is>
      </c>
    </row>
    <row r="14" ht="12.75" customHeight="1" s="60">
      <c r="A14" s="59" t="inlineStr">
        <is>
          <t>Nota: o mapa em AB/AC e editavel. Altere a coluna AC para reclassificar e todas as abas recalculam sozinhas.</t>
        </is>
      </c>
      <c r="AB14" s="59" t="inlineStr">
        <is>
          <t>DEDETIZACAO - LIMPEZA</t>
        </is>
      </c>
      <c r="AC14" s="59" t="inlineStr">
        <is>
          <t>Despesa</t>
        </is>
      </c>
    </row>
    <row r="15" ht="12.75" customHeight="1" s="60">
      <c r="AB15" s="59" t="inlineStr">
        <is>
          <t>DESPESA DE VENDA</t>
        </is>
      </c>
      <c r="AC15" s="59" t="inlineStr">
        <is>
          <t>Despesa</t>
        </is>
      </c>
    </row>
    <row r="16" ht="12.75" customHeight="1" s="60">
      <c r="AB16" s="59" t="inlineStr">
        <is>
          <t>DESPESAS ACOUGUE</t>
        </is>
      </c>
      <c r="AC16" s="59" t="inlineStr">
        <is>
          <t>Despesa</t>
        </is>
      </c>
    </row>
    <row r="17" ht="12.75" customHeight="1" s="60">
      <c r="AB17" s="59" t="inlineStr">
        <is>
          <t>DESPESAS BANCARIAS</t>
        </is>
      </c>
      <c r="AC17" s="59" t="inlineStr">
        <is>
          <t>Despesa</t>
        </is>
      </c>
    </row>
    <row r="18" ht="12.75" customHeight="1" s="60">
      <c r="AB18" s="59" t="inlineStr">
        <is>
          <t>DESPESAS ESCRITORIO</t>
        </is>
      </c>
      <c r="AC18" s="59" t="inlineStr">
        <is>
          <t>Despesa</t>
        </is>
      </c>
    </row>
    <row r="19" ht="12.75" customHeight="1" s="60">
      <c r="AB19" s="59" t="inlineStr">
        <is>
          <t>DESPESAS LOJA</t>
        </is>
      </c>
      <c r="AC19" s="59" t="inlineStr">
        <is>
          <t>Despesa</t>
        </is>
      </c>
    </row>
    <row r="20" ht="12.75" customHeight="1" s="60">
      <c r="AB20" s="59" t="inlineStr">
        <is>
          <t>DESPESAS PADARIA</t>
        </is>
      </c>
      <c r="AC20" s="59" t="inlineStr">
        <is>
          <t>Despesa</t>
        </is>
      </c>
    </row>
    <row r="21" ht="12.75" customHeight="1" s="60">
      <c r="AB21" s="59" t="inlineStr">
        <is>
          <t>EMPRESTIMOS BANCARIOS A PAGAR</t>
        </is>
      </c>
      <c r="AC21" s="59" t="inlineStr">
        <is>
          <t>Empréstimo</t>
        </is>
      </c>
    </row>
    <row r="22" ht="12.75" customHeight="1" s="60">
      <c r="AB22" s="59" t="inlineStr">
        <is>
          <t>EMPRESTIMOS TERCEIROS</t>
        </is>
      </c>
      <c r="AC22" s="59" t="inlineStr">
        <is>
          <t>Empréstimo</t>
        </is>
      </c>
    </row>
    <row r="23" ht="12.75" customHeight="1" s="60">
      <c r="AB23" s="59" t="inlineStr">
        <is>
          <t>ENERGIA ELETRICA</t>
        </is>
      </c>
      <c r="AC23" s="59" t="inlineStr">
        <is>
          <t>Despesa</t>
        </is>
      </c>
    </row>
    <row r="24" ht="12.75" customHeight="1" s="60">
      <c r="AB24" s="59" t="inlineStr">
        <is>
          <t>EPI - FUNCIONARIOS</t>
        </is>
      </c>
      <c r="AC24" s="59" t="inlineStr">
        <is>
          <t>Salários</t>
        </is>
      </c>
    </row>
    <row r="25" ht="12.75" customHeight="1" s="60">
      <c r="AB25" s="59" t="inlineStr">
        <is>
          <t>FERIAS</t>
        </is>
      </c>
      <c r="AC25" s="59" t="inlineStr">
        <is>
          <t>Salários</t>
        </is>
      </c>
    </row>
    <row r="26" ht="12.75" customHeight="1" s="60">
      <c r="AB26" s="59" t="inlineStr">
        <is>
          <t>FERIAS A PAGAR</t>
        </is>
      </c>
      <c r="AC26" s="59" t="inlineStr">
        <is>
          <t>Salários</t>
        </is>
      </c>
    </row>
    <row r="27" ht="12.75" customHeight="1" s="60">
      <c r="AB27" s="59" t="inlineStr">
        <is>
          <t>FGTS</t>
        </is>
      </c>
      <c r="AC27" s="59" t="inlineStr">
        <is>
          <t>Impostos</t>
        </is>
      </c>
    </row>
    <row r="28" ht="12.75" customHeight="1" s="60">
      <c r="AB28" s="59" t="inlineStr">
        <is>
          <t>GAS LOJA</t>
        </is>
      </c>
      <c r="AC28" s="59" t="inlineStr">
        <is>
          <t>Despesa</t>
        </is>
      </c>
    </row>
    <row r="29" ht="12.75" customHeight="1" s="60">
      <c r="AB29" s="59" t="inlineStr">
        <is>
          <t>GRAFICAS E IMPRESSOS</t>
        </is>
      </c>
      <c r="AC29" s="59" t="inlineStr">
        <is>
          <t>Despesa</t>
        </is>
      </c>
    </row>
    <row r="30" ht="12.75" customHeight="1" s="60">
      <c r="AB30" s="59" t="inlineStr">
        <is>
          <t>HONORARIOS CONTABEIS</t>
        </is>
      </c>
      <c r="AC30" s="59" t="inlineStr">
        <is>
          <t>Despesa</t>
        </is>
      </c>
    </row>
    <row r="31" ht="12.75" customHeight="1" s="60">
      <c r="AB31" s="59" t="inlineStr">
        <is>
          <t>HONORARIOS JURIDICOS</t>
        </is>
      </c>
      <c r="AC31" s="59" t="inlineStr">
        <is>
          <t>Despesa</t>
        </is>
      </c>
    </row>
    <row r="32" ht="12.75" customHeight="1" s="60">
      <c r="AB32" s="59" t="inlineStr">
        <is>
          <t>ICMS A PAGAR</t>
        </is>
      </c>
      <c r="AC32" s="59" t="inlineStr">
        <is>
          <t>Impostos</t>
        </is>
      </c>
    </row>
    <row r="33" ht="12.75" customHeight="1" s="60">
      <c r="AB33" s="59" t="inlineStr">
        <is>
          <t>ICMS S/ VENDAS</t>
        </is>
      </c>
      <c r="AC33" s="59" t="inlineStr">
        <is>
          <t>Impostos</t>
        </is>
      </c>
    </row>
    <row r="34" ht="12.75" customHeight="1" s="60">
      <c r="AB34" s="59" t="inlineStr">
        <is>
          <t>IMPOSTOS E TAXAS A APROPRIAR</t>
        </is>
      </c>
      <c r="AC34" s="59" t="inlineStr">
        <is>
          <t>Impostos</t>
        </is>
      </c>
    </row>
    <row r="35" ht="12.75" customHeight="1" s="60">
      <c r="AB35" s="59" t="inlineStr">
        <is>
          <t>INSS (PREVIDENCIA SOCIAL)</t>
        </is>
      </c>
      <c r="AC35" s="59" t="inlineStr">
        <is>
          <t>Impostos</t>
        </is>
      </c>
    </row>
    <row r="36" ht="12.75" customHeight="1" s="60">
      <c r="AB36" s="59" t="inlineStr">
        <is>
          <t>INTERNET</t>
        </is>
      </c>
      <c r="AC36" s="59" t="inlineStr">
        <is>
          <t>Despesa</t>
        </is>
      </c>
    </row>
    <row r="37" ht="12.75" customHeight="1" s="60">
      <c r="AB37" s="59" t="inlineStr">
        <is>
          <t>IOF - OPERACOES FINANCEIRAS</t>
        </is>
      </c>
      <c r="AC37" s="59" t="inlineStr">
        <is>
          <t>Despesa</t>
        </is>
      </c>
    </row>
    <row r="38" ht="12.75" customHeight="1" s="60">
      <c r="AB38" s="59" t="inlineStr">
        <is>
          <t>IPTU</t>
        </is>
      </c>
      <c r="AC38" s="59" t="inlineStr">
        <is>
          <t>Impostos</t>
        </is>
      </c>
    </row>
    <row r="39" ht="12.75" customHeight="1" s="60">
      <c r="AB39" s="59" t="inlineStr">
        <is>
          <t>IRPJ A PAGAR</t>
        </is>
      </c>
      <c r="AC39" s="59" t="inlineStr">
        <is>
          <t>Despesa</t>
        </is>
      </c>
    </row>
    <row r="40" ht="12.75" customHeight="1" s="60">
      <c r="AB40" s="59" t="inlineStr">
        <is>
          <t>IRRF A RECOLHER</t>
        </is>
      </c>
      <c r="AC40" s="59" t="inlineStr">
        <is>
          <t>Impostos</t>
        </is>
      </c>
    </row>
    <row r="41" ht="12.75" customHeight="1" s="60">
      <c r="AB41" s="59" t="inlineStr">
        <is>
          <t>JUROS PAGOS A FORNECEDORES</t>
        </is>
      </c>
      <c r="AC41" s="59" t="inlineStr">
        <is>
          <t>Despesa</t>
        </is>
      </c>
    </row>
    <row r="42" ht="12.75" customHeight="1" s="60">
      <c r="AB42" s="59" t="inlineStr">
        <is>
          <t>JUROS S/ EMPRESTIMOS</t>
        </is>
      </c>
      <c r="AC42" s="59" t="inlineStr">
        <is>
          <t>Empréstimo</t>
        </is>
      </c>
    </row>
    <row r="43" ht="12.75" customHeight="1" s="60">
      <c r="AB43" s="59" t="inlineStr">
        <is>
          <t>MANUTENCAO DE EQUIPAMENTOS</t>
        </is>
      </c>
      <c r="AC43" s="59" t="inlineStr">
        <is>
          <t>Despesa</t>
        </is>
      </c>
    </row>
    <row r="44" ht="12.75" customHeight="1" s="60">
      <c r="AB44" s="59" t="inlineStr">
        <is>
          <t>MANUTENCAO VEICULOS</t>
        </is>
      </c>
      <c r="AC44" s="59" t="inlineStr">
        <is>
          <t>Despesa</t>
        </is>
      </c>
    </row>
    <row r="45" ht="12.75" customHeight="1" s="60">
      <c r="AB45" s="59" t="inlineStr">
        <is>
          <t>MANUTENÇÃO ELETRICA</t>
        </is>
      </c>
      <c r="AC45" s="59" t="inlineStr">
        <is>
          <t>Despesa</t>
        </is>
      </c>
    </row>
    <row r="46" ht="12.75" customHeight="1" s="60">
      <c r="AB46" s="59" t="inlineStr">
        <is>
          <t>MANUTENÇÃO EQUIPAMENTOS DE INFORMATICA</t>
        </is>
      </c>
      <c r="AC46" s="59" t="inlineStr">
        <is>
          <t>Despesa</t>
        </is>
      </c>
    </row>
    <row r="47" ht="12.75" customHeight="1" s="60">
      <c r="AB47" s="59" t="inlineStr">
        <is>
          <t>MAO DE OBRA</t>
        </is>
      </c>
      <c r="AC47" s="59" t="inlineStr">
        <is>
          <t>Salários</t>
        </is>
      </c>
    </row>
    <row r="48" ht="12.75" customHeight="1" s="60">
      <c r="AB48" s="59" t="inlineStr">
        <is>
          <t>MAQUINAS E EQUIPAMENTOS</t>
        </is>
      </c>
      <c r="AC48" s="59" t="inlineStr">
        <is>
          <t>Despesa</t>
        </is>
      </c>
    </row>
    <row r="49" ht="12.75" customHeight="1" s="60">
      <c r="AB49" s="59" t="inlineStr">
        <is>
          <t>MATERIA PRIMA</t>
        </is>
      </c>
      <c r="AC49" s="59" t="inlineStr">
        <is>
          <t>Despesa</t>
        </is>
      </c>
    </row>
    <row r="50" ht="12.75" customHeight="1" s="60">
      <c r="AB50" s="59" t="inlineStr">
        <is>
          <t>MATERIAL DE CONSUMO</t>
        </is>
      </c>
      <c r="AC50" s="59" t="inlineStr">
        <is>
          <t>Despesa</t>
        </is>
      </c>
    </row>
    <row r="51" ht="12.75" customHeight="1" s="60">
      <c r="AB51" s="59" t="inlineStr">
        <is>
          <t>MATERIAL DE ESCRITORIO</t>
        </is>
      </c>
      <c r="AC51" s="59" t="inlineStr">
        <is>
          <t>Despesa</t>
        </is>
      </c>
    </row>
    <row r="52" ht="12.75" customHeight="1" s="60">
      <c r="AB52" s="59" t="inlineStr">
        <is>
          <t>MENSALIDADE CONCILIACAO BANCARIA</t>
        </is>
      </c>
      <c r="AC52" s="59" t="inlineStr">
        <is>
          <t>Despesa</t>
        </is>
      </c>
    </row>
    <row r="53" ht="12.75" customHeight="1" s="60">
      <c r="AB53" s="59" t="inlineStr">
        <is>
          <t>MENSALIDADE SEGURANCA TRABAHO - EXCELLET</t>
        </is>
      </c>
      <c r="AC53" s="59" t="inlineStr">
        <is>
          <t>Despesa</t>
        </is>
      </c>
    </row>
    <row r="54" ht="12.75" customHeight="1" s="60">
      <c r="AB54" s="59" t="inlineStr">
        <is>
          <t>MENSALIDADE TI</t>
        </is>
      </c>
      <c r="AC54" s="59" t="inlineStr">
        <is>
          <t>Despesa</t>
        </is>
      </c>
    </row>
    <row r="55" ht="12.75" customHeight="1" s="60">
      <c r="AB55" s="59" t="inlineStr">
        <is>
          <t>MENSALIDADES DE ASSOCIACOES</t>
        </is>
      </c>
      <c r="AC55" s="59" t="inlineStr">
        <is>
          <t>Despesa</t>
        </is>
      </c>
    </row>
    <row r="56" ht="12.75" customHeight="1" s="60">
      <c r="AB56" s="59" t="inlineStr">
        <is>
          <t>MERCADORIAS P/REVENDA</t>
        </is>
      </c>
      <c r="AC56" s="59" t="inlineStr">
        <is>
          <t>Mercadoria</t>
        </is>
      </c>
    </row>
    <row r="57" ht="12.75" customHeight="1" s="60">
      <c r="AB57" s="59" t="inlineStr">
        <is>
          <t>OUTROS CUSTOS PRODUCAO</t>
        </is>
      </c>
      <c r="AC57" s="59" t="inlineStr">
        <is>
          <t>Despesa</t>
        </is>
      </c>
    </row>
    <row r="58" ht="12.75" customHeight="1" s="60">
      <c r="AB58" s="59" t="inlineStr">
        <is>
          <t>PAGAMENTOS OUTROS NAO OPERACIONAIS</t>
        </is>
      </c>
      <c r="AC58" s="59" t="inlineStr">
        <is>
          <t>Pagamentos outros não operacionais</t>
        </is>
      </c>
    </row>
    <row r="59" ht="12.75" customHeight="1" s="60">
      <c r="AB59" s="59" t="inlineStr">
        <is>
          <t>PIS / COFINS / CSLL RETIDO A RECOLHER</t>
        </is>
      </c>
      <c r="AC59" s="59" t="inlineStr">
        <is>
          <t>Despesa</t>
        </is>
      </c>
    </row>
    <row r="60" ht="12.75" customHeight="1" s="60">
      <c r="AB60" s="59" t="inlineStr">
        <is>
          <t>PLANOS DE SAUDE</t>
        </is>
      </c>
      <c r="AC60" s="59" t="inlineStr">
        <is>
          <t>Salários</t>
        </is>
      </c>
    </row>
    <row r="61" ht="12.75" customHeight="1" s="60">
      <c r="AB61" s="59" t="inlineStr">
        <is>
          <t>PREVIA DOS EMPRESTIMOS</t>
        </is>
      </c>
      <c r="AC61" s="59" t="inlineStr">
        <is>
          <t>Empréstimo</t>
        </is>
      </c>
    </row>
    <row r="62" ht="12.75" customHeight="1" s="60">
      <c r="AB62" s="59" t="inlineStr">
        <is>
          <t>PROPAGANDA PUBLICIDADE</t>
        </is>
      </c>
      <c r="AC62" s="59" t="inlineStr">
        <is>
          <t>Despesa</t>
        </is>
      </c>
    </row>
    <row r="63" ht="12.75" customHeight="1" s="60">
      <c r="AB63" s="59" t="inlineStr">
        <is>
          <t>PROVISAO CSLL</t>
        </is>
      </c>
      <c r="AC63" s="59" t="inlineStr">
        <is>
          <t>Impostos</t>
        </is>
      </c>
    </row>
    <row r="64" ht="12.75" customHeight="1" s="60">
      <c r="AB64" s="59" t="inlineStr">
        <is>
          <t>RESCISOES</t>
        </is>
      </c>
      <c r="AC64" s="59" t="inlineStr">
        <is>
          <t>Salários</t>
        </is>
      </c>
    </row>
    <row r="65" ht="12.75" customHeight="1" s="60">
      <c r="AB65" s="59" t="inlineStr">
        <is>
          <t>SALARIOS</t>
        </is>
      </c>
      <c r="AC65" s="59" t="inlineStr">
        <is>
          <t>Salários</t>
        </is>
      </c>
    </row>
    <row r="66" ht="12.75" customHeight="1" s="60">
      <c r="AB66" s="59" t="inlineStr">
        <is>
          <t>SEGURANCA E MONITORAMENTO</t>
        </is>
      </c>
      <c r="AC66" s="59" t="inlineStr">
        <is>
          <t>Despesa</t>
        </is>
      </c>
    </row>
    <row r="67" ht="12.75" customHeight="1" s="60">
      <c r="AB67" s="59" t="inlineStr">
        <is>
          <t>SEGUROS</t>
        </is>
      </c>
      <c r="AC67" s="59" t="inlineStr">
        <is>
          <t>Despesa</t>
        </is>
      </c>
    </row>
    <row r="68" ht="12.75" customHeight="1" s="60">
      <c r="AB68" s="59" t="inlineStr">
        <is>
          <t>SIMPLES FEDERAL A PAGAR</t>
        </is>
      </c>
      <c r="AC68" s="59" t="inlineStr">
        <is>
          <t>Impostos</t>
        </is>
      </c>
    </row>
    <row r="69" ht="12.75" customHeight="1" s="60">
      <c r="AB69" s="59" t="inlineStr">
        <is>
          <t>SISTEMAS APLICATIVOS</t>
        </is>
      </c>
      <c r="AC69" s="59" t="inlineStr">
        <is>
          <t>Despesa</t>
        </is>
      </c>
    </row>
    <row r="70" ht="12.75" customHeight="1" s="60">
      <c r="AB70" s="59" t="inlineStr">
        <is>
          <t>TELEFONE</t>
        </is>
      </c>
      <c r="AC70" s="59" t="inlineStr">
        <is>
          <t>Despesa</t>
        </is>
      </c>
    </row>
    <row r="71" ht="12.75" customHeight="1" s="60">
      <c r="AB71" s="59" t="inlineStr">
        <is>
          <t>TREINAMENTO/CONSULTORIAS</t>
        </is>
      </c>
      <c r="AC71" s="59" t="inlineStr">
        <is>
          <t>Despesa</t>
        </is>
      </c>
    </row>
    <row r="72" ht="12.75" customHeight="1" s="60">
      <c r="AB72" s="59" t="inlineStr">
        <is>
          <t>VALE TRANSPORTE</t>
        </is>
      </c>
      <c r="AC72" s="59" t="inlineStr">
        <is>
          <t>Salários</t>
        </is>
      </c>
    </row>
    <row r="73" ht="12.75" customHeight="1" s="60">
      <c r="AB73" s="59" t="inlineStr">
        <is>
          <t>VEICULOS</t>
        </is>
      </c>
      <c r="AC73" s="59" t="inlineStr">
        <is>
          <t>Despesa</t>
        </is>
      </c>
    </row>
    <row r="74" ht="12.75" customHeight="1" s="60">
      <c r="AB74" s="59" t="inlineStr">
        <is>
          <t>MEDICINA DO TRABALHO</t>
        </is>
      </c>
      <c r="AC74" s="59" t="inlineStr">
        <is>
          <t>Despesa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A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45" customWidth="1" style="59" min="1" max="1"/>
    <col width="31.67" customWidth="1" style="59" min="2" max="2"/>
    <col width="12" customWidth="1" style="77" min="3" max="3"/>
    <col width="10.88" customWidth="1" style="77" min="4" max="4"/>
    <col width="12" customWidth="1" style="77" min="5" max="5"/>
    <col width="10.88" customWidth="1" style="77" min="6" max="6"/>
    <col width="10.66" customWidth="1" style="77" min="7" max="7"/>
    <col width="12" customWidth="1" style="77" min="8" max="8"/>
    <col width="14.67" customWidth="1" style="77" min="9" max="9"/>
    <col width="13.11" customWidth="1" style="77" min="10" max="10"/>
    <col width="12" customWidth="1" style="77" min="11" max="11"/>
    <col width="11" customWidth="1" style="77" min="12" max="12"/>
    <col width="12" customWidth="1" style="77" min="13" max="13"/>
    <col width="11.11" customWidth="1" style="77" min="14" max="14"/>
    <col width="12" customWidth="1" style="77" min="15" max="15"/>
    <col width="10.88" customWidth="1" style="77" min="16" max="16"/>
    <col width="12" customWidth="1" style="77" min="17" max="17"/>
    <col width="10.88" customWidth="1" style="77" min="18" max="18"/>
    <col width="10.66" customWidth="1" style="77" min="19" max="19"/>
    <col width="12" customWidth="1" style="77" min="20" max="21"/>
    <col width="11.22" customWidth="1" style="77" min="22" max="22"/>
    <col width="10.66" customWidth="1" style="77" min="23" max="23"/>
    <col width="11" customWidth="1" style="77" min="24" max="24"/>
    <col width="12" customWidth="1" style="77" min="25" max="25"/>
    <col width="11.11" customWidth="1" style="77" min="26" max="26"/>
    <col width="14.67" customWidth="1" style="77" min="27" max="27"/>
  </cols>
  <sheetData>
    <row r="1" ht="12.75" customHeight="1" s="60">
      <c r="A1" s="85" t="inlineStr">
        <is>
          <t>Classificação</t>
        </is>
      </c>
      <c r="B1" s="85" t="inlineStr">
        <is>
          <t>Grupo</t>
        </is>
      </c>
      <c r="C1" s="91" t="n">
        <v>46023</v>
      </c>
      <c r="D1" s="91" t="n">
        <v>46054</v>
      </c>
      <c r="E1" s="91" t="n">
        <v>46082</v>
      </c>
      <c r="F1" s="91" t="n">
        <v>46113</v>
      </c>
      <c r="G1" s="91" t="n">
        <v>46143</v>
      </c>
      <c r="H1" s="91" t="n">
        <v>46174</v>
      </c>
      <c r="I1" s="91" t="n">
        <v>46204</v>
      </c>
      <c r="J1" s="91" t="n">
        <v>46235</v>
      </c>
      <c r="K1" s="91" t="n">
        <v>46266</v>
      </c>
      <c r="L1" s="91" t="n">
        <v>46296</v>
      </c>
      <c r="M1" s="91" t="n">
        <v>46327</v>
      </c>
      <c r="N1" s="91" t="n">
        <v>46357</v>
      </c>
      <c r="O1" s="91" t="n">
        <v>46388</v>
      </c>
      <c r="P1" s="91" t="n">
        <v>46419</v>
      </c>
      <c r="Q1" s="91" t="n">
        <v>46447</v>
      </c>
      <c r="R1" s="91" t="n">
        <v>46478</v>
      </c>
      <c r="S1" s="91" t="n">
        <v>46508</v>
      </c>
      <c r="T1" s="91" t="n">
        <v>46539</v>
      </c>
      <c r="U1" s="91" t="n">
        <v>46569</v>
      </c>
      <c r="V1" s="91" t="n">
        <v>46600</v>
      </c>
      <c r="W1" s="91" t="n">
        <v>46631</v>
      </c>
      <c r="X1" s="91" t="n">
        <v>46661</v>
      </c>
      <c r="Y1" s="91" t="n">
        <v>46692</v>
      </c>
      <c r="Z1" s="91" t="n">
        <v>46722</v>
      </c>
      <c r="AA1" s="86" t="inlineStr">
        <is>
          <t>Total</t>
        </is>
      </c>
    </row>
    <row r="2" ht="12.75" customHeight="1" s="60">
      <c r="A2" s="59" t="inlineStr">
        <is>
          <t>AGUA</t>
        </is>
      </c>
      <c r="B2" s="59">
        <f>IFERROR(INDEX('Resumo Grupos'!$AC$3:$AC$200,MATCH($A2,'Resumo Grupos'!$AB$3:$AB$200,0)),"n/d")</f>
        <v/>
      </c>
      <c r="C2" s="77">
        <f>SUMIFS(Report!$U:$U,Report!$T:$T,$A2,Report!$C:$C,"&gt;="&amp;DATE(2026,1,1),Report!$C:$C,"&lt;="&amp;DATE(2026,1,31))</f>
        <v/>
      </c>
      <c r="D2" s="77">
        <f>SUMIFS(Report!$U:$U,Report!$T:$T,$A2,Report!$C:$C,"&gt;="&amp;DATE(2026,2,1),Report!$C:$C,"&lt;="&amp;DATE(2026,2,28))</f>
        <v/>
      </c>
      <c r="E2" s="77">
        <f>SUMIFS(Report!$U:$U,Report!$T:$T,$A2,Report!$C:$C,"&gt;="&amp;DATE(2026,3,1),Report!$C:$C,"&lt;="&amp;DATE(2026,3,31))</f>
        <v/>
      </c>
      <c r="F2" s="77">
        <f>SUMIFS(Report!$U:$U,Report!$T:$T,$A2,Report!$C:$C,"&gt;="&amp;DATE(2026,4,1),Report!$C:$C,"&lt;="&amp;DATE(2026,4,30))</f>
        <v/>
      </c>
      <c r="G2" s="77">
        <f>SUMIFS(Report!$U:$U,Report!$T:$T,$A2,Report!$C:$C,"&gt;="&amp;DATE(2026,5,1),Report!$C:$C,"&lt;="&amp;DATE(2026,5,31))</f>
        <v/>
      </c>
      <c r="H2" s="77">
        <f>SUMIFS(Report!$U:$U,Report!$T:$T,$A2,Report!$C:$C,"&gt;="&amp;DATE(2026,6,1),Report!$C:$C,"&lt;="&amp;DATE(2026,6,30))</f>
        <v/>
      </c>
      <c r="I2" s="77">
        <f>SUMIFS(Report!$U:$U,Report!$T:$T,$A2,Report!$C:$C,"&gt;="&amp;DATE(2026,7,1),Report!$C:$C,"&lt;="&amp;DATE(2026,7,31))</f>
        <v/>
      </c>
      <c r="J2" s="77">
        <f>SUMIFS(Report!$U:$U,Report!$T:$T,$A2,Report!$C:$C,"&gt;="&amp;DATE(2026,8,1),Report!$C:$C,"&lt;="&amp;DATE(2026,8,31))</f>
        <v/>
      </c>
      <c r="K2" s="77">
        <f>SUMIFS(Report!$U:$U,Report!$T:$T,$A2,Report!$C:$C,"&gt;="&amp;DATE(2026,9,1),Report!$C:$C,"&lt;="&amp;DATE(2026,9,30))</f>
        <v/>
      </c>
      <c r="L2" s="77">
        <f>SUMIFS(Report!$U:$U,Report!$T:$T,$A2,Report!$C:$C,"&gt;="&amp;DATE(2026,10,1),Report!$C:$C,"&lt;="&amp;DATE(2026,10,31))</f>
        <v/>
      </c>
      <c r="M2" s="77">
        <f>SUMIFS(Report!$U:$U,Report!$T:$T,$A2,Report!$C:$C,"&gt;="&amp;DATE(2026,11,1),Report!$C:$C,"&lt;="&amp;DATE(2026,11,30))</f>
        <v/>
      </c>
      <c r="N2" s="77">
        <f>SUMIFS(Report!$U:$U,Report!$T:$T,$A2,Report!$C:$C,"&gt;="&amp;DATE(2026,12,1),Report!$C:$C,"&lt;="&amp;DATE(2026,12,31))</f>
        <v/>
      </c>
      <c r="O2" s="77">
        <f>SUMIFS(Report!$U:$U,Report!$T:$T,$A2,Report!$C:$C,"&gt;="&amp;DATE(2027,1,1),Report!$C:$C,"&lt;="&amp;DATE(2027,1,31))</f>
        <v/>
      </c>
      <c r="P2" s="77">
        <f>SUMIFS(Report!$U:$U,Report!$T:$T,$A2,Report!$C:$C,"&gt;="&amp;DATE(2027,2,1),Report!$C:$C,"&lt;="&amp;DATE(2027,2,28))</f>
        <v/>
      </c>
      <c r="Q2" s="77">
        <f>SUMIFS(Report!$U:$U,Report!$T:$T,$A2,Report!$C:$C,"&gt;="&amp;DATE(2027,3,1),Report!$C:$C,"&lt;="&amp;DATE(2027,3,31))</f>
        <v/>
      </c>
      <c r="R2" s="77">
        <f>SUMIFS(Report!$U:$U,Report!$T:$T,$A2,Report!$C:$C,"&gt;="&amp;DATE(2027,4,1),Report!$C:$C,"&lt;="&amp;DATE(2027,4,30))</f>
        <v/>
      </c>
      <c r="S2" s="77">
        <f>SUMIFS(Report!$U:$U,Report!$T:$T,$A2,Report!$C:$C,"&gt;="&amp;DATE(2027,5,1),Report!$C:$C,"&lt;="&amp;DATE(2027,5,31))</f>
        <v/>
      </c>
      <c r="T2" s="77">
        <f>SUMIFS(Report!$U:$U,Report!$T:$T,$A2,Report!$C:$C,"&gt;="&amp;DATE(2027,6,1),Report!$C:$C,"&lt;="&amp;DATE(2027,6,30))</f>
        <v/>
      </c>
      <c r="U2" s="77">
        <f>SUMIFS(Report!$U:$U,Report!$T:$T,$A2,Report!$C:$C,"&gt;="&amp;DATE(2027,7,1),Report!$C:$C,"&lt;="&amp;DATE(2027,7,31))</f>
        <v/>
      </c>
      <c r="V2" s="77">
        <f>SUMIFS(Report!$U:$U,Report!$T:$T,$A2,Report!$C:$C,"&gt;="&amp;DATE(2027,8,1),Report!$C:$C,"&lt;="&amp;DATE(2027,8,31))</f>
        <v/>
      </c>
      <c r="W2" s="77">
        <f>SUMIFS(Report!$U:$U,Report!$T:$T,$A2,Report!$C:$C,"&gt;="&amp;DATE(2027,9,1),Report!$C:$C,"&lt;="&amp;DATE(2027,9,30))</f>
        <v/>
      </c>
      <c r="X2" s="77">
        <f>SUMIFS(Report!$U:$U,Report!$T:$T,$A2,Report!$C:$C,"&gt;="&amp;DATE(2027,10,1),Report!$C:$C,"&lt;="&amp;DATE(2027,10,31))</f>
        <v/>
      </c>
      <c r="Y2" s="77">
        <f>SUMIFS(Report!$U:$U,Report!$T:$T,$A2,Report!$C:$C,"&gt;="&amp;DATE(2027,11,1),Report!$C:$C,"&lt;="&amp;DATE(2027,11,30))</f>
        <v/>
      </c>
      <c r="Z2" s="77">
        <f>SUMIFS(Report!$U:$U,Report!$T:$T,$A2,Report!$C:$C,"&gt;="&amp;DATE(2027,12,1),Report!$C:$C,"&lt;="&amp;DATE(2027,12,31))</f>
        <v/>
      </c>
      <c r="AA2" s="77">
        <f>SUM(C2:Z2)</f>
        <v/>
      </c>
    </row>
    <row r="3" ht="12.75" customHeight="1" s="60">
      <c r="A3" s="59" t="inlineStr">
        <is>
          <t>ALIMENTACAO</t>
        </is>
      </c>
      <c r="B3" s="59">
        <f>IFERROR(INDEX('Resumo Grupos'!$AC$3:$AC$200,MATCH($A3,'Resumo Grupos'!$AB$3:$AB$200,0)),"n/d")</f>
        <v/>
      </c>
      <c r="C3" s="77">
        <f>SUMIFS(Report!$U:$U,Report!$T:$T,$A3,Report!$C:$C,"&gt;="&amp;DATE(2026,1,1),Report!$C:$C,"&lt;="&amp;DATE(2026,1,31))</f>
        <v/>
      </c>
      <c r="D3" s="77">
        <f>SUMIFS(Report!$U:$U,Report!$T:$T,$A3,Report!$C:$C,"&gt;="&amp;DATE(2026,2,1),Report!$C:$C,"&lt;="&amp;DATE(2026,2,28))</f>
        <v/>
      </c>
      <c r="E3" s="77">
        <f>SUMIFS(Report!$U:$U,Report!$T:$T,$A3,Report!$C:$C,"&gt;="&amp;DATE(2026,3,1),Report!$C:$C,"&lt;="&amp;DATE(2026,3,31))</f>
        <v/>
      </c>
      <c r="F3" s="77">
        <f>SUMIFS(Report!$U:$U,Report!$T:$T,$A3,Report!$C:$C,"&gt;="&amp;DATE(2026,4,1),Report!$C:$C,"&lt;="&amp;DATE(2026,4,30))</f>
        <v/>
      </c>
      <c r="G3" s="77">
        <f>SUMIFS(Report!$U:$U,Report!$T:$T,$A3,Report!$C:$C,"&gt;="&amp;DATE(2026,5,1),Report!$C:$C,"&lt;="&amp;DATE(2026,5,31))</f>
        <v/>
      </c>
      <c r="H3" s="77">
        <f>SUMIFS(Report!$U:$U,Report!$T:$T,$A3,Report!$C:$C,"&gt;="&amp;DATE(2026,6,1),Report!$C:$C,"&lt;="&amp;DATE(2026,6,30))</f>
        <v/>
      </c>
      <c r="I3" s="77">
        <f>SUMIFS(Report!$U:$U,Report!$T:$T,$A3,Report!$C:$C,"&gt;="&amp;DATE(2026,7,1),Report!$C:$C,"&lt;="&amp;DATE(2026,7,31))</f>
        <v/>
      </c>
      <c r="J3" s="77">
        <f>SUMIFS(Report!$U:$U,Report!$T:$T,$A3,Report!$C:$C,"&gt;="&amp;DATE(2026,8,1),Report!$C:$C,"&lt;="&amp;DATE(2026,8,31))</f>
        <v/>
      </c>
      <c r="K3" s="77">
        <f>SUMIFS(Report!$U:$U,Report!$T:$T,$A3,Report!$C:$C,"&gt;="&amp;DATE(2026,9,1),Report!$C:$C,"&lt;="&amp;DATE(2026,9,30))</f>
        <v/>
      </c>
      <c r="L3" s="77">
        <f>SUMIFS(Report!$U:$U,Report!$T:$T,$A3,Report!$C:$C,"&gt;="&amp;DATE(2026,10,1),Report!$C:$C,"&lt;="&amp;DATE(2026,10,31))</f>
        <v/>
      </c>
      <c r="M3" s="77">
        <f>SUMIFS(Report!$U:$U,Report!$T:$T,$A3,Report!$C:$C,"&gt;="&amp;DATE(2026,11,1),Report!$C:$C,"&lt;="&amp;DATE(2026,11,30))</f>
        <v/>
      </c>
      <c r="N3" s="77">
        <f>SUMIFS(Report!$U:$U,Report!$T:$T,$A3,Report!$C:$C,"&gt;="&amp;DATE(2026,12,1),Report!$C:$C,"&lt;="&amp;DATE(2026,12,31))</f>
        <v/>
      </c>
      <c r="O3" s="77">
        <f>SUMIFS(Report!$U:$U,Report!$T:$T,$A3,Report!$C:$C,"&gt;="&amp;DATE(2027,1,1),Report!$C:$C,"&lt;="&amp;DATE(2027,1,31))</f>
        <v/>
      </c>
      <c r="P3" s="77">
        <f>SUMIFS(Report!$U:$U,Report!$T:$T,$A3,Report!$C:$C,"&gt;="&amp;DATE(2027,2,1),Report!$C:$C,"&lt;="&amp;DATE(2027,2,28))</f>
        <v/>
      </c>
      <c r="Q3" s="77">
        <f>SUMIFS(Report!$U:$U,Report!$T:$T,$A3,Report!$C:$C,"&gt;="&amp;DATE(2027,3,1),Report!$C:$C,"&lt;="&amp;DATE(2027,3,31))</f>
        <v/>
      </c>
      <c r="R3" s="77">
        <f>SUMIFS(Report!$U:$U,Report!$T:$T,$A3,Report!$C:$C,"&gt;="&amp;DATE(2027,4,1),Report!$C:$C,"&lt;="&amp;DATE(2027,4,30))</f>
        <v/>
      </c>
      <c r="S3" s="77">
        <f>SUMIFS(Report!$U:$U,Report!$T:$T,$A3,Report!$C:$C,"&gt;="&amp;DATE(2027,5,1),Report!$C:$C,"&lt;="&amp;DATE(2027,5,31))</f>
        <v/>
      </c>
      <c r="T3" s="77">
        <f>SUMIFS(Report!$U:$U,Report!$T:$T,$A3,Report!$C:$C,"&gt;="&amp;DATE(2027,6,1),Report!$C:$C,"&lt;="&amp;DATE(2027,6,30))</f>
        <v/>
      </c>
      <c r="U3" s="77">
        <f>SUMIFS(Report!$U:$U,Report!$T:$T,$A3,Report!$C:$C,"&gt;="&amp;DATE(2027,7,1),Report!$C:$C,"&lt;="&amp;DATE(2027,7,31))</f>
        <v/>
      </c>
      <c r="V3" s="77">
        <f>SUMIFS(Report!$U:$U,Report!$T:$T,$A3,Report!$C:$C,"&gt;="&amp;DATE(2027,8,1),Report!$C:$C,"&lt;="&amp;DATE(2027,8,31))</f>
        <v/>
      </c>
      <c r="W3" s="77">
        <f>SUMIFS(Report!$U:$U,Report!$T:$T,$A3,Report!$C:$C,"&gt;="&amp;DATE(2027,9,1),Report!$C:$C,"&lt;="&amp;DATE(2027,9,30))</f>
        <v/>
      </c>
      <c r="X3" s="77">
        <f>SUMIFS(Report!$U:$U,Report!$T:$T,$A3,Report!$C:$C,"&gt;="&amp;DATE(2027,10,1),Report!$C:$C,"&lt;="&amp;DATE(2027,10,31))</f>
        <v/>
      </c>
      <c r="Y3" s="77">
        <f>SUMIFS(Report!$U:$U,Report!$T:$T,$A3,Report!$C:$C,"&gt;="&amp;DATE(2027,11,1),Report!$C:$C,"&lt;="&amp;DATE(2027,11,30))</f>
        <v/>
      </c>
      <c r="Z3" s="77">
        <f>SUMIFS(Report!$U:$U,Report!$T:$T,$A3,Report!$C:$C,"&gt;="&amp;DATE(2027,12,1),Report!$C:$C,"&lt;="&amp;DATE(2027,12,31))</f>
        <v/>
      </c>
      <c r="AA3" s="77">
        <f>SUM(C3:Z3)</f>
        <v/>
      </c>
    </row>
    <row r="4" ht="12.75" customHeight="1" s="60">
      <c r="A4" s="59" t="inlineStr">
        <is>
          <t>ALUGUEIS PAGOS A PF</t>
        </is>
      </c>
      <c r="B4" s="59">
        <f>IFERROR(INDEX('Resumo Grupos'!$AC$3:$AC$200,MATCH($A4,'Resumo Grupos'!$AB$3:$AB$200,0)),"n/d")</f>
        <v/>
      </c>
      <c r="C4" s="77">
        <f>SUMIFS(Report!$U:$U,Report!$T:$T,$A4,Report!$C:$C,"&gt;="&amp;DATE(2026,1,1),Report!$C:$C,"&lt;="&amp;DATE(2026,1,31))</f>
        <v/>
      </c>
      <c r="D4" s="77">
        <f>SUMIFS(Report!$U:$U,Report!$T:$T,$A4,Report!$C:$C,"&gt;="&amp;DATE(2026,2,1),Report!$C:$C,"&lt;="&amp;DATE(2026,2,28))</f>
        <v/>
      </c>
      <c r="E4" s="77">
        <f>SUMIFS(Report!$U:$U,Report!$T:$T,$A4,Report!$C:$C,"&gt;="&amp;DATE(2026,3,1),Report!$C:$C,"&lt;="&amp;DATE(2026,3,31))</f>
        <v/>
      </c>
      <c r="F4" s="77">
        <f>SUMIFS(Report!$U:$U,Report!$T:$T,$A4,Report!$C:$C,"&gt;="&amp;DATE(2026,4,1),Report!$C:$C,"&lt;="&amp;DATE(2026,4,30))</f>
        <v/>
      </c>
      <c r="G4" s="77">
        <f>SUMIFS(Report!$U:$U,Report!$T:$T,$A4,Report!$C:$C,"&gt;="&amp;DATE(2026,5,1),Report!$C:$C,"&lt;="&amp;DATE(2026,5,31))</f>
        <v/>
      </c>
      <c r="H4" s="77">
        <f>SUMIFS(Report!$U:$U,Report!$T:$T,$A4,Report!$C:$C,"&gt;="&amp;DATE(2026,6,1),Report!$C:$C,"&lt;="&amp;DATE(2026,6,30))</f>
        <v/>
      </c>
      <c r="I4" s="77">
        <f>SUMIFS(Report!$U:$U,Report!$T:$T,$A4,Report!$C:$C,"&gt;="&amp;DATE(2026,7,1),Report!$C:$C,"&lt;="&amp;DATE(2026,7,31))</f>
        <v/>
      </c>
      <c r="J4" s="77">
        <f>SUMIFS(Report!$U:$U,Report!$T:$T,$A4,Report!$C:$C,"&gt;="&amp;DATE(2026,8,1),Report!$C:$C,"&lt;="&amp;DATE(2026,8,31))</f>
        <v/>
      </c>
      <c r="K4" s="77">
        <f>SUMIFS(Report!$U:$U,Report!$T:$T,$A4,Report!$C:$C,"&gt;="&amp;DATE(2026,9,1),Report!$C:$C,"&lt;="&amp;DATE(2026,9,30))</f>
        <v/>
      </c>
      <c r="L4" s="77">
        <f>SUMIFS(Report!$U:$U,Report!$T:$T,$A4,Report!$C:$C,"&gt;="&amp;DATE(2026,10,1),Report!$C:$C,"&lt;="&amp;DATE(2026,10,31))</f>
        <v/>
      </c>
      <c r="M4" s="77">
        <f>SUMIFS(Report!$U:$U,Report!$T:$T,$A4,Report!$C:$C,"&gt;="&amp;DATE(2026,11,1),Report!$C:$C,"&lt;="&amp;DATE(2026,11,30))</f>
        <v/>
      </c>
      <c r="N4" s="77">
        <f>SUMIFS(Report!$U:$U,Report!$T:$T,$A4,Report!$C:$C,"&gt;="&amp;DATE(2026,12,1),Report!$C:$C,"&lt;="&amp;DATE(2026,12,31))</f>
        <v/>
      </c>
      <c r="O4" s="77">
        <f>SUMIFS(Report!$U:$U,Report!$T:$T,$A4,Report!$C:$C,"&gt;="&amp;DATE(2027,1,1),Report!$C:$C,"&lt;="&amp;DATE(2027,1,31))</f>
        <v/>
      </c>
      <c r="P4" s="77">
        <f>SUMIFS(Report!$U:$U,Report!$T:$T,$A4,Report!$C:$C,"&gt;="&amp;DATE(2027,2,1),Report!$C:$C,"&lt;="&amp;DATE(2027,2,28))</f>
        <v/>
      </c>
      <c r="Q4" s="77">
        <f>SUMIFS(Report!$U:$U,Report!$T:$T,$A4,Report!$C:$C,"&gt;="&amp;DATE(2027,3,1),Report!$C:$C,"&lt;="&amp;DATE(2027,3,31))</f>
        <v/>
      </c>
      <c r="R4" s="77">
        <f>SUMIFS(Report!$U:$U,Report!$T:$T,$A4,Report!$C:$C,"&gt;="&amp;DATE(2027,4,1),Report!$C:$C,"&lt;="&amp;DATE(2027,4,30))</f>
        <v/>
      </c>
      <c r="S4" s="77">
        <f>SUMIFS(Report!$U:$U,Report!$T:$T,$A4,Report!$C:$C,"&gt;="&amp;DATE(2027,5,1),Report!$C:$C,"&lt;="&amp;DATE(2027,5,31))</f>
        <v/>
      </c>
      <c r="T4" s="77">
        <f>SUMIFS(Report!$U:$U,Report!$T:$T,$A4,Report!$C:$C,"&gt;="&amp;DATE(2027,6,1),Report!$C:$C,"&lt;="&amp;DATE(2027,6,30))</f>
        <v/>
      </c>
      <c r="U4" s="77">
        <f>SUMIFS(Report!$U:$U,Report!$T:$T,$A4,Report!$C:$C,"&gt;="&amp;DATE(2027,7,1),Report!$C:$C,"&lt;="&amp;DATE(2027,7,31))</f>
        <v/>
      </c>
      <c r="V4" s="77">
        <f>SUMIFS(Report!$U:$U,Report!$T:$T,$A4,Report!$C:$C,"&gt;="&amp;DATE(2027,8,1),Report!$C:$C,"&lt;="&amp;DATE(2027,8,31))</f>
        <v/>
      </c>
      <c r="W4" s="77">
        <f>SUMIFS(Report!$U:$U,Report!$T:$T,$A4,Report!$C:$C,"&gt;="&amp;DATE(2027,9,1),Report!$C:$C,"&lt;="&amp;DATE(2027,9,30))</f>
        <v/>
      </c>
      <c r="X4" s="77">
        <f>SUMIFS(Report!$U:$U,Report!$T:$T,$A4,Report!$C:$C,"&gt;="&amp;DATE(2027,10,1),Report!$C:$C,"&lt;="&amp;DATE(2027,10,31))</f>
        <v/>
      </c>
      <c r="Y4" s="77">
        <f>SUMIFS(Report!$U:$U,Report!$T:$T,$A4,Report!$C:$C,"&gt;="&amp;DATE(2027,11,1),Report!$C:$C,"&lt;="&amp;DATE(2027,11,30))</f>
        <v/>
      </c>
      <c r="Z4" s="77">
        <f>SUMIFS(Report!$U:$U,Report!$T:$T,$A4,Report!$C:$C,"&gt;="&amp;DATE(2027,12,1),Report!$C:$C,"&lt;="&amp;DATE(2027,12,31))</f>
        <v/>
      </c>
      <c r="AA4" s="77">
        <f>SUM(C4:Z4)</f>
        <v/>
      </c>
    </row>
    <row r="5" ht="12.75" customHeight="1" s="60">
      <c r="A5" s="59" t="inlineStr">
        <is>
          <t>AMORTIZACAO GARANTIDA BANCO</t>
        </is>
      </c>
      <c r="B5" s="59">
        <f>IFERROR(INDEX('Resumo Grupos'!$AC$3:$AC$200,MATCH($A5,'Resumo Grupos'!$AB$3:$AB$200,0)),"n/d")</f>
        <v/>
      </c>
      <c r="C5" s="77">
        <f>SUMIFS(Report!$U:$U,Report!$T:$T,$A5,Report!$C:$C,"&gt;="&amp;DATE(2026,1,1),Report!$C:$C,"&lt;="&amp;DATE(2026,1,31))</f>
        <v/>
      </c>
      <c r="D5" s="77">
        <f>SUMIFS(Report!$U:$U,Report!$T:$T,$A5,Report!$C:$C,"&gt;="&amp;DATE(2026,2,1),Report!$C:$C,"&lt;="&amp;DATE(2026,2,28))</f>
        <v/>
      </c>
      <c r="E5" s="77">
        <f>SUMIFS(Report!$U:$U,Report!$T:$T,$A5,Report!$C:$C,"&gt;="&amp;DATE(2026,3,1),Report!$C:$C,"&lt;="&amp;DATE(2026,3,31))</f>
        <v/>
      </c>
      <c r="F5" s="77">
        <f>SUMIFS(Report!$U:$U,Report!$T:$T,$A5,Report!$C:$C,"&gt;="&amp;DATE(2026,4,1),Report!$C:$C,"&lt;="&amp;DATE(2026,4,30))</f>
        <v/>
      </c>
      <c r="G5" s="77">
        <f>SUMIFS(Report!$U:$U,Report!$T:$T,$A5,Report!$C:$C,"&gt;="&amp;DATE(2026,5,1),Report!$C:$C,"&lt;="&amp;DATE(2026,5,31))</f>
        <v/>
      </c>
      <c r="H5" s="77">
        <f>SUMIFS(Report!$U:$U,Report!$T:$T,$A5,Report!$C:$C,"&gt;="&amp;DATE(2026,6,1),Report!$C:$C,"&lt;="&amp;DATE(2026,6,30))</f>
        <v/>
      </c>
      <c r="I5" s="77">
        <f>SUMIFS(Report!$U:$U,Report!$T:$T,$A5,Report!$C:$C,"&gt;="&amp;DATE(2026,7,1),Report!$C:$C,"&lt;="&amp;DATE(2026,7,31))</f>
        <v/>
      </c>
      <c r="J5" s="77">
        <f>SUMIFS(Report!$U:$U,Report!$T:$T,$A5,Report!$C:$C,"&gt;="&amp;DATE(2026,8,1),Report!$C:$C,"&lt;="&amp;DATE(2026,8,31))</f>
        <v/>
      </c>
      <c r="K5" s="77">
        <f>SUMIFS(Report!$U:$U,Report!$T:$T,$A5,Report!$C:$C,"&gt;="&amp;DATE(2026,9,1),Report!$C:$C,"&lt;="&amp;DATE(2026,9,30))</f>
        <v/>
      </c>
      <c r="L5" s="77">
        <f>SUMIFS(Report!$U:$U,Report!$T:$T,$A5,Report!$C:$C,"&gt;="&amp;DATE(2026,10,1),Report!$C:$C,"&lt;="&amp;DATE(2026,10,31))</f>
        <v/>
      </c>
      <c r="M5" s="77">
        <f>SUMIFS(Report!$U:$U,Report!$T:$T,$A5,Report!$C:$C,"&gt;="&amp;DATE(2026,11,1),Report!$C:$C,"&lt;="&amp;DATE(2026,11,30))</f>
        <v/>
      </c>
      <c r="N5" s="77">
        <f>SUMIFS(Report!$U:$U,Report!$T:$T,$A5,Report!$C:$C,"&gt;="&amp;DATE(2026,12,1),Report!$C:$C,"&lt;="&amp;DATE(2026,12,31))</f>
        <v/>
      </c>
      <c r="O5" s="77">
        <f>SUMIFS(Report!$U:$U,Report!$T:$T,$A5,Report!$C:$C,"&gt;="&amp;DATE(2027,1,1),Report!$C:$C,"&lt;="&amp;DATE(2027,1,31))</f>
        <v/>
      </c>
      <c r="P5" s="77">
        <f>SUMIFS(Report!$U:$U,Report!$T:$T,$A5,Report!$C:$C,"&gt;="&amp;DATE(2027,2,1),Report!$C:$C,"&lt;="&amp;DATE(2027,2,28))</f>
        <v/>
      </c>
      <c r="Q5" s="77">
        <f>SUMIFS(Report!$U:$U,Report!$T:$T,$A5,Report!$C:$C,"&gt;="&amp;DATE(2027,3,1),Report!$C:$C,"&lt;="&amp;DATE(2027,3,31))</f>
        <v/>
      </c>
      <c r="R5" s="77">
        <f>SUMIFS(Report!$U:$U,Report!$T:$T,$A5,Report!$C:$C,"&gt;="&amp;DATE(2027,4,1),Report!$C:$C,"&lt;="&amp;DATE(2027,4,30))</f>
        <v/>
      </c>
      <c r="S5" s="77">
        <f>SUMIFS(Report!$U:$U,Report!$T:$T,$A5,Report!$C:$C,"&gt;="&amp;DATE(2027,5,1),Report!$C:$C,"&lt;="&amp;DATE(2027,5,31))</f>
        <v/>
      </c>
      <c r="T5" s="77">
        <f>SUMIFS(Report!$U:$U,Report!$T:$T,$A5,Report!$C:$C,"&gt;="&amp;DATE(2027,6,1),Report!$C:$C,"&lt;="&amp;DATE(2027,6,30))</f>
        <v/>
      </c>
      <c r="U5" s="77">
        <f>SUMIFS(Report!$U:$U,Report!$T:$T,$A5,Report!$C:$C,"&gt;="&amp;DATE(2027,7,1),Report!$C:$C,"&lt;="&amp;DATE(2027,7,31))</f>
        <v/>
      </c>
      <c r="V5" s="77">
        <f>SUMIFS(Report!$U:$U,Report!$T:$T,$A5,Report!$C:$C,"&gt;="&amp;DATE(2027,8,1),Report!$C:$C,"&lt;="&amp;DATE(2027,8,31))</f>
        <v/>
      </c>
      <c r="W5" s="77">
        <f>SUMIFS(Report!$U:$U,Report!$T:$T,$A5,Report!$C:$C,"&gt;="&amp;DATE(2027,9,1),Report!$C:$C,"&lt;="&amp;DATE(2027,9,30))</f>
        <v/>
      </c>
      <c r="X5" s="77">
        <f>SUMIFS(Report!$U:$U,Report!$T:$T,$A5,Report!$C:$C,"&gt;="&amp;DATE(2027,10,1),Report!$C:$C,"&lt;="&amp;DATE(2027,10,31))</f>
        <v/>
      </c>
      <c r="Y5" s="77">
        <f>SUMIFS(Report!$U:$U,Report!$T:$T,$A5,Report!$C:$C,"&gt;="&amp;DATE(2027,11,1),Report!$C:$C,"&lt;="&amp;DATE(2027,11,30))</f>
        <v/>
      </c>
      <c r="Z5" s="77">
        <f>SUMIFS(Report!$U:$U,Report!$T:$T,$A5,Report!$C:$C,"&gt;="&amp;DATE(2027,12,1),Report!$C:$C,"&lt;="&amp;DATE(2027,12,31))</f>
        <v/>
      </c>
      <c r="AA5" s="77">
        <f>SUM(C5:Z5)</f>
        <v/>
      </c>
    </row>
    <row r="6" ht="12.75" customHeight="1" s="60">
      <c r="A6" s="59" t="inlineStr">
        <is>
          <t>ASO FUNCIONARIOS</t>
        </is>
      </c>
      <c r="B6" s="59">
        <f>IFERROR(INDEX('Resumo Grupos'!$AC$3:$AC$200,MATCH($A6,'Resumo Grupos'!$AB$3:$AB$200,0)),"n/d")</f>
        <v/>
      </c>
      <c r="C6" s="77">
        <f>SUMIFS(Report!$U:$U,Report!$T:$T,$A6,Report!$C:$C,"&gt;="&amp;DATE(2026,1,1),Report!$C:$C,"&lt;="&amp;DATE(2026,1,31))</f>
        <v/>
      </c>
      <c r="D6" s="77">
        <f>SUMIFS(Report!$U:$U,Report!$T:$T,$A6,Report!$C:$C,"&gt;="&amp;DATE(2026,2,1),Report!$C:$C,"&lt;="&amp;DATE(2026,2,28))</f>
        <v/>
      </c>
      <c r="E6" s="77">
        <f>SUMIFS(Report!$U:$U,Report!$T:$T,$A6,Report!$C:$C,"&gt;="&amp;DATE(2026,3,1),Report!$C:$C,"&lt;="&amp;DATE(2026,3,31))</f>
        <v/>
      </c>
      <c r="F6" s="77">
        <f>SUMIFS(Report!$U:$U,Report!$T:$T,$A6,Report!$C:$C,"&gt;="&amp;DATE(2026,4,1),Report!$C:$C,"&lt;="&amp;DATE(2026,4,30))</f>
        <v/>
      </c>
      <c r="G6" s="77">
        <f>SUMIFS(Report!$U:$U,Report!$T:$T,$A6,Report!$C:$C,"&gt;="&amp;DATE(2026,5,1),Report!$C:$C,"&lt;="&amp;DATE(2026,5,31))</f>
        <v/>
      </c>
      <c r="H6" s="77">
        <f>SUMIFS(Report!$U:$U,Report!$T:$T,$A6,Report!$C:$C,"&gt;="&amp;DATE(2026,6,1),Report!$C:$C,"&lt;="&amp;DATE(2026,6,30))</f>
        <v/>
      </c>
      <c r="I6" s="77">
        <f>SUMIFS(Report!$U:$U,Report!$T:$T,$A6,Report!$C:$C,"&gt;="&amp;DATE(2026,7,1),Report!$C:$C,"&lt;="&amp;DATE(2026,7,31))</f>
        <v/>
      </c>
      <c r="J6" s="77">
        <f>SUMIFS(Report!$U:$U,Report!$T:$T,$A6,Report!$C:$C,"&gt;="&amp;DATE(2026,8,1),Report!$C:$C,"&lt;="&amp;DATE(2026,8,31))</f>
        <v/>
      </c>
      <c r="K6" s="77">
        <f>SUMIFS(Report!$U:$U,Report!$T:$T,$A6,Report!$C:$C,"&gt;="&amp;DATE(2026,9,1),Report!$C:$C,"&lt;="&amp;DATE(2026,9,30))</f>
        <v/>
      </c>
      <c r="L6" s="77">
        <f>SUMIFS(Report!$U:$U,Report!$T:$T,$A6,Report!$C:$C,"&gt;="&amp;DATE(2026,10,1),Report!$C:$C,"&lt;="&amp;DATE(2026,10,31))</f>
        <v/>
      </c>
      <c r="M6" s="77">
        <f>SUMIFS(Report!$U:$U,Report!$T:$T,$A6,Report!$C:$C,"&gt;="&amp;DATE(2026,11,1),Report!$C:$C,"&lt;="&amp;DATE(2026,11,30))</f>
        <v/>
      </c>
      <c r="N6" s="77">
        <f>SUMIFS(Report!$U:$U,Report!$T:$T,$A6,Report!$C:$C,"&gt;="&amp;DATE(2026,12,1),Report!$C:$C,"&lt;="&amp;DATE(2026,12,31))</f>
        <v/>
      </c>
      <c r="O6" s="77">
        <f>SUMIFS(Report!$U:$U,Report!$T:$T,$A6,Report!$C:$C,"&gt;="&amp;DATE(2027,1,1),Report!$C:$C,"&lt;="&amp;DATE(2027,1,31))</f>
        <v/>
      </c>
      <c r="P6" s="77">
        <f>SUMIFS(Report!$U:$U,Report!$T:$T,$A6,Report!$C:$C,"&gt;="&amp;DATE(2027,2,1),Report!$C:$C,"&lt;="&amp;DATE(2027,2,28))</f>
        <v/>
      </c>
      <c r="Q6" s="77">
        <f>SUMIFS(Report!$U:$U,Report!$T:$T,$A6,Report!$C:$C,"&gt;="&amp;DATE(2027,3,1),Report!$C:$C,"&lt;="&amp;DATE(2027,3,31))</f>
        <v/>
      </c>
      <c r="R6" s="77">
        <f>SUMIFS(Report!$U:$U,Report!$T:$T,$A6,Report!$C:$C,"&gt;="&amp;DATE(2027,4,1),Report!$C:$C,"&lt;="&amp;DATE(2027,4,30))</f>
        <v/>
      </c>
      <c r="S6" s="77">
        <f>SUMIFS(Report!$U:$U,Report!$T:$T,$A6,Report!$C:$C,"&gt;="&amp;DATE(2027,5,1),Report!$C:$C,"&lt;="&amp;DATE(2027,5,31))</f>
        <v/>
      </c>
      <c r="T6" s="77">
        <f>SUMIFS(Report!$U:$U,Report!$T:$T,$A6,Report!$C:$C,"&gt;="&amp;DATE(2027,6,1),Report!$C:$C,"&lt;="&amp;DATE(2027,6,30))</f>
        <v/>
      </c>
      <c r="U6" s="77">
        <f>SUMIFS(Report!$U:$U,Report!$T:$T,$A6,Report!$C:$C,"&gt;="&amp;DATE(2027,7,1),Report!$C:$C,"&lt;="&amp;DATE(2027,7,31))</f>
        <v/>
      </c>
      <c r="V6" s="77">
        <f>SUMIFS(Report!$U:$U,Report!$T:$T,$A6,Report!$C:$C,"&gt;="&amp;DATE(2027,8,1),Report!$C:$C,"&lt;="&amp;DATE(2027,8,31))</f>
        <v/>
      </c>
      <c r="W6" s="77">
        <f>SUMIFS(Report!$U:$U,Report!$T:$T,$A6,Report!$C:$C,"&gt;="&amp;DATE(2027,9,1),Report!$C:$C,"&lt;="&amp;DATE(2027,9,30))</f>
        <v/>
      </c>
      <c r="X6" s="77">
        <f>SUMIFS(Report!$U:$U,Report!$T:$T,$A6,Report!$C:$C,"&gt;="&amp;DATE(2027,10,1),Report!$C:$C,"&lt;="&amp;DATE(2027,10,31))</f>
        <v/>
      </c>
      <c r="Y6" s="77">
        <f>SUMIFS(Report!$U:$U,Report!$T:$T,$A6,Report!$C:$C,"&gt;="&amp;DATE(2027,11,1),Report!$C:$C,"&lt;="&amp;DATE(2027,11,30))</f>
        <v/>
      </c>
      <c r="Z6" s="77">
        <f>SUMIFS(Report!$U:$U,Report!$T:$T,$A6,Report!$C:$C,"&gt;="&amp;DATE(2027,12,1),Report!$C:$C,"&lt;="&amp;DATE(2027,12,31))</f>
        <v/>
      </c>
      <c r="AA6" s="77">
        <f>SUM(C6:Z6)</f>
        <v/>
      </c>
    </row>
    <row r="7" ht="12.75" customHeight="1" s="60">
      <c r="A7" s="59" t="inlineStr">
        <is>
          <t>CAPITALIZACAO BANCO</t>
        </is>
      </c>
      <c r="B7" s="59">
        <f>IFERROR(INDEX('Resumo Grupos'!$AC$3:$AC$200,MATCH($A7,'Resumo Grupos'!$AB$3:$AB$200,0)),"n/d")</f>
        <v/>
      </c>
      <c r="C7" s="77">
        <f>SUMIFS(Report!$U:$U,Report!$T:$T,$A7,Report!$C:$C,"&gt;="&amp;DATE(2026,1,1),Report!$C:$C,"&lt;="&amp;DATE(2026,1,31))</f>
        <v/>
      </c>
      <c r="D7" s="77">
        <f>SUMIFS(Report!$U:$U,Report!$T:$T,$A7,Report!$C:$C,"&gt;="&amp;DATE(2026,2,1),Report!$C:$C,"&lt;="&amp;DATE(2026,2,28))</f>
        <v/>
      </c>
      <c r="E7" s="77">
        <f>SUMIFS(Report!$U:$U,Report!$T:$T,$A7,Report!$C:$C,"&gt;="&amp;DATE(2026,3,1),Report!$C:$C,"&lt;="&amp;DATE(2026,3,31))</f>
        <v/>
      </c>
      <c r="F7" s="77">
        <f>SUMIFS(Report!$U:$U,Report!$T:$T,$A7,Report!$C:$C,"&gt;="&amp;DATE(2026,4,1),Report!$C:$C,"&lt;="&amp;DATE(2026,4,30))</f>
        <v/>
      </c>
      <c r="G7" s="77">
        <f>SUMIFS(Report!$U:$U,Report!$T:$T,$A7,Report!$C:$C,"&gt;="&amp;DATE(2026,5,1),Report!$C:$C,"&lt;="&amp;DATE(2026,5,31))</f>
        <v/>
      </c>
      <c r="H7" s="77">
        <f>SUMIFS(Report!$U:$U,Report!$T:$T,$A7,Report!$C:$C,"&gt;="&amp;DATE(2026,6,1),Report!$C:$C,"&lt;="&amp;DATE(2026,6,30))</f>
        <v/>
      </c>
      <c r="I7" s="77">
        <f>SUMIFS(Report!$U:$U,Report!$T:$T,$A7,Report!$C:$C,"&gt;="&amp;DATE(2026,7,1),Report!$C:$C,"&lt;="&amp;DATE(2026,7,31))</f>
        <v/>
      </c>
      <c r="J7" s="77">
        <f>SUMIFS(Report!$U:$U,Report!$T:$T,$A7,Report!$C:$C,"&gt;="&amp;DATE(2026,8,1),Report!$C:$C,"&lt;="&amp;DATE(2026,8,31))</f>
        <v/>
      </c>
      <c r="K7" s="77">
        <f>SUMIFS(Report!$U:$U,Report!$T:$T,$A7,Report!$C:$C,"&gt;="&amp;DATE(2026,9,1),Report!$C:$C,"&lt;="&amp;DATE(2026,9,30))</f>
        <v/>
      </c>
      <c r="L7" s="77">
        <f>SUMIFS(Report!$U:$U,Report!$T:$T,$A7,Report!$C:$C,"&gt;="&amp;DATE(2026,10,1),Report!$C:$C,"&lt;="&amp;DATE(2026,10,31))</f>
        <v/>
      </c>
      <c r="M7" s="77">
        <f>SUMIFS(Report!$U:$U,Report!$T:$T,$A7,Report!$C:$C,"&gt;="&amp;DATE(2026,11,1),Report!$C:$C,"&lt;="&amp;DATE(2026,11,30))</f>
        <v/>
      </c>
      <c r="N7" s="77">
        <f>SUMIFS(Report!$U:$U,Report!$T:$T,$A7,Report!$C:$C,"&gt;="&amp;DATE(2026,12,1),Report!$C:$C,"&lt;="&amp;DATE(2026,12,31))</f>
        <v/>
      </c>
      <c r="O7" s="77">
        <f>SUMIFS(Report!$U:$U,Report!$T:$T,$A7,Report!$C:$C,"&gt;="&amp;DATE(2027,1,1),Report!$C:$C,"&lt;="&amp;DATE(2027,1,31))</f>
        <v/>
      </c>
      <c r="P7" s="77">
        <f>SUMIFS(Report!$U:$U,Report!$T:$T,$A7,Report!$C:$C,"&gt;="&amp;DATE(2027,2,1),Report!$C:$C,"&lt;="&amp;DATE(2027,2,28))</f>
        <v/>
      </c>
      <c r="Q7" s="77">
        <f>SUMIFS(Report!$U:$U,Report!$T:$T,$A7,Report!$C:$C,"&gt;="&amp;DATE(2027,3,1),Report!$C:$C,"&lt;="&amp;DATE(2027,3,31))</f>
        <v/>
      </c>
      <c r="R7" s="77">
        <f>SUMIFS(Report!$U:$U,Report!$T:$T,$A7,Report!$C:$C,"&gt;="&amp;DATE(2027,4,1),Report!$C:$C,"&lt;="&amp;DATE(2027,4,30))</f>
        <v/>
      </c>
      <c r="S7" s="77">
        <f>SUMIFS(Report!$U:$U,Report!$T:$T,$A7,Report!$C:$C,"&gt;="&amp;DATE(2027,5,1),Report!$C:$C,"&lt;="&amp;DATE(2027,5,31))</f>
        <v/>
      </c>
      <c r="T7" s="77">
        <f>SUMIFS(Report!$U:$U,Report!$T:$T,$A7,Report!$C:$C,"&gt;="&amp;DATE(2027,6,1),Report!$C:$C,"&lt;="&amp;DATE(2027,6,30))</f>
        <v/>
      </c>
      <c r="U7" s="77">
        <f>SUMIFS(Report!$U:$U,Report!$T:$T,$A7,Report!$C:$C,"&gt;="&amp;DATE(2027,7,1),Report!$C:$C,"&lt;="&amp;DATE(2027,7,31))</f>
        <v/>
      </c>
      <c r="V7" s="77">
        <f>SUMIFS(Report!$U:$U,Report!$T:$T,$A7,Report!$C:$C,"&gt;="&amp;DATE(2027,8,1),Report!$C:$C,"&lt;="&amp;DATE(2027,8,31))</f>
        <v/>
      </c>
      <c r="W7" s="77">
        <f>SUMIFS(Report!$U:$U,Report!$T:$T,$A7,Report!$C:$C,"&gt;="&amp;DATE(2027,9,1),Report!$C:$C,"&lt;="&amp;DATE(2027,9,30))</f>
        <v/>
      </c>
      <c r="X7" s="77">
        <f>SUMIFS(Report!$U:$U,Report!$T:$T,$A7,Report!$C:$C,"&gt;="&amp;DATE(2027,10,1),Report!$C:$C,"&lt;="&amp;DATE(2027,10,31))</f>
        <v/>
      </c>
      <c r="Y7" s="77">
        <f>SUMIFS(Report!$U:$U,Report!$T:$T,$A7,Report!$C:$C,"&gt;="&amp;DATE(2027,11,1),Report!$C:$C,"&lt;="&amp;DATE(2027,11,30))</f>
        <v/>
      </c>
      <c r="Z7" s="77">
        <f>SUMIFS(Report!$U:$U,Report!$T:$T,$A7,Report!$C:$C,"&gt;="&amp;DATE(2027,12,1),Report!$C:$C,"&lt;="&amp;DATE(2027,12,31))</f>
        <v/>
      </c>
      <c r="AA7" s="77">
        <f>SUM(C7:Z7)</f>
        <v/>
      </c>
    </row>
    <row r="8" ht="12.75" customHeight="1" s="60">
      <c r="A8" s="59" t="inlineStr">
        <is>
          <t>CARTAO DE CREDITO - ANUIDADE</t>
        </is>
      </c>
      <c r="B8" s="59">
        <f>IFERROR(INDEX('Resumo Grupos'!$AC$3:$AC$200,MATCH($A8,'Resumo Grupos'!$AB$3:$AB$200,0)),"n/d")</f>
        <v/>
      </c>
      <c r="C8" s="77">
        <f>SUMIFS(Report!$U:$U,Report!$T:$T,$A8,Report!$C:$C,"&gt;="&amp;DATE(2026,1,1),Report!$C:$C,"&lt;="&amp;DATE(2026,1,31))</f>
        <v/>
      </c>
      <c r="D8" s="77">
        <f>SUMIFS(Report!$U:$U,Report!$T:$T,$A8,Report!$C:$C,"&gt;="&amp;DATE(2026,2,1),Report!$C:$C,"&lt;="&amp;DATE(2026,2,28))</f>
        <v/>
      </c>
      <c r="E8" s="77">
        <f>SUMIFS(Report!$U:$U,Report!$T:$T,$A8,Report!$C:$C,"&gt;="&amp;DATE(2026,3,1),Report!$C:$C,"&lt;="&amp;DATE(2026,3,31))</f>
        <v/>
      </c>
      <c r="F8" s="77">
        <f>SUMIFS(Report!$U:$U,Report!$T:$T,$A8,Report!$C:$C,"&gt;="&amp;DATE(2026,4,1),Report!$C:$C,"&lt;="&amp;DATE(2026,4,30))</f>
        <v/>
      </c>
      <c r="G8" s="77">
        <f>SUMIFS(Report!$U:$U,Report!$T:$T,$A8,Report!$C:$C,"&gt;="&amp;DATE(2026,5,1),Report!$C:$C,"&lt;="&amp;DATE(2026,5,31))</f>
        <v/>
      </c>
      <c r="H8" s="77">
        <f>SUMIFS(Report!$U:$U,Report!$T:$T,$A8,Report!$C:$C,"&gt;="&amp;DATE(2026,6,1),Report!$C:$C,"&lt;="&amp;DATE(2026,6,30))</f>
        <v/>
      </c>
      <c r="I8" s="77">
        <f>SUMIFS(Report!$U:$U,Report!$T:$T,$A8,Report!$C:$C,"&gt;="&amp;DATE(2026,7,1),Report!$C:$C,"&lt;="&amp;DATE(2026,7,31))</f>
        <v/>
      </c>
      <c r="J8" s="77">
        <f>SUMIFS(Report!$U:$U,Report!$T:$T,$A8,Report!$C:$C,"&gt;="&amp;DATE(2026,8,1),Report!$C:$C,"&lt;="&amp;DATE(2026,8,31))</f>
        <v/>
      </c>
      <c r="K8" s="77">
        <f>SUMIFS(Report!$U:$U,Report!$T:$T,$A8,Report!$C:$C,"&gt;="&amp;DATE(2026,9,1),Report!$C:$C,"&lt;="&amp;DATE(2026,9,30))</f>
        <v/>
      </c>
      <c r="L8" s="77">
        <f>SUMIFS(Report!$U:$U,Report!$T:$T,$A8,Report!$C:$C,"&gt;="&amp;DATE(2026,10,1),Report!$C:$C,"&lt;="&amp;DATE(2026,10,31))</f>
        <v/>
      </c>
      <c r="M8" s="77">
        <f>SUMIFS(Report!$U:$U,Report!$T:$T,$A8,Report!$C:$C,"&gt;="&amp;DATE(2026,11,1),Report!$C:$C,"&lt;="&amp;DATE(2026,11,30))</f>
        <v/>
      </c>
      <c r="N8" s="77">
        <f>SUMIFS(Report!$U:$U,Report!$T:$T,$A8,Report!$C:$C,"&gt;="&amp;DATE(2026,12,1),Report!$C:$C,"&lt;="&amp;DATE(2026,12,31))</f>
        <v/>
      </c>
      <c r="O8" s="77">
        <f>SUMIFS(Report!$U:$U,Report!$T:$T,$A8,Report!$C:$C,"&gt;="&amp;DATE(2027,1,1),Report!$C:$C,"&lt;="&amp;DATE(2027,1,31))</f>
        <v/>
      </c>
      <c r="P8" s="77">
        <f>SUMIFS(Report!$U:$U,Report!$T:$T,$A8,Report!$C:$C,"&gt;="&amp;DATE(2027,2,1),Report!$C:$C,"&lt;="&amp;DATE(2027,2,28))</f>
        <v/>
      </c>
      <c r="Q8" s="77">
        <f>SUMIFS(Report!$U:$U,Report!$T:$T,$A8,Report!$C:$C,"&gt;="&amp;DATE(2027,3,1),Report!$C:$C,"&lt;="&amp;DATE(2027,3,31))</f>
        <v/>
      </c>
      <c r="R8" s="77">
        <f>SUMIFS(Report!$U:$U,Report!$T:$T,$A8,Report!$C:$C,"&gt;="&amp;DATE(2027,4,1),Report!$C:$C,"&lt;="&amp;DATE(2027,4,30))</f>
        <v/>
      </c>
      <c r="S8" s="77">
        <f>SUMIFS(Report!$U:$U,Report!$T:$T,$A8,Report!$C:$C,"&gt;="&amp;DATE(2027,5,1),Report!$C:$C,"&lt;="&amp;DATE(2027,5,31))</f>
        <v/>
      </c>
      <c r="T8" s="77">
        <f>SUMIFS(Report!$U:$U,Report!$T:$T,$A8,Report!$C:$C,"&gt;="&amp;DATE(2027,6,1),Report!$C:$C,"&lt;="&amp;DATE(2027,6,30))</f>
        <v/>
      </c>
      <c r="U8" s="77">
        <f>SUMIFS(Report!$U:$U,Report!$T:$T,$A8,Report!$C:$C,"&gt;="&amp;DATE(2027,7,1),Report!$C:$C,"&lt;="&amp;DATE(2027,7,31))</f>
        <v/>
      </c>
      <c r="V8" s="77">
        <f>SUMIFS(Report!$U:$U,Report!$T:$T,$A8,Report!$C:$C,"&gt;="&amp;DATE(2027,8,1),Report!$C:$C,"&lt;="&amp;DATE(2027,8,31))</f>
        <v/>
      </c>
      <c r="W8" s="77">
        <f>SUMIFS(Report!$U:$U,Report!$T:$T,$A8,Report!$C:$C,"&gt;="&amp;DATE(2027,9,1),Report!$C:$C,"&lt;="&amp;DATE(2027,9,30))</f>
        <v/>
      </c>
      <c r="X8" s="77">
        <f>SUMIFS(Report!$U:$U,Report!$T:$T,$A8,Report!$C:$C,"&gt;="&amp;DATE(2027,10,1),Report!$C:$C,"&lt;="&amp;DATE(2027,10,31))</f>
        <v/>
      </c>
      <c r="Y8" s="77">
        <f>SUMIFS(Report!$U:$U,Report!$T:$T,$A8,Report!$C:$C,"&gt;="&amp;DATE(2027,11,1),Report!$C:$C,"&lt;="&amp;DATE(2027,11,30))</f>
        <v/>
      </c>
      <c r="Z8" s="77">
        <f>SUMIFS(Report!$U:$U,Report!$T:$T,$A8,Report!$C:$C,"&gt;="&amp;DATE(2027,12,1),Report!$C:$C,"&lt;="&amp;DATE(2027,12,31))</f>
        <v/>
      </c>
      <c r="AA8" s="77">
        <f>SUM(C8:Z8)</f>
        <v/>
      </c>
    </row>
    <row r="9" ht="12.75" customHeight="1" s="60">
      <c r="A9" s="59" t="inlineStr">
        <is>
          <t>CERTIFICADO DIGITAL</t>
        </is>
      </c>
      <c r="B9" s="59">
        <f>IFERROR(INDEX('Resumo Grupos'!$AC$3:$AC$200,MATCH($A9,'Resumo Grupos'!$AB$3:$AB$200,0)),"n/d")</f>
        <v/>
      </c>
      <c r="C9" s="77">
        <f>SUMIFS(Report!$U:$U,Report!$T:$T,$A9,Report!$C:$C,"&gt;="&amp;DATE(2026,1,1),Report!$C:$C,"&lt;="&amp;DATE(2026,1,31))</f>
        <v/>
      </c>
      <c r="D9" s="77">
        <f>SUMIFS(Report!$U:$U,Report!$T:$T,$A9,Report!$C:$C,"&gt;="&amp;DATE(2026,2,1),Report!$C:$C,"&lt;="&amp;DATE(2026,2,28))</f>
        <v/>
      </c>
      <c r="E9" s="77">
        <f>SUMIFS(Report!$U:$U,Report!$T:$T,$A9,Report!$C:$C,"&gt;="&amp;DATE(2026,3,1),Report!$C:$C,"&lt;="&amp;DATE(2026,3,31))</f>
        <v/>
      </c>
      <c r="F9" s="77">
        <f>SUMIFS(Report!$U:$U,Report!$T:$T,$A9,Report!$C:$C,"&gt;="&amp;DATE(2026,4,1),Report!$C:$C,"&lt;="&amp;DATE(2026,4,30))</f>
        <v/>
      </c>
      <c r="G9" s="77">
        <f>SUMIFS(Report!$U:$U,Report!$T:$T,$A9,Report!$C:$C,"&gt;="&amp;DATE(2026,5,1),Report!$C:$C,"&lt;="&amp;DATE(2026,5,31))</f>
        <v/>
      </c>
      <c r="H9" s="77">
        <f>SUMIFS(Report!$U:$U,Report!$T:$T,$A9,Report!$C:$C,"&gt;="&amp;DATE(2026,6,1),Report!$C:$C,"&lt;="&amp;DATE(2026,6,30))</f>
        <v/>
      </c>
      <c r="I9" s="77">
        <f>SUMIFS(Report!$U:$U,Report!$T:$T,$A9,Report!$C:$C,"&gt;="&amp;DATE(2026,7,1),Report!$C:$C,"&lt;="&amp;DATE(2026,7,31))</f>
        <v/>
      </c>
      <c r="J9" s="77">
        <f>SUMIFS(Report!$U:$U,Report!$T:$T,$A9,Report!$C:$C,"&gt;="&amp;DATE(2026,8,1),Report!$C:$C,"&lt;="&amp;DATE(2026,8,31))</f>
        <v/>
      </c>
      <c r="K9" s="77">
        <f>SUMIFS(Report!$U:$U,Report!$T:$T,$A9,Report!$C:$C,"&gt;="&amp;DATE(2026,9,1),Report!$C:$C,"&lt;="&amp;DATE(2026,9,30))</f>
        <v/>
      </c>
      <c r="L9" s="77">
        <f>SUMIFS(Report!$U:$U,Report!$T:$T,$A9,Report!$C:$C,"&gt;="&amp;DATE(2026,10,1),Report!$C:$C,"&lt;="&amp;DATE(2026,10,31))</f>
        <v/>
      </c>
      <c r="M9" s="77">
        <f>SUMIFS(Report!$U:$U,Report!$T:$T,$A9,Report!$C:$C,"&gt;="&amp;DATE(2026,11,1),Report!$C:$C,"&lt;="&amp;DATE(2026,11,30))</f>
        <v/>
      </c>
      <c r="N9" s="77">
        <f>SUMIFS(Report!$U:$U,Report!$T:$T,$A9,Report!$C:$C,"&gt;="&amp;DATE(2026,12,1),Report!$C:$C,"&lt;="&amp;DATE(2026,12,31))</f>
        <v/>
      </c>
      <c r="O9" s="77">
        <f>SUMIFS(Report!$U:$U,Report!$T:$T,$A9,Report!$C:$C,"&gt;="&amp;DATE(2027,1,1),Report!$C:$C,"&lt;="&amp;DATE(2027,1,31))</f>
        <v/>
      </c>
      <c r="P9" s="77">
        <f>SUMIFS(Report!$U:$U,Report!$T:$T,$A9,Report!$C:$C,"&gt;="&amp;DATE(2027,2,1),Report!$C:$C,"&lt;="&amp;DATE(2027,2,28))</f>
        <v/>
      </c>
      <c r="Q9" s="77">
        <f>SUMIFS(Report!$U:$U,Report!$T:$T,$A9,Report!$C:$C,"&gt;="&amp;DATE(2027,3,1),Report!$C:$C,"&lt;="&amp;DATE(2027,3,31))</f>
        <v/>
      </c>
      <c r="R9" s="77">
        <f>SUMIFS(Report!$U:$U,Report!$T:$T,$A9,Report!$C:$C,"&gt;="&amp;DATE(2027,4,1),Report!$C:$C,"&lt;="&amp;DATE(2027,4,30))</f>
        <v/>
      </c>
      <c r="S9" s="77">
        <f>SUMIFS(Report!$U:$U,Report!$T:$T,$A9,Report!$C:$C,"&gt;="&amp;DATE(2027,5,1),Report!$C:$C,"&lt;="&amp;DATE(2027,5,31))</f>
        <v/>
      </c>
      <c r="T9" s="77">
        <f>SUMIFS(Report!$U:$U,Report!$T:$T,$A9,Report!$C:$C,"&gt;="&amp;DATE(2027,6,1),Report!$C:$C,"&lt;="&amp;DATE(2027,6,30))</f>
        <v/>
      </c>
      <c r="U9" s="77">
        <f>SUMIFS(Report!$U:$U,Report!$T:$T,$A9,Report!$C:$C,"&gt;="&amp;DATE(2027,7,1),Report!$C:$C,"&lt;="&amp;DATE(2027,7,31))</f>
        <v/>
      </c>
      <c r="V9" s="77">
        <f>SUMIFS(Report!$U:$U,Report!$T:$T,$A9,Report!$C:$C,"&gt;="&amp;DATE(2027,8,1),Report!$C:$C,"&lt;="&amp;DATE(2027,8,31))</f>
        <v/>
      </c>
      <c r="W9" s="77">
        <f>SUMIFS(Report!$U:$U,Report!$T:$T,$A9,Report!$C:$C,"&gt;="&amp;DATE(2027,9,1),Report!$C:$C,"&lt;="&amp;DATE(2027,9,30))</f>
        <v/>
      </c>
      <c r="X9" s="77">
        <f>SUMIFS(Report!$U:$U,Report!$T:$T,$A9,Report!$C:$C,"&gt;="&amp;DATE(2027,10,1),Report!$C:$C,"&lt;="&amp;DATE(2027,10,31))</f>
        <v/>
      </c>
      <c r="Y9" s="77">
        <f>SUMIFS(Report!$U:$U,Report!$T:$T,$A9,Report!$C:$C,"&gt;="&amp;DATE(2027,11,1),Report!$C:$C,"&lt;="&amp;DATE(2027,11,30))</f>
        <v/>
      </c>
      <c r="Z9" s="77">
        <f>SUMIFS(Report!$U:$U,Report!$T:$T,$A9,Report!$C:$C,"&gt;="&amp;DATE(2027,12,1),Report!$C:$C,"&lt;="&amp;DATE(2027,12,31))</f>
        <v/>
      </c>
      <c r="AA9" s="77">
        <f>SUM(C9:Z9)</f>
        <v/>
      </c>
    </row>
    <row r="10" ht="12.75" customHeight="1" s="60">
      <c r="A10" s="59" t="inlineStr">
        <is>
          <t>COMBUSTIVEIS</t>
        </is>
      </c>
      <c r="B10" s="59">
        <f>IFERROR(INDEX('Resumo Grupos'!$AC$3:$AC$200,MATCH($A10,'Resumo Grupos'!$AB$3:$AB$200,0)),"n/d")</f>
        <v/>
      </c>
      <c r="C10" s="77">
        <f>SUMIFS(Report!$U:$U,Report!$T:$T,$A10,Report!$C:$C,"&gt;="&amp;DATE(2026,1,1),Report!$C:$C,"&lt;="&amp;DATE(2026,1,31))</f>
        <v/>
      </c>
      <c r="D10" s="77">
        <f>SUMIFS(Report!$U:$U,Report!$T:$T,$A10,Report!$C:$C,"&gt;="&amp;DATE(2026,2,1),Report!$C:$C,"&lt;="&amp;DATE(2026,2,28))</f>
        <v/>
      </c>
      <c r="E10" s="77">
        <f>SUMIFS(Report!$U:$U,Report!$T:$T,$A10,Report!$C:$C,"&gt;="&amp;DATE(2026,3,1),Report!$C:$C,"&lt;="&amp;DATE(2026,3,31))</f>
        <v/>
      </c>
      <c r="F10" s="77">
        <f>SUMIFS(Report!$U:$U,Report!$T:$T,$A10,Report!$C:$C,"&gt;="&amp;DATE(2026,4,1),Report!$C:$C,"&lt;="&amp;DATE(2026,4,30))</f>
        <v/>
      </c>
      <c r="G10" s="77">
        <f>SUMIFS(Report!$U:$U,Report!$T:$T,$A10,Report!$C:$C,"&gt;="&amp;DATE(2026,5,1),Report!$C:$C,"&lt;="&amp;DATE(2026,5,31))</f>
        <v/>
      </c>
      <c r="H10" s="77">
        <f>SUMIFS(Report!$U:$U,Report!$T:$T,$A10,Report!$C:$C,"&gt;="&amp;DATE(2026,6,1),Report!$C:$C,"&lt;="&amp;DATE(2026,6,30))</f>
        <v/>
      </c>
      <c r="I10" s="77">
        <f>SUMIFS(Report!$U:$U,Report!$T:$T,$A10,Report!$C:$C,"&gt;="&amp;DATE(2026,7,1),Report!$C:$C,"&lt;="&amp;DATE(2026,7,31))</f>
        <v/>
      </c>
      <c r="J10" s="77">
        <f>SUMIFS(Report!$U:$U,Report!$T:$T,$A10,Report!$C:$C,"&gt;="&amp;DATE(2026,8,1),Report!$C:$C,"&lt;="&amp;DATE(2026,8,31))</f>
        <v/>
      </c>
      <c r="K10" s="77">
        <f>SUMIFS(Report!$U:$U,Report!$T:$T,$A10,Report!$C:$C,"&gt;="&amp;DATE(2026,9,1),Report!$C:$C,"&lt;="&amp;DATE(2026,9,30))</f>
        <v/>
      </c>
      <c r="L10" s="77">
        <f>SUMIFS(Report!$U:$U,Report!$T:$T,$A10,Report!$C:$C,"&gt;="&amp;DATE(2026,10,1),Report!$C:$C,"&lt;="&amp;DATE(2026,10,31))</f>
        <v/>
      </c>
      <c r="M10" s="77">
        <f>SUMIFS(Report!$U:$U,Report!$T:$T,$A10,Report!$C:$C,"&gt;="&amp;DATE(2026,11,1),Report!$C:$C,"&lt;="&amp;DATE(2026,11,30))</f>
        <v/>
      </c>
      <c r="N10" s="77">
        <f>SUMIFS(Report!$U:$U,Report!$T:$T,$A10,Report!$C:$C,"&gt;="&amp;DATE(2026,12,1),Report!$C:$C,"&lt;="&amp;DATE(2026,12,31))</f>
        <v/>
      </c>
      <c r="O10" s="77">
        <f>SUMIFS(Report!$U:$U,Report!$T:$T,$A10,Report!$C:$C,"&gt;="&amp;DATE(2027,1,1),Report!$C:$C,"&lt;="&amp;DATE(2027,1,31))</f>
        <v/>
      </c>
      <c r="P10" s="77">
        <f>SUMIFS(Report!$U:$U,Report!$T:$T,$A10,Report!$C:$C,"&gt;="&amp;DATE(2027,2,1),Report!$C:$C,"&lt;="&amp;DATE(2027,2,28))</f>
        <v/>
      </c>
      <c r="Q10" s="77">
        <f>SUMIFS(Report!$U:$U,Report!$T:$T,$A10,Report!$C:$C,"&gt;="&amp;DATE(2027,3,1),Report!$C:$C,"&lt;="&amp;DATE(2027,3,31))</f>
        <v/>
      </c>
      <c r="R10" s="77">
        <f>SUMIFS(Report!$U:$U,Report!$T:$T,$A10,Report!$C:$C,"&gt;="&amp;DATE(2027,4,1),Report!$C:$C,"&lt;="&amp;DATE(2027,4,30))</f>
        <v/>
      </c>
      <c r="S10" s="77">
        <f>SUMIFS(Report!$U:$U,Report!$T:$T,$A10,Report!$C:$C,"&gt;="&amp;DATE(2027,5,1),Report!$C:$C,"&lt;="&amp;DATE(2027,5,31))</f>
        <v/>
      </c>
      <c r="T10" s="77">
        <f>SUMIFS(Report!$U:$U,Report!$T:$T,$A10,Report!$C:$C,"&gt;="&amp;DATE(2027,6,1),Report!$C:$C,"&lt;="&amp;DATE(2027,6,30))</f>
        <v/>
      </c>
      <c r="U10" s="77">
        <f>SUMIFS(Report!$U:$U,Report!$T:$T,$A10,Report!$C:$C,"&gt;="&amp;DATE(2027,7,1),Report!$C:$C,"&lt;="&amp;DATE(2027,7,31))</f>
        <v/>
      </c>
      <c r="V10" s="77">
        <f>SUMIFS(Report!$U:$U,Report!$T:$T,$A10,Report!$C:$C,"&gt;="&amp;DATE(2027,8,1),Report!$C:$C,"&lt;="&amp;DATE(2027,8,31))</f>
        <v/>
      </c>
      <c r="W10" s="77">
        <f>SUMIFS(Report!$U:$U,Report!$T:$T,$A10,Report!$C:$C,"&gt;="&amp;DATE(2027,9,1),Report!$C:$C,"&lt;="&amp;DATE(2027,9,30))</f>
        <v/>
      </c>
      <c r="X10" s="77">
        <f>SUMIFS(Report!$U:$U,Report!$T:$T,$A10,Report!$C:$C,"&gt;="&amp;DATE(2027,10,1),Report!$C:$C,"&lt;="&amp;DATE(2027,10,31))</f>
        <v/>
      </c>
      <c r="Y10" s="77">
        <f>SUMIFS(Report!$U:$U,Report!$T:$T,$A10,Report!$C:$C,"&gt;="&amp;DATE(2027,11,1),Report!$C:$C,"&lt;="&amp;DATE(2027,11,30))</f>
        <v/>
      </c>
      <c r="Z10" s="77">
        <f>SUMIFS(Report!$U:$U,Report!$T:$T,$A10,Report!$C:$C,"&gt;="&amp;DATE(2027,12,1),Report!$C:$C,"&lt;="&amp;DATE(2027,12,31))</f>
        <v/>
      </c>
      <c r="AA10" s="77">
        <f>SUM(C10:Z10)</f>
        <v/>
      </c>
    </row>
    <row r="11" ht="12.75" customHeight="1" s="60">
      <c r="A11" s="59" t="inlineStr">
        <is>
          <t>CONTAS A PAGAR</t>
        </is>
      </c>
      <c r="B11" s="59">
        <f>IFERROR(INDEX('Resumo Grupos'!$AC$3:$AC$200,MATCH($A11,'Resumo Grupos'!$AB$3:$AB$200,0)),"n/d")</f>
        <v/>
      </c>
      <c r="C11" s="77">
        <f>SUMIFS(Report!$U:$U,Report!$T:$T,$A11,Report!$C:$C,"&gt;="&amp;DATE(2026,1,1),Report!$C:$C,"&lt;="&amp;DATE(2026,1,31))</f>
        <v/>
      </c>
      <c r="D11" s="77">
        <f>SUMIFS(Report!$U:$U,Report!$T:$T,$A11,Report!$C:$C,"&gt;="&amp;DATE(2026,2,1),Report!$C:$C,"&lt;="&amp;DATE(2026,2,28))</f>
        <v/>
      </c>
      <c r="E11" s="77">
        <f>SUMIFS(Report!$U:$U,Report!$T:$T,$A11,Report!$C:$C,"&gt;="&amp;DATE(2026,3,1),Report!$C:$C,"&lt;="&amp;DATE(2026,3,31))</f>
        <v/>
      </c>
      <c r="F11" s="77">
        <f>SUMIFS(Report!$U:$U,Report!$T:$T,$A11,Report!$C:$C,"&gt;="&amp;DATE(2026,4,1),Report!$C:$C,"&lt;="&amp;DATE(2026,4,30))</f>
        <v/>
      </c>
      <c r="G11" s="77">
        <f>SUMIFS(Report!$U:$U,Report!$T:$T,$A11,Report!$C:$C,"&gt;="&amp;DATE(2026,5,1),Report!$C:$C,"&lt;="&amp;DATE(2026,5,31))</f>
        <v/>
      </c>
      <c r="H11" s="77">
        <f>SUMIFS(Report!$U:$U,Report!$T:$T,$A11,Report!$C:$C,"&gt;="&amp;DATE(2026,6,1),Report!$C:$C,"&lt;="&amp;DATE(2026,6,30))</f>
        <v/>
      </c>
      <c r="I11" s="77">
        <f>SUMIFS(Report!$U:$U,Report!$T:$T,$A11,Report!$C:$C,"&gt;="&amp;DATE(2026,7,1),Report!$C:$C,"&lt;="&amp;DATE(2026,7,31))</f>
        <v/>
      </c>
      <c r="J11" s="77">
        <f>SUMIFS(Report!$U:$U,Report!$T:$T,$A11,Report!$C:$C,"&gt;="&amp;DATE(2026,8,1),Report!$C:$C,"&lt;="&amp;DATE(2026,8,31))</f>
        <v/>
      </c>
      <c r="K11" s="77">
        <f>SUMIFS(Report!$U:$U,Report!$T:$T,$A11,Report!$C:$C,"&gt;="&amp;DATE(2026,9,1),Report!$C:$C,"&lt;="&amp;DATE(2026,9,30))</f>
        <v/>
      </c>
      <c r="L11" s="77">
        <f>SUMIFS(Report!$U:$U,Report!$T:$T,$A11,Report!$C:$C,"&gt;="&amp;DATE(2026,10,1),Report!$C:$C,"&lt;="&amp;DATE(2026,10,31))</f>
        <v/>
      </c>
      <c r="M11" s="77">
        <f>SUMIFS(Report!$U:$U,Report!$T:$T,$A11,Report!$C:$C,"&gt;="&amp;DATE(2026,11,1),Report!$C:$C,"&lt;="&amp;DATE(2026,11,30))</f>
        <v/>
      </c>
      <c r="N11" s="77">
        <f>SUMIFS(Report!$U:$U,Report!$T:$T,$A11,Report!$C:$C,"&gt;="&amp;DATE(2026,12,1),Report!$C:$C,"&lt;="&amp;DATE(2026,12,31))</f>
        <v/>
      </c>
      <c r="O11" s="77">
        <f>SUMIFS(Report!$U:$U,Report!$T:$T,$A11,Report!$C:$C,"&gt;="&amp;DATE(2027,1,1),Report!$C:$C,"&lt;="&amp;DATE(2027,1,31))</f>
        <v/>
      </c>
      <c r="P11" s="77">
        <f>SUMIFS(Report!$U:$U,Report!$T:$T,$A11,Report!$C:$C,"&gt;="&amp;DATE(2027,2,1),Report!$C:$C,"&lt;="&amp;DATE(2027,2,28))</f>
        <v/>
      </c>
      <c r="Q11" s="77">
        <f>SUMIFS(Report!$U:$U,Report!$T:$T,$A11,Report!$C:$C,"&gt;="&amp;DATE(2027,3,1),Report!$C:$C,"&lt;="&amp;DATE(2027,3,31))</f>
        <v/>
      </c>
      <c r="R11" s="77">
        <f>SUMIFS(Report!$U:$U,Report!$T:$T,$A11,Report!$C:$C,"&gt;="&amp;DATE(2027,4,1),Report!$C:$C,"&lt;="&amp;DATE(2027,4,30))</f>
        <v/>
      </c>
      <c r="S11" s="77">
        <f>SUMIFS(Report!$U:$U,Report!$T:$T,$A11,Report!$C:$C,"&gt;="&amp;DATE(2027,5,1),Report!$C:$C,"&lt;="&amp;DATE(2027,5,31))</f>
        <v/>
      </c>
      <c r="T11" s="77">
        <f>SUMIFS(Report!$U:$U,Report!$T:$T,$A11,Report!$C:$C,"&gt;="&amp;DATE(2027,6,1),Report!$C:$C,"&lt;="&amp;DATE(2027,6,30))</f>
        <v/>
      </c>
      <c r="U11" s="77">
        <f>SUMIFS(Report!$U:$U,Report!$T:$T,$A11,Report!$C:$C,"&gt;="&amp;DATE(2027,7,1),Report!$C:$C,"&lt;="&amp;DATE(2027,7,31))</f>
        <v/>
      </c>
      <c r="V11" s="77">
        <f>SUMIFS(Report!$U:$U,Report!$T:$T,$A11,Report!$C:$C,"&gt;="&amp;DATE(2027,8,1),Report!$C:$C,"&lt;="&amp;DATE(2027,8,31))</f>
        <v/>
      </c>
      <c r="W11" s="77">
        <f>SUMIFS(Report!$U:$U,Report!$T:$T,$A11,Report!$C:$C,"&gt;="&amp;DATE(2027,9,1),Report!$C:$C,"&lt;="&amp;DATE(2027,9,30))</f>
        <v/>
      </c>
      <c r="X11" s="77">
        <f>SUMIFS(Report!$U:$U,Report!$T:$T,$A11,Report!$C:$C,"&gt;="&amp;DATE(2027,10,1),Report!$C:$C,"&lt;="&amp;DATE(2027,10,31))</f>
        <v/>
      </c>
      <c r="Y11" s="77">
        <f>SUMIFS(Report!$U:$U,Report!$T:$T,$A11,Report!$C:$C,"&gt;="&amp;DATE(2027,11,1),Report!$C:$C,"&lt;="&amp;DATE(2027,11,30))</f>
        <v/>
      </c>
      <c r="Z11" s="77">
        <f>SUMIFS(Report!$U:$U,Report!$T:$T,$A11,Report!$C:$C,"&gt;="&amp;DATE(2027,12,1),Report!$C:$C,"&lt;="&amp;DATE(2027,12,31))</f>
        <v/>
      </c>
      <c r="AA11" s="77">
        <f>SUM(C11:Z11)</f>
        <v/>
      </c>
    </row>
    <row r="12" ht="12.75" customHeight="1" s="60">
      <c r="A12" s="59" t="inlineStr">
        <is>
          <t>DEDETIZACAO - LIMPEZA</t>
        </is>
      </c>
      <c r="B12" s="59">
        <f>IFERROR(INDEX('Resumo Grupos'!$AC$3:$AC$200,MATCH($A12,'Resumo Grupos'!$AB$3:$AB$200,0)),"n/d")</f>
        <v/>
      </c>
      <c r="C12" s="77">
        <f>SUMIFS(Report!$U:$U,Report!$T:$T,$A12,Report!$C:$C,"&gt;="&amp;DATE(2026,1,1),Report!$C:$C,"&lt;="&amp;DATE(2026,1,31))</f>
        <v/>
      </c>
      <c r="D12" s="77">
        <f>SUMIFS(Report!$U:$U,Report!$T:$T,$A12,Report!$C:$C,"&gt;="&amp;DATE(2026,2,1),Report!$C:$C,"&lt;="&amp;DATE(2026,2,28))</f>
        <v/>
      </c>
      <c r="E12" s="77">
        <f>SUMIFS(Report!$U:$U,Report!$T:$T,$A12,Report!$C:$C,"&gt;="&amp;DATE(2026,3,1),Report!$C:$C,"&lt;="&amp;DATE(2026,3,31))</f>
        <v/>
      </c>
      <c r="F12" s="77">
        <f>SUMIFS(Report!$U:$U,Report!$T:$T,$A12,Report!$C:$C,"&gt;="&amp;DATE(2026,4,1),Report!$C:$C,"&lt;="&amp;DATE(2026,4,30))</f>
        <v/>
      </c>
      <c r="G12" s="77">
        <f>SUMIFS(Report!$U:$U,Report!$T:$T,$A12,Report!$C:$C,"&gt;="&amp;DATE(2026,5,1),Report!$C:$C,"&lt;="&amp;DATE(2026,5,31))</f>
        <v/>
      </c>
      <c r="H12" s="77">
        <f>SUMIFS(Report!$U:$U,Report!$T:$T,$A12,Report!$C:$C,"&gt;="&amp;DATE(2026,6,1),Report!$C:$C,"&lt;="&amp;DATE(2026,6,30))</f>
        <v/>
      </c>
      <c r="I12" s="77">
        <f>SUMIFS(Report!$U:$U,Report!$T:$T,$A12,Report!$C:$C,"&gt;="&amp;DATE(2026,7,1),Report!$C:$C,"&lt;="&amp;DATE(2026,7,31))</f>
        <v/>
      </c>
      <c r="J12" s="77">
        <f>SUMIFS(Report!$U:$U,Report!$T:$T,$A12,Report!$C:$C,"&gt;="&amp;DATE(2026,8,1),Report!$C:$C,"&lt;="&amp;DATE(2026,8,31))</f>
        <v/>
      </c>
      <c r="K12" s="77">
        <f>SUMIFS(Report!$U:$U,Report!$T:$T,$A12,Report!$C:$C,"&gt;="&amp;DATE(2026,9,1),Report!$C:$C,"&lt;="&amp;DATE(2026,9,30))</f>
        <v/>
      </c>
      <c r="L12" s="77">
        <f>SUMIFS(Report!$U:$U,Report!$T:$T,$A12,Report!$C:$C,"&gt;="&amp;DATE(2026,10,1),Report!$C:$C,"&lt;="&amp;DATE(2026,10,31))</f>
        <v/>
      </c>
      <c r="M12" s="77">
        <f>SUMIFS(Report!$U:$U,Report!$T:$T,$A12,Report!$C:$C,"&gt;="&amp;DATE(2026,11,1),Report!$C:$C,"&lt;="&amp;DATE(2026,11,30))</f>
        <v/>
      </c>
      <c r="N12" s="77">
        <f>SUMIFS(Report!$U:$U,Report!$T:$T,$A12,Report!$C:$C,"&gt;="&amp;DATE(2026,12,1),Report!$C:$C,"&lt;="&amp;DATE(2026,12,31))</f>
        <v/>
      </c>
      <c r="O12" s="77">
        <f>SUMIFS(Report!$U:$U,Report!$T:$T,$A12,Report!$C:$C,"&gt;="&amp;DATE(2027,1,1),Report!$C:$C,"&lt;="&amp;DATE(2027,1,31))</f>
        <v/>
      </c>
      <c r="P12" s="77">
        <f>SUMIFS(Report!$U:$U,Report!$T:$T,$A12,Report!$C:$C,"&gt;="&amp;DATE(2027,2,1),Report!$C:$C,"&lt;="&amp;DATE(2027,2,28))</f>
        <v/>
      </c>
      <c r="Q12" s="77">
        <f>SUMIFS(Report!$U:$U,Report!$T:$T,$A12,Report!$C:$C,"&gt;="&amp;DATE(2027,3,1),Report!$C:$C,"&lt;="&amp;DATE(2027,3,31))</f>
        <v/>
      </c>
      <c r="R12" s="77">
        <f>SUMIFS(Report!$U:$U,Report!$T:$T,$A12,Report!$C:$C,"&gt;="&amp;DATE(2027,4,1),Report!$C:$C,"&lt;="&amp;DATE(2027,4,30))</f>
        <v/>
      </c>
      <c r="S12" s="77">
        <f>SUMIFS(Report!$U:$U,Report!$T:$T,$A12,Report!$C:$C,"&gt;="&amp;DATE(2027,5,1),Report!$C:$C,"&lt;="&amp;DATE(2027,5,31))</f>
        <v/>
      </c>
      <c r="T12" s="77">
        <f>SUMIFS(Report!$U:$U,Report!$T:$T,$A12,Report!$C:$C,"&gt;="&amp;DATE(2027,6,1),Report!$C:$C,"&lt;="&amp;DATE(2027,6,30))</f>
        <v/>
      </c>
      <c r="U12" s="77">
        <f>SUMIFS(Report!$U:$U,Report!$T:$T,$A12,Report!$C:$C,"&gt;="&amp;DATE(2027,7,1),Report!$C:$C,"&lt;="&amp;DATE(2027,7,31))</f>
        <v/>
      </c>
      <c r="V12" s="77">
        <f>SUMIFS(Report!$U:$U,Report!$T:$T,$A12,Report!$C:$C,"&gt;="&amp;DATE(2027,8,1),Report!$C:$C,"&lt;="&amp;DATE(2027,8,31))</f>
        <v/>
      </c>
      <c r="W12" s="77">
        <f>SUMIFS(Report!$U:$U,Report!$T:$T,$A12,Report!$C:$C,"&gt;="&amp;DATE(2027,9,1),Report!$C:$C,"&lt;="&amp;DATE(2027,9,30))</f>
        <v/>
      </c>
      <c r="X12" s="77">
        <f>SUMIFS(Report!$U:$U,Report!$T:$T,$A12,Report!$C:$C,"&gt;="&amp;DATE(2027,10,1),Report!$C:$C,"&lt;="&amp;DATE(2027,10,31))</f>
        <v/>
      </c>
      <c r="Y12" s="77">
        <f>SUMIFS(Report!$U:$U,Report!$T:$T,$A12,Report!$C:$C,"&gt;="&amp;DATE(2027,11,1),Report!$C:$C,"&lt;="&amp;DATE(2027,11,30))</f>
        <v/>
      </c>
      <c r="Z12" s="77">
        <f>SUMIFS(Report!$U:$U,Report!$T:$T,$A12,Report!$C:$C,"&gt;="&amp;DATE(2027,12,1),Report!$C:$C,"&lt;="&amp;DATE(2027,12,31))</f>
        <v/>
      </c>
      <c r="AA12" s="77">
        <f>SUM(C12:Z12)</f>
        <v/>
      </c>
    </row>
    <row r="13" ht="12.75" customHeight="1" s="60">
      <c r="A13" s="59" t="inlineStr">
        <is>
          <t>DESPESA DE VENDA</t>
        </is>
      </c>
      <c r="B13" s="59">
        <f>IFERROR(INDEX('Resumo Grupos'!$AC$3:$AC$200,MATCH($A13,'Resumo Grupos'!$AB$3:$AB$200,0)),"n/d")</f>
        <v/>
      </c>
      <c r="C13" s="77">
        <f>SUMIFS(Report!$U:$U,Report!$T:$T,$A13,Report!$C:$C,"&gt;="&amp;DATE(2026,1,1),Report!$C:$C,"&lt;="&amp;DATE(2026,1,31))</f>
        <v/>
      </c>
      <c r="D13" s="77">
        <f>SUMIFS(Report!$U:$U,Report!$T:$T,$A13,Report!$C:$C,"&gt;="&amp;DATE(2026,2,1),Report!$C:$C,"&lt;="&amp;DATE(2026,2,28))</f>
        <v/>
      </c>
      <c r="E13" s="77">
        <f>SUMIFS(Report!$U:$U,Report!$T:$T,$A13,Report!$C:$C,"&gt;="&amp;DATE(2026,3,1),Report!$C:$C,"&lt;="&amp;DATE(2026,3,31))</f>
        <v/>
      </c>
      <c r="F13" s="77">
        <f>SUMIFS(Report!$U:$U,Report!$T:$T,$A13,Report!$C:$C,"&gt;="&amp;DATE(2026,4,1),Report!$C:$C,"&lt;="&amp;DATE(2026,4,30))</f>
        <v/>
      </c>
      <c r="G13" s="77">
        <f>SUMIFS(Report!$U:$U,Report!$T:$T,$A13,Report!$C:$C,"&gt;="&amp;DATE(2026,5,1),Report!$C:$C,"&lt;="&amp;DATE(2026,5,31))</f>
        <v/>
      </c>
      <c r="H13" s="77">
        <f>SUMIFS(Report!$U:$U,Report!$T:$T,$A13,Report!$C:$C,"&gt;="&amp;DATE(2026,6,1),Report!$C:$C,"&lt;="&amp;DATE(2026,6,30))</f>
        <v/>
      </c>
      <c r="I13" s="77">
        <f>SUMIFS(Report!$U:$U,Report!$T:$T,$A13,Report!$C:$C,"&gt;="&amp;DATE(2026,7,1),Report!$C:$C,"&lt;="&amp;DATE(2026,7,31))</f>
        <v/>
      </c>
      <c r="J13" s="77">
        <f>SUMIFS(Report!$U:$U,Report!$T:$T,$A13,Report!$C:$C,"&gt;="&amp;DATE(2026,8,1),Report!$C:$C,"&lt;="&amp;DATE(2026,8,31))</f>
        <v/>
      </c>
      <c r="K13" s="77">
        <f>SUMIFS(Report!$U:$U,Report!$T:$T,$A13,Report!$C:$C,"&gt;="&amp;DATE(2026,9,1),Report!$C:$C,"&lt;="&amp;DATE(2026,9,30))</f>
        <v/>
      </c>
      <c r="L13" s="77">
        <f>SUMIFS(Report!$U:$U,Report!$T:$T,$A13,Report!$C:$C,"&gt;="&amp;DATE(2026,10,1),Report!$C:$C,"&lt;="&amp;DATE(2026,10,31))</f>
        <v/>
      </c>
      <c r="M13" s="77">
        <f>SUMIFS(Report!$U:$U,Report!$T:$T,$A13,Report!$C:$C,"&gt;="&amp;DATE(2026,11,1),Report!$C:$C,"&lt;="&amp;DATE(2026,11,30))</f>
        <v/>
      </c>
      <c r="N13" s="77">
        <f>SUMIFS(Report!$U:$U,Report!$T:$T,$A13,Report!$C:$C,"&gt;="&amp;DATE(2026,12,1),Report!$C:$C,"&lt;="&amp;DATE(2026,12,31))</f>
        <v/>
      </c>
      <c r="O13" s="77">
        <f>SUMIFS(Report!$U:$U,Report!$T:$T,$A13,Report!$C:$C,"&gt;="&amp;DATE(2027,1,1),Report!$C:$C,"&lt;="&amp;DATE(2027,1,31))</f>
        <v/>
      </c>
      <c r="P13" s="77">
        <f>SUMIFS(Report!$U:$U,Report!$T:$T,$A13,Report!$C:$C,"&gt;="&amp;DATE(2027,2,1),Report!$C:$C,"&lt;="&amp;DATE(2027,2,28))</f>
        <v/>
      </c>
      <c r="Q13" s="77">
        <f>SUMIFS(Report!$U:$U,Report!$T:$T,$A13,Report!$C:$C,"&gt;="&amp;DATE(2027,3,1),Report!$C:$C,"&lt;="&amp;DATE(2027,3,31))</f>
        <v/>
      </c>
      <c r="R13" s="77">
        <f>SUMIFS(Report!$U:$U,Report!$T:$T,$A13,Report!$C:$C,"&gt;="&amp;DATE(2027,4,1),Report!$C:$C,"&lt;="&amp;DATE(2027,4,30))</f>
        <v/>
      </c>
      <c r="S13" s="77">
        <f>SUMIFS(Report!$U:$U,Report!$T:$T,$A13,Report!$C:$C,"&gt;="&amp;DATE(2027,5,1),Report!$C:$C,"&lt;="&amp;DATE(2027,5,31))</f>
        <v/>
      </c>
      <c r="T13" s="77">
        <f>SUMIFS(Report!$U:$U,Report!$T:$T,$A13,Report!$C:$C,"&gt;="&amp;DATE(2027,6,1),Report!$C:$C,"&lt;="&amp;DATE(2027,6,30))</f>
        <v/>
      </c>
      <c r="U13" s="77">
        <f>SUMIFS(Report!$U:$U,Report!$T:$T,$A13,Report!$C:$C,"&gt;="&amp;DATE(2027,7,1),Report!$C:$C,"&lt;="&amp;DATE(2027,7,31))</f>
        <v/>
      </c>
      <c r="V13" s="77">
        <f>SUMIFS(Report!$U:$U,Report!$T:$T,$A13,Report!$C:$C,"&gt;="&amp;DATE(2027,8,1),Report!$C:$C,"&lt;="&amp;DATE(2027,8,31))</f>
        <v/>
      </c>
      <c r="W13" s="77">
        <f>SUMIFS(Report!$U:$U,Report!$T:$T,$A13,Report!$C:$C,"&gt;="&amp;DATE(2027,9,1),Report!$C:$C,"&lt;="&amp;DATE(2027,9,30))</f>
        <v/>
      </c>
      <c r="X13" s="77">
        <f>SUMIFS(Report!$U:$U,Report!$T:$T,$A13,Report!$C:$C,"&gt;="&amp;DATE(2027,10,1),Report!$C:$C,"&lt;="&amp;DATE(2027,10,31))</f>
        <v/>
      </c>
      <c r="Y13" s="77">
        <f>SUMIFS(Report!$U:$U,Report!$T:$T,$A13,Report!$C:$C,"&gt;="&amp;DATE(2027,11,1),Report!$C:$C,"&lt;="&amp;DATE(2027,11,30))</f>
        <v/>
      </c>
      <c r="Z13" s="77">
        <f>SUMIFS(Report!$U:$U,Report!$T:$T,$A13,Report!$C:$C,"&gt;="&amp;DATE(2027,12,1),Report!$C:$C,"&lt;="&amp;DATE(2027,12,31))</f>
        <v/>
      </c>
      <c r="AA13" s="77">
        <f>SUM(C13:Z13)</f>
        <v/>
      </c>
    </row>
    <row r="14" ht="12.75" customHeight="1" s="60">
      <c r="A14" s="59" t="inlineStr">
        <is>
          <t>DESPESAS ACOUGUE</t>
        </is>
      </c>
      <c r="B14" s="59">
        <f>IFERROR(INDEX('Resumo Grupos'!$AC$3:$AC$200,MATCH($A14,'Resumo Grupos'!$AB$3:$AB$200,0)),"n/d")</f>
        <v/>
      </c>
      <c r="C14" s="77">
        <f>SUMIFS(Report!$U:$U,Report!$T:$T,$A14,Report!$C:$C,"&gt;="&amp;DATE(2026,1,1),Report!$C:$C,"&lt;="&amp;DATE(2026,1,31))</f>
        <v/>
      </c>
      <c r="D14" s="77">
        <f>SUMIFS(Report!$U:$U,Report!$T:$T,$A14,Report!$C:$C,"&gt;="&amp;DATE(2026,2,1),Report!$C:$C,"&lt;="&amp;DATE(2026,2,28))</f>
        <v/>
      </c>
      <c r="E14" s="77">
        <f>SUMIFS(Report!$U:$U,Report!$T:$T,$A14,Report!$C:$C,"&gt;="&amp;DATE(2026,3,1),Report!$C:$C,"&lt;="&amp;DATE(2026,3,31))</f>
        <v/>
      </c>
      <c r="F14" s="77">
        <f>SUMIFS(Report!$U:$U,Report!$T:$T,$A14,Report!$C:$C,"&gt;="&amp;DATE(2026,4,1),Report!$C:$C,"&lt;="&amp;DATE(2026,4,30))</f>
        <v/>
      </c>
      <c r="G14" s="77">
        <f>SUMIFS(Report!$U:$U,Report!$T:$T,$A14,Report!$C:$C,"&gt;="&amp;DATE(2026,5,1),Report!$C:$C,"&lt;="&amp;DATE(2026,5,31))</f>
        <v/>
      </c>
      <c r="H14" s="77">
        <f>SUMIFS(Report!$U:$U,Report!$T:$T,$A14,Report!$C:$C,"&gt;="&amp;DATE(2026,6,1),Report!$C:$C,"&lt;="&amp;DATE(2026,6,30))</f>
        <v/>
      </c>
      <c r="I14" s="77">
        <f>SUMIFS(Report!$U:$U,Report!$T:$T,$A14,Report!$C:$C,"&gt;="&amp;DATE(2026,7,1),Report!$C:$C,"&lt;="&amp;DATE(2026,7,31))</f>
        <v/>
      </c>
      <c r="J14" s="77">
        <f>SUMIFS(Report!$U:$U,Report!$T:$T,$A14,Report!$C:$C,"&gt;="&amp;DATE(2026,8,1),Report!$C:$C,"&lt;="&amp;DATE(2026,8,31))</f>
        <v/>
      </c>
      <c r="K14" s="77">
        <f>SUMIFS(Report!$U:$U,Report!$T:$T,$A14,Report!$C:$C,"&gt;="&amp;DATE(2026,9,1),Report!$C:$C,"&lt;="&amp;DATE(2026,9,30))</f>
        <v/>
      </c>
      <c r="L14" s="77">
        <f>SUMIFS(Report!$U:$U,Report!$T:$T,$A14,Report!$C:$C,"&gt;="&amp;DATE(2026,10,1),Report!$C:$C,"&lt;="&amp;DATE(2026,10,31))</f>
        <v/>
      </c>
      <c r="M14" s="77">
        <f>SUMIFS(Report!$U:$U,Report!$T:$T,$A14,Report!$C:$C,"&gt;="&amp;DATE(2026,11,1),Report!$C:$C,"&lt;="&amp;DATE(2026,11,30))</f>
        <v/>
      </c>
      <c r="N14" s="77">
        <f>SUMIFS(Report!$U:$U,Report!$T:$T,$A14,Report!$C:$C,"&gt;="&amp;DATE(2026,12,1),Report!$C:$C,"&lt;="&amp;DATE(2026,12,31))</f>
        <v/>
      </c>
      <c r="O14" s="77">
        <f>SUMIFS(Report!$U:$U,Report!$T:$T,$A14,Report!$C:$C,"&gt;="&amp;DATE(2027,1,1),Report!$C:$C,"&lt;="&amp;DATE(2027,1,31))</f>
        <v/>
      </c>
      <c r="P14" s="77">
        <f>SUMIFS(Report!$U:$U,Report!$T:$T,$A14,Report!$C:$C,"&gt;="&amp;DATE(2027,2,1),Report!$C:$C,"&lt;="&amp;DATE(2027,2,28))</f>
        <v/>
      </c>
      <c r="Q14" s="77">
        <f>SUMIFS(Report!$U:$U,Report!$T:$T,$A14,Report!$C:$C,"&gt;="&amp;DATE(2027,3,1),Report!$C:$C,"&lt;="&amp;DATE(2027,3,31))</f>
        <v/>
      </c>
      <c r="R14" s="77">
        <f>SUMIFS(Report!$U:$U,Report!$T:$T,$A14,Report!$C:$C,"&gt;="&amp;DATE(2027,4,1),Report!$C:$C,"&lt;="&amp;DATE(2027,4,30))</f>
        <v/>
      </c>
      <c r="S14" s="77">
        <f>SUMIFS(Report!$U:$U,Report!$T:$T,$A14,Report!$C:$C,"&gt;="&amp;DATE(2027,5,1),Report!$C:$C,"&lt;="&amp;DATE(2027,5,31))</f>
        <v/>
      </c>
      <c r="T14" s="77">
        <f>SUMIFS(Report!$U:$U,Report!$T:$T,$A14,Report!$C:$C,"&gt;="&amp;DATE(2027,6,1),Report!$C:$C,"&lt;="&amp;DATE(2027,6,30))</f>
        <v/>
      </c>
      <c r="U14" s="77">
        <f>SUMIFS(Report!$U:$U,Report!$T:$T,$A14,Report!$C:$C,"&gt;="&amp;DATE(2027,7,1),Report!$C:$C,"&lt;="&amp;DATE(2027,7,31))</f>
        <v/>
      </c>
      <c r="V14" s="77">
        <f>SUMIFS(Report!$U:$U,Report!$T:$T,$A14,Report!$C:$C,"&gt;="&amp;DATE(2027,8,1),Report!$C:$C,"&lt;="&amp;DATE(2027,8,31))</f>
        <v/>
      </c>
      <c r="W14" s="77">
        <f>SUMIFS(Report!$U:$U,Report!$T:$T,$A14,Report!$C:$C,"&gt;="&amp;DATE(2027,9,1),Report!$C:$C,"&lt;="&amp;DATE(2027,9,30))</f>
        <v/>
      </c>
      <c r="X14" s="77">
        <f>SUMIFS(Report!$U:$U,Report!$T:$T,$A14,Report!$C:$C,"&gt;="&amp;DATE(2027,10,1),Report!$C:$C,"&lt;="&amp;DATE(2027,10,31))</f>
        <v/>
      </c>
      <c r="Y14" s="77">
        <f>SUMIFS(Report!$U:$U,Report!$T:$T,$A14,Report!$C:$C,"&gt;="&amp;DATE(2027,11,1),Report!$C:$C,"&lt;="&amp;DATE(2027,11,30))</f>
        <v/>
      </c>
      <c r="Z14" s="77">
        <f>SUMIFS(Report!$U:$U,Report!$T:$T,$A14,Report!$C:$C,"&gt;="&amp;DATE(2027,12,1),Report!$C:$C,"&lt;="&amp;DATE(2027,12,31))</f>
        <v/>
      </c>
      <c r="AA14" s="77">
        <f>SUM(C14:Z14)</f>
        <v/>
      </c>
    </row>
    <row r="15" ht="12.75" customHeight="1" s="60">
      <c r="A15" s="59" t="inlineStr">
        <is>
          <t>DESPESAS BANCARIAS</t>
        </is>
      </c>
      <c r="B15" s="59">
        <f>IFERROR(INDEX('Resumo Grupos'!$AC$3:$AC$200,MATCH($A15,'Resumo Grupos'!$AB$3:$AB$200,0)),"n/d")</f>
        <v/>
      </c>
      <c r="C15" s="77">
        <f>SUMIFS(Report!$U:$U,Report!$T:$T,$A15,Report!$C:$C,"&gt;="&amp;DATE(2026,1,1),Report!$C:$C,"&lt;="&amp;DATE(2026,1,31))</f>
        <v/>
      </c>
      <c r="D15" s="77">
        <f>SUMIFS(Report!$U:$U,Report!$T:$T,$A15,Report!$C:$C,"&gt;="&amp;DATE(2026,2,1),Report!$C:$C,"&lt;="&amp;DATE(2026,2,28))</f>
        <v/>
      </c>
      <c r="E15" s="77">
        <f>SUMIFS(Report!$U:$U,Report!$T:$T,$A15,Report!$C:$C,"&gt;="&amp;DATE(2026,3,1),Report!$C:$C,"&lt;="&amp;DATE(2026,3,31))</f>
        <v/>
      </c>
      <c r="F15" s="77">
        <f>SUMIFS(Report!$U:$U,Report!$T:$T,$A15,Report!$C:$C,"&gt;="&amp;DATE(2026,4,1),Report!$C:$C,"&lt;="&amp;DATE(2026,4,30))</f>
        <v/>
      </c>
      <c r="G15" s="77">
        <f>SUMIFS(Report!$U:$U,Report!$T:$T,$A15,Report!$C:$C,"&gt;="&amp;DATE(2026,5,1),Report!$C:$C,"&lt;="&amp;DATE(2026,5,31))</f>
        <v/>
      </c>
      <c r="H15" s="77">
        <f>SUMIFS(Report!$U:$U,Report!$T:$T,$A15,Report!$C:$C,"&gt;="&amp;DATE(2026,6,1),Report!$C:$C,"&lt;="&amp;DATE(2026,6,30))</f>
        <v/>
      </c>
      <c r="I15" s="77">
        <f>SUMIFS(Report!$U:$U,Report!$T:$T,$A15,Report!$C:$C,"&gt;="&amp;DATE(2026,7,1),Report!$C:$C,"&lt;="&amp;DATE(2026,7,31))</f>
        <v/>
      </c>
      <c r="J15" s="77">
        <f>SUMIFS(Report!$U:$U,Report!$T:$T,$A15,Report!$C:$C,"&gt;="&amp;DATE(2026,8,1),Report!$C:$C,"&lt;="&amp;DATE(2026,8,31))</f>
        <v/>
      </c>
      <c r="K15" s="77">
        <f>SUMIFS(Report!$U:$U,Report!$T:$T,$A15,Report!$C:$C,"&gt;="&amp;DATE(2026,9,1),Report!$C:$C,"&lt;="&amp;DATE(2026,9,30))</f>
        <v/>
      </c>
      <c r="L15" s="77">
        <f>SUMIFS(Report!$U:$U,Report!$T:$T,$A15,Report!$C:$C,"&gt;="&amp;DATE(2026,10,1),Report!$C:$C,"&lt;="&amp;DATE(2026,10,31))</f>
        <v/>
      </c>
      <c r="M15" s="77">
        <f>SUMIFS(Report!$U:$U,Report!$T:$T,$A15,Report!$C:$C,"&gt;="&amp;DATE(2026,11,1),Report!$C:$C,"&lt;="&amp;DATE(2026,11,30))</f>
        <v/>
      </c>
      <c r="N15" s="77">
        <f>SUMIFS(Report!$U:$U,Report!$T:$T,$A15,Report!$C:$C,"&gt;="&amp;DATE(2026,12,1),Report!$C:$C,"&lt;="&amp;DATE(2026,12,31))</f>
        <v/>
      </c>
      <c r="O15" s="77">
        <f>SUMIFS(Report!$U:$U,Report!$T:$T,$A15,Report!$C:$C,"&gt;="&amp;DATE(2027,1,1),Report!$C:$C,"&lt;="&amp;DATE(2027,1,31))</f>
        <v/>
      </c>
      <c r="P15" s="77">
        <f>SUMIFS(Report!$U:$U,Report!$T:$T,$A15,Report!$C:$C,"&gt;="&amp;DATE(2027,2,1),Report!$C:$C,"&lt;="&amp;DATE(2027,2,28))</f>
        <v/>
      </c>
      <c r="Q15" s="77">
        <f>SUMIFS(Report!$U:$U,Report!$T:$T,$A15,Report!$C:$C,"&gt;="&amp;DATE(2027,3,1),Report!$C:$C,"&lt;="&amp;DATE(2027,3,31))</f>
        <v/>
      </c>
      <c r="R15" s="77">
        <f>SUMIFS(Report!$U:$U,Report!$T:$T,$A15,Report!$C:$C,"&gt;="&amp;DATE(2027,4,1),Report!$C:$C,"&lt;="&amp;DATE(2027,4,30))</f>
        <v/>
      </c>
      <c r="S15" s="77">
        <f>SUMIFS(Report!$U:$U,Report!$T:$T,$A15,Report!$C:$C,"&gt;="&amp;DATE(2027,5,1),Report!$C:$C,"&lt;="&amp;DATE(2027,5,31))</f>
        <v/>
      </c>
      <c r="T15" s="77">
        <f>SUMIFS(Report!$U:$U,Report!$T:$T,$A15,Report!$C:$C,"&gt;="&amp;DATE(2027,6,1),Report!$C:$C,"&lt;="&amp;DATE(2027,6,30))</f>
        <v/>
      </c>
      <c r="U15" s="77">
        <f>SUMIFS(Report!$U:$U,Report!$T:$T,$A15,Report!$C:$C,"&gt;="&amp;DATE(2027,7,1),Report!$C:$C,"&lt;="&amp;DATE(2027,7,31))</f>
        <v/>
      </c>
      <c r="V15" s="77">
        <f>SUMIFS(Report!$U:$U,Report!$T:$T,$A15,Report!$C:$C,"&gt;="&amp;DATE(2027,8,1),Report!$C:$C,"&lt;="&amp;DATE(2027,8,31))</f>
        <v/>
      </c>
      <c r="W15" s="77">
        <f>SUMIFS(Report!$U:$U,Report!$T:$T,$A15,Report!$C:$C,"&gt;="&amp;DATE(2027,9,1),Report!$C:$C,"&lt;="&amp;DATE(2027,9,30))</f>
        <v/>
      </c>
      <c r="X15" s="77">
        <f>SUMIFS(Report!$U:$U,Report!$T:$T,$A15,Report!$C:$C,"&gt;="&amp;DATE(2027,10,1),Report!$C:$C,"&lt;="&amp;DATE(2027,10,31))</f>
        <v/>
      </c>
      <c r="Y15" s="77">
        <f>SUMIFS(Report!$U:$U,Report!$T:$T,$A15,Report!$C:$C,"&gt;="&amp;DATE(2027,11,1),Report!$C:$C,"&lt;="&amp;DATE(2027,11,30))</f>
        <v/>
      </c>
      <c r="Z15" s="77">
        <f>SUMIFS(Report!$U:$U,Report!$T:$T,$A15,Report!$C:$C,"&gt;="&amp;DATE(2027,12,1),Report!$C:$C,"&lt;="&amp;DATE(2027,12,31))</f>
        <v/>
      </c>
      <c r="AA15" s="77">
        <f>SUM(C15:Z15)</f>
        <v/>
      </c>
    </row>
    <row r="16" ht="12.75" customHeight="1" s="60">
      <c r="A16" s="59" t="inlineStr">
        <is>
          <t>DESPESAS ESCRITORIO</t>
        </is>
      </c>
      <c r="B16" s="59">
        <f>IFERROR(INDEX('Resumo Grupos'!$AC$3:$AC$200,MATCH($A16,'Resumo Grupos'!$AB$3:$AB$200,0)),"n/d")</f>
        <v/>
      </c>
      <c r="C16" s="77">
        <f>SUMIFS(Report!$U:$U,Report!$T:$T,$A16,Report!$C:$C,"&gt;="&amp;DATE(2026,1,1),Report!$C:$C,"&lt;="&amp;DATE(2026,1,31))</f>
        <v/>
      </c>
      <c r="D16" s="77">
        <f>SUMIFS(Report!$U:$U,Report!$T:$T,$A16,Report!$C:$C,"&gt;="&amp;DATE(2026,2,1),Report!$C:$C,"&lt;="&amp;DATE(2026,2,28))</f>
        <v/>
      </c>
      <c r="E16" s="77">
        <f>SUMIFS(Report!$U:$U,Report!$T:$T,$A16,Report!$C:$C,"&gt;="&amp;DATE(2026,3,1),Report!$C:$C,"&lt;="&amp;DATE(2026,3,31))</f>
        <v/>
      </c>
      <c r="F16" s="77">
        <f>SUMIFS(Report!$U:$U,Report!$T:$T,$A16,Report!$C:$C,"&gt;="&amp;DATE(2026,4,1),Report!$C:$C,"&lt;="&amp;DATE(2026,4,30))</f>
        <v/>
      </c>
      <c r="G16" s="77">
        <f>SUMIFS(Report!$U:$U,Report!$T:$T,$A16,Report!$C:$C,"&gt;="&amp;DATE(2026,5,1),Report!$C:$C,"&lt;="&amp;DATE(2026,5,31))</f>
        <v/>
      </c>
      <c r="H16" s="77">
        <f>SUMIFS(Report!$U:$U,Report!$T:$T,$A16,Report!$C:$C,"&gt;="&amp;DATE(2026,6,1),Report!$C:$C,"&lt;="&amp;DATE(2026,6,30))</f>
        <v/>
      </c>
      <c r="I16" s="77">
        <f>SUMIFS(Report!$U:$U,Report!$T:$T,$A16,Report!$C:$C,"&gt;="&amp;DATE(2026,7,1),Report!$C:$C,"&lt;="&amp;DATE(2026,7,31))</f>
        <v/>
      </c>
      <c r="J16" s="77">
        <f>SUMIFS(Report!$U:$U,Report!$T:$T,$A16,Report!$C:$C,"&gt;="&amp;DATE(2026,8,1),Report!$C:$C,"&lt;="&amp;DATE(2026,8,31))</f>
        <v/>
      </c>
      <c r="K16" s="77">
        <f>SUMIFS(Report!$U:$U,Report!$T:$T,$A16,Report!$C:$C,"&gt;="&amp;DATE(2026,9,1),Report!$C:$C,"&lt;="&amp;DATE(2026,9,30))</f>
        <v/>
      </c>
      <c r="L16" s="77">
        <f>SUMIFS(Report!$U:$U,Report!$T:$T,$A16,Report!$C:$C,"&gt;="&amp;DATE(2026,10,1),Report!$C:$C,"&lt;="&amp;DATE(2026,10,31))</f>
        <v/>
      </c>
      <c r="M16" s="77">
        <f>SUMIFS(Report!$U:$U,Report!$T:$T,$A16,Report!$C:$C,"&gt;="&amp;DATE(2026,11,1),Report!$C:$C,"&lt;="&amp;DATE(2026,11,30))</f>
        <v/>
      </c>
      <c r="N16" s="77">
        <f>SUMIFS(Report!$U:$U,Report!$T:$T,$A16,Report!$C:$C,"&gt;="&amp;DATE(2026,12,1),Report!$C:$C,"&lt;="&amp;DATE(2026,12,31))</f>
        <v/>
      </c>
      <c r="O16" s="77">
        <f>SUMIFS(Report!$U:$U,Report!$T:$T,$A16,Report!$C:$C,"&gt;="&amp;DATE(2027,1,1),Report!$C:$C,"&lt;="&amp;DATE(2027,1,31))</f>
        <v/>
      </c>
      <c r="P16" s="77">
        <f>SUMIFS(Report!$U:$U,Report!$T:$T,$A16,Report!$C:$C,"&gt;="&amp;DATE(2027,2,1),Report!$C:$C,"&lt;="&amp;DATE(2027,2,28))</f>
        <v/>
      </c>
      <c r="Q16" s="77">
        <f>SUMIFS(Report!$U:$U,Report!$T:$T,$A16,Report!$C:$C,"&gt;="&amp;DATE(2027,3,1),Report!$C:$C,"&lt;="&amp;DATE(2027,3,31))</f>
        <v/>
      </c>
      <c r="R16" s="77">
        <f>SUMIFS(Report!$U:$U,Report!$T:$T,$A16,Report!$C:$C,"&gt;="&amp;DATE(2027,4,1),Report!$C:$C,"&lt;="&amp;DATE(2027,4,30))</f>
        <v/>
      </c>
      <c r="S16" s="77">
        <f>SUMIFS(Report!$U:$U,Report!$T:$T,$A16,Report!$C:$C,"&gt;="&amp;DATE(2027,5,1),Report!$C:$C,"&lt;="&amp;DATE(2027,5,31))</f>
        <v/>
      </c>
      <c r="T16" s="77">
        <f>SUMIFS(Report!$U:$U,Report!$T:$T,$A16,Report!$C:$C,"&gt;="&amp;DATE(2027,6,1),Report!$C:$C,"&lt;="&amp;DATE(2027,6,30))</f>
        <v/>
      </c>
      <c r="U16" s="77">
        <f>SUMIFS(Report!$U:$U,Report!$T:$T,$A16,Report!$C:$C,"&gt;="&amp;DATE(2027,7,1),Report!$C:$C,"&lt;="&amp;DATE(2027,7,31))</f>
        <v/>
      </c>
      <c r="V16" s="77">
        <f>SUMIFS(Report!$U:$U,Report!$T:$T,$A16,Report!$C:$C,"&gt;="&amp;DATE(2027,8,1),Report!$C:$C,"&lt;="&amp;DATE(2027,8,31))</f>
        <v/>
      </c>
      <c r="W16" s="77">
        <f>SUMIFS(Report!$U:$U,Report!$T:$T,$A16,Report!$C:$C,"&gt;="&amp;DATE(2027,9,1),Report!$C:$C,"&lt;="&amp;DATE(2027,9,30))</f>
        <v/>
      </c>
      <c r="X16" s="77">
        <f>SUMIFS(Report!$U:$U,Report!$T:$T,$A16,Report!$C:$C,"&gt;="&amp;DATE(2027,10,1),Report!$C:$C,"&lt;="&amp;DATE(2027,10,31))</f>
        <v/>
      </c>
      <c r="Y16" s="77">
        <f>SUMIFS(Report!$U:$U,Report!$T:$T,$A16,Report!$C:$C,"&gt;="&amp;DATE(2027,11,1),Report!$C:$C,"&lt;="&amp;DATE(2027,11,30))</f>
        <v/>
      </c>
      <c r="Z16" s="77">
        <f>SUMIFS(Report!$U:$U,Report!$T:$T,$A16,Report!$C:$C,"&gt;="&amp;DATE(2027,12,1),Report!$C:$C,"&lt;="&amp;DATE(2027,12,31))</f>
        <v/>
      </c>
      <c r="AA16" s="77">
        <f>SUM(C16:Z16)</f>
        <v/>
      </c>
    </row>
    <row r="17" ht="12.75" customHeight="1" s="60">
      <c r="A17" s="59" t="inlineStr">
        <is>
          <t>DESPESAS LOJA</t>
        </is>
      </c>
      <c r="B17" s="59">
        <f>IFERROR(INDEX('Resumo Grupos'!$AC$3:$AC$200,MATCH($A17,'Resumo Grupos'!$AB$3:$AB$200,0)),"n/d")</f>
        <v/>
      </c>
      <c r="C17" s="77">
        <f>SUMIFS(Report!$U:$U,Report!$T:$T,$A17,Report!$C:$C,"&gt;="&amp;DATE(2026,1,1),Report!$C:$C,"&lt;="&amp;DATE(2026,1,31))</f>
        <v/>
      </c>
      <c r="D17" s="77">
        <f>SUMIFS(Report!$U:$U,Report!$T:$T,$A17,Report!$C:$C,"&gt;="&amp;DATE(2026,2,1),Report!$C:$C,"&lt;="&amp;DATE(2026,2,28))</f>
        <v/>
      </c>
      <c r="E17" s="77">
        <f>SUMIFS(Report!$U:$U,Report!$T:$T,$A17,Report!$C:$C,"&gt;="&amp;DATE(2026,3,1),Report!$C:$C,"&lt;="&amp;DATE(2026,3,31))</f>
        <v/>
      </c>
      <c r="F17" s="77">
        <f>SUMIFS(Report!$U:$U,Report!$T:$T,$A17,Report!$C:$C,"&gt;="&amp;DATE(2026,4,1),Report!$C:$C,"&lt;="&amp;DATE(2026,4,30))</f>
        <v/>
      </c>
      <c r="G17" s="77">
        <f>SUMIFS(Report!$U:$U,Report!$T:$T,$A17,Report!$C:$C,"&gt;="&amp;DATE(2026,5,1),Report!$C:$C,"&lt;="&amp;DATE(2026,5,31))</f>
        <v/>
      </c>
      <c r="H17" s="77">
        <f>SUMIFS(Report!$U:$U,Report!$T:$T,$A17,Report!$C:$C,"&gt;="&amp;DATE(2026,6,1),Report!$C:$C,"&lt;="&amp;DATE(2026,6,30))</f>
        <v/>
      </c>
      <c r="I17" s="77">
        <f>SUMIFS(Report!$U:$U,Report!$T:$T,$A17,Report!$C:$C,"&gt;="&amp;DATE(2026,7,1),Report!$C:$C,"&lt;="&amp;DATE(2026,7,31))</f>
        <v/>
      </c>
      <c r="J17" s="77">
        <f>SUMIFS(Report!$U:$U,Report!$T:$T,$A17,Report!$C:$C,"&gt;="&amp;DATE(2026,8,1),Report!$C:$C,"&lt;="&amp;DATE(2026,8,31))</f>
        <v/>
      </c>
      <c r="K17" s="77">
        <f>SUMIFS(Report!$U:$U,Report!$T:$T,$A17,Report!$C:$C,"&gt;="&amp;DATE(2026,9,1),Report!$C:$C,"&lt;="&amp;DATE(2026,9,30))</f>
        <v/>
      </c>
      <c r="L17" s="77">
        <f>SUMIFS(Report!$U:$U,Report!$T:$T,$A17,Report!$C:$C,"&gt;="&amp;DATE(2026,10,1),Report!$C:$C,"&lt;="&amp;DATE(2026,10,31))</f>
        <v/>
      </c>
      <c r="M17" s="77">
        <f>SUMIFS(Report!$U:$U,Report!$T:$T,$A17,Report!$C:$C,"&gt;="&amp;DATE(2026,11,1),Report!$C:$C,"&lt;="&amp;DATE(2026,11,30))</f>
        <v/>
      </c>
      <c r="N17" s="77">
        <f>SUMIFS(Report!$U:$U,Report!$T:$T,$A17,Report!$C:$C,"&gt;="&amp;DATE(2026,12,1),Report!$C:$C,"&lt;="&amp;DATE(2026,12,31))</f>
        <v/>
      </c>
      <c r="O17" s="77">
        <f>SUMIFS(Report!$U:$U,Report!$T:$T,$A17,Report!$C:$C,"&gt;="&amp;DATE(2027,1,1),Report!$C:$C,"&lt;="&amp;DATE(2027,1,31))</f>
        <v/>
      </c>
      <c r="P17" s="77">
        <f>SUMIFS(Report!$U:$U,Report!$T:$T,$A17,Report!$C:$C,"&gt;="&amp;DATE(2027,2,1),Report!$C:$C,"&lt;="&amp;DATE(2027,2,28))</f>
        <v/>
      </c>
      <c r="Q17" s="77">
        <f>SUMIFS(Report!$U:$U,Report!$T:$T,$A17,Report!$C:$C,"&gt;="&amp;DATE(2027,3,1),Report!$C:$C,"&lt;="&amp;DATE(2027,3,31))</f>
        <v/>
      </c>
      <c r="R17" s="77">
        <f>SUMIFS(Report!$U:$U,Report!$T:$T,$A17,Report!$C:$C,"&gt;="&amp;DATE(2027,4,1),Report!$C:$C,"&lt;="&amp;DATE(2027,4,30))</f>
        <v/>
      </c>
      <c r="S17" s="77">
        <f>SUMIFS(Report!$U:$U,Report!$T:$T,$A17,Report!$C:$C,"&gt;="&amp;DATE(2027,5,1),Report!$C:$C,"&lt;="&amp;DATE(2027,5,31))</f>
        <v/>
      </c>
      <c r="T17" s="77">
        <f>SUMIFS(Report!$U:$U,Report!$T:$T,$A17,Report!$C:$C,"&gt;="&amp;DATE(2027,6,1),Report!$C:$C,"&lt;="&amp;DATE(2027,6,30))</f>
        <v/>
      </c>
      <c r="U17" s="77">
        <f>SUMIFS(Report!$U:$U,Report!$T:$T,$A17,Report!$C:$C,"&gt;="&amp;DATE(2027,7,1),Report!$C:$C,"&lt;="&amp;DATE(2027,7,31))</f>
        <v/>
      </c>
      <c r="V17" s="77">
        <f>SUMIFS(Report!$U:$U,Report!$T:$T,$A17,Report!$C:$C,"&gt;="&amp;DATE(2027,8,1),Report!$C:$C,"&lt;="&amp;DATE(2027,8,31))</f>
        <v/>
      </c>
      <c r="W17" s="77">
        <f>SUMIFS(Report!$U:$U,Report!$T:$T,$A17,Report!$C:$C,"&gt;="&amp;DATE(2027,9,1),Report!$C:$C,"&lt;="&amp;DATE(2027,9,30))</f>
        <v/>
      </c>
      <c r="X17" s="77">
        <f>SUMIFS(Report!$U:$U,Report!$T:$T,$A17,Report!$C:$C,"&gt;="&amp;DATE(2027,10,1),Report!$C:$C,"&lt;="&amp;DATE(2027,10,31))</f>
        <v/>
      </c>
      <c r="Y17" s="77">
        <f>SUMIFS(Report!$U:$U,Report!$T:$T,$A17,Report!$C:$C,"&gt;="&amp;DATE(2027,11,1),Report!$C:$C,"&lt;="&amp;DATE(2027,11,30))</f>
        <v/>
      </c>
      <c r="Z17" s="77">
        <f>SUMIFS(Report!$U:$U,Report!$T:$T,$A17,Report!$C:$C,"&gt;="&amp;DATE(2027,12,1),Report!$C:$C,"&lt;="&amp;DATE(2027,12,31))</f>
        <v/>
      </c>
      <c r="AA17" s="77">
        <f>SUM(C17:Z17)</f>
        <v/>
      </c>
    </row>
    <row r="18" ht="12.75" customHeight="1" s="60">
      <c r="A18" s="59" t="inlineStr">
        <is>
          <t>DESPESAS PADARIA</t>
        </is>
      </c>
      <c r="B18" s="59">
        <f>IFERROR(INDEX('Resumo Grupos'!$AC$3:$AC$200,MATCH($A18,'Resumo Grupos'!$AB$3:$AB$200,0)),"n/d")</f>
        <v/>
      </c>
      <c r="C18" s="77">
        <f>SUMIFS(Report!$U:$U,Report!$T:$T,$A18,Report!$C:$C,"&gt;="&amp;DATE(2026,1,1),Report!$C:$C,"&lt;="&amp;DATE(2026,1,31))</f>
        <v/>
      </c>
      <c r="D18" s="77">
        <f>SUMIFS(Report!$U:$U,Report!$T:$T,$A18,Report!$C:$C,"&gt;="&amp;DATE(2026,2,1),Report!$C:$C,"&lt;="&amp;DATE(2026,2,28))</f>
        <v/>
      </c>
      <c r="E18" s="77">
        <f>SUMIFS(Report!$U:$U,Report!$T:$T,$A18,Report!$C:$C,"&gt;="&amp;DATE(2026,3,1),Report!$C:$C,"&lt;="&amp;DATE(2026,3,31))</f>
        <v/>
      </c>
      <c r="F18" s="77">
        <f>SUMIFS(Report!$U:$U,Report!$T:$T,$A18,Report!$C:$C,"&gt;="&amp;DATE(2026,4,1),Report!$C:$C,"&lt;="&amp;DATE(2026,4,30))</f>
        <v/>
      </c>
      <c r="G18" s="77">
        <f>SUMIFS(Report!$U:$U,Report!$T:$T,$A18,Report!$C:$C,"&gt;="&amp;DATE(2026,5,1),Report!$C:$C,"&lt;="&amp;DATE(2026,5,31))</f>
        <v/>
      </c>
      <c r="H18" s="77">
        <f>SUMIFS(Report!$U:$U,Report!$T:$T,$A18,Report!$C:$C,"&gt;="&amp;DATE(2026,6,1),Report!$C:$C,"&lt;="&amp;DATE(2026,6,30))</f>
        <v/>
      </c>
      <c r="I18" s="77">
        <f>SUMIFS(Report!$U:$U,Report!$T:$T,$A18,Report!$C:$C,"&gt;="&amp;DATE(2026,7,1),Report!$C:$C,"&lt;="&amp;DATE(2026,7,31))</f>
        <v/>
      </c>
      <c r="J18" s="77">
        <f>SUMIFS(Report!$U:$U,Report!$T:$T,$A18,Report!$C:$C,"&gt;="&amp;DATE(2026,8,1),Report!$C:$C,"&lt;="&amp;DATE(2026,8,31))</f>
        <v/>
      </c>
      <c r="K18" s="77">
        <f>SUMIFS(Report!$U:$U,Report!$T:$T,$A18,Report!$C:$C,"&gt;="&amp;DATE(2026,9,1),Report!$C:$C,"&lt;="&amp;DATE(2026,9,30))</f>
        <v/>
      </c>
      <c r="L18" s="77">
        <f>SUMIFS(Report!$U:$U,Report!$T:$T,$A18,Report!$C:$C,"&gt;="&amp;DATE(2026,10,1),Report!$C:$C,"&lt;="&amp;DATE(2026,10,31))</f>
        <v/>
      </c>
      <c r="M18" s="77">
        <f>SUMIFS(Report!$U:$U,Report!$T:$T,$A18,Report!$C:$C,"&gt;="&amp;DATE(2026,11,1),Report!$C:$C,"&lt;="&amp;DATE(2026,11,30))</f>
        <v/>
      </c>
      <c r="N18" s="77">
        <f>SUMIFS(Report!$U:$U,Report!$T:$T,$A18,Report!$C:$C,"&gt;="&amp;DATE(2026,12,1),Report!$C:$C,"&lt;="&amp;DATE(2026,12,31))</f>
        <v/>
      </c>
      <c r="O18" s="77">
        <f>SUMIFS(Report!$U:$U,Report!$T:$T,$A18,Report!$C:$C,"&gt;="&amp;DATE(2027,1,1),Report!$C:$C,"&lt;="&amp;DATE(2027,1,31))</f>
        <v/>
      </c>
      <c r="P18" s="77">
        <f>SUMIFS(Report!$U:$U,Report!$T:$T,$A18,Report!$C:$C,"&gt;="&amp;DATE(2027,2,1),Report!$C:$C,"&lt;="&amp;DATE(2027,2,28))</f>
        <v/>
      </c>
      <c r="Q18" s="77">
        <f>SUMIFS(Report!$U:$U,Report!$T:$T,$A18,Report!$C:$C,"&gt;="&amp;DATE(2027,3,1),Report!$C:$C,"&lt;="&amp;DATE(2027,3,31))</f>
        <v/>
      </c>
      <c r="R18" s="77">
        <f>SUMIFS(Report!$U:$U,Report!$T:$T,$A18,Report!$C:$C,"&gt;="&amp;DATE(2027,4,1),Report!$C:$C,"&lt;="&amp;DATE(2027,4,30))</f>
        <v/>
      </c>
      <c r="S18" s="77">
        <f>SUMIFS(Report!$U:$U,Report!$T:$T,$A18,Report!$C:$C,"&gt;="&amp;DATE(2027,5,1),Report!$C:$C,"&lt;="&amp;DATE(2027,5,31))</f>
        <v/>
      </c>
      <c r="T18" s="77">
        <f>SUMIFS(Report!$U:$U,Report!$T:$T,$A18,Report!$C:$C,"&gt;="&amp;DATE(2027,6,1),Report!$C:$C,"&lt;="&amp;DATE(2027,6,30))</f>
        <v/>
      </c>
      <c r="U18" s="77">
        <f>SUMIFS(Report!$U:$U,Report!$T:$T,$A18,Report!$C:$C,"&gt;="&amp;DATE(2027,7,1),Report!$C:$C,"&lt;="&amp;DATE(2027,7,31))</f>
        <v/>
      </c>
      <c r="V18" s="77">
        <f>SUMIFS(Report!$U:$U,Report!$T:$T,$A18,Report!$C:$C,"&gt;="&amp;DATE(2027,8,1),Report!$C:$C,"&lt;="&amp;DATE(2027,8,31))</f>
        <v/>
      </c>
      <c r="W18" s="77">
        <f>SUMIFS(Report!$U:$U,Report!$T:$T,$A18,Report!$C:$C,"&gt;="&amp;DATE(2027,9,1),Report!$C:$C,"&lt;="&amp;DATE(2027,9,30))</f>
        <v/>
      </c>
      <c r="X18" s="77">
        <f>SUMIFS(Report!$U:$U,Report!$T:$T,$A18,Report!$C:$C,"&gt;="&amp;DATE(2027,10,1),Report!$C:$C,"&lt;="&amp;DATE(2027,10,31))</f>
        <v/>
      </c>
      <c r="Y18" s="77">
        <f>SUMIFS(Report!$U:$U,Report!$T:$T,$A18,Report!$C:$C,"&gt;="&amp;DATE(2027,11,1),Report!$C:$C,"&lt;="&amp;DATE(2027,11,30))</f>
        <v/>
      </c>
      <c r="Z18" s="77">
        <f>SUMIFS(Report!$U:$U,Report!$T:$T,$A18,Report!$C:$C,"&gt;="&amp;DATE(2027,12,1),Report!$C:$C,"&lt;="&amp;DATE(2027,12,31))</f>
        <v/>
      </c>
      <c r="AA18" s="77">
        <f>SUM(C18:Z18)</f>
        <v/>
      </c>
    </row>
    <row r="19" ht="12.75" customHeight="1" s="60">
      <c r="A19" s="59" t="inlineStr">
        <is>
          <t>EMPRESTIMOS BANCARIOS A PAGAR</t>
        </is>
      </c>
      <c r="B19" s="59">
        <f>IFERROR(INDEX('Resumo Grupos'!$AC$3:$AC$200,MATCH($A19,'Resumo Grupos'!$AB$3:$AB$200,0)),"n/d")</f>
        <v/>
      </c>
      <c r="C19" s="77">
        <f>SUMIFS(Report!$U:$U,Report!$T:$T,$A19,Report!$C:$C,"&gt;="&amp;DATE(2026,1,1),Report!$C:$C,"&lt;="&amp;DATE(2026,1,31))</f>
        <v/>
      </c>
      <c r="D19" s="77">
        <f>SUMIFS(Report!$U:$U,Report!$T:$T,$A19,Report!$C:$C,"&gt;="&amp;DATE(2026,2,1),Report!$C:$C,"&lt;="&amp;DATE(2026,2,28))</f>
        <v/>
      </c>
      <c r="E19" s="77">
        <f>SUMIFS(Report!$U:$U,Report!$T:$T,$A19,Report!$C:$C,"&gt;="&amp;DATE(2026,3,1),Report!$C:$C,"&lt;="&amp;DATE(2026,3,31))</f>
        <v/>
      </c>
      <c r="F19" s="77">
        <f>SUMIFS(Report!$U:$U,Report!$T:$T,$A19,Report!$C:$C,"&gt;="&amp;DATE(2026,4,1),Report!$C:$C,"&lt;="&amp;DATE(2026,4,30))</f>
        <v/>
      </c>
      <c r="G19" s="77">
        <f>SUMIFS(Report!$U:$U,Report!$T:$T,$A19,Report!$C:$C,"&gt;="&amp;DATE(2026,5,1),Report!$C:$C,"&lt;="&amp;DATE(2026,5,31))</f>
        <v/>
      </c>
      <c r="H19" s="77">
        <f>SUMIFS(Report!$U:$U,Report!$T:$T,$A19,Report!$C:$C,"&gt;="&amp;DATE(2026,6,1),Report!$C:$C,"&lt;="&amp;DATE(2026,6,30))</f>
        <v/>
      </c>
      <c r="I19" s="77">
        <f>SUMIFS(Report!$U:$U,Report!$T:$T,$A19,Report!$C:$C,"&gt;="&amp;DATE(2026,7,1),Report!$C:$C,"&lt;="&amp;DATE(2026,7,31))</f>
        <v/>
      </c>
      <c r="J19" s="77">
        <f>SUMIFS(Report!$U:$U,Report!$T:$T,$A19,Report!$C:$C,"&gt;="&amp;DATE(2026,8,1),Report!$C:$C,"&lt;="&amp;DATE(2026,8,31))</f>
        <v/>
      </c>
      <c r="K19" s="77">
        <f>SUMIFS(Report!$U:$U,Report!$T:$T,$A19,Report!$C:$C,"&gt;="&amp;DATE(2026,9,1),Report!$C:$C,"&lt;="&amp;DATE(2026,9,30))</f>
        <v/>
      </c>
      <c r="L19" s="77">
        <f>SUMIFS(Report!$U:$U,Report!$T:$T,$A19,Report!$C:$C,"&gt;="&amp;DATE(2026,10,1),Report!$C:$C,"&lt;="&amp;DATE(2026,10,31))</f>
        <v/>
      </c>
      <c r="M19" s="77">
        <f>SUMIFS(Report!$U:$U,Report!$T:$T,$A19,Report!$C:$C,"&gt;="&amp;DATE(2026,11,1),Report!$C:$C,"&lt;="&amp;DATE(2026,11,30))</f>
        <v/>
      </c>
      <c r="N19" s="77">
        <f>SUMIFS(Report!$U:$U,Report!$T:$T,$A19,Report!$C:$C,"&gt;="&amp;DATE(2026,12,1),Report!$C:$C,"&lt;="&amp;DATE(2026,12,31))</f>
        <v/>
      </c>
      <c r="O19" s="77">
        <f>SUMIFS(Report!$U:$U,Report!$T:$T,$A19,Report!$C:$C,"&gt;="&amp;DATE(2027,1,1),Report!$C:$C,"&lt;="&amp;DATE(2027,1,31))</f>
        <v/>
      </c>
      <c r="P19" s="77">
        <f>SUMIFS(Report!$U:$U,Report!$T:$T,$A19,Report!$C:$C,"&gt;="&amp;DATE(2027,2,1),Report!$C:$C,"&lt;="&amp;DATE(2027,2,28))</f>
        <v/>
      </c>
      <c r="Q19" s="77">
        <f>SUMIFS(Report!$U:$U,Report!$T:$T,$A19,Report!$C:$C,"&gt;="&amp;DATE(2027,3,1),Report!$C:$C,"&lt;="&amp;DATE(2027,3,31))</f>
        <v/>
      </c>
      <c r="R19" s="77">
        <f>SUMIFS(Report!$U:$U,Report!$T:$T,$A19,Report!$C:$C,"&gt;="&amp;DATE(2027,4,1),Report!$C:$C,"&lt;="&amp;DATE(2027,4,30))</f>
        <v/>
      </c>
      <c r="S19" s="77">
        <f>SUMIFS(Report!$U:$U,Report!$T:$T,$A19,Report!$C:$C,"&gt;="&amp;DATE(2027,5,1),Report!$C:$C,"&lt;="&amp;DATE(2027,5,31))</f>
        <v/>
      </c>
      <c r="T19" s="77">
        <f>SUMIFS(Report!$U:$U,Report!$T:$T,$A19,Report!$C:$C,"&gt;="&amp;DATE(2027,6,1),Report!$C:$C,"&lt;="&amp;DATE(2027,6,30))</f>
        <v/>
      </c>
      <c r="U19" s="77">
        <f>SUMIFS(Report!$U:$U,Report!$T:$T,$A19,Report!$C:$C,"&gt;="&amp;DATE(2027,7,1),Report!$C:$C,"&lt;="&amp;DATE(2027,7,31))</f>
        <v/>
      </c>
      <c r="V19" s="77">
        <f>SUMIFS(Report!$U:$U,Report!$T:$T,$A19,Report!$C:$C,"&gt;="&amp;DATE(2027,8,1),Report!$C:$C,"&lt;="&amp;DATE(2027,8,31))</f>
        <v/>
      </c>
      <c r="W19" s="77">
        <f>SUMIFS(Report!$U:$U,Report!$T:$T,$A19,Report!$C:$C,"&gt;="&amp;DATE(2027,9,1),Report!$C:$C,"&lt;="&amp;DATE(2027,9,30))</f>
        <v/>
      </c>
      <c r="X19" s="77">
        <f>SUMIFS(Report!$U:$U,Report!$T:$T,$A19,Report!$C:$C,"&gt;="&amp;DATE(2027,10,1),Report!$C:$C,"&lt;="&amp;DATE(2027,10,31))</f>
        <v/>
      </c>
      <c r="Y19" s="77">
        <f>SUMIFS(Report!$U:$U,Report!$T:$T,$A19,Report!$C:$C,"&gt;="&amp;DATE(2027,11,1),Report!$C:$C,"&lt;="&amp;DATE(2027,11,30))</f>
        <v/>
      </c>
      <c r="Z19" s="77">
        <f>SUMIFS(Report!$U:$U,Report!$T:$T,$A19,Report!$C:$C,"&gt;="&amp;DATE(2027,12,1),Report!$C:$C,"&lt;="&amp;DATE(2027,12,31))</f>
        <v/>
      </c>
      <c r="AA19" s="77">
        <f>SUM(C19:Z19)</f>
        <v/>
      </c>
    </row>
    <row r="20" ht="12.75" customHeight="1" s="60">
      <c r="A20" s="59" t="inlineStr">
        <is>
          <t>EMPRESTIMOS TERCEIROS</t>
        </is>
      </c>
      <c r="B20" s="59">
        <f>IFERROR(INDEX('Resumo Grupos'!$AC$3:$AC$200,MATCH($A20,'Resumo Grupos'!$AB$3:$AB$200,0)),"n/d")</f>
        <v/>
      </c>
      <c r="C20" s="77">
        <f>SUMIFS(Report!$U:$U,Report!$T:$T,$A20,Report!$C:$C,"&gt;="&amp;DATE(2026,1,1),Report!$C:$C,"&lt;="&amp;DATE(2026,1,31))</f>
        <v/>
      </c>
      <c r="D20" s="77">
        <f>SUMIFS(Report!$U:$U,Report!$T:$T,$A20,Report!$C:$C,"&gt;="&amp;DATE(2026,2,1),Report!$C:$C,"&lt;="&amp;DATE(2026,2,28))</f>
        <v/>
      </c>
      <c r="E20" s="77">
        <f>SUMIFS(Report!$U:$U,Report!$T:$T,$A20,Report!$C:$C,"&gt;="&amp;DATE(2026,3,1),Report!$C:$C,"&lt;="&amp;DATE(2026,3,31))</f>
        <v/>
      </c>
      <c r="F20" s="77">
        <f>SUMIFS(Report!$U:$U,Report!$T:$T,$A20,Report!$C:$C,"&gt;="&amp;DATE(2026,4,1),Report!$C:$C,"&lt;="&amp;DATE(2026,4,30))</f>
        <v/>
      </c>
      <c r="G20" s="77">
        <f>SUMIFS(Report!$U:$U,Report!$T:$T,$A20,Report!$C:$C,"&gt;="&amp;DATE(2026,5,1),Report!$C:$C,"&lt;="&amp;DATE(2026,5,31))</f>
        <v/>
      </c>
      <c r="H20" s="77">
        <f>SUMIFS(Report!$U:$U,Report!$T:$T,$A20,Report!$C:$C,"&gt;="&amp;DATE(2026,6,1),Report!$C:$C,"&lt;="&amp;DATE(2026,6,30))</f>
        <v/>
      </c>
      <c r="I20" s="77">
        <f>SUMIFS(Report!$U:$U,Report!$T:$T,$A20,Report!$C:$C,"&gt;="&amp;DATE(2026,7,1),Report!$C:$C,"&lt;="&amp;DATE(2026,7,31))</f>
        <v/>
      </c>
      <c r="J20" s="77">
        <f>SUMIFS(Report!$U:$U,Report!$T:$T,$A20,Report!$C:$C,"&gt;="&amp;DATE(2026,8,1),Report!$C:$C,"&lt;="&amp;DATE(2026,8,31))</f>
        <v/>
      </c>
      <c r="K20" s="77">
        <f>SUMIFS(Report!$U:$U,Report!$T:$T,$A20,Report!$C:$C,"&gt;="&amp;DATE(2026,9,1),Report!$C:$C,"&lt;="&amp;DATE(2026,9,30))</f>
        <v/>
      </c>
      <c r="L20" s="77">
        <f>SUMIFS(Report!$U:$U,Report!$T:$T,$A20,Report!$C:$C,"&gt;="&amp;DATE(2026,10,1),Report!$C:$C,"&lt;="&amp;DATE(2026,10,31))</f>
        <v/>
      </c>
      <c r="M20" s="77">
        <f>SUMIFS(Report!$U:$U,Report!$T:$T,$A20,Report!$C:$C,"&gt;="&amp;DATE(2026,11,1),Report!$C:$C,"&lt;="&amp;DATE(2026,11,30))</f>
        <v/>
      </c>
      <c r="N20" s="77">
        <f>SUMIFS(Report!$U:$U,Report!$T:$T,$A20,Report!$C:$C,"&gt;="&amp;DATE(2026,12,1),Report!$C:$C,"&lt;="&amp;DATE(2026,12,31))</f>
        <v/>
      </c>
      <c r="O20" s="77">
        <f>SUMIFS(Report!$U:$U,Report!$T:$T,$A20,Report!$C:$C,"&gt;="&amp;DATE(2027,1,1),Report!$C:$C,"&lt;="&amp;DATE(2027,1,31))</f>
        <v/>
      </c>
      <c r="P20" s="77">
        <f>SUMIFS(Report!$U:$U,Report!$T:$T,$A20,Report!$C:$C,"&gt;="&amp;DATE(2027,2,1),Report!$C:$C,"&lt;="&amp;DATE(2027,2,28))</f>
        <v/>
      </c>
      <c r="Q20" s="77">
        <f>SUMIFS(Report!$U:$U,Report!$T:$T,$A20,Report!$C:$C,"&gt;="&amp;DATE(2027,3,1),Report!$C:$C,"&lt;="&amp;DATE(2027,3,31))</f>
        <v/>
      </c>
      <c r="R20" s="77">
        <f>SUMIFS(Report!$U:$U,Report!$T:$T,$A20,Report!$C:$C,"&gt;="&amp;DATE(2027,4,1),Report!$C:$C,"&lt;="&amp;DATE(2027,4,30))</f>
        <v/>
      </c>
      <c r="S20" s="77">
        <f>SUMIFS(Report!$U:$U,Report!$T:$T,$A20,Report!$C:$C,"&gt;="&amp;DATE(2027,5,1),Report!$C:$C,"&lt;="&amp;DATE(2027,5,31))</f>
        <v/>
      </c>
      <c r="T20" s="77">
        <f>SUMIFS(Report!$U:$U,Report!$T:$T,$A20,Report!$C:$C,"&gt;="&amp;DATE(2027,6,1),Report!$C:$C,"&lt;="&amp;DATE(2027,6,30))</f>
        <v/>
      </c>
      <c r="U20" s="77">
        <f>SUMIFS(Report!$U:$U,Report!$T:$T,$A20,Report!$C:$C,"&gt;="&amp;DATE(2027,7,1),Report!$C:$C,"&lt;="&amp;DATE(2027,7,31))</f>
        <v/>
      </c>
      <c r="V20" s="77">
        <f>SUMIFS(Report!$U:$U,Report!$T:$T,$A20,Report!$C:$C,"&gt;="&amp;DATE(2027,8,1),Report!$C:$C,"&lt;="&amp;DATE(2027,8,31))</f>
        <v/>
      </c>
      <c r="W20" s="77">
        <f>SUMIFS(Report!$U:$U,Report!$T:$T,$A20,Report!$C:$C,"&gt;="&amp;DATE(2027,9,1),Report!$C:$C,"&lt;="&amp;DATE(2027,9,30))</f>
        <v/>
      </c>
      <c r="X20" s="77">
        <f>SUMIFS(Report!$U:$U,Report!$T:$T,$A20,Report!$C:$C,"&gt;="&amp;DATE(2027,10,1),Report!$C:$C,"&lt;="&amp;DATE(2027,10,31))</f>
        <v/>
      </c>
      <c r="Y20" s="77">
        <f>SUMIFS(Report!$U:$U,Report!$T:$T,$A20,Report!$C:$C,"&gt;="&amp;DATE(2027,11,1),Report!$C:$C,"&lt;="&amp;DATE(2027,11,30))</f>
        <v/>
      </c>
      <c r="Z20" s="77">
        <f>SUMIFS(Report!$U:$U,Report!$T:$T,$A20,Report!$C:$C,"&gt;="&amp;DATE(2027,12,1),Report!$C:$C,"&lt;="&amp;DATE(2027,12,31))</f>
        <v/>
      </c>
      <c r="AA20" s="77">
        <f>SUM(C20:Z20)</f>
        <v/>
      </c>
    </row>
    <row r="21" ht="12.75" customHeight="1" s="60">
      <c r="A21" s="59" t="inlineStr">
        <is>
          <t>ENERGIA ELETRICA</t>
        </is>
      </c>
      <c r="B21" s="59">
        <f>IFERROR(INDEX('Resumo Grupos'!$AC$3:$AC$200,MATCH($A21,'Resumo Grupos'!$AB$3:$AB$200,0)),"n/d")</f>
        <v/>
      </c>
      <c r="C21" s="77">
        <f>SUMIFS(Report!$U:$U,Report!$T:$T,$A21,Report!$C:$C,"&gt;="&amp;DATE(2026,1,1),Report!$C:$C,"&lt;="&amp;DATE(2026,1,31))</f>
        <v/>
      </c>
      <c r="D21" s="77">
        <f>SUMIFS(Report!$U:$U,Report!$T:$T,$A21,Report!$C:$C,"&gt;="&amp;DATE(2026,2,1),Report!$C:$C,"&lt;="&amp;DATE(2026,2,28))</f>
        <v/>
      </c>
      <c r="E21" s="77">
        <f>SUMIFS(Report!$U:$U,Report!$T:$T,$A21,Report!$C:$C,"&gt;="&amp;DATE(2026,3,1),Report!$C:$C,"&lt;="&amp;DATE(2026,3,31))</f>
        <v/>
      </c>
      <c r="F21" s="77">
        <f>SUMIFS(Report!$U:$U,Report!$T:$T,$A21,Report!$C:$C,"&gt;="&amp;DATE(2026,4,1),Report!$C:$C,"&lt;="&amp;DATE(2026,4,30))</f>
        <v/>
      </c>
      <c r="G21" s="77">
        <f>SUMIFS(Report!$U:$U,Report!$T:$T,$A21,Report!$C:$C,"&gt;="&amp;DATE(2026,5,1),Report!$C:$C,"&lt;="&amp;DATE(2026,5,31))</f>
        <v/>
      </c>
      <c r="H21" s="77">
        <f>SUMIFS(Report!$U:$U,Report!$T:$T,$A21,Report!$C:$C,"&gt;="&amp;DATE(2026,6,1),Report!$C:$C,"&lt;="&amp;DATE(2026,6,30))</f>
        <v/>
      </c>
      <c r="I21" s="77">
        <f>SUMIFS(Report!$U:$U,Report!$T:$T,$A21,Report!$C:$C,"&gt;="&amp;DATE(2026,7,1),Report!$C:$C,"&lt;="&amp;DATE(2026,7,31))</f>
        <v/>
      </c>
      <c r="J21" s="77">
        <f>SUMIFS(Report!$U:$U,Report!$T:$T,$A21,Report!$C:$C,"&gt;="&amp;DATE(2026,8,1),Report!$C:$C,"&lt;="&amp;DATE(2026,8,31))</f>
        <v/>
      </c>
      <c r="K21" s="77">
        <f>SUMIFS(Report!$U:$U,Report!$T:$T,$A21,Report!$C:$C,"&gt;="&amp;DATE(2026,9,1),Report!$C:$C,"&lt;="&amp;DATE(2026,9,30))</f>
        <v/>
      </c>
      <c r="L21" s="77">
        <f>SUMIFS(Report!$U:$U,Report!$T:$T,$A21,Report!$C:$C,"&gt;="&amp;DATE(2026,10,1),Report!$C:$C,"&lt;="&amp;DATE(2026,10,31))</f>
        <v/>
      </c>
      <c r="M21" s="77">
        <f>SUMIFS(Report!$U:$U,Report!$T:$T,$A21,Report!$C:$C,"&gt;="&amp;DATE(2026,11,1),Report!$C:$C,"&lt;="&amp;DATE(2026,11,30))</f>
        <v/>
      </c>
      <c r="N21" s="77">
        <f>SUMIFS(Report!$U:$U,Report!$T:$T,$A21,Report!$C:$C,"&gt;="&amp;DATE(2026,12,1),Report!$C:$C,"&lt;="&amp;DATE(2026,12,31))</f>
        <v/>
      </c>
      <c r="O21" s="77">
        <f>SUMIFS(Report!$U:$U,Report!$T:$T,$A21,Report!$C:$C,"&gt;="&amp;DATE(2027,1,1),Report!$C:$C,"&lt;="&amp;DATE(2027,1,31))</f>
        <v/>
      </c>
      <c r="P21" s="77">
        <f>SUMIFS(Report!$U:$U,Report!$T:$T,$A21,Report!$C:$C,"&gt;="&amp;DATE(2027,2,1),Report!$C:$C,"&lt;="&amp;DATE(2027,2,28))</f>
        <v/>
      </c>
      <c r="Q21" s="77">
        <f>SUMIFS(Report!$U:$U,Report!$T:$T,$A21,Report!$C:$C,"&gt;="&amp;DATE(2027,3,1),Report!$C:$C,"&lt;="&amp;DATE(2027,3,31))</f>
        <v/>
      </c>
      <c r="R21" s="77">
        <f>SUMIFS(Report!$U:$U,Report!$T:$T,$A21,Report!$C:$C,"&gt;="&amp;DATE(2027,4,1),Report!$C:$C,"&lt;="&amp;DATE(2027,4,30))</f>
        <v/>
      </c>
      <c r="S21" s="77">
        <f>SUMIFS(Report!$U:$U,Report!$T:$T,$A21,Report!$C:$C,"&gt;="&amp;DATE(2027,5,1),Report!$C:$C,"&lt;="&amp;DATE(2027,5,31))</f>
        <v/>
      </c>
      <c r="T21" s="77">
        <f>SUMIFS(Report!$U:$U,Report!$T:$T,$A21,Report!$C:$C,"&gt;="&amp;DATE(2027,6,1),Report!$C:$C,"&lt;="&amp;DATE(2027,6,30))</f>
        <v/>
      </c>
      <c r="U21" s="77">
        <f>SUMIFS(Report!$U:$U,Report!$T:$T,$A21,Report!$C:$C,"&gt;="&amp;DATE(2027,7,1),Report!$C:$C,"&lt;="&amp;DATE(2027,7,31))</f>
        <v/>
      </c>
      <c r="V21" s="77">
        <f>SUMIFS(Report!$U:$U,Report!$T:$T,$A21,Report!$C:$C,"&gt;="&amp;DATE(2027,8,1),Report!$C:$C,"&lt;="&amp;DATE(2027,8,31))</f>
        <v/>
      </c>
      <c r="W21" s="77">
        <f>SUMIFS(Report!$U:$U,Report!$T:$T,$A21,Report!$C:$C,"&gt;="&amp;DATE(2027,9,1),Report!$C:$C,"&lt;="&amp;DATE(2027,9,30))</f>
        <v/>
      </c>
      <c r="X21" s="77">
        <f>SUMIFS(Report!$U:$U,Report!$T:$T,$A21,Report!$C:$C,"&gt;="&amp;DATE(2027,10,1),Report!$C:$C,"&lt;="&amp;DATE(2027,10,31))</f>
        <v/>
      </c>
      <c r="Y21" s="77">
        <f>SUMIFS(Report!$U:$U,Report!$T:$T,$A21,Report!$C:$C,"&gt;="&amp;DATE(2027,11,1),Report!$C:$C,"&lt;="&amp;DATE(2027,11,30))</f>
        <v/>
      </c>
      <c r="Z21" s="77">
        <f>SUMIFS(Report!$U:$U,Report!$T:$T,$A21,Report!$C:$C,"&gt;="&amp;DATE(2027,12,1),Report!$C:$C,"&lt;="&amp;DATE(2027,12,31))</f>
        <v/>
      </c>
      <c r="AA21" s="77">
        <f>SUM(C21:Z21)</f>
        <v/>
      </c>
    </row>
    <row r="22" ht="12.75" customHeight="1" s="60">
      <c r="A22" s="59" t="inlineStr">
        <is>
          <t>EPI - FUNCIONARIOS</t>
        </is>
      </c>
      <c r="B22" s="59">
        <f>IFERROR(INDEX('Resumo Grupos'!$AC$3:$AC$200,MATCH($A22,'Resumo Grupos'!$AB$3:$AB$200,0)),"n/d")</f>
        <v/>
      </c>
      <c r="C22" s="77">
        <f>SUMIFS(Report!$U:$U,Report!$T:$T,$A22,Report!$C:$C,"&gt;="&amp;DATE(2026,1,1),Report!$C:$C,"&lt;="&amp;DATE(2026,1,31))</f>
        <v/>
      </c>
      <c r="D22" s="77">
        <f>SUMIFS(Report!$U:$U,Report!$T:$T,$A22,Report!$C:$C,"&gt;="&amp;DATE(2026,2,1),Report!$C:$C,"&lt;="&amp;DATE(2026,2,28))</f>
        <v/>
      </c>
      <c r="E22" s="77">
        <f>SUMIFS(Report!$U:$U,Report!$T:$T,$A22,Report!$C:$C,"&gt;="&amp;DATE(2026,3,1),Report!$C:$C,"&lt;="&amp;DATE(2026,3,31))</f>
        <v/>
      </c>
      <c r="F22" s="77">
        <f>SUMIFS(Report!$U:$U,Report!$T:$T,$A22,Report!$C:$C,"&gt;="&amp;DATE(2026,4,1),Report!$C:$C,"&lt;="&amp;DATE(2026,4,30))</f>
        <v/>
      </c>
      <c r="G22" s="77">
        <f>SUMIFS(Report!$U:$U,Report!$T:$T,$A22,Report!$C:$C,"&gt;="&amp;DATE(2026,5,1),Report!$C:$C,"&lt;="&amp;DATE(2026,5,31))</f>
        <v/>
      </c>
      <c r="H22" s="77">
        <f>SUMIFS(Report!$U:$U,Report!$T:$T,$A22,Report!$C:$C,"&gt;="&amp;DATE(2026,6,1),Report!$C:$C,"&lt;="&amp;DATE(2026,6,30))</f>
        <v/>
      </c>
      <c r="I22" s="77">
        <f>SUMIFS(Report!$U:$U,Report!$T:$T,$A22,Report!$C:$C,"&gt;="&amp;DATE(2026,7,1),Report!$C:$C,"&lt;="&amp;DATE(2026,7,31))</f>
        <v/>
      </c>
      <c r="J22" s="77">
        <f>SUMIFS(Report!$U:$U,Report!$T:$T,$A22,Report!$C:$C,"&gt;="&amp;DATE(2026,8,1),Report!$C:$C,"&lt;="&amp;DATE(2026,8,31))</f>
        <v/>
      </c>
      <c r="K22" s="77">
        <f>SUMIFS(Report!$U:$U,Report!$T:$T,$A22,Report!$C:$C,"&gt;="&amp;DATE(2026,9,1),Report!$C:$C,"&lt;="&amp;DATE(2026,9,30))</f>
        <v/>
      </c>
      <c r="L22" s="77">
        <f>SUMIFS(Report!$U:$U,Report!$T:$T,$A22,Report!$C:$C,"&gt;="&amp;DATE(2026,10,1),Report!$C:$C,"&lt;="&amp;DATE(2026,10,31))</f>
        <v/>
      </c>
      <c r="M22" s="77">
        <f>SUMIFS(Report!$U:$U,Report!$T:$T,$A22,Report!$C:$C,"&gt;="&amp;DATE(2026,11,1),Report!$C:$C,"&lt;="&amp;DATE(2026,11,30))</f>
        <v/>
      </c>
      <c r="N22" s="77">
        <f>SUMIFS(Report!$U:$U,Report!$T:$T,$A22,Report!$C:$C,"&gt;="&amp;DATE(2026,12,1),Report!$C:$C,"&lt;="&amp;DATE(2026,12,31))</f>
        <v/>
      </c>
      <c r="O22" s="77">
        <f>SUMIFS(Report!$U:$U,Report!$T:$T,$A22,Report!$C:$C,"&gt;="&amp;DATE(2027,1,1),Report!$C:$C,"&lt;="&amp;DATE(2027,1,31))</f>
        <v/>
      </c>
      <c r="P22" s="77">
        <f>SUMIFS(Report!$U:$U,Report!$T:$T,$A22,Report!$C:$C,"&gt;="&amp;DATE(2027,2,1),Report!$C:$C,"&lt;="&amp;DATE(2027,2,28))</f>
        <v/>
      </c>
      <c r="Q22" s="77">
        <f>SUMIFS(Report!$U:$U,Report!$T:$T,$A22,Report!$C:$C,"&gt;="&amp;DATE(2027,3,1),Report!$C:$C,"&lt;="&amp;DATE(2027,3,31))</f>
        <v/>
      </c>
      <c r="R22" s="77">
        <f>SUMIFS(Report!$U:$U,Report!$T:$T,$A22,Report!$C:$C,"&gt;="&amp;DATE(2027,4,1),Report!$C:$C,"&lt;="&amp;DATE(2027,4,30))</f>
        <v/>
      </c>
      <c r="S22" s="77">
        <f>SUMIFS(Report!$U:$U,Report!$T:$T,$A22,Report!$C:$C,"&gt;="&amp;DATE(2027,5,1),Report!$C:$C,"&lt;="&amp;DATE(2027,5,31))</f>
        <v/>
      </c>
      <c r="T22" s="77">
        <f>SUMIFS(Report!$U:$U,Report!$T:$T,$A22,Report!$C:$C,"&gt;="&amp;DATE(2027,6,1),Report!$C:$C,"&lt;="&amp;DATE(2027,6,30))</f>
        <v/>
      </c>
      <c r="U22" s="77">
        <f>SUMIFS(Report!$U:$U,Report!$T:$T,$A22,Report!$C:$C,"&gt;="&amp;DATE(2027,7,1),Report!$C:$C,"&lt;="&amp;DATE(2027,7,31))</f>
        <v/>
      </c>
      <c r="V22" s="77">
        <f>SUMIFS(Report!$U:$U,Report!$T:$T,$A22,Report!$C:$C,"&gt;="&amp;DATE(2027,8,1),Report!$C:$C,"&lt;="&amp;DATE(2027,8,31))</f>
        <v/>
      </c>
      <c r="W22" s="77">
        <f>SUMIFS(Report!$U:$U,Report!$T:$T,$A22,Report!$C:$C,"&gt;="&amp;DATE(2027,9,1),Report!$C:$C,"&lt;="&amp;DATE(2027,9,30))</f>
        <v/>
      </c>
      <c r="X22" s="77">
        <f>SUMIFS(Report!$U:$U,Report!$T:$T,$A22,Report!$C:$C,"&gt;="&amp;DATE(2027,10,1),Report!$C:$C,"&lt;="&amp;DATE(2027,10,31))</f>
        <v/>
      </c>
      <c r="Y22" s="77">
        <f>SUMIFS(Report!$U:$U,Report!$T:$T,$A22,Report!$C:$C,"&gt;="&amp;DATE(2027,11,1),Report!$C:$C,"&lt;="&amp;DATE(2027,11,30))</f>
        <v/>
      </c>
      <c r="Z22" s="77">
        <f>SUMIFS(Report!$U:$U,Report!$T:$T,$A22,Report!$C:$C,"&gt;="&amp;DATE(2027,12,1),Report!$C:$C,"&lt;="&amp;DATE(2027,12,31))</f>
        <v/>
      </c>
      <c r="AA22" s="77">
        <f>SUM(C22:Z22)</f>
        <v/>
      </c>
    </row>
    <row r="23" ht="12.75" customHeight="1" s="60">
      <c r="A23" s="59" t="inlineStr">
        <is>
          <t>FERIAS</t>
        </is>
      </c>
      <c r="B23" s="59">
        <f>IFERROR(INDEX('Resumo Grupos'!$AC$3:$AC$200,MATCH($A23,'Resumo Grupos'!$AB$3:$AB$200,0)),"n/d")</f>
        <v/>
      </c>
      <c r="C23" s="77">
        <f>SUMIFS(Report!$U:$U,Report!$T:$T,$A23,Report!$C:$C,"&gt;="&amp;DATE(2026,1,1),Report!$C:$C,"&lt;="&amp;DATE(2026,1,31))</f>
        <v/>
      </c>
      <c r="D23" s="77">
        <f>SUMIFS(Report!$U:$U,Report!$T:$T,$A23,Report!$C:$C,"&gt;="&amp;DATE(2026,2,1),Report!$C:$C,"&lt;="&amp;DATE(2026,2,28))</f>
        <v/>
      </c>
      <c r="E23" s="77">
        <f>SUMIFS(Report!$U:$U,Report!$T:$T,$A23,Report!$C:$C,"&gt;="&amp;DATE(2026,3,1),Report!$C:$C,"&lt;="&amp;DATE(2026,3,31))</f>
        <v/>
      </c>
      <c r="F23" s="77">
        <f>SUMIFS(Report!$U:$U,Report!$T:$T,$A23,Report!$C:$C,"&gt;="&amp;DATE(2026,4,1),Report!$C:$C,"&lt;="&amp;DATE(2026,4,30))</f>
        <v/>
      </c>
      <c r="G23" s="77">
        <f>SUMIFS(Report!$U:$U,Report!$T:$T,$A23,Report!$C:$C,"&gt;="&amp;DATE(2026,5,1),Report!$C:$C,"&lt;="&amp;DATE(2026,5,31))</f>
        <v/>
      </c>
      <c r="H23" s="77">
        <f>SUMIFS(Report!$U:$U,Report!$T:$T,$A23,Report!$C:$C,"&gt;="&amp;DATE(2026,6,1),Report!$C:$C,"&lt;="&amp;DATE(2026,6,30))</f>
        <v/>
      </c>
      <c r="I23" s="77">
        <f>SUMIFS(Report!$U:$U,Report!$T:$T,$A23,Report!$C:$C,"&gt;="&amp;DATE(2026,7,1),Report!$C:$C,"&lt;="&amp;DATE(2026,7,31))</f>
        <v/>
      </c>
      <c r="J23" s="77">
        <f>SUMIFS(Report!$U:$U,Report!$T:$T,$A23,Report!$C:$C,"&gt;="&amp;DATE(2026,8,1),Report!$C:$C,"&lt;="&amp;DATE(2026,8,31))</f>
        <v/>
      </c>
      <c r="K23" s="77">
        <f>SUMIFS(Report!$U:$U,Report!$T:$T,$A23,Report!$C:$C,"&gt;="&amp;DATE(2026,9,1),Report!$C:$C,"&lt;="&amp;DATE(2026,9,30))</f>
        <v/>
      </c>
      <c r="L23" s="77">
        <f>SUMIFS(Report!$U:$U,Report!$T:$T,$A23,Report!$C:$C,"&gt;="&amp;DATE(2026,10,1),Report!$C:$C,"&lt;="&amp;DATE(2026,10,31))</f>
        <v/>
      </c>
      <c r="M23" s="77">
        <f>SUMIFS(Report!$U:$U,Report!$T:$T,$A23,Report!$C:$C,"&gt;="&amp;DATE(2026,11,1),Report!$C:$C,"&lt;="&amp;DATE(2026,11,30))</f>
        <v/>
      </c>
      <c r="N23" s="77">
        <f>SUMIFS(Report!$U:$U,Report!$T:$T,$A23,Report!$C:$C,"&gt;="&amp;DATE(2026,12,1),Report!$C:$C,"&lt;="&amp;DATE(2026,12,31))</f>
        <v/>
      </c>
      <c r="O23" s="77">
        <f>SUMIFS(Report!$U:$U,Report!$T:$T,$A23,Report!$C:$C,"&gt;="&amp;DATE(2027,1,1),Report!$C:$C,"&lt;="&amp;DATE(2027,1,31))</f>
        <v/>
      </c>
      <c r="P23" s="77">
        <f>SUMIFS(Report!$U:$U,Report!$T:$T,$A23,Report!$C:$C,"&gt;="&amp;DATE(2027,2,1),Report!$C:$C,"&lt;="&amp;DATE(2027,2,28))</f>
        <v/>
      </c>
      <c r="Q23" s="77">
        <f>SUMIFS(Report!$U:$U,Report!$T:$T,$A23,Report!$C:$C,"&gt;="&amp;DATE(2027,3,1),Report!$C:$C,"&lt;="&amp;DATE(2027,3,31))</f>
        <v/>
      </c>
      <c r="R23" s="77">
        <f>SUMIFS(Report!$U:$U,Report!$T:$T,$A23,Report!$C:$C,"&gt;="&amp;DATE(2027,4,1),Report!$C:$C,"&lt;="&amp;DATE(2027,4,30))</f>
        <v/>
      </c>
      <c r="S23" s="77">
        <f>SUMIFS(Report!$U:$U,Report!$T:$T,$A23,Report!$C:$C,"&gt;="&amp;DATE(2027,5,1),Report!$C:$C,"&lt;="&amp;DATE(2027,5,31))</f>
        <v/>
      </c>
      <c r="T23" s="77">
        <f>SUMIFS(Report!$U:$U,Report!$T:$T,$A23,Report!$C:$C,"&gt;="&amp;DATE(2027,6,1),Report!$C:$C,"&lt;="&amp;DATE(2027,6,30))</f>
        <v/>
      </c>
      <c r="U23" s="77">
        <f>SUMIFS(Report!$U:$U,Report!$T:$T,$A23,Report!$C:$C,"&gt;="&amp;DATE(2027,7,1),Report!$C:$C,"&lt;="&amp;DATE(2027,7,31))</f>
        <v/>
      </c>
      <c r="V23" s="77">
        <f>SUMIFS(Report!$U:$U,Report!$T:$T,$A23,Report!$C:$C,"&gt;="&amp;DATE(2027,8,1),Report!$C:$C,"&lt;="&amp;DATE(2027,8,31))</f>
        <v/>
      </c>
      <c r="W23" s="77">
        <f>SUMIFS(Report!$U:$U,Report!$T:$T,$A23,Report!$C:$C,"&gt;="&amp;DATE(2027,9,1),Report!$C:$C,"&lt;="&amp;DATE(2027,9,30))</f>
        <v/>
      </c>
      <c r="X23" s="77">
        <f>SUMIFS(Report!$U:$U,Report!$T:$T,$A23,Report!$C:$C,"&gt;="&amp;DATE(2027,10,1),Report!$C:$C,"&lt;="&amp;DATE(2027,10,31))</f>
        <v/>
      </c>
      <c r="Y23" s="77">
        <f>SUMIFS(Report!$U:$U,Report!$T:$T,$A23,Report!$C:$C,"&gt;="&amp;DATE(2027,11,1),Report!$C:$C,"&lt;="&amp;DATE(2027,11,30))</f>
        <v/>
      </c>
      <c r="Z23" s="77">
        <f>SUMIFS(Report!$U:$U,Report!$T:$T,$A23,Report!$C:$C,"&gt;="&amp;DATE(2027,12,1),Report!$C:$C,"&lt;="&amp;DATE(2027,12,31))</f>
        <v/>
      </c>
      <c r="AA23" s="77">
        <f>SUM(C23:Z23)</f>
        <v/>
      </c>
    </row>
    <row r="24" ht="12.75" customHeight="1" s="60">
      <c r="A24" s="59" t="inlineStr">
        <is>
          <t>FERIAS A PAGAR</t>
        </is>
      </c>
      <c r="B24" s="59">
        <f>IFERROR(INDEX('Resumo Grupos'!$AC$3:$AC$200,MATCH($A24,'Resumo Grupos'!$AB$3:$AB$200,0)),"n/d")</f>
        <v/>
      </c>
      <c r="C24" s="77">
        <f>SUMIFS(Report!$U:$U,Report!$T:$T,$A24,Report!$C:$C,"&gt;="&amp;DATE(2026,1,1),Report!$C:$C,"&lt;="&amp;DATE(2026,1,31))</f>
        <v/>
      </c>
      <c r="D24" s="77">
        <f>SUMIFS(Report!$U:$U,Report!$T:$T,$A24,Report!$C:$C,"&gt;="&amp;DATE(2026,2,1),Report!$C:$C,"&lt;="&amp;DATE(2026,2,28))</f>
        <v/>
      </c>
      <c r="E24" s="77">
        <f>SUMIFS(Report!$U:$U,Report!$T:$T,$A24,Report!$C:$C,"&gt;="&amp;DATE(2026,3,1),Report!$C:$C,"&lt;="&amp;DATE(2026,3,31))</f>
        <v/>
      </c>
      <c r="F24" s="77">
        <f>SUMIFS(Report!$U:$U,Report!$T:$T,$A24,Report!$C:$C,"&gt;="&amp;DATE(2026,4,1),Report!$C:$C,"&lt;="&amp;DATE(2026,4,30))</f>
        <v/>
      </c>
      <c r="G24" s="77">
        <f>SUMIFS(Report!$U:$U,Report!$T:$T,$A24,Report!$C:$C,"&gt;="&amp;DATE(2026,5,1),Report!$C:$C,"&lt;="&amp;DATE(2026,5,31))</f>
        <v/>
      </c>
      <c r="H24" s="77">
        <f>SUMIFS(Report!$U:$U,Report!$T:$T,$A24,Report!$C:$C,"&gt;="&amp;DATE(2026,6,1),Report!$C:$C,"&lt;="&amp;DATE(2026,6,30))</f>
        <v/>
      </c>
      <c r="I24" s="77">
        <f>SUMIFS(Report!$U:$U,Report!$T:$T,$A24,Report!$C:$C,"&gt;="&amp;DATE(2026,7,1),Report!$C:$C,"&lt;="&amp;DATE(2026,7,31))</f>
        <v/>
      </c>
      <c r="J24" s="77">
        <f>SUMIFS(Report!$U:$U,Report!$T:$T,$A24,Report!$C:$C,"&gt;="&amp;DATE(2026,8,1),Report!$C:$C,"&lt;="&amp;DATE(2026,8,31))</f>
        <v/>
      </c>
      <c r="K24" s="77">
        <f>SUMIFS(Report!$U:$U,Report!$T:$T,$A24,Report!$C:$C,"&gt;="&amp;DATE(2026,9,1),Report!$C:$C,"&lt;="&amp;DATE(2026,9,30))</f>
        <v/>
      </c>
      <c r="L24" s="77">
        <f>SUMIFS(Report!$U:$U,Report!$T:$T,$A24,Report!$C:$C,"&gt;="&amp;DATE(2026,10,1),Report!$C:$C,"&lt;="&amp;DATE(2026,10,31))</f>
        <v/>
      </c>
      <c r="M24" s="77">
        <f>SUMIFS(Report!$U:$U,Report!$T:$T,$A24,Report!$C:$C,"&gt;="&amp;DATE(2026,11,1),Report!$C:$C,"&lt;="&amp;DATE(2026,11,30))</f>
        <v/>
      </c>
      <c r="N24" s="77">
        <f>SUMIFS(Report!$U:$U,Report!$T:$T,$A24,Report!$C:$C,"&gt;="&amp;DATE(2026,12,1),Report!$C:$C,"&lt;="&amp;DATE(2026,12,31))</f>
        <v/>
      </c>
      <c r="O24" s="77">
        <f>SUMIFS(Report!$U:$U,Report!$T:$T,$A24,Report!$C:$C,"&gt;="&amp;DATE(2027,1,1),Report!$C:$C,"&lt;="&amp;DATE(2027,1,31))</f>
        <v/>
      </c>
      <c r="P24" s="77">
        <f>SUMIFS(Report!$U:$U,Report!$T:$T,$A24,Report!$C:$C,"&gt;="&amp;DATE(2027,2,1),Report!$C:$C,"&lt;="&amp;DATE(2027,2,28))</f>
        <v/>
      </c>
      <c r="Q24" s="77">
        <f>SUMIFS(Report!$U:$U,Report!$T:$T,$A24,Report!$C:$C,"&gt;="&amp;DATE(2027,3,1),Report!$C:$C,"&lt;="&amp;DATE(2027,3,31))</f>
        <v/>
      </c>
      <c r="R24" s="77">
        <f>SUMIFS(Report!$U:$U,Report!$T:$T,$A24,Report!$C:$C,"&gt;="&amp;DATE(2027,4,1),Report!$C:$C,"&lt;="&amp;DATE(2027,4,30))</f>
        <v/>
      </c>
      <c r="S24" s="77">
        <f>SUMIFS(Report!$U:$U,Report!$T:$T,$A24,Report!$C:$C,"&gt;="&amp;DATE(2027,5,1),Report!$C:$C,"&lt;="&amp;DATE(2027,5,31))</f>
        <v/>
      </c>
      <c r="T24" s="77">
        <f>SUMIFS(Report!$U:$U,Report!$T:$T,$A24,Report!$C:$C,"&gt;="&amp;DATE(2027,6,1),Report!$C:$C,"&lt;="&amp;DATE(2027,6,30))</f>
        <v/>
      </c>
      <c r="U24" s="77">
        <f>SUMIFS(Report!$U:$U,Report!$T:$T,$A24,Report!$C:$C,"&gt;="&amp;DATE(2027,7,1),Report!$C:$C,"&lt;="&amp;DATE(2027,7,31))</f>
        <v/>
      </c>
      <c r="V24" s="77">
        <f>SUMIFS(Report!$U:$U,Report!$T:$T,$A24,Report!$C:$C,"&gt;="&amp;DATE(2027,8,1),Report!$C:$C,"&lt;="&amp;DATE(2027,8,31))</f>
        <v/>
      </c>
      <c r="W24" s="77">
        <f>SUMIFS(Report!$U:$U,Report!$T:$T,$A24,Report!$C:$C,"&gt;="&amp;DATE(2027,9,1),Report!$C:$C,"&lt;="&amp;DATE(2027,9,30))</f>
        <v/>
      </c>
      <c r="X24" s="77">
        <f>SUMIFS(Report!$U:$U,Report!$T:$T,$A24,Report!$C:$C,"&gt;="&amp;DATE(2027,10,1),Report!$C:$C,"&lt;="&amp;DATE(2027,10,31))</f>
        <v/>
      </c>
      <c r="Y24" s="77">
        <f>SUMIFS(Report!$U:$U,Report!$T:$T,$A24,Report!$C:$C,"&gt;="&amp;DATE(2027,11,1),Report!$C:$C,"&lt;="&amp;DATE(2027,11,30))</f>
        <v/>
      </c>
      <c r="Z24" s="77">
        <f>SUMIFS(Report!$U:$U,Report!$T:$T,$A24,Report!$C:$C,"&gt;="&amp;DATE(2027,12,1),Report!$C:$C,"&lt;="&amp;DATE(2027,12,31))</f>
        <v/>
      </c>
      <c r="AA24" s="77">
        <f>SUM(C24:Z24)</f>
        <v/>
      </c>
    </row>
    <row r="25" ht="12.75" customHeight="1" s="60">
      <c r="A25" s="59" t="inlineStr">
        <is>
          <t>FGTS</t>
        </is>
      </c>
      <c r="B25" s="59">
        <f>IFERROR(INDEX('Resumo Grupos'!$AC$3:$AC$200,MATCH($A25,'Resumo Grupos'!$AB$3:$AB$200,0)),"n/d")</f>
        <v/>
      </c>
      <c r="C25" s="77">
        <f>SUMIFS(Report!$U:$U,Report!$T:$T,$A25,Report!$C:$C,"&gt;="&amp;DATE(2026,1,1),Report!$C:$C,"&lt;="&amp;DATE(2026,1,31))</f>
        <v/>
      </c>
      <c r="D25" s="77">
        <f>SUMIFS(Report!$U:$U,Report!$T:$T,$A25,Report!$C:$C,"&gt;="&amp;DATE(2026,2,1),Report!$C:$C,"&lt;="&amp;DATE(2026,2,28))</f>
        <v/>
      </c>
      <c r="E25" s="77">
        <f>SUMIFS(Report!$U:$U,Report!$T:$T,$A25,Report!$C:$C,"&gt;="&amp;DATE(2026,3,1),Report!$C:$C,"&lt;="&amp;DATE(2026,3,31))</f>
        <v/>
      </c>
      <c r="F25" s="77">
        <f>SUMIFS(Report!$U:$U,Report!$T:$T,$A25,Report!$C:$C,"&gt;="&amp;DATE(2026,4,1),Report!$C:$C,"&lt;="&amp;DATE(2026,4,30))</f>
        <v/>
      </c>
      <c r="G25" s="77">
        <f>SUMIFS(Report!$U:$U,Report!$T:$T,$A25,Report!$C:$C,"&gt;="&amp;DATE(2026,5,1),Report!$C:$C,"&lt;="&amp;DATE(2026,5,31))</f>
        <v/>
      </c>
      <c r="H25" s="77">
        <f>SUMIFS(Report!$U:$U,Report!$T:$T,$A25,Report!$C:$C,"&gt;="&amp;DATE(2026,6,1),Report!$C:$C,"&lt;="&amp;DATE(2026,6,30))</f>
        <v/>
      </c>
      <c r="I25" s="77">
        <f>SUMIFS(Report!$U:$U,Report!$T:$T,$A25,Report!$C:$C,"&gt;="&amp;DATE(2026,7,1),Report!$C:$C,"&lt;="&amp;DATE(2026,7,31))</f>
        <v/>
      </c>
      <c r="J25" s="77">
        <f>SUMIFS(Report!$U:$U,Report!$T:$T,$A25,Report!$C:$C,"&gt;="&amp;DATE(2026,8,1),Report!$C:$C,"&lt;="&amp;DATE(2026,8,31))</f>
        <v/>
      </c>
      <c r="K25" s="77">
        <f>SUMIFS(Report!$U:$U,Report!$T:$T,$A25,Report!$C:$C,"&gt;="&amp;DATE(2026,9,1),Report!$C:$C,"&lt;="&amp;DATE(2026,9,30))</f>
        <v/>
      </c>
      <c r="L25" s="77">
        <f>SUMIFS(Report!$U:$U,Report!$T:$T,$A25,Report!$C:$C,"&gt;="&amp;DATE(2026,10,1),Report!$C:$C,"&lt;="&amp;DATE(2026,10,31))</f>
        <v/>
      </c>
      <c r="M25" s="77">
        <f>SUMIFS(Report!$U:$U,Report!$T:$T,$A25,Report!$C:$C,"&gt;="&amp;DATE(2026,11,1),Report!$C:$C,"&lt;="&amp;DATE(2026,11,30))</f>
        <v/>
      </c>
      <c r="N25" s="77">
        <f>SUMIFS(Report!$U:$U,Report!$T:$T,$A25,Report!$C:$C,"&gt;="&amp;DATE(2026,12,1),Report!$C:$C,"&lt;="&amp;DATE(2026,12,31))</f>
        <v/>
      </c>
      <c r="O25" s="77">
        <f>SUMIFS(Report!$U:$U,Report!$T:$T,$A25,Report!$C:$C,"&gt;="&amp;DATE(2027,1,1),Report!$C:$C,"&lt;="&amp;DATE(2027,1,31))</f>
        <v/>
      </c>
      <c r="P25" s="77">
        <f>SUMIFS(Report!$U:$U,Report!$T:$T,$A25,Report!$C:$C,"&gt;="&amp;DATE(2027,2,1),Report!$C:$C,"&lt;="&amp;DATE(2027,2,28))</f>
        <v/>
      </c>
      <c r="Q25" s="77">
        <f>SUMIFS(Report!$U:$U,Report!$T:$T,$A25,Report!$C:$C,"&gt;="&amp;DATE(2027,3,1),Report!$C:$C,"&lt;="&amp;DATE(2027,3,31))</f>
        <v/>
      </c>
      <c r="R25" s="77">
        <f>SUMIFS(Report!$U:$U,Report!$T:$T,$A25,Report!$C:$C,"&gt;="&amp;DATE(2027,4,1),Report!$C:$C,"&lt;="&amp;DATE(2027,4,30))</f>
        <v/>
      </c>
      <c r="S25" s="77">
        <f>SUMIFS(Report!$U:$U,Report!$T:$T,$A25,Report!$C:$C,"&gt;="&amp;DATE(2027,5,1),Report!$C:$C,"&lt;="&amp;DATE(2027,5,31))</f>
        <v/>
      </c>
      <c r="T25" s="77">
        <f>SUMIFS(Report!$U:$U,Report!$T:$T,$A25,Report!$C:$C,"&gt;="&amp;DATE(2027,6,1),Report!$C:$C,"&lt;="&amp;DATE(2027,6,30))</f>
        <v/>
      </c>
      <c r="U25" s="77">
        <f>SUMIFS(Report!$U:$U,Report!$T:$T,$A25,Report!$C:$C,"&gt;="&amp;DATE(2027,7,1),Report!$C:$C,"&lt;="&amp;DATE(2027,7,31))</f>
        <v/>
      </c>
      <c r="V25" s="77">
        <f>SUMIFS(Report!$U:$U,Report!$T:$T,$A25,Report!$C:$C,"&gt;="&amp;DATE(2027,8,1),Report!$C:$C,"&lt;="&amp;DATE(2027,8,31))</f>
        <v/>
      </c>
      <c r="W25" s="77">
        <f>SUMIFS(Report!$U:$U,Report!$T:$T,$A25,Report!$C:$C,"&gt;="&amp;DATE(2027,9,1),Report!$C:$C,"&lt;="&amp;DATE(2027,9,30))</f>
        <v/>
      </c>
      <c r="X25" s="77">
        <f>SUMIFS(Report!$U:$U,Report!$T:$T,$A25,Report!$C:$C,"&gt;="&amp;DATE(2027,10,1),Report!$C:$C,"&lt;="&amp;DATE(2027,10,31))</f>
        <v/>
      </c>
      <c r="Y25" s="77">
        <f>SUMIFS(Report!$U:$U,Report!$T:$T,$A25,Report!$C:$C,"&gt;="&amp;DATE(2027,11,1),Report!$C:$C,"&lt;="&amp;DATE(2027,11,30))</f>
        <v/>
      </c>
      <c r="Z25" s="77">
        <f>SUMIFS(Report!$U:$U,Report!$T:$T,$A25,Report!$C:$C,"&gt;="&amp;DATE(2027,12,1),Report!$C:$C,"&lt;="&amp;DATE(2027,12,31))</f>
        <v/>
      </c>
      <c r="AA25" s="77">
        <f>SUM(C25:Z25)</f>
        <v/>
      </c>
    </row>
    <row r="26" ht="12.75" customHeight="1" s="60">
      <c r="A26" s="59" t="inlineStr">
        <is>
          <t>GAS LOJA</t>
        </is>
      </c>
      <c r="B26" s="59">
        <f>IFERROR(INDEX('Resumo Grupos'!$AC$3:$AC$200,MATCH($A26,'Resumo Grupos'!$AB$3:$AB$200,0)),"n/d")</f>
        <v/>
      </c>
      <c r="C26" s="77">
        <f>SUMIFS(Report!$U:$U,Report!$T:$T,$A26,Report!$C:$C,"&gt;="&amp;DATE(2026,1,1),Report!$C:$C,"&lt;="&amp;DATE(2026,1,31))</f>
        <v/>
      </c>
      <c r="D26" s="77">
        <f>SUMIFS(Report!$U:$U,Report!$T:$T,$A26,Report!$C:$C,"&gt;="&amp;DATE(2026,2,1),Report!$C:$C,"&lt;="&amp;DATE(2026,2,28))</f>
        <v/>
      </c>
      <c r="E26" s="77">
        <f>SUMIFS(Report!$U:$U,Report!$T:$T,$A26,Report!$C:$C,"&gt;="&amp;DATE(2026,3,1),Report!$C:$C,"&lt;="&amp;DATE(2026,3,31))</f>
        <v/>
      </c>
      <c r="F26" s="77">
        <f>SUMIFS(Report!$U:$U,Report!$T:$T,$A26,Report!$C:$C,"&gt;="&amp;DATE(2026,4,1),Report!$C:$C,"&lt;="&amp;DATE(2026,4,30))</f>
        <v/>
      </c>
      <c r="G26" s="77">
        <f>SUMIFS(Report!$U:$U,Report!$T:$T,$A26,Report!$C:$C,"&gt;="&amp;DATE(2026,5,1),Report!$C:$C,"&lt;="&amp;DATE(2026,5,31))</f>
        <v/>
      </c>
      <c r="H26" s="77">
        <f>SUMIFS(Report!$U:$U,Report!$T:$T,$A26,Report!$C:$C,"&gt;="&amp;DATE(2026,6,1),Report!$C:$C,"&lt;="&amp;DATE(2026,6,30))</f>
        <v/>
      </c>
      <c r="I26" s="77">
        <f>SUMIFS(Report!$U:$U,Report!$T:$T,$A26,Report!$C:$C,"&gt;="&amp;DATE(2026,7,1),Report!$C:$C,"&lt;="&amp;DATE(2026,7,31))</f>
        <v/>
      </c>
      <c r="J26" s="77">
        <f>SUMIFS(Report!$U:$U,Report!$T:$T,$A26,Report!$C:$C,"&gt;="&amp;DATE(2026,8,1),Report!$C:$C,"&lt;="&amp;DATE(2026,8,31))</f>
        <v/>
      </c>
      <c r="K26" s="77">
        <f>SUMIFS(Report!$U:$U,Report!$T:$T,$A26,Report!$C:$C,"&gt;="&amp;DATE(2026,9,1),Report!$C:$C,"&lt;="&amp;DATE(2026,9,30))</f>
        <v/>
      </c>
      <c r="L26" s="77">
        <f>SUMIFS(Report!$U:$U,Report!$T:$T,$A26,Report!$C:$C,"&gt;="&amp;DATE(2026,10,1),Report!$C:$C,"&lt;="&amp;DATE(2026,10,31))</f>
        <v/>
      </c>
      <c r="M26" s="77">
        <f>SUMIFS(Report!$U:$U,Report!$T:$T,$A26,Report!$C:$C,"&gt;="&amp;DATE(2026,11,1),Report!$C:$C,"&lt;="&amp;DATE(2026,11,30))</f>
        <v/>
      </c>
      <c r="N26" s="77">
        <f>SUMIFS(Report!$U:$U,Report!$T:$T,$A26,Report!$C:$C,"&gt;="&amp;DATE(2026,12,1),Report!$C:$C,"&lt;="&amp;DATE(2026,12,31))</f>
        <v/>
      </c>
      <c r="O26" s="77">
        <f>SUMIFS(Report!$U:$U,Report!$T:$T,$A26,Report!$C:$C,"&gt;="&amp;DATE(2027,1,1),Report!$C:$C,"&lt;="&amp;DATE(2027,1,31))</f>
        <v/>
      </c>
      <c r="P26" s="77">
        <f>SUMIFS(Report!$U:$U,Report!$T:$T,$A26,Report!$C:$C,"&gt;="&amp;DATE(2027,2,1),Report!$C:$C,"&lt;="&amp;DATE(2027,2,28))</f>
        <v/>
      </c>
      <c r="Q26" s="77">
        <f>SUMIFS(Report!$U:$U,Report!$T:$T,$A26,Report!$C:$C,"&gt;="&amp;DATE(2027,3,1),Report!$C:$C,"&lt;="&amp;DATE(2027,3,31))</f>
        <v/>
      </c>
      <c r="R26" s="77">
        <f>SUMIFS(Report!$U:$U,Report!$T:$T,$A26,Report!$C:$C,"&gt;="&amp;DATE(2027,4,1),Report!$C:$C,"&lt;="&amp;DATE(2027,4,30))</f>
        <v/>
      </c>
      <c r="S26" s="77">
        <f>SUMIFS(Report!$U:$U,Report!$T:$T,$A26,Report!$C:$C,"&gt;="&amp;DATE(2027,5,1),Report!$C:$C,"&lt;="&amp;DATE(2027,5,31))</f>
        <v/>
      </c>
      <c r="T26" s="77">
        <f>SUMIFS(Report!$U:$U,Report!$T:$T,$A26,Report!$C:$C,"&gt;="&amp;DATE(2027,6,1),Report!$C:$C,"&lt;="&amp;DATE(2027,6,30))</f>
        <v/>
      </c>
      <c r="U26" s="77">
        <f>SUMIFS(Report!$U:$U,Report!$T:$T,$A26,Report!$C:$C,"&gt;="&amp;DATE(2027,7,1),Report!$C:$C,"&lt;="&amp;DATE(2027,7,31))</f>
        <v/>
      </c>
      <c r="V26" s="77">
        <f>SUMIFS(Report!$U:$U,Report!$T:$T,$A26,Report!$C:$C,"&gt;="&amp;DATE(2027,8,1),Report!$C:$C,"&lt;="&amp;DATE(2027,8,31))</f>
        <v/>
      </c>
      <c r="W26" s="77">
        <f>SUMIFS(Report!$U:$U,Report!$T:$T,$A26,Report!$C:$C,"&gt;="&amp;DATE(2027,9,1),Report!$C:$C,"&lt;="&amp;DATE(2027,9,30))</f>
        <v/>
      </c>
      <c r="X26" s="77">
        <f>SUMIFS(Report!$U:$U,Report!$T:$T,$A26,Report!$C:$C,"&gt;="&amp;DATE(2027,10,1),Report!$C:$C,"&lt;="&amp;DATE(2027,10,31))</f>
        <v/>
      </c>
      <c r="Y26" s="77">
        <f>SUMIFS(Report!$U:$U,Report!$T:$T,$A26,Report!$C:$C,"&gt;="&amp;DATE(2027,11,1),Report!$C:$C,"&lt;="&amp;DATE(2027,11,30))</f>
        <v/>
      </c>
      <c r="Z26" s="77">
        <f>SUMIFS(Report!$U:$U,Report!$T:$T,$A26,Report!$C:$C,"&gt;="&amp;DATE(2027,12,1),Report!$C:$C,"&lt;="&amp;DATE(2027,12,31))</f>
        <v/>
      </c>
      <c r="AA26" s="77">
        <f>SUM(C26:Z26)</f>
        <v/>
      </c>
    </row>
    <row r="27" ht="12.75" customHeight="1" s="60">
      <c r="A27" s="59" t="inlineStr">
        <is>
          <t>GRAFICAS E IMPRESSOS</t>
        </is>
      </c>
      <c r="B27" s="59">
        <f>IFERROR(INDEX('Resumo Grupos'!$AC$3:$AC$200,MATCH($A27,'Resumo Grupos'!$AB$3:$AB$200,0)),"n/d")</f>
        <v/>
      </c>
      <c r="C27" s="77">
        <f>SUMIFS(Report!$U:$U,Report!$T:$T,$A27,Report!$C:$C,"&gt;="&amp;DATE(2026,1,1),Report!$C:$C,"&lt;="&amp;DATE(2026,1,31))</f>
        <v/>
      </c>
      <c r="D27" s="77">
        <f>SUMIFS(Report!$U:$U,Report!$T:$T,$A27,Report!$C:$C,"&gt;="&amp;DATE(2026,2,1),Report!$C:$C,"&lt;="&amp;DATE(2026,2,28))</f>
        <v/>
      </c>
      <c r="E27" s="77">
        <f>SUMIFS(Report!$U:$U,Report!$T:$T,$A27,Report!$C:$C,"&gt;="&amp;DATE(2026,3,1),Report!$C:$C,"&lt;="&amp;DATE(2026,3,31))</f>
        <v/>
      </c>
      <c r="F27" s="77">
        <f>SUMIFS(Report!$U:$U,Report!$T:$T,$A27,Report!$C:$C,"&gt;="&amp;DATE(2026,4,1),Report!$C:$C,"&lt;="&amp;DATE(2026,4,30))</f>
        <v/>
      </c>
      <c r="G27" s="77">
        <f>SUMIFS(Report!$U:$U,Report!$T:$T,$A27,Report!$C:$C,"&gt;="&amp;DATE(2026,5,1),Report!$C:$C,"&lt;="&amp;DATE(2026,5,31))</f>
        <v/>
      </c>
      <c r="H27" s="77">
        <f>SUMIFS(Report!$U:$U,Report!$T:$T,$A27,Report!$C:$C,"&gt;="&amp;DATE(2026,6,1),Report!$C:$C,"&lt;="&amp;DATE(2026,6,30))</f>
        <v/>
      </c>
      <c r="I27" s="77">
        <f>SUMIFS(Report!$U:$U,Report!$T:$T,$A27,Report!$C:$C,"&gt;="&amp;DATE(2026,7,1),Report!$C:$C,"&lt;="&amp;DATE(2026,7,31))</f>
        <v/>
      </c>
      <c r="J27" s="77">
        <f>SUMIFS(Report!$U:$U,Report!$T:$T,$A27,Report!$C:$C,"&gt;="&amp;DATE(2026,8,1),Report!$C:$C,"&lt;="&amp;DATE(2026,8,31))</f>
        <v/>
      </c>
      <c r="K27" s="77">
        <f>SUMIFS(Report!$U:$U,Report!$T:$T,$A27,Report!$C:$C,"&gt;="&amp;DATE(2026,9,1),Report!$C:$C,"&lt;="&amp;DATE(2026,9,30))</f>
        <v/>
      </c>
      <c r="L27" s="77">
        <f>SUMIFS(Report!$U:$U,Report!$T:$T,$A27,Report!$C:$C,"&gt;="&amp;DATE(2026,10,1),Report!$C:$C,"&lt;="&amp;DATE(2026,10,31))</f>
        <v/>
      </c>
      <c r="M27" s="77">
        <f>SUMIFS(Report!$U:$U,Report!$T:$T,$A27,Report!$C:$C,"&gt;="&amp;DATE(2026,11,1),Report!$C:$C,"&lt;="&amp;DATE(2026,11,30))</f>
        <v/>
      </c>
      <c r="N27" s="77">
        <f>SUMIFS(Report!$U:$U,Report!$T:$T,$A27,Report!$C:$C,"&gt;="&amp;DATE(2026,12,1),Report!$C:$C,"&lt;="&amp;DATE(2026,12,31))</f>
        <v/>
      </c>
      <c r="O27" s="77">
        <f>SUMIFS(Report!$U:$U,Report!$T:$T,$A27,Report!$C:$C,"&gt;="&amp;DATE(2027,1,1),Report!$C:$C,"&lt;="&amp;DATE(2027,1,31))</f>
        <v/>
      </c>
      <c r="P27" s="77">
        <f>SUMIFS(Report!$U:$U,Report!$T:$T,$A27,Report!$C:$C,"&gt;="&amp;DATE(2027,2,1),Report!$C:$C,"&lt;="&amp;DATE(2027,2,28))</f>
        <v/>
      </c>
      <c r="Q27" s="77">
        <f>SUMIFS(Report!$U:$U,Report!$T:$T,$A27,Report!$C:$C,"&gt;="&amp;DATE(2027,3,1),Report!$C:$C,"&lt;="&amp;DATE(2027,3,31))</f>
        <v/>
      </c>
      <c r="R27" s="77">
        <f>SUMIFS(Report!$U:$U,Report!$T:$T,$A27,Report!$C:$C,"&gt;="&amp;DATE(2027,4,1),Report!$C:$C,"&lt;="&amp;DATE(2027,4,30))</f>
        <v/>
      </c>
      <c r="S27" s="77">
        <f>SUMIFS(Report!$U:$U,Report!$T:$T,$A27,Report!$C:$C,"&gt;="&amp;DATE(2027,5,1),Report!$C:$C,"&lt;="&amp;DATE(2027,5,31))</f>
        <v/>
      </c>
      <c r="T27" s="77">
        <f>SUMIFS(Report!$U:$U,Report!$T:$T,$A27,Report!$C:$C,"&gt;="&amp;DATE(2027,6,1),Report!$C:$C,"&lt;="&amp;DATE(2027,6,30))</f>
        <v/>
      </c>
      <c r="U27" s="77">
        <f>SUMIFS(Report!$U:$U,Report!$T:$T,$A27,Report!$C:$C,"&gt;="&amp;DATE(2027,7,1),Report!$C:$C,"&lt;="&amp;DATE(2027,7,31))</f>
        <v/>
      </c>
      <c r="V27" s="77">
        <f>SUMIFS(Report!$U:$U,Report!$T:$T,$A27,Report!$C:$C,"&gt;="&amp;DATE(2027,8,1),Report!$C:$C,"&lt;="&amp;DATE(2027,8,31))</f>
        <v/>
      </c>
      <c r="W27" s="77">
        <f>SUMIFS(Report!$U:$U,Report!$T:$T,$A27,Report!$C:$C,"&gt;="&amp;DATE(2027,9,1),Report!$C:$C,"&lt;="&amp;DATE(2027,9,30))</f>
        <v/>
      </c>
      <c r="X27" s="77">
        <f>SUMIFS(Report!$U:$U,Report!$T:$T,$A27,Report!$C:$C,"&gt;="&amp;DATE(2027,10,1),Report!$C:$C,"&lt;="&amp;DATE(2027,10,31))</f>
        <v/>
      </c>
      <c r="Y27" s="77">
        <f>SUMIFS(Report!$U:$U,Report!$T:$T,$A27,Report!$C:$C,"&gt;="&amp;DATE(2027,11,1),Report!$C:$C,"&lt;="&amp;DATE(2027,11,30))</f>
        <v/>
      </c>
      <c r="Z27" s="77">
        <f>SUMIFS(Report!$U:$U,Report!$T:$T,$A27,Report!$C:$C,"&gt;="&amp;DATE(2027,12,1),Report!$C:$C,"&lt;="&amp;DATE(2027,12,31))</f>
        <v/>
      </c>
      <c r="AA27" s="77">
        <f>SUM(C27:Z27)</f>
        <v/>
      </c>
    </row>
    <row r="28" ht="12.75" customHeight="1" s="60">
      <c r="A28" s="59" t="inlineStr">
        <is>
          <t>HONORARIOS CONTABEIS</t>
        </is>
      </c>
      <c r="B28" s="59">
        <f>IFERROR(INDEX('Resumo Grupos'!$AC$3:$AC$200,MATCH($A28,'Resumo Grupos'!$AB$3:$AB$200,0)),"n/d")</f>
        <v/>
      </c>
      <c r="C28" s="77">
        <f>SUMIFS(Report!$U:$U,Report!$T:$T,$A28,Report!$C:$C,"&gt;="&amp;DATE(2026,1,1),Report!$C:$C,"&lt;="&amp;DATE(2026,1,31))</f>
        <v/>
      </c>
      <c r="D28" s="77">
        <f>SUMIFS(Report!$U:$U,Report!$T:$T,$A28,Report!$C:$C,"&gt;="&amp;DATE(2026,2,1),Report!$C:$C,"&lt;="&amp;DATE(2026,2,28))</f>
        <v/>
      </c>
      <c r="E28" s="77">
        <f>SUMIFS(Report!$U:$U,Report!$T:$T,$A28,Report!$C:$C,"&gt;="&amp;DATE(2026,3,1),Report!$C:$C,"&lt;="&amp;DATE(2026,3,31))</f>
        <v/>
      </c>
      <c r="F28" s="77">
        <f>SUMIFS(Report!$U:$U,Report!$T:$T,$A28,Report!$C:$C,"&gt;="&amp;DATE(2026,4,1),Report!$C:$C,"&lt;="&amp;DATE(2026,4,30))</f>
        <v/>
      </c>
      <c r="G28" s="77">
        <f>SUMIFS(Report!$U:$U,Report!$T:$T,$A28,Report!$C:$C,"&gt;="&amp;DATE(2026,5,1),Report!$C:$C,"&lt;="&amp;DATE(2026,5,31))</f>
        <v/>
      </c>
      <c r="H28" s="77">
        <f>SUMIFS(Report!$U:$U,Report!$T:$T,$A28,Report!$C:$C,"&gt;="&amp;DATE(2026,6,1),Report!$C:$C,"&lt;="&amp;DATE(2026,6,30))</f>
        <v/>
      </c>
      <c r="I28" s="77">
        <f>SUMIFS(Report!$U:$U,Report!$T:$T,$A28,Report!$C:$C,"&gt;="&amp;DATE(2026,7,1),Report!$C:$C,"&lt;="&amp;DATE(2026,7,31))</f>
        <v/>
      </c>
      <c r="J28" s="77">
        <f>SUMIFS(Report!$U:$U,Report!$T:$T,$A28,Report!$C:$C,"&gt;="&amp;DATE(2026,8,1),Report!$C:$C,"&lt;="&amp;DATE(2026,8,31))</f>
        <v/>
      </c>
      <c r="K28" s="77">
        <f>SUMIFS(Report!$U:$U,Report!$T:$T,$A28,Report!$C:$C,"&gt;="&amp;DATE(2026,9,1),Report!$C:$C,"&lt;="&amp;DATE(2026,9,30))</f>
        <v/>
      </c>
      <c r="L28" s="77">
        <f>SUMIFS(Report!$U:$U,Report!$T:$T,$A28,Report!$C:$C,"&gt;="&amp;DATE(2026,10,1),Report!$C:$C,"&lt;="&amp;DATE(2026,10,31))</f>
        <v/>
      </c>
      <c r="M28" s="77">
        <f>SUMIFS(Report!$U:$U,Report!$T:$T,$A28,Report!$C:$C,"&gt;="&amp;DATE(2026,11,1),Report!$C:$C,"&lt;="&amp;DATE(2026,11,30))</f>
        <v/>
      </c>
      <c r="N28" s="77">
        <f>SUMIFS(Report!$U:$U,Report!$T:$T,$A28,Report!$C:$C,"&gt;="&amp;DATE(2026,12,1),Report!$C:$C,"&lt;="&amp;DATE(2026,12,31))</f>
        <v/>
      </c>
      <c r="O28" s="77">
        <f>SUMIFS(Report!$U:$U,Report!$T:$T,$A28,Report!$C:$C,"&gt;="&amp;DATE(2027,1,1),Report!$C:$C,"&lt;="&amp;DATE(2027,1,31))</f>
        <v/>
      </c>
      <c r="P28" s="77">
        <f>SUMIFS(Report!$U:$U,Report!$T:$T,$A28,Report!$C:$C,"&gt;="&amp;DATE(2027,2,1),Report!$C:$C,"&lt;="&amp;DATE(2027,2,28))</f>
        <v/>
      </c>
      <c r="Q28" s="77">
        <f>SUMIFS(Report!$U:$U,Report!$T:$T,$A28,Report!$C:$C,"&gt;="&amp;DATE(2027,3,1),Report!$C:$C,"&lt;="&amp;DATE(2027,3,31))</f>
        <v/>
      </c>
      <c r="R28" s="77">
        <f>SUMIFS(Report!$U:$U,Report!$T:$T,$A28,Report!$C:$C,"&gt;="&amp;DATE(2027,4,1),Report!$C:$C,"&lt;="&amp;DATE(2027,4,30))</f>
        <v/>
      </c>
      <c r="S28" s="77">
        <f>SUMIFS(Report!$U:$U,Report!$T:$T,$A28,Report!$C:$C,"&gt;="&amp;DATE(2027,5,1),Report!$C:$C,"&lt;="&amp;DATE(2027,5,31))</f>
        <v/>
      </c>
      <c r="T28" s="77">
        <f>SUMIFS(Report!$U:$U,Report!$T:$T,$A28,Report!$C:$C,"&gt;="&amp;DATE(2027,6,1),Report!$C:$C,"&lt;="&amp;DATE(2027,6,30))</f>
        <v/>
      </c>
      <c r="U28" s="77">
        <f>SUMIFS(Report!$U:$U,Report!$T:$T,$A28,Report!$C:$C,"&gt;="&amp;DATE(2027,7,1),Report!$C:$C,"&lt;="&amp;DATE(2027,7,31))</f>
        <v/>
      </c>
      <c r="V28" s="77">
        <f>SUMIFS(Report!$U:$U,Report!$T:$T,$A28,Report!$C:$C,"&gt;="&amp;DATE(2027,8,1),Report!$C:$C,"&lt;="&amp;DATE(2027,8,31))</f>
        <v/>
      </c>
      <c r="W28" s="77">
        <f>SUMIFS(Report!$U:$U,Report!$T:$T,$A28,Report!$C:$C,"&gt;="&amp;DATE(2027,9,1),Report!$C:$C,"&lt;="&amp;DATE(2027,9,30))</f>
        <v/>
      </c>
      <c r="X28" s="77">
        <f>SUMIFS(Report!$U:$U,Report!$T:$T,$A28,Report!$C:$C,"&gt;="&amp;DATE(2027,10,1),Report!$C:$C,"&lt;="&amp;DATE(2027,10,31))</f>
        <v/>
      </c>
      <c r="Y28" s="77">
        <f>SUMIFS(Report!$U:$U,Report!$T:$T,$A28,Report!$C:$C,"&gt;="&amp;DATE(2027,11,1),Report!$C:$C,"&lt;="&amp;DATE(2027,11,30))</f>
        <v/>
      </c>
      <c r="Z28" s="77">
        <f>SUMIFS(Report!$U:$U,Report!$T:$T,$A28,Report!$C:$C,"&gt;="&amp;DATE(2027,12,1),Report!$C:$C,"&lt;="&amp;DATE(2027,12,31))</f>
        <v/>
      </c>
      <c r="AA28" s="77">
        <f>SUM(C28:Z28)</f>
        <v/>
      </c>
    </row>
    <row r="29" ht="12.75" customHeight="1" s="60">
      <c r="A29" s="59" t="inlineStr">
        <is>
          <t>HONORARIOS JURIDICOS</t>
        </is>
      </c>
      <c r="B29" s="59">
        <f>IFERROR(INDEX('Resumo Grupos'!$AC$3:$AC$200,MATCH($A29,'Resumo Grupos'!$AB$3:$AB$200,0)),"n/d")</f>
        <v/>
      </c>
      <c r="C29" s="77">
        <f>SUMIFS(Report!$U:$U,Report!$T:$T,$A29,Report!$C:$C,"&gt;="&amp;DATE(2026,1,1),Report!$C:$C,"&lt;="&amp;DATE(2026,1,31))</f>
        <v/>
      </c>
      <c r="D29" s="77">
        <f>SUMIFS(Report!$U:$U,Report!$T:$T,$A29,Report!$C:$C,"&gt;="&amp;DATE(2026,2,1),Report!$C:$C,"&lt;="&amp;DATE(2026,2,28))</f>
        <v/>
      </c>
      <c r="E29" s="77">
        <f>SUMIFS(Report!$U:$U,Report!$T:$T,$A29,Report!$C:$C,"&gt;="&amp;DATE(2026,3,1),Report!$C:$C,"&lt;="&amp;DATE(2026,3,31))</f>
        <v/>
      </c>
      <c r="F29" s="77">
        <f>SUMIFS(Report!$U:$U,Report!$T:$T,$A29,Report!$C:$C,"&gt;="&amp;DATE(2026,4,1),Report!$C:$C,"&lt;="&amp;DATE(2026,4,30))</f>
        <v/>
      </c>
      <c r="G29" s="77">
        <f>SUMIFS(Report!$U:$U,Report!$T:$T,$A29,Report!$C:$C,"&gt;="&amp;DATE(2026,5,1),Report!$C:$C,"&lt;="&amp;DATE(2026,5,31))</f>
        <v/>
      </c>
      <c r="H29" s="77">
        <f>SUMIFS(Report!$U:$U,Report!$T:$T,$A29,Report!$C:$C,"&gt;="&amp;DATE(2026,6,1),Report!$C:$C,"&lt;="&amp;DATE(2026,6,30))</f>
        <v/>
      </c>
      <c r="I29" s="77">
        <f>SUMIFS(Report!$U:$U,Report!$T:$T,$A29,Report!$C:$C,"&gt;="&amp;DATE(2026,7,1),Report!$C:$C,"&lt;="&amp;DATE(2026,7,31))</f>
        <v/>
      </c>
      <c r="J29" s="77">
        <f>SUMIFS(Report!$U:$U,Report!$T:$T,$A29,Report!$C:$C,"&gt;="&amp;DATE(2026,8,1),Report!$C:$C,"&lt;="&amp;DATE(2026,8,31))</f>
        <v/>
      </c>
      <c r="K29" s="77">
        <f>SUMIFS(Report!$U:$U,Report!$T:$T,$A29,Report!$C:$C,"&gt;="&amp;DATE(2026,9,1),Report!$C:$C,"&lt;="&amp;DATE(2026,9,30))</f>
        <v/>
      </c>
      <c r="L29" s="77">
        <f>SUMIFS(Report!$U:$U,Report!$T:$T,$A29,Report!$C:$C,"&gt;="&amp;DATE(2026,10,1),Report!$C:$C,"&lt;="&amp;DATE(2026,10,31))</f>
        <v/>
      </c>
      <c r="M29" s="77">
        <f>SUMIFS(Report!$U:$U,Report!$T:$T,$A29,Report!$C:$C,"&gt;="&amp;DATE(2026,11,1),Report!$C:$C,"&lt;="&amp;DATE(2026,11,30))</f>
        <v/>
      </c>
      <c r="N29" s="77">
        <f>SUMIFS(Report!$U:$U,Report!$T:$T,$A29,Report!$C:$C,"&gt;="&amp;DATE(2026,12,1),Report!$C:$C,"&lt;="&amp;DATE(2026,12,31))</f>
        <v/>
      </c>
      <c r="O29" s="77">
        <f>SUMIFS(Report!$U:$U,Report!$T:$T,$A29,Report!$C:$C,"&gt;="&amp;DATE(2027,1,1),Report!$C:$C,"&lt;="&amp;DATE(2027,1,31))</f>
        <v/>
      </c>
      <c r="P29" s="77">
        <f>SUMIFS(Report!$U:$U,Report!$T:$T,$A29,Report!$C:$C,"&gt;="&amp;DATE(2027,2,1),Report!$C:$C,"&lt;="&amp;DATE(2027,2,28))</f>
        <v/>
      </c>
      <c r="Q29" s="77">
        <f>SUMIFS(Report!$U:$U,Report!$T:$T,$A29,Report!$C:$C,"&gt;="&amp;DATE(2027,3,1),Report!$C:$C,"&lt;="&amp;DATE(2027,3,31))</f>
        <v/>
      </c>
      <c r="R29" s="77">
        <f>SUMIFS(Report!$U:$U,Report!$T:$T,$A29,Report!$C:$C,"&gt;="&amp;DATE(2027,4,1),Report!$C:$C,"&lt;="&amp;DATE(2027,4,30))</f>
        <v/>
      </c>
      <c r="S29" s="77">
        <f>SUMIFS(Report!$U:$U,Report!$T:$T,$A29,Report!$C:$C,"&gt;="&amp;DATE(2027,5,1),Report!$C:$C,"&lt;="&amp;DATE(2027,5,31))</f>
        <v/>
      </c>
      <c r="T29" s="77">
        <f>SUMIFS(Report!$U:$U,Report!$T:$T,$A29,Report!$C:$C,"&gt;="&amp;DATE(2027,6,1),Report!$C:$C,"&lt;="&amp;DATE(2027,6,30))</f>
        <v/>
      </c>
      <c r="U29" s="77">
        <f>SUMIFS(Report!$U:$U,Report!$T:$T,$A29,Report!$C:$C,"&gt;="&amp;DATE(2027,7,1),Report!$C:$C,"&lt;="&amp;DATE(2027,7,31))</f>
        <v/>
      </c>
      <c r="V29" s="77">
        <f>SUMIFS(Report!$U:$U,Report!$T:$T,$A29,Report!$C:$C,"&gt;="&amp;DATE(2027,8,1),Report!$C:$C,"&lt;="&amp;DATE(2027,8,31))</f>
        <v/>
      </c>
      <c r="W29" s="77">
        <f>SUMIFS(Report!$U:$U,Report!$T:$T,$A29,Report!$C:$C,"&gt;="&amp;DATE(2027,9,1),Report!$C:$C,"&lt;="&amp;DATE(2027,9,30))</f>
        <v/>
      </c>
      <c r="X29" s="77">
        <f>SUMIFS(Report!$U:$U,Report!$T:$T,$A29,Report!$C:$C,"&gt;="&amp;DATE(2027,10,1),Report!$C:$C,"&lt;="&amp;DATE(2027,10,31))</f>
        <v/>
      </c>
      <c r="Y29" s="77">
        <f>SUMIFS(Report!$U:$U,Report!$T:$T,$A29,Report!$C:$C,"&gt;="&amp;DATE(2027,11,1),Report!$C:$C,"&lt;="&amp;DATE(2027,11,30))</f>
        <v/>
      </c>
      <c r="Z29" s="77">
        <f>SUMIFS(Report!$U:$U,Report!$T:$T,$A29,Report!$C:$C,"&gt;="&amp;DATE(2027,12,1),Report!$C:$C,"&lt;="&amp;DATE(2027,12,31))</f>
        <v/>
      </c>
      <c r="AA29" s="77">
        <f>SUM(C29:Z29)</f>
        <v/>
      </c>
    </row>
    <row r="30" ht="12.75" customHeight="1" s="60">
      <c r="A30" s="59" t="inlineStr">
        <is>
          <t>ICMS A PAGAR</t>
        </is>
      </c>
      <c r="B30" s="59">
        <f>IFERROR(INDEX('Resumo Grupos'!$AC$3:$AC$200,MATCH($A30,'Resumo Grupos'!$AB$3:$AB$200,0)),"n/d")</f>
        <v/>
      </c>
      <c r="C30" s="77">
        <f>SUMIFS(Report!$U:$U,Report!$T:$T,$A30,Report!$C:$C,"&gt;="&amp;DATE(2026,1,1),Report!$C:$C,"&lt;="&amp;DATE(2026,1,31))</f>
        <v/>
      </c>
      <c r="D30" s="77">
        <f>SUMIFS(Report!$U:$U,Report!$T:$T,$A30,Report!$C:$C,"&gt;="&amp;DATE(2026,2,1),Report!$C:$C,"&lt;="&amp;DATE(2026,2,28))</f>
        <v/>
      </c>
      <c r="E30" s="77">
        <f>SUMIFS(Report!$U:$U,Report!$T:$T,$A30,Report!$C:$C,"&gt;="&amp;DATE(2026,3,1),Report!$C:$C,"&lt;="&amp;DATE(2026,3,31))</f>
        <v/>
      </c>
      <c r="F30" s="77">
        <f>SUMIFS(Report!$U:$U,Report!$T:$T,$A30,Report!$C:$C,"&gt;="&amp;DATE(2026,4,1),Report!$C:$C,"&lt;="&amp;DATE(2026,4,30))</f>
        <v/>
      </c>
      <c r="G30" s="77">
        <f>SUMIFS(Report!$U:$U,Report!$T:$T,$A30,Report!$C:$C,"&gt;="&amp;DATE(2026,5,1),Report!$C:$C,"&lt;="&amp;DATE(2026,5,31))</f>
        <v/>
      </c>
      <c r="H30" s="77">
        <f>SUMIFS(Report!$U:$U,Report!$T:$T,$A30,Report!$C:$C,"&gt;="&amp;DATE(2026,6,1),Report!$C:$C,"&lt;="&amp;DATE(2026,6,30))</f>
        <v/>
      </c>
      <c r="I30" s="77">
        <f>SUMIFS(Report!$U:$U,Report!$T:$T,$A30,Report!$C:$C,"&gt;="&amp;DATE(2026,7,1),Report!$C:$C,"&lt;="&amp;DATE(2026,7,31))</f>
        <v/>
      </c>
      <c r="J30" s="77">
        <f>SUMIFS(Report!$U:$U,Report!$T:$T,$A30,Report!$C:$C,"&gt;="&amp;DATE(2026,8,1),Report!$C:$C,"&lt;="&amp;DATE(2026,8,31))</f>
        <v/>
      </c>
      <c r="K30" s="77">
        <f>SUMIFS(Report!$U:$U,Report!$T:$T,$A30,Report!$C:$C,"&gt;="&amp;DATE(2026,9,1),Report!$C:$C,"&lt;="&amp;DATE(2026,9,30))</f>
        <v/>
      </c>
      <c r="L30" s="77">
        <f>SUMIFS(Report!$U:$U,Report!$T:$T,$A30,Report!$C:$C,"&gt;="&amp;DATE(2026,10,1),Report!$C:$C,"&lt;="&amp;DATE(2026,10,31))</f>
        <v/>
      </c>
      <c r="M30" s="77">
        <f>SUMIFS(Report!$U:$U,Report!$T:$T,$A30,Report!$C:$C,"&gt;="&amp;DATE(2026,11,1),Report!$C:$C,"&lt;="&amp;DATE(2026,11,30))</f>
        <v/>
      </c>
      <c r="N30" s="77">
        <f>SUMIFS(Report!$U:$U,Report!$T:$T,$A30,Report!$C:$C,"&gt;="&amp;DATE(2026,12,1),Report!$C:$C,"&lt;="&amp;DATE(2026,12,31))</f>
        <v/>
      </c>
      <c r="O30" s="77">
        <f>SUMIFS(Report!$U:$U,Report!$T:$T,$A30,Report!$C:$C,"&gt;="&amp;DATE(2027,1,1),Report!$C:$C,"&lt;="&amp;DATE(2027,1,31))</f>
        <v/>
      </c>
      <c r="P30" s="77">
        <f>SUMIFS(Report!$U:$U,Report!$T:$T,$A30,Report!$C:$C,"&gt;="&amp;DATE(2027,2,1),Report!$C:$C,"&lt;="&amp;DATE(2027,2,28))</f>
        <v/>
      </c>
      <c r="Q30" s="77">
        <f>SUMIFS(Report!$U:$U,Report!$T:$T,$A30,Report!$C:$C,"&gt;="&amp;DATE(2027,3,1),Report!$C:$C,"&lt;="&amp;DATE(2027,3,31))</f>
        <v/>
      </c>
      <c r="R30" s="77">
        <f>SUMIFS(Report!$U:$U,Report!$T:$T,$A30,Report!$C:$C,"&gt;="&amp;DATE(2027,4,1),Report!$C:$C,"&lt;="&amp;DATE(2027,4,30))</f>
        <v/>
      </c>
      <c r="S30" s="77">
        <f>SUMIFS(Report!$U:$U,Report!$T:$T,$A30,Report!$C:$C,"&gt;="&amp;DATE(2027,5,1),Report!$C:$C,"&lt;="&amp;DATE(2027,5,31))</f>
        <v/>
      </c>
      <c r="T30" s="77">
        <f>SUMIFS(Report!$U:$U,Report!$T:$T,$A30,Report!$C:$C,"&gt;="&amp;DATE(2027,6,1),Report!$C:$C,"&lt;="&amp;DATE(2027,6,30))</f>
        <v/>
      </c>
      <c r="U30" s="77">
        <f>SUMIFS(Report!$U:$U,Report!$T:$T,$A30,Report!$C:$C,"&gt;="&amp;DATE(2027,7,1),Report!$C:$C,"&lt;="&amp;DATE(2027,7,31))</f>
        <v/>
      </c>
      <c r="V30" s="77">
        <f>SUMIFS(Report!$U:$U,Report!$T:$T,$A30,Report!$C:$C,"&gt;="&amp;DATE(2027,8,1),Report!$C:$C,"&lt;="&amp;DATE(2027,8,31))</f>
        <v/>
      </c>
      <c r="W30" s="77">
        <f>SUMIFS(Report!$U:$U,Report!$T:$T,$A30,Report!$C:$C,"&gt;="&amp;DATE(2027,9,1),Report!$C:$C,"&lt;="&amp;DATE(2027,9,30))</f>
        <v/>
      </c>
      <c r="X30" s="77">
        <f>SUMIFS(Report!$U:$U,Report!$T:$T,$A30,Report!$C:$C,"&gt;="&amp;DATE(2027,10,1),Report!$C:$C,"&lt;="&amp;DATE(2027,10,31))</f>
        <v/>
      </c>
      <c r="Y30" s="77">
        <f>SUMIFS(Report!$U:$U,Report!$T:$T,$A30,Report!$C:$C,"&gt;="&amp;DATE(2027,11,1),Report!$C:$C,"&lt;="&amp;DATE(2027,11,30))</f>
        <v/>
      </c>
      <c r="Z30" s="77">
        <f>SUMIFS(Report!$U:$U,Report!$T:$T,$A30,Report!$C:$C,"&gt;="&amp;DATE(2027,12,1),Report!$C:$C,"&lt;="&amp;DATE(2027,12,31))</f>
        <v/>
      </c>
      <c r="AA30" s="77">
        <f>SUM(C30:Z30)</f>
        <v/>
      </c>
    </row>
    <row r="31" ht="12.75" customHeight="1" s="60">
      <c r="A31" s="59" t="inlineStr">
        <is>
          <t>ICMS S/ VENDAS</t>
        </is>
      </c>
      <c r="B31" s="59">
        <f>IFERROR(INDEX('Resumo Grupos'!$AC$3:$AC$200,MATCH($A31,'Resumo Grupos'!$AB$3:$AB$200,0)),"n/d")</f>
        <v/>
      </c>
      <c r="C31" s="77">
        <f>SUMIFS(Report!$U:$U,Report!$T:$T,$A31,Report!$C:$C,"&gt;="&amp;DATE(2026,1,1),Report!$C:$C,"&lt;="&amp;DATE(2026,1,31))</f>
        <v/>
      </c>
      <c r="D31" s="77">
        <f>SUMIFS(Report!$U:$U,Report!$T:$T,$A31,Report!$C:$C,"&gt;="&amp;DATE(2026,2,1),Report!$C:$C,"&lt;="&amp;DATE(2026,2,28))</f>
        <v/>
      </c>
      <c r="E31" s="77">
        <f>SUMIFS(Report!$U:$U,Report!$T:$T,$A31,Report!$C:$C,"&gt;="&amp;DATE(2026,3,1),Report!$C:$C,"&lt;="&amp;DATE(2026,3,31))</f>
        <v/>
      </c>
      <c r="F31" s="77">
        <f>SUMIFS(Report!$U:$U,Report!$T:$T,$A31,Report!$C:$C,"&gt;="&amp;DATE(2026,4,1),Report!$C:$C,"&lt;="&amp;DATE(2026,4,30))</f>
        <v/>
      </c>
      <c r="G31" s="77">
        <f>SUMIFS(Report!$U:$U,Report!$T:$T,$A31,Report!$C:$C,"&gt;="&amp;DATE(2026,5,1),Report!$C:$C,"&lt;="&amp;DATE(2026,5,31))</f>
        <v/>
      </c>
      <c r="H31" s="77">
        <f>SUMIFS(Report!$U:$U,Report!$T:$T,$A31,Report!$C:$C,"&gt;="&amp;DATE(2026,6,1),Report!$C:$C,"&lt;="&amp;DATE(2026,6,30))</f>
        <v/>
      </c>
      <c r="I31" s="77">
        <f>SUMIFS(Report!$U:$U,Report!$T:$T,$A31,Report!$C:$C,"&gt;="&amp;DATE(2026,7,1),Report!$C:$C,"&lt;="&amp;DATE(2026,7,31))</f>
        <v/>
      </c>
      <c r="J31" s="77">
        <f>SUMIFS(Report!$U:$U,Report!$T:$T,$A31,Report!$C:$C,"&gt;="&amp;DATE(2026,8,1),Report!$C:$C,"&lt;="&amp;DATE(2026,8,31))</f>
        <v/>
      </c>
      <c r="K31" s="77">
        <f>SUMIFS(Report!$U:$U,Report!$T:$T,$A31,Report!$C:$C,"&gt;="&amp;DATE(2026,9,1),Report!$C:$C,"&lt;="&amp;DATE(2026,9,30))</f>
        <v/>
      </c>
      <c r="L31" s="77">
        <f>SUMIFS(Report!$U:$U,Report!$T:$T,$A31,Report!$C:$C,"&gt;="&amp;DATE(2026,10,1),Report!$C:$C,"&lt;="&amp;DATE(2026,10,31))</f>
        <v/>
      </c>
      <c r="M31" s="77">
        <f>SUMIFS(Report!$U:$U,Report!$T:$T,$A31,Report!$C:$C,"&gt;="&amp;DATE(2026,11,1),Report!$C:$C,"&lt;="&amp;DATE(2026,11,30))</f>
        <v/>
      </c>
      <c r="N31" s="77">
        <f>SUMIFS(Report!$U:$U,Report!$T:$T,$A31,Report!$C:$C,"&gt;="&amp;DATE(2026,12,1),Report!$C:$C,"&lt;="&amp;DATE(2026,12,31))</f>
        <v/>
      </c>
      <c r="O31" s="77">
        <f>SUMIFS(Report!$U:$U,Report!$T:$T,$A31,Report!$C:$C,"&gt;="&amp;DATE(2027,1,1),Report!$C:$C,"&lt;="&amp;DATE(2027,1,31))</f>
        <v/>
      </c>
      <c r="P31" s="77">
        <f>SUMIFS(Report!$U:$U,Report!$T:$T,$A31,Report!$C:$C,"&gt;="&amp;DATE(2027,2,1),Report!$C:$C,"&lt;="&amp;DATE(2027,2,28))</f>
        <v/>
      </c>
      <c r="Q31" s="77">
        <f>SUMIFS(Report!$U:$U,Report!$T:$T,$A31,Report!$C:$C,"&gt;="&amp;DATE(2027,3,1),Report!$C:$C,"&lt;="&amp;DATE(2027,3,31))</f>
        <v/>
      </c>
      <c r="R31" s="77">
        <f>SUMIFS(Report!$U:$U,Report!$T:$T,$A31,Report!$C:$C,"&gt;="&amp;DATE(2027,4,1),Report!$C:$C,"&lt;="&amp;DATE(2027,4,30))</f>
        <v/>
      </c>
      <c r="S31" s="77">
        <f>SUMIFS(Report!$U:$U,Report!$T:$T,$A31,Report!$C:$C,"&gt;="&amp;DATE(2027,5,1),Report!$C:$C,"&lt;="&amp;DATE(2027,5,31))</f>
        <v/>
      </c>
      <c r="T31" s="77">
        <f>SUMIFS(Report!$U:$U,Report!$T:$T,$A31,Report!$C:$C,"&gt;="&amp;DATE(2027,6,1),Report!$C:$C,"&lt;="&amp;DATE(2027,6,30))</f>
        <v/>
      </c>
      <c r="U31" s="77">
        <f>SUMIFS(Report!$U:$U,Report!$T:$T,$A31,Report!$C:$C,"&gt;="&amp;DATE(2027,7,1),Report!$C:$C,"&lt;="&amp;DATE(2027,7,31))</f>
        <v/>
      </c>
      <c r="V31" s="77">
        <f>SUMIFS(Report!$U:$U,Report!$T:$T,$A31,Report!$C:$C,"&gt;="&amp;DATE(2027,8,1),Report!$C:$C,"&lt;="&amp;DATE(2027,8,31))</f>
        <v/>
      </c>
      <c r="W31" s="77">
        <f>SUMIFS(Report!$U:$U,Report!$T:$T,$A31,Report!$C:$C,"&gt;="&amp;DATE(2027,9,1),Report!$C:$C,"&lt;="&amp;DATE(2027,9,30))</f>
        <v/>
      </c>
      <c r="X31" s="77">
        <f>SUMIFS(Report!$U:$U,Report!$T:$T,$A31,Report!$C:$C,"&gt;="&amp;DATE(2027,10,1),Report!$C:$C,"&lt;="&amp;DATE(2027,10,31))</f>
        <v/>
      </c>
      <c r="Y31" s="77">
        <f>SUMIFS(Report!$U:$U,Report!$T:$T,$A31,Report!$C:$C,"&gt;="&amp;DATE(2027,11,1),Report!$C:$C,"&lt;="&amp;DATE(2027,11,30))</f>
        <v/>
      </c>
      <c r="Z31" s="77">
        <f>SUMIFS(Report!$U:$U,Report!$T:$T,$A31,Report!$C:$C,"&gt;="&amp;DATE(2027,12,1),Report!$C:$C,"&lt;="&amp;DATE(2027,12,31))</f>
        <v/>
      </c>
      <c r="AA31" s="77">
        <f>SUM(C31:Z31)</f>
        <v/>
      </c>
    </row>
    <row r="32" ht="12.75" customHeight="1" s="60">
      <c r="A32" s="59" t="inlineStr">
        <is>
          <t>IMPOSTOS E TAXAS A APROPRIAR</t>
        </is>
      </c>
      <c r="B32" s="59">
        <f>IFERROR(INDEX('Resumo Grupos'!$AC$3:$AC$200,MATCH($A32,'Resumo Grupos'!$AB$3:$AB$200,0)),"n/d")</f>
        <v/>
      </c>
      <c r="C32" s="77">
        <f>SUMIFS(Report!$U:$U,Report!$T:$T,$A32,Report!$C:$C,"&gt;="&amp;DATE(2026,1,1),Report!$C:$C,"&lt;="&amp;DATE(2026,1,31))</f>
        <v/>
      </c>
      <c r="D32" s="77">
        <f>SUMIFS(Report!$U:$U,Report!$T:$T,$A32,Report!$C:$C,"&gt;="&amp;DATE(2026,2,1),Report!$C:$C,"&lt;="&amp;DATE(2026,2,28))</f>
        <v/>
      </c>
      <c r="E32" s="77">
        <f>SUMIFS(Report!$U:$U,Report!$T:$T,$A32,Report!$C:$C,"&gt;="&amp;DATE(2026,3,1),Report!$C:$C,"&lt;="&amp;DATE(2026,3,31))</f>
        <v/>
      </c>
      <c r="F32" s="77">
        <f>SUMIFS(Report!$U:$U,Report!$T:$T,$A32,Report!$C:$C,"&gt;="&amp;DATE(2026,4,1),Report!$C:$C,"&lt;="&amp;DATE(2026,4,30))</f>
        <v/>
      </c>
      <c r="G32" s="77">
        <f>SUMIFS(Report!$U:$U,Report!$T:$T,$A32,Report!$C:$C,"&gt;="&amp;DATE(2026,5,1),Report!$C:$C,"&lt;="&amp;DATE(2026,5,31))</f>
        <v/>
      </c>
      <c r="H32" s="77">
        <f>SUMIFS(Report!$U:$U,Report!$T:$T,$A32,Report!$C:$C,"&gt;="&amp;DATE(2026,6,1),Report!$C:$C,"&lt;="&amp;DATE(2026,6,30))</f>
        <v/>
      </c>
      <c r="I32" s="77">
        <f>SUMIFS(Report!$U:$U,Report!$T:$T,$A32,Report!$C:$C,"&gt;="&amp;DATE(2026,7,1),Report!$C:$C,"&lt;="&amp;DATE(2026,7,31))</f>
        <v/>
      </c>
      <c r="J32" s="77">
        <f>SUMIFS(Report!$U:$U,Report!$T:$T,$A32,Report!$C:$C,"&gt;="&amp;DATE(2026,8,1),Report!$C:$C,"&lt;="&amp;DATE(2026,8,31))</f>
        <v/>
      </c>
      <c r="K32" s="77">
        <f>SUMIFS(Report!$U:$U,Report!$T:$T,$A32,Report!$C:$C,"&gt;="&amp;DATE(2026,9,1),Report!$C:$C,"&lt;="&amp;DATE(2026,9,30))</f>
        <v/>
      </c>
      <c r="L32" s="77">
        <f>SUMIFS(Report!$U:$U,Report!$T:$T,$A32,Report!$C:$C,"&gt;="&amp;DATE(2026,10,1),Report!$C:$C,"&lt;="&amp;DATE(2026,10,31))</f>
        <v/>
      </c>
      <c r="M32" s="77">
        <f>SUMIFS(Report!$U:$U,Report!$T:$T,$A32,Report!$C:$C,"&gt;="&amp;DATE(2026,11,1),Report!$C:$C,"&lt;="&amp;DATE(2026,11,30))</f>
        <v/>
      </c>
      <c r="N32" s="77">
        <f>SUMIFS(Report!$U:$U,Report!$T:$T,$A32,Report!$C:$C,"&gt;="&amp;DATE(2026,12,1),Report!$C:$C,"&lt;="&amp;DATE(2026,12,31))</f>
        <v/>
      </c>
      <c r="O32" s="77">
        <f>SUMIFS(Report!$U:$U,Report!$T:$T,$A32,Report!$C:$C,"&gt;="&amp;DATE(2027,1,1),Report!$C:$C,"&lt;="&amp;DATE(2027,1,31))</f>
        <v/>
      </c>
      <c r="P32" s="77">
        <f>SUMIFS(Report!$U:$U,Report!$T:$T,$A32,Report!$C:$C,"&gt;="&amp;DATE(2027,2,1),Report!$C:$C,"&lt;="&amp;DATE(2027,2,28))</f>
        <v/>
      </c>
      <c r="Q32" s="77">
        <f>SUMIFS(Report!$U:$U,Report!$T:$T,$A32,Report!$C:$C,"&gt;="&amp;DATE(2027,3,1),Report!$C:$C,"&lt;="&amp;DATE(2027,3,31))</f>
        <v/>
      </c>
      <c r="R32" s="77">
        <f>SUMIFS(Report!$U:$U,Report!$T:$T,$A32,Report!$C:$C,"&gt;="&amp;DATE(2027,4,1),Report!$C:$C,"&lt;="&amp;DATE(2027,4,30))</f>
        <v/>
      </c>
      <c r="S32" s="77">
        <f>SUMIFS(Report!$U:$U,Report!$T:$T,$A32,Report!$C:$C,"&gt;="&amp;DATE(2027,5,1),Report!$C:$C,"&lt;="&amp;DATE(2027,5,31))</f>
        <v/>
      </c>
      <c r="T32" s="77">
        <f>SUMIFS(Report!$U:$U,Report!$T:$T,$A32,Report!$C:$C,"&gt;="&amp;DATE(2027,6,1),Report!$C:$C,"&lt;="&amp;DATE(2027,6,30))</f>
        <v/>
      </c>
      <c r="U32" s="77">
        <f>SUMIFS(Report!$U:$U,Report!$T:$T,$A32,Report!$C:$C,"&gt;="&amp;DATE(2027,7,1),Report!$C:$C,"&lt;="&amp;DATE(2027,7,31))</f>
        <v/>
      </c>
      <c r="V32" s="77">
        <f>SUMIFS(Report!$U:$U,Report!$T:$T,$A32,Report!$C:$C,"&gt;="&amp;DATE(2027,8,1),Report!$C:$C,"&lt;="&amp;DATE(2027,8,31))</f>
        <v/>
      </c>
      <c r="W32" s="77">
        <f>SUMIFS(Report!$U:$U,Report!$T:$T,$A32,Report!$C:$C,"&gt;="&amp;DATE(2027,9,1),Report!$C:$C,"&lt;="&amp;DATE(2027,9,30))</f>
        <v/>
      </c>
      <c r="X32" s="77">
        <f>SUMIFS(Report!$U:$U,Report!$T:$T,$A32,Report!$C:$C,"&gt;="&amp;DATE(2027,10,1),Report!$C:$C,"&lt;="&amp;DATE(2027,10,31))</f>
        <v/>
      </c>
      <c r="Y32" s="77">
        <f>SUMIFS(Report!$U:$U,Report!$T:$T,$A32,Report!$C:$C,"&gt;="&amp;DATE(2027,11,1),Report!$C:$C,"&lt;="&amp;DATE(2027,11,30))</f>
        <v/>
      </c>
      <c r="Z32" s="77">
        <f>SUMIFS(Report!$U:$U,Report!$T:$T,$A32,Report!$C:$C,"&gt;="&amp;DATE(2027,12,1),Report!$C:$C,"&lt;="&amp;DATE(2027,12,31))</f>
        <v/>
      </c>
      <c r="AA32" s="77">
        <f>SUM(C32:Z32)</f>
        <v/>
      </c>
    </row>
    <row r="33" ht="12.75" customHeight="1" s="60">
      <c r="A33" s="59" t="inlineStr">
        <is>
          <t>INSS (PREVIDENCIA SOCIAL)</t>
        </is>
      </c>
      <c r="B33" s="59">
        <f>IFERROR(INDEX('Resumo Grupos'!$AC$3:$AC$200,MATCH($A33,'Resumo Grupos'!$AB$3:$AB$200,0)),"n/d")</f>
        <v/>
      </c>
      <c r="C33" s="77">
        <f>SUMIFS(Report!$U:$U,Report!$T:$T,$A33,Report!$C:$C,"&gt;="&amp;DATE(2026,1,1),Report!$C:$C,"&lt;="&amp;DATE(2026,1,31))</f>
        <v/>
      </c>
      <c r="D33" s="77">
        <f>SUMIFS(Report!$U:$U,Report!$T:$T,$A33,Report!$C:$C,"&gt;="&amp;DATE(2026,2,1),Report!$C:$C,"&lt;="&amp;DATE(2026,2,28))</f>
        <v/>
      </c>
      <c r="E33" s="77">
        <f>SUMIFS(Report!$U:$U,Report!$T:$T,$A33,Report!$C:$C,"&gt;="&amp;DATE(2026,3,1),Report!$C:$C,"&lt;="&amp;DATE(2026,3,31))</f>
        <v/>
      </c>
      <c r="F33" s="77">
        <f>SUMIFS(Report!$U:$U,Report!$T:$T,$A33,Report!$C:$C,"&gt;="&amp;DATE(2026,4,1),Report!$C:$C,"&lt;="&amp;DATE(2026,4,30))</f>
        <v/>
      </c>
      <c r="G33" s="77">
        <f>SUMIFS(Report!$U:$U,Report!$T:$T,$A33,Report!$C:$C,"&gt;="&amp;DATE(2026,5,1),Report!$C:$C,"&lt;="&amp;DATE(2026,5,31))</f>
        <v/>
      </c>
      <c r="H33" s="77">
        <f>SUMIFS(Report!$U:$U,Report!$T:$T,$A33,Report!$C:$C,"&gt;="&amp;DATE(2026,6,1),Report!$C:$C,"&lt;="&amp;DATE(2026,6,30))</f>
        <v/>
      </c>
      <c r="I33" s="77">
        <f>SUMIFS(Report!$U:$U,Report!$T:$T,$A33,Report!$C:$C,"&gt;="&amp;DATE(2026,7,1),Report!$C:$C,"&lt;="&amp;DATE(2026,7,31))</f>
        <v/>
      </c>
      <c r="J33" s="77">
        <f>SUMIFS(Report!$U:$U,Report!$T:$T,$A33,Report!$C:$C,"&gt;="&amp;DATE(2026,8,1),Report!$C:$C,"&lt;="&amp;DATE(2026,8,31))</f>
        <v/>
      </c>
      <c r="K33" s="77">
        <f>SUMIFS(Report!$U:$U,Report!$T:$T,$A33,Report!$C:$C,"&gt;="&amp;DATE(2026,9,1),Report!$C:$C,"&lt;="&amp;DATE(2026,9,30))</f>
        <v/>
      </c>
      <c r="L33" s="77">
        <f>SUMIFS(Report!$U:$U,Report!$T:$T,$A33,Report!$C:$C,"&gt;="&amp;DATE(2026,10,1),Report!$C:$C,"&lt;="&amp;DATE(2026,10,31))</f>
        <v/>
      </c>
      <c r="M33" s="77">
        <f>SUMIFS(Report!$U:$U,Report!$T:$T,$A33,Report!$C:$C,"&gt;="&amp;DATE(2026,11,1),Report!$C:$C,"&lt;="&amp;DATE(2026,11,30))</f>
        <v/>
      </c>
      <c r="N33" s="77">
        <f>SUMIFS(Report!$U:$U,Report!$T:$T,$A33,Report!$C:$C,"&gt;="&amp;DATE(2026,12,1),Report!$C:$C,"&lt;="&amp;DATE(2026,12,31))</f>
        <v/>
      </c>
      <c r="O33" s="77">
        <f>SUMIFS(Report!$U:$U,Report!$T:$T,$A33,Report!$C:$C,"&gt;="&amp;DATE(2027,1,1),Report!$C:$C,"&lt;="&amp;DATE(2027,1,31))</f>
        <v/>
      </c>
      <c r="P33" s="77">
        <f>SUMIFS(Report!$U:$U,Report!$T:$T,$A33,Report!$C:$C,"&gt;="&amp;DATE(2027,2,1),Report!$C:$C,"&lt;="&amp;DATE(2027,2,28))</f>
        <v/>
      </c>
      <c r="Q33" s="77">
        <f>SUMIFS(Report!$U:$U,Report!$T:$T,$A33,Report!$C:$C,"&gt;="&amp;DATE(2027,3,1),Report!$C:$C,"&lt;="&amp;DATE(2027,3,31))</f>
        <v/>
      </c>
      <c r="R33" s="77">
        <f>SUMIFS(Report!$U:$U,Report!$T:$T,$A33,Report!$C:$C,"&gt;="&amp;DATE(2027,4,1),Report!$C:$C,"&lt;="&amp;DATE(2027,4,30))</f>
        <v/>
      </c>
      <c r="S33" s="77">
        <f>SUMIFS(Report!$U:$U,Report!$T:$T,$A33,Report!$C:$C,"&gt;="&amp;DATE(2027,5,1),Report!$C:$C,"&lt;="&amp;DATE(2027,5,31))</f>
        <v/>
      </c>
      <c r="T33" s="77">
        <f>SUMIFS(Report!$U:$U,Report!$T:$T,$A33,Report!$C:$C,"&gt;="&amp;DATE(2027,6,1),Report!$C:$C,"&lt;="&amp;DATE(2027,6,30))</f>
        <v/>
      </c>
      <c r="U33" s="77">
        <f>SUMIFS(Report!$U:$U,Report!$T:$T,$A33,Report!$C:$C,"&gt;="&amp;DATE(2027,7,1),Report!$C:$C,"&lt;="&amp;DATE(2027,7,31))</f>
        <v/>
      </c>
      <c r="V33" s="77">
        <f>SUMIFS(Report!$U:$U,Report!$T:$T,$A33,Report!$C:$C,"&gt;="&amp;DATE(2027,8,1),Report!$C:$C,"&lt;="&amp;DATE(2027,8,31))</f>
        <v/>
      </c>
      <c r="W33" s="77">
        <f>SUMIFS(Report!$U:$U,Report!$T:$T,$A33,Report!$C:$C,"&gt;="&amp;DATE(2027,9,1),Report!$C:$C,"&lt;="&amp;DATE(2027,9,30))</f>
        <v/>
      </c>
      <c r="X33" s="77">
        <f>SUMIFS(Report!$U:$U,Report!$T:$T,$A33,Report!$C:$C,"&gt;="&amp;DATE(2027,10,1),Report!$C:$C,"&lt;="&amp;DATE(2027,10,31))</f>
        <v/>
      </c>
      <c r="Y33" s="77">
        <f>SUMIFS(Report!$U:$U,Report!$T:$T,$A33,Report!$C:$C,"&gt;="&amp;DATE(2027,11,1),Report!$C:$C,"&lt;="&amp;DATE(2027,11,30))</f>
        <v/>
      </c>
      <c r="Z33" s="77">
        <f>SUMIFS(Report!$U:$U,Report!$T:$T,$A33,Report!$C:$C,"&gt;="&amp;DATE(2027,12,1),Report!$C:$C,"&lt;="&amp;DATE(2027,12,31))</f>
        <v/>
      </c>
      <c r="AA33" s="77">
        <f>SUM(C33:Z33)</f>
        <v/>
      </c>
    </row>
    <row r="34" ht="12.75" customHeight="1" s="60">
      <c r="A34" s="59" t="inlineStr">
        <is>
          <t>INTERNET</t>
        </is>
      </c>
      <c r="B34" s="59">
        <f>IFERROR(INDEX('Resumo Grupos'!$AC$3:$AC$200,MATCH($A34,'Resumo Grupos'!$AB$3:$AB$200,0)),"n/d")</f>
        <v/>
      </c>
      <c r="C34" s="77">
        <f>SUMIFS(Report!$U:$U,Report!$T:$T,$A34,Report!$C:$C,"&gt;="&amp;DATE(2026,1,1),Report!$C:$C,"&lt;="&amp;DATE(2026,1,31))</f>
        <v/>
      </c>
      <c r="D34" s="77">
        <f>SUMIFS(Report!$U:$U,Report!$T:$T,$A34,Report!$C:$C,"&gt;="&amp;DATE(2026,2,1),Report!$C:$C,"&lt;="&amp;DATE(2026,2,28))</f>
        <v/>
      </c>
      <c r="E34" s="77">
        <f>SUMIFS(Report!$U:$U,Report!$T:$T,$A34,Report!$C:$C,"&gt;="&amp;DATE(2026,3,1),Report!$C:$C,"&lt;="&amp;DATE(2026,3,31))</f>
        <v/>
      </c>
      <c r="F34" s="77">
        <f>SUMIFS(Report!$U:$U,Report!$T:$T,$A34,Report!$C:$C,"&gt;="&amp;DATE(2026,4,1),Report!$C:$C,"&lt;="&amp;DATE(2026,4,30))</f>
        <v/>
      </c>
      <c r="G34" s="77">
        <f>SUMIFS(Report!$U:$U,Report!$T:$T,$A34,Report!$C:$C,"&gt;="&amp;DATE(2026,5,1),Report!$C:$C,"&lt;="&amp;DATE(2026,5,31))</f>
        <v/>
      </c>
      <c r="H34" s="77">
        <f>SUMIFS(Report!$U:$U,Report!$T:$T,$A34,Report!$C:$C,"&gt;="&amp;DATE(2026,6,1),Report!$C:$C,"&lt;="&amp;DATE(2026,6,30))</f>
        <v/>
      </c>
      <c r="I34" s="77">
        <f>SUMIFS(Report!$U:$U,Report!$T:$T,$A34,Report!$C:$C,"&gt;="&amp;DATE(2026,7,1),Report!$C:$C,"&lt;="&amp;DATE(2026,7,31))</f>
        <v/>
      </c>
      <c r="J34" s="77">
        <f>SUMIFS(Report!$U:$U,Report!$T:$T,$A34,Report!$C:$C,"&gt;="&amp;DATE(2026,8,1),Report!$C:$C,"&lt;="&amp;DATE(2026,8,31))</f>
        <v/>
      </c>
      <c r="K34" s="77">
        <f>SUMIFS(Report!$U:$U,Report!$T:$T,$A34,Report!$C:$C,"&gt;="&amp;DATE(2026,9,1),Report!$C:$C,"&lt;="&amp;DATE(2026,9,30))</f>
        <v/>
      </c>
      <c r="L34" s="77">
        <f>SUMIFS(Report!$U:$U,Report!$T:$T,$A34,Report!$C:$C,"&gt;="&amp;DATE(2026,10,1),Report!$C:$C,"&lt;="&amp;DATE(2026,10,31))</f>
        <v/>
      </c>
      <c r="M34" s="77">
        <f>SUMIFS(Report!$U:$U,Report!$T:$T,$A34,Report!$C:$C,"&gt;="&amp;DATE(2026,11,1),Report!$C:$C,"&lt;="&amp;DATE(2026,11,30))</f>
        <v/>
      </c>
      <c r="N34" s="77">
        <f>SUMIFS(Report!$U:$U,Report!$T:$T,$A34,Report!$C:$C,"&gt;="&amp;DATE(2026,12,1),Report!$C:$C,"&lt;="&amp;DATE(2026,12,31))</f>
        <v/>
      </c>
      <c r="O34" s="77">
        <f>SUMIFS(Report!$U:$U,Report!$T:$T,$A34,Report!$C:$C,"&gt;="&amp;DATE(2027,1,1),Report!$C:$C,"&lt;="&amp;DATE(2027,1,31))</f>
        <v/>
      </c>
      <c r="P34" s="77">
        <f>SUMIFS(Report!$U:$U,Report!$T:$T,$A34,Report!$C:$C,"&gt;="&amp;DATE(2027,2,1),Report!$C:$C,"&lt;="&amp;DATE(2027,2,28))</f>
        <v/>
      </c>
      <c r="Q34" s="77">
        <f>SUMIFS(Report!$U:$U,Report!$T:$T,$A34,Report!$C:$C,"&gt;="&amp;DATE(2027,3,1),Report!$C:$C,"&lt;="&amp;DATE(2027,3,31))</f>
        <v/>
      </c>
      <c r="R34" s="77">
        <f>SUMIFS(Report!$U:$U,Report!$T:$T,$A34,Report!$C:$C,"&gt;="&amp;DATE(2027,4,1),Report!$C:$C,"&lt;="&amp;DATE(2027,4,30))</f>
        <v/>
      </c>
      <c r="S34" s="77">
        <f>SUMIFS(Report!$U:$U,Report!$T:$T,$A34,Report!$C:$C,"&gt;="&amp;DATE(2027,5,1),Report!$C:$C,"&lt;="&amp;DATE(2027,5,31))</f>
        <v/>
      </c>
      <c r="T34" s="77">
        <f>SUMIFS(Report!$U:$U,Report!$T:$T,$A34,Report!$C:$C,"&gt;="&amp;DATE(2027,6,1),Report!$C:$C,"&lt;="&amp;DATE(2027,6,30))</f>
        <v/>
      </c>
      <c r="U34" s="77">
        <f>SUMIFS(Report!$U:$U,Report!$T:$T,$A34,Report!$C:$C,"&gt;="&amp;DATE(2027,7,1),Report!$C:$C,"&lt;="&amp;DATE(2027,7,31))</f>
        <v/>
      </c>
      <c r="V34" s="77">
        <f>SUMIFS(Report!$U:$U,Report!$T:$T,$A34,Report!$C:$C,"&gt;="&amp;DATE(2027,8,1),Report!$C:$C,"&lt;="&amp;DATE(2027,8,31))</f>
        <v/>
      </c>
      <c r="W34" s="77">
        <f>SUMIFS(Report!$U:$U,Report!$T:$T,$A34,Report!$C:$C,"&gt;="&amp;DATE(2027,9,1),Report!$C:$C,"&lt;="&amp;DATE(2027,9,30))</f>
        <v/>
      </c>
      <c r="X34" s="77">
        <f>SUMIFS(Report!$U:$U,Report!$T:$T,$A34,Report!$C:$C,"&gt;="&amp;DATE(2027,10,1),Report!$C:$C,"&lt;="&amp;DATE(2027,10,31))</f>
        <v/>
      </c>
      <c r="Y34" s="77">
        <f>SUMIFS(Report!$U:$U,Report!$T:$T,$A34,Report!$C:$C,"&gt;="&amp;DATE(2027,11,1),Report!$C:$C,"&lt;="&amp;DATE(2027,11,30))</f>
        <v/>
      </c>
      <c r="Z34" s="77">
        <f>SUMIFS(Report!$U:$U,Report!$T:$T,$A34,Report!$C:$C,"&gt;="&amp;DATE(2027,12,1),Report!$C:$C,"&lt;="&amp;DATE(2027,12,31))</f>
        <v/>
      </c>
      <c r="AA34" s="77">
        <f>SUM(C34:Z34)</f>
        <v/>
      </c>
    </row>
    <row r="35" ht="12.75" customHeight="1" s="60">
      <c r="A35" s="59" t="inlineStr">
        <is>
          <t>IOF - OPERACOES FINANCEIRAS</t>
        </is>
      </c>
      <c r="B35" s="59">
        <f>IFERROR(INDEX('Resumo Grupos'!$AC$3:$AC$200,MATCH($A35,'Resumo Grupos'!$AB$3:$AB$200,0)),"n/d")</f>
        <v/>
      </c>
      <c r="C35" s="77">
        <f>SUMIFS(Report!$U:$U,Report!$T:$T,$A35,Report!$C:$C,"&gt;="&amp;DATE(2026,1,1),Report!$C:$C,"&lt;="&amp;DATE(2026,1,31))</f>
        <v/>
      </c>
      <c r="D35" s="77">
        <f>SUMIFS(Report!$U:$U,Report!$T:$T,$A35,Report!$C:$C,"&gt;="&amp;DATE(2026,2,1),Report!$C:$C,"&lt;="&amp;DATE(2026,2,28))</f>
        <v/>
      </c>
      <c r="E35" s="77">
        <f>SUMIFS(Report!$U:$U,Report!$T:$T,$A35,Report!$C:$C,"&gt;="&amp;DATE(2026,3,1),Report!$C:$C,"&lt;="&amp;DATE(2026,3,31))</f>
        <v/>
      </c>
      <c r="F35" s="77">
        <f>SUMIFS(Report!$U:$U,Report!$T:$T,$A35,Report!$C:$C,"&gt;="&amp;DATE(2026,4,1),Report!$C:$C,"&lt;="&amp;DATE(2026,4,30))</f>
        <v/>
      </c>
      <c r="G35" s="77">
        <f>SUMIFS(Report!$U:$U,Report!$T:$T,$A35,Report!$C:$C,"&gt;="&amp;DATE(2026,5,1),Report!$C:$C,"&lt;="&amp;DATE(2026,5,31))</f>
        <v/>
      </c>
      <c r="H35" s="77">
        <f>SUMIFS(Report!$U:$U,Report!$T:$T,$A35,Report!$C:$C,"&gt;="&amp;DATE(2026,6,1),Report!$C:$C,"&lt;="&amp;DATE(2026,6,30))</f>
        <v/>
      </c>
      <c r="I35" s="77">
        <f>SUMIFS(Report!$U:$U,Report!$T:$T,$A35,Report!$C:$C,"&gt;="&amp;DATE(2026,7,1),Report!$C:$C,"&lt;="&amp;DATE(2026,7,31))</f>
        <v/>
      </c>
      <c r="J35" s="77">
        <f>SUMIFS(Report!$U:$U,Report!$T:$T,$A35,Report!$C:$C,"&gt;="&amp;DATE(2026,8,1),Report!$C:$C,"&lt;="&amp;DATE(2026,8,31))</f>
        <v/>
      </c>
      <c r="K35" s="77">
        <f>SUMIFS(Report!$U:$U,Report!$T:$T,$A35,Report!$C:$C,"&gt;="&amp;DATE(2026,9,1),Report!$C:$C,"&lt;="&amp;DATE(2026,9,30))</f>
        <v/>
      </c>
      <c r="L35" s="77">
        <f>SUMIFS(Report!$U:$U,Report!$T:$T,$A35,Report!$C:$C,"&gt;="&amp;DATE(2026,10,1),Report!$C:$C,"&lt;="&amp;DATE(2026,10,31))</f>
        <v/>
      </c>
      <c r="M35" s="77">
        <f>SUMIFS(Report!$U:$U,Report!$T:$T,$A35,Report!$C:$C,"&gt;="&amp;DATE(2026,11,1),Report!$C:$C,"&lt;="&amp;DATE(2026,11,30))</f>
        <v/>
      </c>
      <c r="N35" s="77">
        <f>SUMIFS(Report!$U:$U,Report!$T:$T,$A35,Report!$C:$C,"&gt;="&amp;DATE(2026,12,1),Report!$C:$C,"&lt;="&amp;DATE(2026,12,31))</f>
        <v/>
      </c>
      <c r="O35" s="77">
        <f>SUMIFS(Report!$U:$U,Report!$T:$T,$A35,Report!$C:$C,"&gt;="&amp;DATE(2027,1,1),Report!$C:$C,"&lt;="&amp;DATE(2027,1,31))</f>
        <v/>
      </c>
      <c r="P35" s="77">
        <f>SUMIFS(Report!$U:$U,Report!$T:$T,$A35,Report!$C:$C,"&gt;="&amp;DATE(2027,2,1),Report!$C:$C,"&lt;="&amp;DATE(2027,2,28))</f>
        <v/>
      </c>
      <c r="Q35" s="77">
        <f>SUMIFS(Report!$U:$U,Report!$T:$T,$A35,Report!$C:$C,"&gt;="&amp;DATE(2027,3,1),Report!$C:$C,"&lt;="&amp;DATE(2027,3,31))</f>
        <v/>
      </c>
      <c r="R35" s="77">
        <f>SUMIFS(Report!$U:$U,Report!$T:$T,$A35,Report!$C:$C,"&gt;="&amp;DATE(2027,4,1),Report!$C:$C,"&lt;="&amp;DATE(2027,4,30))</f>
        <v/>
      </c>
      <c r="S35" s="77">
        <f>SUMIFS(Report!$U:$U,Report!$T:$T,$A35,Report!$C:$C,"&gt;="&amp;DATE(2027,5,1),Report!$C:$C,"&lt;="&amp;DATE(2027,5,31))</f>
        <v/>
      </c>
      <c r="T35" s="77">
        <f>SUMIFS(Report!$U:$U,Report!$T:$T,$A35,Report!$C:$C,"&gt;="&amp;DATE(2027,6,1),Report!$C:$C,"&lt;="&amp;DATE(2027,6,30))</f>
        <v/>
      </c>
      <c r="U35" s="77">
        <f>SUMIFS(Report!$U:$U,Report!$T:$T,$A35,Report!$C:$C,"&gt;="&amp;DATE(2027,7,1),Report!$C:$C,"&lt;="&amp;DATE(2027,7,31))</f>
        <v/>
      </c>
      <c r="V35" s="77">
        <f>SUMIFS(Report!$U:$U,Report!$T:$T,$A35,Report!$C:$C,"&gt;="&amp;DATE(2027,8,1),Report!$C:$C,"&lt;="&amp;DATE(2027,8,31))</f>
        <v/>
      </c>
      <c r="W35" s="77">
        <f>SUMIFS(Report!$U:$U,Report!$T:$T,$A35,Report!$C:$C,"&gt;="&amp;DATE(2027,9,1),Report!$C:$C,"&lt;="&amp;DATE(2027,9,30))</f>
        <v/>
      </c>
      <c r="X35" s="77">
        <f>SUMIFS(Report!$U:$U,Report!$T:$T,$A35,Report!$C:$C,"&gt;="&amp;DATE(2027,10,1),Report!$C:$C,"&lt;="&amp;DATE(2027,10,31))</f>
        <v/>
      </c>
      <c r="Y35" s="77">
        <f>SUMIFS(Report!$U:$U,Report!$T:$T,$A35,Report!$C:$C,"&gt;="&amp;DATE(2027,11,1),Report!$C:$C,"&lt;="&amp;DATE(2027,11,30))</f>
        <v/>
      </c>
      <c r="Z35" s="77">
        <f>SUMIFS(Report!$U:$U,Report!$T:$T,$A35,Report!$C:$C,"&gt;="&amp;DATE(2027,12,1),Report!$C:$C,"&lt;="&amp;DATE(2027,12,31))</f>
        <v/>
      </c>
      <c r="AA35" s="77">
        <f>SUM(C35:Z35)</f>
        <v/>
      </c>
    </row>
    <row r="36" ht="12.75" customHeight="1" s="60">
      <c r="A36" s="59" t="inlineStr">
        <is>
          <t>IPTU</t>
        </is>
      </c>
      <c r="B36" s="59">
        <f>IFERROR(INDEX('Resumo Grupos'!$AC$3:$AC$200,MATCH($A36,'Resumo Grupos'!$AB$3:$AB$200,0)),"n/d")</f>
        <v/>
      </c>
      <c r="C36" s="77">
        <f>SUMIFS(Report!$U:$U,Report!$T:$T,$A36,Report!$C:$C,"&gt;="&amp;DATE(2026,1,1),Report!$C:$C,"&lt;="&amp;DATE(2026,1,31))</f>
        <v/>
      </c>
      <c r="D36" s="77">
        <f>SUMIFS(Report!$U:$U,Report!$T:$T,$A36,Report!$C:$C,"&gt;="&amp;DATE(2026,2,1),Report!$C:$C,"&lt;="&amp;DATE(2026,2,28))</f>
        <v/>
      </c>
      <c r="E36" s="77">
        <f>SUMIFS(Report!$U:$U,Report!$T:$T,$A36,Report!$C:$C,"&gt;="&amp;DATE(2026,3,1),Report!$C:$C,"&lt;="&amp;DATE(2026,3,31))</f>
        <v/>
      </c>
      <c r="F36" s="77">
        <f>SUMIFS(Report!$U:$U,Report!$T:$T,$A36,Report!$C:$C,"&gt;="&amp;DATE(2026,4,1),Report!$C:$C,"&lt;="&amp;DATE(2026,4,30))</f>
        <v/>
      </c>
      <c r="G36" s="77">
        <f>SUMIFS(Report!$U:$U,Report!$T:$T,$A36,Report!$C:$C,"&gt;="&amp;DATE(2026,5,1),Report!$C:$C,"&lt;="&amp;DATE(2026,5,31))</f>
        <v/>
      </c>
      <c r="H36" s="77">
        <f>SUMIFS(Report!$U:$U,Report!$T:$T,$A36,Report!$C:$C,"&gt;="&amp;DATE(2026,6,1),Report!$C:$C,"&lt;="&amp;DATE(2026,6,30))</f>
        <v/>
      </c>
      <c r="I36" s="77">
        <f>SUMIFS(Report!$U:$U,Report!$T:$T,$A36,Report!$C:$C,"&gt;="&amp;DATE(2026,7,1),Report!$C:$C,"&lt;="&amp;DATE(2026,7,31))</f>
        <v/>
      </c>
      <c r="J36" s="77">
        <f>SUMIFS(Report!$U:$U,Report!$T:$T,$A36,Report!$C:$C,"&gt;="&amp;DATE(2026,8,1),Report!$C:$C,"&lt;="&amp;DATE(2026,8,31))</f>
        <v/>
      </c>
      <c r="K36" s="77">
        <f>SUMIFS(Report!$U:$U,Report!$T:$T,$A36,Report!$C:$C,"&gt;="&amp;DATE(2026,9,1),Report!$C:$C,"&lt;="&amp;DATE(2026,9,30))</f>
        <v/>
      </c>
      <c r="L36" s="77">
        <f>SUMIFS(Report!$U:$U,Report!$T:$T,$A36,Report!$C:$C,"&gt;="&amp;DATE(2026,10,1),Report!$C:$C,"&lt;="&amp;DATE(2026,10,31))</f>
        <v/>
      </c>
      <c r="M36" s="77">
        <f>SUMIFS(Report!$U:$U,Report!$T:$T,$A36,Report!$C:$C,"&gt;="&amp;DATE(2026,11,1),Report!$C:$C,"&lt;="&amp;DATE(2026,11,30))</f>
        <v/>
      </c>
      <c r="N36" s="77">
        <f>SUMIFS(Report!$U:$U,Report!$T:$T,$A36,Report!$C:$C,"&gt;="&amp;DATE(2026,12,1),Report!$C:$C,"&lt;="&amp;DATE(2026,12,31))</f>
        <v/>
      </c>
      <c r="O36" s="77">
        <f>SUMIFS(Report!$U:$U,Report!$T:$T,$A36,Report!$C:$C,"&gt;="&amp;DATE(2027,1,1),Report!$C:$C,"&lt;="&amp;DATE(2027,1,31))</f>
        <v/>
      </c>
      <c r="P36" s="77">
        <f>SUMIFS(Report!$U:$U,Report!$T:$T,$A36,Report!$C:$C,"&gt;="&amp;DATE(2027,2,1),Report!$C:$C,"&lt;="&amp;DATE(2027,2,28))</f>
        <v/>
      </c>
      <c r="Q36" s="77">
        <f>SUMIFS(Report!$U:$U,Report!$T:$T,$A36,Report!$C:$C,"&gt;="&amp;DATE(2027,3,1),Report!$C:$C,"&lt;="&amp;DATE(2027,3,31))</f>
        <v/>
      </c>
      <c r="R36" s="77">
        <f>SUMIFS(Report!$U:$U,Report!$T:$T,$A36,Report!$C:$C,"&gt;="&amp;DATE(2027,4,1),Report!$C:$C,"&lt;="&amp;DATE(2027,4,30))</f>
        <v/>
      </c>
      <c r="S36" s="77">
        <f>SUMIFS(Report!$U:$U,Report!$T:$T,$A36,Report!$C:$C,"&gt;="&amp;DATE(2027,5,1),Report!$C:$C,"&lt;="&amp;DATE(2027,5,31))</f>
        <v/>
      </c>
      <c r="T36" s="77">
        <f>SUMIFS(Report!$U:$U,Report!$T:$T,$A36,Report!$C:$C,"&gt;="&amp;DATE(2027,6,1),Report!$C:$C,"&lt;="&amp;DATE(2027,6,30))</f>
        <v/>
      </c>
      <c r="U36" s="77">
        <f>SUMIFS(Report!$U:$U,Report!$T:$T,$A36,Report!$C:$C,"&gt;="&amp;DATE(2027,7,1),Report!$C:$C,"&lt;="&amp;DATE(2027,7,31))</f>
        <v/>
      </c>
      <c r="V36" s="77">
        <f>SUMIFS(Report!$U:$U,Report!$T:$T,$A36,Report!$C:$C,"&gt;="&amp;DATE(2027,8,1),Report!$C:$C,"&lt;="&amp;DATE(2027,8,31))</f>
        <v/>
      </c>
      <c r="W36" s="77">
        <f>SUMIFS(Report!$U:$U,Report!$T:$T,$A36,Report!$C:$C,"&gt;="&amp;DATE(2027,9,1),Report!$C:$C,"&lt;="&amp;DATE(2027,9,30))</f>
        <v/>
      </c>
      <c r="X36" s="77">
        <f>SUMIFS(Report!$U:$U,Report!$T:$T,$A36,Report!$C:$C,"&gt;="&amp;DATE(2027,10,1),Report!$C:$C,"&lt;="&amp;DATE(2027,10,31))</f>
        <v/>
      </c>
      <c r="Y36" s="77">
        <f>SUMIFS(Report!$U:$U,Report!$T:$T,$A36,Report!$C:$C,"&gt;="&amp;DATE(2027,11,1),Report!$C:$C,"&lt;="&amp;DATE(2027,11,30))</f>
        <v/>
      </c>
      <c r="Z36" s="77">
        <f>SUMIFS(Report!$U:$U,Report!$T:$T,$A36,Report!$C:$C,"&gt;="&amp;DATE(2027,12,1),Report!$C:$C,"&lt;="&amp;DATE(2027,12,31))</f>
        <v/>
      </c>
      <c r="AA36" s="77">
        <f>SUM(C36:Z36)</f>
        <v/>
      </c>
    </row>
    <row r="37" ht="12.75" customHeight="1" s="60">
      <c r="A37" s="59" t="inlineStr">
        <is>
          <t>IRPJ A PAGAR</t>
        </is>
      </c>
      <c r="B37" s="59">
        <f>IFERROR(INDEX('Resumo Grupos'!$AC$3:$AC$200,MATCH($A37,'Resumo Grupos'!$AB$3:$AB$200,0)),"n/d")</f>
        <v/>
      </c>
      <c r="C37" s="77">
        <f>SUMIFS(Report!$U:$U,Report!$T:$T,$A37,Report!$C:$C,"&gt;="&amp;DATE(2026,1,1),Report!$C:$C,"&lt;="&amp;DATE(2026,1,31))</f>
        <v/>
      </c>
      <c r="D37" s="77">
        <f>SUMIFS(Report!$U:$U,Report!$T:$T,$A37,Report!$C:$C,"&gt;="&amp;DATE(2026,2,1),Report!$C:$C,"&lt;="&amp;DATE(2026,2,28))</f>
        <v/>
      </c>
      <c r="E37" s="77">
        <f>SUMIFS(Report!$U:$U,Report!$T:$T,$A37,Report!$C:$C,"&gt;="&amp;DATE(2026,3,1),Report!$C:$C,"&lt;="&amp;DATE(2026,3,31))</f>
        <v/>
      </c>
      <c r="F37" s="77">
        <f>SUMIFS(Report!$U:$U,Report!$T:$T,$A37,Report!$C:$C,"&gt;="&amp;DATE(2026,4,1),Report!$C:$C,"&lt;="&amp;DATE(2026,4,30))</f>
        <v/>
      </c>
      <c r="G37" s="77">
        <f>SUMIFS(Report!$U:$U,Report!$T:$T,$A37,Report!$C:$C,"&gt;="&amp;DATE(2026,5,1),Report!$C:$C,"&lt;="&amp;DATE(2026,5,31))</f>
        <v/>
      </c>
      <c r="H37" s="77">
        <f>SUMIFS(Report!$U:$U,Report!$T:$T,$A37,Report!$C:$C,"&gt;="&amp;DATE(2026,6,1),Report!$C:$C,"&lt;="&amp;DATE(2026,6,30))</f>
        <v/>
      </c>
      <c r="I37" s="77">
        <f>SUMIFS(Report!$U:$U,Report!$T:$T,$A37,Report!$C:$C,"&gt;="&amp;DATE(2026,7,1),Report!$C:$C,"&lt;="&amp;DATE(2026,7,31))</f>
        <v/>
      </c>
      <c r="J37" s="77">
        <f>SUMIFS(Report!$U:$U,Report!$T:$T,$A37,Report!$C:$C,"&gt;="&amp;DATE(2026,8,1),Report!$C:$C,"&lt;="&amp;DATE(2026,8,31))</f>
        <v/>
      </c>
      <c r="K37" s="77">
        <f>SUMIFS(Report!$U:$U,Report!$T:$T,$A37,Report!$C:$C,"&gt;="&amp;DATE(2026,9,1),Report!$C:$C,"&lt;="&amp;DATE(2026,9,30))</f>
        <v/>
      </c>
      <c r="L37" s="77">
        <f>SUMIFS(Report!$U:$U,Report!$T:$T,$A37,Report!$C:$C,"&gt;="&amp;DATE(2026,10,1),Report!$C:$C,"&lt;="&amp;DATE(2026,10,31))</f>
        <v/>
      </c>
      <c r="M37" s="77">
        <f>SUMIFS(Report!$U:$U,Report!$T:$T,$A37,Report!$C:$C,"&gt;="&amp;DATE(2026,11,1),Report!$C:$C,"&lt;="&amp;DATE(2026,11,30))</f>
        <v/>
      </c>
      <c r="N37" s="77">
        <f>SUMIFS(Report!$U:$U,Report!$T:$T,$A37,Report!$C:$C,"&gt;="&amp;DATE(2026,12,1),Report!$C:$C,"&lt;="&amp;DATE(2026,12,31))</f>
        <v/>
      </c>
      <c r="O37" s="77">
        <f>SUMIFS(Report!$U:$U,Report!$T:$T,$A37,Report!$C:$C,"&gt;="&amp;DATE(2027,1,1),Report!$C:$C,"&lt;="&amp;DATE(2027,1,31))</f>
        <v/>
      </c>
      <c r="P37" s="77">
        <f>SUMIFS(Report!$U:$U,Report!$T:$T,$A37,Report!$C:$C,"&gt;="&amp;DATE(2027,2,1),Report!$C:$C,"&lt;="&amp;DATE(2027,2,28))</f>
        <v/>
      </c>
      <c r="Q37" s="77">
        <f>SUMIFS(Report!$U:$U,Report!$T:$T,$A37,Report!$C:$C,"&gt;="&amp;DATE(2027,3,1),Report!$C:$C,"&lt;="&amp;DATE(2027,3,31))</f>
        <v/>
      </c>
      <c r="R37" s="77">
        <f>SUMIFS(Report!$U:$U,Report!$T:$T,$A37,Report!$C:$C,"&gt;="&amp;DATE(2027,4,1),Report!$C:$C,"&lt;="&amp;DATE(2027,4,30))</f>
        <v/>
      </c>
      <c r="S37" s="77">
        <f>SUMIFS(Report!$U:$U,Report!$T:$T,$A37,Report!$C:$C,"&gt;="&amp;DATE(2027,5,1),Report!$C:$C,"&lt;="&amp;DATE(2027,5,31))</f>
        <v/>
      </c>
      <c r="T37" s="77">
        <f>SUMIFS(Report!$U:$U,Report!$T:$T,$A37,Report!$C:$C,"&gt;="&amp;DATE(2027,6,1),Report!$C:$C,"&lt;="&amp;DATE(2027,6,30))</f>
        <v/>
      </c>
      <c r="U37" s="77">
        <f>SUMIFS(Report!$U:$U,Report!$T:$T,$A37,Report!$C:$C,"&gt;="&amp;DATE(2027,7,1),Report!$C:$C,"&lt;="&amp;DATE(2027,7,31))</f>
        <v/>
      </c>
      <c r="V37" s="77">
        <f>SUMIFS(Report!$U:$U,Report!$T:$T,$A37,Report!$C:$C,"&gt;="&amp;DATE(2027,8,1),Report!$C:$C,"&lt;="&amp;DATE(2027,8,31))</f>
        <v/>
      </c>
      <c r="W37" s="77">
        <f>SUMIFS(Report!$U:$U,Report!$T:$T,$A37,Report!$C:$C,"&gt;="&amp;DATE(2027,9,1),Report!$C:$C,"&lt;="&amp;DATE(2027,9,30))</f>
        <v/>
      </c>
      <c r="X37" s="77">
        <f>SUMIFS(Report!$U:$U,Report!$T:$T,$A37,Report!$C:$C,"&gt;="&amp;DATE(2027,10,1),Report!$C:$C,"&lt;="&amp;DATE(2027,10,31))</f>
        <v/>
      </c>
      <c r="Y37" s="77">
        <f>SUMIFS(Report!$U:$U,Report!$T:$T,$A37,Report!$C:$C,"&gt;="&amp;DATE(2027,11,1),Report!$C:$C,"&lt;="&amp;DATE(2027,11,30))</f>
        <v/>
      </c>
      <c r="Z37" s="77">
        <f>SUMIFS(Report!$U:$U,Report!$T:$T,$A37,Report!$C:$C,"&gt;="&amp;DATE(2027,12,1),Report!$C:$C,"&lt;="&amp;DATE(2027,12,31))</f>
        <v/>
      </c>
      <c r="AA37" s="77">
        <f>SUM(C37:Z37)</f>
        <v/>
      </c>
    </row>
    <row r="38" ht="12.75" customHeight="1" s="60">
      <c r="A38" s="59" t="inlineStr">
        <is>
          <t>IRRF A RECOLHER</t>
        </is>
      </c>
      <c r="B38" s="59">
        <f>IFERROR(INDEX('Resumo Grupos'!$AC$3:$AC$200,MATCH($A38,'Resumo Grupos'!$AB$3:$AB$200,0)),"n/d")</f>
        <v/>
      </c>
      <c r="C38" s="77">
        <f>SUMIFS(Report!$U:$U,Report!$T:$T,$A38,Report!$C:$C,"&gt;="&amp;DATE(2026,1,1),Report!$C:$C,"&lt;="&amp;DATE(2026,1,31))</f>
        <v/>
      </c>
      <c r="D38" s="77">
        <f>SUMIFS(Report!$U:$U,Report!$T:$T,$A38,Report!$C:$C,"&gt;="&amp;DATE(2026,2,1),Report!$C:$C,"&lt;="&amp;DATE(2026,2,28))</f>
        <v/>
      </c>
      <c r="E38" s="77">
        <f>SUMIFS(Report!$U:$U,Report!$T:$T,$A38,Report!$C:$C,"&gt;="&amp;DATE(2026,3,1),Report!$C:$C,"&lt;="&amp;DATE(2026,3,31))</f>
        <v/>
      </c>
      <c r="F38" s="77">
        <f>SUMIFS(Report!$U:$U,Report!$T:$T,$A38,Report!$C:$C,"&gt;="&amp;DATE(2026,4,1),Report!$C:$C,"&lt;="&amp;DATE(2026,4,30))</f>
        <v/>
      </c>
      <c r="G38" s="77">
        <f>SUMIFS(Report!$U:$U,Report!$T:$T,$A38,Report!$C:$C,"&gt;="&amp;DATE(2026,5,1),Report!$C:$C,"&lt;="&amp;DATE(2026,5,31))</f>
        <v/>
      </c>
      <c r="H38" s="77">
        <f>SUMIFS(Report!$U:$U,Report!$T:$T,$A38,Report!$C:$C,"&gt;="&amp;DATE(2026,6,1),Report!$C:$C,"&lt;="&amp;DATE(2026,6,30))</f>
        <v/>
      </c>
      <c r="I38" s="77">
        <f>SUMIFS(Report!$U:$U,Report!$T:$T,$A38,Report!$C:$C,"&gt;="&amp;DATE(2026,7,1),Report!$C:$C,"&lt;="&amp;DATE(2026,7,31))</f>
        <v/>
      </c>
      <c r="J38" s="77">
        <f>SUMIFS(Report!$U:$U,Report!$T:$T,$A38,Report!$C:$C,"&gt;="&amp;DATE(2026,8,1),Report!$C:$C,"&lt;="&amp;DATE(2026,8,31))</f>
        <v/>
      </c>
      <c r="K38" s="77">
        <f>SUMIFS(Report!$U:$U,Report!$T:$T,$A38,Report!$C:$C,"&gt;="&amp;DATE(2026,9,1),Report!$C:$C,"&lt;="&amp;DATE(2026,9,30))</f>
        <v/>
      </c>
      <c r="L38" s="77">
        <f>SUMIFS(Report!$U:$U,Report!$T:$T,$A38,Report!$C:$C,"&gt;="&amp;DATE(2026,10,1),Report!$C:$C,"&lt;="&amp;DATE(2026,10,31))</f>
        <v/>
      </c>
      <c r="M38" s="77">
        <f>SUMIFS(Report!$U:$U,Report!$T:$T,$A38,Report!$C:$C,"&gt;="&amp;DATE(2026,11,1),Report!$C:$C,"&lt;="&amp;DATE(2026,11,30))</f>
        <v/>
      </c>
      <c r="N38" s="77">
        <f>SUMIFS(Report!$U:$U,Report!$T:$T,$A38,Report!$C:$C,"&gt;="&amp;DATE(2026,12,1),Report!$C:$C,"&lt;="&amp;DATE(2026,12,31))</f>
        <v/>
      </c>
      <c r="O38" s="77">
        <f>SUMIFS(Report!$U:$U,Report!$T:$T,$A38,Report!$C:$C,"&gt;="&amp;DATE(2027,1,1),Report!$C:$C,"&lt;="&amp;DATE(2027,1,31))</f>
        <v/>
      </c>
      <c r="P38" s="77">
        <f>SUMIFS(Report!$U:$U,Report!$T:$T,$A38,Report!$C:$C,"&gt;="&amp;DATE(2027,2,1),Report!$C:$C,"&lt;="&amp;DATE(2027,2,28))</f>
        <v/>
      </c>
      <c r="Q38" s="77">
        <f>SUMIFS(Report!$U:$U,Report!$T:$T,$A38,Report!$C:$C,"&gt;="&amp;DATE(2027,3,1),Report!$C:$C,"&lt;="&amp;DATE(2027,3,31))</f>
        <v/>
      </c>
      <c r="R38" s="77">
        <f>SUMIFS(Report!$U:$U,Report!$T:$T,$A38,Report!$C:$C,"&gt;="&amp;DATE(2027,4,1),Report!$C:$C,"&lt;="&amp;DATE(2027,4,30))</f>
        <v/>
      </c>
      <c r="S38" s="77">
        <f>SUMIFS(Report!$U:$U,Report!$T:$T,$A38,Report!$C:$C,"&gt;="&amp;DATE(2027,5,1),Report!$C:$C,"&lt;="&amp;DATE(2027,5,31))</f>
        <v/>
      </c>
      <c r="T38" s="77">
        <f>SUMIFS(Report!$U:$U,Report!$T:$T,$A38,Report!$C:$C,"&gt;="&amp;DATE(2027,6,1),Report!$C:$C,"&lt;="&amp;DATE(2027,6,30))</f>
        <v/>
      </c>
      <c r="U38" s="77">
        <f>SUMIFS(Report!$U:$U,Report!$T:$T,$A38,Report!$C:$C,"&gt;="&amp;DATE(2027,7,1),Report!$C:$C,"&lt;="&amp;DATE(2027,7,31))</f>
        <v/>
      </c>
      <c r="V38" s="77">
        <f>SUMIFS(Report!$U:$U,Report!$T:$T,$A38,Report!$C:$C,"&gt;="&amp;DATE(2027,8,1),Report!$C:$C,"&lt;="&amp;DATE(2027,8,31))</f>
        <v/>
      </c>
      <c r="W38" s="77">
        <f>SUMIFS(Report!$U:$U,Report!$T:$T,$A38,Report!$C:$C,"&gt;="&amp;DATE(2027,9,1),Report!$C:$C,"&lt;="&amp;DATE(2027,9,30))</f>
        <v/>
      </c>
      <c r="X38" s="77">
        <f>SUMIFS(Report!$U:$U,Report!$T:$T,$A38,Report!$C:$C,"&gt;="&amp;DATE(2027,10,1),Report!$C:$C,"&lt;="&amp;DATE(2027,10,31))</f>
        <v/>
      </c>
      <c r="Y38" s="77">
        <f>SUMIFS(Report!$U:$U,Report!$T:$T,$A38,Report!$C:$C,"&gt;="&amp;DATE(2027,11,1),Report!$C:$C,"&lt;="&amp;DATE(2027,11,30))</f>
        <v/>
      </c>
      <c r="Z38" s="77">
        <f>SUMIFS(Report!$U:$U,Report!$T:$T,$A38,Report!$C:$C,"&gt;="&amp;DATE(2027,12,1),Report!$C:$C,"&lt;="&amp;DATE(2027,12,31))</f>
        <v/>
      </c>
      <c r="AA38" s="77">
        <f>SUM(C38:Z38)</f>
        <v/>
      </c>
    </row>
    <row r="39" ht="12.75" customHeight="1" s="60">
      <c r="A39" s="59" t="inlineStr">
        <is>
          <t>JUROS PAGOS A FORNECEDORES</t>
        </is>
      </c>
      <c r="B39" s="59">
        <f>IFERROR(INDEX('Resumo Grupos'!$AC$3:$AC$200,MATCH($A39,'Resumo Grupos'!$AB$3:$AB$200,0)),"n/d")</f>
        <v/>
      </c>
      <c r="C39" s="77">
        <f>SUMIFS(Report!$U:$U,Report!$T:$T,$A39,Report!$C:$C,"&gt;="&amp;DATE(2026,1,1),Report!$C:$C,"&lt;="&amp;DATE(2026,1,31))</f>
        <v/>
      </c>
      <c r="D39" s="77">
        <f>SUMIFS(Report!$U:$U,Report!$T:$T,$A39,Report!$C:$C,"&gt;="&amp;DATE(2026,2,1),Report!$C:$C,"&lt;="&amp;DATE(2026,2,28))</f>
        <v/>
      </c>
      <c r="E39" s="77">
        <f>SUMIFS(Report!$U:$U,Report!$T:$T,$A39,Report!$C:$C,"&gt;="&amp;DATE(2026,3,1),Report!$C:$C,"&lt;="&amp;DATE(2026,3,31))</f>
        <v/>
      </c>
      <c r="F39" s="77">
        <f>SUMIFS(Report!$U:$U,Report!$T:$T,$A39,Report!$C:$C,"&gt;="&amp;DATE(2026,4,1),Report!$C:$C,"&lt;="&amp;DATE(2026,4,30))</f>
        <v/>
      </c>
      <c r="G39" s="77">
        <f>SUMIFS(Report!$U:$U,Report!$T:$T,$A39,Report!$C:$C,"&gt;="&amp;DATE(2026,5,1),Report!$C:$C,"&lt;="&amp;DATE(2026,5,31))</f>
        <v/>
      </c>
      <c r="H39" s="77">
        <f>SUMIFS(Report!$U:$U,Report!$T:$T,$A39,Report!$C:$C,"&gt;="&amp;DATE(2026,6,1),Report!$C:$C,"&lt;="&amp;DATE(2026,6,30))</f>
        <v/>
      </c>
      <c r="I39" s="77">
        <f>SUMIFS(Report!$U:$U,Report!$T:$T,$A39,Report!$C:$C,"&gt;="&amp;DATE(2026,7,1),Report!$C:$C,"&lt;="&amp;DATE(2026,7,31))</f>
        <v/>
      </c>
      <c r="J39" s="77">
        <f>SUMIFS(Report!$U:$U,Report!$T:$T,$A39,Report!$C:$C,"&gt;="&amp;DATE(2026,8,1),Report!$C:$C,"&lt;="&amp;DATE(2026,8,31))</f>
        <v/>
      </c>
      <c r="K39" s="77">
        <f>SUMIFS(Report!$U:$U,Report!$T:$T,$A39,Report!$C:$C,"&gt;="&amp;DATE(2026,9,1),Report!$C:$C,"&lt;="&amp;DATE(2026,9,30))</f>
        <v/>
      </c>
      <c r="L39" s="77">
        <f>SUMIFS(Report!$U:$U,Report!$T:$T,$A39,Report!$C:$C,"&gt;="&amp;DATE(2026,10,1),Report!$C:$C,"&lt;="&amp;DATE(2026,10,31))</f>
        <v/>
      </c>
      <c r="M39" s="77">
        <f>SUMIFS(Report!$U:$U,Report!$T:$T,$A39,Report!$C:$C,"&gt;="&amp;DATE(2026,11,1),Report!$C:$C,"&lt;="&amp;DATE(2026,11,30))</f>
        <v/>
      </c>
      <c r="N39" s="77">
        <f>SUMIFS(Report!$U:$U,Report!$T:$T,$A39,Report!$C:$C,"&gt;="&amp;DATE(2026,12,1),Report!$C:$C,"&lt;="&amp;DATE(2026,12,31))</f>
        <v/>
      </c>
      <c r="O39" s="77">
        <f>SUMIFS(Report!$U:$U,Report!$T:$T,$A39,Report!$C:$C,"&gt;="&amp;DATE(2027,1,1),Report!$C:$C,"&lt;="&amp;DATE(2027,1,31))</f>
        <v/>
      </c>
      <c r="P39" s="77">
        <f>SUMIFS(Report!$U:$U,Report!$T:$T,$A39,Report!$C:$C,"&gt;="&amp;DATE(2027,2,1),Report!$C:$C,"&lt;="&amp;DATE(2027,2,28))</f>
        <v/>
      </c>
      <c r="Q39" s="77">
        <f>SUMIFS(Report!$U:$U,Report!$T:$T,$A39,Report!$C:$C,"&gt;="&amp;DATE(2027,3,1),Report!$C:$C,"&lt;="&amp;DATE(2027,3,31))</f>
        <v/>
      </c>
      <c r="R39" s="77">
        <f>SUMIFS(Report!$U:$U,Report!$T:$T,$A39,Report!$C:$C,"&gt;="&amp;DATE(2027,4,1),Report!$C:$C,"&lt;="&amp;DATE(2027,4,30))</f>
        <v/>
      </c>
      <c r="S39" s="77">
        <f>SUMIFS(Report!$U:$U,Report!$T:$T,$A39,Report!$C:$C,"&gt;="&amp;DATE(2027,5,1),Report!$C:$C,"&lt;="&amp;DATE(2027,5,31))</f>
        <v/>
      </c>
      <c r="T39" s="77">
        <f>SUMIFS(Report!$U:$U,Report!$T:$T,$A39,Report!$C:$C,"&gt;="&amp;DATE(2027,6,1),Report!$C:$C,"&lt;="&amp;DATE(2027,6,30))</f>
        <v/>
      </c>
      <c r="U39" s="77">
        <f>SUMIFS(Report!$U:$U,Report!$T:$T,$A39,Report!$C:$C,"&gt;="&amp;DATE(2027,7,1),Report!$C:$C,"&lt;="&amp;DATE(2027,7,31))</f>
        <v/>
      </c>
      <c r="V39" s="77">
        <f>SUMIFS(Report!$U:$U,Report!$T:$T,$A39,Report!$C:$C,"&gt;="&amp;DATE(2027,8,1),Report!$C:$C,"&lt;="&amp;DATE(2027,8,31))</f>
        <v/>
      </c>
      <c r="W39" s="77">
        <f>SUMIFS(Report!$U:$U,Report!$T:$T,$A39,Report!$C:$C,"&gt;="&amp;DATE(2027,9,1),Report!$C:$C,"&lt;="&amp;DATE(2027,9,30))</f>
        <v/>
      </c>
      <c r="X39" s="77">
        <f>SUMIFS(Report!$U:$U,Report!$T:$T,$A39,Report!$C:$C,"&gt;="&amp;DATE(2027,10,1),Report!$C:$C,"&lt;="&amp;DATE(2027,10,31))</f>
        <v/>
      </c>
      <c r="Y39" s="77">
        <f>SUMIFS(Report!$U:$U,Report!$T:$T,$A39,Report!$C:$C,"&gt;="&amp;DATE(2027,11,1),Report!$C:$C,"&lt;="&amp;DATE(2027,11,30))</f>
        <v/>
      </c>
      <c r="Z39" s="77">
        <f>SUMIFS(Report!$U:$U,Report!$T:$T,$A39,Report!$C:$C,"&gt;="&amp;DATE(2027,12,1),Report!$C:$C,"&lt;="&amp;DATE(2027,12,31))</f>
        <v/>
      </c>
      <c r="AA39" s="77">
        <f>SUM(C39:Z39)</f>
        <v/>
      </c>
    </row>
    <row r="40" ht="12.75" customHeight="1" s="60">
      <c r="A40" s="59" t="inlineStr">
        <is>
          <t>JUROS S/ EMPRESTIMOS</t>
        </is>
      </c>
      <c r="B40" s="59">
        <f>IFERROR(INDEX('Resumo Grupos'!$AC$3:$AC$200,MATCH($A40,'Resumo Grupos'!$AB$3:$AB$200,0)),"n/d")</f>
        <v/>
      </c>
      <c r="C40" s="77">
        <f>SUMIFS(Report!$U:$U,Report!$T:$T,$A40,Report!$C:$C,"&gt;="&amp;DATE(2026,1,1),Report!$C:$C,"&lt;="&amp;DATE(2026,1,31))</f>
        <v/>
      </c>
      <c r="D40" s="77">
        <f>SUMIFS(Report!$U:$U,Report!$T:$T,$A40,Report!$C:$C,"&gt;="&amp;DATE(2026,2,1),Report!$C:$C,"&lt;="&amp;DATE(2026,2,28))</f>
        <v/>
      </c>
      <c r="E40" s="77">
        <f>SUMIFS(Report!$U:$U,Report!$T:$T,$A40,Report!$C:$C,"&gt;="&amp;DATE(2026,3,1),Report!$C:$C,"&lt;="&amp;DATE(2026,3,31))</f>
        <v/>
      </c>
      <c r="F40" s="77">
        <f>SUMIFS(Report!$U:$U,Report!$T:$T,$A40,Report!$C:$C,"&gt;="&amp;DATE(2026,4,1),Report!$C:$C,"&lt;="&amp;DATE(2026,4,30))</f>
        <v/>
      </c>
      <c r="G40" s="77">
        <f>SUMIFS(Report!$U:$U,Report!$T:$T,$A40,Report!$C:$C,"&gt;="&amp;DATE(2026,5,1),Report!$C:$C,"&lt;="&amp;DATE(2026,5,31))</f>
        <v/>
      </c>
      <c r="H40" s="77">
        <f>SUMIFS(Report!$U:$U,Report!$T:$T,$A40,Report!$C:$C,"&gt;="&amp;DATE(2026,6,1),Report!$C:$C,"&lt;="&amp;DATE(2026,6,30))</f>
        <v/>
      </c>
      <c r="I40" s="77">
        <f>SUMIFS(Report!$U:$U,Report!$T:$T,$A40,Report!$C:$C,"&gt;="&amp;DATE(2026,7,1),Report!$C:$C,"&lt;="&amp;DATE(2026,7,31))</f>
        <v/>
      </c>
      <c r="J40" s="77">
        <f>SUMIFS(Report!$U:$U,Report!$T:$T,$A40,Report!$C:$C,"&gt;="&amp;DATE(2026,8,1),Report!$C:$C,"&lt;="&amp;DATE(2026,8,31))</f>
        <v/>
      </c>
      <c r="K40" s="77">
        <f>SUMIFS(Report!$U:$U,Report!$T:$T,$A40,Report!$C:$C,"&gt;="&amp;DATE(2026,9,1),Report!$C:$C,"&lt;="&amp;DATE(2026,9,30))</f>
        <v/>
      </c>
      <c r="L40" s="77">
        <f>SUMIFS(Report!$U:$U,Report!$T:$T,$A40,Report!$C:$C,"&gt;="&amp;DATE(2026,10,1),Report!$C:$C,"&lt;="&amp;DATE(2026,10,31))</f>
        <v/>
      </c>
      <c r="M40" s="77">
        <f>SUMIFS(Report!$U:$U,Report!$T:$T,$A40,Report!$C:$C,"&gt;="&amp;DATE(2026,11,1),Report!$C:$C,"&lt;="&amp;DATE(2026,11,30))</f>
        <v/>
      </c>
      <c r="N40" s="77">
        <f>SUMIFS(Report!$U:$U,Report!$T:$T,$A40,Report!$C:$C,"&gt;="&amp;DATE(2026,12,1),Report!$C:$C,"&lt;="&amp;DATE(2026,12,31))</f>
        <v/>
      </c>
      <c r="O40" s="77">
        <f>SUMIFS(Report!$U:$U,Report!$T:$T,$A40,Report!$C:$C,"&gt;="&amp;DATE(2027,1,1),Report!$C:$C,"&lt;="&amp;DATE(2027,1,31))</f>
        <v/>
      </c>
      <c r="P40" s="77">
        <f>SUMIFS(Report!$U:$U,Report!$T:$T,$A40,Report!$C:$C,"&gt;="&amp;DATE(2027,2,1),Report!$C:$C,"&lt;="&amp;DATE(2027,2,28))</f>
        <v/>
      </c>
      <c r="Q40" s="77">
        <f>SUMIFS(Report!$U:$U,Report!$T:$T,$A40,Report!$C:$C,"&gt;="&amp;DATE(2027,3,1),Report!$C:$C,"&lt;="&amp;DATE(2027,3,31))</f>
        <v/>
      </c>
      <c r="R40" s="77">
        <f>SUMIFS(Report!$U:$U,Report!$T:$T,$A40,Report!$C:$C,"&gt;="&amp;DATE(2027,4,1),Report!$C:$C,"&lt;="&amp;DATE(2027,4,30))</f>
        <v/>
      </c>
      <c r="S40" s="77">
        <f>SUMIFS(Report!$U:$U,Report!$T:$T,$A40,Report!$C:$C,"&gt;="&amp;DATE(2027,5,1),Report!$C:$C,"&lt;="&amp;DATE(2027,5,31))</f>
        <v/>
      </c>
      <c r="T40" s="77">
        <f>SUMIFS(Report!$U:$U,Report!$T:$T,$A40,Report!$C:$C,"&gt;="&amp;DATE(2027,6,1),Report!$C:$C,"&lt;="&amp;DATE(2027,6,30))</f>
        <v/>
      </c>
      <c r="U40" s="77">
        <f>SUMIFS(Report!$U:$U,Report!$T:$T,$A40,Report!$C:$C,"&gt;="&amp;DATE(2027,7,1),Report!$C:$C,"&lt;="&amp;DATE(2027,7,31))</f>
        <v/>
      </c>
      <c r="V40" s="77">
        <f>SUMIFS(Report!$U:$U,Report!$T:$T,$A40,Report!$C:$C,"&gt;="&amp;DATE(2027,8,1),Report!$C:$C,"&lt;="&amp;DATE(2027,8,31))</f>
        <v/>
      </c>
      <c r="W40" s="77">
        <f>SUMIFS(Report!$U:$U,Report!$T:$T,$A40,Report!$C:$C,"&gt;="&amp;DATE(2027,9,1),Report!$C:$C,"&lt;="&amp;DATE(2027,9,30))</f>
        <v/>
      </c>
      <c r="X40" s="77">
        <f>SUMIFS(Report!$U:$U,Report!$T:$T,$A40,Report!$C:$C,"&gt;="&amp;DATE(2027,10,1),Report!$C:$C,"&lt;="&amp;DATE(2027,10,31))</f>
        <v/>
      </c>
      <c r="Y40" s="77">
        <f>SUMIFS(Report!$U:$U,Report!$T:$T,$A40,Report!$C:$C,"&gt;="&amp;DATE(2027,11,1),Report!$C:$C,"&lt;="&amp;DATE(2027,11,30))</f>
        <v/>
      </c>
      <c r="Z40" s="77">
        <f>SUMIFS(Report!$U:$U,Report!$T:$T,$A40,Report!$C:$C,"&gt;="&amp;DATE(2027,12,1),Report!$C:$C,"&lt;="&amp;DATE(2027,12,31))</f>
        <v/>
      </c>
      <c r="AA40" s="77">
        <f>SUM(C40:Z40)</f>
        <v/>
      </c>
    </row>
    <row r="41" ht="12.75" customHeight="1" s="60">
      <c r="A41" s="59" t="inlineStr">
        <is>
          <t>MANUTENCAO DE EQUIPAMENTOS</t>
        </is>
      </c>
      <c r="B41" s="59">
        <f>IFERROR(INDEX('Resumo Grupos'!$AC$3:$AC$200,MATCH($A41,'Resumo Grupos'!$AB$3:$AB$200,0)),"n/d")</f>
        <v/>
      </c>
      <c r="C41" s="77">
        <f>SUMIFS(Report!$U:$U,Report!$T:$T,$A41,Report!$C:$C,"&gt;="&amp;DATE(2026,1,1),Report!$C:$C,"&lt;="&amp;DATE(2026,1,31))</f>
        <v/>
      </c>
      <c r="D41" s="77">
        <f>SUMIFS(Report!$U:$U,Report!$T:$T,$A41,Report!$C:$C,"&gt;="&amp;DATE(2026,2,1),Report!$C:$C,"&lt;="&amp;DATE(2026,2,28))</f>
        <v/>
      </c>
      <c r="E41" s="77">
        <f>SUMIFS(Report!$U:$U,Report!$T:$T,$A41,Report!$C:$C,"&gt;="&amp;DATE(2026,3,1),Report!$C:$C,"&lt;="&amp;DATE(2026,3,31))</f>
        <v/>
      </c>
      <c r="F41" s="77">
        <f>SUMIFS(Report!$U:$U,Report!$T:$T,$A41,Report!$C:$C,"&gt;="&amp;DATE(2026,4,1),Report!$C:$C,"&lt;="&amp;DATE(2026,4,30))</f>
        <v/>
      </c>
      <c r="G41" s="77">
        <f>SUMIFS(Report!$U:$U,Report!$T:$T,$A41,Report!$C:$C,"&gt;="&amp;DATE(2026,5,1),Report!$C:$C,"&lt;="&amp;DATE(2026,5,31))</f>
        <v/>
      </c>
      <c r="H41" s="77">
        <f>SUMIFS(Report!$U:$U,Report!$T:$T,$A41,Report!$C:$C,"&gt;="&amp;DATE(2026,6,1),Report!$C:$C,"&lt;="&amp;DATE(2026,6,30))</f>
        <v/>
      </c>
      <c r="I41" s="77">
        <f>SUMIFS(Report!$U:$U,Report!$T:$T,$A41,Report!$C:$C,"&gt;="&amp;DATE(2026,7,1),Report!$C:$C,"&lt;="&amp;DATE(2026,7,31))</f>
        <v/>
      </c>
      <c r="J41" s="77">
        <f>SUMIFS(Report!$U:$U,Report!$T:$T,$A41,Report!$C:$C,"&gt;="&amp;DATE(2026,8,1),Report!$C:$C,"&lt;="&amp;DATE(2026,8,31))</f>
        <v/>
      </c>
      <c r="K41" s="77">
        <f>SUMIFS(Report!$U:$U,Report!$T:$T,$A41,Report!$C:$C,"&gt;="&amp;DATE(2026,9,1),Report!$C:$C,"&lt;="&amp;DATE(2026,9,30))</f>
        <v/>
      </c>
      <c r="L41" s="77">
        <f>SUMIFS(Report!$U:$U,Report!$T:$T,$A41,Report!$C:$C,"&gt;="&amp;DATE(2026,10,1),Report!$C:$C,"&lt;="&amp;DATE(2026,10,31))</f>
        <v/>
      </c>
      <c r="M41" s="77">
        <f>SUMIFS(Report!$U:$U,Report!$T:$T,$A41,Report!$C:$C,"&gt;="&amp;DATE(2026,11,1),Report!$C:$C,"&lt;="&amp;DATE(2026,11,30))</f>
        <v/>
      </c>
      <c r="N41" s="77">
        <f>SUMIFS(Report!$U:$U,Report!$T:$T,$A41,Report!$C:$C,"&gt;="&amp;DATE(2026,12,1),Report!$C:$C,"&lt;="&amp;DATE(2026,12,31))</f>
        <v/>
      </c>
      <c r="O41" s="77">
        <f>SUMIFS(Report!$U:$U,Report!$T:$T,$A41,Report!$C:$C,"&gt;="&amp;DATE(2027,1,1),Report!$C:$C,"&lt;="&amp;DATE(2027,1,31))</f>
        <v/>
      </c>
      <c r="P41" s="77">
        <f>SUMIFS(Report!$U:$U,Report!$T:$T,$A41,Report!$C:$C,"&gt;="&amp;DATE(2027,2,1),Report!$C:$C,"&lt;="&amp;DATE(2027,2,28))</f>
        <v/>
      </c>
      <c r="Q41" s="77">
        <f>SUMIFS(Report!$U:$U,Report!$T:$T,$A41,Report!$C:$C,"&gt;="&amp;DATE(2027,3,1),Report!$C:$C,"&lt;="&amp;DATE(2027,3,31))</f>
        <v/>
      </c>
      <c r="R41" s="77">
        <f>SUMIFS(Report!$U:$U,Report!$T:$T,$A41,Report!$C:$C,"&gt;="&amp;DATE(2027,4,1),Report!$C:$C,"&lt;="&amp;DATE(2027,4,30))</f>
        <v/>
      </c>
      <c r="S41" s="77">
        <f>SUMIFS(Report!$U:$U,Report!$T:$T,$A41,Report!$C:$C,"&gt;="&amp;DATE(2027,5,1),Report!$C:$C,"&lt;="&amp;DATE(2027,5,31))</f>
        <v/>
      </c>
      <c r="T41" s="77">
        <f>SUMIFS(Report!$U:$U,Report!$T:$T,$A41,Report!$C:$C,"&gt;="&amp;DATE(2027,6,1),Report!$C:$C,"&lt;="&amp;DATE(2027,6,30))</f>
        <v/>
      </c>
      <c r="U41" s="77">
        <f>SUMIFS(Report!$U:$U,Report!$T:$T,$A41,Report!$C:$C,"&gt;="&amp;DATE(2027,7,1),Report!$C:$C,"&lt;="&amp;DATE(2027,7,31))</f>
        <v/>
      </c>
      <c r="V41" s="77">
        <f>SUMIFS(Report!$U:$U,Report!$T:$T,$A41,Report!$C:$C,"&gt;="&amp;DATE(2027,8,1),Report!$C:$C,"&lt;="&amp;DATE(2027,8,31))</f>
        <v/>
      </c>
      <c r="W41" s="77">
        <f>SUMIFS(Report!$U:$U,Report!$T:$T,$A41,Report!$C:$C,"&gt;="&amp;DATE(2027,9,1),Report!$C:$C,"&lt;="&amp;DATE(2027,9,30))</f>
        <v/>
      </c>
      <c r="X41" s="77">
        <f>SUMIFS(Report!$U:$U,Report!$T:$T,$A41,Report!$C:$C,"&gt;="&amp;DATE(2027,10,1),Report!$C:$C,"&lt;="&amp;DATE(2027,10,31))</f>
        <v/>
      </c>
      <c r="Y41" s="77">
        <f>SUMIFS(Report!$U:$U,Report!$T:$T,$A41,Report!$C:$C,"&gt;="&amp;DATE(2027,11,1),Report!$C:$C,"&lt;="&amp;DATE(2027,11,30))</f>
        <v/>
      </c>
      <c r="Z41" s="77">
        <f>SUMIFS(Report!$U:$U,Report!$T:$T,$A41,Report!$C:$C,"&gt;="&amp;DATE(2027,12,1),Report!$C:$C,"&lt;="&amp;DATE(2027,12,31))</f>
        <v/>
      </c>
      <c r="AA41" s="77">
        <f>SUM(C41:Z41)</f>
        <v/>
      </c>
    </row>
    <row r="42" ht="12.75" customHeight="1" s="60">
      <c r="A42" s="59" t="inlineStr">
        <is>
          <t>MANUTENCAO VEICULOS</t>
        </is>
      </c>
      <c r="B42" s="59">
        <f>IFERROR(INDEX('Resumo Grupos'!$AC$3:$AC$200,MATCH($A42,'Resumo Grupos'!$AB$3:$AB$200,0)),"n/d")</f>
        <v/>
      </c>
      <c r="C42" s="77">
        <f>SUMIFS(Report!$U:$U,Report!$T:$T,$A42,Report!$C:$C,"&gt;="&amp;DATE(2026,1,1),Report!$C:$C,"&lt;="&amp;DATE(2026,1,31))</f>
        <v/>
      </c>
      <c r="D42" s="77">
        <f>SUMIFS(Report!$U:$U,Report!$T:$T,$A42,Report!$C:$C,"&gt;="&amp;DATE(2026,2,1),Report!$C:$C,"&lt;="&amp;DATE(2026,2,28))</f>
        <v/>
      </c>
      <c r="E42" s="77">
        <f>SUMIFS(Report!$U:$U,Report!$T:$T,$A42,Report!$C:$C,"&gt;="&amp;DATE(2026,3,1),Report!$C:$C,"&lt;="&amp;DATE(2026,3,31))</f>
        <v/>
      </c>
      <c r="F42" s="77">
        <f>SUMIFS(Report!$U:$U,Report!$T:$T,$A42,Report!$C:$C,"&gt;="&amp;DATE(2026,4,1),Report!$C:$C,"&lt;="&amp;DATE(2026,4,30))</f>
        <v/>
      </c>
      <c r="G42" s="77">
        <f>SUMIFS(Report!$U:$U,Report!$T:$T,$A42,Report!$C:$C,"&gt;="&amp;DATE(2026,5,1),Report!$C:$C,"&lt;="&amp;DATE(2026,5,31))</f>
        <v/>
      </c>
      <c r="H42" s="77">
        <f>SUMIFS(Report!$U:$U,Report!$T:$T,$A42,Report!$C:$C,"&gt;="&amp;DATE(2026,6,1),Report!$C:$C,"&lt;="&amp;DATE(2026,6,30))</f>
        <v/>
      </c>
      <c r="I42" s="77">
        <f>SUMIFS(Report!$U:$U,Report!$T:$T,$A42,Report!$C:$C,"&gt;="&amp;DATE(2026,7,1),Report!$C:$C,"&lt;="&amp;DATE(2026,7,31))</f>
        <v/>
      </c>
      <c r="J42" s="77">
        <f>SUMIFS(Report!$U:$U,Report!$T:$T,$A42,Report!$C:$C,"&gt;="&amp;DATE(2026,8,1),Report!$C:$C,"&lt;="&amp;DATE(2026,8,31))</f>
        <v/>
      </c>
      <c r="K42" s="77">
        <f>SUMIFS(Report!$U:$U,Report!$T:$T,$A42,Report!$C:$C,"&gt;="&amp;DATE(2026,9,1),Report!$C:$C,"&lt;="&amp;DATE(2026,9,30))</f>
        <v/>
      </c>
      <c r="L42" s="77">
        <f>SUMIFS(Report!$U:$U,Report!$T:$T,$A42,Report!$C:$C,"&gt;="&amp;DATE(2026,10,1),Report!$C:$C,"&lt;="&amp;DATE(2026,10,31))</f>
        <v/>
      </c>
      <c r="M42" s="77">
        <f>SUMIFS(Report!$U:$U,Report!$T:$T,$A42,Report!$C:$C,"&gt;="&amp;DATE(2026,11,1),Report!$C:$C,"&lt;="&amp;DATE(2026,11,30))</f>
        <v/>
      </c>
      <c r="N42" s="77">
        <f>SUMIFS(Report!$U:$U,Report!$T:$T,$A42,Report!$C:$C,"&gt;="&amp;DATE(2026,12,1),Report!$C:$C,"&lt;="&amp;DATE(2026,12,31))</f>
        <v/>
      </c>
      <c r="O42" s="77">
        <f>SUMIFS(Report!$U:$U,Report!$T:$T,$A42,Report!$C:$C,"&gt;="&amp;DATE(2027,1,1),Report!$C:$C,"&lt;="&amp;DATE(2027,1,31))</f>
        <v/>
      </c>
      <c r="P42" s="77">
        <f>SUMIFS(Report!$U:$U,Report!$T:$T,$A42,Report!$C:$C,"&gt;="&amp;DATE(2027,2,1),Report!$C:$C,"&lt;="&amp;DATE(2027,2,28))</f>
        <v/>
      </c>
      <c r="Q42" s="77">
        <f>SUMIFS(Report!$U:$U,Report!$T:$T,$A42,Report!$C:$C,"&gt;="&amp;DATE(2027,3,1),Report!$C:$C,"&lt;="&amp;DATE(2027,3,31))</f>
        <v/>
      </c>
      <c r="R42" s="77">
        <f>SUMIFS(Report!$U:$U,Report!$T:$T,$A42,Report!$C:$C,"&gt;="&amp;DATE(2027,4,1),Report!$C:$C,"&lt;="&amp;DATE(2027,4,30))</f>
        <v/>
      </c>
      <c r="S42" s="77">
        <f>SUMIFS(Report!$U:$U,Report!$T:$T,$A42,Report!$C:$C,"&gt;="&amp;DATE(2027,5,1),Report!$C:$C,"&lt;="&amp;DATE(2027,5,31))</f>
        <v/>
      </c>
      <c r="T42" s="77">
        <f>SUMIFS(Report!$U:$U,Report!$T:$T,$A42,Report!$C:$C,"&gt;="&amp;DATE(2027,6,1),Report!$C:$C,"&lt;="&amp;DATE(2027,6,30))</f>
        <v/>
      </c>
      <c r="U42" s="77">
        <f>SUMIFS(Report!$U:$U,Report!$T:$T,$A42,Report!$C:$C,"&gt;="&amp;DATE(2027,7,1),Report!$C:$C,"&lt;="&amp;DATE(2027,7,31))</f>
        <v/>
      </c>
      <c r="V42" s="77">
        <f>SUMIFS(Report!$U:$U,Report!$T:$T,$A42,Report!$C:$C,"&gt;="&amp;DATE(2027,8,1),Report!$C:$C,"&lt;="&amp;DATE(2027,8,31))</f>
        <v/>
      </c>
      <c r="W42" s="77">
        <f>SUMIFS(Report!$U:$U,Report!$T:$T,$A42,Report!$C:$C,"&gt;="&amp;DATE(2027,9,1),Report!$C:$C,"&lt;="&amp;DATE(2027,9,30))</f>
        <v/>
      </c>
      <c r="X42" s="77">
        <f>SUMIFS(Report!$U:$U,Report!$T:$T,$A42,Report!$C:$C,"&gt;="&amp;DATE(2027,10,1),Report!$C:$C,"&lt;="&amp;DATE(2027,10,31))</f>
        <v/>
      </c>
      <c r="Y42" s="77">
        <f>SUMIFS(Report!$U:$U,Report!$T:$T,$A42,Report!$C:$C,"&gt;="&amp;DATE(2027,11,1),Report!$C:$C,"&lt;="&amp;DATE(2027,11,30))</f>
        <v/>
      </c>
      <c r="Z42" s="77">
        <f>SUMIFS(Report!$U:$U,Report!$T:$T,$A42,Report!$C:$C,"&gt;="&amp;DATE(2027,12,1),Report!$C:$C,"&lt;="&amp;DATE(2027,12,31))</f>
        <v/>
      </c>
      <c r="AA42" s="77">
        <f>SUM(C42:Z42)</f>
        <v/>
      </c>
    </row>
    <row r="43" ht="12.75" customHeight="1" s="60">
      <c r="A43" s="59" t="inlineStr">
        <is>
          <t>MANUTENÇÃO ELETRICA</t>
        </is>
      </c>
      <c r="B43" s="59">
        <f>IFERROR(INDEX('Resumo Grupos'!$AC$3:$AC$200,MATCH($A43,'Resumo Grupos'!$AB$3:$AB$200,0)),"n/d")</f>
        <v/>
      </c>
      <c r="C43" s="77">
        <f>SUMIFS(Report!$U:$U,Report!$T:$T,$A43,Report!$C:$C,"&gt;="&amp;DATE(2026,1,1),Report!$C:$C,"&lt;="&amp;DATE(2026,1,31))</f>
        <v/>
      </c>
      <c r="D43" s="77">
        <f>SUMIFS(Report!$U:$U,Report!$T:$T,$A43,Report!$C:$C,"&gt;="&amp;DATE(2026,2,1),Report!$C:$C,"&lt;="&amp;DATE(2026,2,28))</f>
        <v/>
      </c>
      <c r="E43" s="77">
        <f>SUMIFS(Report!$U:$U,Report!$T:$T,$A43,Report!$C:$C,"&gt;="&amp;DATE(2026,3,1),Report!$C:$C,"&lt;="&amp;DATE(2026,3,31))</f>
        <v/>
      </c>
      <c r="F43" s="77">
        <f>SUMIFS(Report!$U:$U,Report!$T:$T,$A43,Report!$C:$C,"&gt;="&amp;DATE(2026,4,1),Report!$C:$C,"&lt;="&amp;DATE(2026,4,30))</f>
        <v/>
      </c>
      <c r="G43" s="77">
        <f>SUMIFS(Report!$U:$U,Report!$T:$T,$A43,Report!$C:$C,"&gt;="&amp;DATE(2026,5,1),Report!$C:$C,"&lt;="&amp;DATE(2026,5,31))</f>
        <v/>
      </c>
      <c r="H43" s="77">
        <f>SUMIFS(Report!$U:$U,Report!$T:$T,$A43,Report!$C:$C,"&gt;="&amp;DATE(2026,6,1),Report!$C:$C,"&lt;="&amp;DATE(2026,6,30))</f>
        <v/>
      </c>
      <c r="I43" s="77">
        <f>SUMIFS(Report!$U:$U,Report!$T:$T,$A43,Report!$C:$C,"&gt;="&amp;DATE(2026,7,1),Report!$C:$C,"&lt;="&amp;DATE(2026,7,31))</f>
        <v/>
      </c>
      <c r="J43" s="77">
        <f>SUMIFS(Report!$U:$U,Report!$T:$T,$A43,Report!$C:$C,"&gt;="&amp;DATE(2026,8,1),Report!$C:$C,"&lt;="&amp;DATE(2026,8,31))</f>
        <v/>
      </c>
      <c r="K43" s="77">
        <f>SUMIFS(Report!$U:$U,Report!$T:$T,$A43,Report!$C:$C,"&gt;="&amp;DATE(2026,9,1),Report!$C:$C,"&lt;="&amp;DATE(2026,9,30))</f>
        <v/>
      </c>
      <c r="L43" s="77">
        <f>SUMIFS(Report!$U:$U,Report!$T:$T,$A43,Report!$C:$C,"&gt;="&amp;DATE(2026,10,1),Report!$C:$C,"&lt;="&amp;DATE(2026,10,31))</f>
        <v/>
      </c>
      <c r="M43" s="77">
        <f>SUMIFS(Report!$U:$U,Report!$T:$T,$A43,Report!$C:$C,"&gt;="&amp;DATE(2026,11,1),Report!$C:$C,"&lt;="&amp;DATE(2026,11,30))</f>
        <v/>
      </c>
      <c r="N43" s="77">
        <f>SUMIFS(Report!$U:$U,Report!$T:$T,$A43,Report!$C:$C,"&gt;="&amp;DATE(2026,12,1),Report!$C:$C,"&lt;="&amp;DATE(2026,12,31))</f>
        <v/>
      </c>
      <c r="O43" s="77">
        <f>SUMIFS(Report!$U:$U,Report!$T:$T,$A43,Report!$C:$C,"&gt;="&amp;DATE(2027,1,1),Report!$C:$C,"&lt;="&amp;DATE(2027,1,31))</f>
        <v/>
      </c>
      <c r="P43" s="77">
        <f>SUMIFS(Report!$U:$U,Report!$T:$T,$A43,Report!$C:$C,"&gt;="&amp;DATE(2027,2,1),Report!$C:$C,"&lt;="&amp;DATE(2027,2,28))</f>
        <v/>
      </c>
      <c r="Q43" s="77">
        <f>SUMIFS(Report!$U:$U,Report!$T:$T,$A43,Report!$C:$C,"&gt;="&amp;DATE(2027,3,1),Report!$C:$C,"&lt;="&amp;DATE(2027,3,31))</f>
        <v/>
      </c>
      <c r="R43" s="77">
        <f>SUMIFS(Report!$U:$U,Report!$T:$T,$A43,Report!$C:$C,"&gt;="&amp;DATE(2027,4,1),Report!$C:$C,"&lt;="&amp;DATE(2027,4,30))</f>
        <v/>
      </c>
      <c r="S43" s="77">
        <f>SUMIFS(Report!$U:$U,Report!$T:$T,$A43,Report!$C:$C,"&gt;="&amp;DATE(2027,5,1),Report!$C:$C,"&lt;="&amp;DATE(2027,5,31))</f>
        <v/>
      </c>
      <c r="T43" s="77">
        <f>SUMIFS(Report!$U:$U,Report!$T:$T,$A43,Report!$C:$C,"&gt;="&amp;DATE(2027,6,1),Report!$C:$C,"&lt;="&amp;DATE(2027,6,30))</f>
        <v/>
      </c>
      <c r="U43" s="77">
        <f>SUMIFS(Report!$U:$U,Report!$T:$T,$A43,Report!$C:$C,"&gt;="&amp;DATE(2027,7,1),Report!$C:$C,"&lt;="&amp;DATE(2027,7,31))</f>
        <v/>
      </c>
      <c r="V43" s="77">
        <f>SUMIFS(Report!$U:$U,Report!$T:$T,$A43,Report!$C:$C,"&gt;="&amp;DATE(2027,8,1),Report!$C:$C,"&lt;="&amp;DATE(2027,8,31))</f>
        <v/>
      </c>
      <c r="W43" s="77">
        <f>SUMIFS(Report!$U:$U,Report!$T:$T,$A43,Report!$C:$C,"&gt;="&amp;DATE(2027,9,1),Report!$C:$C,"&lt;="&amp;DATE(2027,9,30))</f>
        <v/>
      </c>
      <c r="X43" s="77">
        <f>SUMIFS(Report!$U:$U,Report!$T:$T,$A43,Report!$C:$C,"&gt;="&amp;DATE(2027,10,1),Report!$C:$C,"&lt;="&amp;DATE(2027,10,31))</f>
        <v/>
      </c>
      <c r="Y43" s="77">
        <f>SUMIFS(Report!$U:$U,Report!$T:$T,$A43,Report!$C:$C,"&gt;="&amp;DATE(2027,11,1),Report!$C:$C,"&lt;="&amp;DATE(2027,11,30))</f>
        <v/>
      </c>
      <c r="Z43" s="77">
        <f>SUMIFS(Report!$U:$U,Report!$T:$T,$A43,Report!$C:$C,"&gt;="&amp;DATE(2027,12,1),Report!$C:$C,"&lt;="&amp;DATE(2027,12,31))</f>
        <v/>
      </c>
      <c r="AA43" s="77">
        <f>SUM(C43:Z43)</f>
        <v/>
      </c>
    </row>
    <row r="44" ht="12.75" customHeight="1" s="60">
      <c r="A44" s="59" t="inlineStr">
        <is>
          <t>MANUTENÇÃO EQUIPAMENTOS DE INFORMATICA</t>
        </is>
      </c>
      <c r="B44" s="59">
        <f>IFERROR(INDEX('Resumo Grupos'!$AC$3:$AC$200,MATCH($A44,'Resumo Grupos'!$AB$3:$AB$200,0)),"n/d")</f>
        <v/>
      </c>
      <c r="C44" s="77">
        <f>SUMIFS(Report!$U:$U,Report!$T:$T,$A44,Report!$C:$C,"&gt;="&amp;DATE(2026,1,1),Report!$C:$C,"&lt;="&amp;DATE(2026,1,31))</f>
        <v/>
      </c>
      <c r="D44" s="77">
        <f>SUMIFS(Report!$U:$U,Report!$T:$T,$A44,Report!$C:$C,"&gt;="&amp;DATE(2026,2,1),Report!$C:$C,"&lt;="&amp;DATE(2026,2,28))</f>
        <v/>
      </c>
      <c r="E44" s="77">
        <f>SUMIFS(Report!$U:$U,Report!$T:$T,$A44,Report!$C:$C,"&gt;="&amp;DATE(2026,3,1),Report!$C:$C,"&lt;="&amp;DATE(2026,3,31))</f>
        <v/>
      </c>
      <c r="F44" s="77">
        <f>SUMIFS(Report!$U:$U,Report!$T:$T,$A44,Report!$C:$C,"&gt;="&amp;DATE(2026,4,1),Report!$C:$C,"&lt;="&amp;DATE(2026,4,30))</f>
        <v/>
      </c>
      <c r="G44" s="77">
        <f>SUMIFS(Report!$U:$U,Report!$T:$T,$A44,Report!$C:$C,"&gt;="&amp;DATE(2026,5,1),Report!$C:$C,"&lt;="&amp;DATE(2026,5,31))</f>
        <v/>
      </c>
      <c r="H44" s="77">
        <f>SUMIFS(Report!$U:$U,Report!$T:$T,$A44,Report!$C:$C,"&gt;="&amp;DATE(2026,6,1),Report!$C:$C,"&lt;="&amp;DATE(2026,6,30))</f>
        <v/>
      </c>
      <c r="I44" s="77">
        <f>SUMIFS(Report!$U:$U,Report!$T:$T,$A44,Report!$C:$C,"&gt;="&amp;DATE(2026,7,1),Report!$C:$C,"&lt;="&amp;DATE(2026,7,31))</f>
        <v/>
      </c>
      <c r="J44" s="77">
        <f>SUMIFS(Report!$U:$U,Report!$T:$T,$A44,Report!$C:$C,"&gt;="&amp;DATE(2026,8,1),Report!$C:$C,"&lt;="&amp;DATE(2026,8,31))</f>
        <v/>
      </c>
      <c r="K44" s="77">
        <f>SUMIFS(Report!$U:$U,Report!$T:$T,$A44,Report!$C:$C,"&gt;="&amp;DATE(2026,9,1),Report!$C:$C,"&lt;="&amp;DATE(2026,9,30))</f>
        <v/>
      </c>
      <c r="L44" s="77">
        <f>SUMIFS(Report!$U:$U,Report!$T:$T,$A44,Report!$C:$C,"&gt;="&amp;DATE(2026,10,1),Report!$C:$C,"&lt;="&amp;DATE(2026,10,31))</f>
        <v/>
      </c>
      <c r="M44" s="77">
        <f>SUMIFS(Report!$U:$U,Report!$T:$T,$A44,Report!$C:$C,"&gt;="&amp;DATE(2026,11,1),Report!$C:$C,"&lt;="&amp;DATE(2026,11,30))</f>
        <v/>
      </c>
      <c r="N44" s="77">
        <f>SUMIFS(Report!$U:$U,Report!$T:$T,$A44,Report!$C:$C,"&gt;="&amp;DATE(2026,12,1),Report!$C:$C,"&lt;="&amp;DATE(2026,12,31))</f>
        <v/>
      </c>
      <c r="O44" s="77">
        <f>SUMIFS(Report!$U:$U,Report!$T:$T,$A44,Report!$C:$C,"&gt;="&amp;DATE(2027,1,1),Report!$C:$C,"&lt;="&amp;DATE(2027,1,31))</f>
        <v/>
      </c>
      <c r="P44" s="77">
        <f>SUMIFS(Report!$U:$U,Report!$T:$T,$A44,Report!$C:$C,"&gt;="&amp;DATE(2027,2,1),Report!$C:$C,"&lt;="&amp;DATE(2027,2,28))</f>
        <v/>
      </c>
      <c r="Q44" s="77">
        <f>SUMIFS(Report!$U:$U,Report!$T:$T,$A44,Report!$C:$C,"&gt;="&amp;DATE(2027,3,1),Report!$C:$C,"&lt;="&amp;DATE(2027,3,31))</f>
        <v/>
      </c>
      <c r="R44" s="77">
        <f>SUMIFS(Report!$U:$U,Report!$T:$T,$A44,Report!$C:$C,"&gt;="&amp;DATE(2027,4,1),Report!$C:$C,"&lt;="&amp;DATE(2027,4,30))</f>
        <v/>
      </c>
      <c r="S44" s="77">
        <f>SUMIFS(Report!$U:$U,Report!$T:$T,$A44,Report!$C:$C,"&gt;="&amp;DATE(2027,5,1),Report!$C:$C,"&lt;="&amp;DATE(2027,5,31))</f>
        <v/>
      </c>
      <c r="T44" s="77">
        <f>SUMIFS(Report!$U:$U,Report!$T:$T,$A44,Report!$C:$C,"&gt;="&amp;DATE(2027,6,1),Report!$C:$C,"&lt;="&amp;DATE(2027,6,30))</f>
        <v/>
      </c>
      <c r="U44" s="77">
        <f>SUMIFS(Report!$U:$U,Report!$T:$T,$A44,Report!$C:$C,"&gt;="&amp;DATE(2027,7,1),Report!$C:$C,"&lt;="&amp;DATE(2027,7,31))</f>
        <v/>
      </c>
      <c r="V44" s="77">
        <f>SUMIFS(Report!$U:$U,Report!$T:$T,$A44,Report!$C:$C,"&gt;="&amp;DATE(2027,8,1),Report!$C:$C,"&lt;="&amp;DATE(2027,8,31))</f>
        <v/>
      </c>
      <c r="W44" s="77">
        <f>SUMIFS(Report!$U:$U,Report!$T:$T,$A44,Report!$C:$C,"&gt;="&amp;DATE(2027,9,1),Report!$C:$C,"&lt;="&amp;DATE(2027,9,30))</f>
        <v/>
      </c>
      <c r="X44" s="77">
        <f>SUMIFS(Report!$U:$U,Report!$T:$T,$A44,Report!$C:$C,"&gt;="&amp;DATE(2027,10,1),Report!$C:$C,"&lt;="&amp;DATE(2027,10,31))</f>
        <v/>
      </c>
      <c r="Y44" s="77">
        <f>SUMIFS(Report!$U:$U,Report!$T:$T,$A44,Report!$C:$C,"&gt;="&amp;DATE(2027,11,1),Report!$C:$C,"&lt;="&amp;DATE(2027,11,30))</f>
        <v/>
      </c>
      <c r="Z44" s="77">
        <f>SUMIFS(Report!$U:$U,Report!$T:$T,$A44,Report!$C:$C,"&gt;="&amp;DATE(2027,12,1),Report!$C:$C,"&lt;="&amp;DATE(2027,12,31))</f>
        <v/>
      </c>
      <c r="AA44" s="77">
        <f>SUM(C44:Z44)</f>
        <v/>
      </c>
    </row>
    <row r="45" ht="12.75" customHeight="1" s="60">
      <c r="A45" s="59" t="inlineStr">
        <is>
          <t>MAO DE OBRA</t>
        </is>
      </c>
      <c r="B45" s="59">
        <f>IFERROR(INDEX('Resumo Grupos'!$AC$3:$AC$200,MATCH($A45,'Resumo Grupos'!$AB$3:$AB$200,0)),"n/d")</f>
        <v/>
      </c>
      <c r="C45" s="77">
        <f>SUMIFS(Report!$U:$U,Report!$T:$T,$A45,Report!$C:$C,"&gt;="&amp;DATE(2026,1,1),Report!$C:$C,"&lt;="&amp;DATE(2026,1,31))</f>
        <v/>
      </c>
      <c r="D45" s="77">
        <f>SUMIFS(Report!$U:$U,Report!$T:$T,$A45,Report!$C:$C,"&gt;="&amp;DATE(2026,2,1),Report!$C:$C,"&lt;="&amp;DATE(2026,2,28))</f>
        <v/>
      </c>
      <c r="E45" s="77">
        <f>SUMIFS(Report!$U:$U,Report!$T:$T,$A45,Report!$C:$C,"&gt;="&amp;DATE(2026,3,1),Report!$C:$C,"&lt;="&amp;DATE(2026,3,31))</f>
        <v/>
      </c>
      <c r="F45" s="77">
        <f>SUMIFS(Report!$U:$U,Report!$T:$T,$A45,Report!$C:$C,"&gt;="&amp;DATE(2026,4,1),Report!$C:$C,"&lt;="&amp;DATE(2026,4,30))</f>
        <v/>
      </c>
      <c r="G45" s="77">
        <f>SUMIFS(Report!$U:$U,Report!$T:$T,$A45,Report!$C:$C,"&gt;="&amp;DATE(2026,5,1),Report!$C:$C,"&lt;="&amp;DATE(2026,5,31))</f>
        <v/>
      </c>
      <c r="H45" s="77">
        <f>SUMIFS(Report!$U:$U,Report!$T:$T,$A45,Report!$C:$C,"&gt;="&amp;DATE(2026,6,1),Report!$C:$C,"&lt;="&amp;DATE(2026,6,30))</f>
        <v/>
      </c>
      <c r="I45" s="77">
        <f>SUMIFS(Report!$U:$U,Report!$T:$T,$A45,Report!$C:$C,"&gt;="&amp;DATE(2026,7,1),Report!$C:$C,"&lt;="&amp;DATE(2026,7,31))</f>
        <v/>
      </c>
      <c r="J45" s="77">
        <f>SUMIFS(Report!$U:$U,Report!$T:$T,$A45,Report!$C:$C,"&gt;="&amp;DATE(2026,8,1),Report!$C:$C,"&lt;="&amp;DATE(2026,8,31))</f>
        <v/>
      </c>
      <c r="K45" s="77">
        <f>SUMIFS(Report!$U:$U,Report!$T:$T,$A45,Report!$C:$C,"&gt;="&amp;DATE(2026,9,1),Report!$C:$C,"&lt;="&amp;DATE(2026,9,30))</f>
        <v/>
      </c>
      <c r="L45" s="77">
        <f>SUMIFS(Report!$U:$U,Report!$T:$T,$A45,Report!$C:$C,"&gt;="&amp;DATE(2026,10,1),Report!$C:$C,"&lt;="&amp;DATE(2026,10,31))</f>
        <v/>
      </c>
      <c r="M45" s="77">
        <f>SUMIFS(Report!$U:$U,Report!$T:$T,$A45,Report!$C:$C,"&gt;="&amp;DATE(2026,11,1),Report!$C:$C,"&lt;="&amp;DATE(2026,11,30))</f>
        <v/>
      </c>
      <c r="N45" s="77">
        <f>SUMIFS(Report!$U:$U,Report!$T:$T,$A45,Report!$C:$C,"&gt;="&amp;DATE(2026,12,1),Report!$C:$C,"&lt;="&amp;DATE(2026,12,31))</f>
        <v/>
      </c>
      <c r="O45" s="77">
        <f>SUMIFS(Report!$U:$U,Report!$T:$T,$A45,Report!$C:$C,"&gt;="&amp;DATE(2027,1,1),Report!$C:$C,"&lt;="&amp;DATE(2027,1,31))</f>
        <v/>
      </c>
      <c r="P45" s="77">
        <f>SUMIFS(Report!$U:$U,Report!$T:$T,$A45,Report!$C:$C,"&gt;="&amp;DATE(2027,2,1),Report!$C:$C,"&lt;="&amp;DATE(2027,2,28))</f>
        <v/>
      </c>
      <c r="Q45" s="77">
        <f>SUMIFS(Report!$U:$U,Report!$T:$T,$A45,Report!$C:$C,"&gt;="&amp;DATE(2027,3,1),Report!$C:$C,"&lt;="&amp;DATE(2027,3,31))</f>
        <v/>
      </c>
      <c r="R45" s="77">
        <f>SUMIFS(Report!$U:$U,Report!$T:$T,$A45,Report!$C:$C,"&gt;="&amp;DATE(2027,4,1),Report!$C:$C,"&lt;="&amp;DATE(2027,4,30))</f>
        <v/>
      </c>
      <c r="S45" s="77">
        <f>SUMIFS(Report!$U:$U,Report!$T:$T,$A45,Report!$C:$C,"&gt;="&amp;DATE(2027,5,1),Report!$C:$C,"&lt;="&amp;DATE(2027,5,31))</f>
        <v/>
      </c>
      <c r="T45" s="77">
        <f>SUMIFS(Report!$U:$U,Report!$T:$T,$A45,Report!$C:$C,"&gt;="&amp;DATE(2027,6,1),Report!$C:$C,"&lt;="&amp;DATE(2027,6,30))</f>
        <v/>
      </c>
      <c r="U45" s="77">
        <f>SUMIFS(Report!$U:$U,Report!$T:$T,$A45,Report!$C:$C,"&gt;="&amp;DATE(2027,7,1),Report!$C:$C,"&lt;="&amp;DATE(2027,7,31))</f>
        <v/>
      </c>
      <c r="V45" s="77">
        <f>SUMIFS(Report!$U:$U,Report!$T:$T,$A45,Report!$C:$C,"&gt;="&amp;DATE(2027,8,1),Report!$C:$C,"&lt;="&amp;DATE(2027,8,31))</f>
        <v/>
      </c>
      <c r="W45" s="77">
        <f>SUMIFS(Report!$U:$U,Report!$T:$T,$A45,Report!$C:$C,"&gt;="&amp;DATE(2027,9,1),Report!$C:$C,"&lt;="&amp;DATE(2027,9,30))</f>
        <v/>
      </c>
      <c r="X45" s="77">
        <f>SUMIFS(Report!$U:$U,Report!$T:$T,$A45,Report!$C:$C,"&gt;="&amp;DATE(2027,10,1),Report!$C:$C,"&lt;="&amp;DATE(2027,10,31))</f>
        <v/>
      </c>
      <c r="Y45" s="77">
        <f>SUMIFS(Report!$U:$U,Report!$T:$T,$A45,Report!$C:$C,"&gt;="&amp;DATE(2027,11,1),Report!$C:$C,"&lt;="&amp;DATE(2027,11,30))</f>
        <v/>
      </c>
      <c r="Z45" s="77">
        <f>SUMIFS(Report!$U:$U,Report!$T:$T,$A45,Report!$C:$C,"&gt;="&amp;DATE(2027,12,1),Report!$C:$C,"&lt;="&amp;DATE(2027,12,31))</f>
        <v/>
      </c>
      <c r="AA45" s="77">
        <f>SUM(C45:Z45)</f>
        <v/>
      </c>
    </row>
    <row r="46" ht="12.75" customHeight="1" s="60">
      <c r="A46" s="59" t="inlineStr">
        <is>
          <t>MAQUINAS E EQUIPAMENTOS</t>
        </is>
      </c>
      <c r="B46" s="59">
        <f>IFERROR(INDEX('Resumo Grupos'!$AC$3:$AC$200,MATCH($A46,'Resumo Grupos'!$AB$3:$AB$200,0)),"n/d")</f>
        <v/>
      </c>
      <c r="C46" s="77">
        <f>SUMIFS(Report!$U:$U,Report!$T:$T,$A46,Report!$C:$C,"&gt;="&amp;DATE(2026,1,1),Report!$C:$C,"&lt;="&amp;DATE(2026,1,31))</f>
        <v/>
      </c>
      <c r="D46" s="77">
        <f>SUMIFS(Report!$U:$U,Report!$T:$T,$A46,Report!$C:$C,"&gt;="&amp;DATE(2026,2,1),Report!$C:$C,"&lt;="&amp;DATE(2026,2,28))</f>
        <v/>
      </c>
      <c r="E46" s="77">
        <f>SUMIFS(Report!$U:$U,Report!$T:$T,$A46,Report!$C:$C,"&gt;="&amp;DATE(2026,3,1),Report!$C:$C,"&lt;="&amp;DATE(2026,3,31))</f>
        <v/>
      </c>
      <c r="F46" s="77">
        <f>SUMIFS(Report!$U:$U,Report!$T:$T,$A46,Report!$C:$C,"&gt;="&amp;DATE(2026,4,1),Report!$C:$C,"&lt;="&amp;DATE(2026,4,30))</f>
        <v/>
      </c>
      <c r="G46" s="77">
        <f>SUMIFS(Report!$U:$U,Report!$T:$T,$A46,Report!$C:$C,"&gt;="&amp;DATE(2026,5,1),Report!$C:$C,"&lt;="&amp;DATE(2026,5,31))</f>
        <v/>
      </c>
      <c r="H46" s="77">
        <f>SUMIFS(Report!$U:$U,Report!$T:$T,$A46,Report!$C:$C,"&gt;="&amp;DATE(2026,6,1),Report!$C:$C,"&lt;="&amp;DATE(2026,6,30))</f>
        <v/>
      </c>
      <c r="I46" s="77">
        <f>SUMIFS(Report!$U:$U,Report!$T:$T,$A46,Report!$C:$C,"&gt;="&amp;DATE(2026,7,1),Report!$C:$C,"&lt;="&amp;DATE(2026,7,31))</f>
        <v/>
      </c>
      <c r="J46" s="77">
        <f>SUMIFS(Report!$U:$U,Report!$T:$T,$A46,Report!$C:$C,"&gt;="&amp;DATE(2026,8,1),Report!$C:$C,"&lt;="&amp;DATE(2026,8,31))</f>
        <v/>
      </c>
      <c r="K46" s="77">
        <f>SUMIFS(Report!$U:$U,Report!$T:$T,$A46,Report!$C:$C,"&gt;="&amp;DATE(2026,9,1),Report!$C:$C,"&lt;="&amp;DATE(2026,9,30))</f>
        <v/>
      </c>
      <c r="L46" s="77">
        <f>SUMIFS(Report!$U:$U,Report!$T:$T,$A46,Report!$C:$C,"&gt;="&amp;DATE(2026,10,1),Report!$C:$C,"&lt;="&amp;DATE(2026,10,31))</f>
        <v/>
      </c>
      <c r="M46" s="77">
        <f>SUMIFS(Report!$U:$U,Report!$T:$T,$A46,Report!$C:$C,"&gt;="&amp;DATE(2026,11,1),Report!$C:$C,"&lt;="&amp;DATE(2026,11,30))</f>
        <v/>
      </c>
      <c r="N46" s="77">
        <f>SUMIFS(Report!$U:$U,Report!$T:$T,$A46,Report!$C:$C,"&gt;="&amp;DATE(2026,12,1),Report!$C:$C,"&lt;="&amp;DATE(2026,12,31))</f>
        <v/>
      </c>
      <c r="O46" s="77">
        <f>SUMIFS(Report!$U:$U,Report!$T:$T,$A46,Report!$C:$C,"&gt;="&amp;DATE(2027,1,1),Report!$C:$C,"&lt;="&amp;DATE(2027,1,31))</f>
        <v/>
      </c>
      <c r="P46" s="77">
        <f>SUMIFS(Report!$U:$U,Report!$T:$T,$A46,Report!$C:$C,"&gt;="&amp;DATE(2027,2,1),Report!$C:$C,"&lt;="&amp;DATE(2027,2,28))</f>
        <v/>
      </c>
      <c r="Q46" s="77">
        <f>SUMIFS(Report!$U:$U,Report!$T:$T,$A46,Report!$C:$C,"&gt;="&amp;DATE(2027,3,1),Report!$C:$C,"&lt;="&amp;DATE(2027,3,31))</f>
        <v/>
      </c>
      <c r="R46" s="77">
        <f>SUMIFS(Report!$U:$U,Report!$T:$T,$A46,Report!$C:$C,"&gt;="&amp;DATE(2027,4,1),Report!$C:$C,"&lt;="&amp;DATE(2027,4,30))</f>
        <v/>
      </c>
      <c r="S46" s="77">
        <f>SUMIFS(Report!$U:$U,Report!$T:$T,$A46,Report!$C:$C,"&gt;="&amp;DATE(2027,5,1),Report!$C:$C,"&lt;="&amp;DATE(2027,5,31))</f>
        <v/>
      </c>
      <c r="T46" s="77">
        <f>SUMIFS(Report!$U:$U,Report!$T:$T,$A46,Report!$C:$C,"&gt;="&amp;DATE(2027,6,1),Report!$C:$C,"&lt;="&amp;DATE(2027,6,30))</f>
        <v/>
      </c>
      <c r="U46" s="77">
        <f>SUMIFS(Report!$U:$U,Report!$T:$T,$A46,Report!$C:$C,"&gt;="&amp;DATE(2027,7,1),Report!$C:$C,"&lt;="&amp;DATE(2027,7,31))</f>
        <v/>
      </c>
      <c r="V46" s="77">
        <f>SUMIFS(Report!$U:$U,Report!$T:$T,$A46,Report!$C:$C,"&gt;="&amp;DATE(2027,8,1),Report!$C:$C,"&lt;="&amp;DATE(2027,8,31))</f>
        <v/>
      </c>
      <c r="W46" s="77">
        <f>SUMIFS(Report!$U:$U,Report!$T:$T,$A46,Report!$C:$C,"&gt;="&amp;DATE(2027,9,1),Report!$C:$C,"&lt;="&amp;DATE(2027,9,30))</f>
        <v/>
      </c>
      <c r="X46" s="77">
        <f>SUMIFS(Report!$U:$U,Report!$T:$T,$A46,Report!$C:$C,"&gt;="&amp;DATE(2027,10,1),Report!$C:$C,"&lt;="&amp;DATE(2027,10,31))</f>
        <v/>
      </c>
      <c r="Y46" s="77">
        <f>SUMIFS(Report!$U:$U,Report!$T:$T,$A46,Report!$C:$C,"&gt;="&amp;DATE(2027,11,1),Report!$C:$C,"&lt;="&amp;DATE(2027,11,30))</f>
        <v/>
      </c>
      <c r="Z46" s="77">
        <f>SUMIFS(Report!$U:$U,Report!$T:$T,$A46,Report!$C:$C,"&gt;="&amp;DATE(2027,12,1),Report!$C:$C,"&lt;="&amp;DATE(2027,12,31))</f>
        <v/>
      </c>
      <c r="AA46" s="77">
        <f>SUM(C46:Z46)</f>
        <v/>
      </c>
    </row>
    <row r="47" ht="12.75" customHeight="1" s="60">
      <c r="A47" s="59" t="inlineStr">
        <is>
          <t>MATERIA PRIMA</t>
        </is>
      </c>
      <c r="B47" s="59">
        <f>IFERROR(INDEX('Resumo Grupos'!$AC$3:$AC$200,MATCH($A47,'Resumo Grupos'!$AB$3:$AB$200,0)),"n/d")</f>
        <v/>
      </c>
      <c r="C47" s="77">
        <f>SUMIFS(Report!$U:$U,Report!$T:$T,$A47,Report!$C:$C,"&gt;="&amp;DATE(2026,1,1),Report!$C:$C,"&lt;="&amp;DATE(2026,1,31))</f>
        <v/>
      </c>
      <c r="D47" s="77">
        <f>SUMIFS(Report!$U:$U,Report!$T:$T,$A47,Report!$C:$C,"&gt;="&amp;DATE(2026,2,1),Report!$C:$C,"&lt;="&amp;DATE(2026,2,28))</f>
        <v/>
      </c>
      <c r="E47" s="77">
        <f>SUMIFS(Report!$U:$U,Report!$T:$T,$A47,Report!$C:$C,"&gt;="&amp;DATE(2026,3,1),Report!$C:$C,"&lt;="&amp;DATE(2026,3,31))</f>
        <v/>
      </c>
      <c r="F47" s="77">
        <f>SUMIFS(Report!$U:$U,Report!$T:$T,$A47,Report!$C:$C,"&gt;="&amp;DATE(2026,4,1),Report!$C:$C,"&lt;="&amp;DATE(2026,4,30))</f>
        <v/>
      </c>
      <c r="G47" s="77">
        <f>SUMIFS(Report!$U:$U,Report!$T:$T,$A47,Report!$C:$C,"&gt;="&amp;DATE(2026,5,1),Report!$C:$C,"&lt;="&amp;DATE(2026,5,31))</f>
        <v/>
      </c>
      <c r="H47" s="77">
        <f>SUMIFS(Report!$U:$U,Report!$T:$T,$A47,Report!$C:$C,"&gt;="&amp;DATE(2026,6,1),Report!$C:$C,"&lt;="&amp;DATE(2026,6,30))</f>
        <v/>
      </c>
      <c r="I47" s="77">
        <f>SUMIFS(Report!$U:$U,Report!$T:$T,$A47,Report!$C:$C,"&gt;="&amp;DATE(2026,7,1),Report!$C:$C,"&lt;="&amp;DATE(2026,7,31))</f>
        <v/>
      </c>
      <c r="J47" s="77">
        <f>SUMIFS(Report!$U:$U,Report!$T:$T,$A47,Report!$C:$C,"&gt;="&amp;DATE(2026,8,1),Report!$C:$C,"&lt;="&amp;DATE(2026,8,31))</f>
        <v/>
      </c>
      <c r="K47" s="77">
        <f>SUMIFS(Report!$U:$U,Report!$T:$T,$A47,Report!$C:$C,"&gt;="&amp;DATE(2026,9,1),Report!$C:$C,"&lt;="&amp;DATE(2026,9,30))</f>
        <v/>
      </c>
      <c r="L47" s="77">
        <f>SUMIFS(Report!$U:$U,Report!$T:$T,$A47,Report!$C:$C,"&gt;="&amp;DATE(2026,10,1),Report!$C:$C,"&lt;="&amp;DATE(2026,10,31))</f>
        <v/>
      </c>
      <c r="M47" s="77">
        <f>SUMIFS(Report!$U:$U,Report!$T:$T,$A47,Report!$C:$C,"&gt;="&amp;DATE(2026,11,1),Report!$C:$C,"&lt;="&amp;DATE(2026,11,30))</f>
        <v/>
      </c>
      <c r="N47" s="77">
        <f>SUMIFS(Report!$U:$U,Report!$T:$T,$A47,Report!$C:$C,"&gt;="&amp;DATE(2026,12,1),Report!$C:$C,"&lt;="&amp;DATE(2026,12,31))</f>
        <v/>
      </c>
      <c r="O47" s="77">
        <f>SUMIFS(Report!$U:$U,Report!$T:$T,$A47,Report!$C:$C,"&gt;="&amp;DATE(2027,1,1),Report!$C:$C,"&lt;="&amp;DATE(2027,1,31))</f>
        <v/>
      </c>
      <c r="P47" s="77">
        <f>SUMIFS(Report!$U:$U,Report!$T:$T,$A47,Report!$C:$C,"&gt;="&amp;DATE(2027,2,1),Report!$C:$C,"&lt;="&amp;DATE(2027,2,28))</f>
        <v/>
      </c>
      <c r="Q47" s="77">
        <f>SUMIFS(Report!$U:$U,Report!$T:$T,$A47,Report!$C:$C,"&gt;="&amp;DATE(2027,3,1),Report!$C:$C,"&lt;="&amp;DATE(2027,3,31))</f>
        <v/>
      </c>
      <c r="R47" s="77">
        <f>SUMIFS(Report!$U:$U,Report!$T:$T,$A47,Report!$C:$C,"&gt;="&amp;DATE(2027,4,1),Report!$C:$C,"&lt;="&amp;DATE(2027,4,30))</f>
        <v/>
      </c>
      <c r="S47" s="77">
        <f>SUMIFS(Report!$U:$U,Report!$T:$T,$A47,Report!$C:$C,"&gt;="&amp;DATE(2027,5,1),Report!$C:$C,"&lt;="&amp;DATE(2027,5,31))</f>
        <v/>
      </c>
      <c r="T47" s="77">
        <f>SUMIFS(Report!$U:$U,Report!$T:$T,$A47,Report!$C:$C,"&gt;="&amp;DATE(2027,6,1),Report!$C:$C,"&lt;="&amp;DATE(2027,6,30))</f>
        <v/>
      </c>
      <c r="U47" s="77">
        <f>SUMIFS(Report!$U:$U,Report!$T:$T,$A47,Report!$C:$C,"&gt;="&amp;DATE(2027,7,1),Report!$C:$C,"&lt;="&amp;DATE(2027,7,31))</f>
        <v/>
      </c>
      <c r="V47" s="77">
        <f>SUMIFS(Report!$U:$U,Report!$T:$T,$A47,Report!$C:$C,"&gt;="&amp;DATE(2027,8,1),Report!$C:$C,"&lt;="&amp;DATE(2027,8,31))</f>
        <v/>
      </c>
      <c r="W47" s="77">
        <f>SUMIFS(Report!$U:$U,Report!$T:$T,$A47,Report!$C:$C,"&gt;="&amp;DATE(2027,9,1),Report!$C:$C,"&lt;="&amp;DATE(2027,9,30))</f>
        <v/>
      </c>
      <c r="X47" s="77">
        <f>SUMIFS(Report!$U:$U,Report!$T:$T,$A47,Report!$C:$C,"&gt;="&amp;DATE(2027,10,1),Report!$C:$C,"&lt;="&amp;DATE(2027,10,31))</f>
        <v/>
      </c>
      <c r="Y47" s="77">
        <f>SUMIFS(Report!$U:$U,Report!$T:$T,$A47,Report!$C:$C,"&gt;="&amp;DATE(2027,11,1),Report!$C:$C,"&lt;="&amp;DATE(2027,11,30))</f>
        <v/>
      </c>
      <c r="Z47" s="77">
        <f>SUMIFS(Report!$U:$U,Report!$T:$T,$A47,Report!$C:$C,"&gt;="&amp;DATE(2027,12,1),Report!$C:$C,"&lt;="&amp;DATE(2027,12,31))</f>
        <v/>
      </c>
      <c r="AA47" s="77">
        <f>SUM(C47:Z47)</f>
        <v/>
      </c>
    </row>
    <row r="48" ht="12.75" customHeight="1" s="60">
      <c r="A48" s="59" t="inlineStr">
        <is>
          <t>MATERIAL DE CONSUMO</t>
        </is>
      </c>
      <c r="B48" s="59">
        <f>IFERROR(INDEX('Resumo Grupos'!$AC$3:$AC$200,MATCH($A48,'Resumo Grupos'!$AB$3:$AB$200,0)),"n/d")</f>
        <v/>
      </c>
      <c r="C48" s="77">
        <f>SUMIFS(Report!$U:$U,Report!$T:$T,$A48,Report!$C:$C,"&gt;="&amp;DATE(2026,1,1),Report!$C:$C,"&lt;="&amp;DATE(2026,1,31))</f>
        <v/>
      </c>
      <c r="D48" s="77">
        <f>SUMIFS(Report!$U:$U,Report!$T:$T,$A48,Report!$C:$C,"&gt;="&amp;DATE(2026,2,1),Report!$C:$C,"&lt;="&amp;DATE(2026,2,28))</f>
        <v/>
      </c>
      <c r="E48" s="77">
        <f>SUMIFS(Report!$U:$U,Report!$T:$T,$A48,Report!$C:$C,"&gt;="&amp;DATE(2026,3,1),Report!$C:$C,"&lt;="&amp;DATE(2026,3,31))</f>
        <v/>
      </c>
      <c r="F48" s="77">
        <f>SUMIFS(Report!$U:$U,Report!$T:$T,$A48,Report!$C:$C,"&gt;="&amp;DATE(2026,4,1),Report!$C:$C,"&lt;="&amp;DATE(2026,4,30))</f>
        <v/>
      </c>
      <c r="G48" s="77">
        <f>SUMIFS(Report!$U:$U,Report!$T:$T,$A48,Report!$C:$C,"&gt;="&amp;DATE(2026,5,1),Report!$C:$C,"&lt;="&amp;DATE(2026,5,31))</f>
        <v/>
      </c>
      <c r="H48" s="77">
        <f>SUMIFS(Report!$U:$U,Report!$T:$T,$A48,Report!$C:$C,"&gt;="&amp;DATE(2026,6,1),Report!$C:$C,"&lt;="&amp;DATE(2026,6,30))</f>
        <v/>
      </c>
      <c r="I48" s="77">
        <f>SUMIFS(Report!$U:$U,Report!$T:$T,$A48,Report!$C:$C,"&gt;="&amp;DATE(2026,7,1),Report!$C:$C,"&lt;="&amp;DATE(2026,7,31))</f>
        <v/>
      </c>
      <c r="J48" s="77">
        <f>SUMIFS(Report!$U:$U,Report!$T:$T,$A48,Report!$C:$C,"&gt;="&amp;DATE(2026,8,1),Report!$C:$C,"&lt;="&amp;DATE(2026,8,31))</f>
        <v/>
      </c>
      <c r="K48" s="77">
        <f>SUMIFS(Report!$U:$U,Report!$T:$T,$A48,Report!$C:$C,"&gt;="&amp;DATE(2026,9,1),Report!$C:$C,"&lt;="&amp;DATE(2026,9,30))</f>
        <v/>
      </c>
      <c r="L48" s="77">
        <f>SUMIFS(Report!$U:$U,Report!$T:$T,$A48,Report!$C:$C,"&gt;="&amp;DATE(2026,10,1),Report!$C:$C,"&lt;="&amp;DATE(2026,10,31))</f>
        <v/>
      </c>
      <c r="M48" s="77">
        <f>SUMIFS(Report!$U:$U,Report!$T:$T,$A48,Report!$C:$C,"&gt;="&amp;DATE(2026,11,1),Report!$C:$C,"&lt;="&amp;DATE(2026,11,30))</f>
        <v/>
      </c>
      <c r="N48" s="77">
        <f>SUMIFS(Report!$U:$U,Report!$T:$T,$A48,Report!$C:$C,"&gt;="&amp;DATE(2026,12,1),Report!$C:$C,"&lt;="&amp;DATE(2026,12,31))</f>
        <v/>
      </c>
      <c r="O48" s="77">
        <f>SUMIFS(Report!$U:$U,Report!$T:$T,$A48,Report!$C:$C,"&gt;="&amp;DATE(2027,1,1),Report!$C:$C,"&lt;="&amp;DATE(2027,1,31))</f>
        <v/>
      </c>
      <c r="P48" s="77">
        <f>SUMIFS(Report!$U:$U,Report!$T:$T,$A48,Report!$C:$C,"&gt;="&amp;DATE(2027,2,1),Report!$C:$C,"&lt;="&amp;DATE(2027,2,28))</f>
        <v/>
      </c>
      <c r="Q48" s="77">
        <f>SUMIFS(Report!$U:$U,Report!$T:$T,$A48,Report!$C:$C,"&gt;="&amp;DATE(2027,3,1),Report!$C:$C,"&lt;="&amp;DATE(2027,3,31))</f>
        <v/>
      </c>
      <c r="R48" s="77">
        <f>SUMIFS(Report!$U:$U,Report!$T:$T,$A48,Report!$C:$C,"&gt;="&amp;DATE(2027,4,1),Report!$C:$C,"&lt;="&amp;DATE(2027,4,30))</f>
        <v/>
      </c>
      <c r="S48" s="77">
        <f>SUMIFS(Report!$U:$U,Report!$T:$T,$A48,Report!$C:$C,"&gt;="&amp;DATE(2027,5,1),Report!$C:$C,"&lt;="&amp;DATE(2027,5,31))</f>
        <v/>
      </c>
      <c r="T48" s="77">
        <f>SUMIFS(Report!$U:$U,Report!$T:$T,$A48,Report!$C:$C,"&gt;="&amp;DATE(2027,6,1),Report!$C:$C,"&lt;="&amp;DATE(2027,6,30))</f>
        <v/>
      </c>
      <c r="U48" s="77">
        <f>SUMIFS(Report!$U:$U,Report!$T:$T,$A48,Report!$C:$C,"&gt;="&amp;DATE(2027,7,1),Report!$C:$C,"&lt;="&amp;DATE(2027,7,31))</f>
        <v/>
      </c>
      <c r="V48" s="77">
        <f>SUMIFS(Report!$U:$U,Report!$T:$T,$A48,Report!$C:$C,"&gt;="&amp;DATE(2027,8,1),Report!$C:$C,"&lt;="&amp;DATE(2027,8,31))</f>
        <v/>
      </c>
      <c r="W48" s="77">
        <f>SUMIFS(Report!$U:$U,Report!$T:$T,$A48,Report!$C:$C,"&gt;="&amp;DATE(2027,9,1),Report!$C:$C,"&lt;="&amp;DATE(2027,9,30))</f>
        <v/>
      </c>
      <c r="X48" s="77">
        <f>SUMIFS(Report!$U:$U,Report!$T:$T,$A48,Report!$C:$C,"&gt;="&amp;DATE(2027,10,1),Report!$C:$C,"&lt;="&amp;DATE(2027,10,31))</f>
        <v/>
      </c>
      <c r="Y48" s="77">
        <f>SUMIFS(Report!$U:$U,Report!$T:$T,$A48,Report!$C:$C,"&gt;="&amp;DATE(2027,11,1),Report!$C:$C,"&lt;="&amp;DATE(2027,11,30))</f>
        <v/>
      </c>
      <c r="Z48" s="77">
        <f>SUMIFS(Report!$U:$U,Report!$T:$T,$A48,Report!$C:$C,"&gt;="&amp;DATE(2027,12,1),Report!$C:$C,"&lt;="&amp;DATE(2027,12,31))</f>
        <v/>
      </c>
      <c r="AA48" s="77">
        <f>SUM(C48:Z48)</f>
        <v/>
      </c>
    </row>
    <row r="49" ht="12.75" customHeight="1" s="60">
      <c r="A49" s="59" t="inlineStr">
        <is>
          <t>MATERIAL DE ESCRITORIO</t>
        </is>
      </c>
      <c r="B49" s="59">
        <f>IFERROR(INDEX('Resumo Grupos'!$AC$3:$AC$200,MATCH($A49,'Resumo Grupos'!$AB$3:$AB$200,0)),"n/d")</f>
        <v/>
      </c>
      <c r="C49" s="77">
        <f>SUMIFS(Report!$U:$U,Report!$T:$T,$A49,Report!$C:$C,"&gt;="&amp;DATE(2026,1,1),Report!$C:$C,"&lt;="&amp;DATE(2026,1,31))</f>
        <v/>
      </c>
      <c r="D49" s="77">
        <f>SUMIFS(Report!$U:$U,Report!$T:$T,$A49,Report!$C:$C,"&gt;="&amp;DATE(2026,2,1),Report!$C:$C,"&lt;="&amp;DATE(2026,2,28))</f>
        <v/>
      </c>
      <c r="E49" s="77">
        <f>SUMIFS(Report!$U:$U,Report!$T:$T,$A49,Report!$C:$C,"&gt;="&amp;DATE(2026,3,1),Report!$C:$C,"&lt;="&amp;DATE(2026,3,31))</f>
        <v/>
      </c>
      <c r="F49" s="77">
        <f>SUMIFS(Report!$U:$U,Report!$T:$T,$A49,Report!$C:$C,"&gt;="&amp;DATE(2026,4,1),Report!$C:$C,"&lt;="&amp;DATE(2026,4,30))</f>
        <v/>
      </c>
      <c r="G49" s="77">
        <f>SUMIFS(Report!$U:$U,Report!$T:$T,$A49,Report!$C:$C,"&gt;="&amp;DATE(2026,5,1),Report!$C:$C,"&lt;="&amp;DATE(2026,5,31))</f>
        <v/>
      </c>
      <c r="H49" s="77">
        <f>SUMIFS(Report!$U:$U,Report!$T:$T,$A49,Report!$C:$C,"&gt;="&amp;DATE(2026,6,1),Report!$C:$C,"&lt;="&amp;DATE(2026,6,30))</f>
        <v/>
      </c>
      <c r="I49" s="77">
        <f>SUMIFS(Report!$U:$U,Report!$T:$T,$A49,Report!$C:$C,"&gt;="&amp;DATE(2026,7,1),Report!$C:$C,"&lt;="&amp;DATE(2026,7,31))</f>
        <v/>
      </c>
      <c r="J49" s="77">
        <f>SUMIFS(Report!$U:$U,Report!$T:$T,$A49,Report!$C:$C,"&gt;="&amp;DATE(2026,8,1),Report!$C:$C,"&lt;="&amp;DATE(2026,8,31))</f>
        <v/>
      </c>
      <c r="K49" s="77">
        <f>SUMIFS(Report!$U:$U,Report!$T:$T,$A49,Report!$C:$C,"&gt;="&amp;DATE(2026,9,1),Report!$C:$C,"&lt;="&amp;DATE(2026,9,30))</f>
        <v/>
      </c>
      <c r="L49" s="77">
        <f>SUMIFS(Report!$U:$U,Report!$T:$T,$A49,Report!$C:$C,"&gt;="&amp;DATE(2026,10,1),Report!$C:$C,"&lt;="&amp;DATE(2026,10,31))</f>
        <v/>
      </c>
      <c r="M49" s="77">
        <f>SUMIFS(Report!$U:$U,Report!$T:$T,$A49,Report!$C:$C,"&gt;="&amp;DATE(2026,11,1),Report!$C:$C,"&lt;="&amp;DATE(2026,11,30))</f>
        <v/>
      </c>
      <c r="N49" s="77">
        <f>SUMIFS(Report!$U:$U,Report!$T:$T,$A49,Report!$C:$C,"&gt;="&amp;DATE(2026,12,1),Report!$C:$C,"&lt;="&amp;DATE(2026,12,31))</f>
        <v/>
      </c>
      <c r="O49" s="77">
        <f>SUMIFS(Report!$U:$U,Report!$T:$T,$A49,Report!$C:$C,"&gt;="&amp;DATE(2027,1,1),Report!$C:$C,"&lt;="&amp;DATE(2027,1,31))</f>
        <v/>
      </c>
      <c r="P49" s="77">
        <f>SUMIFS(Report!$U:$U,Report!$T:$T,$A49,Report!$C:$C,"&gt;="&amp;DATE(2027,2,1),Report!$C:$C,"&lt;="&amp;DATE(2027,2,28))</f>
        <v/>
      </c>
      <c r="Q49" s="77">
        <f>SUMIFS(Report!$U:$U,Report!$T:$T,$A49,Report!$C:$C,"&gt;="&amp;DATE(2027,3,1),Report!$C:$C,"&lt;="&amp;DATE(2027,3,31))</f>
        <v/>
      </c>
      <c r="R49" s="77">
        <f>SUMIFS(Report!$U:$U,Report!$T:$T,$A49,Report!$C:$C,"&gt;="&amp;DATE(2027,4,1),Report!$C:$C,"&lt;="&amp;DATE(2027,4,30))</f>
        <v/>
      </c>
      <c r="S49" s="77">
        <f>SUMIFS(Report!$U:$U,Report!$T:$T,$A49,Report!$C:$C,"&gt;="&amp;DATE(2027,5,1),Report!$C:$C,"&lt;="&amp;DATE(2027,5,31))</f>
        <v/>
      </c>
      <c r="T49" s="77">
        <f>SUMIFS(Report!$U:$U,Report!$T:$T,$A49,Report!$C:$C,"&gt;="&amp;DATE(2027,6,1),Report!$C:$C,"&lt;="&amp;DATE(2027,6,30))</f>
        <v/>
      </c>
      <c r="U49" s="77">
        <f>SUMIFS(Report!$U:$U,Report!$T:$T,$A49,Report!$C:$C,"&gt;="&amp;DATE(2027,7,1),Report!$C:$C,"&lt;="&amp;DATE(2027,7,31))</f>
        <v/>
      </c>
      <c r="V49" s="77">
        <f>SUMIFS(Report!$U:$U,Report!$T:$T,$A49,Report!$C:$C,"&gt;="&amp;DATE(2027,8,1),Report!$C:$C,"&lt;="&amp;DATE(2027,8,31))</f>
        <v/>
      </c>
      <c r="W49" s="77">
        <f>SUMIFS(Report!$U:$U,Report!$T:$T,$A49,Report!$C:$C,"&gt;="&amp;DATE(2027,9,1),Report!$C:$C,"&lt;="&amp;DATE(2027,9,30))</f>
        <v/>
      </c>
      <c r="X49" s="77">
        <f>SUMIFS(Report!$U:$U,Report!$T:$T,$A49,Report!$C:$C,"&gt;="&amp;DATE(2027,10,1),Report!$C:$C,"&lt;="&amp;DATE(2027,10,31))</f>
        <v/>
      </c>
      <c r="Y49" s="77">
        <f>SUMIFS(Report!$U:$U,Report!$T:$T,$A49,Report!$C:$C,"&gt;="&amp;DATE(2027,11,1),Report!$C:$C,"&lt;="&amp;DATE(2027,11,30))</f>
        <v/>
      </c>
      <c r="Z49" s="77">
        <f>SUMIFS(Report!$U:$U,Report!$T:$T,$A49,Report!$C:$C,"&gt;="&amp;DATE(2027,12,1),Report!$C:$C,"&lt;="&amp;DATE(2027,12,31))</f>
        <v/>
      </c>
      <c r="AA49" s="77">
        <f>SUM(C49:Z49)</f>
        <v/>
      </c>
    </row>
    <row r="50" ht="12.75" customHeight="1" s="60">
      <c r="A50" s="59" t="inlineStr">
        <is>
          <t>MENSALIDADE CONCILIACAO BANCARIA</t>
        </is>
      </c>
      <c r="B50" s="59">
        <f>IFERROR(INDEX('Resumo Grupos'!$AC$3:$AC$200,MATCH($A50,'Resumo Grupos'!$AB$3:$AB$200,0)),"n/d")</f>
        <v/>
      </c>
      <c r="C50" s="77">
        <f>SUMIFS(Report!$U:$U,Report!$T:$T,$A50,Report!$C:$C,"&gt;="&amp;DATE(2026,1,1),Report!$C:$C,"&lt;="&amp;DATE(2026,1,31))</f>
        <v/>
      </c>
      <c r="D50" s="77">
        <f>SUMIFS(Report!$U:$U,Report!$T:$T,$A50,Report!$C:$C,"&gt;="&amp;DATE(2026,2,1),Report!$C:$C,"&lt;="&amp;DATE(2026,2,28))</f>
        <v/>
      </c>
      <c r="E50" s="77">
        <f>SUMIFS(Report!$U:$U,Report!$T:$T,$A50,Report!$C:$C,"&gt;="&amp;DATE(2026,3,1),Report!$C:$C,"&lt;="&amp;DATE(2026,3,31))</f>
        <v/>
      </c>
      <c r="F50" s="77">
        <f>SUMIFS(Report!$U:$U,Report!$T:$T,$A50,Report!$C:$C,"&gt;="&amp;DATE(2026,4,1),Report!$C:$C,"&lt;="&amp;DATE(2026,4,30))</f>
        <v/>
      </c>
      <c r="G50" s="77">
        <f>SUMIFS(Report!$U:$U,Report!$T:$T,$A50,Report!$C:$C,"&gt;="&amp;DATE(2026,5,1),Report!$C:$C,"&lt;="&amp;DATE(2026,5,31))</f>
        <v/>
      </c>
      <c r="H50" s="77">
        <f>SUMIFS(Report!$U:$U,Report!$T:$T,$A50,Report!$C:$C,"&gt;="&amp;DATE(2026,6,1),Report!$C:$C,"&lt;="&amp;DATE(2026,6,30))</f>
        <v/>
      </c>
      <c r="I50" s="77">
        <f>SUMIFS(Report!$U:$U,Report!$T:$T,$A50,Report!$C:$C,"&gt;="&amp;DATE(2026,7,1),Report!$C:$C,"&lt;="&amp;DATE(2026,7,31))</f>
        <v/>
      </c>
      <c r="J50" s="77">
        <f>SUMIFS(Report!$U:$U,Report!$T:$T,$A50,Report!$C:$C,"&gt;="&amp;DATE(2026,8,1),Report!$C:$C,"&lt;="&amp;DATE(2026,8,31))</f>
        <v/>
      </c>
      <c r="K50" s="77">
        <f>SUMIFS(Report!$U:$U,Report!$T:$T,$A50,Report!$C:$C,"&gt;="&amp;DATE(2026,9,1),Report!$C:$C,"&lt;="&amp;DATE(2026,9,30))</f>
        <v/>
      </c>
      <c r="L50" s="77">
        <f>SUMIFS(Report!$U:$U,Report!$T:$T,$A50,Report!$C:$C,"&gt;="&amp;DATE(2026,10,1),Report!$C:$C,"&lt;="&amp;DATE(2026,10,31))</f>
        <v/>
      </c>
      <c r="M50" s="77">
        <f>SUMIFS(Report!$U:$U,Report!$T:$T,$A50,Report!$C:$C,"&gt;="&amp;DATE(2026,11,1),Report!$C:$C,"&lt;="&amp;DATE(2026,11,30))</f>
        <v/>
      </c>
      <c r="N50" s="77">
        <f>SUMIFS(Report!$U:$U,Report!$T:$T,$A50,Report!$C:$C,"&gt;="&amp;DATE(2026,12,1),Report!$C:$C,"&lt;="&amp;DATE(2026,12,31))</f>
        <v/>
      </c>
      <c r="O50" s="77">
        <f>SUMIFS(Report!$U:$U,Report!$T:$T,$A50,Report!$C:$C,"&gt;="&amp;DATE(2027,1,1),Report!$C:$C,"&lt;="&amp;DATE(2027,1,31))</f>
        <v/>
      </c>
      <c r="P50" s="77">
        <f>SUMIFS(Report!$U:$U,Report!$T:$T,$A50,Report!$C:$C,"&gt;="&amp;DATE(2027,2,1),Report!$C:$C,"&lt;="&amp;DATE(2027,2,28))</f>
        <v/>
      </c>
      <c r="Q50" s="77">
        <f>SUMIFS(Report!$U:$U,Report!$T:$T,$A50,Report!$C:$C,"&gt;="&amp;DATE(2027,3,1),Report!$C:$C,"&lt;="&amp;DATE(2027,3,31))</f>
        <v/>
      </c>
      <c r="R50" s="77">
        <f>SUMIFS(Report!$U:$U,Report!$T:$T,$A50,Report!$C:$C,"&gt;="&amp;DATE(2027,4,1),Report!$C:$C,"&lt;="&amp;DATE(2027,4,30))</f>
        <v/>
      </c>
      <c r="S50" s="77">
        <f>SUMIFS(Report!$U:$U,Report!$T:$T,$A50,Report!$C:$C,"&gt;="&amp;DATE(2027,5,1),Report!$C:$C,"&lt;="&amp;DATE(2027,5,31))</f>
        <v/>
      </c>
      <c r="T50" s="77">
        <f>SUMIFS(Report!$U:$U,Report!$T:$T,$A50,Report!$C:$C,"&gt;="&amp;DATE(2027,6,1),Report!$C:$C,"&lt;="&amp;DATE(2027,6,30))</f>
        <v/>
      </c>
      <c r="U50" s="77">
        <f>SUMIFS(Report!$U:$U,Report!$T:$T,$A50,Report!$C:$C,"&gt;="&amp;DATE(2027,7,1),Report!$C:$C,"&lt;="&amp;DATE(2027,7,31))</f>
        <v/>
      </c>
      <c r="V50" s="77">
        <f>SUMIFS(Report!$U:$U,Report!$T:$T,$A50,Report!$C:$C,"&gt;="&amp;DATE(2027,8,1),Report!$C:$C,"&lt;="&amp;DATE(2027,8,31))</f>
        <v/>
      </c>
      <c r="W50" s="77">
        <f>SUMIFS(Report!$U:$U,Report!$T:$T,$A50,Report!$C:$C,"&gt;="&amp;DATE(2027,9,1),Report!$C:$C,"&lt;="&amp;DATE(2027,9,30))</f>
        <v/>
      </c>
      <c r="X50" s="77">
        <f>SUMIFS(Report!$U:$U,Report!$T:$T,$A50,Report!$C:$C,"&gt;="&amp;DATE(2027,10,1),Report!$C:$C,"&lt;="&amp;DATE(2027,10,31))</f>
        <v/>
      </c>
      <c r="Y50" s="77">
        <f>SUMIFS(Report!$U:$U,Report!$T:$T,$A50,Report!$C:$C,"&gt;="&amp;DATE(2027,11,1),Report!$C:$C,"&lt;="&amp;DATE(2027,11,30))</f>
        <v/>
      </c>
      <c r="Z50" s="77">
        <f>SUMIFS(Report!$U:$U,Report!$T:$T,$A50,Report!$C:$C,"&gt;="&amp;DATE(2027,12,1),Report!$C:$C,"&lt;="&amp;DATE(2027,12,31))</f>
        <v/>
      </c>
      <c r="AA50" s="77">
        <f>SUM(C50:Z50)</f>
        <v/>
      </c>
    </row>
    <row r="51" ht="12.75" customHeight="1" s="60">
      <c r="A51" s="59" t="inlineStr">
        <is>
          <t>MENSALIDADE SEGURANCA TRABAHO - EXCELLET</t>
        </is>
      </c>
      <c r="B51" s="59">
        <f>IFERROR(INDEX('Resumo Grupos'!$AC$3:$AC$200,MATCH($A51,'Resumo Grupos'!$AB$3:$AB$200,0)),"n/d")</f>
        <v/>
      </c>
      <c r="C51" s="77">
        <f>SUMIFS(Report!$U:$U,Report!$T:$T,$A51,Report!$C:$C,"&gt;="&amp;DATE(2026,1,1),Report!$C:$C,"&lt;="&amp;DATE(2026,1,31))</f>
        <v/>
      </c>
      <c r="D51" s="77">
        <f>SUMIFS(Report!$U:$U,Report!$T:$T,$A51,Report!$C:$C,"&gt;="&amp;DATE(2026,2,1),Report!$C:$C,"&lt;="&amp;DATE(2026,2,28))</f>
        <v/>
      </c>
      <c r="E51" s="77">
        <f>SUMIFS(Report!$U:$U,Report!$T:$T,$A51,Report!$C:$C,"&gt;="&amp;DATE(2026,3,1),Report!$C:$C,"&lt;="&amp;DATE(2026,3,31))</f>
        <v/>
      </c>
      <c r="F51" s="77">
        <f>SUMIFS(Report!$U:$U,Report!$T:$T,$A51,Report!$C:$C,"&gt;="&amp;DATE(2026,4,1),Report!$C:$C,"&lt;="&amp;DATE(2026,4,30))</f>
        <v/>
      </c>
      <c r="G51" s="77">
        <f>SUMIFS(Report!$U:$U,Report!$T:$T,$A51,Report!$C:$C,"&gt;="&amp;DATE(2026,5,1),Report!$C:$C,"&lt;="&amp;DATE(2026,5,31))</f>
        <v/>
      </c>
      <c r="H51" s="77">
        <f>SUMIFS(Report!$U:$U,Report!$T:$T,$A51,Report!$C:$C,"&gt;="&amp;DATE(2026,6,1),Report!$C:$C,"&lt;="&amp;DATE(2026,6,30))</f>
        <v/>
      </c>
      <c r="I51" s="77">
        <f>SUMIFS(Report!$U:$U,Report!$T:$T,$A51,Report!$C:$C,"&gt;="&amp;DATE(2026,7,1),Report!$C:$C,"&lt;="&amp;DATE(2026,7,31))</f>
        <v/>
      </c>
      <c r="J51" s="77">
        <f>SUMIFS(Report!$U:$U,Report!$T:$T,$A51,Report!$C:$C,"&gt;="&amp;DATE(2026,8,1),Report!$C:$C,"&lt;="&amp;DATE(2026,8,31))</f>
        <v/>
      </c>
      <c r="K51" s="77">
        <f>SUMIFS(Report!$U:$U,Report!$T:$T,$A51,Report!$C:$C,"&gt;="&amp;DATE(2026,9,1),Report!$C:$C,"&lt;="&amp;DATE(2026,9,30))</f>
        <v/>
      </c>
      <c r="L51" s="77">
        <f>SUMIFS(Report!$U:$U,Report!$T:$T,$A51,Report!$C:$C,"&gt;="&amp;DATE(2026,10,1),Report!$C:$C,"&lt;="&amp;DATE(2026,10,31))</f>
        <v/>
      </c>
      <c r="M51" s="77">
        <f>SUMIFS(Report!$U:$U,Report!$T:$T,$A51,Report!$C:$C,"&gt;="&amp;DATE(2026,11,1),Report!$C:$C,"&lt;="&amp;DATE(2026,11,30))</f>
        <v/>
      </c>
      <c r="N51" s="77">
        <f>SUMIFS(Report!$U:$U,Report!$T:$T,$A51,Report!$C:$C,"&gt;="&amp;DATE(2026,12,1),Report!$C:$C,"&lt;="&amp;DATE(2026,12,31))</f>
        <v/>
      </c>
      <c r="O51" s="77">
        <f>SUMIFS(Report!$U:$U,Report!$T:$T,$A51,Report!$C:$C,"&gt;="&amp;DATE(2027,1,1),Report!$C:$C,"&lt;="&amp;DATE(2027,1,31))</f>
        <v/>
      </c>
      <c r="P51" s="77">
        <f>SUMIFS(Report!$U:$U,Report!$T:$T,$A51,Report!$C:$C,"&gt;="&amp;DATE(2027,2,1),Report!$C:$C,"&lt;="&amp;DATE(2027,2,28))</f>
        <v/>
      </c>
      <c r="Q51" s="77">
        <f>SUMIFS(Report!$U:$U,Report!$T:$T,$A51,Report!$C:$C,"&gt;="&amp;DATE(2027,3,1),Report!$C:$C,"&lt;="&amp;DATE(2027,3,31))</f>
        <v/>
      </c>
      <c r="R51" s="77">
        <f>SUMIFS(Report!$U:$U,Report!$T:$T,$A51,Report!$C:$C,"&gt;="&amp;DATE(2027,4,1),Report!$C:$C,"&lt;="&amp;DATE(2027,4,30))</f>
        <v/>
      </c>
      <c r="S51" s="77">
        <f>SUMIFS(Report!$U:$U,Report!$T:$T,$A51,Report!$C:$C,"&gt;="&amp;DATE(2027,5,1),Report!$C:$C,"&lt;="&amp;DATE(2027,5,31))</f>
        <v/>
      </c>
      <c r="T51" s="77">
        <f>SUMIFS(Report!$U:$U,Report!$T:$T,$A51,Report!$C:$C,"&gt;="&amp;DATE(2027,6,1),Report!$C:$C,"&lt;="&amp;DATE(2027,6,30))</f>
        <v/>
      </c>
      <c r="U51" s="77">
        <f>SUMIFS(Report!$U:$U,Report!$T:$T,$A51,Report!$C:$C,"&gt;="&amp;DATE(2027,7,1),Report!$C:$C,"&lt;="&amp;DATE(2027,7,31))</f>
        <v/>
      </c>
      <c r="V51" s="77">
        <f>SUMIFS(Report!$U:$U,Report!$T:$T,$A51,Report!$C:$C,"&gt;="&amp;DATE(2027,8,1),Report!$C:$C,"&lt;="&amp;DATE(2027,8,31))</f>
        <v/>
      </c>
      <c r="W51" s="77">
        <f>SUMIFS(Report!$U:$U,Report!$T:$T,$A51,Report!$C:$C,"&gt;="&amp;DATE(2027,9,1),Report!$C:$C,"&lt;="&amp;DATE(2027,9,30))</f>
        <v/>
      </c>
      <c r="X51" s="77">
        <f>SUMIFS(Report!$U:$U,Report!$T:$T,$A51,Report!$C:$C,"&gt;="&amp;DATE(2027,10,1),Report!$C:$C,"&lt;="&amp;DATE(2027,10,31))</f>
        <v/>
      </c>
      <c r="Y51" s="77">
        <f>SUMIFS(Report!$U:$U,Report!$T:$T,$A51,Report!$C:$C,"&gt;="&amp;DATE(2027,11,1),Report!$C:$C,"&lt;="&amp;DATE(2027,11,30))</f>
        <v/>
      </c>
      <c r="Z51" s="77">
        <f>SUMIFS(Report!$U:$U,Report!$T:$T,$A51,Report!$C:$C,"&gt;="&amp;DATE(2027,12,1),Report!$C:$C,"&lt;="&amp;DATE(2027,12,31))</f>
        <v/>
      </c>
      <c r="AA51" s="77">
        <f>SUM(C51:Z51)</f>
        <v/>
      </c>
    </row>
    <row r="52" ht="12.75" customHeight="1" s="60">
      <c r="A52" s="59" t="inlineStr">
        <is>
          <t>MENSALIDADE TI</t>
        </is>
      </c>
      <c r="B52" s="59">
        <f>IFERROR(INDEX('Resumo Grupos'!$AC$3:$AC$200,MATCH($A52,'Resumo Grupos'!$AB$3:$AB$200,0)),"n/d")</f>
        <v/>
      </c>
      <c r="C52" s="77">
        <f>SUMIFS(Report!$U:$U,Report!$T:$T,$A52,Report!$C:$C,"&gt;="&amp;DATE(2026,1,1),Report!$C:$C,"&lt;="&amp;DATE(2026,1,31))</f>
        <v/>
      </c>
      <c r="D52" s="77">
        <f>SUMIFS(Report!$U:$U,Report!$T:$T,$A52,Report!$C:$C,"&gt;="&amp;DATE(2026,2,1),Report!$C:$C,"&lt;="&amp;DATE(2026,2,28))</f>
        <v/>
      </c>
      <c r="E52" s="77">
        <f>SUMIFS(Report!$U:$U,Report!$T:$T,$A52,Report!$C:$C,"&gt;="&amp;DATE(2026,3,1),Report!$C:$C,"&lt;="&amp;DATE(2026,3,31))</f>
        <v/>
      </c>
      <c r="F52" s="77">
        <f>SUMIFS(Report!$U:$U,Report!$T:$T,$A52,Report!$C:$C,"&gt;="&amp;DATE(2026,4,1),Report!$C:$C,"&lt;="&amp;DATE(2026,4,30))</f>
        <v/>
      </c>
      <c r="G52" s="77">
        <f>SUMIFS(Report!$U:$U,Report!$T:$T,$A52,Report!$C:$C,"&gt;="&amp;DATE(2026,5,1),Report!$C:$C,"&lt;="&amp;DATE(2026,5,31))</f>
        <v/>
      </c>
      <c r="H52" s="77">
        <f>SUMIFS(Report!$U:$U,Report!$T:$T,$A52,Report!$C:$C,"&gt;="&amp;DATE(2026,6,1),Report!$C:$C,"&lt;="&amp;DATE(2026,6,30))</f>
        <v/>
      </c>
      <c r="I52" s="77">
        <f>SUMIFS(Report!$U:$U,Report!$T:$T,$A52,Report!$C:$C,"&gt;="&amp;DATE(2026,7,1),Report!$C:$C,"&lt;="&amp;DATE(2026,7,31))</f>
        <v/>
      </c>
      <c r="J52" s="77">
        <f>SUMIFS(Report!$U:$U,Report!$T:$T,$A52,Report!$C:$C,"&gt;="&amp;DATE(2026,8,1),Report!$C:$C,"&lt;="&amp;DATE(2026,8,31))</f>
        <v/>
      </c>
      <c r="K52" s="77">
        <f>SUMIFS(Report!$U:$U,Report!$T:$T,$A52,Report!$C:$C,"&gt;="&amp;DATE(2026,9,1),Report!$C:$C,"&lt;="&amp;DATE(2026,9,30))</f>
        <v/>
      </c>
      <c r="L52" s="77">
        <f>SUMIFS(Report!$U:$U,Report!$T:$T,$A52,Report!$C:$C,"&gt;="&amp;DATE(2026,10,1),Report!$C:$C,"&lt;="&amp;DATE(2026,10,31))</f>
        <v/>
      </c>
      <c r="M52" s="77">
        <f>SUMIFS(Report!$U:$U,Report!$T:$T,$A52,Report!$C:$C,"&gt;="&amp;DATE(2026,11,1),Report!$C:$C,"&lt;="&amp;DATE(2026,11,30))</f>
        <v/>
      </c>
      <c r="N52" s="77">
        <f>SUMIFS(Report!$U:$U,Report!$T:$T,$A52,Report!$C:$C,"&gt;="&amp;DATE(2026,12,1),Report!$C:$C,"&lt;="&amp;DATE(2026,12,31))</f>
        <v/>
      </c>
      <c r="O52" s="77">
        <f>SUMIFS(Report!$U:$U,Report!$T:$T,$A52,Report!$C:$C,"&gt;="&amp;DATE(2027,1,1),Report!$C:$C,"&lt;="&amp;DATE(2027,1,31))</f>
        <v/>
      </c>
      <c r="P52" s="77">
        <f>SUMIFS(Report!$U:$U,Report!$T:$T,$A52,Report!$C:$C,"&gt;="&amp;DATE(2027,2,1),Report!$C:$C,"&lt;="&amp;DATE(2027,2,28))</f>
        <v/>
      </c>
      <c r="Q52" s="77">
        <f>SUMIFS(Report!$U:$U,Report!$T:$T,$A52,Report!$C:$C,"&gt;="&amp;DATE(2027,3,1),Report!$C:$C,"&lt;="&amp;DATE(2027,3,31))</f>
        <v/>
      </c>
      <c r="R52" s="77">
        <f>SUMIFS(Report!$U:$U,Report!$T:$T,$A52,Report!$C:$C,"&gt;="&amp;DATE(2027,4,1),Report!$C:$C,"&lt;="&amp;DATE(2027,4,30))</f>
        <v/>
      </c>
      <c r="S52" s="77">
        <f>SUMIFS(Report!$U:$U,Report!$T:$T,$A52,Report!$C:$C,"&gt;="&amp;DATE(2027,5,1),Report!$C:$C,"&lt;="&amp;DATE(2027,5,31))</f>
        <v/>
      </c>
      <c r="T52" s="77">
        <f>SUMIFS(Report!$U:$U,Report!$T:$T,$A52,Report!$C:$C,"&gt;="&amp;DATE(2027,6,1),Report!$C:$C,"&lt;="&amp;DATE(2027,6,30))</f>
        <v/>
      </c>
      <c r="U52" s="77">
        <f>SUMIFS(Report!$U:$U,Report!$T:$T,$A52,Report!$C:$C,"&gt;="&amp;DATE(2027,7,1),Report!$C:$C,"&lt;="&amp;DATE(2027,7,31))</f>
        <v/>
      </c>
      <c r="V52" s="77">
        <f>SUMIFS(Report!$U:$U,Report!$T:$T,$A52,Report!$C:$C,"&gt;="&amp;DATE(2027,8,1),Report!$C:$C,"&lt;="&amp;DATE(2027,8,31))</f>
        <v/>
      </c>
      <c r="W52" s="77">
        <f>SUMIFS(Report!$U:$U,Report!$T:$T,$A52,Report!$C:$C,"&gt;="&amp;DATE(2027,9,1),Report!$C:$C,"&lt;="&amp;DATE(2027,9,30))</f>
        <v/>
      </c>
      <c r="X52" s="77">
        <f>SUMIFS(Report!$U:$U,Report!$T:$T,$A52,Report!$C:$C,"&gt;="&amp;DATE(2027,10,1),Report!$C:$C,"&lt;="&amp;DATE(2027,10,31))</f>
        <v/>
      </c>
      <c r="Y52" s="77">
        <f>SUMIFS(Report!$U:$U,Report!$T:$T,$A52,Report!$C:$C,"&gt;="&amp;DATE(2027,11,1),Report!$C:$C,"&lt;="&amp;DATE(2027,11,30))</f>
        <v/>
      </c>
      <c r="Z52" s="77">
        <f>SUMIFS(Report!$U:$U,Report!$T:$T,$A52,Report!$C:$C,"&gt;="&amp;DATE(2027,12,1),Report!$C:$C,"&lt;="&amp;DATE(2027,12,31))</f>
        <v/>
      </c>
      <c r="AA52" s="77">
        <f>SUM(C52:Z52)</f>
        <v/>
      </c>
    </row>
    <row r="53" ht="12.75" customHeight="1" s="60">
      <c r="A53" s="59" t="inlineStr">
        <is>
          <t>MENSALIDADES DE ASSOCIACOES</t>
        </is>
      </c>
      <c r="B53" s="59">
        <f>IFERROR(INDEX('Resumo Grupos'!$AC$3:$AC$200,MATCH($A53,'Resumo Grupos'!$AB$3:$AB$200,0)),"n/d")</f>
        <v/>
      </c>
      <c r="C53" s="77">
        <f>SUMIFS(Report!$U:$U,Report!$T:$T,$A53,Report!$C:$C,"&gt;="&amp;DATE(2026,1,1),Report!$C:$C,"&lt;="&amp;DATE(2026,1,31))</f>
        <v/>
      </c>
      <c r="D53" s="77">
        <f>SUMIFS(Report!$U:$U,Report!$T:$T,$A53,Report!$C:$C,"&gt;="&amp;DATE(2026,2,1),Report!$C:$C,"&lt;="&amp;DATE(2026,2,28))</f>
        <v/>
      </c>
      <c r="E53" s="77">
        <f>SUMIFS(Report!$U:$U,Report!$T:$T,$A53,Report!$C:$C,"&gt;="&amp;DATE(2026,3,1),Report!$C:$C,"&lt;="&amp;DATE(2026,3,31))</f>
        <v/>
      </c>
      <c r="F53" s="77">
        <f>SUMIFS(Report!$U:$U,Report!$T:$T,$A53,Report!$C:$C,"&gt;="&amp;DATE(2026,4,1),Report!$C:$C,"&lt;="&amp;DATE(2026,4,30))</f>
        <v/>
      </c>
      <c r="G53" s="77">
        <f>SUMIFS(Report!$U:$U,Report!$T:$T,$A53,Report!$C:$C,"&gt;="&amp;DATE(2026,5,1),Report!$C:$C,"&lt;="&amp;DATE(2026,5,31))</f>
        <v/>
      </c>
      <c r="H53" s="77">
        <f>SUMIFS(Report!$U:$U,Report!$T:$T,$A53,Report!$C:$C,"&gt;="&amp;DATE(2026,6,1),Report!$C:$C,"&lt;="&amp;DATE(2026,6,30))</f>
        <v/>
      </c>
      <c r="I53" s="77">
        <f>SUMIFS(Report!$U:$U,Report!$T:$T,$A53,Report!$C:$C,"&gt;="&amp;DATE(2026,7,1),Report!$C:$C,"&lt;="&amp;DATE(2026,7,31))</f>
        <v/>
      </c>
      <c r="J53" s="77">
        <f>SUMIFS(Report!$U:$U,Report!$T:$T,$A53,Report!$C:$C,"&gt;="&amp;DATE(2026,8,1),Report!$C:$C,"&lt;="&amp;DATE(2026,8,31))</f>
        <v/>
      </c>
      <c r="K53" s="77">
        <f>SUMIFS(Report!$U:$U,Report!$T:$T,$A53,Report!$C:$C,"&gt;="&amp;DATE(2026,9,1),Report!$C:$C,"&lt;="&amp;DATE(2026,9,30))</f>
        <v/>
      </c>
      <c r="L53" s="77">
        <f>SUMIFS(Report!$U:$U,Report!$T:$T,$A53,Report!$C:$C,"&gt;="&amp;DATE(2026,10,1),Report!$C:$C,"&lt;="&amp;DATE(2026,10,31))</f>
        <v/>
      </c>
      <c r="M53" s="77">
        <f>SUMIFS(Report!$U:$U,Report!$T:$T,$A53,Report!$C:$C,"&gt;="&amp;DATE(2026,11,1),Report!$C:$C,"&lt;="&amp;DATE(2026,11,30))</f>
        <v/>
      </c>
      <c r="N53" s="77">
        <f>SUMIFS(Report!$U:$U,Report!$T:$T,$A53,Report!$C:$C,"&gt;="&amp;DATE(2026,12,1),Report!$C:$C,"&lt;="&amp;DATE(2026,12,31))</f>
        <v/>
      </c>
      <c r="O53" s="77">
        <f>SUMIFS(Report!$U:$U,Report!$T:$T,$A53,Report!$C:$C,"&gt;="&amp;DATE(2027,1,1),Report!$C:$C,"&lt;="&amp;DATE(2027,1,31))</f>
        <v/>
      </c>
      <c r="P53" s="77">
        <f>SUMIFS(Report!$U:$U,Report!$T:$T,$A53,Report!$C:$C,"&gt;="&amp;DATE(2027,2,1),Report!$C:$C,"&lt;="&amp;DATE(2027,2,28))</f>
        <v/>
      </c>
      <c r="Q53" s="77">
        <f>SUMIFS(Report!$U:$U,Report!$T:$T,$A53,Report!$C:$C,"&gt;="&amp;DATE(2027,3,1),Report!$C:$C,"&lt;="&amp;DATE(2027,3,31))</f>
        <v/>
      </c>
      <c r="R53" s="77">
        <f>SUMIFS(Report!$U:$U,Report!$T:$T,$A53,Report!$C:$C,"&gt;="&amp;DATE(2027,4,1),Report!$C:$C,"&lt;="&amp;DATE(2027,4,30))</f>
        <v/>
      </c>
      <c r="S53" s="77">
        <f>SUMIFS(Report!$U:$U,Report!$T:$T,$A53,Report!$C:$C,"&gt;="&amp;DATE(2027,5,1),Report!$C:$C,"&lt;="&amp;DATE(2027,5,31))</f>
        <v/>
      </c>
      <c r="T53" s="77">
        <f>SUMIFS(Report!$U:$U,Report!$T:$T,$A53,Report!$C:$C,"&gt;="&amp;DATE(2027,6,1),Report!$C:$C,"&lt;="&amp;DATE(2027,6,30))</f>
        <v/>
      </c>
      <c r="U53" s="77">
        <f>SUMIFS(Report!$U:$U,Report!$T:$T,$A53,Report!$C:$C,"&gt;="&amp;DATE(2027,7,1),Report!$C:$C,"&lt;="&amp;DATE(2027,7,31))</f>
        <v/>
      </c>
      <c r="V53" s="77">
        <f>SUMIFS(Report!$U:$U,Report!$T:$T,$A53,Report!$C:$C,"&gt;="&amp;DATE(2027,8,1),Report!$C:$C,"&lt;="&amp;DATE(2027,8,31))</f>
        <v/>
      </c>
      <c r="W53" s="77">
        <f>SUMIFS(Report!$U:$U,Report!$T:$T,$A53,Report!$C:$C,"&gt;="&amp;DATE(2027,9,1),Report!$C:$C,"&lt;="&amp;DATE(2027,9,30))</f>
        <v/>
      </c>
      <c r="X53" s="77">
        <f>SUMIFS(Report!$U:$U,Report!$T:$T,$A53,Report!$C:$C,"&gt;="&amp;DATE(2027,10,1),Report!$C:$C,"&lt;="&amp;DATE(2027,10,31))</f>
        <v/>
      </c>
      <c r="Y53" s="77">
        <f>SUMIFS(Report!$U:$U,Report!$T:$T,$A53,Report!$C:$C,"&gt;="&amp;DATE(2027,11,1),Report!$C:$C,"&lt;="&amp;DATE(2027,11,30))</f>
        <v/>
      </c>
      <c r="Z53" s="77">
        <f>SUMIFS(Report!$U:$U,Report!$T:$T,$A53,Report!$C:$C,"&gt;="&amp;DATE(2027,12,1),Report!$C:$C,"&lt;="&amp;DATE(2027,12,31))</f>
        <v/>
      </c>
      <c r="AA53" s="77">
        <f>SUM(C53:Z53)</f>
        <v/>
      </c>
    </row>
    <row r="54" ht="12.75" customHeight="1" s="60">
      <c r="A54" s="59" t="inlineStr">
        <is>
          <t>MERCADORIAS P/REVENDA</t>
        </is>
      </c>
      <c r="B54" s="59">
        <f>IFERROR(INDEX('Resumo Grupos'!$AC$3:$AC$200,MATCH($A54,'Resumo Grupos'!$AB$3:$AB$200,0)),"n/d")</f>
        <v/>
      </c>
      <c r="C54" s="77">
        <f>SUMIFS(Report!$U:$U,Report!$T:$T,$A54,Report!$C:$C,"&gt;="&amp;DATE(2026,1,1),Report!$C:$C,"&lt;="&amp;DATE(2026,1,31))</f>
        <v/>
      </c>
      <c r="D54" s="77">
        <f>SUMIFS(Report!$U:$U,Report!$T:$T,$A54,Report!$C:$C,"&gt;="&amp;DATE(2026,2,1),Report!$C:$C,"&lt;="&amp;DATE(2026,2,28))</f>
        <v/>
      </c>
      <c r="E54" s="77">
        <f>SUMIFS(Report!$U:$U,Report!$T:$T,$A54,Report!$C:$C,"&gt;="&amp;DATE(2026,3,1),Report!$C:$C,"&lt;="&amp;DATE(2026,3,31))</f>
        <v/>
      </c>
      <c r="F54" s="77">
        <f>SUMIFS(Report!$U:$U,Report!$T:$T,$A54,Report!$C:$C,"&gt;="&amp;DATE(2026,4,1),Report!$C:$C,"&lt;="&amp;DATE(2026,4,30))</f>
        <v/>
      </c>
      <c r="G54" s="77">
        <f>SUMIFS(Report!$U:$U,Report!$T:$T,$A54,Report!$C:$C,"&gt;="&amp;DATE(2026,5,1),Report!$C:$C,"&lt;="&amp;DATE(2026,5,31))</f>
        <v/>
      </c>
      <c r="H54" s="77">
        <f>SUMIFS(Report!$U:$U,Report!$T:$T,$A54,Report!$C:$C,"&gt;="&amp;DATE(2026,6,1),Report!$C:$C,"&lt;="&amp;DATE(2026,6,30))</f>
        <v/>
      </c>
      <c r="I54" s="77">
        <f>SUMIFS(Report!$U:$U,Report!$T:$T,$A54,Report!$C:$C,"&gt;="&amp;DATE(2026,7,1),Report!$C:$C,"&lt;="&amp;DATE(2026,7,31))</f>
        <v/>
      </c>
      <c r="J54" s="77">
        <f>SUMIFS(Report!$U:$U,Report!$T:$T,$A54,Report!$C:$C,"&gt;="&amp;DATE(2026,8,1),Report!$C:$C,"&lt;="&amp;DATE(2026,8,31))</f>
        <v/>
      </c>
      <c r="K54" s="77">
        <f>SUMIFS(Report!$U:$U,Report!$T:$T,$A54,Report!$C:$C,"&gt;="&amp;DATE(2026,9,1),Report!$C:$C,"&lt;="&amp;DATE(2026,9,30))</f>
        <v/>
      </c>
      <c r="L54" s="77">
        <f>SUMIFS(Report!$U:$U,Report!$T:$T,$A54,Report!$C:$C,"&gt;="&amp;DATE(2026,10,1),Report!$C:$C,"&lt;="&amp;DATE(2026,10,31))</f>
        <v/>
      </c>
      <c r="M54" s="77">
        <f>SUMIFS(Report!$U:$U,Report!$T:$T,$A54,Report!$C:$C,"&gt;="&amp;DATE(2026,11,1),Report!$C:$C,"&lt;="&amp;DATE(2026,11,30))</f>
        <v/>
      </c>
      <c r="N54" s="77">
        <f>SUMIFS(Report!$U:$U,Report!$T:$T,$A54,Report!$C:$C,"&gt;="&amp;DATE(2026,12,1),Report!$C:$C,"&lt;="&amp;DATE(2026,12,31))</f>
        <v/>
      </c>
      <c r="O54" s="77">
        <f>SUMIFS(Report!$U:$U,Report!$T:$T,$A54,Report!$C:$C,"&gt;="&amp;DATE(2027,1,1),Report!$C:$C,"&lt;="&amp;DATE(2027,1,31))</f>
        <v/>
      </c>
      <c r="P54" s="77">
        <f>SUMIFS(Report!$U:$U,Report!$T:$T,$A54,Report!$C:$C,"&gt;="&amp;DATE(2027,2,1),Report!$C:$C,"&lt;="&amp;DATE(2027,2,28))</f>
        <v/>
      </c>
      <c r="Q54" s="77">
        <f>SUMIFS(Report!$U:$U,Report!$T:$T,$A54,Report!$C:$C,"&gt;="&amp;DATE(2027,3,1),Report!$C:$C,"&lt;="&amp;DATE(2027,3,31))</f>
        <v/>
      </c>
      <c r="R54" s="77">
        <f>SUMIFS(Report!$U:$U,Report!$T:$T,$A54,Report!$C:$C,"&gt;="&amp;DATE(2027,4,1),Report!$C:$C,"&lt;="&amp;DATE(2027,4,30))</f>
        <v/>
      </c>
      <c r="S54" s="77">
        <f>SUMIFS(Report!$U:$U,Report!$T:$T,$A54,Report!$C:$C,"&gt;="&amp;DATE(2027,5,1),Report!$C:$C,"&lt;="&amp;DATE(2027,5,31))</f>
        <v/>
      </c>
      <c r="T54" s="77">
        <f>SUMIFS(Report!$U:$U,Report!$T:$T,$A54,Report!$C:$C,"&gt;="&amp;DATE(2027,6,1),Report!$C:$C,"&lt;="&amp;DATE(2027,6,30))</f>
        <v/>
      </c>
      <c r="U54" s="77">
        <f>SUMIFS(Report!$U:$U,Report!$T:$T,$A54,Report!$C:$C,"&gt;="&amp;DATE(2027,7,1),Report!$C:$C,"&lt;="&amp;DATE(2027,7,31))</f>
        <v/>
      </c>
      <c r="V54" s="77">
        <f>SUMIFS(Report!$U:$U,Report!$T:$T,$A54,Report!$C:$C,"&gt;="&amp;DATE(2027,8,1),Report!$C:$C,"&lt;="&amp;DATE(2027,8,31))</f>
        <v/>
      </c>
      <c r="W54" s="77">
        <f>SUMIFS(Report!$U:$U,Report!$T:$T,$A54,Report!$C:$C,"&gt;="&amp;DATE(2027,9,1),Report!$C:$C,"&lt;="&amp;DATE(2027,9,30))</f>
        <v/>
      </c>
      <c r="X54" s="77">
        <f>SUMIFS(Report!$U:$U,Report!$T:$T,$A54,Report!$C:$C,"&gt;="&amp;DATE(2027,10,1),Report!$C:$C,"&lt;="&amp;DATE(2027,10,31))</f>
        <v/>
      </c>
      <c r="Y54" s="77">
        <f>SUMIFS(Report!$U:$U,Report!$T:$T,$A54,Report!$C:$C,"&gt;="&amp;DATE(2027,11,1),Report!$C:$C,"&lt;="&amp;DATE(2027,11,30))</f>
        <v/>
      </c>
      <c r="Z54" s="77">
        <f>SUMIFS(Report!$U:$U,Report!$T:$T,$A54,Report!$C:$C,"&gt;="&amp;DATE(2027,12,1),Report!$C:$C,"&lt;="&amp;DATE(2027,12,31))</f>
        <v/>
      </c>
      <c r="AA54" s="77">
        <f>SUM(C54:Z54)</f>
        <v/>
      </c>
    </row>
    <row r="55" ht="12.75" customHeight="1" s="60">
      <c r="A55" s="59" t="inlineStr">
        <is>
          <t>OUTROS CUSTOS PRODUCAO</t>
        </is>
      </c>
      <c r="B55" s="59">
        <f>IFERROR(INDEX('Resumo Grupos'!$AC$3:$AC$200,MATCH($A55,'Resumo Grupos'!$AB$3:$AB$200,0)),"n/d")</f>
        <v/>
      </c>
      <c r="C55" s="77">
        <f>SUMIFS(Report!$U:$U,Report!$T:$T,$A55,Report!$C:$C,"&gt;="&amp;DATE(2026,1,1),Report!$C:$C,"&lt;="&amp;DATE(2026,1,31))</f>
        <v/>
      </c>
      <c r="D55" s="77">
        <f>SUMIFS(Report!$U:$U,Report!$T:$T,$A55,Report!$C:$C,"&gt;="&amp;DATE(2026,2,1),Report!$C:$C,"&lt;="&amp;DATE(2026,2,28))</f>
        <v/>
      </c>
      <c r="E55" s="77">
        <f>SUMIFS(Report!$U:$U,Report!$T:$T,$A55,Report!$C:$C,"&gt;="&amp;DATE(2026,3,1),Report!$C:$C,"&lt;="&amp;DATE(2026,3,31))</f>
        <v/>
      </c>
      <c r="F55" s="77">
        <f>SUMIFS(Report!$U:$U,Report!$T:$T,$A55,Report!$C:$C,"&gt;="&amp;DATE(2026,4,1),Report!$C:$C,"&lt;="&amp;DATE(2026,4,30))</f>
        <v/>
      </c>
      <c r="G55" s="77">
        <f>SUMIFS(Report!$U:$U,Report!$T:$T,$A55,Report!$C:$C,"&gt;="&amp;DATE(2026,5,1),Report!$C:$C,"&lt;="&amp;DATE(2026,5,31))</f>
        <v/>
      </c>
      <c r="H55" s="77">
        <f>SUMIFS(Report!$U:$U,Report!$T:$T,$A55,Report!$C:$C,"&gt;="&amp;DATE(2026,6,1),Report!$C:$C,"&lt;="&amp;DATE(2026,6,30))</f>
        <v/>
      </c>
      <c r="I55" s="77">
        <f>SUMIFS(Report!$U:$U,Report!$T:$T,$A55,Report!$C:$C,"&gt;="&amp;DATE(2026,7,1),Report!$C:$C,"&lt;="&amp;DATE(2026,7,31))</f>
        <v/>
      </c>
      <c r="J55" s="77">
        <f>SUMIFS(Report!$U:$U,Report!$T:$T,$A55,Report!$C:$C,"&gt;="&amp;DATE(2026,8,1),Report!$C:$C,"&lt;="&amp;DATE(2026,8,31))</f>
        <v/>
      </c>
      <c r="K55" s="77">
        <f>SUMIFS(Report!$U:$U,Report!$T:$T,$A55,Report!$C:$C,"&gt;="&amp;DATE(2026,9,1),Report!$C:$C,"&lt;="&amp;DATE(2026,9,30))</f>
        <v/>
      </c>
      <c r="L55" s="77">
        <f>SUMIFS(Report!$U:$U,Report!$T:$T,$A55,Report!$C:$C,"&gt;="&amp;DATE(2026,10,1),Report!$C:$C,"&lt;="&amp;DATE(2026,10,31))</f>
        <v/>
      </c>
      <c r="M55" s="77">
        <f>SUMIFS(Report!$U:$U,Report!$T:$T,$A55,Report!$C:$C,"&gt;="&amp;DATE(2026,11,1),Report!$C:$C,"&lt;="&amp;DATE(2026,11,30))</f>
        <v/>
      </c>
      <c r="N55" s="77">
        <f>SUMIFS(Report!$U:$U,Report!$T:$T,$A55,Report!$C:$C,"&gt;="&amp;DATE(2026,12,1),Report!$C:$C,"&lt;="&amp;DATE(2026,12,31))</f>
        <v/>
      </c>
      <c r="O55" s="77">
        <f>SUMIFS(Report!$U:$U,Report!$T:$T,$A55,Report!$C:$C,"&gt;="&amp;DATE(2027,1,1),Report!$C:$C,"&lt;="&amp;DATE(2027,1,31))</f>
        <v/>
      </c>
      <c r="P55" s="77">
        <f>SUMIFS(Report!$U:$U,Report!$T:$T,$A55,Report!$C:$C,"&gt;="&amp;DATE(2027,2,1),Report!$C:$C,"&lt;="&amp;DATE(2027,2,28))</f>
        <v/>
      </c>
      <c r="Q55" s="77">
        <f>SUMIFS(Report!$U:$U,Report!$T:$T,$A55,Report!$C:$C,"&gt;="&amp;DATE(2027,3,1),Report!$C:$C,"&lt;="&amp;DATE(2027,3,31))</f>
        <v/>
      </c>
      <c r="R55" s="77">
        <f>SUMIFS(Report!$U:$U,Report!$T:$T,$A55,Report!$C:$C,"&gt;="&amp;DATE(2027,4,1),Report!$C:$C,"&lt;="&amp;DATE(2027,4,30))</f>
        <v/>
      </c>
      <c r="S55" s="77">
        <f>SUMIFS(Report!$U:$U,Report!$T:$T,$A55,Report!$C:$C,"&gt;="&amp;DATE(2027,5,1),Report!$C:$C,"&lt;="&amp;DATE(2027,5,31))</f>
        <v/>
      </c>
      <c r="T55" s="77">
        <f>SUMIFS(Report!$U:$U,Report!$T:$T,$A55,Report!$C:$C,"&gt;="&amp;DATE(2027,6,1),Report!$C:$C,"&lt;="&amp;DATE(2027,6,30))</f>
        <v/>
      </c>
      <c r="U55" s="77">
        <f>SUMIFS(Report!$U:$U,Report!$T:$T,$A55,Report!$C:$C,"&gt;="&amp;DATE(2027,7,1),Report!$C:$C,"&lt;="&amp;DATE(2027,7,31))</f>
        <v/>
      </c>
      <c r="V55" s="77">
        <f>SUMIFS(Report!$U:$U,Report!$T:$T,$A55,Report!$C:$C,"&gt;="&amp;DATE(2027,8,1),Report!$C:$C,"&lt;="&amp;DATE(2027,8,31))</f>
        <v/>
      </c>
      <c r="W55" s="77">
        <f>SUMIFS(Report!$U:$U,Report!$T:$T,$A55,Report!$C:$C,"&gt;="&amp;DATE(2027,9,1),Report!$C:$C,"&lt;="&amp;DATE(2027,9,30))</f>
        <v/>
      </c>
      <c r="X55" s="77">
        <f>SUMIFS(Report!$U:$U,Report!$T:$T,$A55,Report!$C:$C,"&gt;="&amp;DATE(2027,10,1),Report!$C:$C,"&lt;="&amp;DATE(2027,10,31))</f>
        <v/>
      </c>
      <c r="Y55" s="77">
        <f>SUMIFS(Report!$U:$U,Report!$T:$T,$A55,Report!$C:$C,"&gt;="&amp;DATE(2027,11,1),Report!$C:$C,"&lt;="&amp;DATE(2027,11,30))</f>
        <v/>
      </c>
      <c r="Z55" s="77">
        <f>SUMIFS(Report!$U:$U,Report!$T:$T,$A55,Report!$C:$C,"&gt;="&amp;DATE(2027,12,1),Report!$C:$C,"&lt;="&amp;DATE(2027,12,31))</f>
        <v/>
      </c>
      <c r="AA55" s="77">
        <f>SUM(C55:Z55)</f>
        <v/>
      </c>
    </row>
    <row r="56" ht="12.75" customHeight="1" s="60">
      <c r="A56" s="59" t="inlineStr">
        <is>
          <t>PAGAMENTOS OUTROS NAO OPERACIONAIS</t>
        </is>
      </c>
      <c r="B56" s="59">
        <f>IFERROR(INDEX('Resumo Grupos'!$AC$3:$AC$200,MATCH($A56,'Resumo Grupos'!$AB$3:$AB$200,0)),"n/d")</f>
        <v/>
      </c>
      <c r="C56" s="77">
        <f>SUMIFS(Report!$U:$U,Report!$T:$T,$A56,Report!$C:$C,"&gt;="&amp;DATE(2026,1,1),Report!$C:$C,"&lt;="&amp;DATE(2026,1,31))</f>
        <v/>
      </c>
      <c r="D56" s="77">
        <f>SUMIFS(Report!$U:$U,Report!$T:$T,$A56,Report!$C:$C,"&gt;="&amp;DATE(2026,2,1),Report!$C:$C,"&lt;="&amp;DATE(2026,2,28))</f>
        <v/>
      </c>
      <c r="E56" s="77">
        <f>SUMIFS(Report!$U:$U,Report!$T:$T,$A56,Report!$C:$C,"&gt;="&amp;DATE(2026,3,1),Report!$C:$C,"&lt;="&amp;DATE(2026,3,31))</f>
        <v/>
      </c>
      <c r="F56" s="77">
        <f>SUMIFS(Report!$U:$U,Report!$T:$T,$A56,Report!$C:$C,"&gt;="&amp;DATE(2026,4,1),Report!$C:$C,"&lt;="&amp;DATE(2026,4,30))</f>
        <v/>
      </c>
      <c r="G56" s="77">
        <f>SUMIFS(Report!$U:$U,Report!$T:$T,$A56,Report!$C:$C,"&gt;="&amp;DATE(2026,5,1),Report!$C:$C,"&lt;="&amp;DATE(2026,5,31))</f>
        <v/>
      </c>
      <c r="H56" s="77">
        <f>SUMIFS(Report!$U:$U,Report!$T:$T,$A56,Report!$C:$C,"&gt;="&amp;DATE(2026,6,1),Report!$C:$C,"&lt;="&amp;DATE(2026,6,30))</f>
        <v/>
      </c>
      <c r="I56" s="77">
        <f>SUMIFS(Report!$U:$U,Report!$T:$T,$A56,Report!$C:$C,"&gt;="&amp;DATE(2026,7,1),Report!$C:$C,"&lt;="&amp;DATE(2026,7,31))</f>
        <v/>
      </c>
      <c r="J56" s="77">
        <f>SUMIFS(Report!$U:$U,Report!$T:$T,$A56,Report!$C:$C,"&gt;="&amp;DATE(2026,8,1),Report!$C:$C,"&lt;="&amp;DATE(2026,8,31))</f>
        <v/>
      </c>
      <c r="K56" s="77">
        <f>SUMIFS(Report!$U:$U,Report!$T:$T,$A56,Report!$C:$C,"&gt;="&amp;DATE(2026,9,1),Report!$C:$C,"&lt;="&amp;DATE(2026,9,30))</f>
        <v/>
      </c>
      <c r="L56" s="77">
        <f>SUMIFS(Report!$U:$U,Report!$T:$T,$A56,Report!$C:$C,"&gt;="&amp;DATE(2026,10,1),Report!$C:$C,"&lt;="&amp;DATE(2026,10,31))</f>
        <v/>
      </c>
      <c r="M56" s="77">
        <f>SUMIFS(Report!$U:$U,Report!$T:$T,$A56,Report!$C:$C,"&gt;="&amp;DATE(2026,11,1),Report!$C:$C,"&lt;="&amp;DATE(2026,11,30))</f>
        <v/>
      </c>
      <c r="N56" s="77">
        <f>SUMIFS(Report!$U:$U,Report!$T:$T,$A56,Report!$C:$C,"&gt;="&amp;DATE(2026,12,1),Report!$C:$C,"&lt;="&amp;DATE(2026,12,31))</f>
        <v/>
      </c>
      <c r="O56" s="77">
        <f>SUMIFS(Report!$U:$U,Report!$T:$T,$A56,Report!$C:$C,"&gt;="&amp;DATE(2027,1,1),Report!$C:$C,"&lt;="&amp;DATE(2027,1,31))</f>
        <v/>
      </c>
      <c r="P56" s="77">
        <f>SUMIFS(Report!$U:$U,Report!$T:$T,$A56,Report!$C:$C,"&gt;="&amp;DATE(2027,2,1),Report!$C:$C,"&lt;="&amp;DATE(2027,2,28))</f>
        <v/>
      </c>
      <c r="Q56" s="77">
        <f>SUMIFS(Report!$U:$U,Report!$T:$T,$A56,Report!$C:$C,"&gt;="&amp;DATE(2027,3,1),Report!$C:$C,"&lt;="&amp;DATE(2027,3,31))</f>
        <v/>
      </c>
      <c r="R56" s="77">
        <f>SUMIFS(Report!$U:$U,Report!$T:$T,$A56,Report!$C:$C,"&gt;="&amp;DATE(2027,4,1),Report!$C:$C,"&lt;="&amp;DATE(2027,4,30))</f>
        <v/>
      </c>
      <c r="S56" s="77">
        <f>SUMIFS(Report!$U:$U,Report!$T:$T,$A56,Report!$C:$C,"&gt;="&amp;DATE(2027,5,1),Report!$C:$C,"&lt;="&amp;DATE(2027,5,31))</f>
        <v/>
      </c>
      <c r="T56" s="77">
        <f>SUMIFS(Report!$U:$U,Report!$T:$T,$A56,Report!$C:$C,"&gt;="&amp;DATE(2027,6,1),Report!$C:$C,"&lt;="&amp;DATE(2027,6,30))</f>
        <v/>
      </c>
      <c r="U56" s="77">
        <f>SUMIFS(Report!$U:$U,Report!$T:$T,$A56,Report!$C:$C,"&gt;="&amp;DATE(2027,7,1),Report!$C:$C,"&lt;="&amp;DATE(2027,7,31))</f>
        <v/>
      </c>
      <c r="V56" s="77">
        <f>SUMIFS(Report!$U:$U,Report!$T:$T,$A56,Report!$C:$C,"&gt;="&amp;DATE(2027,8,1),Report!$C:$C,"&lt;="&amp;DATE(2027,8,31))</f>
        <v/>
      </c>
      <c r="W56" s="77">
        <f>SUMIFS(Report!$U:$U,Report!$T:$T,$A56,Report!$C:$C,"&gt;="&amp;DATE(2027,9,1),Report!$C:$C,"&lt;="&amp;DATE(2027,9,30))</f>
        <v/>
      </c>
      <c r="X56" s="77">
        <f>SUMIFS(Report!$U:$U,Report!$T:$T,$A56,Report!$C:$C,"&gt;="&amp;DATE(2027,10,1),Report!$C:$C,"&lt;="&amp;DATE(2027,10,31))</f>
        <v/>
      </c>
      <c r="Y56" s="77">
        <f>SUMIFS(Report!$U:$U,Report!$T:$T,$A56,Report!$C:$C,"&gt;="&amp;DATE(2027,11,1),Report!$C:$C,"&lt;="&amp;DATE(2027,11,30))</f>
        <v/>
      </c>
      <c r="Z56" s="77">
        <f>SUMIFS(Report!$U:$U,Report!$T:$T,$A56,Report!$C:$C,"&gt;="&amp;DATE(2027,12,1),Report!$C:$C,"&lt;="&amp;DATE(2027,12,31))</f>
        <v/>
      </c>
      <c r="AA56" s="77">
        <f>SUM(C56:Z56)</f>
        <v/>
      </c>
    </row>
    <row r="57" ht="12.75" customHeight="1" s="60">
      <c r="A57" s="59" t="inlineStr">
        <is>
          <t>PIS / COFINS / CSLL RETIDO A RECOLHER</t>
        </is>
      </c>
      <c r="B57" s="59">
        <f>IFERROR(INDEX('Resumo Grupos'!$AC$3:$AC$200,MATCH($A57,'Resumo Grupos'!$AB$3:$AB$200,0)),"n/d")</f>
        <v/>
      </c>
      <c r="C57" s="77">
        <f>SUMIFS(Report!$U:$U,Report!$T:$T,$A57,Report!$C:$C,"&gt;="&amp;DATE(2026,1,1),Report!$C:$C,"&lt;="&amp;DATE(2026,1,31))</f>
        <v/>
      </c>
      <c r="D57" s="77">
        <f>SUMIFS(Report!$U:$U,Report!$T:$T,$A57,Report!$C:$C,"&gt;="&amp;DATE(2026,2,1),Report!$C:$C,"&lt;="&amp;DATE(2026,2,28))</f>
        <v/>
      </c>
      <c r="E57" s="77">
        <f>SUMIFS(Report!$U:$U,Report!$T:$T,$A57,Report!$C:$C,"&gt;="&amp;DATE(2026,3,1),Report!$C:$C,"&lt;="&amp;DATE(2026,3,31))</f>
        <v/>
      </c>
      <c r="F57" s="77">
        <f>SUMIFS(Report!$U:$U,Report!$T:$T,$A57,Report!$C:$C,"&gt;="&amp;DATE(2026,4,1),Report!$C:$C,"&lt;="&amp;DATE(2026,4,30))</f>
        <v/>
      </c>
      <c r="G57" s="77">
        <f>SUMIFS(Report!$U:$U,Report!$T:$T,$A57,Report!$C:$C,"&gt;="&amp;DATE(2026,5,1),Report!$C:$C,"&lt;="&amp;DATE(2026,5,31))</f>
        <v/>
      </c>
      <c r="H57" s="77">
        <f>SUMIFS(Report!$U:$U,Report!$T:$T,$A57,Report!$C:$C,"&gt;="&amp;DATE(2026,6,1),Report!$C:$C,"&lt;="&amp;DATE(2026,6,30))</f>
        <v/>
      </c>
      <c r="I57" s="77">
        <f>SUMIFS(Report!$U:$U,Report!$T:$T,$A57,Report!$C:$C,"&gt;="&amp;DATE(2026,7,1),Report!$C:$C,"&lt;="&amp;DATE(2026,7,31))</f>
        <v/>
      </c>
      <c r="J57" s="77">
        <f>SUMIFS(Report!$U:$U,Report!$T:$T,$A57,Report!$C:$C,"&gt;="&amp;DATE(2026,8,1),Report!$C:$C,"&lt;="&amp;DATE(2026,8,31))</f>
        <v/>
      </c>
      <c r="K57" s="77">
        <f>SUMIFS(Report!$U:$U,Report!$T:$T,$A57,Report!$C:$C,"&gt;="&amp;DATE(2026,9,1),Report!$C:$C,"&lt;="&amp;DATE(2026,9,30))</f>
        <v/>
      </c>
      <c r="L57" s="77">
        <f>SUMIFS(Report!$U:$U,Report!$T:$T,$A57,Report!$C:$C,"&gt;="&amp;DATE(2026,10,1),Report!$C:$C,"&lt;="&amp;DATE(2026,10,31))</f>
        <v/>
      </c>
      <c r="M57" s="77">
        <f>SUMIFS(Report!$U:$U,Report!$T:$T,$A57,Report!$C:$C,"&gt;="&amp;DATE(2026,11,1),Report!$C:$C,"&lt;="&amp;DATE(2026,11,30))</f>
        <v/>
      </c>
      <c r="N57" s="77">
        <f>SUMIFS(Report!$U:$U,Report!$T:$T,$A57,Report!$C:$C,"&gt;="&amp;DATE(2026,12,1),Report!$C:$C,"&lt;="&amp;DATE(2026,12,31))</f>
        <v/>
      </c>
      <c r="O57" s="77">
        <f>SUMIFS(Report!$U:$U,Report!$T:$T,$A57,Report!$C:$C,"&gt;="&amp;DATE(2027,1,1),Report!$C:$C,"&lt;="&amp;DATE(2027,1,31))</f>
        <v/>
      </c>
      <c r="P57" s="77">
        <f>SUMIFS(Report!$U:$U,Report!$T:$T,$A57,Report!$C:$C,"&gt;="&amp;DATE(2027,2,1),Report!$C:$C,"&lt;="&amp;DATE(2027,2,28))</f>
        <v/>
      </c>
      <c r="Q57" s="77">
        <f>SUMIFS(Report!$U:$U,Report!$T:$T,$A57,Report!$C:$C,"&gt;="&amp;DATE(2027,3,1),Report!$C:$C,"&lt;="&amp;DATE(2027,3,31))</f>
        <v/>
      </c>
      <c r="R57" s="77">
        <f>SUMIFS(Report!$U:$U,Report!$T:$T,$A57,Report!$C:$C,"&gt;="&amp;DATE(2027,4,1),Report!$C:$C,"&lt;="&amp;DATE(2027,4,30))</f>
        <v/>
      </c>
      <c r="S57" s="77">
        <f>SUMIFS(Report!$U:$U,Report!$T:$T,$A57,Report!$C:$C,"&gt;="&amp;DATE(2027,5,1),Report!$C:$C,"&lt;="&amp;DATE(2027,5,31))</f>
        <v/>
      </c>
      <c r="T57" s="77">
        <f>SUMIFS(Report!$U:$U,Report!$T:$T,$A57,Report!$C:$C,"&gt;="&amp;DATE(2027,6,1),Report!$C:$C,"&lt;="&amp;DATE(2027,6,30))</f>
        <v/>
      </c>
      <c r="U57" s="77">
        <f>SUMIFS(Report!$U:$U,Report!$T:$T,$A57,Report!$C:$C,"&gt;="&amp;DATE(2027,7,1),Report!$C:$C,"&lt;="&amp;DATE(2027,7,31))</f>
        <v/>
      </c>
      <c r="V57" s="77">
        <f>SUMIFS(Report!$U:$U,Report!$T:$T,$A57,Report!$C:$C,"&gt;="&amp;DATE(2027,8,1),Report!$C:$C,"&lt;="&amp;DATE(2027,8,31))</f>
        <v/>
      </c>
      <c r="W57" s="77">
        <f>SUMIFS(Report!$U:$U,Report!$T:$T,$A57,Report!$C:$C,"&gt;="&amp;DATE(2027,9,1),Report!$C:$C,"&lt;="&amp;DATE(2027,9,30))</f>
        <v/>
      </c>
      <c r="X57" s="77">
        <f>SUMIFS(Report!$U:$U,Report!$T:$T,$A57,Report!$C:$C,"&gt;="&amp;DATE(2027,10,1),Report!$C:$C,"&lt;="&amp;DATE(2027,10,31))</f>
        <v/>
      </c>
      <c r="Y57" s="77">
        <f>SUMIFS(Report!$U:$U,Report!$T:$T,$A57,Report!$C:$C,"&gt;="&amp;DATE(2027,11,1),Report!$C:$C,"&lt;="&amp;DATE(2027,11,30))</f>
        <v/>
      </c>
      <c r="Z57" s="77">
        <f>SUMIFS(Report!$U:$U,Report!$T:$T,$A57,Report!$C:$C,"&gt;="&amp;DATE(2027,12,1),Report!$C:$C,"&lt;="&amp;DATE(2027,12,31))</f>
        <v/>
      </c>
      <c r="AA57" s="77">
        <f>SUM(C57:Z57)</f>
        <v/>
      </c>
    </row>
    <row r="58" ht="12.75" customHeight="1" s="60">
      <c r="A58" s="59" t="inlineStr">
        <is>
          <t>PLANOS DE SAUDE</t>
        </is>
      </c>
      <c r="B58" s="59">
        <f>IFERROR(INDEX('Resumo Grupos'!$AC$3:$AC$200,MATCH($A58,'Resumo Grupos'!$AB$3:$AB$200,0)),"n/d")</f>
        <v/>
      </c>
      <c r="C58" s="77">
        <f>SUMIFS(Report!$U:$U,Report!$T:$T,$A58,Report!$C:$C,"&gt;="&amp;DATE(2026,1,1),Report!$C:$C,"&lt;="&amp;DATE(2026,1,31))</f>
        <v/>
      </c>
      <c r="D58" s="77">
        <f>SUMIFS(Report!$U:$U,Report!$T:$T,$A58,Report!$C:$C,"&gt;="&amp;DATE(2026,2,1),Report!$C:$C,"&lt;="&amp;DATE(2026,2,28))</f>
        <v/>
      </c>
      <c r="E58" s="77">
        <f>SUMIFS(Report!$U:$U,Report!$T:$T,$A58,Report!$C:$C,"&gt;="&amp;DATE(2026,3,1),Report!$C:$C,"&lt;="&amp;DATE(2026,3,31))</f>
        <v/>
      </c>
      <c r="F58" s="77">
        <f>SUMIFS(Report!$U:$U,Report!$T:$T,$A58,Report!$C:$C,"&gt;="&amp;DATE(2026,4,1),Report!$C:$C,"&lt;="&amp;DATE(2026,4,30))</f>
        <v/>
      </c>
      <c r="G58" s="77">
        <f>SUMIFS(Report!$U:$U,Report!$T:$T,$A58,Report!$C:$C,"&gt;="&amp;DATE(2026,5,1),Report!$C:$C,"&lt;="&amp;DATE(2026,5,31))</f>
        <v/>
      </c>
      <c r="H58" s="77">
        <f>SUMIFS(Report!$U:$U,Report!$T:$T,$A58,Report!$C:$C,"&gt;="&amp;DATE(2026,6,1),Report!$C:$C,"&lt;="&amp;DATE(2026,6,30))</f>
        <v/>
      </c>
      <c r="I58" s="77">
        <f>SUMIFS(Report!$U:$U,Report!$T:$T,$A58,Report!$C:$C,"&gt;="&amp;DATE(2026,7,1),Report!$C:$C,"&lt;="&amp;DATE(2026,7,31))</f>
        <v/>
      </c>
      <c r="J58" s="77">
        <f>SUMIFS(Report!$U:$U,Report!$T:$T,$A58,Report!$C:$C,"&gt;="&amp;DATE(2026,8,1),Report!$C:$C,"&lt;="&amp;DATE(2026,8,31))</f>
        <v/>
      </c>
      <c r="K58" s="77">
        <f>SUMIFS(Report!$U:$U,Report!$T:$T,$A58,Report!$C:$C,"&gt;="&amp;DATE(2026,9,1),Report!$C:$C,"&lt;="&amp;DATE(2026,9,30))</f>
        <v/>
      </c>
      <c r="L58" s="77">
        <f>SUMIFS(Report!$U:$U,Report!$T:$T,$A58,Report!$C:$C,"&gt;="&amp;DATE(2026,10,1),Report!$C:$C,"&lt;="&amp;DATE(2026,10,31))</f>
        <v/>
      </c>
      <c r="M58" s="77">
        <f>SUMIFS(Report!$U:$U,Report!$T:$T,$A58,Report!$C:$C,"&gt;="&amp;DATE(2026,11,1),Report!$C:$C,"&lt;="&amp;DATE(2026,11,30))</f>
        <v/>
      </c>
      <c r="N58" s="77">
        <f>SUMIFS(Report!$U:$U,Report!$T:$T,$A58,Report!$C:$C,"&gt;="&amp;DATE(2026,12,1),Report!$C:$C,"&lt;="&amp;DATE(2026,12,31))</f>
        <v/>
      </c>
      <c r="O58" s="77">
        <f>SUMIFS(Report!$U:$U,Report!$T:$T,$A58,Report!$C:$C,"&gt;="&amp;DATE(2027,1,1),Report!$C:$C,"&lt;="&amp;DATE(2027,1,31))</f>
        <v/>
      </c>
      <c r="P58" s="77">
        <f>SUMIFS(Report!$U:$U,Report!$T:$T,$A58,Report!$C:$C,"&gt;="&amp;DATE(2027,2,1),Report!$C:$C,"&lt;="&amp;DATE(2027,2,28))</f>
        <v/>
      </c>
      <c r="Q58" s="77">
        <f>SUMIFS(Report!$U:$U,Report!$T:$T,$A58,Report!$C:$C,"&gt;="&amp;DATE(2027,3,1),Report!$C:$C,"&lt;="&amp;DATE(2027,3,31))</f>
        <v/>
      </c>
      <c r="R58" s="77">
        <f>SUMIFS(Report!$U:$U,Report!$T:$T,$A58,Report!$C:$C,"&gt;="&amp;DATE(2027,4,1),Report!$C:$C,"&lt;="&amp;DATE(2027,4,30))</f>
        <v/>
      </c>
      <c r="S58" s="77">
        <f>SUMIFS(Report!$U:$U,Report!$T:$T,$A58,Report!$C:$C,"&gt;="&amp;DATE(2027,5,1),Report!$C:$C,"&lt;="&amp;DATE(2027,5,31))</f>
        <v/>
      </c>
      <c r="T58" s="77">
        <f>SUMIFS(Report!$U:$U,Report!$T:$T,$A58,Report!$C:$C,"&gt;="&amp;DATE(2027,6,1),Report!$C:$C,"&lt;="&amp;DATE(2027,6,30))</f>
        <v/>
      </c>
      <c r="U58" s="77">
        <f>SUMIFS(Report!$U:$U,Report!$T:$T,$A58,Report!$C:$C,"&gt;="&amp;DATE(2027,7,1),Report!$C:$C,"&lt;="&amp;DATE(2027,7,31))</f>
        <v/>
      </c>
      <c r="V58" s="77">
        <f>SUMIFS(Report!$U:$U,Report!$T:$T,$A58,Report!$C:$C,"&gt;="&amp;DATE(2027,8,1),Report!$C:$C,"&lt;="&amp;DATE(2027,8,31))</f>
        <v/>
      </c>
      <c r="W58" s="77">
        <f>SUMIFS(Report!$U:$U,Report!$T:$T,$A58,Report!$C:$C,"&gt;="&amp;DATE(2027,9,1),Report!$C:$C,"&lt;="&amp;DATE(2027,9,30))</f>
        <v/>
      </c>
      <c r="X58" s="77">
        <f>SUMIFS(Report!$U:$U,Report!$T:$T,$A58,Report!$C:$C,"&gt;="&amp;DATE(2027,10,1),Report!$C:$C,"&lt;="&amp;DATE(2027,10,31))</f>
        <v/>
      </c>
      <c r="Y58" s="77">
        <f>SUMIFS(Report!$U:$U,Report!$T:$T,$A58,Report!$C:$C,"&gt;="&amp;DATE(2027,11,1),Report!$C:$C,"&lt;="&amp;DATE(2027,11,30))</f>
        <v/>
      </c>
      <c r="Z58" s="77">
        <f>SUMIFS(Report!$U:$U,Report!$T:$T,$A58,Report!$C:$C,"&gt;="&amp;DATE(2027,12,1),Report!$C:$C,"&lt;="&amp;DATE(2027,12,31))</f>
        <v/>
      </c>
      <c r="AA58" s="77">
        <f>SUM(C58:Z58)</f>
        <v/>
      </c>
    </row>
    <row r="59" ht="12.75" customHeight="1" s="60">
      <c r="A59" s="59" t="inlineStr">
        <is>
          <t>PROPAGANDA PUBLICIDADE</t>
        </is>
      </c>
      <c r="B59" s="59">
        <f>IFERROR(INDEX('Resumo Grupos'!$AC$3:$AC$200,MATCH($A59,'Resumo Grupos'!$AB$3:$AB$200,0)),"n/d")</f>
        <v/>
      </c>
      <c r="C59" s="77">
        <f>SUMIFS(Report!$U:$U,Report!$T:$T,$A59,Report!$C:$C,"&gt;="&amp;DATE(2026,1,1),Report!$C:$C,"&lt;="&amp;DATE(2026,1,31))</f>
        <v/>
      </c>
      <c r="D59" s="77">
        <f>SUMIFS(Report!$U:$U,Report!$T:$T,$A59,Report!$C:$C,"&gt;="&amp;DATE(2026,2,1),Report!$C:$C,"&lt;="&amp;DATE(2026,2,28))</f>
        <v/>
      </c>
      <c r="E59" s="77">
        <f>SUMIFS(Report!$U:$U,Report!$T:$T,$A59,Report!$C:$C,"&gt;="&amp;DATE(2026,3,1),Report!$C:$C,"&lt;="&amp;DATE(2026,3,31))</f>
        <v/>
      </c>
      <c r="F59" s="77">
        <f>SUMIFS(Report!$U:$U,Report!$T:$T,$A59,Report!$C:$C,"&gt;="&amp;DATE(2026,4,1),Report!$C:$C,"&lt;="&amp;DATE(2026,4,30))</f>
        <v/>
      </c>
      <c r="G59" s="77">
        <f>SUMIFS(Report!$U:$U,Report!$T:$T,$A59,Report!$C:$C,"&gt;="&amp;DATE(2026,5,1),Report!$C:$C,"&lt;="&amp;DATE(2026,5,31))</f>
        <v/>
      </c>
      <c r="H59" s="77">
        <f>SUMIFS(Report!$U:$U,Report!$T:$T,$A59,Report!$C:$C,"&gt;="&amp;DATE(2026,6,1),Report!$C:$C,"&lt;="&amp;DATE(2026,6,30))</f>
        <v/>
      </c>
      <c r="I59" s="77">
        <f>SUMIFS(Report!$U:$U,Report!$T:$T,$A59,Report!$C:$C,"&gt;="&amp;DATE(2026,7,1),Report!$C:$C,"&lt;="&amp;DATE(2026,7,31))</f>
        <v/>
      </c>
      <c r="J59" s="77">
        <f>SUMIFS(Report!$U:$U,Report!$T:$T,$A59,Report!$C:$C,"&gt;="&amp;DATE(2026,8,1),Report!$C:$C,"&lt;="&amp;DATE(2026,8,31))</f>
        <v/>
      </c>
      <c r="K59" s="77">
        <f>SUMIFS(Report!$U:$U,Report!$T:$T,$A59,Report!$C:$C,"&gt;="&amp;DATE(2026,9,1),Report!$C:$C,"&lt;="&amp;DATE(2026,9,30))</f>
        <v/>
      </c>
      <c r="L59" s="77">
        <f>SUMIFS(Report!$U:$U,Report!$T:$T,$A59,Report!$C:$C,"&gt;="&amp;DATE(2026,10,1),Report!$C:$C,"&lt;="&amp;DATE(2026,10,31))</f>
        <v/>
      </c>
      <c r="M59" s="77">
        <f>SUMIFS(Report!$U:$U,Report!$T:$T,$A59,Report!$C:$C,"&gt;="&amp;DATE(2026,11,1),Report!$C:$C,"&lt;="&amp;DATE(2026,11,30))</f>
        <v/>
      </c>
      <c r="N59" s="77">
        <f>SUMIFS(Report!$U:$U,Report!$T:$T,$A59,Report!$C:$C,"&gt;="&amp;DATE(2026,12,1),Report!$C:$C,"&lt;="&amp;DATE(2026,12,31))</f>
        <v/>
      </c>
      <c r="O59" s="77">
        <f>SUMIFS(Report!$U:$U,Report!$T:$T,$A59,Report!$C:$C,"&gt;="&amp;DATE(2027,1,1),Report!$C:$C,"&lt;="&amp;DATE(2027,1,31))</f>
        <v/>
      </c>
      <c r="P59" s="77">
        <f>SUMIFS(Report!$U:$U,Report!$T:$T,$A59,Report!$C:$C,"&gt;="&amp;DATE(2027,2,1),Report!$C:$C,"&lt;="&amp;DATE(2027,2,28))</f>
        <v/>
      </c>
      <c r="Q59" s="77">
        <f>SUMIFS(Report!$U:$U,Report!$T:$T,$A59,Report!$C:$C,"&gt;="&amp;DATE(2027,3,1),Report!$C:$C,"&lt;="&amp;DATE(2027,3,31))</f>
        <v/>
      </c>
      <c r="R59" s="77">
        <f>SUMIFS(Report!$U:$U,Report!$T:$T,$A59,Report!$C:$C,"&gt;="&amp;DATE(2027,4,1),Report!$C:$C,"&lt;="&amp;DATE(2027,4,30))</f>
        <v/>
      </c>
      <c r="S59" s="77">
        <f>SUMIFS(Report!$U:$U,Report!$T:$T,$A59,Report!$C:$C,"&gt;="&amp;DATE(2027,5,1),Report!$C:$C,"&lt;="&amp;DATE(2027,5,31))</f>
        <v/>
      </c>
      <c r="T59" s="77">
        <f>SUMIFS(Report!$U:$U,Report!$T:$T,$A59,Report!$C:$C,"&gt;="&amp;DATE(2027,6,1),Report!$C:$C,"&lt;="&amp;DATE(2027,6,30))</f>
        <v/>
      </c>
      <c r="U59" s="77">
        <f>SUMIFS(Report!$U:$U,Report!$T:$T,$A59,Report!$C:$C,"&gt;="&amp;DATE(2027,7,1),Report!$C:$C,"&lt;="&amp;DATE(2027,7,31))</f>
        <v/>
      </c>
      <c r="V59" s="77">
        <f>SUMIFS(Report!$U:$U,Report!$T:$T,$A59,Report!$C:$C,"&gt;="&amp;DATE(2027,8,1),Report!$C:$C,"&lt;="&amp;DATE(2027,8,31))</f>
        <v/>
      </c>
      <c r="W59" s="77">
        <f>SUMIFS(Report!$U:$U,Report!$T:$T,$A59,Report!$C:$C,"&gt;="&amp;DATE(2027,9,1),Report!$C:$C,"&lt;="&amp;DATE(2027,9,30))</f>
        <v/>
      </c>
      <c r="X59" s="77">
        <f>SUMIFS(Report!$U:$U,Report!$T:$T,$A59,Report!$C:$C,"&gt;="&amp;DATE(2027,10,1),Report!$C:$C,"&lt;="&amp;DATE(2027,10,31))</f>
        <v/>
      </c>
      <c r="Y59" s="77">
        <f>SUMIFS(Report!$U:$U,Report!$T:$T,$A59,Report!$C:$C,"&gt;="&amp;DATE(2027,11,1),Report!$C:$C,"&lt;="&amp;DATE(2027,11,30))</f>
        <v/>
      </c>
      <c r="Z59" s="77">
        <f>SUMIFS(Report!$U:$U,Report!$T:$T,$A59,Report!$C:$C,"&gt;="&amp;DATE(2027,12,1),Report!$C:$C,"&lt;="&amp;DATE(2027,12,31))</f>
        <v/>
      </c>
      <c r="AA59" s="77">
        <f>SUM(C59:Z59)</f>
        <v/>
      </c>
    </row>
    <row r="60" ht="12.75" customHeight="1" s="60">
      <c r="A60" s="59" t="inlineStr">
        <is>
          <t>PROVISAO CSLL</t>
        </is>
      </c>
      <c r="B60" s="59">
        <f>IFERROR(INDEX('Resumo Grupos'!$AC$3:$AC$200,MATCH($A60,'Resumo Grupos'!$AB$3:$AB$200,0)),"n/d")</f>
        <v/>
      </c>
      <c r="C60" s="77">
        <f>SUMIFS(Report!$U:$U,Report!$T:$T,$A60,Report!$C:$C,"&gt;="&amp;DATE(2026,1,1),Report!$C:$C,"&lt;="&amp;DATE(2026,1,31))</f>
        <v/>
      </c>
      <c r="D60" s="77">
        <f>SUMIFS(Report!$U:$U,Report!$T:$T,$A60,Report!$C:$C,"&gt;="&amp;DATE(2026,2,1),Report!$C:$C,"&lt;="&amp;DATE(2026,2,28))</f>
        <v/>
      </c>
      <c r="E60" s="77">
        <f>SUMIFS(Report!$U:$U,Report!$T:$T,$A60,Report!$C:$C,"&gt;="&amp;DATE(2026,3,1),Report!$C:$C,"&lt;="&amp;DATE(2026,3,31))</f>
        <v/>
      </c>
      <c r="F60" s="77">
        <f>SUMIFS(Report!$U:$U,Report!$T:$T,$A60,Report!$C:$C,"&gt;="&amp;DATE(2026,4,1),Report!$C:$C,"&lt;="&amp;DATE(2026,4,30))</f>
        <v/>
      </c>
      <c r="G60" s="77">
        <f>SUMIFS(Report!$U:$U,Report!$T:$T,$A60,Report!$C:$C,"&gt;="&amp;DATE(2026,5,1),Report!$C:$C,"&lt;="&amp;DATE(2026,5,31))</f>
        <v/>
      </c>
      <c r="H60" s="77">
        <f>SUMIFS(Report!$U:$U,Report!$T:$T,$A60,Report!$C:$C,"&gt;="&amp;DATE(2026,6,1),Report!$C:$C,"&lt;="&amp;DATE(2026,6,30))</f>
        <v/>
      </c>
      <c r="I60" s="77">
        <f>SUMIFS(Report!$U:$U,Report!$T:$T,$A60,Report!$C:$C,"&gt;="&amp;DATE(2026,7,1),Report!$C:$C,"&lt;="&amp;DATE(2026,7,31))</f>
        <v/>
      </c>
      <c r="J60" s="77">
        <f>SUMIFS(Report!$U:$U,Report!$T:$T,$A60,Report!$C:$C,"&gt;="&amp;DATE(2026,8,1),Report!$C:$C,"&lt;="&amp;DATE(2026,8,31))</f>
        <v/>
      </c>
      <c r="K60" s="77">
        <f>SUMIFS(Report!$U:$U,Report!$T:$T,$A60,Report!$C:$C,"&gt;="&amp;DATE(2026,9,1),Report!$C:$C,"&lt;="&amp;DATE(2026,9,30))</f>
        <v/>
      </c>
      <c r="L60" s="77">
        <f>SUMIFS(Report!$U:$U,Report!$T:$T,$A60,Report!$C:$C,"&gt;="&amp;DATE(2026,10,1),Report!$C:$C,"&lt;="&amp;DATE(2026,10,31))</f>
        <v/>
      </c>
      <c r="M60" s="77">
        <f>SUMIFS(Report!$U:$U,Report!$T:$T,$A60,Report!$C:$C,"&gt;="&amp;DATE(2026,11,1),Report!$C:$C,"&lt;="&amp;DATE(2026,11,30))</f>
        <v/>
      </c>
      <c r="N60" s="77">
        <f>SUMIFS(Report!$U:$U,Report!$T:$T,$A60,Report!$C:$C,"&gt;="&amp;DATE(2026,12,1),Report!$C:$C,"&lt;="&amp;DATE(2026,12,31))</f>
        <v/>
      </c>
      <c r="O60" s="77">
        <f>SUMIFS(Report!$U:$U,Report!$T:$T,$A60,Report!$C:$C,"&gt;="&amp;DATE(2027,1,1),Report!$C:$C,"&lt;="&amp;DATE(2027,1,31))</f>
        <v/>
      </c>
      <c r="P60" s="77">
        <f>SUMIFS(Report!$U:$U,Report!$T:$T,$A60,Report!$C:$C,"&gt;="&amp;DATE(2027,2,1),Report!$C:$C,"&lt;="&amp;DATE(2027,2,28))</f>
        <v/>
      </c>
      <c r="Q60" s="77">
        <f>SUMIFS(Report!$U:$U,Report!$T:$T,$A60,Report!$C:$C,"&gt;="&amp;DATE(2027,3,1),Report!$C:$C,"&lt;="&amp;DATE(2027,3,31))</f>
        <v/>
      </c>
      <c r="R60" s="77">
        <f>SUMIFS(Report!$U:$U,Report!$T:$T,$A60,Report!$C:$C,"&gt;="&amp;DATE(2027,4,1),Report!$C:$C,"&lt;="&amp;DATE(2027,4,30))</f>
        <v/>
      </c>
      <c r="S60" s="77">
        <f>SUMIFS(Report!$U:$U,Report!$T:$T,$A60,Report!$C:$C,"&gt;="&amp;DATE(2027,5,1),Report!$C:$C,"&lt;="&amp;DATE(2027,5,31))</f>
        <v/>
      </c>
      <c r="T60" s="77">
        <f>SUMIFS(Report!$U:$U,Report!$T:$T,$A60,Report!$C:$C,"&gt;="&amp;DATE(2027,6,1),Report!$C:$C,"&lt;="&amp;DATE(2027,6,30))</f>
        <v/>
      </c>
      <c r="U60" s="77">
        <f>SUMIFS(Report!$U:$U,Report!$T:$T,$A60,Report!$C:$C,"&gt;="&amp;DATE(2027,7,1),Report!$C:$C,"&lt;="&amp;DATE(2027,7,31))</f>
        <v/>
      </c>
      <c r="V60" s="77">
        <f>SUMIFS(Report!$U:$U,Report!$T:$T,$A60,Report!$C:$C,"&gt;="&amp;DATE(2027,8,1),Report!$C:$C,"&lt;="&amp;DATE(2027,8,31))</f>
        <v/>
      </c>
      <c r="W60" s="77">
        <f>SUMIFS(Report!$U:$U,Report!$T:$T,$A60,Report!$C:$C,"&gt;="&amp;DATE(2027,9,1),Report!$C:$C,"&lt;="&amp;DATE(2027,9,30))</f>
        <v/>
      </c>
      <c r="X60" s="77">
        <f>SUMIFS(Report!$U:$U,Report!$T:$T,$A60,Report!$C:$C,"&gt;="&amp;DATE(2027,10,1),Report!$C:$C,"&lt;="&amp;DATE(2027,10,31))</f>
        <v/>
      </c>
      <c r="Y60" s="77">
        <f>SUMIFS(Report!$U:$U,Report!$T:$T,$A60,Report!$C:$C,"&gt;="&amp;DATE(2027,11,1),Report!$C:$C,"&lt;="&amp;DATE(2027,11,30))</f>
        <v/>
      </c>
      <c r="Z60" s="77">
        <f>SUMIFS(Report!$U:$U,Report!$T:$T,$A60,Report!$C:$C,"&gt;="&amp;DATE(2027,12,1),Report!$C:$C,"&lt;="&amp;DATE(2027,12,31))</f>
        <v/>
      </c>
      <c r="AA60" s="77">
        <f>SUM(C60:Z60)</f>
        <v/>
      </c>
    </row>
    <row r="61" ht="12.75" customHeight="1" s="60">
      <c r="A61" s="59" t="inlineStr">
        <is>
          <t>RESCISOES</t>
        </is>
      </c>
      <c r="B61" s="59">
        <f>IFERROR(INDEX('Resumo Grupos'!$AC$3:$AC$200,MATCH($A61,'Resumo Grupos'!$AB$3:$AB$200,0)),"n/d")</f>
        <v/>
      </c>
      <c r="C61" s="77">
        <f>SUMIFS(Report!$U:$U,Report!$T:$T,$A61,Report!$C:$C,"&gt;="&amp;DATE(2026,1,1),Report!$C:$C,"&lt;="&amp;DATE(2026,1,31))</f>
        <v/>
      </c>
      <c r="D61" s="77">
        <f>SUMIFS(Report!$U:$U,Report!$T:$T,$A61,Report!$C:$C,"&gt;="&amp;DATE(2026,2,1),Report!$C:$C,"&lt;="&amp;DATE(2026,2,28))</f>
        <v/>
      </c>
      <c r="E61" s="77">
        <f>SUMIFS(Report!$U:$U,Report!$T:$T,$A61,Report!$C:$C,"&gt;="&amp;DATE(2026,3,1),Report!$C:$C,"&lt;="&amp;DATE(2026,3,31))</f>
        <v/>
      </c>
      <c r="F61" s="77">
        <f>SUMIFS(Report!$U:$U,Report!$T:$T,$A61,Report!$C:$C,"&gt;="&amp;DATE(2026,4,1),Report!$C:$C,"&lt;="&amp;DATE(2026,4,30))</f>
        <v/>
      </c>
      <c r="G61" s="77">
        <f>SUMIFS(Report!$U:$U,Report!$T:$T,$A61,Report!$C:$C,"&gt;="&amp;DATE(2026,5,1),Report!$C:$C,"&lt;="&amp;DATE(2026,5,31))</f>
        <v/>
      </c>
      <c r="H61" s="77">
        <f>SUMIFS(Report!$U:$U,Report!$T:$T,$A61,Report!$C:$C,"&gt;="&amp;DATE(2026,6,1),Report!$C:$C,"&lt;="&amp;DATE(2026,6,30))</f>
        <v/>
      </c>
      <c r="I61" s="77">
        <f>SUMIFS(Report!$U:$U,Report!$T:$T,$A61,Report!$C:$C,"&gt;="&amp;DATE(2026,7,1),Report!$C:$C,"&lt;="&amp;DATE(2026,7,31))</f>
        <v/>
      </c>
      <c r="J61" s="77">
        <f>SUMIFS(Report!$U:$U,Report!$T:$T,$A61,Report!$C:$C,"&gt;="&amp;DATE(2026,8,1),Report!$C:$C,"&lt;="&amp;DATE(2026,8,31))</f>
        <v/>
      </c>
      <c r="K61" s="77">
        <f>SUMIFS(Report!$U:$U,Report!$T:$T,$A61,Report!$C:$C,"&gt;="&amp;DATE(2026,9,1),Report!$C:$C,"&lt;="&amp;DATE(2026,9,30))</f>
        <v/>
      </c>
      <c r="L61" s="77">
        <f>SUMIFS(Report!$U:$U,Report!$T:$T,$A61,Report!$C:$C,"&gt;="&amp;DATE(2026,10,1),Report!$C:$C,"&lt;="&amp;DATE(2026,10,31))</f>
        <v/>
      </c>
      <c r="M61" s="77">
        <f>SUMIFS(Report!$U:$U,Report!$T:$T,$A61,Report!$C:$C,"&gt;="&amp;DATE(2026,11,1),Report!$C:$C,"&lt;="&amp;DATE(2026,11,30))</f>
        <v/>
      </c>
      <c r="N61" s="77">
        <f>SUMIFS(Report!$U:$U,Report!$T:$T,$A61,Report!$C:$C,"&gt;="&amp;DATE(2026,12,1),Report!$C:$C,"&lt;="&amp;DATE(2026,12,31))</f>
        <v/>
      </c>
      <c r="O61" s="77">
        <f>SUMIFS(Report!$U:$U,Report!$T:$T,$A61,Report!$C:$C,"&gt;="&amp;DATE(2027,1,1),Report!$C:$C,"&lt;="&amp;DATE(2027,1,31))</f>
        <v/>
      </c>
      <c r="P61" s="77">
        <f>SUMIFS(Report!$U:$U,Report!$T:$T,$A61,Report!$C:$C,"&gt;="&amp;DATE(2027,2,1),Report!$C:$C,"&lt;="&amp;DATE(2027,2,28))</f>
        <v/>
      </c>
      <c r="Q61" s="77">
        <f>SUMIFS(Report!$U:$U,Report!$T:$T,$A61,Report!$C:$C,"&gt;="&amp;DATE(2027,3,1),Report!$C:$C,"&lt;="&amp;DATE(2027,3,31))</f>
        <v/>
      </c>
      <c r="R61" s="77">
        <f>SUMIFS(Report!$U:$U,Report!$T:$T,$A61,Report!$C:$C,"&gt;="&amp;DATE(2027,4,1),Report!$C:$C,"&lt;="&amp;DATE(2027,4,30))</f>
        <v/>
      </c>
      <c r="S61" s="77">
        <f>SUMIFS(Report!$U:$U,Report!$T:$T,$A61,Report!$C:$C,"&gt;="&amp;DATE(2027,5,1),Report!$C:$C,"&lt;="&amp;DATE(2027,5,31))</f>
        <v/>
      </c>
      <c r="T61" s="77">
        <f>SUMIFS(Report!$U:$U,Report!$T:$T,$A61,Report!$C:$C,"&gt;="&amp;DATE(2027,6,1),Report!$C:$C,"&lt;="&amp;DATE(2027,6,30))</f>
        <v/>
      </c>
      <c r="U61" s="77">
        <f>SUMIFS(Report!$U:$U,Report!$T:$T,$A61,Report!$C:$C,"&gt;="&amp;DATE(2027,7,1),Report!$C:$C,"&lt;="&amp;DATE(2027,7,31))</f>
        <v/>
      </c>
      <c r="V61" s="77">
        <f>SUMIFS(Report!$U:$U,Report!$T:$T,$A61,Report!$C:$C,"&gt;="&amp;DATE(2027,8,1),Report!$C:$C,"&lt;="&amp;DATE(2027,8,31))</f>
        <v/>
      </c>
      <c r="W61" s="77">
        <f>SUMIFS(Report!$U:$U,Report!$T:$T,$A61,Report!$C:$C,"&gt;="&amp;DATE(2027,9,1),Report!$C:$C,"&lt;="&amp;DATE(2027,9,30))</f>
        <v/>
      </c>
      <c r="X61" s="77">
        <f>SUMIFS(Report!$U:$U,Report!$T:$T,$A61,Report!$C:$C,"&gt;="&amp;DATE(2027,10,1),Report!$C:$C,"&lt;="&amp;DATE(2027,10,31))</f>
        <v/>
      </c>
      <c r="Y61" s="77">
        <f>SUMIFS(Report!$U:$U,Report!$T:$T,$A61,Report!$C:$C,"&gt;="&amp;DATE(2027,11,1),Report!$C:$C,"&lt;="&amp;DATE(2027,11,30))</f>
        <v/>
      </c>
      <c r="Z61" s="77">
        <f>SUMIFS(Report!$U:$U,Report!$T:$T,$A61,Report!$C:$C,"&gt;="&amp;DATE(2027,12,1),Report!$C:$C,"&lt;="&amp;DATE(2027,12,31))</f>
        <v/>
      </c>
      <c r="AA61" s="77">
        <f>SUM(C61:Z61)</f>
        <v/>
      </c>
    </row>
    <row r="62" ht="12.75" customHeight="1" s="60">
      <c r="A62" s="59" t="inlineStr">
        <is>
          <t>SALARIOS</t>
        </is>
      </c>
      <c r="B62" s="59">
        <f>IFERROR(INDEX('Resumo Grupos'!$AC$3:$AC$200,MATCH($A62,'Resumo Grupos'!$AB$3:$AB$200,0)),"n/d")</f>
        <v/>
      </c>
      <c r="C62" s="77">
        <f>SUMIFS(Report!$U:$U,Report!$T:$T,$A62,Report!$C:$C,"&gt;="&amp;DATE(2026,1,1),Report!$C:$C,"&lt;="&amp;DATE(2026,1,31))</f>
        <v/>
      </c>
      <c r="D62" s="77">
        <f>SUMIFS(Report!$U:$U,Report!$T:$T,$A62,Report!$C:$C,"&gt;="&amp;DATE(2026,2,1),Report!$C:$C,"&lt;="&amp;DATE(2026,2,28))</f>
        <v/>
      </c>
      <c r="E62" s="77">
        <f>SUMIFS(Report!$U:$U,Report!$T:$T,$A62,Report!$C:$C,"&gt;="&amp;DATE(2026,3,1),Report!$C:$C,"&lt;="&amp;DATE(2026,3,31))</f>
        <v/>
      </c>
      <c r="F62" s="77">
        <f>SUMIFS(Report!$U:$U,Report!$T:$T,$A62,Report!$C:$C,"&gt;="&amp;DATE(2026,4,1),Report!$C:$C,"&lt;="&amp;DATE(2026,4,30))</f>
        <v/>
      </c>
      <c r="G62" s="77">
        <f>SUMIFS(Report!$U:$U,Report!$T:$T,$A62,Report!$C:$C,"&gt;="&amp;DATE(2026,5,1),Report!$C:$C,"&lt;="&amp;DATE(2026,5,31))</f>
        <v/>
      </c>
      <c r="H62" s="77">
        <f>SUMIFS(Report!$U:$U,Report!$T:$T,$A62,Report!$C:$C,"&gt;="&amp;DATE(2026,6,1),Report!$C:$C,"&lt;="&amp;DATE(2026,6,30))</f>
        <v/>
      </c>
      <c r="I62" s="77">
        <f>SUMIFS(Report!$U:$U,Report!$T:$T,$A62,Report!$C:$C,"&gt;="&amp;DATE(2026,7,1),Report!$C:$C,"&lt;="&amp;DATE(2026,7,31))</f>
        <v/>
      </c>
      <c r="J62" s="77">
        <f>SUMIFS(Report!$U:$U,Report!$T:$T,$A62,Report!$C:$C,"&gt;="&amp;DATE(2026,8,1),Report!$C:$C,"&lt;="&amp;DATE(2026,8,31))</f>
        <v/>
      </c>
      <c r="K62" s="77">
        <f>SUMIFS(Report!$U:$U,Report!$T:$T,$A62,Report!$C:$C,"&gt;="&amp;DATE(2026,9,1),Report!$C:$C,"&lt;="&amp;DATE(2026,9,30))</f>
        <v/>
      </c>
      <c r="L62" s="77">
        <f>SUMIFS(Report!$U:$U,Report!$T:$T,$A62,Report!$C:$C,"&gt;="&amp;DATE(2026,10,1),Report!$C:$C,"&lt;="&amp;DATE(2026,10,31))</f>
        <v/>
      </c>
      <c r="M62" s="77">
        <f>SUMIFS(Report!$U:$U,Report!$T:$T,$A62,Report!$C:$C,"&gt;="&amp;DATE(2026,11,1),Report!$C:$C,"&lt;="&amp;DATE(2026,11,30))</f>
        <v/>
      </c>
      <c r="N62" s="77">
        <f>SUMIFS(Report!$U:$U,Report!$T:$T,$A62,Report!$C:$C,"&gt;="&amp;DATE(2026,12,1),Report!$C:$C,"&lt;="&amp;DATE(2026,12,31))</f>
        <v/>
      </c>
      <c r="O62" s="77">
        <f>SUMIFS(Report!$U:$U,Report!$T:$T,$A62,Report!$C:$C,"&gt;="&amp;DATE(2027,1,1),Report!$C:$C,"&lt;="&amp;DATE(2027,1,31))</f>
        <v/>
      </c>
      <c r="P62" s="77">
        <f>SUMIFS(Report!$U:$U,Report!$T:$T,$A62,Report!$C:$C,"&gt;="&amp;DATE(2027,2,1),Report!$C:$C,"&lt;="&amp;DATE(2027,2,28))</f>
        <v/>
      </c>
      <c r="Q62" s="77">
        <f>SUMIFS(Report!$U:$U,Report!$T:$T,$A62,Report!$C:$C,"&gt;="&amp;DATE(2027,3,1),Report!$C:$C,"&lt;="&amp;DATE(2027,3,31))</f>
        <v/>
      </c>
      <c r="R62" s="77">
        <f>SUMIFS(Report!$U:$U,Report!$T:$T,$A62,Report!$C:$C,"&gt;="&amp;DATE(2027,4,1),Report!$C:$C,"&lt;="&amp;DATE(2027,4,30))</f>
        <v/>
      </c>
      <c r="S62" s="77">
        <f>SUMIFS(Report!$U:$U,Report!$T:$T,$A62,Report!$C:$C,"&gt;="&amp;DATE(2027,5,1),Report!$C:$C,"&lt;="&amp;DATE(2027,5,31))</f>
        <v/>
      </c>
      <c r="T62" s="77">
        <f>SUMIFS(Report!$U:$U,Report!$T:$T,$A62,Report!$C:$C,"&gt;="&amp;DATE(2027,6,1),Report!$C:$C,"&lt;="&amp;DATE(2027,6,30))</f>
        <v/>
      </c>
      <c r="U62" s="77">
        <f>SUMIFS(Report!$U:$U,Report!$T:$T,$A62,Report!$C:$C,"&gt;="&amp;DATE(2027,7,1),Report!$C:$C,"&lt;="&amp;DATE(2027,7,31))</f>
        <v/>
      </c>
      <c r="V62" s="77">
        <f>SUMIFS(Report!$U:$U,Report!$T:$T,$A62,Report!$C:$C,"&gt;="&amp;DATE(2027,8,1),Report!$C:$C,"&lt;="&amp;DATE(2027,8,31))</f>
        <v/>
      </c>
      <c r="W62" s="77">
        <f>SUMIFS(Report!$U:$U,Report!$T:$T,$A62,Report!$C:$C,"&gt;="&amp;DATE(2027,9,1),Report!$C:$C,"&lt;="&amp;DATE(2027,9,30))</f>
        <v/>
      </c>
      <c r="X62" s="77">
        <f>SUMIFS(Report!$U:$U,Report!$T:$T,$A62,Report!$C:$C,"&gt;="&amp;DATE(2027,10,1),Report!$C:$C,"&lt;="&amp;DATE(2027,10,31))</f>
        <v/>
      </c>
      <c r="Y62" s="77">
        <f>SUMIFS(Report!$U:$U,Report!$T:$T,$A62,Report!$C:$C,"&gt;="&amp;DATE(2027,11,1),Report!$C:$C,"&lt;="&amp;DATE(2027,11,30))</f>
        <v/>
      </c>
      <c r="Z62" s="77">
        <f>SUMIFS(Report!$U:$U,Report!$T:$T,$A62,Report!$C:$C,"&gt;="&amp;DATE(2027,12,1),Report!$C:$C,"&lt;="&amp;DATE(2027,12,31))</f>
        <v/>
      </c>
      <c r="AA62" s="77">
        <f>SUM(C62:Z62)</f>
        <v/>
      </c>
    </row>
    <row r="63" ht="12.75" customHeight="1" s="60">
      <c r="A63" s="92" t="inlineStr">
        <is>
          <t>SEGURANCA E MONITORAMENTO</t>
        </is>
      </c>
      <c r="B63" s="92">
        <f>IFERROR(INDEX('Resumo Grupos'!$AC$3:$AC$200,MATCH($A63,'Resumo Grupos'!$AB$3:$AB$200,0)),"n/d")</f>
        <v/>
      </c>
      <c r="C63" s="95">
        <f>SUMIFS(Report!$U:$U,Report!$T:$T,$A63,Report!$C:$C,"&gt;="&amp;DATE(2026,1,1),Report!$C:$C,"&lt;="&amp;DATE(2026,1,31))</f>
        <v/>
      </c>
      <c r="D63" s="95">
        <f>SUMIFS(Report!$U:$U,Report!$T:$T,$A63,Report!$C:$C,"&gt;="&amp;DATE(2026,2,1),Report!$C:$C,"&lt;="&amp;DATE(2026,2,28))</f>
        <v/>
      </c>
      <c r="E63" s="95">
        <f>SUMIFS(Report!$U:$U,Report!$T:$T,$A63,Report!$C:$C,"&gt;="&amp;DATE(2026,3,1),Report!$C:$C,"&lt;="&amp;DATE(2026,3,31))</f>
        <v/>
      </c>
      <c r="F63" s="95">
        <f>SUMIFS(Report!$U:$U,Report!$T:$T,$A63,Report!$C:$C,"&gt;="&amp;DATE(2026,4,1),Report!$C:$C,"&lt;="&amp;DATE(2026,4,30))</f>
        <v/>
      </c>
      <c r="G63" s="95">
        <f>SUMIFS(Report!$U:$U,Report!$T:$T,$A63,Report!$C:$C,"&gt;="&amp;DATE(2026,5,1),Report!$C:$C,"&lt;="&amp;DATE(2026,5,31))</f>
        <v/>
      </c>
      <c r="H63" s="95">
        <f>SUMIFS(Report!$U:$U,Report!$T:$T,$A63,Report!$C:$C,"&gt;="&amp;DATE(2026,6,1),Report!$C:$C,"&lt;="&amp;DATE(2026,6,30))</f>
        <v/>
      </c>
      <c r="I63" s="95">
        <f>SUMIFS(Report!$U:$U,Report!$T:$T,$A63,Report!$C:$C,"&gt;="&amp;DATE(2026,7,1),Report!$C:$C,"&lt;="&amp;DATE(2026,7,31))</f>
        <v/>
      </c>
      <c r="J63" s="95">
        <f>SUMIFS(Report!$U:$U,Report!$T:$T,$A63,Report!$C:$C,"&gt;="&amp;DATE(2026,8,1),Report!$C:$C,"&lt;="&amp;DATE(2026,8,31))</f>
        <v/>
      </c>
      <c r="K63" s="95">
        <f>SUMIFS(Report!$U:$U,Report!$T:$T,$A63,Report!$C:$C,"&gt;="&amp;DATE(2026,9,1),Report!$C:$C,"&lt;="&amp;DATE(2026,9,30))</f>
        <v/>
      </c>
      <c r="L63" s="95">
        <f>SUMIFS(Report!$U:$U,Report!$T:$T,$A63,Report!$C:$C,"&gt;="&amp;DATE(2026,10,1),Report!$C:$C,"&lt;="&amp;DATE(2026,10,31))</f>
        <v/>
      </c>
      <c r="M63" s="95">
        <f>SUMIFS(Report!$U:$U,Report!$T:$T,$A63,Report!$C:$C,"&gt;="&amp;DATE(2026,11,1),Report!$C:$C,"&lt;="&amp;DATE(2026,11,30))</f>
        <v/>
      </c>
      <c r="N63" s="95">
        <f>SUMIFS(Report!$U:$U,Report!$T:$T,$A63,Report!$C:$C,"&gt;="&amp;DATE(2026,12,1),Report!$C:$C,"&lt;="&amp;DATE(2026,12,31))</f>
        <v/>
      </c>
      <c r="O63" s="95">
        <f>SUMIFS(Report!$U:$U,Report!$T:$T,$A63,Report!$C:$C,"&gt;="&amp;DATE(2027,1,1),Report!$C:$C,"&lt;="&amp;DATE(2027,1,31))</f>
        <v/>
      </c>
      <c r="P63" s="95">
        <f>SUMIFS(Report!$U:$U,Report!$T:$T,$A63,Report!$C:$C,"&gt;="&amp;DATE(2027,2,1),Report!$C:$C,"&lt;="&amp;DATE(2027,2,28))</f>
        <v/>
      </c>
      <c r="Q63" s="95">
        <f>SUMIFS(Report!$U:$U,Report!$T:$T,$A63,Report!$C:$C,"&gt;="&amp;DATE(2027,3,1),Report!$C:$C,"&lt;="&amp;DATE(2027,3,31))</f>
        <v/>
      </c>
      <c r="R63" s="95">
        <f>SUMIFS(Report!$U:$U,Report!$T:$T,$A63,Report!$C:$C,"&gt;="&amp;DATE(2027,4,1),Report!$C:$C,"&lt;="&amp;DATE(2027,4,30))</f>
        <v/>
      </c>
      <c r="S63" s="95">
        <f>SUMIFS(Report!$U:$U,Report!$T:$T,$A63,Report!$C:$C,"&gt;="&amp;DATE(2027,5,1),Report!$C:$C,"&lt;="&amp;DATE(2027,5,31))</f>
        <v/>
      </c>
      <c r="T63" s="95">
        <f>SUMIFS(Report!$U:$U,Report!$T:$T,$A63,Report!$C:$C,"&gt;="&amp;DATE(2027,6,1),Report!$C:$C,"&lt;="&amp;DATE(2027,6,30))</f>
        <v/>
      </c>
      <c r="U63" s="95">
        <f>SUMIFS(Report!$U:$U,Report!$T:$T,$A63,Report!$C:$C,"&gt;="&amp;DATE(2027,7,1),Report!$C:$C,"&lt;="&amp;DATE(2027,7,31))</f>
        <v/>
      </c>
      <c r="V63" s="95">
        <f>SUMIFS(Report!$U:$U,Report!$T:$T,$A63,Report!$C:$C,"&gt;="&amp;DATE(2027,8,1),Report!$C:$C,"&lt;="&amp;DATE(2027,8,31))</f>
        <v/>
      </c>
      <c r="W63" s="95">
        <f>SUMIFS(Report!$U:$U,Report!$T:$T,$A63,Report!$C:$C,"&gt;="&amp;DATE(2027,9,1),Report!$C:$C,"&lt;="&amp;DATE(2027,9,30))</f>
        <v/>
      </c>
      <c r="X63" s="95">
        <f>SUMIFS(Report!$U:$U,Report!$T:$T,$A63,Report!$C:$C,"&gt;="&amp;DATE(2027,10,1),Report!$C:$C,"&lt;="&amp;DATE(2027,10,31))</f>
        <v/>
      </c>
      <c r="Y63" s="95">
        <f>SUMIFS(Report!$U:$U,Report!$T:$T,$A63,Report!$C:$C,"&gt;="&amp;DATE(2027,11,1),Report!$C:$C,"&lt;="&amp;DATE(2027,11,30))</f>
        <v/>
      </c>
      <c r="Z63" s="95">
        <f>SUMIFS(Report!$U:$U,Report!$T:$T,$A63,Report!$C:$C,"&gt;="&amp;DATE(2027,12,1),Report!$C:$C,"&lt;="&amp;DATE(2027,12,31))</f>
        <v/>
      </c>
      <c r="AA63" s="95">
        <f>SUM(C63:Z63)</f>
        <v/>
      </c>
    </row>
    <row r="64" ht="12.75" customHeight="1" s="60">
      <c r="A64" s="59" t="inlineStr">
        <is>
          <t>SEGUROS</t>
        </is>
      </c>
      <c r="B64" s="59">
        <f>IFERROR(INDEX('Resumo Grupos'!$AC$3:$AC$200,MATCH($A64,'Resumo Grupos'!$AB$3:$AB$200,0)),"n/d")</f>
        <v/>
      </c>
      <c r="C64" s="77">
        <f>SUMIFS(Report!$U:$U,Report!$T:$T,$A64,Report!$C:$C,"&gt;="&amp;DATE(2026,1,1),Report!$C:$C,"&lt;="&amp;DATE(2026,1,31))</f>
        <v/>
      </c>
      <c r="D64" s="77">
        <f>SUMIFS(Report!$U:$U,Report!$T:$T,$A64,Report!$C:$C,"&gt;="&amp;DATE(2026,2,1),Report!$C:$C,"&lt;="&amp;DATE(2026,2,28))</f>
        <v/>
      </c>
      <c r="E64" s="77">
        <f>SUMIFS(Report!$U:$U,Report!$T:$T,$A64,Report!$C:$C,"&gt;="&amp;DATE(2026,3,1),Report!$C:$C,"&lt;="&amp;DATE(2026,3,31))</f>
        <v/>
      </c>
      <c r="F64" s="77">
        <f>SUMIFS(Report!$U:$U,Report!$T:$T,$A64,Report!$C:$C,"&gt;="&amp;DATE(2026,4,1),Report!$C:$C,"&lt;="&amp;DATE(2026,4,30))</f>
        <v/>
      </c>
      <c r="G64" s="77">
        <f>SUMIFS(Report!$U:$U,Report!$T:$T,$A64,Report!$C:$C,"&gt;="&amp;DATE(2026,5,1),Report!$C:$C,"&lt;="&amp;DATE(2026,5,31))</f>
        <v/>
      </c>
      <c r="H64" s="77">
        <f>SUMIFS(Report!$U:$U,Report!$T:$T,$A64,Report!$C:$C,"&gt;="&amp;DATE(2026,6,1),Report!$C:$C,"&lt;="&amp;DATE(2026,6,30))</f>
        <v/>
      </c>
      <c r="I64" s="77">
        <f>SUMIFS(Report!$U:$U,Report!$T:$T,$A64,Report!$C:$C,"&gt;="&amp;DATE(2026,7,1),Report!$C:$C,"&lt;="&amp;DATE(2026,7,31))</f>
        <v/>
      </c>
      <c r="J64" s="77">
        <f>SUMIFS(Report!$U:$U,Report!$T:$T,$A64,Report!$C:$C,"&gt;="&amp;DATE(2026,8,1),Report!$C:$C,"&lt;="&amp;DATE(2026,8,31))</f>
        <v/>
      </c>
      <c r="K64" s="77">
        <f>SUMIFS(Report!$U:$U,Report!$T:$T,$A64,Report!$C:$C,"&gt;="&amp;DATE(2026,9,1),Report!$C:$C,"&lt;="&amp;DATE(2026,9,30))</f>
        <v/>
      </c>
      <c r="L64" s="77">
        <f>SUMIFS(Report!$U:$U,Report!$T:$T,$A64,Report!$C:$C,"&gt;="&amp;DATE(2026,10,1),Report!$C:$C,"&lt;="&amp;DATE(2026,10,31))</f>
        <v/>
      </c>
      <c r="M64" s="77">
        <f>SUMIFS(Report!$U:$U,Report!$T:$T,$A64,Report!$C:$C,"&gt;="&amp;DATE(2026,11,1),Report!$C:$C,"&lt;="&amp;DATE(2026,11,30))</f>
        <v/>
      </c>
      <c r="N64" s="77">
        <f>SUMIFS(Report!$U:$U,Report!$T:$T,$A64,Report!$C:$C,"&gt;="&amp;DATE(2026,12,1),Report!$C:$C,"&lt;="&amp;DATE(2026,12,31))</f>
        <v/>
      </c>
      <c r="O64" s="77">
        <f>SUMIFS(Report!$U:$U,Report!$T:$T,$A64,Report!$C:$C,"&gt;="&amp;DATE(2027,1,1),Report!$C:$C,"&lt;="&amp;DATE(2027,1,31))</f>
        <v/>
      </c>
      <c r="P64" s="77">
        <f>SUMIFS(Report!$U:$U,Report!$T:$T,$A64,Report!$C:$C,"&gt;="&amp;DATE(2027,2,1),Report!$C:$C,"&lt;="&amp;DATE(2027,2,28))</f>
        <v/>
      </c>
      <c r="Q64" s="77">
        <f>SUMIFS(Report!$U:$U,Report!$T:$T,$A64,Report!$C:$C,"&gt;="&amp;DATE(2027,3,1),Report!$C:$C,"&lt;="&amp;DATE(2027,3,31))</f>
        <v/>
      </c>
      <c r="R64" s="77">
        <f>SUMIFS(Report!$U:$U,Report!$T:$T,$A64,Report!$C:$C,"&gt;="&amp;DATE(2027,4,1),Report!$C:$C,"&lt;="&amp;DATE(2027,4,30))</f>
        <v/>
      </c>
      <c r="S64" s="77">
        <f>SUMIFS(Report!$U:$U,Report!$T:$T,$A64,Report!$C:$C,"&gt;="&amp;DATE(2027,5,1),Report!$C:$C,"&lt;="&amp;DATE(2027,5,31))</f>
        <v/>
      </c>
      <c r="T64" s="77">
        <f>SUMIFS(Report!$U:$U,Report!$T:$T,$A64,Report!$C:$C,"&gt;="&amp;DATE(2027,6,1),Report!$C:$C,"&lt;="&amp;DATE(2027,6,30))</f>
        <v/>
      </c>
      <c r="U64" s="77">
        <f>SUMIFS(Report!$U:$U,Report!$T:$T,$A64,Report!$C:$C,"&gt;="&amp;DATE(2027,7,1),Report!$C:$C,"&lt;="&amp;DATE(2027,7,31))</f>
        <v/>
      </c>
      <c r="V64" s="77">
        <f>SUMIFS(Report!$U:$U,Report!$T:$T,$A64,Report!$C:$C,"&gt;="&amp;DATE(2027,8,1),Report!$C:$C,"&lt;="&amp;DATE(2027,8,31))</f>
        <v/>
      </c>
      <c r="W64" s="77">
        <f>SUMIFS(Report!$U:$U,Report!$T:$T,$A64,Report!$C:$C,"&gt;="&amp;DATE(2027,9,1),Report!$C:$C,"&lt;="&amp;DATE(2027,9,30))</f>
        <v/>
      </c>
      <c r="X64" s="77">
        <f>SUMIFS(Report!$U:$U,Report!$T:$T,$A64,Report!$C:$C,"&gt;="&amp;DATE(2027,10,1),Report!$C:$C,"&lt;="&amp;DATE(2027,10,31))</f>
        <v/>
      </c>
      <c r="Y64" s="77">
        <f>SUMIFS(Report!$U:$U,Report!$T:$T,$A64,Report!$C:$C,"&gt;="&amp;DATE(2027,11,1),Report!$C:$C,"&lt;="&amp;DATE(2027,11,30))</f>
        <v/>
      </c>
      <c r="Z64" s="77">
        <f>SUMIFS(Report!$U:$U,Report!$T:$T,$A64,Report!$C:$C,"&gt;="&amp;DATE(2027,12,1),Report!$C:$C,"&lt;="&amp;DATE(2027,12,31))</f>
        <v/>
      </c>
      <c r="AA64" s="77">
        <f>SUM(C64:Z64)</f>
        <v/>
      </c>
    </row>
    <row r="65" ht="12.75" customHeight="1" s="60">
      <c r="A65" s="59" t="inlineStr">
        <is>
          <t>SIMPLES FEDERAL A PAGAR</t>
        </is>
      </c>
      <c r="B65" s="59">
        <f>IFERROR(INDEX('Resumo Grupos'!$AC$3:$AC$200,MATCH($A65,'Resumo Grupos'!$AB$3:$AB$200,0)),"n/d")</f>
        <v/>
      </c>
      <c r="C65" s="77">
        <f>SUMIFS(Report!$U:$U,Report!$T:$T,$A65,Report!$C:$C,"&gt;="&amp;DATE(2026,1,1),Report!$C:$C,"&lt;="&amp;DATE(2026,1,31))</f>
        <v/>
      </c>
      <c r="D65" s="77">
        <f>SUMIFS(Report!$U:$U,Report!$T:$T,$A65,Report!$C:$C,"&gt;="&amp;DATE(2026,2,1),Report!$C:$C,"&lt;="&amp;DATE(2026,2,28))</f>
        <v/>
      </c>
      <c r="E65" s="77">
        <f>SUMIFS(Report!$U:$U,Report!$T:$T,$A65,Report!$C:$C,"&gt;="&amp;DATE(2026,3,1),Report!$C:$C,"&lt;="&amp;DATE(2026,3,31))</f>
        <v/>
      </c>
      <c r="F65" s="77">
        <f>SUMIFS(Report!$U:$U,Report!$T:$T,$A65,Report!$C:$C,"&gt;="&amp;DATE(2026,4,1),Report!$C:$C,"&lt;="&amp;DATE(2026,4,30))</f>
        <v/>
      </c>
      <c r="G65" s="77">
        <f>SUMIFS(Report!$U:$U,Report!$T:$T,$A65,Report!$C:$C,"&gt;="&amp;DATE(2026,5,1),Report!$C:$C,"&lt;="&amp;DATE(2026,5,31))</f>
        <v/>
      </c>
      <c r="H65" s="77">
        <f>SUMIFS(Report!$U:$U,Report!$T:$T,$A65,Report!$C:$C,"&gt;="&amp;DATE(2026,6,1),Report!$C:$C,"&lt;="&amp;DATE(2026,6,30))</f>
        <v/>
      </c>
      <c r="I65" s="77">
        <f>SUMIFS(Report!$U:$U,Report!$T:$T,$A65,Report!$C:$C,"&gt;="&amp;DATE(2026,7,1),Report!$C:$C,"&lt;="&amp;DATE(2026,7,31))</f>
        <v/>
      </c>
      <c r="J65" s="77">
        <f>SUMIFS(Report!$U:$U,Report!$T:$T,$A65,Report!$C:$C,"&gt;="&amp;DATE(2026,8,1),Report!$C:$C,"&lt;="&amp;DATE(2026,8,31))</f>
        <v/>
      </c>
      <c r="K65" s="77">
        <f>SUMIFS(Report!$U:$U,Report!$T:$T,$A65,Report!$C:$C,"&gt;="&amp;DATE(2026,9,1),Report!$C:$C,"&lt;="&amp;DATE(2026,9,30))</f>
        <v/>
      </c>
      <c r="L65" s="77">
        <f>SUMIFS(Report!$U:$U,Report!$T:$T,$A65,Report!$C:$C,"&gt;="&amp;DATE(2026,10,1),Report!$C:$C,"&lt;="&amp;DATE(2026,10,31))</f>
        <v/>
      </c>
      <c r="M65" s="77">
        <f>SUMIFS(Report!$U:$U,Report!$T:$T,$A65,Report!$C:$C,"&gt;="&amp;DATE(2026,11,1),Report!$C:$C,"&lt;="&amp;DATE(2026,11,30))</f>
        <v/>
      </c>
      <c r="N65" s="77">
        <f>SUMIFS(Report!$U:$U,Report!$T:$T,$A65,Report!$C:$C,"&gt;="&amp;DATE(2026,12,1),Report!$C:$C,"&lt;="&amp;DATE(2026,12,31))</f>
        <v/>
      </c>
      <c r="O65" s="77">
        <f>SUMIFS(Report!$U:$U,Report!$T:$T,$A65,Report!$C:$C,"&gt;="&amp;DATE(2027,1,1),Report!$C:$C,"&lt;="&amp;DATE(2027,1,31))</f>
        <v/>
      </c>
      <c r="P65" s="77">
        <f>SUMIFS(Report!$U:$U,Report!$T:$T,$A65,Report!$C:$C,"&gt;="&amp;DATE(2027,2,1),Report!$C:$C,"&lt;="&amp;DATE(2027,2,28))</f>
        <v/>
      </c>
      <c r="Q65" s="77">
        <f>SUMIFS(Report!$U:$U,Report!$T:$T,$A65,Report!$C:$C,"&gt;="&amp;DATE(2027,3,1),Report!$C:$C,"&lt;="&amp;DATE(2027,3,31))</f>
        <v/>
      </c>
      <c r="R65" s="77">
        <f>SUMIFS(Report!$U:$U,Report!$T:$T,$A65,Report!$C:$C,"&gt;="&amp;DATE(2027,4,1),Report!$C:$C,"&lt;="&amp;DATE(2027,4,30))</f>
        <v/>
      </c>
      <c r="S65" s="77">
        <f>SUMIFS(Report!$U:$U,Report!$T:$T,$A65,Report!$C:$C,"&gt;="&amp;DATE(2027,5,1),Report!$C:$C,"&lt;="&amp;DATE(2027,5,31))</f>
        <v/>
      </c>
      <c r="T65" s="77">
        <f>SUMIFS(Report!$U:$U,Report!$T:$T,$A65,Report!$C:$C,"&gt;="&amp;DATE(2027,6,1),Report!$C:$C,"&lt;="&amp;DATE(2027,6,30))</f>
        <v/>
      </c>
      <c r="U65" s="77">
        <f>SUMIFS(Report!$U:$U,Report!$T:$T,$A65,Report!$C:$C,"&gt;="&amp;DATE(2027,7,1),Report!$C:$C,"&lt;="&amp;DATE(2027,7,31))</f>
        <v/>
      </c>
      <c r="V65" s="77">
        <f>SUMIFS(Report!$U:$U,Report!$T:$T,$A65,Report!$C:$C,"&gt;="&amp;DATE(2027,8,1),Report!$C:$C,"&lt;="&amp;DATE(2027,8,31))</f>
        <v/>
      </c>
      <c r="W65" s="77">
        <f>SUMIFS(Report!$U:$U,Report!$T:$T,$A65,Report!$C:$C,"&gt;="&amp;DATE(2027,9,1),Report!$C:$C,"&lt;="&amp;DATE(2027,9,30))</f>
        <v/>
      </c>
      <c r="X65" s="77">
        <f>SUMIFS(Report!$U:$U,Report!$T:$T,$A65,Report!$C:$C,"&gt;="&amp;DATE(2027,10,1),Report!$C:$C,"&lt;="&amp;DATE(2027,10,31))</f>
        <v/>
      </c>
      <c r="Y65" s="77">
        <f>SUMIFS(Report!$U:$U,Report!$T:$T,$A65,Report!$C:$C,"&gt;="&amp;DATE(2027,11,1),Report!$C:$C,"&lt;="&amp;DATE(2027,11,30))</f>
        <v/>
      </c>
      <c r="Z65" s="77">
        <f>SUMIFS(Report!$U:$U,Report!$T:$T,$A65,Report!$C:$C,"&gt;="&amp;DATE(2027,12,1),Report!$C:$C,"&lt;="&amp;DATE(2027,12,31))</f>
        <v/>
      </c>
      <c r="AA65" s="77">
        <f>SUM(C65:Z65)</f>
        <v/>
      </c>
    </row>
    <row r="66" ht="12.75" customHeight="1" s="60">
      <c r="A66" s="59" t="inlineStr">
        <is>
          <t>SISTEMAS APLICATIVOS</t>
        </is>
      </c>
      <c r="B66" s="59">
        <f>IFERROR(INDEX('Resumo Grupos'!$AC$3:$AC$200,MATCH($A66,'Resumo Grupos'!$AB$3:$AB$200,0)),"n/d")</f>
        <v/>
      </c>
      <c r="C66" s="77">
        <f>SUMIFS(Report!$U:$U,Report!$T:$T,$A66,Report!$C:$C,"&gt;="&amp;DATE(2026,1,1),Report!$C:$C,"&lt;="&amp;DATE(2026,1,31))</f>
        <v/>
      </c>
      <c r="D66" s="77">
        <f>SUMIFS(Report!$U:$U,Report!$T:$T,$A66,Report!$C:$C,"&gt;="&amp;DATE(2026,2,1),Report!$C:$C,"&lt;="&amp;DATE(2026,2,28))</f>
        <v/>
      </c>
      <c r="E66" s="77">
        <f>SUMIFS(Report!$U:$U,Report!$T:$T,$A66,Report!$C:$C,"&gt;="&amp;DATE(2026,3,1),Report!$C:$C,"&lt;="&amp;DATE(2026,3,31))</f>
        <v/>
      </c>
      <c r="F66" s="77">
        <f>SUMIFS(Report!$U:$U,Report!$T:$T,$A66,Report!$C:$C,"&gt;="&amp;DATE(2026,4,1),Report!$C:$C,"&lt;="&amp;DATE(2026,4,30))</f>
        <v/>
      </c>
      <c r="G66" s="77">
        <f>SUMIFS(Report!$U:$U,Report!$T:$T,$A66,Report!$C:$C,"&gt;="&amp;DATE(2026,5,1),Report!$C:$C,"&lt;="&amp;DATE(2026,5,31))</f>
        <v/>
      </c>
      <c r="H66" s="77">
        <f>SUMIFS(Report!$U:$U,Report!$T:$T,$A66,Report!$C:$C,"&gt;="&amp;DATE(2026,6,1),Report!$C:$C,"&lt;="&amp;DATE(2026,6,30))</f>
        <v/>
      </c>
      <c r="I66" s="77">
        <f>SUMIFS(Report!$U:$U,Report!$T:$T,$A66,Report!$C:$C,"&gt;="&amp;DATE(2026,7,1),Report!$C:$C,"&lt;="&amp;DATE(2026,7,31))</f>
        <v/>
      </c>
      <c r="J66" s="77">
        <f>SUMIFS(Report!$U:$U,Report!$T:$T,$A66,Report!$C:$C,"&gt;="&amp;DATE(2026,8,1),Report!$C:$C,"&lt;="&amp;DATE(2026,8,31))</f>
        <v/>
      </c>
      <c r="K66" s="77">
        <f>SUMIFS(Report!$U:$U,Report!$T:$T,$A66,Report!$C:$C,"&gt;="&amp;DATE(2026,9,1),Report!$C:$C,"&lt;="&amp;DATE(2026,9,30))</f>
        <v/>
      </c>
      <c r="L66" s="77">
        <f>SUMIFS(Report!$U:$U,Report!$T:$T,$A66,Report!$C:$C,"&gt;="&amp;DATE(2026,10,1),Report!$C:$C,"&lt;="&amp;DATE(2026,10,31))</f>
        <v/>
      </c>
      <c r="M66" s="77">
        <f>SUMIFS(Report!$U:$U,Report!$T:$T,$A66,Report!$C:$C,"&gt;="&amp;DATE(2026,11,1),Report!$C:$C,"&lt;="&amp;DATE(2026,11,30))</f>
        <v/>
      </c>
      <c r="N66" s="77">
        <f>SUMIFS(Report!$U:$U,Report!$T:$T,$A66,Report!$C:$C,"&gt;="&amp;DATE(2026,12,1),Report!$C:$C,"&lt;="&amp;DATE(2026,12,31))</f>
        <v/>
      </c>
      <c r="O66" s="77">
        <f>SUMIFS(Report!$U:$U,Report!$T:$T,$A66,Report!$C:$C,"&gt;="&amp;DATE(2027,1,1),Report!$C:$C,"&lt;="&amp;DATE(2027,1,31))</f>
        <v/>
      </c>
      <c r="P66" s="77">
        <f>SUMIFS(Report!$U:$U,Report!$T:$T,$A66,Report!$C:$C,"&gt;="&amp;DATE(2027,2,1),Report!$C:$C,"&lt;="&amp;DATE(2027,2,28))</f>
        <v/>
      </c>
      <c r="Q66" s="77">
        <f>SUMIFS(Report!$U:$U,Report!$T:$T,$A66,Report!$C:$C,"&gt;="&amp;DATE(2027,3,1),Report!$C:$C,"&lt;="&amp;DATE(2027,3,31))</f>
        <v/>
      </c>
      <c r="R66" s="77">
        <f>SUMIFS(Report!$U:$U,Report!$T:$T,$A66,Report!$C:$C,"&gt;="&amp;DATE(2027,4,1),Report!$C:$C,"&lt;="&amp;DATE(2027,4,30))</f>
        <v/>
      </c>
      <c r="S66" s="77">
        <f>SUMIFS(Report!$U:$U,Report!$T:$T,$A66,Report!$C:$C,"&gt;="&amp;DATE(2027,5,1),Report!$C:$C,"&lt;="&amp;DATE(2027,5,31))</f>
        <v/>
      </c>
      <c r="T66" s="77">
        <f>SUMIFS(Report!$U:$U,Report!$T:$T,$A66,Report!$C:$C,"&gt;="&amp;DATE(2027,6,1),Report!$C:$C,"&lt;="&amp;DATE(2027,6,30))</f>
        <v/>
      </c>
      <c r="U66" s="77">
        <f>SUMIFS(Report!$U:$U,Report!$T:$T,$A66,Report!$C:$C,"&gt;="&amp;DATE(2027,7,1),Report!$C:$C,"&lt;="&amp;DATE(2027,7,31))</f>
        <v/>
      </c>
      <c r="V66" s="77">
        <f>SUMIFS(Report!$U:$U,Report!$T:$T,$A66,Report!$C:$C,"&gt;="&amp;DATE(2027,8,1),Report!$C:$C,"&lt;="&amp;DATE(2027,8,31))</f>
        <v/>
      </c>
      <c r="W66" s="77">
        <f>SUMIFS(Report!$U:$U,Report!$T:$T,$A66,Report!$C:$C,"&gt;="&amp;DATE(2027,9,1),Report!$C:$C,"&lt;="&amp;DATE(2027,9,30))</f>
        <v/>
      </c>
      <c r="X66" s="77">
        <f>SUMIFS(Report!$U:$U,Report!$T:$T,$A66,Report!$C:$C,"&gt;="&amp;DATE(2027,10,1),Report!$C:$C,"&lt;="&amp;DATE(2027,10,31))</f>
        <v/>
      </c>
      <c r="Y66" s="77">
        <f>SUMIFS(Report!$U:$U,Report!$T:$T,$A66,Report!$C:$C,"&gt;="&amp;DATE(2027,11,1),Report!$C:$C,"&lt;="&amp;DATE(2027,11,30))</f>
        <v/>
      </c>
      <c r="Z66" s="77">
        <f>SUMIFS(Report!$U:$U,Report!$T:$T,$A66,Report!$C:$C,"&gt;="&amp;DATE(2027,12,1),Report!$C:$C,"&lt;="&amp;DATE(2027,12,31))</f>
        <v/>
      </c>
      <c r="AA66" s="77">
        <f>SUM(C66:Z66)</f>
        <v/>
      </c>
    </row>
    <row r="67" ht="12.75" customHeight="1" s="60">
      <c r="A67" s="59" t="inlineStr">
        <is>
          <t>TELEFONE</t>
        </is>
      </c>
      <c r="B67" s="59">
        <f>IFERROR(INDEX('Resumo Grupos'!$AC$3:$AC$200,MATCH($A67,'Resumo Grupos'!$AB$3:$AB$200,0)),"n/d")</f>
        <v/>
      </c>
      <c r="C67" s="77">
        <f>SUMIFS(Report!$U:$U,Report!$T:$T,$A67,Report!$C:$C,"&gt;="&amp;DATE(2026,1,1),Report!$C:$C,"&lt;="&amp;DATE(2026,1,31))</f>
        <v/>
      </c>
      <c r="D67" s="77">
        <f>SUMIFS(Report!$U:$U,Report!$T:$T,$A67,Report!$C:$C,"&gt;="&amp;DATE(2026,2,1),Report!$C:$C,"&lt;="&amp;DATE(2026,2,28))</f>
        <v/>
      </c>
      <c r="E67" s="77">
        <f>SUMIFS(Report!$U:$U,Report!$T:$T,$A67,Report!$C:$C,"&gt;="&amp;DATE(2026,3,1),Report!$C:$C,"&lt;="&amp;DATE(2026,3,31))</f>
        <v/>
      </c>
      <c r="F67" s="77">
        <f>SUMIFS(Report!$U:$U,Report!$T:$T,$A67,Report!$C:$C,"&gt;="&amp;DATE(2026,4,1),Report!$C:$C,"&lt;="&amp;DATE(2026,4,30))</f>
        <v/>
      </c>
      <c r="G67" s="77">
        <f>SUMIFS(Report!$U:$U,Report!$T:$T,$A67,Report!$C:$C,"&gt;="&amp;DATE(2026,5,1),Report!$C:$C,"&lt;="&amp;DATE(2026,5,31))</f>
        <v/>
      </c>
      <c r="H67" s="77">
        <f>SUMIFS(Report!$U:$U,Report!$T:$T,$A67,Report!$C:$C,"&gt;="&amp;DATE(2026,6,1),Report!$C:$C,"&lt;="&amp;DATE(2026,6,30))</f>
        <v/>
      </c>
      <c r="I67" s="77">
        <f>SUMIFS(Report!$U:$U,Report!$T:$T,$A67,Report!$C:$C,"&gt;="&amp;DATE(2026,7,1),Report!$C:$C,"&lt;="&amp;DATE(2026,7,31))</f>
        <v/>
      </c>
      <c r="J67" s="77">
        <f>SUMIFS(Report!$U:$U,Report!$T:$T,$A67,Report!$C:$C,"&gt;="&amp;DATE(2026,8,1),Report!$C:$C,"&lt;="&amp;DATE(2026,8,31))</f>
        <v/>
      </c>
      <c r="K67" s="77">
        <f>SUMIFS(Report!$U:$U,Report!$T:$T,$A67,Report!$C:$C,"&gt;="&amp;DATE(2026,9,1),Report!$C:$C,"&lt;="&amp;DATE(2026,9,30))</f>
        <v/>
      </c>
      <c r="L67" s="77">
        <f>SUMIFS(Report!$U:$U,Report!$T:$T,$A67,Report!$C:$C,"&gt;="&amp;DATE(2026,10,1),Report!$C:$C,"&lt;="&amp;DATE(2026,10,31))</f>
        <v/>
      </c>
      <c r="M67" s="77">
        <f>SUMIFS(Report!$U:$U,Report!$T:$T,$A67,Report!$C:$C,"&gt;="&amp;DATE(2026,11,1),Report!$C:$C,"&lt;="&amp;DATE(2026,11,30))</f>
        <v/>
      </c>
      <c r="N67" s="77">
        <f>SUMIFS(Report!$U:$U,Report!$T:$T,$A67,Report!$C:$C,"&gt;="&amp;DATE(2026,12,1),Report!$C:$C,"&lt;="&amp;DATE(2026,12,31))</f>
        <v/>
      </c>
      <c r="O67" s="77">
        <f>SUMIFS(Report!$U:$U,Report!$T:$T,$A67,Report!$C:$C,"&gt;="&amp;DATE(2027,1,1),Report!$C:$C,"&lt;="&amp;DATE(2027,1,31))</f>
        <v/>
      </c>
      <c r="P67" s="77">
        <f>SUMIFS(Report!$U:$U,Report!$T:$T,$A67,Report!$C:$C,"&gt;="&amp;DATE(2027,2,1),Report!$C:$C,"&lt;="&amp;DATE(2027,2,28))</f>
        <v/>
      </c>
      <c r="Q67" s="77">
        <f>SUMIFS(Report!$U:$U,Report!$T:$T,$A67,Report!$C:$C,"&gt;="&amp;DATE(2027,3,1),Report!$C:$C,"&lt;="&amp;DATE(2027,3,31))</f>
        <v/>
      </c>
      <c r="R67" s="77">
        <f>SUMIFS(Report!$U:$U,Report!$T:$T,$A67,Report!$C:$C,"&gt;="&amp;DATE(2027,4,1),Report!$C:$C,"&lt;="&amp;DATE(2027,4,30))</f>
        <v/>
      </c>
      <c r="S67" s="77">
        <f>SUMIFS(Report!$U:$U,Report!$T:$T,$A67,Report!$C:$C,"&gt;="&amp;DATE(2027,5,1),Report!$C:$C,"&lt;="&amp;DATE(2027,5,31))</f>
        <v/>
      </c>
      <c r="T67" s="77">
        <f>SUMIFS(Report!$U:$U,Report!$T:$T,$A67,Report!$C:$C,"&gt;="&amp;DATE(2027,6,1),Report!$C:$C,"&lt;="&amp;DATE(2027,6,30))</f>
        <v/>
      </c>
      <c r="U67" s="77">
        <f>SUMIFS(Report!$U:$U,Report!$T:$T,$A67,Report!$C:$C,"&gt;="&amp;DATE(2027,7,1),Report!$C:$C,"&lt;="&amp;DATE(2027,7,31))</f>
        <v/>
      </c>
      <c r="V67" s="77">
        <f>SUMIFS(Report!$U:$U,Report!$T:$T,$A67,Report!$C:$C,"&gt;="&amp;DATE(2027,8,1),Report!$C:$C,"&lt;="&amp;DATE(2027,8,31))</f>
        <v/>
      </c>
      <c r="W67" s="77">
        <f>SUMIFS(Report!$U:$U,Report!$T:$T,$A67,Report!$C:$C,"&gt;="&amp;DATE(2027,9,1),Report!$C:$C,"&lt;="&amp;DATE(2027,9,30))</f>
        <v/>
      </c>
      <c r="X67" s="77">
        <f>SUMIFS(Report!$U:$U,Report!$T:$T,$A67,Report!$C:$C,"&gt;="&amp;DATE(2027,10,1),Report!$C:$C,"&lt;="&amp;DATE(2027,10,31))</f>
        <v/>
      </c>
      <c r="Y67" s="77">
        <f>SUMIFS(Report!$U:$U,Report!$T:$T,$A67,Report!$C:$C,"&gt;="&amp;DATE(2027,11,1),Report!$C:$C,"&lt;="&amp;DATE(2027,11,30))</f>
        <v/>
      </c>
      <c r="Z67" s="77">
        <f>SUMIFS(Report!$U:$U,Report!$T:$T,$A67,Report!$C:$C,"&gt;="&amp;DATE(2027,12,1),Report!$C:$C,"&lt;="&amp;DATE(2027,12,31))</f>
        <v/>
      </c>
      <c r="AA67" s="77">
        <f>SUM(C67:Z67)</f>
        <v/>
      </c>
    </row>
    <row r="68" ht="12.75" customHeight="1" s="60">
      <c r="A68" s="59" t="inlineStr">
        <is>
          <t>TREINAMENTO/CONSULTORIAS</t>
        </is>
      </c>
      <c r="B68" s="59">
        <f>IFERROR(INDEX('Resumo Grupos'!$AC$3:$AC$200,MATCH($A68,'Resumo Grupos'!$AB$3:$AB$200,0)),"n/d")</f>
        <v/>
      </c>
      <c r="C68" s="77">
        <f>SUMIFS(Report!$U:$U,Report!$T:$T,$A68,Report!$C:$C,"&gt;="&amp;DATE(2026,1,1),Report!$C:$C,"&lt;="&amp;DATE(2026,1,31))</f>
        <v/>
      </c>
      <c r="D68" s="77">
        <f>SUMIFS(Report!$U:$U,Report!$T:$T,$A68,Report!$C:$C,"&gt;="&amp;DATE(2026,2,1),Report!$C:$C,"&lt;="&amp;DATE(2026,2,28))</f>
        <v/>
      </c>
      <c r="E68" s="77">
        <f>SUMIFS(Report!$U:$U,Report!$T:$T,$A68,Report!$C:$C,"&gt;="&amp;DATE(2026,3,1),Report!$C:$C,"&lt;="&amp;DATE(2026,3,31))</f>
        <v/>
      </c>
      <c r="F68" s="77">
        <f>SUMIFS(Report!$U:$U,Report!$T:$T,$A68,Report!$C:$C,"&gt;="&amp;DATE(2026,4,1),Report!$C:$C,"&lt;="&amp;DATE(2026,4,30))</f>
        <v/>
      </c>
      <c r="G68" s="77">
        <f>SUMIFS(Report!$U:$U,Report!$T:$T,$A68,Report!$C:$C,"&gt;="&amp;DATE(2026,5,1),Report!$C:$C,"&lt;="&amp;DATE(2026,5,31))</f>
        <v/>
      </c>
      <c r="H68" s="77">
        <f>SUMIFS(Report!$U:$U,Report!$T:$T,$A68,Report!$C:$C,"&gt;="&amp;DATE(2026,6,1),Report!$C:$C,"&lt;="&amp;DATE(2026,6,30))</f>
        <v/>
      </c>
      <c r="I68" s="77">
        <f>SUMIFS(Report!$U:$U,Report!$T:$T,$A68,Report!$C:$C,"&gt;="&amp;DATE(2026,7,1),Report!$C:$C,"&lt;="&amp;DATE(2026,7,31))</f>
        <v/>
      </c>
      <c r="J68" s="77">
        <f>SUMIFS(Report!$U:$U,Report!$T:$T,$A68,Report!$C:$C,"&gt;="&amp;DATE(2026,8,1),Report!$C:$C,"&lt;="&amp;DATE(2026,8,31))</f>
        <v/>
      </c>
      <c r="K68" s="77">
        <f>SUMIFS(Report!$U:$U,Report!$T:$T,$A68,Report!$C:$C,"&gt;="&amp;DATE(2026,9,1),Report!$C:$C,"&lt;="&amp;DATE(2026,9,30))</f>
        <v/>
      </c>
      <c r="L68" s="77">
        <f>SUMIFS(Report!$U:$U,Report!$T:$T,$A68,Report!$C:$C,"&gt;="&amp;DATE(2026,10,1),Report!$C:$C,"&lt;="&amp;DATE(2026,10,31))</f>
        <v/>
      </c>
      <c r="M68" s="77">
        <f>SUMIFS(Report!$U:$U,Report!$T:$T,$A68,Report!$C:$C,"&gt;="&amp;DATE(2026,11,1),Report!$C:$C,"&lt;="&amp;DATE(2026,11,30))</f>
        <v/>
      </c>
      <c r="N68" s="77">
        <f>SUMIFS(Report!$U:$U,Report!$T:$T,$A68,Report!$C:$C,"&gt;="&amp;DATE(2026,12,1),Report!$C:$C,"&lt;="&amp;DATE(2026,12,31))</f>
        <v/>
      </c>
      <c r="O68" s="77">
        <f>SUMIFS(Report!$U:$U,Report!$T:$T,$A68,Report!$C:$C,"&gt;="&amp;DATE(2027,1,1),Report!$C:$C,"&lt;="&amp;DATE(2027,1,31))</f>
        <v/>
      </c>
      <c r="P68" s="77">
        <f>SUMIFS(Report!$U:$U,Report!$T:$T,$A68,Report!$C:$C,"&gt;="&amp;DATE(2027,2,1),Report!$C:$C,"&lt;="&amp;DATE(2027,2,28))</f>
        <v/>
      </c>
      <c r="Q68" s="77">
        <f>SUMIFS(Report!$U:$U,Report!$T:$T,$A68,Report!$C:$C,"&gt;="&amp;DATE(2027,3,1),Report!$C:$C,"&lt;="&amp;DATE(2027,3,31))</f>
        <v/>
      </c>
      <c r="R68" s="77">
        <f>SUMIFS(Report!$U:$U,Report!$T:$T,$A68,Report!$C:$C,"&gt;="&amp;DATE(2027,4,1),Report!$C:$C,"&lt;="&amp;DATE(2027,4,30))</f>
        <v/>
      </c>
      <c r="S68" s="77">
        <f>SUMIFS(Report!$U:$U,Report!$T:$T,$A68,Report!$C:$C,"&gt;="&amp;DATE(2027,5,1),Report!$C:$C,"&lt;="&amp;DATE(2027,5,31))</f>
        <v/>
      </c>
      <c r="T68" s="77">
        <f>SUMIFS(Report!$U:$U,Report!$T:$T,$A68,Report!$C:$C,"&gt;="&amp;DATE(2027,6,1),Report!$C:$C,"&lt;="&amp;DATE(2027,6,30))</f>
        <v/>
      </c>
      <c r="U68" s="77">
        <f>SUMIFS(Report!$U:$U,Report!$T:$T,$A68,Report!$C:$C,"&gt;="&amp;DATE(2027,7,1),Report!$C:$C,"&lt;="&amp;DATE(2027,7,31))</f>
        <v/>
      </c>
      <c r="V68" s="77">
        <f>SUMIFS(Report!$U:$U,Report!$T:$T,$A68,Report!$C:$C,"&gt;="&amp;DATE(2027,8,1),Report!$C:$C,"&lt;="&amp;DATE(2027,8,31))</f>
        <v/>
      </c>
      <c r="W68" s="77">
        <f>SUMIFS(Report!$U:$U,Report!$T:$T,$A68,Report!$C:$C,"&gt;="&amp;DATE(2027,9,1),Report!$C:$C,"&lt;="&amp;DATE(2027,9,30))</f>
        <v/>
      </c>
      <c r="X68" s="77">
        <f>SUMIFS(Report!$U:$U,Report!$T:$T,$A68,Report!$C:$C,"&gt;="&amp;DATE(2027,10,1),Report!$C:$C,"&lt;="&amp;DATE(2027,10,31))</f>
        <v/>
      </c>
      <c r="Y68" s="77">
        <f>SUMIFS(Report!$U:$U,Report!$T:$T,$A68,Report!$C:$C,"&gt;="&amp;DATE(2027,11,1),Report!$C:$C,"&lt;="&amp;DATE(2027,11,30))</f>
        <v/>
      </c>
      <c r="Z68" s="77">
        <f>SUMIFS(Report!$U:$U,Report!$T:$T,$A68,Report!$C:$C,"&gt;="&amp;DATE(2027,12,1),Report!$C:$C,"&lt;="&amp;DATE(2027,12,31))</f>
        <v/>
      </c>
      <c r="AA68" s="77">
        <f>SUM(C68:Z68)</f>
        <v/>
      </c>
    </row>
    <row r="69" ht="12.75" customHeight="1" s="60">
      <c r="A69" s="59" t="inlineStr">
        <is>
          <t>VALE TRANSPORTE</t>
        </is>
      </c>
      <c r="B69" s="59">
        <f>IFERROR(INDEX('Resumo Grupos'!$AC$3:$AC$200,MATCH($A69,'Resumo Grupos'!$AB$3:$AB$200,0)),"n/d")</f>
        <v/>
      </c>
      <c r="C69" s="77">
        <f>SUMIFS(Report!$U:$U,Report!$T:$T,$A69,Report!$C:$C,"&gt;="&amp;DATE(2026,1,1),Report!$C:$C,"&lt;="&amp;DATE(2026,1,31))</f>
        <v/>
      </c>
      <c r="D69" s="77">
        <f>SUMIFS(Report!$U:$U,Report!$T:$T,$A69,Report!$C:$C,"&gt;="&amp;DATE(2026,2,1),Report!$C:$C,"&lt;="&amp;DATE(2026,2,28))</f>
        <v/>
      </c>
      <c r="E69" s="77">
        <f>SUMIFS(Report!$U:$U,Report!$T:$T,$A69,Report!$C:$C,"&gt;="&amp;DATE(2026,3,1),Report!$C:$C,"&lt;="&amp;DATE(2026,3,31))</f>
        <v/>
      </c>
      <c r="F69" s="77">
        <f>SUMIFS(Report!$U:$U,Report!$T:$T,$A69,Report!$C:$C,"&gt;="&amp;DATE(2026,4,1),Report!$C:$C,"&lt;="&amp;DATE(2026,4,30))</f>
        <v/>
      </c>
      <c r="G69" s="77">
        <f>SUMIFS(Report!$U:$U,Report!$T:$T,$A69,Report!$C:$C,"&gt;="&amp;DATE(2026,5,1),Report!$C:$C,"&lt;="&amp;DATE(2026,5,31))</f>
        <v/>
      </c>
      <c r="H69" s="77">
        <f>SUMIFS(Report!$U:$U,Report!$T:$T,$A69,Report!$C:$C,"&gt;="&amp;DATE(2026,6,1),Report!$C:$C,"&lt;="&amp;DATE(2026,6,30))</f>
        <v/>
      </c>
      <c r="I69" s="77">
        <f>SUMIFS(Report!$U:$U,Report!$T:$T,$A69,Report!$C:$C,"&gt;="&amp;DATE(2026,7,1),Report!$C:$C,"&lt;="&amp;DATE(2026,7,31))</f>
        <v/>
      </c>
      <c r="J69" s="77">
        <f>SUMIFS(Report!$U:$U,Report!$T:$T,$A69,Report!$C:$C,"&gt;="&amp;DATE(2026,8,1),Report!$C:$C,"&lt;="&amp;DATE(2026,8,31))</f>
        <v/>
      </c>
      <c r="K69" s="77">
        <f>SUMIFS(Report!$U:$U,Report!$T:$T,$A69,Report!$C:$C,"&gt;="&amp;DATE(2026,9,1),Report!$C:$C,"&lt;="&amp;DATE(2026,9,30))</f>
        <v/>
      </c>
      <c r="L69" s="77">
        <f>SUMIFS(Report!$U:$U,Report!$T:$T,$A69,Report!$C:$C,"&gt;="&amp;DATE(2026,10,1),Report!$C:$C,"&lt;="&amp;DATE(2026,10,31))</f>
        <v/>
      </c>
      <c r="M69" s="77">
        <f>SUMIFS(Report!$U:$U,Report!$T:$T,$A69,Report!$C:$C,"&gt;="&amp;DATE(2026,11,1),Report!$C:$C,"&lt;="&amp;DATE(2026,11,30))</f>
        <v/>
      </c>
      <c r="N69" s="77">
        <f>SUMIFS(Report!$U:$U,Report!$T:$T,$A69,Report!$C:$C,"&gt;="&amp;DATE(2026,12,1),Report!$C:$C,"&lt;="&amp;DATE(2026,12,31))</f>
        <v/>
      </c>
      <c r="O69" s="77">
        <f>SUMIFS(Report!$U:$U,Report!$T:$T,$A69,Report!$C:$C,"&gt;="&amp;DATE(2027,1,1),Report!$C:$C,"&lt;="&amp;DATE(2027,1,31))</f>
        <v/>
      </c>
      <c r="P69" s="77">
        <f>SUMIFS(Report!$U:$U,Report!$T:$T,$A69,Report!$C:$C,"&gt;="&amp;DATE(2027,2,1),Report!$C:$C,"&lt;="&amp;DATE(2027,2,28))</f>
        <v/>
      </c>
      <c r="Q69" s="77">
        <f>SUMIFS(Report!$U:$U,Report!$T:$T,$A69,Report!$C:$C,"&gt;="&amp;DATE(2027,3,1),Report!$C:$C,"&lt;="&amp;DATE(2027,3,31))</f>
        <v/>
      </c>
      <c r="R69" s="77">
        <f>SUMIFS(Report!$U:$U,Report!$T:$T,$A69,Report!$C:$C,"&gt;="&amp;DATE(2027,4,1),Report!$C:$C,"&lt;="&amp;DATE(2027,4,30))</f>
        <v/>
      </c>
      <c r="S69" s="77">
        <f>SUMIFS(Report!$U:$U,Report!$T:$T,$A69,Report!$C:$C,"&gt;="&amp;DATE(2027,5,1),Report!$C:$C,"&lt;="&amp;DATE(2027,5,31))</f>
        <v/>
      </c>
      <c r="T69" s="77">
        <f>SUMIFS(Report!$U:$U,Report!$T:$T,$A69,Report!$C:$C,"&gt;="&amp;DATE(2027,6,1),Report!$C:$C,"&lt;="&amp;DATE(2027,6,30))</f>
        <v/>
      </c>
      <c r="U69" s="77">
        <f>SUMIFS(Report!$U:$U,Report!$T:$T,$A69,Report!$C:$C,"&gt;="&amp;DATE(2027,7,1),Report!$C:$C,"&lt;="&amp;DATE(2027,7,31))</f>
        <v/>
      </c>
      <c r="V69" s="77">
        <f>SUMIFS(Report!$U:$U,Report!$T:$T,$A69,Report!$C:$C,"&gt;="&amp;DATE(2027,8,1),Report!$C:$C,"&lt;="&amp;DATE(2027,8,31))</f>
        <v/>
      </c>
      <c r="W69" s="77">
        <f>SUMIFS(Report!$U:$U,Report!$T:$T,$A69,Report!$C:$C,"&gt;="&amp;DATE(2027,9,1),Report!$C:$C,"&lt;="&amp;DATE(2027,9,30))</f>
        <v/>
      </c>
      <c r="X69" s="77">
        <f>SUMIFS(Report!$U:$U,Report!$T:$T,$A69,Report!$C:$C,"&gt;="&amp;DATE(2027,10,1),Report!$C:$C,"&lt;="&amp;DATE(2027,10,31))</f>
        <v/>
      </c>
      <c r="Y69" s="77">
        <f>SUMIFS(Report!$U:$U,Report!$T:$T,$A69,Report!$C:$C,"&gt;="&amp;DATE(2027,11,1),Report!$C:$C,"&lt;="&amp;DATE(2027,11,30))</f>
        <v/>
      </c>
      <c r="Z69" s="77">
        <f>SUMIFS(Report!$U:$U,Report!$T:$T,$A69,Report!$C:$C,"&gt;="&amp;DATE(2027,12,1),Report!$C:$C,"&lt;="&amp;DATE(2027,12,31))</f>
        <v/>
      </c>
      <c r="AA69" s="77">
        <f>SUM(C69:Z69)</f>
        <v/>
      </c>
    </row>
    <row r="70" ht="12.75" customHeight="1" s="60">
      <c r="A70" s="59" t="inlineStr">
        <is>
          <t>VEICULOS</t>
        </is>
      </c>
      <c r="B70" s="59">
        <f>IFERROR(INDEX('Resumo Grupos'!$AC$3:$AC$200,MATCH($A70,'Resumo Grupos'!$AB$3:$AB$200,0)),"n/d")</f>
        <v/>
      </c>
      <c r="C70" s="77">
        <f>SUMIFS(Report!$U:$U,Report!$T:$T,$A70,Report!$C:$C,"&gt;="&amp;DATE(2026,1,1),Report!$C:$C,"&lt;="&amp;DATE(2026,1,31))</f>
        <v/>
      </c>
      <c r="D70" s="77">
        <f>SUMIFS(Report!$U:$U,Report!$T:$T,$A70,Report!$C:$C,"&gt;="&amp;DATE(2026,2,1),Report!$C:$C,"&lt;="&amp;DATE(2026,2,28))</f>
        <v/>
      </c>
      <c r="E70" s="77">
        <f>SUMIFS(Report!$U:$U,Report!$T:$T,$A70,Report!$C:$C,"&gt;="&amp;DATE(2026,3,1),Report!$C:$C,"&lt;="&amp;DATE(2026,3,31))</f>
        <v/>
      </c>
      <c r="F70" s="77">
        <f>SUMIFS(Report!$U:$U,Report!$T:$T,$A70,Report!$C:$C,"&gt;="&amp;DATE(2026,4,1),Report!$C:$C,"&lt;="&amp;DATE(2026,4,30))</f>
        <v/>
      </c>
      <c r="G70" s="77">
        <f>SUMIFS(Report!$U:$U,Report!$T:$T,$A70,Report!$C:$C,"&gt;="&amp;DATE(2026,5,1),Report!$C:$C,"&lt;="&amp;DATE(2026,5,31))</f>
        <v/>
      </c>
      <c r="H70" s="77">
        <f>SUMIFS(Report!$U:$U,Report!$T:$T,$A70,Report!$C:$C,"&gt;="&amp;DATE(2026,6,1),Report!$C:$C,"&lt;="&amp;DATE(2026,6,30))</f>
        <v/>
      </c>
      <c r="I70" s="77">
        <f>SUMIFS(Report!$U:$U,Report!$T:$T,$A70,Report!$C:$C,"&gt;="&amp;DATE(2026,7,1),Report!$C:$C,"&lt;="&amp;DATE(2026,7,31))</f>
        <v/>
      </c>
      <c r="J70" s="77">
        <f>SUMIFS(Report!$U:$U,Report!$T:$T,$A70,Report!$C:$C,"&gt;="&amp;DATE(2026,8,1),Report!$C:$C,"&lt;="&amp;DATE(2026,8,31))</f>
        <v/>
      </c>
      <c r="K70" s="77">
        <f>SUMIFS(Report!$U:$U,Report!$T:$T,$A70,Report!$C:$C,"&gt;="&amp;DATE(2026,9,1),Report!$C:$C,"&lt;="&amp;DATE(2026,9,30))</f>
        <v/>
      </c>
      <c r="L70" s="77">
        <f>SUMIFS(Report!$U:$U,Report!$T:$T,$A70,Report!$C:$C,"&gt;="&amp;DATE(2026,10,1),Report!$C:$C,"&lt;="&amp;DATE(2026,10,31))</f>
        <v/>
      </c>
      <c r="M70" s="77">
        <f>SUMIFS(Report!$U:$U,Report!$T:$T,$A70,Report!$C:$C,"&gt;="&amp;DATE(2026,11,1),Report!$C:$C,"&lt;="&amp;DATE(2026,11,30))</f>
        <v/>
      </c>
      <c r="N70" s="77">
        <f>SUMIFS(Report!$U:$U,Report!$T:$T,$A70,Report!$C:$C,"&gt;="&amp;DATE(2026,12,1),Report!$C:$C,"&lt;="&amp;DATE(2026,12,31))</f>
        <v/>
      </c>
      <c r="O70" s="77">
        <f>SUMIFS(Report!$U:$U,Report!$T:$T,$A70,Report!$C:$C,"&gt;="&amp;DATE(2027,1,1),Report!$C:$C,"&lt;="&amp;DATE(2027,1,31))</f>
        <v/>
      </c>
      <c r="P70" s="77">
        <f>SUMIFS(Report!$U:$U,Report!$T:$T,$A70,Report!$C:$C,"&gt;="&amp;DATE(2027,2,1),Report!$C:$C,"&lt;="&amp;DATE(2027,2,28))</f>
        <v/>
      </c>
      <c r="Q70" s="77">
        <f>SUMIFS(Report!$U:$U,Report!$T:$T,$A70,Report!$C:$C,"&gt;="&amp;DATE(2027,3,1),Report!$C:$C,"&lt;="&amp;DATE(2027,3,31))</f>
        <v/>
      </c>
      <c r="R70" s="77">
        <f>SUMIFS(Report!$U:$U,Report!$T:$T,$A70,Report!$C:$C,"&gt;="&amp;DATE(2027,4,1),Report!$C:$C,"&lt;="&amp;DATE(2027,4,30))</f>
        <v/>
      </c>
      <c r="S70" s="77">
        <f>SUMIFS(Report!$U:$U,Report!$T:$T,$A70,Report!$C:$C,"&gt;="&amp;DATE(2027,5,1),Report!$C:$C,"&lt;="&amp;DATE(2027,5,31))</f>
        <v/>
      </c>
      <c r="T70" s="77">
        <f>SUMIFS(Report!$U:$U,Report!$T:$T,$A70,Report!$C:$C,"&gt;="&amp;DATE(2027,6,1),Report!$C:$C,"&lt;="&amp;DATE(2027,6,30))</f>
        <v/>
      </c>
      <c r="U70" s="77">
        <f>SUMIFS(Report!$U:$U,Report!$T:$T,$A70,Report!$C:$C,"&gt;="&amp;DATE(2027,7,1),Report!$C:$C,"&lt;="&amp;DATE(2027,7,31))</f>
        <v/>
      </c>
      <c r="V70" s="77">
        <f>SUMIFS(Report!$U:$U,Report!$T:$T,$A70,Report!$C:$C,"&gt;="&amp;DATE(2027,8,1),Report!$C:$C,"&lt;="&amp;DATE(2027,8,31))</f>
        <v/>
      </c>
      <c r="W70" s="77">
        <f>SUMIFS(Report!$U:$U,Report!$T:$T,$A70,Report!$C:$C,"&gt;="&amp;DATE(2027,9,1),Report!$C:$C,"&lt;="&amp;DATE(2027,9,30))</f>
        <v/>
      </c>
      <c r="X70" s="77">
        <f>SUMIFS(Report!$U:$U,Report!$T:$T,$A70,Report!$C:$C,"&gt;="&amp;DATE(2027,10,1),Report!$C:$C,"&lt;="&amp;DATE(2027,10,31))</f>
        <v/>
      </c>
      <c r="Y70" s="77">
        <f>SUMIFS(Report!$U:$U,Report!$T:$T,$A70,Report!$C:$C,"&gt;="&amp;DATE(2027,11,1),Report!$C:$C,"&lt;="&amp;DATE(2027,11,30))</f>
        <v/>
      </c>
      <c r="Z70" s="77">
        <f>SUMIFS(Report!$U:$U,Report!$T:$T,$A70,Report!$C:$C,"&gt;="&amp;DATE(2027,12,1),Report!$C:$C,"&lt;="&amp;DATE(2027,12,31))</f>
        <v/>
      </c>
      <c r="AA70" s="77">
        <f>SUM(C70:Z70)</f>
        <v/>
      </c>
    </row>
    <row r="71" ht="13.5" customHeight="1" s="60">
      <c r="A71" s="59" t="inlineStr">
        <is>
          <t>MEDICINA DO TRABALHO</t>
        </is>
      </c>
      <c r="B71" s="59">
        <f>IFERROR(INDEX('Resumo Grupos'!$AC$3:$AC$200,MATCH($A71,'Resumo Grupos'!$AB$3:$AB$200,0)),"n/d")</f>
        <v/>
      </c>
      <c r="C71" s="77">
        <f>SUMIFS(Report!$U:$U,Report!$T:$T,$A71,Report!$C:$C,"&gt;="&amp;DATE(2026,1,1),Report!$C:$C,"&lt;"&amp;DATE(2026,2,1))</f>
        <v/>
      </c>
      <c r="D71" s="77">
        <f>SUMIFS(Report!$U:$U,Report!$T:$T,$A71,Report!$C:$C,"&gt;="&amp;DATE(2026,2,1),Report!$C:$C,"&lt;"&amp;DATE(2026,3,1))</f>
        <v/>
      </c>
      <c r="E71" s="77">
        <f>SUMIFS(Report!$U:$U,Report!$T:$T,$A71,Report!$C:$C,"&gt;="&amp;DATE(2026,3,1),Report!$C:$C,"&lt;"&amp;DATE(2026,4,1))</f>
        <v/>
      </c>
      <c r="F71" s="77">
        <f>SUMIFS(Report!$U:$U,Report!$T:$T,$A71,Report!$C:$C,"&gt;="&amp;DATE(2026,4,1),Report!$C:$C,"&lt;"&amp;DATE(2026,5,1))</f>
        <v/>
      </c>
      <c r="G71" s="77">
        <f>SUMIFS(Report!$U:$U,Report!$T:$T,$A71,Report!$C:$C,"&gt;="&amp;DATE(2026,5,1),Report!$C:$C,"&lt;"&amp;DATE(2026,6,1))</f>
        <v/>
      </c>
      <c r="H71" s="77">
        <f>SUMIFS(Report!$U:$U,Report!$T:$T,$A71,Report!$C:$C,"&gt;="&amp;DATE(2026,6,1),Report!$C:$C,"&lt;"&amp;DATE(2026,7,1))</f>
        <v/>
      </c>
      <c r="I71" s="77">
        <f>SUMIFS(Report!$U:$U,Report!$T:$T,$A71,Report!$C:$C,"&gt;="&amp;DATE(2026,7,1),Report!$C:$C,"&lt;"&amp;DATE(2026,8,1))</f>
        <v/>
      </c>
      <c r="J71" s="77">
        <f>SUMIFS(Report!$U:$U,Report!$T:$T,$A71,Report!$C:$C,"&gt;="&amp;DATE(2026,8,1),Report!$C:$C,"&lt;"&amp;DATE(2026,9,1))</f>
        <v/>
      </c>
      <c r="K71" s="77">
        <f>SUMIFS(Report!$U:$U,Report!$T:$T,$A71,Report!$C:$C,"&gt;="&amp;DATE(2026,9,1),Report!$C:$C,"&lt;"&amp;DATE(2026,10,1))</f>
        <v/>
      </c>
      <c r="L71" s="77">
        <f>SUMIFS(Report!$U:$U,Report!$T:$T,$A71,Report!$C:$C,"&gt;="&amp;DATE(2026,10,1),Report!$C:$C,"&lt;"&amp;DATE(2026,11,1))</f>
        <v/>
      </c>
      <c r="M71" s="77">
        <f>SUMIFS(Report!$U:$U,Report!$T:$T,$A71,Report!$C:$C,"&gt;="&amp;DATE(2026,11,1),Report!$C:$C,"&lt;"&amp;DATE(2026,12,1))</f>
        <v/>
      </c>
      <c r="N71" s="77">
        <f>SUMIFS(Report!$U:$U,Report!$T:$T,$A71,Report!$C:$C,"&gt;="&amp;DATE(2026,12,1),Report!$C:$C,"&lt;"&amp;DATE(2027,1,1))</f>
        <v/>
      </c>
      <c r="O71" s="77">
        <f>SUMIFS(Report!$U:$U,Report!$T:$T,$A71,Report!$C:$C,"&gt;="&amp;DATE(2027,1,1),Report!$C:$C,"&lt;"&amp;DATE(2027,2,1))</f>
        <v/>
      </c>
      <c r="P71" s="77">
        <f>SUMIFS(Report!$U:$U,Report!$T:$T,$A71,Report!$C:$C,"&gt;="&amp;DATE(2027,2,1),Report!$C:$C,"&lt;"&amp;DATE(2027,3,1))</f>
        <v/>
      </c>
      <c r="Q71" s="77">
        <f>SUMIFS(Report!$U:$U,Report!$T:$T,$A71,Report!$C:$C,"&gt;="&amp;DATE(2027,3,1),Report!$C:$C,"&lt;"&amp;DATE(2027,4,1))</f>
        <v/>
      </c>
      <c r="R71" s="77">
        <f>SUMIFS(Report!$U:$U,Report!$T:$T,$A71,Report!$C:$C,"&gt;="&amp;DATE(2027,4,1),Report!$C:$C,"&lt;"&amp;DATE(2027,5,1))</f>
        <v/>
      </c>
      <c r="S71" s="77">
        <f>SUMIFS(Report!$U:$U,Report!$T:$T,$A71,Report!$C:$C,"&gt;="&amp;DATE(2027,5,1),Report!$C:$C,"&lt;"&amp;DATE(2027,6,1))</f>
        <v/>
      </c>
      <c r="T71" s="77">
        <f>SUMIFS(Report!$U:$U,Report!$T:$T,$A71,Report!$C:$C,"&gt;="&amp;DATE(2027,6,1),Report!$C:$C,"&lt;"&amp;DATE(2027,7,1))</f>
        <v/>
      </c>
      <c r="U71" s="77">
        <f>SUMIFS(Report!$U:$U,Report!$T:$T,$A71,Report!$C:$C,"&gt;="&amp;DATE(2027,7,1),Report!$C:$C,"&lt;"&amp;DATE(2027,8,1))</f>
        <v/>
      </c>
      <c r="V71" s="77">
        <f>SUMIFS(Report!$U:$U,Report!$T:$T,$A71,Report!$C:$C,"&gt;="&amp;DATE(2027,8,1),Report!$C:$C,"&lt;"&amp;DATE(2027,9,1))</f>
        <v/>
      </c>
      <c r="W71" s="77">
        <f>SUMIFS(Report!$U:$U,Report!$T:$T,$A71,Report!$C:$C,"&gt;="&amp;DATE(2027,9,1),Report!$C:$C,"&lt;"&amp;DATE(2027,10,1))</f>
        <v/>
      </c>
      <c r="X71" s="77">
        <f>SUMIFS(Report!$U:$U,Report!$T:$T,$A71,Report!$C:$C,"&gt;="&amp;DATE(2027,10,1),Report!$C:$C,"&lt;"&amp;DATE(2027,11,1))</f>
        <v/>
      </c>
      <c r="Y71" s="77">
        <f>SUMIFS(Report!$U:$U,Report!$T:$T,$A71,Report!$C:$C,"&gt;="&amp;DATE(2027,11,1),Report!$C:$C,"&lt;"&amp;DATE(2027,12,1))</f>
        <v/>
      </c>
      <c r="Z71" s="77">
        <f>SUMIFS(Report!$U:$U,Report!$T:$T,$A71,Report!$C:$C,"&gt;="&amp;DATE(2027,12,1),Report!$C:$C,"&lt;"&amp;DATE(2028,1,1))</f>
        <v/>
      </c>
    </row>
    <row r="72" ht="13.8" customHeight="1" s="60">
      <c r="A72" s="94" t="inlineStr">
        <is>
          <t>TOTAL</t>
        </is>
      </c>
      <c r="B72" s="94" t="n"/>
      <c r="C72" s="90">
        <f>SUM(C2:C71)</f>
        <v/>
      </c>
      <c r="D72" s="90">
        <f>SUM(D2:D71)</f>
        <v/>
      </c>
      <c r="E72" s="90">
        <f>SUM(E2:E71)</f>
        <v/>
      </c>
      <c r="F72" s="90">
        <f>SUM(F2:F71)</f>
        <v/>
      </c>
      <c r="G72" s="90">
        <f>SUM(G2:G71)</f>
        <v/>
      </c>
      <c r="H72" s="90">
        <f>SUM(H2:H71)</f>
        <v/>
      </c>
      <c r="I72" s="90">
        <f>SUM(I2:I71)</f>
        <v/>
      </c>
      <c r="J72" s="90">
        <f>SUM(J2:J71)</f>
        <v/>
      </c>
      <c r="K72" s="90">
        <f>SUM(K2:K71)</f>
        <v/>
      </c>
      <c r="L72" s="90">
        <f>SUM(L2:L71)</f>
        <v/>
      </c>
      <c r="M72" s="90">
        <f>SUM(M2:M71)</f>
        <v/>
      </c>
      <c r="N72" s="90">
        <f>SUM(N2:N71)</f>
        <v/>
      </c>
      <c r="O72" s="90">
        <f>SUM(O2:O71)</f>
        <v/>
      </c>
      <c r="P72" s="90">
        <f>SUM(P2:P71)</f>
        <v/>
      </c>
      <c r="Q72" s="90">
        <f>SUM(Q2:Q71)</f>
        <v/>
      </c>
      <c r="R72" s="90">
        <f>SUM(R2:R71)</f>
        <v/>
      </c>
      <c r="S72" s="90">
        <f>SUM(S2:S71)</f>
        <v/>
      </c>
      <c r="T72" s="90">
        <f>SUM(T2:T71)</f>
        <v/>
      </c>
      <c r="U72" s="90">
        <f>SUM(U2:U71)</f>
        <v/>
      </c>
      <c r="V72" s="90">
        <f>SUM(V2:V71)</f>
        <v/>
      </c>
      <c r="W72" s="90">
        <f>SUM(W2:W71)</f>
        <v/>
      </c>
      <c r="X72" s="90">
        <f>SUM(X2:X71)</f>
        <v/>
      </c>
      <c r="Y72" s="90">
        <f>SUM(Y2:Y71)</f>
        <v/>
      </c>
      <c r="Z72" s="90">
        <f>SUM(Z2:Z71)</f>
        <v/>
      </c>
      <c r="AA72" s="90">
        <f>SUM(AA2:AA71)</f>
        <v/>
      </c>
    </row>
  </sheetData>
  <autoFilter ref="A1:AA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8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24.67" customWidth="1" style="83" min="1" max="1"/>
    <col width="16.11" customWidth="1" style="77" min="2" max="2"/>
    <col width="21.88" customWidth="1" style="77" min="3" max="3"/>
    <col width="34" customWidth="1" style="59" min="4" max="4"/>
    <col width="16" customWidth="1" style="59" min="5" max="5"/>
    <col width="14.67" customWidth="1" style="77" min="6" max="6"/>
  </cols>
  <sheetData>
    <row r="1" ht="12.75" customHeight="1" s="60">
      <c r="A1" s="96" t="inlineStr">
        <is>
          <t>TOTAL GERAL PERÍODO</t>
        </is>
      </c>
      <c r="B1" s="97">
        <f>SUMIFS(Report!$U:$U,Report!$T:$T,"&lt;&gt;"&amp;"MERCADORIAS P/REVENDA",Report!$AA:$AA,"SIM",Report!$C:$C,"&gt;="&amp;DATE(2026,1,1),Report!$C:$C,"&lt;="&amp;DATE(2027,12,31))</f>
        <v/>
      </c>
      <c r="C1" s="97">
        <f>SUMIFS(Report!$U:$U,Report!$T:$T,"MERCADORIAS P/REVENDA",Report!$AA:$AA,"SIM",Report!$C:$C,"&gt;="&amp;DATE(2026,1,1),Report!$C:$C,"&lt;="&amp;DATE(2027,12,31))</f>
        <v/>
      </c>
      <c r="D1" s="98" t="inlineStr">
        <is>
          <t>Excluido do fluxo (Resumo Grupos!AE):</t>
        </is>
      </c>
      <c r="E1" s="97">
        <f>SUMIFS(Report!$U:$U,Report!$AA:$AA,"NAO",Report!$C:$C,"&gt;="&amp;DATE(2026,1,1),Report!$C:$C,"&lt;="&amp;DATE(2027,12,31))</f>
        <v/>
      </c>
      <c r="F1" s="97">
        <f>B1+C1</f>
        <v/>
      </c>
      <c r="H1" s="59" t="n"/>
      <c r="I1" s="77" t="n"/>
    </row>
    <row r="2" ht="12.75" customHeight="1" s="60">
      <c r="A2" s="84" t="inlineStr">
        <is>
          <t>Data</t>
        </is>
      </c>
      <c r="B2" s="86" t="inlineStr">
        <is>
          <t>Outras Despesas</t>
        </is>
      </c>
      <c r="C2" s="86" t="inlineStr">
        <is>
          <t>Mercadorias P/Revenda</t>
        </is>
      </c>
      <c r="D2" s="98" t="inlineStr">
        <is>
          <t>TOTAL GERAL (fluxo + excluido):</t>
        </is>
      </c>
      <c r="E2" s="97">
        <f>F1+E1</f>
        <v/>
      </c>
      <c r="F2" s="86" t="inlineStr">
        <is>
          <t>Total Dia</t>
        </is>
      </c>
      <c r="H2" s="59" t="n"/>
      <c r="I2" s="77" t="n"/>
    </row>
    <row r="3" ht="12.75" customHeight="1" s="60">
      <c r="A3" s="75" t="n">
        <v>46023</v>
      </c>
      <c r="B3" s="77">
        <f>SUMIFS(Report!$U:$U,Report!$T:$T,"&lt;&gt;"&amp;"MERCADORIAS P/REVENDA",Report!$AA:$AA,"SIM",Report!$C:$C,A3)</f>
        <v/>
      </c>
      <c r="C3" s="77">
        <f>SUMIFS(Report!$U:$U,Report!$T:$T,"MERCADORIAS P/REVENDA",Report!$AA:$AA,"SIM",Report!$C:$C,A3)</f>
        <v/>
      </c>
      <c r="F3" s="77">
        <f>B3+C3</f>
        <v/>
      </c>
    </row>
    <row r="4" ht="12.75" customHeight="1" s="60">
      <c r="A4" s="75" t="n">
        <v>46024</v>
      </c>
      <c r="B4" s="77">
        <f>SUMIFS(Report!$U:$U,Report!$T:$T,"&lt;&gt;"&amp;"MERCADORIAS P/REVENDA",Report!$AA:$AA,"SIM",Report!$C:$C,A4)</f>
        <v/>
      </c>
      <c r="C4" s="77">
        <f>SUMIFS(Report!$U:$U,Report!$T:$T,"MERCADORIAS P/REVENDA",Report!$AA:$AA,"SIM",Report!$C:$C,A4)</f>
        <v/>
      </c>
      <c r="F4" s="77">
        <f>B4+C4</f>
        <v/>
      </c>
    </row>
    <row r="5" ht="12.75" customHeight="1" s="60">
      <c r="A5" s="99" t="n">
        <v>46025</v>
      </c>
      <c r="B5" s="100">
        <f>SUMIFS(Report!$U:$U,Report!$T:$T,"&lt;&gt;"&amp;"MERCADORIAS P/REVENDA",Report!$AA:$AA,"SIM",Report!$C:$C,A5)</f>
        <v/>
      </c>
      <c r="C5" s="100">
        <f>SUMIFS(Report!$U:$U,Report!$T:$T,"MERCADORIAS P/REVENDA",Report!$AA:$AA,"SIM",Report!$C:$C,A5)</f>
        <v/>
      </c>
      <c r="D5" s="101" t="n"/>
      <c r="E5" s="101" t="n"/>
      <c r="F5" s="100">
        <f>B5+C5</f>
        <v/>
      </c>
    </row>
    <row r="6" ht="12.75" customHeight="1" s="60">
      <c r="A6" s="99" t="n">
        <v>46026</v>
      </c>
      <c r="B6" s="100">
        <f>SUMIFS(Report!$U:$U,Report!$T:$T,"&lt;&gt;"&amp;"MERCADORIAS P/REVENDA",Report!$AA:$AA,"SIM",Report!$C:$C,A6)</f>
        <v/>
      </c>
      <c r="C6" s="100">
        <f>SUMIFS(Report!$U:$U,Report!$T:$T,"MERCADORIAS P/REVENDA",Report!$AA:$AA,"SIM",Report!$C:$C,A6)</f>
        <v/>
      </c>
      <c r="D6" s="101" t="n"/>
      <c r="E6" s="101" t="n"/>
      <c r="F6" s="100">
        <f>B6+C6</f>
        <v/>
      </c>
    </row>
    <row r="7" ht="12.75" customHeight="1" s="60">
      <c r="A7" s="99" t="n">
        <v>46027</v>
      </c>
      <c r="B7" s="100">
        <f>SUMIFS(Report!$U:$U,Report!$T:$T,"&lt;&gt;"&amp;"MERCADORIAS P/REVENDA",Report!$AA:$AA,"SIM",Report!$C:$C,A7)</f>
        <v/>
      </c>
      <c r="C7" s="100">
        <f>SUMIFS(Report!$U:$U,Report!$T:$T,"MERCADORIAS P/REVENDA",Report!$AA:$AA,"SIM",Report!$C:$C,A7)</f>
        <v/>
      </c>
      <c r="D7" s="101" t="n"/>
      <c r="E7" s="101" t="n"/>
      <c r="F7" s="100">
        <f>B7+C7</f>
        <v/>
      </c>
    </row>
    <row r="8" ht="12.75" customHeight="1" s="60">
      <c r="A8" s="102">
        <f>"Subtotal Semana "&amp;TEXT(A3,"dd/mm/yyyy")&amp;" a "&amp;TEXT(A7,"dd/mm/yyyy")</f>
        <v/>
      </c>
      <c r="B8" s="90">
        <f>SUM(B3:B7)</f>
        <v/>
      </c>
      <c r="C8" s="90">
        <f>SUM(C3:C7)</f>
        <v/>
      </c>
      <c r="D8" s="94" t="n"/>
      <c r="E8" s="94" t="n"/>
      <c r="F8" s="90">
        <f>B8+C8</f>
        <v/>
      </c>
    </row>
    <row r="9" ht="12.75" customHeight="1" s="60">
      <c r="A9" s="75" t="n">
        <v>46028</v>
      </c>
      <c r="B9" s="77">
        <f>SUMIFS(Report!$U:$U,Report!$T:$T,"&lt;&gt;"&amp;"MERCADORIAS P/REVENDA",Report!$AA:$AA,"SIM",Report!$C:$C,A9)</f>
        <v/>
      </c>
      <c r="C9" s="77">
        <f>SUMIFS(Report!$U:$U,Report!$T:$T,"MERCADORIAS P/REVENDA",Report!$AA:$AA,"SIM",Report!$C:$C,A9)</f>
        <v/>
      </c>
      <c r="F9" s="77">
        <f>B9+C9</f>
        <v/>
      </c>
    </row>
    <row r="10" ht="12.75" customHeight="1" s="60">
      <c r="A10" s="75" t="n">
        <v>46029</v>
      </c>
      <c r="B10" s="77">
        <f>SUMIFS(Report!$U:$U,Report!$T:$T,"&lt;&gt;"&amp;"MERCADORIAS P/REVENDA",Report!$AA:$AA,"SIM",Report!$C:$C,A10)</f>
        <v/>
      </c>
      <c r="C10" s="77">
        <f>SUMIFS(Report!$U:$U,Report!$T:$T,"MERCADORIAS P/REVENDA",Report!$AA:$AA,"SIM",Report!$C:$C,A10)</f>
        <v/>
      </c>
      <c r="F10" s="77">
        <f>B10+C10</f>
        <v/>
      </c>
    </row>
    <row r="11" ht="12.75" customHeight="1" s="60">
      <c r="A11" s="75" t="n">
        <v>46030</v>
      </c>
      <c r="B11" s="77">
        <f>SUMIFS(Report!$U:$U,Report!$T:$T,"&lt;&gt;"&amp;"MERCADORIAS P/REVENDA",Report!$AA:$AA,"SIM",Report!$C:$C,A11)</f>
        <v/>
      </c>
      <c r="C11" s="77">
        <f>SUMIFS(Report!$U:$U,Report!$T:$T,"MERCADORIAS P/REVENDA",Report!$AA:$AA,"SIM",Report!$C:$C,A11)</f>
        <v/>
      </c>
      <c r="F11" s="77">
        <f>B11+C11</f>
        <v/>
      </c>
    </row>
    <row r="12" ht="12.75" customHeight="1" s="60">
      <c r="A12" s="75" t="n">
        <v>46031</v>
      </c>
      <c r="B12" s="77">
        <f>SUMIFS(Report!$U:$U,Report!$T:$T,"&lt;&gt;"&amp;"MERCADORIAS P/REVENDA",Report!$AA:$AA,"SIM",Report!$C:$C,A12)</f>
        <v/>
      </c>
      <c r="C12" s="77">
        <f>SUMIFS(Report!$U:$U,Report!$T:$T,"MERCADORIAS P/REVENDA",Report!$AA:$AA,"SIM",Report!$C:$C,A12)</f>
        <v/>
      </c>
      <c r="F12" s="77">
        <f>B12+C12</f>
        <v/>
      </c>
    </row>
    <row r="13" ht="12.75" customHeight="1" s="60">
      <c r="A13" s="99" t="n">
        <v>46032</v>
      </c>
      <c r="B13" s="100">
        <f>SUMIFS(Report!$U:$U,Report!$T:$T,"&lt;&gt;"&amp;"MERCADORIAS P/REVENDA",Report!$AA:$AA,"SIM",Report!$C:$C,A13)</f>
        <v/>
      </c>
      <c r="C13" s="100">
        <f>SUMIFS(Report!$U:$U,Report!$T:$T,"MERCADORIAS P/REVENDA",Report!$AA:$AA,"SIM",Report!$C:$C,A13)</f>
        <v/>
      </c>
      <c r="D13" s="101" t="n"/>
      <c r="E13" s="101" t="n"/>
      <c r="F13" s="100">
        <f>B13+C13</f>
        <v/>
      </c>
    </row>
    <row r="14" ht="12.75" customHeight="1" s="60">
      <c r="A14" s="99" t="n">
        <v>46033</v>
      </c>
      <c r="B14" s="100">
        <f>SUMIFS(Report!$U:$U,Report!$T:$T,"&lt;&gt;"&amp;"MERCADORIAS P/REVENDA",Report!$AA:$AA,"SIM",Report!$C:$C,A14)</f>
        <v/>
      </c>
      <c r="C14" s="100">
        <f>SUMIFS(Report!$U:$U,Report!$T:$T,"MERCADORIAS P/REVENDA",Report!$AA:$AA,"SIM",Report!$C:$C,A14)</f>
        <v/>
      </c>
      <c r="D14" s="101" t="n"/>
      <c r="E14" s="101" t="n"/>
      <c r="F14" s="100">
        <f>B14+C14</f>
        <v/>
      </c>
    </row>
    <row r="15" ht="12.75" customHeight="1" s="60">
      <c r="A15" s="99" t="n">
        <v>46034</v>
      </c>
      <c r="B15" s="100">
        <f>SUMIFS(Report!$U:$U,Report!$T:$T,"&lt;&gt;"&amp;"MERCADORIAS P/REVENDA",Report!$AA:$AA,"SIM",Report!$C:$C,A15)</f>
        <v/>
      </c>
      <c r="C15" s="100">
        <f>SUMIFS(Report!$U:$U,Report!$T:$T,"MERCADORIAS P/REVENDA",Report!$AA:$AA,"SIM",Report!$C:$C,A15)</f>
        <v/>
      </c>
      <c r="D15" s="101" t="n"/>
      <c r="E15" s="101" t="n"/>
      <c r="F15" s="100">
        <f>B15+C15</f>
        <v/>
      </c>
    </row>
    <row r="16" ht="12.75" customHeight="1" s="60">
      <c r="A16" s="102">
        <f>"Subtotal Semana "&amp;TEXT(A9,"dd/mm/yyyy")&amp;" a "&amp;TEXT(A15,"dd/mm/yyyy")</f>
        <v/>
      </c>
      <c r="B16" s="90">
        <f>SUM(B9:B15)</f>
        <v/>
      </c>
      <c r="C16" s="90">
        <f>SUM(C9:C15)</f>
        <v/>
      </c>
      <c r="D16" s="94" t="n"/>
      <c r="E16" s="94" t="n"/>
      <c r="F16" s="90">
        <f>B16+C16</f>
        <v/>
      </c>
    </row>
    <row r="17" ht="12.75" customHeight="1" s="60">
      <c r="A17" s="75" t="n">
        <v>46035</v>
      </c>
      <c r="B17" s="77">
        <f>SUMIFS(Report!$U:$U,Report!$T:$T,"&lt;&gt;"&amp;"MERCADORIAS P/REVENDA",Report!$AA:$AA,"SIM",Report!$C:$C,A17)</f>
        <v/>
      </c>
      <c r="C17" s="77">
        <f>SUMIFS(Report!$U:$U,Report!$T:$T,"MERCADORIAS P/REVENDA",Report!$AA:$AA,"SIM",Report!$C:$C,A17)</f>
        <v/>
      </c>
      <c r="F17" s="77">
        <f>B17+C17</f>
        <v/>
      </c>
    </row>
    <row r="18" ht="12.75" customHeight="1" s="60">
      <c r="A18" s="75" t="n">
        <v>46036</v>
      </c>
      <c r="B18" s="77">
        <f>SUMIFS(Report!$U:$U,Report!$T:$T,"&lt;&gt;"&amp;"MERCADORIAS P/REVENDA",Report!$AA:$AA,"SIM",Report!$C:$C,A18)</f>
        <v/>
      </c>
      <c r="C18" s="77">
        <f>SUMIFS(Report!$U:$U,Report!$T:$T,"MERCADORIAS P/REVENDA",Report!$AA:$AA,"SIM",Report!$C:$C,A18)</f>
        <v/>
      </c>
      <c r="F18" s="77">
        <f>B18+C18</f>
        <v/>
      </c>
    </row>
    <row r="19" ht="12.75" customHeight="1" s="60">
      <c r="A19" s="75" t="n">
        <v>46037</v>
      </c>
      <c r="B19" s="77">
        <f>SUMIFS(Report!$U:$U,Report!$T:$T,"&lt;&gt;"&amp;"MERCADORIAS P/REVENDA",Report!$AA:$AA,"SIM",Report!$C:$C,A19)</f>
        <v/>
      </c>
      <c r="C19" s="77">
        <f>SUMIFS(Report!$U:$U,Report!$T:$T,"MERCADORIAS P/REVENDA",Report!$AA:$AA,"SIM",Report!$C:$C,A19)</f>
        <v/>
      </c>
      <c r="F19" s="77">
        <f>B19+C19</f>
        <v/>
      </c>
    </row>
    <row r="20" ht="12.75" customHeight="1" s="60">
      <c r="A20" s="75" t="n">
        <v>46038</v>
      </c>
      <c r="B20" s="77">
        <f>SUMIFS(Report!$U:$U,Report!$T:$T,"&lt;&gt;"&amp;"MERCADORIAS P/REVENDA",Report!$AA:$AA,"SIM",Report!$C:$C,A20)</f>
        <v/>
      </c>
      <c r="C20" s="77">
        <f>SUMIFS(Report!$U:$U,Report!$T:$T,"MERCADORIAS P/REVENDA",Report!$AA:$AA,"SIM",Report!$C:$C,A20)</f>
        <v/>
      </c>
      <c r="F20" s="77">
        <f>B20+C20</f>
        <v/>
      </c>
    </row>
    <row r="21" ht="12.75" customHeight="1" s="60">
      <c r="A21" s="99" t="n">
        <v>46039</v>
      </c>
      <c r="B21" s="100">
        <f>SUMIFS(Report!$U:$U,Report!$T:$T,"&lt;&gt;"&amp;"MERCADORIAS P/REVENDA",Report!$AA:$AA,"SIM",Report!$C:$C,A21)</f>
        <v/>
      </c>
      <c r="C21" s="100">
        <f>SUMIFS(Report!$U:$U,Report!$T:$T,"MERCADORIAS P/REVENDA",Report!$AA:$AA,"SIM",Report!$C:$C,A21)</f>
        <v/>
      </c>
      <c r="D21" s="101" t="n"/>
      <c r="E21" s="101" t="n"/>
      <c r="F21" s="100">
        <f>B21+C21</f>
        <v/>
      </c>
    </row>
    <row r="22" ht="12.75" customHeight="1" s="60">
      <c r="A22" s="99" t="n">
        <v>46040</v>
      </c>
      <c r="B22" s="100">
        <f>SUMIFS(Report!$U:$U,Report!$T:$T,"&lt;&gt;"&amp;"MERCADORIAS P/REVENDA",Report!$AA:$AA,"SIM",Report!$C:$C,A22)</f>
        <v/>
      </c>
      <c r="C22" s="100">
        <f>SUMIFS(Report!$U:$U,Report!$T:$T,"MERCADORIAS P/REVENDA",Report!$AA:$AA,"SIM",Report!$C:$C,A22)</f>
        <v/>
      </c>
      <c r="D22" s="101" t="n"/>
      <c r="E22" s="101" t="n"/>
      <c r="F22" s="100">
        <f>B22+C22</f>
        <v/>
      </c>
    </row>
    <row r="23" ht="12.75" customHeight="1" s="60">
      <c r="A23" s="99" t="n">
        <v>46041</v>
      </c>
      <c r="B23" s="100">
        <f>SUMIFS(Report!$U:$U,Report!$T:$T,"&lt;&gt;"&amp;"MERCADORIAS P/REVENDA",Report!$AA:$AA,"SIM",Report!$C:$C,A23)</f>
        <v/>
      </c>
      <c r="C23" s="100">
        <f>SUMIFS(Report!$U:$U,Report!$T:$T,"MERCADORIAS P/REVENDA",Report!$AA:$AA,"SIM",Report!$C:$C,A23)</f>
        <v/>
      </c>
      <c r="D23" s="101" t="n"/>
      <c r="E23" s="101" t="n"/>
      <c r="F23" s="100">
        <f>B23+C23</f>
        <v/>
      </c>
    </row>
    <row r="24" ht="12.75" customHeight="1" s="60">
      <c r="A24" s="102">
        <f>"Subtotal Semana "&amp;TEXT(A17,"dd/mm/yyyy")&amp;" a "&amp;TEXT(A23,"dd/mm/yyyy")</f>
        <v/>
      </c>
      <c r="B24" s="90">
        <f>SUM(B17:B23)</f>
        <v/>
      </c>
      <c r="C24" s="90">
        <f>SUM(C17:C23)</f>
        <v/>
      </c>
      <c r="D24" s="94" t="n"/>
      <c r="E24" s="94" t="n"/>
      <c r="F24" s="90">
        <f>B24+C24</f>
        <v/>
      </c>
    </row>
    <row r="25" ht="12.75" customHeight="1" s="60">
      <c r="A25" s="75" t="n">
        <v>46042</v>
      </c>
      <c r="B25" s="77">
        <f>SUMIFS(Report!$U:$U,Report!$T:$T,"&lt;&gt;"&amp;"MERCADORIAS P/REVENDA",Report!$AA:$AA,"SIM",Report!$C:$C,A25)</f>
        <v/>
      </c>
      <c r="C25" s="77">
        <f>SUMIFS(Report!$U:$U,Report!$T:$T,"MERCADORIAS P/REVENDA",Report!$AA:$AA,"SIM",Report!$C:$C,A25)</f>
        <v/>
      </c>
      <c r="F25" s="77">
        <f>B25+C25</f>
        <v/>
      </c>
    </row>
    <row r="26" ht="12.75" customHeight="1" s="60">
      <c r="A26" s="75" t="n">
        <v>46043</v>
      </c>
      <c r="B26" s="77">
        <f>SUMIFS(Report!$U:$U,Report!$T:$T,"&lt;&gt;"&amp;"MERCADORIAS P/REVENDA",Report!$AA:$AA,"SIM",Report!$C:$C,A26)</f>
        <v/>
      </c>
      <c r="C26" s="77">
        <f>SUMIFS(Report!$U:$U,Report!$T:$T,"MERCADORIAS P/REVENDA",Report!$AA:$AA,"SIM",Report!$C:$C,A26)</f>
        <v/>
      </c>
      <c r="F26" s="77">
        <f>B26+C26</f>
        <v/>
      </c>
    </row>
    <row r="27" ht="12.75" customHeight="1" s="60">
      <c r="A27" s="75" t="n">
        <v>46044</v>
      </c>
      <c r="B27" s="77">
        <f>SUMIFS(Report!$U:$U,Report!$T:$T,"&lt;&gt;"&amp;"MERCADORIAS P/REVENDA",Report!$AA:$AA,"SIM",Report!$C:$C,A27)</f>
        <v/>
      </c>
      <c r="C27" s="77">
        <f>SUMIFS(Report!$U:$U,Report!$T:$T,"MERCADORIAS P/REVENDA",Report!$AA:$AA,"SIM",Report!$C:$C,A27)</f>
        <v/>
      </c>
      <c r="F27" s="77">
        <f>B27+C27</f>
        <v/>
      </c>
    </row>
    <row r="28" ht="12.75" customHeight="1" s="60">
      <c r="A28" s="75" t="n">
        <v>46045</v>
      </c>
      <c r="B28" s="77">
        <f>SUMIFS(Report!$U:$U,Report!$T:$T,"&lt;&gt;"&amp;"MERCADORIAS P/REVENDA",Report!$AA:$AA,"SIM",Report!$C:$C,A28)</f>
        <v/>
      </c>
      <c r="C28" s="77">
        <f>SUMIFS(Report!$U:$U,Report!$T:$T,"MERCADORIAS P/REVENDA",Report!$AA:$AA,"SIM",Report!$C:$C,A28)</f>
        <v/>
      </c>
      <c r="F28" s="77">
        <f>B28+C28</f>
        <v/>
      </c>
    </row>
    <row r="29" ht="12.75" customHeight="1" s="60">
      <c r="A29" s="99" t="n">
        <v>46046</v>
      </c>
      <c r="B29" s="100">
        <f>SUMIFS(Report!$U:$U,Report!$T:$T,"&lt;&gt;"&amp;"MERCADORIAS P/REVENDA",Report!$AA:$AA,"SIM",Report!$C:$C,A29)</f>
        <v/>
      </c>
      <c r="C29" s="100">
        <f>SUMIFS(Report!$U:$U,Report!$T:$T,"MERCADORIAS P/REVENDA",Report!$AA:$AA,"SIM",Report!$C:$C,A29)</f>
        <v/>
      </c>
      <c r="D29" s="101" t="n"/>
      <c r="E29" s="101" t="n"/>
      <c r="F29" s="100">
        <f>B29+C29</f>
        <v/>
      </c>
    </row>
    <row r="30" ht="12.75" customHeight="1" s="60">
      <c r="A30" s="99" t="n">
        <v>46047</v>
      </c>
      <c r="B30" s="100">
        <f>SUMIFS(Report!$U:$U,Report!$T:$T,"&lt;&gt;"&amp;"MERCADORIAS P/REVENDA",Report!$AA:$AA,"SIM",Report!$C:$C,A30)</f>
        <v/>
      </c>
      <c r="C30" s="100">
        <f>SUMIFS(Report!$U:$U,Report!$T:$T,"MERCADORIAS P/REVENDA",Report!$AA:$AA,"SIM",Report!$C:$C,A30)</f>
        <v/>
      </c>
      <c r="D30" s="101" t="n"/>
      <c r="E30" s="101" t="n"/>
      <c r="F30" s="100">
        <f>B30+C30</f>
        <v/>
      </c>
    </row>
    <row r="31" ht="12.75" customHeight="1" s="60">
      <c r="A31" s="99" t="n">
        <v>46048</v>
      </c>
      <c r="B31" s="100">
        <f>SUMIFS(Report!$U:$U,Report!$T:$T,"&lt;&gt;"&amp;"MERCADORIAS P/REVENDA",Report!$AA:$AA,"SIM",Report!$C:$C,A31)</f>
        <v/>
      </c>
      <c r="C31" s="100">
        <f>SUMIFS(Report!$U:$U,Report!$T:$T,"MERCADORIAS P/REVENDA",Report!$AA:$AA,"SIM",Report!$C:$C,A31)</f>
        <v/>
      </c>
      <c r="D31" s="101" t="n"/>
      <c r="E31" s="101" t="n"/>
      <c r="F31" s="100">
        <f>B31+C31</f>
        <v/>
      </c>
    </row>
    <row r="32" ht="12.75" customHeight="1" s="60">
      <c r="A32" s="102">
        <f>"Subtotal Semana "&amp;TEXT(A25,"dd/mm/yyyy")&amp;" a "&amp;TEXT(A31,"dd/mm/yyyy")</f>
        <v/>
      </c>
      <c r="B32" s="90">
        <f>SUM(B25:B31)</f>
        <v/>
      </c>
      <c r="C32" s="90">
        <f>SUM(C25:C31)</f>
        <v/>
      </c>
      <c r="D32" s="94" t="n"/>
      <c r="E32" s="94" t="n"/>
      <c r="F32" s="90">
        <f>B32+C32</f>
        <v/>
      </c>
    </row>
    <row r="33" ht="12.75" customHeight="1" s="60">
      <c r="A33" s="75" t="n">
        <v>46049</v>
      </c>
      <c r="B33" s="77">
        <f>SUMIFS(Report!$U:$U,Report!$T:$T,"&lt;&gt;"&amp;"MERCADORIAS P/REVENDA",Report!$AA:$AA,"SIM",Report!$C:$C,A33)</f>
        <v/>
      </c>
      <c r="C33" s="77">
        <f>SUMIFS(Report!$U:$U,Report!$T:$T,"MERCADORIAS P/REVENDA",Report!$AA:$AA,"SIM",Report!$C:$C,A33)</f>
        <v/>
      </c>
      <c r="F33" s="77">
        <f>B33+C33</f>
        <v/>
      </c>
    </row>
    <row r="34" ht="12.75" customHeight="1" s="60">
      <c r="A34" s="75" t="n">
        <v>46050</v>
      </c>
      <c r="B34" s="77">
        <f>SUMIFS(Report!$U:$U,Report!$T:$T,"&lt;&gt;"&amp;"MERCADORIAS P/REVENDA",Report!$AA:$AA,"SIM",Report!$C:$C,A34)</f>
        <v/>
      </c>
      <c r="C34" s="77">
        <f>SUMIFS(Report!$U:$U,Report!$T:$T,"MERCADORIAS P/REVENDA",Report!$AA:$AA,"SIM",Report!$C:$C,A34)</f>
        <v/>
      </c>
      <c r="F34" s="77">
        <f>B34+C34</f>
        <v/>
      </c>
    </row>
    <row r="35" ht="12.75" customHeight="1" s="60">
      <c r="A35" s="75" t="n">
        <v>46051</v>
      </c>
      <c r="B35" s="77">
        <f>SUMIFS(Report!$U:$U,Report!$T:$T,"&lt;&gt;"&amp;"MERCADORIAS P/REVENDA",Report!$AA:$AA,"SIM",Report!$C:$C,A35)</f>
        <v/>
      </c>
      <c r="C35" s="77">
        <f>SUMIFS(Report!$U:$U,Report!$T:$T,"MERCADORIAS P/REVENDA",Report!$AA:$AA,"SIM",Report!$C:$C,A35)</f>
        <v/>
      </c>
      <c r="F35" s="77">
        <f>B35+C35</f>
        <v/>
      </c>
    </row>
    <row r="36" ht="12.75" customHeight="1" s="60">
      <c r="A36" s="75" t="n">
        <v>46052</v>
      </c>
      <c r="B36" s="77">
        <f>SUMIFS(Report!$U:$U,Report!$T:$T,"&lt;&gt;"&amp;"MERCADORIAS P/REVENDA",Report!$AA:$AA,"SIM",Report!$C:$C,A36)</f>
        <v/>
      </c>
      <c r="C36" s="77">
        <f>SUMIFS(Report!$U:$U,Report!$T:$T,"MERCADORIAS P/REVENDA",Report!$AA:$AA,"SIM",Report!$C:$C,A36)</f>
        <v/>
      </c>
      <c r="F36" s="77">
        <f>B36+C36</f>
        <v/>
      </c>
    </row>
    <row r="37" ht="12.75" customHeight="1" s="60">
      <c r="A37" s="99" t="n">
        <v>46053</v>
      </c>
      <c r="B37" s="100">
        <f>SUMIFS(Report!$U:$U,Report!$T:$T,"&lt;&gt;"&amp;"MERCADORIAS P/REVENDA",Report!$AA:$AA,"SIM",Report!$C:$C,A37)</f>
        <v/>
      </c>
      <c r="C37" s="100">
        <f>SUMIFS(Report!$U:$U,Report!$T:$T,"MERCADORIAS P/REVENDA",Report!$AA:$AA,"SIM",Report!$C:$C,A37)</f>
        <v/>
      </c>
      <c r="D37" s="101" t="n"/>
      <c r="E37" s="101" t="n"/>
      <c r="F37" s="100">
        <f>B37+C37</f>
        <v/>
      </c>
    </row>
    <row r="38" ht="12.75" customHeight="1" s="60">
      <c r="A38" s="99" t="n">
        <v>46054</v>
      </c>
      <c r="B38" s="100">
        <f>SUMIFS(Report!$U:$U,Report!$T:$T,"&lt;&gt;"&amp;"MERCADORIAS P/REVENDA",Report!$AA:$AA,"SIM",Report!$C:$C,A38)</f>
        <v/>
      </c>
      <c r="C38" s="100">
        <f>SUMIFS(Report!$U:$U,Report!$T:$T,"MERCADORIAS P/REVENDA",Report!$AA:$AA,"SIM",Report!$C:$C,A38)</f>
        <v/>
      </c>
      <c r="D38" s="101" t="n"/>
      <c r="E38" s="101" t="n"/>
      <c r="F38" s="100">
        <f>B38+C38</f>
        <v/>
      </c>
    </row>
    <row r="39" ht="12.75" customHeight="1" s="60">
      <c r="A39" s="99" t="n">
        <v>46055</v>
      </c>
      <c r="B39" s="100">
        <f>SUMIFS(Report!$U:$U,Report!$T:$T,"&lt;&gt;"&amp;"MERCADORIAS P/REVENDA",Report!$AA:$AA,"SIM",Report!$C:$C,A39)</f>
        <v/>
      </c>
      <c r="C39" s="100">
        <f>SUMIFS(Report!$U:$U,Report!$T:$T,"MERCADORIAS P/REVENDA",Report!$AA:$AA,"SIM",Report!$C:$C,A39)</f>
        <v/>
      </c>
      <c r="D39" s="101" t="n"/>
      <c r="E39" s="101" t="n"/>
      <c r="F39" s="100">
        <f>B39+C39</f>
        <v/>
      </c>
    </row>
    <row r="40" ht="12.75" customHeight="1" s="60">
      <c r="A40" s="102">
        <f>"Subtotal Semana "&amp;TEXT(A33,"dd/mm/yyyy")&amp;" a "&amp;TEXT(A39,"dd/mm/yyyy")</f>
        <v/>
      </c>
      <c r="B40" s="90">
        <f>SUM(B33:B39)</f>
        <v/>
      </c>
      <c r="C40" s="90">
        <f>SUM(C33:C39)</f>
        <v/>
      </c>
      <c r="D40" s="94" t="n"/>
      <c r="E40" s="94" t="n"/>
      <c r="F40" s="90">
        <f>B40+C40</f>
        <v/>
      </c>
    </row>
    <row r="41" ht="12.75" customHeight="1" s="60">
      <c r="A41" s="75" t="n">
        <v>46056</v>
      </c>
      <c r="B41" s="77">
        <f>SUMIFS(Report!$U:$U,Report!$T:$T,"&lt;&gt;"&amp;"MERCADORIAS P/REVENDA",Report!$AA:$AA,"SIM",Report!$C:$C,A41)</f>
        <v/>
      </c>
      <c r="C41" s="77">
        <f>SUMIFS(Report!$U:$U,Report!$T:$T,"MERCADORIAS P/REVENDA",Report!$AA:$AA,"SIM",Report!$C:$C,A41)</f>
        <v/>
      </c>
      <c r="F41" s="77">
        <f>B41+C41</f>
        <v/>
      </c>
    </row>
    <row r="42" ht="12.75" customHeight="1" s="60">
      <c r="A42" s="75" t="n">
        <v>46057</v>
      </c>
      <c r="B42" s="77">
        <f>SUMIFS(Report!$U:$U,Report!$T:$T,"&lt;&gt;"&amp;"MERCADORIAS P/REVENDA",Report!$AA:$AA,"SIM",Report!$C:$C,A42)</f>
        <v/>
      </c>
      <c r="C42" s="77">
        <f>SUMIFS(Report!$U:$U,Report!$T:$T,"MERCADORIAS P/REVENDA",Report!$AA:$AA,"SIM",Report!$C:$C,A42)</f>
        <v/>
      </c>
      <c r="F42" s="77">
        <f>B42+C42</f>
        <v/>
      </c>
    </row>
    <row r="43" ht="12.75" customHeight="1" s="60">
      <c r="A43" s="75" t="n">
        <v>46058</v>
      </c>
      <c r="B43" s="77">
        <f>SUMIFS(Report!$U:$U,Report!$T:$T,"&lt;&gt;"&amp;"MERCADORIAS P/REVENDA",Report!$AA:$AA,"SIM",Report!$C:$C,A43)</f>
        <v/>
      </c>
      <c r="C43" s="77">
        <f>SUMIFS(Report!$U:$U,Report!$T:$T,"MERCADORIAS P/REVENDA",Report!$AA:$AA,"SIM",Report!$C:$C,A43)</f>
        <v/>
      </c>
      <c r="F43" s="77">
        <f>B43+C43</f>
        <v/>
      </c>
    </row>
    <row r="44" ht="12.75" customHeight="1" s="60">
      <c r="A44" s="75" t="n">
        <v>46059</v>
      </c>
      <c r="B44" s="77">
        <f>SUMIFS(Report!$U:$U,Report!$T:$T,"&lt;&gt;"&amp;"MERCADORIAS P/REVENDA",Report!$AA:$AA,"SIM",Report!$C:$C,A44)</f>
        <v/>
      </c>
      <c r="C44" s="77">
        <f>SUMIFS(Report!$U:$U,Report!$T:$T,"MERCADORIAS P/REVENDA",Report!$AA:$AA,"SIM",Report!$C:$C,A44)</f>
        <v/>
      </c>
      <c r="F44" s="77">
        <f>B44+C44</f>
        <v/>
      </c>
    </row>
    <row r="45" ht="12.75" customHeight="1" s="60">
      <c r="A45" s="99" t="n">
        <v>46060</v>
      </c>
      <c r="B45" s="100">
        <f>SUMIFS(Report!$U:$U,Report!$T:$T,"&lt;&gt;"&amp;"MERCADORIAS P/REVENDA",Report!$AA:$AA,"SIM",Report!$C:$C,A45)</f>
        <v/>
      </c>
      <c r="C45" s="100">
        <f>SUMIFS(Report!$U:$U,Report!$T:$T,"MERCADORIAS P/REVENDA",Report!$AA:$AA,"SIM",Report!$C:$C,A45)</f>
        <v/>
      </c>
      <c r="D45" s="101" t="n"/>
      <c r="E45" s="101" t="n"/>
      <c r="F45" s="100">
        <f>B45+C45</f>
        <v/>
      </c>
    </row>
    <row r="46" ht="12.75" customHeight="1" s="60">
      <c r="A46" s="99" t="n">
        <v>46061</v>
      </c>
      <c r="B46" s="100">
        <f>SUMIFS(Report!$U:$U,Report!$T:$T,"&lt;&gt;"&amp;"MERCADORIAS P/REVENDA",Report!$AA:$AA,"SIM",Report!$C:$C,A46)</f>
        <v/>
      </c>
      <c r="C46" s="100">
        <f>SUMIFS(Report!$U:$U,Report!$T:$T,"MERCADORIAS P/REVENDA",Report!$AA:$AA,"SIM",Report!$C:$C,A46)</f>
        <v/>
      </c>
      <c r="D46" s="101" t="n"/>
      <c r="E46" s="101" t="n"/>
      <c r="F46" s="100">
        <f>B46+C46</f>
        <v/>
      </c>
    </row>
    <row r="47" ht="12.75" customHeight="1" s="60">
      <c r="A47" s="99" t="n">
        <v>46062</v>
      </c>
      <c r="B47" s="100">
        <f>SUMIFS(Report!$U:$U,Report!$T:$T,"&lt;&gt;"&amp;"MERCADORIAS P/REVENDA",Report!$AA:$AA,"SIM",Report!$C:$C,A47)</f>
        <v/>
      </c>
      <c r="C47" s="100">
        <f>SUMIFS(Report!$U:$U,Report!$T:$T,"MERCADORIAS P/REVENDA",Report!$AA:$AA,"SIM",Report!$C:$C,A47)</f>
        <v/>
      </c>
      <c r="D47" s="101" t="n"/>
      <c r="E47" s="101" t="n"/>
      <c r="F47" s="100">
        <f>B47+C47</f>
        <v/>
      </c>
    </row>
    <row r="48" ht="12.75" customHeight="1" s="60">
      <c r="A48" s="102">
        <f>"Subtotal Semana "&amp;TEXT(A41,"dd/mm/yyyy")&amp;" a "&amp;TEXT(A47,"dd/mm/yyyy")</f>
        <v/>
      </c>
      <c r="B48" s="90">
        <f>SUM(B41:B47)</f>
        <v/>
      </c>
      <c r="C48" s="90">
        <f>SUM(C41:C47)</f>
        <v/>
      </c>
      <c r="D48" s="94" t="n"/>
      <c r="E48" s="94" t="n"/>
      <c r="F48" s="90">
        <f>B48+C48</f>
        <v/>
      </c>
    </row>
    <row r="49" ht="12.75" customHeight="1" s="60">
      <c r="A49" s="75" t="n">
        <v>46063</v>
      </c>
      <c r="B49" s="77">
        <f>SUMIFS(Report!$U:$U,Report!$T:$T,"&lt;&gt;"&amp;"MERCADORIAS P/REVENDA",Report!$AA:$AA,"SIM",Report!$C:$C,A49)</f>
        <v/>
      </c>
      <c r="C49" s="77">
        <f>SUMIFS(Report!$U:$U,Report!$T:$T,"MERCADORIAS P/REVENDA",Report!$AA:$AA,"SIM",Report!$C:$C,A49)</f>
        <v/>
      </c>
      <c r="F49" s="77">
        <f>B49+C49</f>
        <v/>
      </c>
    </row>
    <row r="50" ht="12.75" customHeight="1" s="60">
      <c r="A50" s="75" t="n">
        <v>46064</v>
      </c>
      <c r="B50" s="77">
        <f>SUMIFS(Report!$U:$U,Report!$T:$T,"&lt;&gt;"&amp;"MERCADORIAS P/REVENDA",Report!$AA:$AA,"SIM",Report!$C:$C,A50)</f>
        <v/>
      </c>
      <c r="C50" s="77">
        <f>SUMIFS(Report!$U:$U,Report!$T:$T,"MERCADORIAS P/REVENDA",Report!$AA:$AA,"SIM",Report!$C:$C,A50)</f>
        <v/>
      </c>
      <c r="F50" s="77">
        <f>B50+C50</f>
        <v/>
      </c>
    </row>
    <row r="51" ht="12.75" customHeight="1" s="60">
      <c r="A51" s="75" t="n">
        <v>46065</v>
      </c>
      <c r="B51" s="77">
        <f>SUMIFS(Report!$U:$U,Report!$T:$T,"&lt;&gt;"&amp;"MERCADORIAS P/REVENDA",Report!$AA:$AA,"SIM",Report!$C:$C,A51)</f>
        <v/>
      </c>
      <c r="C51" s="77">
        <f>SUMIFS(Report!$U:$U,Report!$T:$T,"MERCADORIAS P/REVENDA",Report!$AA:$AA,"SIM",Report!$C:$C,A51)</f>
        <v/>
      </c>
      <c r="F51" s="77">
        <f>B51+C51</f>
        <v/>
      </c>
    </row>
    <row r="52" ht="12.75" customHeight="1" s="60">
      <c r="A52" s="75" t="n">
        <v>46066</v>
      </c>
      <c r="B52" s="77">
        <f>SUMIFS(Report!$U:$U,Report!$T:$T,"&lt;&gt;"&amp;"MERCADORIAS P/REVENDA",Report!$AA:$AA,"SIM",Report!$C:$C,A52)</f>
        <v/>
      </c>
      <c r="C52" s="77">
        <f>SUMIFS(Report!$U:$U,Report!$T:$T,"MERCADORIAS P/REVENDA",Report!$AA:$AA,"SIM",Report!$C:$C,A52)</f>
        <v/>
      </c>
      <c r="F52" s="77">
        <f>B52+C52</f>
        <v/>
      </c>
    </row>
    <row r="53" ht="12.75" customHeight="1" s="60">
      <c r="A53" s="99" t="n">
        <v>46067</v>
      </c>
      <c r="B53" s="100">
        <f>SUMIFS(Report!$U:$U,Report!$T:$T,"&lt;&gt;"&amp;"MERCADORIAS P/REVENDA",Report!$AA:$AA,"SIM",Report!$C:$C,A53)</f>
        <v/>
      </c>
      <c r="C53" s="100">
        <f>SUMIFS(Report!$U:$U,Report!$T:$T,"MERCADORIAS P/REVENDA",Report!$AA:$AA,"SIM",Report!$C:$C,A53)</f>
        <v/>
      </c>
      <c r="D53" s="101" t="n"/>
      <c r="E53" s="101" t="n"/>
      <c r="F53" s="100">
        <f>B53+C53</f>
        <v/>
      </c>
    </row>
    <row r="54" ht="12.75" customHeight="1" s="60">
      <c r="A54" s="99" t="n">
        <v>46068</v>
      </c>
      <c r="B54" s="100">
        <f>SUMIFS(Report!$U:$U,Report!$T:$T,"&lt;&gt;"&amp;"MERCADORIAS P/REVENDA",Report!$AA:$AA,"SIM",Report!$C:$C,A54)</f>
        <v/>
      </c>
      <c r="C54" s="100">
        <f>SUMIFS(Report!$U:$U,Report!$T:$T,"MERCADORIAS P/REVENDA",Report!$AA:$AA,"SIM",Report!$C:$C,A54)</f>
        <v/>
      </c>
      <c r="D54" s="101" t="n"/>
      <c r="E54" s="101" t="n"/>
      <c r="F54" s="100">
        <f>B54+C54</f>
        <v/>
      </c>
    </row>
    <row r="55" ht="12.75" customHeight="1" s="60">
      <c r="A55" s="99" t="n">
        <v>46069</v>
      </c>
      <c r="B55" s="100">
        <f>SUMIFS(Report!$U:$U,Report!$T:$T,"&lt;&gt;"&amp;"MERCADORIAS P/REVENDA",Report!$AA:$AA,"SIM",Report!$C:$C,A55)</f>
        <v/>
      </c>
      <c r="C55" s="100">
        <f>SUMIFS(Report!$U:$U,Report!$T:$T,"MERCADORIAS P/REVENDA",Report!$AA:$AA,"SIM",Report!$C:$C,A55)</f>
        <v/>
      </c>
      <c r="D55" s="101" t="n"/>
      <c r="E55" s="101" t="n"/>
      <c r="F55" s="100">
        <f>B55+C55</f>
        <v/>
      </c>
    </row>
    <row r="56" ht="12.75" customHeight="1" s="60">
      <c r="A56" s="102">
        <f>"Subtotal Semana "&amp;TEXT(A49,"dd/mm/yyyy")&amp;" a "&amp;TEXT(A55,"dd/mm/yyyy")</f>
        <v/>
      </c>
      <c r="B56" s="90">
        <f>SUM(B49:B55)</f>
        <v/>
      </c>
      <c r="C56" s="90">
        <f>SUM(C49:C55)</f>
        <v/>
      </c>
      <c r="D56" s="94" t="n"/>
      <c r="E56" s="94" t="n"/>
      <c r="F56" s="90">
        <f>B56+C56</f>
        <v/>
      </c>
    </row>
    <row r="57" ht="12.75" customHeight="1" s="60">
      <c r="A57" s="75" t="n">
        <v>46070</v>
      </c>
      <c r="B57" s="77">
        <f>SUMIFS(Report!$U:$U,Report!$T:$T,"&lt;&gt;"&amp;"MERCADORIAS P/REVENDA",Report!$AA:$AA,"SIM",Report!$C:$C,A57)</f>
        <v/>
      </c>
      <c r="C57" s="77">
        <f>SUMIFS(Report!$U:$U,Report!$T:$T,"MERCADORIAS P/REVENDA",Report!$AA:$AA,"SIM",Report!$C:$C,A57)</f>
        <v/>
      </c>
      <c r="F57" s="77">
        <f>B57+C57</f>
        <v/>
      </c>
    </row>
    <row r="58" ht="12.75" customHeight="1" s="60">
      <c r="A58" s="75" t="n">
        <v>46071</v>
      </c>
      <c r="B58" s="77">
        <f>SUMIFS(Report!$U:$U,Report!$T:$T,"&lt;&gt;"&amp;"MERCADORIAS P/REVENDA",Report!$AA:$AA,"SIM",Report!$C:$C,A58)</f>
        <v/>
      </c>
      <c r="C58" s="77">
        <f>SUMIFS(Report!$U:$U,Report!$T:$T,"MERCADORIAS P/REVENDA",Report!$AA:$AA,"SIM",Report!$C:$C,A58)</f>
        <v/>
      </c>
      <c r="F58" s="77">
        <f>B58+C58</f>
        <v/>
      </c>
    </row>
    <row r="59" ht="12.75" customHeight="1" s="60">
      <c r="A59" s="75" t="n">
        <v>46072</v>
      </c>
      <c r="B59" s="77">
        <f>SUMIFS(Report!$U:$U,Report!$T:$T,"&lt;&gt;"&amp;"MERCADORIAS P/REVENDA",Report!$AA:$AA,"SIM",Report!$C:$C,A59)</f>
        <v/>
      </c>
      <c r="C59" s="77">
        <f>SUMIFS(Report!$U:$U,Report!$T:$T,"MERCADORIAS P/REVENDA",Report!$AA:$AA,"SIM",Report!$C:$C,A59)</f>
        <v/>
      </c>
      <c r="F59" s="77">
        <f>B59+C59</f>
        <v/>
      </c>
    </row>
    <row r="60" ht="12.75" customHeight="1" s="60">
      <c r="A60" s="75" t="n">
        <v>46073</v>
      </c>
      <c r="B60" s="77">
        <f>SUMIFS(Report!$U:$U,Report!$T:$T,"&lt;&gt;"&amp;"MERCADORIAS P/REVENDA",Report!$AA:$AA,"SIM",Report!$C:$C,A60)</f>
        <v/>
      </c>
      <c r="C60" s="77">
        <f>SUMIFS(Report!$U:$U,Report!$T:$T,"MERCADORIAS P/REVENDA",Report!$AA:$AA,"SIM",Report!$C:$C,A60)</f>
        <v/>
      </c>
      <c r="F60" s="77">
        <f>B60+C60</f>
        <v/>
      </c>
    </row>
    <row r="61" ht="12.75" customHeight="1" s="60">
      <c r="A61" s="99" t="n">
        <v>46074</v>
      </c>
      <c r="B61" s="100">
        <f>SUMIFS(Report!$U:$U,Report!$T:$T,"&lt;&gt;"&amp;"MERCADORIAS P/REVENDA",Report!$AA:$AA,"SIM",Report!$C:$C,A61)</f>
        <v/>
      </c>
      <c r="C61" s="100">
        <f>SUMIFS(Report!$U:$U,Report!$T:$T,"MERCADORIAS P/REVENDA",Report!$AA:$AA,"SIM",Report!$C:$C,A61)</f>
        <v/>
      </c>
      <c r="D61" s="101" t="n"/>
      <c r="E61" s="101" t="n"/>
      <c r="F61" s="100">
        <f>B61+C61</f>
        <v/>
      </c>
    </row>
    <row r="62" ht="12.75" customHeight="1" s="60">
      <c r="A62" s="99" t="n">
        <v>46075</v>
      </c>
      <c r="B62" s="100">
        <f>SUMIFS(Report!$U:$U,Report!$T:$T,"&lt;&gt;"&amp;"MERCADORIAS P/REVENDA",Report!$AA:$AA,"SIM",Report!$C:$C,A62)</f>
        <v/>
      </c>
      <c r="C62" s="100">
        <f>SUMIFS(Report!$U:$U,Report!$T:$T,"MERCADORIAS P/REVENDA",Report!$AA:$AA,"SIM",Report!$C:$C,A62)</f>
        <v/>
      </c>
      <c r="D62" s="101" t="n"/>
      <c r="E62" s="101" t="n"/>
      <c r="F62" s="100">
        <f>B62+C62</f>
        <v/>
      </c>
    </row>
    <row r="63" ht="12.75" customHeight="1" s="60">
      <c r="A63" s="99" t="n">
        <v>46076</v>
      </c>
      <c r="B63" s="100">
        <f>SUMIFS(Report!$U:$U,Report!$T:$T,"&lt;&gt;"&amp;"MERCADORIAS P/REVENDA",Report!$AA:$AA,"SIM",Report!$C:$C,A63)</f>
        <v/>
      </c>
      <c r="C63" s="100">
        <f>SUMIFS(Report!$U:$U,Report!$T:$T,"MERCADORIAS P/REVENDA",Report!$AA:$AA,"SIM",Report!$C:$C,A63)</f>
        <v/>
      </c>
      <c r="D63" s="101" t="n"/>
      <c r="E63" s="101" t="n"/>
      <c r="F63" s="100">
        <f>B63+C63</f>
        <v/>
      </c>
    </row>
    <row r="64" ht="12.75" customHeight="1" s="60">
      <c r="A64" s="102">
        <f>"Subtotal Semana "&amp;TEXT(A57,"dd/mm/yyyy")&amp;" a "&amp;TEXT(A63,"dd/mm/yyyy")</f>
        <v/>
      </c>
      <c r="B64" s="90">
        <f>SUM(B57:B63)</f>
        <v/>
      </c>
      <c r="C64" s="90">
        <f>SUM(C57:C63)</f>
        <v/>
      </c>
      <c r="D64" s="94" t="n"/>
      <c r="E64" s="94" t="n"/>
      <c r="F64" s="90">
        <f>B64+C64</f>
        <v/>
      </c>
    </row>
    <row r="65" ht="12.75" customHeight="1" s="60">
      <c r="A65" s="75" t="n">
        <v>46077</v>
      </c>
      <c r="B65" s="77">
        <f>SUMIFS(Report!$U:$U,Report!$T:$T,"&lt;&gt;"&amp;"MERCADORIAS P/REVENDA",Report!$AA:$AA,"SIM",Report!$C:$C,A65)</f>
        <v/>
      </c>
      <c r="C65" s="77">
        <f>SUMIFS(Report!$U:$U,Report!$T:$T,"MERCADORIAS P/REVENDA",Report!$AA:$AA,"SIM",Report!$C:$C,A65)</f>
        <v/>
      </c>
      <c r="F65" s="77">
        <f>B65+C65</f>
        <v/>
      </c>
    </row>
    <row r="66" ht="12.75" customHeight="1" s="60">
      <c r="A66" s="75" t="n">
        <v>46078</v>
      </c>
      <c r="B66" s="77">
        <f>SUMIFS(Report!$U:$U,Report!$T:$T,"&lt;&gt;"&amp;"MERCADORIAS P/REVENDA",Report!$AA:$AA,"SIM",Report!$C:$C,A66)</f>
        <v/>
      </c>
      <c r="C66" s="77">
        <f>SUMIFS(Report!$U:$U,Report!$T:$T,"MERCADORIAS P/REVENDA",Report!$AA:$AA,"SIM",Report!$C:$C,A66)</f>
        <v/>
      </c>
      <c r="F66" s="77">
        <f>B66+C66</f>
        <v/>
      </c>
    </row>
    <row r="67" ht="12.75" customHeight="1" s="60">
      <c r="A67" s="75" t="n">
        <v>46079</v>
      </c>
      <c r="B67" s="77">
        <f>SUMIFS(Report!$U:$U,Report!$T:$T,"&lt;&gt;"&amp;"MERCADORIAS P/REVENDA",Report!$AA:$AA,"SIM",Report!$C:$C,A67)</f>
        <v/>
      </c>
      <c r="C67" s="77">
        <f>SUMIFS(Report!$U:$U,Report!$T:$T,"MERCADORIAS P/REVENDA",Report!$AA:$AA,"SIM",Report!$C:$C,A67)</f>
        <v/>
      </c>
      <c r="F67" s="77">
        <f>B67+C67</f>
        <v/>
      </c>
    </row>
    <row r="68" ht="12.75" customHeight="1" s="60">
      <c r="A68" s="75" t="n">
        <v>46080</v>
      </c>
      <c r="B68" s="77">
        <f>SUMIFS(Report!$U:$U,Report!$T:$T,"&lt;&gt;"&amp;"MERCADORIAS P/REVENDA",Report!$AA:$AA,"SIM",Report!$C:$C,A68)</f>
        <v/>
      </c>
      <c r="C68" s="77">
        <f>SUMIFS(Report!$U:$U,Report!$T:$T,"MERCADORIAS P/REVENDA",Report!$AA:$AA,"SIM",Report!$C:$C,A68)</f>
        <v/>
      </c>
      <c r="F68" s="77">
        <f>B68+C68</f>
        <v/>
      </c>
    </row>
    <row r="69" ht="12.75" customHeight="1" s="60">
      <c r="A69" s="99" t="n">
        <v>46081</v>
      </c>
      <c r="B69" s="100">
        <f>SUMIFS(Report!$U:$U,Report!$T:$T,"&lt;&gt;"&amp;"MERCADORIAS P/REVENDA",Report!$AA:$AA,"SIM",Report!$C:$C,A69)</f>
        <v/>
      </c>
      <c r="C69" s="100">
        <f>SUMIFS(Report!$U:$U,Report!$T:$T,"MERCADORIAS P/REVENDA",Report!$AA:$AA,"SIM",Report!$C:$C,A69)</f>
        <v/>
      </c>
      <c r="D69" s="101" t="n"/>
      <c r="E69" s="101" t="n"/>
      <c r="F69" s="100">
        <f>B69+C69</f>
        <v/>
      </c>
    </row>
    <row r="70" ht="12.75" customHeight="1" s="60">
      <c r="A70" s="99" t="n">
        <v>46082</v>
      </c>
      <c r="B70" s="100">
        <f>SUMIFS(Report!$U:$U,Report!$T:$T,"&lt;&gt;"&amp;"MERCADORIAS P/REVENDA",Report!$AA:$AA,"SIM",Report!$C:$C,A70)</f>
        <v/>
      </c>
      <c r="C70" s="100">
        <f>SUMIFS(Report!$U:$U,Report!$T:$T,"MERCADORIAS P/REVENDA",Report!$AA:$AA,"SIM",Report!$C:$C,A70)</f>
        <v/>
      </c>
      <c r="D70" s="101" t="n"/>
      <c r="E70" s="101" t="n"/>
      <c r="F70" s="100">
        <f>B70+C70</f>
        <v/>
      </c>
    </row>
    <row r="71" ht="12.75" customHeight="1" s="60">
      <c r="A71" s="99" t="n">
        <v>46083</v>
      </c>
      <c r="B71" s="100">
        <f>SUMIFS(Report!$U:$U,Report!$T:$T,"&lt;&gt;"&amp;"MERCADORIAS P/REVENDA",Report!$AA:$AA,"SIM",Report!$C:$C,A71)</f>
        <v/>
      </c>
      <c r="C71" s="100">
        <f>SUMIFS(Report!$U:$U,Report!$T:$T,"MERCADORIAS P/REVENDA",Report!$AA:$AA,"SIM",Report!$C:$C,A71)</f>
        <v/>
      </c>
      <c r="D71" s="101" t="n"/>
      <c r="E71" s="101" t="n"/>
      <c r="F71" s="100">
        <f>B71+C71</f>
        <v/>
      </c>
    </row>
    <row r="72" ht="12.75" customHeight="1" s="60">
      <c r="A72" s="102">
        <f>"Subtotal Semana "&amp;TEXT(A65,"dd/mm/yyyy")&amp;" a "&amp;TEXT(A71,"dd/mm/yyyy")</f>
        <v/>
      </c>
      <c r="B72" s="90">
        <f>SUM(B65:B71)</f>
        <v/>
      </c>
      <c r="C72" s="90">
        <f>SUM(C65:C71)</f>
        <v/>
      </c>
      <c r="D72" s="94" t="n"/>
      <c r="E72" s="94" t="n"/>
      <c r="F72" s="90">
        <f>B72+C72</f>
        <v/>
      </c>
    </row>
    <row r="73" ht="12.75" customHeight="1" s="60">
      <c r="A73" s="75" t="n">
        <v>46084</v>
      </c>
      <c r="B73" s="77">
        <f>SUMIFS(Report!$U:$U,Report!$T:$T,"&lt;&gt;"&amp;"MERCADORIAS P/REVENDA",Report!$AA:$AA,"SIM",Report!$C:$C,A73)</f>
        <v/>
      </c>
      <c r="C73" s="77">
        <f>SUMIFS(Report!$U:$U,Report!$T:$T,"MERCADORIAS P/REVENDA",Report!$AA:$AA,"SIM",Report!$C:$C,A73)</f>
        <v/>
      </c>
      <c r="F73" s="77">
        <f>B73+C73</f>
        <v/>
      </c>
    </row>
    <row r="74" ht="12.75" customHeight="1" s="60">
      <c r="A74" s="75" t="n">
        <v>46085</v>
      </c>
      <c r="B74" s="77">
        <f>SUMIFS(Report!$U:$U,Report!$T:$T,"&lt;&gt;"&amp;"MERCADORIAS P/REVENDA",Report!$AA:$AA,"SIM",Report!$C:$C,A74)</f>
        <v/>
      </c>
      <c r="C74" s="77">
        <f>SUMIFS(Report!$U:$U,Report!$T:$T,"MERCADORIAS P/REVENDA",Report!$AA:$AA,"SIM",Report!$C:$C,A74)</f>
        <v/>
      </c>
      <c r="F74" s="77">
        <f>B74+C74</f>
        <v/>
      </c>
    </row>
    <row r="75" ht="12.75" customHeight="1" s="60">
      <c r="A75" s="75" t="n">
        <v>46086</v>
      </c>
      <c r="B75" s="77">
        <f>SUMIFS(Report!$U:$U,Report!$T:$T,"&lt;&gt;"&amp;"MERCADORIAS P/REVENDA",Report!$AA:$AA,"SIM",Report!$C:$C,A75)</f>
        <v/>
      </c>
      <c r="C75" s="77">
        <f>SUMIFS(Report!$U:$U,Report!$T:$T,"MERCADORIAS P/REVENDA",Report!$AA:$AA,"SIM",Report!$C:$C,A75)</f>
        <v/>
      </c>
      <c r="F75" s="77">
        <f>B75+C75</f>
        <v/>
      </c>
    </row>
    <row r="76" ht="12.75" customHeight="1" s="60">
      <c r="A76" s="75" t="n">
        <v>46087</v>
      </c>
      <c r="B76" s="77">
        <f>SUMIFS(Report!$U:$U,Report!$T:$T,"&lt;&gt;"&amp;"MERCADORIAS P/REVENDA",Report!$AA:$AA,"SIM",Report!$C:$C,A76)</f>
        <v/>
      </c>
      <c r="C76" s="77">
        <f>SUMIFS(Report!$U:$U,Report!$T:$T,"MERCADORIAS P/REVENDA",Report!$AA:$AA,"SIM",Report!$C:$C,A76)</f>
        <v/>
      </c>
      <c r="F76" s="77">
        <f>B76+C76</f>
        <v/>
      </c>
    </row>
    <row r="77" ht="12.75" customHeight="1" s="60">
      <c r="A77" s="99" t="n">
        <v>46088</v>
      </c>
      <c r="B77" s="100">
        <f>SUMIFS(Report!$U:$U,Report!$T:$T,"&lt;&gt;"&amp;"MERCADORIAS P/REVENDA",Report!$AA:$AA,"SIM",Report!$C:$C,A77)</f>
        <v/>
      </c>
      <c r="C77" s="100">
        <f>SUMIFS(Report!$U:$U,Report!$T:$T,"MERCADORIAS P/REVENDA",Report!$AA:$AA,"SIM",Report!$C:$C,A77)</f>
        <v/>
      </c>
      <c r="D77" s="101" t="n"/>
      <c r="E77" s="101" t="n"/>
      <c r="F77" s="100">
        <f>B77+C77</f>
        <v/>
      </c>
    </row>
    <row r="78" ht="12.75" customHeight="1" s="60">
      <c r="A78" s="99" t="n">
        <v>46089</v>
      </c>
      <c r="B78" s="100">
        <f>SUMIFS(Report!$U:$U,Report!$T:$T,"&lt;&gt;"&amp;"MERCADORIAS P/REVENDA",Report!$AA:$AA,"SIM",Report!$C:$C,A78)</f>
        <v/>
      </c>
      <c r="C78" s="100">
        <f>SUMIFS(Report!$U:$U,Report!$T:$T,"MERCADORIAS P/REVENDA",Report!$AA:$AA,"SIM",Report!$C:$C,A78)</f>
        <v/>
      </c>
      <c r="D78" s="101" t="n"/>
      <c r="E78" s="101" t="n"/>
      <c r="F78" s="100">
        <f>B78+C78</f>
        <v/>
      </c>
    </row>
    <row r="79" ht="12.75" customHeight="1" s="60">
      <c r="A79" s="99" t="n">
        <v>46090</v>
      </c>
      <c r="B79" s="100">
        <f>SUMIFS(Report!$U:$U,Report!$T:$T,"&lt;&gt;"&amp;"MERCADORIAS P/REVENDA",Report!$AA:$AA,"SIM",Report!$C:$C,A79)</f>
        <v/>
      </c>
      <c r="C79" s="100">
        <f>SUMIFS(Report!$U:$U,Report!$T:$T,"MERCADORIAS P/REVENDA",Report!$AA:$AA,"SIM",Report!$C:$C,A79)</f>
        <v/>
      </c>
      <c r="D79" s="101" t="n"/>
      <c r="E79" s="101" t="n"/>
      <c r="F79" s="100">
        <f>B79+C79</f>
        <v/>
      </c>
    </row>
    <row r="80" ht="12.75" customHeight="1" s="60">
      <c r="A80" s="102">
        <f>"Subtotal Semana "&amp;TEXT(A73,"dd/mm/yyyy")&amp;" a "&amp;TEXT(A79,"dd/mm/yyyy")</f>
        <v/>
      </c>
      <c r="B80" s="90">
        <f>SUM(B73:B79)</f>
        <v/>
      </c>
      <c r="C80" s="90">
        <f>SUM(C73:C79)</f>
        <v/>
      </c>
      <c r="D80" s="94" t="n"/>
      <c r="E80" s="94" t="n"/>
      <c r="F80" s="90">
        <f>B80+C80</f>
        <v/>
      </c>
    </row>
    <row r="81" ht="12.75" customHeight="1" s="60">
      <c r="A81" s="75" t="n">
        <v>46091</v>
      </c>
      <c r="B81" s="77">
        <f>SUMIFS(Report!$U:$U,Report!$T:$T,"&lt;&gt;"&amp;"MERCADORIAS P/REVENDA",Report!$AA:$AA,"SIM",Report!$C:$C,A81)</f>
        <v/>
      </c>
      <c r="C81" s="77">
        <f>SUMIFS(Report!$U:$U,Report!$T:$T,"MERCADORIAS P/REVENDA",Report!$AA:$AA,"SIM",Report!$C:$C,A81)</f>
        <v/>
      </c>
      <c r="F81" s="77">
        <f>B81+C81</f>
        <v/>
      </c>
    </row>
    <row r="82" ht="12.75" customHeight="1" s="60">
      <c r="A82" s="75" t="n">
        <v>46092</v>
      </c>
      <c r="B82" s="77">
        <f>SUMIFS(Report!$U:$U,Report!$T:$T,"&lt;&gt;"&amp;"MERCADORIAS P/REVENDA",Report!$AA:$AA,"SIM",Report!$C:$C,A82)</f>
        <v/>
      </c>
      <c r="C82" s="77">
        <f>SUMIFS(Report!$U:$U,Report!$T:$T,"MERCADORIAS P/REVENDA",Report!$AA:$AA,"SIM",Report!$C:$C,A82)</f>
        <v/>
      </c>
      <c r="F82" s="77">
        <f>B82+C82</f>
        <v/>
      </c>
    </row>
    <row r="83" ht="12.75" customHeight="1" s="60">
      <c r="A83" s="75" t="n">
        <v>46093</v>
      </c>
      <c r="B83" s="77">
        <f>SUMIFS(Report!$U:$U,Report!$T:$T,"&lt;&gt;"&amp;"MERCADORIAS P/REVENDA",Report!$AA:$AA,"SIM",Report!$C:$C,A83)</f>
        <v/>
      </c>
      <c r="C83" s="77">
        <f>SUMIFS(Report!$U:$U,Report!$T:$T,"MERCADORIAS P/REVENDA",Report!$AA:$AA,"SIM",Report!$C:$C,A83)</f>
        <v/>
      </c>
      <c r="F83" s="77">
        <f>B83+C83</f>
        <v/>
      </c>
    </row>
    <row r="84" ht="12.75" customHeight="1" s="60">
      <c r="A84" s="75" t="n">
        <v>46094</v>
      </c>
      <c r="B84" s="77">
        <f>SUMIFS(Report!$U:$U,Report!$T:$T,"&lt;&gt;"&amp;"MERCADORIAS P/REVENDA",Report!$AA:$AA,"SIM",Report!$C:$C,A84)</f>
        <v/>
      </c>
      <c r="C84" s="77">
        <f>SUMIFS(Report!$U:$U,Report!$T:$T,"MERCADORIAS P/REVENDA",Report!$AA:$AA,"SIM",Report!$C:$C,A84)</f>
        <v/>
      </c>
      <c r="F84" s="77">
        <f>B84+C84</f>
        <v/>
      </c>
    </row>
    <row r="85" ht="12.75" customHeight="1" s="60">
      <c r="A85" s="99" t="n">
        <v>46095</v>
      </c>
      <c r="B85" s="100">
        <f>SUMIFS(Report!$U:$U,Report!$T:$T,"&lt;&gt;"&amp;"MERCADORIAS P/REVENDA",Report!$AA:$AA,"SIM",Report!$C:$C,A85)</f>
        <v/>
      </c>
      <c r="C85" s="100">
        <f>SUMIFS(Report!$U:$U,Report!$T:$T,"MERCADORIAS P/REVENDA",Report!$AA:$AA,"SIM",Report!$C:$C,A85)</f>
        <v/>
      </c>
      <c r="D85" s="101" t="n"/>
      <c r="E85" s="101" t="n"/>
      <c r="F85" s="100">
        <f>B85+C85</f>
        <v/>
      </c>
    </row>
    <row r="86" ht="12.75" customHeight="1" s="60">
      <c r="A86" s="99" t="n">
        <v>46096</v>
      </c>
      <c r="B86" s="100">
        <f>SUMIFS(Report!$U:$U,Report!$T:$T,"&lt;&gt;"&amp;"MERCADORIAS P/REVENDA",Report!$AA:$AA,"SIM",Report!$C:$C,A86)</f>
        <v/>
      </c>
      <c r="C86" s="100">
        <f>SUMIFS(Report!$U:$U,Report!$T:$T,"MERCADORIAS P/REVENDA",Report!$AA:$AA,"SIM",Report!$C:$C,A86)</f>
        <v/>
      </c>
      <c r="D86" s="101" t="n"/>
      <c r="E86" s="101" t="n"/>
      <c r="F86" s="100">
        <f>B86+C86</f>
        <v/>
      </c>
    </row>
    <row r="87" ht="12.75" customHeight="1" s="60">
      <c r="A87" s="99" t="n">
        <v>46097</v>
      </c>
      <c r="B87" s="100">
        <f>SUMIFS(Report!$U:$U,Report!$T:$T,"&lt;&gt;"&amp;"MERCADORIAS P/REVENDA",Report!$AA:$AA,"SIM",Report!$C:$C,A87)</f>
        <v/>
      </c>
      <c r="C87" s="100">
        <f>SUMIFS(Report!$U:$U,Report!$T:$T,"MERCADORIAS P/REVENDA",Report!$AA:$AA,"SIM",Report!$C:$C,A87)</f>
        <v/>
      </c>
      <c r="D87" s="101" t="n"/>
      <c r="E87" s="101" t="n"/>
      <c r="F87" s="100">
        <f>B87+C87</f>
        <v/>
      </c>
    </row>
    <row r="88" ht="12.75" customHeight="1" s="60">
      <c r="A88" s="102">
        <f>"Subtotal Semana "&amp;TEXT(A81,"dd/mm/yyyy")&amp;" a "&amp;TEXT(A87,"dd/mm/yyyy")</f>
        <v/>
      </c>
      <c r="B88" s="90">
        <f>SUM(B81:B87)</f>
        <v/>
      </c>
      <c r="C88" s="90">
        <f>SUM(C81:C87)</f>
        <v/>
      </c>
      <c r="D88" s="94" t="n"/>
      <c r="E88" s="94" t="n"/>
      <c r="F88" s="90">
        <f>B88+C88</f>
        <v/>
      </c>
    </row>
    <row r="89" ht="12.75" customHeight="1" s="60">
      <c r="A89" s="75" t="n">
        <v>46098</v>
      </c>
      <c r="B89" s="77">
        <f>SUMIFS(Report!$U:$U,Report!$T:$T,"&lt;&gt;"&amp;"MERCADORIAS P/REVENDA",Report!$AA:$AA,"SIM",Report!$C:$C,A89)</f>
        <v/>
      </c>
      <c r="C89" s="77">
        <f>SUMIFS(Report!$U:$U,Report!$T:$T,"MERCADORIAS P/REVENDA",Report!$AA:$AA,"SIM",Report!$C:$C,A89)</f>
        <v/>
      </c>
      <c r="F89" s="77">
        <f>B89+C89</f>
        <v/>
      </c>
    </row>
    <row r="90" ht="12.75" customHeight="1" s="60">
      <c r="A90" s="75" t="n">
        <v>46099</v>
      </c>
      <c r="B90" s="77">
        <f>SUMIFS(Report!$U:$U,Report!$T:$T,"&lt;&gt;"&amp;"MERCADORIAS P/REVENDA",Report!$AA:$AA,"SIM",Report!$C:$C,A90)</f>
        <v/>
      </c>
      <c r="C90" s="77">
        <f>SUMIFS(Report!$U:$U,Report!$T:$T,"MERCADORIAS P/REVENDA",Report!$AA:$AA,"SIM",Report!$C:$C,A90)</f>
        <v/>
      </c>
      <c r="F90" s="77">
        <f>B90+C90</f>
        <v/>
      </c>
    </row>
    <row r="91" ht="12.75" customHeight="1" s="60">
      <c r="A91" s="75" t="n">
        <v>46100</v>
      </c>
      <c r="B91" s="77">
        <f>SUMIFS(Report!$U:$U,Report!$T:$T,"&lt;&gt;"&amp;"MERCADORIAS P/REVENDA",Report!$AA:$AA,"SIM",Report!$C:$C,A91)</f>
        <v/>
      </c>
      <c r="C91" s="77">
        <f>SUMIFS(Report!$U:$U,Report!$T:$T,"MERCADORIAS P/REVENDA",Report!$AA:$AA,"SIM",Report!$C:$C,A91)</f>
        <v/>
      </c>
      <c r="F91" s="77">
        <f>B91+C91</f>
        <v/>
      </c>
    </row>
    <row r="92" ht="12.75" customHeight="1" s="60">
      <c r="A92" s="75" t="n">
        <v>46101</v>
      </c>
      <c r="B92" s="77">
        <f>SUMIFS(Report!$U:$U,Report!$T:$T,"&lt;&gt;"&amp;"MERCADORIAS P/REVENDA",Report!$AA:$AA,"SIM",Report!$C:$C,A92)</f>
        <v/>
      </c>
      <c r="C92" s="77">
        <f>SUMIFS(Report!$U:$U,Report!$T:$T,"MERCADORIAS P/REVENDA",Report!$AA:$AA,"SIM",Report!$C:$C,A92)</f>
        <v/>
      </c>
      <c r="F92" s="77">
        <f>B92+C92</f>
        <v/>
      </c>
    </row>
    <row r="93" ht="12.75" customHeight="1" s="60">
      <c r="A93" s="99" t="n">
        <v>46102</v>
      </c>
      <c r="B93" s="100">
        <f>SUMIFS(Report!$U:$U,Report!$T:$T,"&lt;&gt;"&amp;"MERCADORIAS P/REVENDA",Report!$AA:$AA,"SIM",Report!$C:$C,A93)</f>
        <v/>
      </c>
      <c r="C93" s="100">
        <f>SUMIFS(Report!$U:$U,Report!$T:$T,"MERCADORIAS P/REVENDA",Report!$AA:$AA,"SIM",Report!$C:$C,A93)</f>
        <v/>
      </c>
      <c r="D93" s="101" t="n"/>
      <c r="E93" s="101" t="n"/>
      <c r="F93" s="100">
        <f>B93+C93</f>
        <v/>
      </c>
    </row>
    <row r="94" ht="12.75" customHeight="1" s="60">
      <c r="A94" s="99" t="n">
        <v>46103</v>
      </c>
      <c r="B94" s="100">
        <f>SUMIFS(Report!$U:$U,Report!$T:$T,"&lt;&gt;"&amp;"MERCADORIAS P/REVENDA",Report!$AA:$AA,"SIM",Report!$C:$C,A94)</f>
        <v/>
      </c>
      <c r="C94" s="100">
        <f>SUMIFS(Report!$U:$U,Report!$T:$T,"MERCADORIAS P/REVENDA",Report!$AA:$AA,"SIM",Report!$C:$C,A94)</f>
        <v/>
      </c>
      <c r="D94" s="101" t="n"/>
      <c r="E94" s="101" t="n"/>
      <c r="F94" s="100">
        <f>B94+C94</f>
        <v/>
      </c>
    </row>
    <row r="95" ht="12.75" customHeight="1" s="60">
      <c r="A95" s="99" t="n">
        <v>46104</v>
      </c>
      <c r="B95" s="100">
        <f>SUMIFS(Report!$U:$U,Report!$T:$T,"&lt;&gt;"&amp;"MERCADORIAS P/REVENDA",Report!$AA:$AA,"SIM",Report!$C:$C,A95)</f>
        <v/>
      </c>
      <c r="C95" s="100">
        <f>SUMIFS(Report!$U:$U,Report!$T:$T,"MERCADORIAS P/REVENDA",Report!$AA:$AA,"SIM",Report!$C:$C,A95)</f>
        <v/>
      </c>
      <c r="D95" s="101" t="n"/>
      <c r="E95" s="101" t="n"/>
      <c r="F95" s="100">
        <f>B95+C95</f>
        <v/>
      </c>
    </row>
    <row r="96" ht="12.75" customHeight="1" s="60">
      <c r="A96" s="102">
        <f>"Subtotal Semana "&amp;TEXT(A89,"dd/mm/yyyy")&amp;" a "&amp;TEXT(A95,"dd/mm/yyyy")</f>
        <v/>
      </c>
      <c r="B96" s="90">
        <f>SUM(B89:B95)</f>
        <v/>
      </c>
      <c r="C96" s="90">
        <f>SUM(C89:C95)</f>
        <v/>
      </c>
      <c r="D96" s="94" t="n"/>
      <c r="E96" s="94" t="n"/>
      <c r="F96" s="90">
        <f>B96+C96</f>
        <v/>
      </c>
    </row>
    <row r="97" ht="12.75" customHeight="1" s="60">
      <c r="A97" s="75" t="n">
        <v>46105</v>
      </c>
      <c r="B97" s="77">
        <f>SUMIFS(Report!$U:$U,Report!$T:$T,"&lt;&gt;"&amp;"MERCADORIAS P/REVENDA",Report!$AA:$AA,"SIM",Report!$C:$C,A97)</f>
        <v/>
      </c>
      <c r="C97" s="77">
        <f>SUMIFS(Report!$U:$U,Report!$T:$T,"MERCADORIAS P/REVENDA",Report!$AA:$AA,"SIM",Report!$C:$C,A97)</f>
        <v/>
      </c>
      <c r="F97" s="77">
        <f>B97+C97</f>
        <v/>
      </c>
    </row>
    <row r="98" ht="12.75" customHeight="1" s="60">
      <c r="A98" s="75" t="n">
        <v>46106</v>
      </c>
      <c r="B98" s="77">
        <f>SUMIFS(Report!$U:$U,Report!$T:$T,"&lt;&gt;"&amp;"MERCADORIAS P/REVENDA",Report!$AA:$AA,"SIM",Report!$C:$C,A98)</f>
        <v/>
      </c>
      <c r="C98" s="77">
        <f>SUMIFS(Report!$U:$U,Report!$T:$T,"MERCADORIAS P/REVENDA",Report!$AA:$AA,"SIM",Report!$C:$C,A98)</f>
        <v/>
      </c>
      <c r="F98" s="77">
        <f>B98+C98</f>
        <v/>
      </c>
    </row>
    <row r="99" ht="12.75" customHeight="1" s="60">
      <c r="A99" s="75" t="n">
        <v>46107</v>
      </c>
      <c r="B99" s="77">
        <f>SUMIFS(Report!$U:$U,Report!$T:$T,"&lt;&gt;"&amp;"MERCADORIAS P/REVENDA",Report!$AA:$AA,"SIM",Report!$C:$C,A99)</f>
        <v/>
      </c>
      <c r="C99" s="77">
        <f>SUMIFS(Report!$U:$U,Report!$T:$T,"MERCADORIAS P/REVENDA",Report!$AA:$AA,"SIM",Report!$C:$C,A99)</f>
        <v/>
      </c>
      <c r="F99" s="77">
        <f>B99+C99</f>
        <v/>
      </c>
    </row>
    <row r="100" ht="12.75" customHeight="1" s="60">
      <c r="A100" s="75" t="n">
        <v>46108</v>
      </c>
      <c r="B100" s="77">
        <f>SUMIFS(Report!$U:$U,Report!$T:$T,"&lt;&gt;"&amp;"MERCADORIAS P/REVENDA",Report!$AA:$AA,"SIM",Report!$C:$C,A100)</f>
        <v/>
      </c>
      <c r="C100" s="77">
        <f>SUMIFS(Report!$U:$U,Report!$T:$T,"MERCADORIAS P/REVENDA",Report!$AA:$AA,"SIM",Report!$C:$C,A100)</f>
        <v/>
      </c>
      <c r="F100" s="77">
        <f>B100+C100</f>
        <v/>
      </c>
    </row>
    <row r="101" ht="12.75" customHeight="1" s="60">
      <c r="A101" s="99" t="n">
        <v>46109</v>
      </c>
      <c r="B101" s="100">
        <f>SUMIFS(Report!$U:$U,Report!$T:$T,"&lt;&gt;"&amp;"MERCADORIAS P/REVENDA",Report!$AA:$AA,"SIM",Report!$C:$C,A101)</f>
        <v/>
      </c>
      <c r="C101" s="100">
        <f>SUMIFS(Report!$U:$U,Report!$T:$T,"MERCADORIAS P/REVENDA",Report!$AA:$AA,"SIM",Report!$C:$C,A101)</f>
        <v/>
      </c>
      <c r="D101" s="101" t="n"/>
      <c r="E101" s="101" t="n"/>
      <c r="F101" s="100">
        <f>B101+C101</f>
        <v/>
      </c>
    </row>
    <row r="102" ht="12.75" customHeight="1" s="60">
      <c r="A102" s="99" t="n">
        <v>46110</v>
      </c>
      <c r="B102" s="100">
        <f>SUMIFS(Report!$U:$U,Report!$T:$T,"&lt;&gt;"&amp;"MERCADORIAS P/REVENDA",Report!$AA:$AA,"SIM",Report!$C:$C,A102)</f>
        <v/>
      </c>
      <c r="C102" s="100">
        <f>SUMIFS(Report!$U:$U,Report!$T:$T,"MERCADORIAS P/REVENDA",Report!$AA:$AA,"SIM",Report!$C:$C,A102)</f>
        <v/>
      </c>
      <c r="D102" s="101" t="n"/>
      <c r="E102" s="101" t="n"/>
      <c r="F102" s="100">
        <f>B102+C102</f>
        <v/>
      </c>
    </row>
    <row r="103" ht="12.75" customHeight="1" s="60">
      <c r="A103" s="99" t="n">
        <v>46111</v>
      </c>
      <c r="B103" s="100">
        <f>SUMIFS(Report!$U:$U,Report!$T:$T,"&lt;&gt;"&amp;"MERCADORIAS P/REVENDA",Report!$AA:$AA,"SIM",Report!$C:$C,A103)</f>
        <v/>
      </c>
      <c r="C103" s="100">
        <f>SUMIFS(Report!$U:$U,Report!$T:$T,"MERCADORIAS P/REVENDA",Report!$AA:$AA,"SIM",Report!$C:$C,A103)</f>
        <v/>
      </c>
      <c r="D103" s="101" t="n"/>
      <c r="E103" s="101" t="n"/>
      <c r="F103" s="100">
        <f>B103+C103</f>
        <v/>
      </c>
    </row>
    <row r="104" ht="12.75" customHeight="1" s="60">
      <c r="A104" s="102">
        <f>"Subtotal Semana "&amp;TEXT(A97,"dd/mm/yyyy")&amp;" a "&amp;TEXT(A103,"dd/mm/yyyy")</f>
        <v/>
      </c>
      <c r="B104" s="90">
        <f>SUM(B97:B103)</f>
        <v/>
      </c>
      <c r="C104" s="90">
        <f>SUM(C97:C103)</f>
        <v/>
      </c>
      <c r="D104" s="94" t="n"/>
      <c r="E104" s="94" t="n"/>
      <c r="F104" s="90">
        <f>B104+C104</f>
        <v/>
      </c>
    </row>
    <row r="105" ht="12.75" customHeight="1" s="60">
      <c r="A105" s="75" t="n">
        <v>46112</v>
      </c>
      <c r="B105" s="77">
        <f>SUMIFS(Report!$U:$U,Report!$T:$T,"&lt;&gt;"&amp;"MERCADORIAS P/REVENDA",Report!$AA:$AA,"SIM",Report!$C:$C,A105)</f>
        <v/>
      </c>
      <c r="C105" s="77">
        <f>SUMIFS(Report!$U:$U,Report!$T:$T,"MERCADORIAS P/REVENDA",Report!$AA:$AA,"SIM",Report!$C:$C,A105)</f>
        <v/>
      </c>
      <c r="F105" s="77">
        <f>B105+C105</f>
        <v/>
      </c>
    </row>
    <row r="106" ht="12.75" customHeight="1" s="60">
      <c r="A106" s="75" t="n">
        <v>46113</v>
      </c>
      <c r="B106" s="77">
        <f>SUMIFS(Report!$U:$U,Report!$T:$T,"&lt;&gt;"&amp;"MERCADORIAS P/REVENDA",Report!$AA:$AA,"SIM",Report!$C:$C,A106)</f>
        <v/>
      </c>
      <c r="C106" s="77">
        <f>SUMIFS(Report!$U:$U,Report!$T:$T,"MERCADORIAS P/REVENDA",Report!$AA:$AA,"SIM",Report!$C:$C,A106)</f>
        <v/>
      </c>
      <c r="F106" s="77">
        <f>B106+C106</f>
        <v/>
      </c>
    </row>
    <row r="107" ht="12.75" customHeight="1" s="60">
      <c r="A107" s="75" t="n">
        <v>46114</v>
      </c>
      <c r="B107" s="77">
        <f>SUMIFS(Report!$U:$U,Report!$T:$T,"&lt;&gt;"&amp;"MERCADORIAS P/REVENDA",Report!$AA:$AA,"SIM",Report!$C:$C,A107)</f>
        <v/>
      </c>
      <c r="C107" s="77">
        <f>SUMIFS(Report!$U:$U,Report!$T:$T,"MERCADORIAS P/REVENDA",Report!$AA:$AA,"SIM",Report!$C:$C,A107)</f>
        <v/>
      </c>
      <c r="F107" s="77">
        <f>B107+C107</f>
        <v/>
      </c>
    </row>
    <row r="108" ht="12.75" customHeight="1" s="60">
      <c r="A108" s="75" t="n">
        <v>46115</v>
      </c>
      <c r="B108" s="77">
        <f>SUMIFS(Report!$U:$U,Report!$T:$T,"&lt;&gt;"&amp;"MERCADORIAS P/REVENDA",Report!$AA:$AA,"SIM",Report!$C:$C,A108)</f>
        <v/>
      </c>
      <c r="C108" s="77">
        <f>SUMIFS(Report!$U:$U,Report!$T:$T,"MERCADORIAS P/REVENDA",Report!$AA:$AA,"SIM",Report!$C:$C,A108)</f>
        <v/>
      </c>
      <c r="F108" s="77">
        <f>B108+C108</f>
        <v/>
      </c>
    </row>
    <row r="109" ht="12.75" customHeight="1" s="60">
      <c r="A109" s="99" t="n">
        <v>46116</v>
      </c>
      <c r="B109" s="100">
        <f>SUMIFS(Report!$U:$U,Report!$T:$T,"&lt;&gt;"&amp;"MERCADORIAS P/REVENDA",Report!$AA:$AA,"SIM",Report!$C:$C,A109)</f>
        <v/>
      </c>
      <c r="C109" s="100">
        <f>SUMIFS(Report!$U:$U,Report!$T:$T,"MERCADORIAS P/REVENDA",Report!$AA:$AA,"SIM",Report!$C:$C,A109)</f>
        <v/>
      </c>
      <c r="D109" s="101" t="n"/>
      <c r="E109" s="101" t="n"/>
      <c r="F109" s="100">
        <f>B109+C109</f>
        <v/>
      </c>
    </row>
    <row r="110" ht="12.75" customHeight="1" s="60">
      <c r="A110" s="99" t="n">
        <v>46117</v>
      </c>
      <c r="B110" s="100">
        <f>SUMIFS(Report!$U:$U,Report!$T:$T,"&lt;&gt;"&amp;"MERCADORIAS P/REVENDA",Report!$AA:$AA,"SIM",Report!$C:$C,A110)</f>
        <v/>
      </c>
      <c r="C110" s="100">
        <f>SUMIFS(Report!$U:$U,Report!$T:$T,"MERCADORIAS P/REVENDA",Report!$AA:$AA,"SIM",Report!$C:$C,A110)</f>
        <v/>
      </c>
      <c r="D110" s="101" t="n"/>
      <c r="E110" s="101" t="n"/>
      <c r="F110" s="100">
        <f>B110+C110</f>
        <v/>
      </c>
    </row>
    <row r="111" ht="12.75" customHeight="1" s="60">
      <c r="A111" s="99" t="n">
        <v>46118</v>
      </c>
      <c r="B111" s="100">
        <f>SUMIFS(Report!$U:$U,Report!$T:$T,"&lt;&gt;"&amp;"MERCADORIAS P/REVENDA",Report!$AA:$AA,"SIM",Report!$C:$C,A111)</f>
        <v/>
      </c>
      <c r="C111" s="100">
        <f>SUMIFS(Report!$U:$U,Report!$T:$T,"MERCADORIAS P/REVENDA",Report!$AA:$AA,"SIM",Report!$C:$C,A111)</f>
        <v/>
      </c>
      <c r="D111" s="101" t="n"/>
      <c r="E111" s="101" t="n"/>
      <c r="F111" s="100">
        <f>B111+C111</f>
        <v/>
      </c>
    </row>
    <row r="112" ht="12.75" customHeight="1" s="60">
      <c r="A112" s="102">
        <f>"Subtotal Semana "&amp;TEXT(A105,"dd/mm/yyyy")&amp;" a "&amp;TEXT(A111,"dd/mm/yyyy")</f>
        <v/>
      </c>
      <c r="B112" s="90">
        <f>SUM(B105:B111)</f>
        <v/>
      </c>
      <c r="C112" s="90">
        <f>SUM(C105:C111)</f>
        <v/>
      </c>
      <c r="D112" s="94" t="n"/>
      <c r="E112" s="94" t="n"/>
      <c r="F112" s="90">
        <f>B112+C112</f>
        <v/>
      </c>
    </row>
    <row r="113" ht="12.75" customHeight="1" s="60">
      <c r="A113" s="75" t="n">
        <v>46119</v>
      </c>
      <c r="B113" s="77">
        <f>SUMIFS(Report!$U:$U,Report!$T:$T,"&lt;&gt;"&amp;"MERCADORIAS P/REVENDA",Report!$AA:$AA,"SIM",Report!$C:$C,A113)</f>
        <v/>
      </c>
      <c r="C113" s="77">
        <f>SUMIFS(Report!$U:$U,Report!$T:$T,"MERCADORIAS P/REVENDA",Report!$AA:$AA,"SIM",Report!$C:$C,A113)</f>
        <v/>
      </c>
      <c r="F113" s="77">
        <f>B113+C113</f>
        <v/>
      </c>
    </row>
    <row r="114" ht="12.75" customHeight="1" s="60">
      <c r="A114" s="75" t="n">
        <v>46120</v>
      </c>
      <c r="B114" s="77">
        <f>SUMIFS(Report!$U:$U,Report!$T:$T,"&lt;&gt;"&amp;"MERCADORIAS P/REVENDA",Report!$AA:$AA,"SIM",Report!$C:$C,A114)</f>
        <v/>
      </c>
      <c r="C114" s="77">
        <f>SUMIFS(Report!$U:$U,Report!$T:$T,"MERCADORIAS P/REVENDA",Report!$AA:$AA,"SIM",Report!$C:$C,A114)</f>
        <v/>
      </c>
      <c r="F114" s="77">
        <f>B114+C114</f>
        <v/>
      </c>
    </row>
    <row r="115" ht="12.75" customHeight="1" s="60">
      <c r="A115" s="75" t="n">
        <v>46121</v>
      </c>
      <c r="B115" s="77">
        <f>SUMIFS(Report!$U:$U,Report!$T:$T,"&lt;&gt;"&amp;"MERCADORIAS P/REVENDA",Report!$AA:$AA,"SIM",Report!$C:$C,A115)</f>
        <v/>
      </c>
      <c r="C115" s="77">
        <f>SUMIFS(Report!$U:$U,Report!$T:$T,"MERCADORIAS P/REVENDA",Report!$AA:$AA,"SIM",Report!$C:$C,A115)</f>
        <v/>
      </c>
      <c r="F115" s="77">
        <f>B115+C115</f>
        <v/>
      </c>
    </row>
    <row r="116" ht="12.75" customHeight="1" s="60">
      <c r="A116" s="75" t="n">
        <v>46122</v>
      </c>
      <c r="B116" s="77">
        <f>SUMIFS(Report!$U:$U,Report!$T:$T,"&lt;&gt;"&amp;"MERCADORIAS P/REVENDA",Report!$AA:$AA,"SIM",Report!$C:$C,A116)</f>
        <v/>
      </c>
      <c r="C116" s="77">
        <f>SUMIFS(Report!$U:$U,Report!$T:$T,"MERCADORIAS P/REVENDA",Report!$AA:$AA,"SIM",Report!$C:$C,A116)</f>
        <v/>
      </c>
      <c r="F116" s="77">
        <f>B116+C116</f>
        <v/>
      </c>
    </row>
    <row r="117" ht="12.75" customHeight="1" s="60">
      <c r="A117" s="99" t="n">
        <v>46123</v>
      </c>
      <c r="B117" s="100">
        <f>SUMIFS(Report!$U:$U,Report!$T:$T,"&lt;&gt;"&amp;"MERCADORIAS P/REVENDA",Report!$AA:$AA,"SIM",Report!$C:$C,A117)</f>
        <v/>
      </c>
      <c r="C117" s="100">
        <f>SUMIFS(Report!$U:$U,Report!$T:$T,"MERCADORIAS P/REVENDA",Report!$AA:$AA,"SIM",Report!$C:$C,A117)</f>
        <v/>
      </c>
      <c r="D117" s="101" t="n"/>
      <c r="E117" s="101" t="n"/>
      <c r="F117" s="100">
        <f>B117+C117</f>
        <v/>
      </c>
    </row>
    <row r="118" ht="12.75" customHeight="1" s="60">
      <c r="A118" s="99" t="n">
        <v>46124</v>
      </c>
      <c r="B118" s="100">
        <f>SUMIFS(Report!$U:$U,Report!$T:$T,"&lt;&gt;"&amp;"MERCADORIAS P/REVENDA",Report!$AA:$AA,"SIM",Report!$C:$C,A118)</f>
        <v/>
      </c>
      <c r="C118" s="100">
        <f>SUMIFS(Report!$U:$U,Report!$T:$T,"MERCADORIAS P/REVENDA",Report!$AA:$AA,"SIM",Report!$C:$C,A118)</f>
        <v/>
      </c>
      <c r="D118" s="101" t="n"/>
      <c r="E118" s="101" t="n"/>
      <c r="F118" s="100">
        <f>B118+C118</f>
        <v/>
      </c>
    </row>
    <row r="119" ht="12.75" customHeight="1" s="60">
      <c r="A119" s="99" t="n">
        <v>46125</v>
      </c>
      <c r="B119" s="100">
        <f>SUMIFS(Report!$U:$U,Report!$T:$T,"&lt;&gt;"&amp;"MERCADORIAS P/REVENDA",Report!$AA:$AA,"SIM",Report!$C:$C,A119)</f>
        <v/>
      </c>
      <c r="C119" s="100">
        <f>SUMIFS(Report!$U:$U,Report!$T:$T,"MERCADORIAS P/REVENDA",Report!$AA:$AA,"SIM",Report!$C:$C,A119)</f>
        <v/>
      </c>
      <c r="D119" s="101" t="n"/>
      <c r="E119" s="101" t="n"/>
      <c r="F119" s="100">
        <f>B119+C119</f>
        <v/>
      </c>
    </row>
    <row r="120" ht="12.75" customHeight="1" s="60">
      <c r="A120" s="102">
        <f>"Subtotal Semana "&amp;TEXT(A113,"dd/mm/yyyy")&amp;" a "&amp;TEXT(A119,"dd/mm/yyyy")</f>
        <v/>
      </c>
      <c r="B120" s="90">
        <f>SUM(B113:B119)</f>
        <v/>
      </c>
      <c r="C120" s="90">
        <f>SUM(C113:C119)</f>
        <v/>
      </c>
      <c r="D120" s="94" t="n"/>
      <c r="E120" s="94" t="n"/>
      <c r="F120" s="90">
        <f>B120+C120</f>
        <v/>
      </c>
    </row>
    <row r="121" ht="12.75" customHeight="1" s="60">
      <c r="A121" s="75" t="n">
        <v>46126</v>
      </c>
      <c r="B121" s="77">
        <f>SUMIFS(Report!$U:$U,Report!$T:$T,"&lt;&gt;"&amp;"MERCADORIAS P/REVENDA",Report!$AA:$AA,"SIM",Report!$C:$C,A121)</f>
        <v/>
      </c>
      <c r="C121" s="77">
        <f>SUMIFS(Report!$U:$U,Report!$T:$T,"MERCADORIAS P/REVENDA",Report!$AA:$AA,"SIM",Report!$C:$C,A121)</f>
        <v/>
      </c>
      <c r="F121" s="77">
        <f>B121+C121</f>
        <v/>
      </c>
    </row>
    <row r="122" ht="12.75" customHeight="1" s="60">
      <c r="A122" s="75" t="n">
        <v>46127</v>
      </c>
      <c r="B122" s="77">
        <f>SUMIFS(Report!$U:$U,Report!$T:$T,"&lt;&gt;"&amp;"MERCADORIAS P/REVENDA",Report!$AA:$AA,"SIM",Report!$C:$C,A122)</f>
        <v/>
      </c>
      <c r="C122" s="77">
        <f>SUMIFS(Report!$U:$U,Report!$T:$T,"MERCADORIAS P/REVENDA",Report!$AA:$AA,"SIM",Report!$C:$C,A122)</f>
        <v/>
      </c>
      <c r="F122" s="77">
        <f>B122+C122</f>
        <v/>
      </c>
    </row>
    <row r="123" ht="12.75" customHeight="1" s="60">
      <c r="A123" s="75" t="n">
        <v>46128</v>
      </c>
      <c r="B123" s="77">
        <f>SUMIFS(Report!$U:$U,Report!$T:$T,"&lt;&gt;"&amp;"MERCADORIAS P/REVENDA",Report!$AA:$AA,"SIM",Report!$C:$C,A123)</f>
        <v/>
      </c>
      <c r="C123" s="77">
        <f>SUMIFS(Report!$U:$U,Report!$T:$T,"MERCADORIAS P/REVENDA",Report!$AA:$AA,"SIM",Report!$C:$C,A123)</f>
        <v/>
      </c>
      <c r="F123" s="77">
        <f>B123+C123</f>
        <v/>
      </c>
    </row>
    <row r="124" ht="12.75" customHeight="1" s="60">
      <c r="A124" s="75" t="n">
        <v>46129</v>
      </c>
      <c r="B124" s="77">
        <f>SUMIFS(Report!$U:$U,Report!$T:$T,"&lt;&gt;"&amp;"MERCADORIAS P/REVENDA",Report!$AA:$AA,"SIM",Report!$C:$C,A124)</f>
        <v/>
      </c>
      <c r="C124" s="77">
        <f>SUMIFS(Report!$U:$U,Report!$T:$T,"MERCADORIAS P/REVENDA",Report!$AA:$AA,"SIM",Report!$C:$C,A124)</f>
        <v/>
      </c>
      <c r="F124" s="77">
        <f>B124+C124</f>
        <v/>
      </c>
    </row>
    <row r="125" ht="12.75" customHeight="1" s="60">
      <c r="A125" s="99" t="n">
        <v>46130</v>
      </c>
      <c r="B125" s="100">
        <f>SUMIFS(Report!$U:$U,Report!$T:$T,"&lt;&gt;"&amp;"MERCADORIAS P/REVENDA",Report!$AA:$AA,"SIM",Report!$C:$C,A125)</f>
        <v/>
      </c>
      <c r="C125" s="100">
        <f>SUMIFS(Report!$U:$U,Report!$T:$T,"MERCADORIAS P/REVENDA",Report!$AA:$AA,"SIM",Report!$C:$C,A125)</f>
        <v/>
      </c>
      <c r="D125" s="101" t="n"/>
      <c r="E125" s="101" t="n"/>
      <c r="F125" s="100">
        <f>B125+C125</f>
        <v/>
      </c>
    </row>
    <row r="126" ht="12.75" customHeight="1" s="60">
      <c r="A126" s="99" t="n">
        <v>46131</v>
      </c>
      <c r="B126" s="100">
        <f>SUMIFS(Report!$U:$U,Report!$T:$T,"&lt;&gt;"&amp;"MERCADORIAS P/REVENDA",Report!$AA:$AA,"SIM",Report!$C:$C,A126)</f>
        <v/>
      </c>
      <c r="C126" s="100">
        <f>SUMIFS(Report!$U:$U,Report!$T:$T,"MERCADORIAS P/REVENDA",Report!$AA:$AA,"SIM",Report!$C:$C,A126)</f>
        <v/>
      </c>
      <c r="D126" s="101" t="n"/>
      <c r="E126" s="101" t="n"/>
      <c r="F126" s="100">
        <f>B126+C126</f>
        <v/>
      </c>
    </row>
    <row r="127" ht="12.75" customHeight="1" s="60">
      <c r="A127" s="99" t="n">
        <v>46132</v>
      </c>
      <c r="B127" s="100">
        <f>SUMIFS(Report!$U:$U,Report!$T:$T,"&lt;&gt;"&amp;"MERCADORIAS P/REVENDA",Report!$AA:$AA,"SIM",Report!$C:$C,A127)</f>
        <v/>
      </c>
      <c r="C127" s="100">
        <f>SUMIFS(Report!$U:$U,Report!$T:$T,"MERCADORIAS P/REVENDA",Report!$AA:$AA,"SIM",Report!$C:$C,A127)</f>
        <v/>
      </c>
      <c r="D127" s="101" t="n"/>
      <c r="E127" s="101" t="n"/>
      <c r="F127" s="100">
        <f>B127+C127</f>
        <v/>
      </c>
    </row>
    <row r="128" ht="12.75" customHeight="1" s="60">
      <c r="A128" s="102">
        <f>"Subtotal Semana "&amp;TEXT(A121,"dd/mm/yyyy")&amp;" a "&amp;TEXT(A127,"dd/mm/yyyy")</f>
        <v/>
      </c>
      <c r="B128" s="90">
        <f>SUM(B121:B127)</f>
        <v/>
      </c>
      <c r="C128" s="90">
        <f>SUM(C121:C127)</f>
        <v/>
      </c>
      <c r="D128" s="94" t="n"/>
      <c r="E128" s="94" t="n"/>
      <c r="F128" s="90">
        <f>B128+C128</f>
        <v/>
      </c>
    </row>
    <row r="129" ht="12.75" customHeight="1" s="60">
      <c r="A129" s="75" t="n">
        <v>46133</v>
      </c>
      <c r="B129" s="77">
        <f>SUMIFS(Report!$U:$U,Report!$T:$T,"&lt;&gt;"&amp;"MERCADORIAS P/REVENDA",Report!$AA:$AA,"SIM",Report!$C:$C,A129)</f>
        <v/>
      </c>
      <c r="C129" s="77">
        <f>SUMIFS(Report!$U:$U,Report!$T:$T,"MERCADORIAS P/REVENDA",Report!$AA:$AA,"SIM",Report!$C:$C,A129)</f>
        <v/>
      </c>
      <c r="F129" s="77">
        <f>B129+C129</f>
        <v/>
      </c>
    </row>
    <row r="130" ht="12.75" customHeight="1" s="60">
      <c r="A130" s="75" t="n">
        <v>46134</v>
      </c>
      <c r="B130" s="77">
        <f>SUMIFS(Report!$U:$U,Report!$T:$T,"&lt;&gt;"&amp;"MERCADORIAS P/REVENDA",Report!$AA:$AA,"SIM",Report!$C:$C,A130)</f>
        <v/>
      </c>
      <c r="C130" s="77">
        <f>SUMIFS(Report!$U:$U,Report!$T:$T,"MERCADORIAS P/REVENDA",Report!$AA:$AA,"SIM",Report!$C:$C,A130)</f>
        <v/>
      </c>
      <c r="F130" s="77">
        <f>B130+C130</f>
        <v/>
      </c>
    </row>
    <row r="131" ht="12.75" customHeight="1" s="60">
      <c r="A131" s="75" t="n">
        <v>46135</v>
      </c>
      <c r="B131" s="77">
        <f>SUMIFS(Report!$U:$U,Report!$T:$T,"&lt;&gt;"&amp;"MERCADORIAS P/REVENDA",Report!$AA:$AA,"SIM",Report!$C:$C,A131)</f>
        <v/>
      </c>
      <c r="C131" s="77">
        <f>SUMIFS(Report!$U:$U,Report!$T:$T,"MERCADORIAS P/REVENDA",Report!$AA:$AA,"SIM",Report!$C:$C,A131)</f>
        <v/>
      </c>
      <c r="F131" s="77">
        <f>B131+C131</f>
        <v/>
      </c>
    </row>
    <row r="132" ht="12.75" customHeight="1" s="60">
      <c r="A132" s="75" t="n">
        <v>46136</v>
      </c>
      <c r="B132" s="77">
        <f>SUMIFS(Report!$U:$U,Report!$T:$T,"&lt;&gt;"&amp;"MERCADORIAS P/REVENDA",Report!$AA:$AA,"SIM",Report!$C:$C,A132)</f>
        <v/>
      </c>
      <c r="C132" s="77">
        <f>SUMIFS(Report!$U:$U,Report!$T:$T,"MERCADORIAS P/REVENDA",Report!$AA:$AA,"SIM",Report!$C:$C,A132)</f>
        <v/>
      </c>
      <c r="F132" s="77">
        <f>B132+C132</f>
        <v/>
      </c>
    </row>
    <row r="133" ht="12.75" customHeight="1" s="60">
      <c r="A133" s="99" t="n">
        <v>46137</v>
      </c>
      <c r="B133" s="100">
        <f>SUMIFS(Report!$U:$U,Report!$T:$T,"&lt;&gt;"&amp;"MERCADORIAS P/REVENDA",Report!$AA:$AA,"SIM",Report!$C:$C,A133)</f>
        <v/>
      </c>
      <c r="C133" s="100">
        <f>SUMIFS(Report!$U:$U,Report!$T:$T,"MERCADORIAS P/REVENDA",Report!$AA:$AA,"SIM",Report!$C:$C,A133)</f>
        <v/>
      </c>
      <c r="D133" s="101" t="n"/>
      <c r="E133" s="101" t="n"/>
      <c r="F133" s="100">
        <f>B133+C133</f>
        <v/>
      </c>
    </row>
    <row r="134" ht="12.75" customHeight="1" s="60">
      <c r="A134" s="99" t="n">
        <v>46138</v>
      </c>
      <c r="B134" s="100">
        <f>SUMIFS(Report!$U:$U,Report!$T:$T,"&lt;&gt;"&amp;"MERCADORIAS P/REVENDA",Report!$AA:$AA,"SIM",Report!$C:$C,A134)</f>
        <v/>
      </c>
      <c r="C134" s="100">
        <f>SUMIFS(Report!$U:$U,Report!$T:$T,"MERCADORIAS P/REVENDA",Report!$AA:$AA,"SIM",Report!$C:$C,A134)</f>
        <v/>
      </c>
      <c r="D134" s="101" t="n"/>
      <c r="E134" s="101" t="n"/>
      <c r="F134" s="100">
        <f>B134+C134</f>
        <v/>
      </c>
    </row>
    <row r="135" ht="12.75" customHeight="1" s="60">
      <c r="A135" s="99" t="n">
        <v>46139</v>
      </c>
      <c r="B135" s="100">
        <f>SUMIFS(Report!$U:$U,Report!$T:$T,"&lt;&gt;"&amp;"MERCADORIAS P/REVENDA",Report!$AA:$AA,"SIM",Report!$C:$C,A135)</f>
        <v/>
      </c>
      <c r="C135" s="100">
        <f>SUMIFS(Report!$U:$U,Report!$T:$T,"MERCADORIAS P/REVENDA",Report!$AA:$AA,"SIM",Report!$C:$C,A135)</f>
        <v/>
      </c>
      <c r="D135" s="101" t="n"/>
      <c r="E135" s="101" t="n"/>
      <c r="F135" s="100">
        <f>B135+C135</f>
        <v/>
      </c>
    </row>
    <row r="136" ht="12.75" customHeight="1" s="60">
      <c r="A136" s="102">
        <f>"Subtotal Semana "&amp;TEXT(A129,"dd/mm/yyyy")&amp;" a "&amp;TEXT(A135,"dd/mm/yyyy")</f>
        <v/>
      </c>
      <c r="B136" s="90">
        <f>SUM(B129:B135)</f>
        <v/>
      </c>
      <c r="C136" s="90">
        <f>SUM(C129:C135)</f>
        <v/>
      </c>
      <c r="D136" s="94" t="n"/>
      <c r="E136" s="94" t="n"/>
      <c r="F136" s="90">
        <f>B136+C136</f>
        <v/>
      </c>
    </row>
    <row r="137" ht="12.75" customHeight="1" s="60">
      <c r="A137" s="75" t="n">
        <v>46140</v>
      </c>
      <c r="B137" s="77">
        <f>SUMIFS(Report!$U:$U,Report!$T:$T,"&lt;&gt;"&amp;"MERCADORIAS P/REVENDA",Report!$AA:$AA,"SIM",Report!$C:$C,A137)</f>
        <v/>
      </c>
      <c r="C137" s="77">
        <f>SUMIFS(Report!$U:$U,Report!$T:$T,"MERCADORIAS P/REVENDA",Report!$AA:$AA,"SIM",Report!$C:$C,A137)</f>
        <v/>
      </c>
      <c r="F137" s="77">
        <f>B137+C137</f>
        <v/>
      </c>
    </row>
    <row r="138" ht="12.75" customHeight="1" s="60">
      <c r="A138" s="75" t="n">
        <v>46141</v>
      </c>
      <c r="B138" s="77">
        <f>SUMIFS(Report!$U:$U,Report!$T:$T,"&lt;&gt;"&amp;"MERCADORIAS P/REVENDA",Report!$AA:$AA,"SIM",Report!$C:$C,A138)</f>
        <v/>
      </c>
      <c r="C138" s="77">
        <f>SUMIFS(Report!$U:$U,Report!$T:$T,"MERCADORIAS P/REVENDA",Report!$AA:$AA,"SIM",Report!$C:$C,A138)</f>
        <v/>
      </c>
      <c r="F138" s="77">
        <f>B138+C138</f>
        <v/>
      </c>
    </row>
    <row r="139" ht="12.75" customHeight="1" s="60">
      <c r="A139" s="75" t="n">
        <v>46142</v>
      </c>
      <c r="B139" s="77">
        <f>SUMIFS(Report!$U:$U,Report!$T:$T,"&lt;&gt;"&amp;"MERCADORIAS P/REVENDA",Report!$AA:$AA,"SIM",Report!$C:$C,A139)</f>
        <v/>
      </c>
      <c r="C139" s="77">
        <f>SUMIFS(Report!$U:$U,Report!$T:$T,"MERCADORIAS P/REVENDA",Report!$AA:$AA,"SIM",Report!$C:$C,A139)</f>
        <v/>
      </c>
      <c r="F139" s="77">
        <f>B139+C139</f>
        <v/>
      </c>
    </row>
    <row r="140" ht="12.75" customHeight="1" s="60">
      <c r="A140" s="75" t="n">
        <v>46143</v>
      </c>
      <c r="B140" s="77">
        <f>SUMIFS(Report!$U:$U,Report!$T:$T,"&lt;&gt;"&amp;"MERCADORIAS P/REVENDA",Report!$AA:$AA,"SIM",Report!$C:$C,A140)</f>
        <v/>
      </c>
      <c r="C140" s="77">
        <f>SUMIFS(Report!$U:$U,Report!$T:$T,"MERCADORIAS P/REVENDA",Report!$AA:$AA,"SIM",Report!$C:$C,A140)</f>
        <v/>
      </c>
      <c r="F140" s="77">
        <f>B140+C140</f>
        <v/>
      </c>
    </row>
    <row r="141" ht="12.75" customHeight="1" s="60">
      <c r="A141" s="99" t="n">
        <v>46144</v>
      </c>
      <c r="B141" s="100">
        <f>SUMIFS(Report!$U:$U,Report!$T:$T,"&lt;&gt;"&amp;"MERCADORIAS P/REVENDA",Report!$AA:$AA,"SIM",Report!$C:$C,A141)</f>
        <v/>
      </c>
      <c r="C141" s="100">
        <f>SUMIFS(Report!$U:$U,Report!$T:$T,"MERCADORIAS P/REVENDA",Report!$AA:$AA,"SIM",Report!$C:$C,A141)</f>
        <v/>
      </c>
      <c r="D141" s="101" t="n"/>
      <c r="E141" s="101" t="n"/>
      <c r="F141" s="100">
        <f>B141+C141</f>
        <v/>
      </c>
    </row>
    <row r="142" ht="12.75" customHeight="1" s="60">
      <c r="A142" s="99" t="n">
        <v>46145</v>
      </c>
      <c r="B142" s="100">
        <f>SUMIFS(Report!$U:$U,Report!$T:$T,"&lt;&gt;"&amp;"MERCADORIAS P/REVENDA",Report!$AA:$AA,"SIM",Report!$C:$C,A142)</f>
        <v/>
      </c>
      <c r="C142" s="100">
        <f>SUMIFS(Report!$U:$U,Report!$T:$T,"MERCADORIAS P/REVENDA",Report!$AA:$AA,"SIM",Report!$C:$C,A142)</f>
        <v/>
      </c>
      <c r="D142" s="101" t="n"/>
      <c r="E142" s="101" t="n"/>
      <c r="F142" s="100">
        <f>B142+C142</f>
        <v/>
      </c>
    </row>
    <row r="143" ht="12.75" customHeight="1" s="60">
      <c r="A143" s="99" t="n">
        <v>46146</v>
      </c>
      <c r="B143" s="100">
        <f>SUMIFS(Report!$U:$U,Report!$T:$T,"&lt;&gt;"&amp;"MERCADORIAS P/REVENDA",Report!$AA:$AA,"SIM",Report!$C:$C,A143)</f>
        <v/>
      </c>
      <c r="C143" s="100">
        <f>SUMIFS(Report!$U:$U,Report!$T:$T,"MERCADORIAS P/REVENDA",Report!$AA:$AA,"SIM",Report!$C:$C,A143)</f>
        <v/>
      </c>
      <c r="D143" s="101" t="n"/>
      <c r="E143" s="101" t="n"/>
      <c r="F143" s="100">
        <f>B143+C143</f>
        <v/>
      </c>
    </row>
    <row r="144" ht="12.75" customHeight="1" s="60">
      <c r="A144" s="102">
        <f>"Subtotal Semana "&amp;TEXT(A137,"dd/mm/yyyy")&amp;" a "&amp;TEXT(A143,"dd/mm/yyyy")</f>
        <v/>
      </c>
      <c r="B144" s="90">
        <f>SUM(B137:B143)</f>
        <v/>
      </c>
      <c r="C144" s="90">
        <f>SUM(C137:C143)</f>
        <v/>
      </c>
      <c r="D144" s="94" t="n"/>
      <c r="E144" s="94" t="n"/>
      <c r="F144" s="90">
        <f>B144+C144</f>
        <v/>
      </c>
    </row>
    <row r="145" ht="12.75" customHeight="1" s="60">
      <c r="A145" s="75" t="n">
        <v>46147</v>
      </c>
      <c r="B145" s="77">
        <f>SUMIFS(Report!$U:$U,Report!$T:$T,"&lt;&gt;"&amp;"MERCADORIAS P/REVENDA",Report!$AA:$AA,"SIM",Report!$C:$C,A145)</f>
        <v/>
      </c>
      <c r="C145" s="77">
        <f>SUMIFS(Report!$U:$U,Report!$T:$T,"MERCADORIAS P/REVENDA",Report!$AA:$AA,"SIM",Report!$C:$C,A145)</f>
        <v/>
      </c>
      <c r="F145" s="77">
        <f>B145+C145</f>
        <v/>
      </c>
    </row>
    <row r="146" ht="12.75" customHeight="1" s="60">
      <c r="A146" s="75" t="n">
        <v>46148</v>
      </c>
      <c r="B146" s="77">
        <f>SUMIFS(Report!$U:$U,Report!$T:$T,"&lt;&gt;"&amp;"MERCADORIAS P/REVENDA",Report!$AA:$AA,"SIM",Report!$C:$C,A146)</f>
        <v/>
      </c>
      <c r="C146" s="77">
        <f>SUMIFS(Report!$U:$U,Report!$T:$T,"MERCADORIAS P/REVENDA",Report!$AA:$AA,"SIM",Report!$C:$C,A146)</f>
        <v/>
      </c>
      <c r="F146" s="77">
        <f>B146+C146</f>
        <v/>
      </c>
    </row>
    <row r="147" ht="12.75" customHeight="1" s="60">
      <c r="A147" s="75" t="n">
        <v>46149</v>
      </c>
      <c r="B147" s="77">
        <f>SUMIFS(Report!$U:$U,Report!$T:$T,"&lt;&gt;"&amp;"MERCADORIAS P/REVENDA",Report!$AA:$AA,"SIM",Report!$C:$C,A147)</f>
        <v/>
      </c>
      <c r="C147" s="77">
        <f>SUMIFS(Report!$U:$U,Report!$T:$T,"MERCADORIAS P/REVENDA",Report!$AA:$AA,"SIM",Report!$C:$C,A147)</f>
        <v/>
      </c>
      <c r="F147" s="77">
        <f>B147+C147</f>
        <v/>
      </c>
    </row>
    <row r="148" ht="12.75" customHeight="1" s="60">
      <c r="A148" s="75" t="n">
        <v>46150</v>
      </c>
      <c r="B148" s="77">
        <f>SUMIFS(Report!$U:$U,Report!$T:$T,"&lt;&gt;"&amp;"MERCADORIAS P/REVENDA",Report!$AA:$AA,"SIM",Report!$C:$C,A148)</f>
        <v/>
      </c>
      <c r="C148" s="77">
        <f>SUMIFS(Report!$U:$U,Report!$T:$T,"MERCADORIAS P/REVENDA",Report!$AA:$AA,"SIM",Report!$C:$C,A148)</f>
        <v/>
      </c>
      <c r="F148" s="77">
        <f>B148+C148</f>
        <v/>
      </c>
    </row>
    <row r="149" ht="12.75" customHeight="1" s="60">
      <c r="A149" s="99" t="n">
        <v>46151</v>
      </c>
      <c r="B149" s="100">
        <f>SUMIFS(Report!$U:$U,Report!$T:$T,"&lt;&gt;"&amp;"MERCADORIAS P/REVENDA",Report!$AA:$AA,"SIM",Report!$C:$C,A149)</f>
        <v/>
      </c>
      <c r="C149" s="100">
        <f>SUMIFS(Report!$U:$U,Report!$T:$T,"MERCADORIAS P/REVENDA",Report!$AA:$AA,"SIM",Report!$C:$C,A149)</f>
        <v/>
      </c>
      <c r="D149" s="101" t="n"/>
      <c r="E149" s="101" t="n"/>
      <c r="F149" s="100">
        <f>B149+C149</f>
        <v/>
      </c>
    </row>
    <row r="150" ht="12.75" customHeight="1" s="60">
      <c r="A150" s="99" t="n">
        <v>46152</v>
      </c>
      <c r="B150" s="100">
        <f>SUMIFS(Report!$U:$U,Report!$T:$T,"&lt;&gt;"&amp;"MERCADORIAS P/REVENDA",Report!$AA:$AA,"SIM",Report!$C:$C,A150)</f>
        <v/>
      </c>
      <c r="C150" s="100">
        <f>SUMIFS(Report!$U:$U,Report!$T:$T,"MERCADORIAS P/REVENDA",Report!$AA:$AA,"SIM",Report!$C:$C,A150)</f>
        <v/>
      </c>
      <c r="D150" s="101" t="n"/>
      <c r="E150" s="101" t="n"/>
      <c r="F150" s="100">
        <f>B150+C150</f>
        <v/>
      </c>
    </row>
    <row r="151" ht="12.75" customHeight="1" s="60">
      <c r="A151" s="99" t="n">
        <v>46153</v>
      </c>
      <c r="B151" s="100">
        <f>SUMIFS(Report!$U:$U,Report!$T:$T,"&lt;&gt;"&amp;"MERCADORIAS P/REVENDA",Report!$AA:$AA,"SIM",Report!$C:$C,A151)</f>
        <v/>
      </c>
      <c r="C151" s="100">
        <f>SUMIFS(Report!$U:$U,Report!$T:$T,"MERCADORIAS P/REVENDA",Report!$AA:$AA,"SIM",Report!$C:$C,A151)</f>
        <v/>
      </c>
      <c r="D151" s="101" t="n"/>
      <c r="E151" s="101" t="n"/>
      <c r="F151" s="100">
        <f>B151+C151</f>
        <v/>
      </c>
    </row>
    <row r="152" ht="12.75" customHeight="1" s="60">
      <c r="A152" s="102">
        <f>"Subtotal Semana "&amp;TEXT(A145,"dd/mm/yyyy")&amp;" a "&amp;TEXT(A151,"dd/mm/yyyy")</f>
        <v/>
      </c>
      <c r="B152" s="90">
        <f>SUM(B145:B151)</f>
        <v/>
      </c>
      <c r="C152" s="90">
        <f>SUM(C145:C151)</f>
        <v/>
      </c>
      <c r="D152" s="94" t="n"/>
      <c r="E152" s="94" t="n"/>
      <c r="F152" s="90">
        <f>B152+C152</f>
        <v/>
      </c>
    </row>
    <row r="153" ht="12.75" customHeight="1" s="60">
      <c r="A153" s="75" t="n">
        <v>46154</v>
      </c>
      <c r="B153" s="77">
        <f>SUMIFS(Report!$U:$U,Report!$T:$T,"&lt;&gt;"&amp;"MERCADORIAS P/REVENDA",Report!$AA:$AA,"SIM",Report!$C:$C,A153)</f>
        <v/>
      </c>
      <c r="C153" s="77">
        <f>SUMIFS(Report!$U:$U,Report!$T:$T,"MERCADORIAS P/REVENDA",Report!$AA:$AA,"SIM",Report!$C:$C,A153)</f>
        <v/>
      </c>
      <c r="F153" s="77">
        <f>B153+C153</f>
        <v/>
      </c>
    </row>
    <row r="154" ht="12.75" customHeight="1" s="60">
      <c r="A154" s="75" t="n">
        <v>46155</v>
      </c>
      <c r="B154" s="77">
        <f>SUMIFS(Report!$U:$U,Report!$T:$T,"&lt;&gt;"&amp;"MERCADORIAS P/REVENDA",Report!$AA:$AA,"SIM",Report!$C:$C,A154)</f>
        <v/>
      </c>
      <c r="C154" s="77">
        <f>SUMIFS(Report!$U:$U,Report!$T:$T,"MERCADORIAS P/REVENDA",Report!$AA:$AA,"SIM",Report!$C:$C,A154)</f>
        <v/>
      </c>
      <c r="F154" s="77">
        <f>B154+C154</f>
        <v/>
      </c>
    </row>
    <row r="155" ht="12.75" customHeight="1" s="60">
      <c r="A155" s="75" t="n">
        <v>46156</v>
      </c>
      <c r="B155" s="77">
        <f>SUMIFS(Report!$U:$U,Report!$T:$T,"&lt;&gt;"&amp;"MERCADORIAS P/REVENDA",Report!$AA:$AA,"SIM",Report!$C:$C,A155)</f>
        <v/>
      </c>
      <c r="C155" s="77">
        <f>SUMIFS(Report!$U:$U,Report!$T:$T,"MERCADORIAS P/REVENDA",Report!$AA:$AA,"SIM",Report!$C:$C,A155)</f>
        <v/>
      </c>
      <c r="F155" s="77">
        <f>B155+C155</f>
        <v/>
      </c>
    </row>
    <row r="156" ht="12.75" customHeight="1" s="60">
      <c r="A156" s="75" t="n">
        <v>46157</v>
      </c>
      <c r="B156" s="77">
        <f>SUMIFS(Report!$U:$U,Report!$T:$T,"&lt;&gt;"&amp;"MERCADORIAS P/REVENDA",Report!$AA:$AA,"SIM",Report!$C:$C,A156)</f>
        <v/>
      </c>
      <c r="C156" s="77">
        <f>SUMIFS(Report!$U:$U,Report!$T:$T,"MERCADORIAS P/REVENDA",Report!$AA:$AA,"SIM",Report!$C:$C,A156)</f>
        <v/>
      </c>
      <c r="F156" s="77">
        <f>B156+C156</f>
        <v/>
      </c>
    </row>
    <row r="157" ht="12.75" customHeight="1" s="60">
      <c r="A157" s="99" t="n">
        <v>46158</v>
      </c>
      <c r="B157" s="100">
        <f>SUMIFS(Report!$U:$U,Report!$T:$T,"&lt;&gt;"&amp;"MERCADORIAS P/REVENDA",Report!$AA:$AA,"SIM",Report!$C:$C,A157)</f>
        <v/>
      </c>
      <c r="C157" s="100">
        <f>SUMIFS(Report!$U:$U,Report!$T:$T,"MERCADORIAS P/REVENDA",Report!$AA:$AA,"SIM",Report!$C:$C,A157)</f>
        <v/>
      </c>
      <c r="D157" s="101" t="n"/>
      <c r="E157" s="101" t="n"/>
      <c r="F157" s="100">
        <f>B157+C157</f>
        <v/>
      </c>
    </row>
    <row r="158" ht="12.75" customHeight="1" s="60">
      <c r="A158" s="99" t="n">
        <v>46159</v>
      </c>
      <c r="B158" s="100">
        <f>SUMIFS(Report!$U:$U,Report!$T:$T,"&lt;&gt;"&amp;"MERCADORIAS P/REVENDA",Report!$AA:$AA,"SIM",Report!$C:$C,A158)</f>
        <v/>
      </c>
      <c r="C158" s="100">
        <f>SUMIFS(Report!$U:$U,Report!$T:$T,"MERCADORIAS P/REVENDA",Report!$AA:$AA,"SIM",Report!$C:$C,A158)</f>
        <v/>
      </c>
      <c r="D158" s="101" t="n"/>
      <c r="E158" s="101" t="n"/>
      <c r="F158" s="100">
        <f>B158+C158</f>
        <v/>
      </c>
    </row>
    <row r="159" ht="12.75" customHeight="1" s="60">
      <c r="A159" s="99" t="n">
        <v>46160</v>
      </c>
      <c r="B159" s="100">
        <f>SUMIFS(Report!$U:$U,Report!$T:$T,"&lt;&gt;"&amp;"MERCADORIAS P/REVENDA",Report!$AA:$AA,"SIM",Report!$C:$C,A159)</f>
        <v/>
      </c>
      <c r="C159" s="100">
        <f>SUMIFS(Report!$U:$U,Report!$T:$T,"MERCADORIAS P/REVENDA",Report!$AA:$AA,"SIM",Report!$C:$C,A159)</f>
        <v/>
      </c>
      <c r="D159" s="101" t="n"/>
      <c r="E159" s="101" t="n"/>
      <c r="F159" s="100">
        <f>B159+C159</f>
        <v/>
      </c>
    </row>
    <row r="160" ht="12.75" customHeight="1" s="60">
      <c r="A160" s="102">
        <f>"Subtotal Semana "&amp;TEXT(A153,"dd/mm/yyyy")&amp;" a "&amp;TEXT(A159,"dd/mm/yyyy")</f>
        <v/>
      </c>
      <c r="B160" s="90">
        <f>SUM(B153:B159)</f>
        <v/>
      </c>
      <c r="C160" s="90">
        <f>SUM(C153:C159)</f>
        <v/>
      </c>
      <c r="D160" s="94" t="n"/>
      <c r="E160" s="94" t="n"/>
      <c r="F160" s="90">
        <f>B160+C160</f>
        <v/>
      </c>
    </row>
    <row r="161" ht="12.75" customHeight="1" s="60">
      <c r="A161" s="75" t="n">
        <v>46161</v>
      </c>
      <c r="B161" s="77">
        <f>SUMIFS(Report!$U:$U,Report!$T:$T,"&lt;&gt;"&amp;"MERCADORIAS P/REVENDA",Report!$AA:$AA,"SIM",Report!$C:$C,A161)</f>
        <v/>
      </c>
      <c r="C161" s="77">
        <f>SUMIFS(Report!$U:$U,Report!$T:$T,"MERCADORIAS P/REVENDA",Report!$AA:$AA,"SIM",Report!$C:$C,A161)</f>
        <v/>
      </c>
      <c r="F161" s="77">
        <f>B161+C161</f>
        <v/>
      </c>
    </row>
    <row r="162" ht="12.75" customHeight="1" s="60">
      <c r="A162" s="75" t="n">
        <v>46162</v>
      </c>
      <c r="B162" s="77">
        <f>SUMIFS(Report!$U:$U,Report!$T:$T,"&lt;&gt;"&amp;"MERCADORIAS P/REVENDA",Report!$AA:$AA,"SIM",Report!$C:$C,A162)</f>
        <v/>
      </c>
      <c r="C162" s="77">
        <f>SUMIFS(Report!$U:$U,Report!$T:$T,"MERCADORIAS P/REVENDA",Report!$AA:$AA,"SIM",Report!$C:$C,A162)</f>
        <v/>
      </c>
      <c r="F162" s="77">
        <f>B162+C162</f>
        <v/>
      </c>
    </row>
    <row r="163" ht="12.75" customHeight="1" s="60">
      <c r="A163" s="75" t="n">
        <v>46163</v>
      </c>
      <c r="B163" s="77">
        <f>SUMIFS(Report!$U:$U,Report!$T:$T,"&lt;&gt;"&amp;"MERCADORIAS P/REVENDA",Report!$AA:$AA,"SIM",Report!$C:$C,A163)</f>
        <v/>
      </c>
      <c r="C163" s="77">
        <f>SUMIFS(Report!$U:$U,Report!$T:$T,"MERCADORIAS P/REVENDA",Report!$AA:$AA,"SIM",Report!$C:$C,A163)</f>
        <v/>
      </c>
      <c r="F163" s="77">
        <f>B163+C163</f>
        <v/>
      </c>
    </row>
    <row r="164" ht="12.75" customHeight="1" s="60">
      <c r="A164" s="75" t="n">
        <v>46164</v>
      </c>
      <c r="B164" s="77">
        <f>SUMIFS(Report!$U:$U,Report!$T:$T,"&lt;&gt;"&amp;"MERCADORIAS P/REVENDA",Report!$AA:$AA,"SIM",Report!$C:$C,A164)</f>
        <v/>
      </c>
      <c r="C164" s="77">
        <f>SUMIFS(Report!$U:$U,Report!$T:$T,"MERCADORIAS P/REVENDA",Report!$AA:$AA,"SIM",Report!$C:$C,A164)</f>
        <v/>
      </c>
      <c r="F164" s="77">
        <f>B164+C164</f>
        <v/>
      </c>
    </row>
    <row r="165" ht="12.75" customHeight="1" s="60">
      <c r="A165" s="99" t="n">
        <v>46165</v>
      </c>
      <c r="B165" s="100">
        <f>SUMIFS(Report!$U:$U,Report!$T:$T,"&lt;&gt;"&amp;"MERCADORIAS P/REVENDA",Report!$AA:$AA,"SIM",Report!$C:$C,A165)</f>
        <v/>
      </c>
      <c r="C165" s="100">
        <f>SUMIFS(Report!$U:$U,Report!$T:$T,"MERCADORIAS P/REVENDA",Report!$AA:$AA,"SIM",Report!$C:$C,A165)</f>
        <v/>
      </c>
      <c r="D165" s="101" t="n"/>
      <c r="E165" s="101" t="n"/>
      <c r="F165" s="100">
        <f>B165+C165</f>
        <v/>
      </c>
    </row>
    <row r="166" ht="12.75" customHeight="1" s="60">
      <c r="A166" s="99" t="n">
        <v>46166</v>
      </c>
      <c r="B166" s="100">
        <f>SUMIFS(Report!$U:$U,Report!$T:$T,"&lt;&gt;"&amp;"MERCADORIAS P/REVENDA",Report!$AA:$AA,"SIM",Report!$C:$C,A166)</f>
        <v/>
      </c>
      <c r="C166" s="100">
        <f>SUMIFS(Report!$U:$U,Report!$T:$T,"MERCADORIAS P/REVENDA",Report!$AA:$AA,"SIM",Report!$C:$C,A166)</f>
        <v/>
      </c>
      <c r="D166" s="101" t="n"/>
      <c r="E166" s="101" t="n"/>
      <c r="F166" s="100">
        <f>B166+C166</f>
        <v/>
      </c>
    </row>
    <row r="167" ht="12.75" customHeight="1" s="60">
      <c r="A167" s="99" t="n">
        <v>46167</v>
      </c>
      <c r="B167" s="100">
        <f>SUMIFS(Report!$U:$U,Report!$T:$T,"&lt;&gt;"&amp;"MERCADORIAS P/REVENDA",Report!$AA:$AA,"SIM",Report!$C:$C,A167)</f>
        <v/>
      </c>
      <c r="C167" s="100">
        <f>SUMIFS(Report!$U:$U,Report!$T:$T,"MERCADORIAS P/REVENDA",Report!$AA:$AA,"SIM",Report!$C:$C,A167)</f>
        <v/>
      </c>
      <c r="D167" s="101" t="n"/>
      <c r="E167" s="101" t="n"/>
      <c r="F167" s="100">
        <f>B167+C167</f>
        <v/>
      </c>
    </row>
    <row r="168" ht="12.75" customHeight="1" s="60">
      <c r="A168" s="102">
        <f>"Subtotal Semana "&amp;TEXT(A161,"dd/mm/yyyy")&amp;" a "&amp;TEXT(A167,"dd/mm/yyyy")</f>
        <v/>
      </c>
      <c r="B168" s="90">
        <f>SUM(B161:B167)</f>
        <v/>
      </c>
      <c r="C168" s="90">
        <f>SUM(C161:C167)</f>
        <v/>
      </c>
      <c r="D168" s="94" t="n"/>
      <c r="E168" s="94" t="n"/>
      <c r="F168" s="90">
        <f>B168+C168</f>
        <v/>
      </c>
    </row>
    <row r="169" ht="12.75" customHeight="1" s="60">
      <c r="A169" s="75" t="n">
        <v>46168</v>
      </c>
      <c r="B169" s="77">
        <f>SUMIFS(Report!$U:$U,Report!$T:$T,"&lt;&gt;"&amp;"MERCADORIAS P/REVENDA",Report!$AA:$AA,"SIM",Report!$C:$C,A169)</f>
        <v/>
      </c>
      <c r="C169" s="77">
        <f>SUMIFS(Report!$U:$U,Report!$T:$T,"MERCADORIAS P/REVENDA",Report!$AA:$AA,"SIM",Report!$C:$C,A169)</f>
        <v/>
      </c>
      <c r="F169" s="77">
        <f>B169+C169</f>
        <v/>
      </c>
    </row>
    <row r="170" ht="12.75" customHeight="1" s="60">
      <c r="A170" s="75" t="n">
        <v>46169</v>
      </c>
      <c r="B170" s="77">
        <f>SUMIFS(Report!$U:$U,Report!$T:$T,"&lt;&gt;"&amp;"MERCADORIAS P/REVENDA",Report!$AA:$AA,"SIM",Report!$C:$C,A170)</f>
        <v/>
      </c>
      <c r="C170" s="77">
        <f>SUMIFS(Report!$U:$U,Report!$T:$T,"MERCADORIAS P/REVENDA",Report!$AA:$AA,"SIM",Report!$C:$C,A170)</f>
        <v/>
      </c>
      <c r="F170" s="77">
        <f>B170+C170</f>
        <v/>
      </c>
    </row>
    <row r="171" ht="12.75" customHeight="1" s="60">
      <c r="A171" s="75" t="n">
        <v>46170</v>
      </c>
      <c r="B171" s="77">
        <f>SUMIFS(Report!$U:$U,Report!$T:$T,"&lt;&gt;"&amp;"MERCADORIAS P/REVENDA",Report!$AA:$AA,"SIM",Report!$C:$C,A171)</f>
        <v/>
      </c>
      <c r="C171" s="77">
        <f>SUMIFS(Report!$U:$U,Report!$T:$T,"MERCADORIAS P/REVENDA",Report!$AA:$AA,"SIM",Report!$C:$C,A171)</f>
        <v/>
      </c>
      <c r="F171" s="77">
        <f>B171+C171</f>
        <v/>
      </c>
    </row>
    <row r="172" ht="12.75" customHeight="1" s="60">
      <c r="A172" s="75" t="n">
        <v>46171</v>
      </c>
      <c r="B172" s="77">
        <f>SUMIFS(Report!$U:$U,Report!$T:$T,"&lt;&gt;"&amp;"MERCADORIAS P/REVENDA",Report!$AA:$AA,"SIM",Report!$C:$C,A172)</f>
        <v/>
      </c>
      <c r="C172" s="77">
        <f>SUMIFS(Report!$U:$U,Report!$T:$T,"MERCADORIAS P/REVENDA",Report!$AA:$AA,"SIM",Report!$C:$C,A172)</f>
        <v/>
      </c>
      <c r="F172" s="77">
        <f>B172+C172</f>
        <v/>
      </c>
    </row>
    <row r="173" ht="12.75" customHeight="1" s="60">
      <c r="A173" s="99" t="n">
        <v>46172</v>
      </c>
      <c r="B173" s="100">
        <f>SUMIFS(Report!$U:$U,Report!$T:$T,"&lt;&gt;"&amp;"MERCADORIAS P/REVENDA",Report!$AA:$AA,"SIM",Report!$C:$C,A173)</f>
        <v/>
      </c>
      <c r="C173" s="100">
        <f>SUMIFS(Report!$U:$U,Report!$T:$T,"MERCADORIAS P/REVENDA",Report!$AA:$AA,"SIM",Report!$C:$C,A173)</f>
        <v/>
      </c>
      <c r="D173" s="101" t="n"/>
      <c r="E173" s="101" t="n"/>
      <c r="F173" s="100">
        <f>B173+C173</f>
        <v/>
      </c>
    </row>
    <row r="174" ht="12.75" customHeight="1" s="60">
      <c r="A174" s="99" t="n">
        <v>46173</v>
      </c>
      <c r="B174" s="100">
        <f>SUMIFS(Report!$U:$U,Report!$T:$T,"&lt;&gt;"&amp;"MERCADORIAS P/REVENDA",Report!$AA:$AA,"SIM",Report!$C:$C,A174)</f>
        <v/>
      </c>
      <c r="C174" s="100">
        <f>SUMIFS(Report!$U:$U,Report!$T:$T,"MERCADORIAS P/REVENDA",Report!$AA:$AA,"SIM",Report!$C:$C,A174)</f>
        <v/>
      </c>
      <c r="D174" s="101" t="n"/>
      <c r="E174" s="101" t="n"/>
      <c r="F174" s="100">
        <f>B174+C174</f>
        <v/>
      </c>
    </row>
    <row r="175" ht="12.75" customHeight="1" s="60">
      <c r="A175" s="99" t="n">
        <v>46174</v>
      </c>
      <c r="B175" s="100">
        <f>SUMIFS(Report!$U:$U,Report!$T:$T,"&lt;&gt;"&amp;"MERCADORIAS P/REVENDA",Report!$AA:$AA,"SIM",Report!$C:$C,A175)</f>
        <v/>
      </c>
      <c r="C175" s="100">
        <f>SUMIFS(Report!$U:$U,Report!$T:$T,"MERCADORIAS P/REVENDA",Report!$AA:$AA,"SIM",Report!$C:$C,A175)</f>
        <v/>
      </c>
      <c r="D175" s="101" t="n"/>
      <c r="E175" s="101" t="n"/>
      <c r="F175" s="100">
        <f>B175+C175</f>
        <v/>
      </c>
    </row>
    <row r="176" ht="12.75" customHeight="1" s="60">
      <c r="A176" s="102">
        <f>"Subtotal Semana "&amp;TEXT(A169,"dd/mm/yyyy")&amp;" a "&amp;TEXT(A175,"dd/mm/yyyy")</f>
        <v/>
      </c>
      <c r="B176" s="90">
        <f>SUM(B169:B175)</f>
        <v/>
      </c>
      <c r="C176" s="90">
        <f>SUM(C169:C175)</f>
        <v/>
      </c>
      <c r="D176" s="94" t="n"/>
      <c r="E176" s="94" t="n"/>
      <c r="F176" s="90">
        <f>B176+C176</f>
        <v/>
      </c>
    </row>
    <row r="177" ht="12.75" customHeight="1" s="60">
      <c r="A177" s="75" t="n">
        <v>46175</v>
      </c>
      <c r="B177" s="77">
        <f>SUMIFS(Report!$U:$U,Report!$T:$T,"&lt;&gt;"&amp;"MERCADORIAS P/REVENDA",Report!$AA:$AA,"SIM",Report!$C:$C,A177)</f>
        <v/>
      </c>
      <c r="C177" s="77">
        <f>SUMIFS(Report!$U:$U,Report!$T:$T,"MERCADORIAS P/REVENDA",Report!$AA:$AA,"SIM",Report!$C:$C,A177)</f>
        <v/>
      </c>
      <c r="F177" s="77">
        <f>B177+C177</f>
        <v/>
      </c>
    </row>
    <row r="178" ht="12.75" customHeight="1" s="60">
      <c r="A178" s="75" t="n">
        <v>46176</v>
      </c>
      <c r="B178" s="77">
        <f>SUMIFS(Report!$U:$U,Report!$T:$T,"&lt;&gt;"&amp;"MERCADORIAS P/REVENDA",Report!$AA:$AA,"SIM",Report!$C:$C,A178)</f>
        <v/>
      </c>
      <c r="C178" s="77">
        <f>SUMIFS(Report!$U:$U,Report!$T:$T,"MERCADORIAS P/REVENDA",Report!$AA:$AA,"SIM",Report!$C:$C,A178)</f>
        <v/>
      </c>
      <c r="F178" s="77">
        <f>B178+C178</f>
        <v/>
      </c>
    </row>
    <row r="179" ht="12.75" customHeight="1" s="60">
      <c r="A179" s="75" t="n">
        <v>46177</v>
      </c>
      <c r="B179" s="77">
        <f>SUMIFS(Report!$U:$U,Report!$T:$T,"&lt;&gt;"&amp;"MERCADORIAS P/REVENDA",Report!$AA:$AA,"SIM",Report!$C:$C,A179)</f>
        <v/>
      </c>
      <c r="C179" s="77">
        <f>SUMIFS(Report!$U:$U,Report!$T:$T,"MERCADORIAS P/REVENDA",Report!$AA:$AA,"SIM",Report!$C:$C,A179)</f>
        <v/>
      </c>
      <c r="F179" s="77">
        <f>B179+C179</f>
        <v/>
      </c>
    </row>
    <row r="180" ht="12.75" customHeight="1" s="60">
      <c r="A180" s="75" t="n">
        <v>46178</v>
      </c>
      <c r="B180" s="77">
        <f>SUMIFS(Report!$U:$U,Report!$T:$T,"&lt;&gt;"&amp;"MERCADORIAS P/REVENDA",Report!$AA:$AA,"SIM",Report!$C:$C,A180)</f>
        <v/>
      </c>
      <c r="C180" s="77">
        <f>SUMIFS(Report!$U:$U,Report!$T:$T,"MERCADORIAS P/REVENDA",Report!$AA:$AA,"SIM",Report!$C:$C,A180)</f>
        <v/>
      </c>
      <c r="F180" s="77">
        <f>B180+C180</f>
        <v/>
      </c>
    </row>
    <row r="181" ht="12.75" customHeight="1" s="60">
      <c r="A181" s="99" t="n">
        <v>46179</v>
      </c>
      <c r="B181" s="100">
        <f>SUMIFS(Report!$U:$U,Report!$T:$T,"&lt;&gt;"&amp;"MERCADORIAS P/REVENDA",Report!$AA:$AA,"SIM",Report!$C:$C,A181)</f>
        <v/>
      </c>
      <c r="C181" s="100">
        <f>SUMIFS(Report!$U:$U,Report!$T:$T,"MERCADORIAS P/REVENDA",Report!$AA:$AA,"SIM",Report!$C:$C,A181)</f>
        <v/>
      </c>
      <c r="D181" s="101" t="n"/>
      <c r="E181" s="101" t="n"/>
      <c r="F181" s="100">
        <f>B181+C181</f>
        <v/>
      </c>
    </row>
    <row r="182" ht="12.75" customHeight="1" s="60">
      <c r="A182" s="99" t="n">
        <v>46180</v>
      </c>
      <c r="B182" s="100">
        <f>SUMIFS(Report!$U:$U,Report!$T:$T,"&lt;&gt;"&amp;"MERCADORIAS P/REVENDA",Report!$AA:$AA,"SIM",Report!$C:$C,A182)</f>
        <v/>
      </c>
      <c r="C182" s="100">
        <f>SUMIFS(Report!$U:$U,Report!$T:$T,"MERCADORIAS P/REVENDA",Report!$AA:$AA,"SIM",Report!$C:$C,A182)</f>
        <v/>
      </c>
      <c r="D182" s="101" t="n"/>
      <c r="E182" s="101" t="n"/>
      <c r="F182" s="100">
        <f>B182+C182</f>
        <v/>
      </c>
    </row>
    <row r="183" ht="12.75" customHeight="1" s="60">
      <c r="A183" s="99" t="n">
        <v>46181</v>
      </c>
      <c r="B183" s="100">
        <f>SUMIFS(Report!$U:$U,Report!$T:$T,"&lt;&gt;"&amp;"MERCADORIAS P/REVENDA",Report!$AA:$AA,"SIM",Report!$C:$C,A183)</f>
        <v/>
      </c>
      <c r="C183" s="100">
        <f>SUMIFS(Report!$U:$U,Report!$T:$T,"MERCADORIAS P/REVENDA",Report!$AA:$AA,"SIM",Report!$C:$C,A183)</f>
        <v/>
      </c>
      <c r="D183" s="101" t="n"/>
      <c r="E183" s="101" t="n"/>
      <c r="F183" s="100">
        <f>B183+C183</f>
        <v/>
      </c>
    </row>
    <row r="184" ht="12.75" customHeight="1" s="60">
      <c r="A184" s="102">
        <f>"Subtotal Semana "&amp;TEXT(A177,"dd/mm/yyyy")&amp;" a "&amp;TEXT(A183,"dd/mm/yyyy")</f>
        <v/>
      </c>
      <c r="B184" s="90">
        <f>SUM(B177:B183)</f>
        <v/>
      </c>
      <c r="C184" s="90">
        <f>SUM(C177:C183)</f>
        <v/>
      </c>
      <c r="D184" s="94" t="n"/>
      <c r="E184" s="94" t="n"/>
      <c r="F184" s="90">
        <f>B184+C184</f>
        <v/>
      </c>
    </row>
    <row r="185" ht="12.75" customHeight="1" s="60">
      <c r="A185" s="75" t="n">
        <v>46182</v>
      </c>
      <c r="B185" s="77">
        <f>SUMIFS(Report!$U:$U,Report!$T:$T,"&lt;&gt;"&amp;"MERCADORIAS P/REVENDA",Report!$AA:$AA,"SIM",Report!$C:$C,A185)</f>
        <v/>
      </c>
      <c r="C185" s="77">
        <f>SUMIFS(Report!$U:$U,Report!$T:$T,"MERCADORIAS P/REVENDA",Report!$AA:$AA,"SIM",Report!$C:$C,A185)</f>
        <v/>
      </c>
      <c r="F185" s="77">
        <f>B185+C185</f>
        <v/>
      </c>
    </row>
    <row r="186" ht="12.75" customHeight="1" s="60">
      <c r="A186" s="75" t="n">
        <v>46183</v>
      </c>
      <c r="B186" s="77">
        <f>SUMIFS(Report!$U:$U,Report!$T:$T,"&lt;&gt;"&amp;"MERCADORIAS P/REVENDA",Report!$AA:$AA,"SIM",Report!$C:$C,A186)</f>
        <v/>
      </c>
      <c r="C186" s="77">
        <f>SUMIFS(Report!$U:$U,Report!$T:$T,"MERCADORIAS P/REVENDA",Report!$AA:$AA,"SIM",Report!$C:$C,A186)</f>
        <v/>
      </c>
      <c r="F186" s="77">
        <f>B186+C186</f>
        <v/>
      </c>
    </row>
    <row r="187" ht="12.75" customHeight="1" s="60">
      <c r="A187" s="75" t="n">
        <v>46184</v>
      </c>
      <c r="B187" s="77">
        <f>SUMIFS(Report!$U:$U,Report!$T:$T,"&lt;&gt;"&amp;"MERCADORIAS P/REVENDA",Report!$AA:$AA,"SIM",Report!$C:$C,A187)</f>
        <v/>
      </c>
      <c r="C187" s="77">
        <f>SUMIFS(Report!$U:$U,Report!$T:$T,"MERCADORIAS P/REVENDA",Report!$AA:$AA,"SIM",Report!$C:$C,A187)</f>
        <v/>
      </c>
      <c r="F187" s="77">
        <f>B187+C187</f>
        <v/>
      </c>
    </row>
    <row r="188" ht="12.75" customHeight="1" s="60">
      <c r="A188" s="75" t="n">
        <v>46185</v>
      </c>
      <c r="B188" s="77">
        <f>SUMIFS(Report!$U:$U,Report!$T:$T,"&lt;&gt;"&amp;"MERCADORIAS P/REVENDA",Report!$AA:$AA,"SIM",Report!$C:$C,A188)</f>
        <v/>
      </c>
      <c r="C188" s="77">
        <f>SUMIFS(Report!$U:$U,Report!$T:$T,"MERCADORIAS P/REVENDA",Report!$AA:$AA,"SIM",Report!$C:$C,A188)</f>
        <v/>
      </c>
      <c r="F188" s="77">
        <f>B188+C188</f>
        <v/>
      </c>
    </row>
    <row r="189" ht="12.75" customHeight="1" s="60">
      <c r="A189" s="99" t="n">
        <v>46186</v>
      </c>
      <c r="B189" s="100">
        <f>SUMIFS(Report!$U:$U,Report!$T:$T,"&lt;&gt;"&amp;"MERCADORIAS P/REVENDA",Report!$AA:$AA,"SIM",Report!$C:$C,A189)</f>
        <v/>
      </c>
      <c r="C189" s="100">
        <f>SUMIFS(Report!$U:$U,Report!$T:$T,"MERCADORIAS P/REVENDA",Report!$AA:$AA,"SIM",Report!$C:$C,A189)</f>
        <v/>
      </c>
      <c r="D189" s="101" t="n"/>
      <c r="E189" s="101" t="n"/>
      <c r="F189" s="100">
        <f>B189+C189</f>
        <v/>
      </c>
    </row>
    <row r="190" ht="12.75" customHeight="1" s="60">
      <c r="A190" s="99" t="n">
        <v>46187</v>
      </c>
      <c r="B190" s="100">
        <f>SUMIFS(Report!$U:$U,Report!$T:$T,"&lt;&gt;"&amp;"MERCADORIAS P/REVENDA",Report!$AA:$AA,"SIM",Report!$C:$C,A190)</f>
        <v/>
      </c>
      <c r="C190" s="100">
        <f>SUMIFS(Report!$U:$U,Report!$T:$T,"MERCADORIAS P/REVENDA",Report!$AA:$AA,"SIM",Report!$C:$C,A190)</f>
        <v/>
      </c>
      <c r="D190" s="101" t="n"/>
      <c r="E190" s="101" t="n"/>
      <c r="F190" s="100">
        <f>B190+C190</f>
        <v/>
      </c>
    </row>
    <row r="191" ht="12.75" customHeight="1" s="60">
      <c r="A191" s="99" t="n">
        <v>46188</v>
      </c>
      <c r="B191" s="100">
        <f>SUMIFS(Report!$U:$U,Report!$T:$T,"&lt;&gt;"&amp;"MERCADORIAS P/REVENDA",Report!$AA:$AA,"SIM",Report!$C:$C,A191)</f>
        <v/>
      </c>
      <c r="C191" s="100">
        <f>SUMIFS(Report!$U:$U,Report!$T:$T,"MERCADORIAS P/REVENDA",Report!$AA:$AA,"SIM",Report!$C:$C,A191)</f>
        <v/>
      </c>
      <c r="D191" s="101" t="n"/>
      <c r="E191" s="101" t="n"/>
      <c r="F191" s="100">
        <f>B191+C191</f>
        <v/>
      </c>
    </row>
    <row r="192" ht="12.75" customHeight="1" s="60">
      <c r="A192" s="102">
        <f>"Subtotal Semana "&amp;TEXT(A185,"dd/mm/yyyy")&amp;" a "&amp;TEXT(A191,"dd/mm/yyyy")</f>
        <v/>
      </c>
      <c r="B192" s="90">
        <f>SUM(B185:B191)</f>
        <v/>
      </c>
      <c r="C192" s="90">
        <f>SUM(C185:C191)</f>
        <v/>
      </c>
      <c r="D192" s="94" t="n"/>
      <c r="E192" s="94" t="n"/>
      <c r="F192" s="90">
        <f>B192+C192</f>
        <v/>
      </c>
    </row>
    <row r="193" ht="12.75" customHeight="1" s="60">
      <c r="A193" s="75" t="n">
        <v>46189</v>
      </c>
      <c r="B193" s="77">
        <f>SUMIFS(Report!$U:$U,Report!$T:$T,"&lt;&gt;"&amp;"MERCADORIAS P/REVENDA",Report!$AA:$AA,"SIM",Report!$C:$C,A193)</f>
        <v/>
      </c>
      <c r="C193" s="77">
        <f>SUMIFS(Report!$U:$U,Report!$T:$T,"MERCADORIAS P/REVENDA",Report!$AA:$AA,"SIM",Report!$C:$C,A193)</f>
        <v/>
      </c>
      <c r="F193" s="77">
        <f>B193+C193</f>
        <v/>
      </c>
    </row>
    <row r="194" ht="12.75" customHeight="1" s="60">
      <c r="A194" s="75" t="n">
        <v>46190</v>
      </c>
      <c r="B194" s="77">
        <f>SUMIFS(Report!$U:$U,Report!$T:$T,"&lt;&gt;"&amp;"MERCADORIAS P/REVENDA",Report!$AA:$AA,"SIM",Report!$C:$C,A194)</f>
        <v/>
      </c>
      <c r="C194" s="77">
        <f>SUMIFS(Report!$U:$U,Report!$T:$T,"MERCADORIAS P/REVENDA",Report!$AA:$AA,"SIM",Report!$C:$C,A194)</f>
        <v/>
      </c>
      <c r="F194" s="77">
        <f>B194+C194</f>
        <v/>
      </c>
    </row>
    <row r="195" ht="12.75" customHeight="1" s="60">
      <c r="A195" s="75" t="n">
        <v>46191</v>
      </c>
      <c r="B195" s="77">
        <f>SUMIFS(Report!$U:$U,Report!$T:$T,"&lt;&gt;"&amp;"MERCADORIAS P/REVENDA",Report!$AA:$AA,"SIM",Report!$C:$C,A195)</f>
        <v/>
      </c>
      <c r="C195" s="77">
        <f>SUMIFS(Report!$U:$U,Report!$T:$T,"MERCADORIAS P/REVENDA",Report!$AA:$AA,"SIM",Report!$C:$C,A195)</f>
        <v/>
      </c>
      <c r="F195" s="77">
        <f>B195+C195</f>
        <v/>
      </c>
    </row>
    <row r="196" ht="12.75" customHeight="1" s="60">
      <c r="A196" s="75" t="n">
        <v>46192</v>
      </c>
      <c r="B196" s="77">
        <f>SUMIFS(Report!$U:$U,Report!$T:$T,"&lt;&gt;"&amp;"MERCADORIAS P/REVENDA",Report!$AA:$AA,"SIM",Report!$C:$C,A196)</f>
        <v/>
      </c>
      <c r="C196" s="77">
        <f>SUMIFS(Report!$U:$U,Report!$T:$T,"MERCADORIAS P/REVENDA",Report!$AA:$AA,"SIM",Report!$C:$C,A196)</f>
        <v/>
      </c>
      <c r="F196" s="77">
        <f>B196+C196</f>
        <v/>
      </c>
    </row>
    <row r="197" ht="12.75" customHeight="1" s="60">
      <c r="A197" s="99" t="n">
        <v>46193</v>
      </c>
      <c r="B197" s="100">
        <f>SUMIFS(Report!$U:$U,Report!$T:$T,"&lt;&gt;"&amp;"MERCADORIAS P/REVENDA",Report!$AA:$AA,"SIM",Report!$C:$C,A197)</f>
        <v/>
      </c>
      <c r="C197" s="100">
        <f>SUMIFS(Report!$U:$U,Report!$T:$T,"MERCADORIAS P/REVENDA",Report!$AA:$AA,"SIM",Report!$C:$C,A197)</f>
        <v/>
      </c>
      <c r="D197" s="101" t="n"/>
      <c r="E197" s="101" t="n"/>
      <c r="F197" s="100">
        <f>B197+C197</f>
        <v/>
      </c>
    </row>
    <row r="198" ht="12.75" customHeight="1" s="60">
      <c r="A198" s="99" t="n">
        <v>46194</v>
      </c>
      <c r="B198" s="100">
        <f>SUMIFS(Report!$U:$U,Report!$T:$T,"&lt;&gt;"&amp;"MERCADORIAS P/REVENDA",Report!$AA:$AA,"SIM",Report!$C:$C,A198)</f>
        <v/>
      </c>
      <c r="C198" s="100">
        <f>SUMIFS(Report!$U:$U,Report!$T:$T,"MERCADORIAS P/REVENDA",Report!$AA:$AA,"SIM",Report!$C:$C,A198)</f>
        <v/>
      </c>
      <c r="D198" s="101" t="n"/>
      <c r="E198" s="101" t="n"/>
      <c r="F198" s="100">
        <f>B198+C198</f>
        <v/>
      </c>
    </row>
    <row r="199" ht="12.75" customHeight="1" s="60">
      <c r="A199" s="99" t="n">
        <v>46195</v>
      </c>
      <c r="B199" s="100">
        <f>SUMIFS(Report!$U:$U,Report!$T:$T,"&lt;&gt;"&amp;"MERCADORIAS P/REVENDA",Report!$AA:$AA,"SIM",Report!$C:$C,A199)</f>
        <v/>
      </c>
      <c r="C199" s="100">
        <f>SUMIFS(Report!$U:$U,Report!$T:$T,"MERCADORIAS P/REVENDA",Report!$AA:$AA,"SIM",Report!$C:$C,A199)</f>
        <v/>
      </c>
      <c r="D199" s="101" t="n"/>
      <c r="E199" s="101" t="n"/>
      <c r="F199" s="100">
        <f>B199+C199</f>
        <v/>
      </c>
    </row>
    <row r="200" ht="12.75" customHeight="1" s="60">
      <c r="A200" s="102">
        <f>"Subtotal Semana "&amp;TEXT(A193,"dd/mm/yyyy")&amp;" a "&amp;TEXT(A199,"dd/mm/yyyy")</f>
        <v/>
      </c>
      <c r="B200" s="90">
        <f>SUM(B193:B199)</f>
        <v/>
      </c>
      <c r="C200" s="90">
        <f>SUM(C193:C199)</f>
        <v/>
      </c>
      <c r="D200" s="94" t="n"/>
      <c r="E200" s="94" t="n"/>
      <c r="F200" s="90">
        <f>B200+C200</f>
        <v/>
      </c>
    </row>
    <row r="201" ht="12.75" customHeight="1" s="60">
      <c r="A201" s="75" t="n">
        <v>46196</v>
      </c>
      <c r="B201" s="77">
        <f>SUMIFS(Report!$U:$U,Report!$T:$T,"&lt;&gt;"&amp;"MERCADORIAS P/REVENDA",Report!$AA:$AA,"SIM",Report!$C:$C,A201)</f>
        <v/>
      </c>
      <c r="C201" s="77">
        <f>SUMIFS(Report!$U:$U,Report!$T:$T,"MERCADORIAS P/REVENDA",Report!$AA:$AA,"SIM",Report!$C:$C,A201)</f>
        <v/>
      </c>
      <c r="F201" s="77">
        <f>B201+C201</f>
        <v/>
      </c>
    </row>
    <row r="202" ht="12.75" customHeight="1" s="60">
      <c r="A202" s="75" t="n">
        <v>46197</v>
      </c>
      <c r="B202" s="77">
        <f>SUMIFS(Report!$U:$U,Report!$T:$T,"&lt;&gt;"&amp;"MERCADORIAS P/REVENDA",Report!$AA:$AA,"SIM",Report!$C:$C,A202)</f>
        <v/>
      </c>
      <c r="C202" s="77">
        <f>SUMIFS(Report!$U:$U,Report!$T:$T,"MERCADORIAS P/REVENDA",Report!$AA:$AA,"SIM",Report!$C:$C,A202)</f>
        <v/>
      </c>
      <c r="F202" s="77">
        <f>B202+C202</f>
        <v/>
      </c>
    </row>
    <row r="203" ht="12.75" customHeight="1" s="60">
      <c r="A203" s="75" t="n">
        <v>46198</v>
      </c>
      <c r="B203" s="77">
        <f>SUMIFS(Report!$U:$U,Report!$T:$T,"&lt;&gt;"&amp;"MERCADORIAS P/REVENDA",Report!$AA:$AA,"SIM",Report!$C:$C,A203)</f>
        <v/>
      </c>
      <c r="C203" s="77">
        <f>SUMIFS(Report!$U:$U,Report!$T:$T,"MERCADORIAS P/REVENDA",Report!$AA:$AA,"SIM",Report!$C:$C,A203)</f>
        <v/>
      </c>
      <c r="F203" s="77">
        <f>B203+C203</f>
        <v/>
      </c>
    </row>
    <row r="204" ht="12.75" customHeight="1" s="60">
      <c r="A204" s="75" t="n">
        <v>46199</v>
      </c>
      <c r="B204" s="77">
        <f>SUMIFS(Report!$U:$U,Report!$T:$T,"&lt;&gt;"&amp;"MERCADORIAS P/REVENDA",Report!$AA:$AA,"SIM",Report!$C:$C,A204)</f>
        <v/>
      </c>
      <c r="C204" s="77">
        <f>SUMIFS(Report!$U:$U,Report!$T:$T,"MERCADORIAS P/REVENDA",Report!$AA:$AA,"SIM",Report!$C:$C,A204)</f>
        <v/>
      </c>
      <c r="F204" s="77">
        <f>B204+C204</f>
        <v/>
      </c>
    </row>
    <row r="205" ht="12.75" customHeight="1" s="60">
      <c r="A205" s="99" t="n">
        <v>46200</v>
      </c>
      <c r="B205" s="100">
        <f>SUMIFS(Report!$U:$U,Report!$T:$T,"&lt;&gt;"&amp;"MERCADORIAS P/REVENDA",Report!$AA:$AA,"SIM",Report!$C:$C,A205)</f>
        <v/>
      </c>
      <c r="C205" s="100">
        <f>SUMIFS(Report!$U:$U,Report!$T:$T,"MERCADORIAS P/REVENDA",Report!$AA:$AA,"SIM",Report!$C:$C,A205)</f>
        <v/>
      </c>
      <c r="D205" s="101" t="n"/>
      <c r="E205" s="101" t="n"/>
      <c r="F205" s="100">
        <f>B205+C205</f>
        <v/>
      </c>
    </row>
    <row r="206" ht="12.75" customHeight="1" s="60">
      <c r="A206" s="99" t="n">
        <v>46201</v>
      </c>
      <c r="B206" s="100">
        <f>SUMIFS(Report!$U:$U,Report!$T:$T,"&lt;&gt;"&amp;"MERCADORIAS P/REVENDA",Report!$AA:$AA,"SIM",Report!$C:$C,A206)</f>
        <v/>
      </c>
      <c r="C206" s="100">
        <f>SUMIFS(Report!$U:$U,Report!$T:$T,"MERCADORIAS P/REVENDA",Report!$AA:$AA,"SIM",Report!$C:$C,A206)</f>
        <v/>
      </c>
      <c r="D206" s="101" t="n"/>
      <c r="E206" s="101" t="n"/>
      <c r="F206" s="100">
        <f>B206+C206</f>
        <v/>
      </c>
    </row>
    <row r="207" ht="12.75" customHeight="1" s="60">
      <c r="A207" s="99" t="n">
        <v>46202</v>
      </c>
      <c r="B207" s="100">
        <f>SUMIFS(Report!$U:$U,Report!$T:$T,"&lt;&gt;"&amp;"MERCADORIAS P/REVENDA",Report!$AA:$AA,"SIM",Report!$C:$C,A207)</f>
        <v/>
      </c>
      <c r="C207" s="100">
        <f>SUMIFS(Report!$U:$U,Report!$T:$T,"MERCADORIAS P/REVENDA",Report!$AA:$AA,"SIM",Report!$C:$C,A207)</f>
        <v/>
      </c>
      <c r="D207" s="101" t="n"/>
      <c r="E207" s="101" t="n"/>
      <c r="F207" s="100">
        <f>B207+C207</f>
        <v/>
      </c>
    </row>
    <row r="208" ht="12.75" customHeight="1" s="60">
      <c r="A208" s="102">
        <f>"Subtotal Semana "&amp;TEXT(A201,"dd/mm/yyyy")&amp;" a "&amp;TEXT(A207,"dd/mm/yyyy")</f>
        <v/>
      </c>
      <c r="B208" s="90">
        <f>SUM(B201:B207)</f>
        <v/>
      </c>
      <c r="C208" s="90">
        <f>SUM(C201:C207)</f>
        <v/>
      </c>
      <c r="D208" s="94" t="n"/>
      <c r="E208" s="94" t="n"/>
      <c r="F208" s="90">
        <f>B208+C208</f>
        <v/>
      </c>
    </row>
    <row r="209" ht="12.75" customHeight="1" s="60">
      <c r="A209" s="75" t="n">
        <v>46203</v>
      </c>
      <c r="B209" s="77">
        <f>SUMIFS(Report!$U:$U,Report!$T:$T,"&lt;&gt;"&amp;"MERCADORIAS P/REVENDA",Report!$AA:$AA,"SIM",Report!$C:$C,A209)</f>
        <v/>
      </c>
      <c r="C209" s="77">
        <f>SUMIFS(Report!$U:$U,Report!$T:$T,"MERCADORIAS P/REVENDA",Report!$AA:$AA,"SIM",Report!$C:$C,A209)</f>
        <v/>
      </c>
      <c r="F209" s="77">
        <f>B209+C209</f>
        <v/>
      </c>
    </row>
    <row r="210" ht="12.75" customHeight="1" s="60">
      <c r="A210" s="75" t="n">
        <v>46204</v>
      </c>
      <c r="B210" s="77">
        <f>SUMIFS(Report!$U:$U,Report!$T:$T,"&lt;&gt;"&amp;"MERCADORIAS P/REVENDA",Report!$AA:$AA,"SIM",Report!$C:$C,A210)</f>
        <v/>
      </c>
      <c r="C210" s="77">
        <f>SUMIFS(Report!$U:$U,Report!$T:$T,"MERCADORIAS P/REVENDA",Report!$AA:$AA,"SIM",Report!$C:$C,A210)</f>
        <v/>
      </c>
      <c r="F210" s="77">
        <f>B210+C210</f>
        <v/>
      </c>
    </row>
    <row r="211" ht="12.75" customHeight="1" s="60">
      <c r="A211" s="75" t="n">
        <v>46205</v>
      </c>
      <c r="B211" s="77">
        <f>SUMIFS(Report!$U:$U,Report!$T:$T,"&lt;&gt;"&amp;"MERCADORIAS P/REVENDA",Report!$AA:$AA,"SIM",Report!$C:$C,A211)</f>
        <v/>
      </c>
      <c r="C211" s="77">
        <f>SUMIFS(Report!$U:$U,Report!$T:$T,"MERCADORIAS P/REVENDA",Report!$AA:$AA,"SIM",Report!$C:$C,A211)</f>
        <v/>
      </c>
      <c r="F211" s="77">
        <f>B211+C211</f>
        <v/>
      </c>
    </row>
    <row r="212" ht="12.75" customHeight="1" s="60">
      <c r="A212" s="75" t="n">
        <v>46206</v>
      </c>
      <c r="B212" s="77">
        <f>SUMIFS(Report!$U:$U,Report!$T:$T,"&lt;&gt;"&amp;"MERCADORIAS P/REVENDA",Report!$AA:$AA,"SIM",Report!$C:$C,A212)</f>
        <v/>
      </c>
      <c r="C212" s="77">
        <f>SUMIFS(Report!$U:$U,Report!$T:$T,"MERCADORIAS P/REVENDA",Report!$AA:$AA,"SIM",Report!$C:$C,A212)</f>
        <v/>
      </c>
      <c r="F212" s="77">
        <f>B212+C212</f>
        <v/>
      </c>
    </row>
    <row r="213" ht="12.75" customHeight="1" s="60">
      <c r="A213" s="99" t="n">
        <v>46207</v>
      </c>
      <c r="B213" s="100">
        <f>SUMIFS(Report!$U:$U,Report!$T:$T,"&lt;&gt;"&amp;"MERCADORIAS P/REVENDA",Report!$AA:$AA,"SIM",Report!$C:$C,A213)</f>
        <v/>
      </c>
      <c r="C213" s="100">
        <f>SUMIFS(Report!$U:$U,Report!$T:$T,"MERCADORIAS P/REVENDA",Report!$AA:$AA,"SIM",Report!$C:$C,A213)</f>
        <v/>
      </c>
      <c r="D213" s="101" t="n"/>
      <c r="E213" s="101" t="n"/>
      <c r="F213" s="100">
        <f>B213+C213</f>
        <v/>
      </c>
    </row>
    <row r="214" ht="12.75" customHeight="1" s="60">
      <c r="A214" s="99" t="n">
        <v>46208</v>
      </c>
      <c r="B214" s="100">
        <f>SUMIFS(Report!$U:$U,Report!$T:$T,"&lt;&gt;"&amp;"MERCADORIAS P/REVENDA",Report!$AA:$AA,"SIM",Report!$C:$C,A214)</f>
        <v/>
      </c>
      <c r="C214" s="100">
        <f>SUMIFS(Report!$U:$U,Report!$T:$T,"MERCADORIAS P/REVENDA",Report!$AA:$AA,"SIM",Report!$C:$C,A214)</f>
        <v/>
      </c>
      <c r="D214" s="101" t="n"/>
      <c r="E214" s="101" t="n"/>
      <c r="F214" s="100">
        <f>B214+C214</f>
        <v/>
      </c>
    </row>
    <row r="215" ht="12.75" customHeight="1" s="60">
      <c r="A215" s="99" t="n">
        <v>46209</v>
      </c>
      <c r="B215" s="100">
        <f>SUMIFS(Report!$U:$U,Report!$T:$T,"&lt;&gt;"&amp;"MERCADORIAS P/REVENDA",Report!$AA:$AA,"SIM",Report!$C:$C,A215)</f>
        <v/>
      </c>
      <c r="C215" s="100">
        <f>SUMIFS(Report!$U:$U,Report!$T:$T,"MERCADORIAS P/REVENDA",Report!$AA:$AA,"SIM",Report!$C:$C,A215)</f>
        <v/>
      </c>
      <c r="D215" s="101" t="n"/>
      <c r="E215" s="101" t="n"/>
      <c r="F215" s="100">
        <f>B215+C215</f>
        <v/>
      </c>
    </row>
    <row r="216" ht="12.75" customHeight="1" s="60">
      <c r="A216" s="102">
        <f>"Subtotal Semana "&amp;TEXT(A209,"dd/mm/yyyy")&amp;" a "&amp;TEXT(A215,"dd/mm/yyyy")</f>
        <v/>
      </c>
      <c r="B216" s="90">
        <f>SUM(B209:B215)</f>
        <v/>
      </c>
      <c r="C216" s="90">
        <f>SUM(C209:C215)</f>
        <v/>
      </c>
      <c r="D216" s="94" t="n"/>
      <c r="E216" s="94" t="n"/>
      <c r="F216" s="90">
        <f>B216+C216</f>
        <v/>
      </c>
    </row>
    <row r="217" ht="12.75" customHeight="1" s="60">
      <c r="A217" s="75" t="n">
        <v>46210</v>
      </c>
      <c r="B217" s="77">
        <f>SUMIFS(Report!$U:$U,Report!$T:$T,"&lt;&gt;"&amp;"MERCADORIAS P/REVENDA",Report!$AA:$AA,"SIM",Report!$C:$C,A217)</f>
        <v/>
      </c>
      <c r="C217" s="77">
        <f>SUMIFS(Report!$U:$U,Report!$T:$T,"MERCADORIAS P/REVENDA",Report!$AA:$AA,"SIM",Report!$C:$C,A217)</f>
        <v/>
      </c>
      <c r="F217" s="77">
        <f>B217+C217</f>
        <v/>
      </c>
    </row>
    <row r="218" ht="12.75" customHeight="1" s="60">
      <c r="A218" s="75" t="n">
        <v>46211</v>
      </c>
      <c r="B218" s="77">
        <f>SUMIFS(Report!$U:$U,Report!$T:$T,"&lt;&gt;"&amp;"MERCADORIAS P/REVENDA",Report!$AA:$AA,"SIM",Report!$C:$C,A218)</f>
        <v/>
      </c>
      <c r="C218" s="77">
        <f>SUMIFS(Report!$U:$U,Report!$T:$T,"MERCADORIAS P/REVENDA",Report!$AA:$AA,"SIM",Report!$C:$C,A218)</f>
        <v/>
      </c>
      <c r="F218" s="77">
        <f>B218+C218</f>
        <v/>
      </c>
    </row>
    <row r="219" ht="12.75" customHeight="1" s="60">
      <c r="A219" s="75" t="n">
        <v>46212</v>
      </c>
      <c r="B219" s="77">
        <f>SUMIFS(Report!$U:$U,Report!$T:$T,"&lt;&gt;"&amp;"MERCADORIAS P/REVENDA",Report!$AA:$AA,"SIM",Report!$C:$C,A219)</f>
        <v/>
      </c>
      <c r="C219" s="77">
        <f>SUMIFS(Report!$U:$U,Report!$T:$T,"MERCADORIAS P/REVENDA",Report!$AA:$AA,"SIM",Report!$C:$C,A219)</f>
        <v/>
      </c>
      <c r="F219" s="77">
        <f>B219+C219</f>
        <v/>
      </c>
    </row>
    <row r="220" ht="12.75" customHeight="1" s="60">
      <c r="A220" s="75" t="n">
        <v>46213</v>
      </c>
      <c r="B220" s="77">
        <f>SUMIFS(Report!$U:$U,Report!$T:$T,"&lt;&gt;"&amp;"MERCADORIAS P/REVENDA",Report!$AA:$AA,"SIM",Report!$C:$C,A220)</f>
        <v/>
      </c>
      <c r="C220" s="77">
        <f>SUMIFS(Report!$U:$U,Report!$T:$T,"MERCADORIAS P/REVENDA",Report!$AA:$AA,"SIM",Report!$C:$C,A220)</f>
        <v/>
      </c>
      <c r="F220" s="77">
        <f>B220+C220</f>
        <v/>
      </c>
    </row>
    <row r="221" ht="12.75" customHeight="1" s="60">
      <c r="A221" s="99" t="n">
        <v>46214</v>
      </c>
      <c r="B221" s="100">
        <f>SUMIFS(Report!$U:$U,Report!$T:$T,"&lt;&gt;"&amp;"MERCADORIAS P/REVENDA",Report!$AA:$AA,"SIM",Report!$C:$C,A221)</f>
        <v/>
      </c>
      <c r="C221" s="100">
        <f>SUMIFS(Report!$U:$U,Report!$T:$T,"MERCADORIAS P/REVENDA",Report!$AA:$AA,"SIM",Report!$C:$C,A221)</f>
        <v/>
      </c>
      <c r="D221" s="101" t="n"/>
      <c r="E221" s="101" t="n"/>
      <c r="F221" s="100">
        <f>B221+C221</f>
        <v/>
      </c>
    </row>
    <row r="222" ht="12.75" customHeight="1" s="60">
      <c r="A222" s="99" t="n">
        <v>46215</v>
      </c>
      <c r="B222" s="100">
        <f>SUMIFS(Report!$U:$U,Report!$T:$T,"&lt;&gt;"&amp;"MERCADORIAS P/REVENDA",Report!$AA:$AA,"SIM",Report!$C:$C,A222)</f>
        <v/>
      </c>
      <c r="C222" s="100">
        <f>SUMIFS(Report!$U:$U,Report!$T:$T,"MERCADORIAS P/REVENDA",Report!$AA:$AA,"SIM",Report!$C:$C,A222)</f>
        <v/>
      </c>
      <c r="D222" s="101" t="n"/>
      <c r="E222" s="101" t="n"/>
      <c r="F222" s="100">
        <f>B222+C222</f>
        <v/>
      </c>
    </row>
    <row r="223" ht="12.75" customHeight="1" s="60">
      <c r="A223" s="99" t="n">
        <v>46216</v>
      </c>
      <c r="B223" s="100">
        <f>SUMIFS(Report!$U:$U,Report!$T:$T,"&lt;&gt;"&amp;"MERCADORIAS P/REVENDA",Report!$AA:$AA,"SIM",Report!$C:$C,A223)</f>
        <v/>
      </c>
      <c r="C223" s="100">
        <f>SUMIFS(Report!$U:$U,Report!$T:$T,"MERCADORIAS P/REVENDA",Report!$AA:$AA,"SIM",Report!$C:$C,A223)</f>
        <v/>
      </c>
      <c r="D223" s="101" t="n"/>
      <c r="E223" s="101" t="n"/>
      <c r="F223" s="100">
        <f>B223+C223</f>
        <v/>
      </c>
    </row>
    <row r="224" ht="12.75" customHeight="1" s="60">
      <c r="A224" s="102">
        <f>"Subtotal Semana "&amp;TEXT(A217,"dd/mm/yyyy")&amp;" a "&amp;TEXT(A223,"dd/mm/yyyy")</f>
        <v/>
      </c>
      <c r="B224" s="90">
        <f>SUM(B217:B223)</f>
        <v/>
      </c>
      <c r="C224" s="90">
        <f>SUM(C217:C223)</f>
        <v/>
      </c>
      <c r="D224" s="94" t="n"/>
      <c r="E224" s="94" t="n"/>
      <c r="F224" s="90">
        <f>B224+C224</f>
        <v/>
      </c>
    </row>
    <row r="225" ht="12.75" customHeight="1" s="60">
      <c r="A225" s="75" t="n">
        <v>46217</v>
      </c>
      <c r="B225" s="77">
        <f>SUMIFS(Report!$U:$U,Report!$T:$T,"&lt;&gt;"&amp;"MERCADORIAS P/REVENDA",Report!$AA:$AA,"SIM",Report!$C:$C,A225)</f>
        <v/>
      </c>
      <c r="C225" s="77">
        <f>SUMIFS(Report!$U:$U,Report!$T:$T,"MERCADORIAS P/REVENDA",Report!$AA:$AA,"SIM",Report!$C:$C,A225)</f>
        <v/>
      </c>
      <c r="F225" s="77">
        <f>B225+C225</f>
        <v/>
      </c>
    </row>
    <row r="226" ht="12.75" customHeight="1" s="60">
      <c r="A226" s="75" t="n">
        <v>46218</v>
      </c>
      <c r="B226" s="77">
        <f>SUMIFS(Report!$U:$U,Report!$T:$T,"&lt;&gt;"&amp;"MERCADORIAS P/REVENDA",Report!$AA:$AA,"SIM",Report!$C:$C,A226)</f>
        <v/>
      </c>
      <c r="C226" s="77">
        <f>SUMIFS(Report!$U:$U,Report!$T:$T,"MERCADORIAS P/REVENDA",Report!$AA:$AA,"SIM",Report!$C:$C,A226)</f>
        <v/>
      </c>
      <c r="F226" s="77">
        <f>B226+C226</f>
        <v/>
      </c>
    </row>
    <row r="227" ht="12.75" customHeight="1" s="60">
      <c r="A227" s="75" t="n">
        <v>46219</v>
      </c>
      <c r="B227" s="77">
        <f>SUMIFS(Report!$U:$U,Report!$T:$T,"&lt;&gt;"&amp;"MERCADORIAS P/REVENDA",Report!$AA:$AA,"SIM",Report!$C:$C,A227)</f>
        <v/>
      </c>
      <c r="C227" s="77">
        <f>SUMIFS(Report!$U:$U,Report!$T:$T,"MERCADORIAS P/REVENDA",Report!$AA:$AA,"SIM",Report!$C:$C,A227)</f>
        <v/>
      </c>
      <c r="F227" s="77">
        <f>B227+C227</f>
        <v/>
      </c>
    </row>
    <row r="228" ht="12.75" customHeight="1" s="60">
      <c r="A228" s="75" t="n">
        <v>46220</v>
      </c>
      <c r="B228" s="77">
        <f>SUMIFS(Report!$U:$U,Report!$T:$T,"&lt;&gt;"&amp;"MERCADORIAS P/REVENDA",Report!$AA:$AA,"SIM",Report!$C:$C,A228)</f>
        <v/>
      </c>
      <c r="C228" s="77">
        <f>SUMIFS(Report!$U:$U,Report!$T:$T,"MERCADORIAS P/REVENDA",Report!$AA:$AA,"SIM",Report!$C:$C,A228)</f>
        <v/>
      </c>
      <c r="F228" s="77">
        <f>B228+C228</f>
        <v/>
      </c>
    </row>
    <row r="229" ht="12.75" customHeight="1" s="60">
      <c r="A229" s="99" t="n">
        <v>46221</v>
      </c>
      <c r="B229" s="100">
        <f>SUMIFS(Report!$U:$U,Report!$T:$T,"&lt;&gt;"&amp;"MERCADORIAS P/REVENDA",Report!$AA:$AA,"SIM",Report!$C:$C,A229)</f>
        <v/>
      </c>
      <c r="C229" s="100">
        <f>SUMIFS(Report!$U:$U,Report!$T:$T,"MERCADORIAS P/REVENDA",Report!$AA:$AA,"SIM",Report!$C:$C,A229)</f>
        <v/>
      </c>
      <c r="D229" s="101" t="n"/>
      <c r="E229" s="101" t="n"/>
      <c r="F229" s="100">
        <f>B229+C229</f>
        <v/>
      </c>
    </row>
    <row r="230" ht="12.75" customHeight="1" s="60">
      <c r="A230" s="99" t="n">
        <v>46222</v>
      </c>
      <c r="B230" s="100">
        <f>SUMIFS(Report!$U:$U,Report!$T:$T,"&lt;&gt;"&amp;"MERCADORIAS P/REVENDA",Report!$AA:$AA,"SIM",Report!$C:$C,A230)</f>
        <v/>
      </c>
      <c r="C230" s="100">
        <f>SUMIFS(Report!$U:$U,Report!$T:$T,"MERCADORIAS P/REVENDA",Report!$AA:$AA,"SIM",Report!$C:$C,A230)</f>
        <v/>
      </c>
      <c r="D230" s="101" t="n"/>
      <c r="E230" s="101" t="n"/>
      <c r="F230" s="100">
        <f>B230+C230</f>
        <v/>
      </c>
    </row>
    <row r="231" ht="12.75" customHeight="1" s="60">
      <c r="A231" s="99" t="n">
        <v>46223</v>
      </c>
      <c r="B231" s="100">
        <f>SUMIFS(Report!$U:$U,Report!$T:$T,"&lt;&gt;"&amp;"MERCADORIAS P/REVENDA",Report!$AA:$AA,"SIM",Report!$C:$C,A231)</f>
        <v/>
      </c>
      <c r="C231" s="100">
        <f>SUMIFS(Report!$U:$U,Report!$T:$T,"MERCADORIAS P/REVENDA",Report!$AA:$AA,"SIM",Report!$C:$C,A231)</f>
        <v/>
      </c>
      <c r="D231" s="101" t="n"/>
      <c r="E231" s="101" t="n"/>
      <c r="F231" s="100">
        <f>B231+C231</f>
        <v/>
      </c>
    </row>
    <row r="232" ht="12.75" customHeight="1" s="60">
      <c r="A232" s="102">
        <f>"Subtotal Semana "&amp;TEXT(A225,"dd/mm/yyyy")&amp;" a "&amp;TEXT(A231,"dd/mm/yyyy")</f>
        <v/>
      </c>
      <c r="B232" s="90">
        <f>SUM(B225:B231)</f>
        <v/>
      </c>
      <c r="C232" s="90">
        <f>SUM(C225:C231)</f>
        <v/>
      </c>
      <c r="D232" s="94" t="n"/>
      <c r="E232" s="94" t="n"/>
      <c r="F232" s="90">
        <f>B232+C232</f>
        <v/>
      </c>
    </row>
    <row r="233" ht="12.75" customHeight="1" s="60">
      <c r="A233" s="75" t="n">
        <v>46224</v>
      </c>
      <c r="B233" s="77">
        <f>SUMIFS(Report!$U:$U,Report!$T:$T,"&lt;&gt;"&amp;"MERCADORIAS P/REVENDA",Report!$AA:$AA,"SIM",Report!$C:$C,A233)</f>
        <v/>
      </c>
      <c r="C233" s="77">
        <f>SUMIFS(Report!$U:$U,Report!$T:$T,"MERCADORIAS P/REVENDA",Report!$AA:$AA,"SIM",Report!$C:$C,A233)</f>
        <v/>
      </c>
      <c r="F233" s="77">
        <f>B233+C233</f>
        <v/>
      </c>
    </row>
    <row r="234" ht="12.75" customHeight="1" s="60">
      <c r="A234" s="75" t="n">
        <v>46225</v>
      </c>
      <c r="B234" s="77">
        <f>SUMIFS(Report!$U:$U,Report!$T:$T,"&lt;&gt;"&amp;"MERCADORIAS P/REVENDA",Report!$AA:$AA,"SIM",Report!$C:$C,A234)</f>
        <v/>
      </c>
      <c r="C234" s="77">
        <f>SUMIFS(Report!$U:$U,Report!$T:$T,"MERCADORIAS P/REVENDA",Report!$AA:$AA,"SIM",Report!$C:$C,A234)</f>
        <v/>
      </c>
      <c r="F234" s="77">
        <f>B234+C234</f>
        <v/>
      </c>
    </row>
    <row r="235" ht="12.75" customHeight="1" s="60">
      <c r="A235" s="75" t="n">
        <v>46226</v>
      </c>
      <c r="B235" s="77">
        <f>SUMIFS(Report!$U:$U,Report!$T:$T,"&lt;&gt;"&amp;"MERCADORIAS P/REVENDA",Report!$AA:$AA,"SIM",Report!$C:$C,A235)</f>
        <v/>
      </c>
      <c r="C235" s="77">
        <f>SUMIFS(Report!$U:$U,Report!$T:$T,"MERCADORIAS P/REVENDA",Report!$AA:$AA,"SIM",Report!$C:$C,A235)</f>
        <v/>
      </c>
      <c r="F235" s="77">
        <f>B235+C235</f>
        <v/>
      </c>
    </row>
    <row r="236" ht="12.75" customHeight="1" s="60">
      <c r="A236" s="75" t="n">
        <v>46227</v>
      </c>
      <c r="B236" s="77">
        <f>SUMIFS(Report!$U:$U,Report!$T:$T,"&lt;&gt;"&amp;"MERCADORIAS P/REVENDA",Report!$AA:$AA,"SIM",Report!$C:$C,A236)</f>
        <v/>
      </c>
      <c r="C236" s="77">
        <f>SUMIFS(Report!$U:$U,Report!$T:$T,"MERCADORIAS P/REVENDA",Report!$AA:$AA,"SIM",Report!$C:$C,A236)</f>
        <v/>
      </c>
      <c r="F236" s="77">
        <f>B236+C236</f>
        <v/>
      </c>
    </row>
    <row r="237" ht="12.75" customHeight="1" s="60">
      <c r="A237" s="99" t="n">
        <v>46228</v>
      </c>
      <c r="B237" s="100">
        <f>SUMIFS(Report!$U:$U,Report!$T:$T,"&lt;&gt;"&amp;"MERCADORIAS P/REVENDA",Report!$AA:$AA,"SIM",Report!$C:$C,A237)</f>
        <v/>
      </c>
      <c r="C237" s="100">
        <f>SUMIFS(Report!$U:$U,Report!$T:$T,"MERCADORIAS P/REVENDA",Report!$AA:$AA,"SIM",Report!$C:$C,A237)</f>
        <v/>
      </c>
      <c r="D237" s="101" t="n"/>
      <c r="E237" s="101" t="n"/>
      <c r="F237" s="100">
        <f>B237+C237</f>
        <v/>
      </c>
    </row>
    <row r="238" ht="12.75" customHeight="1" s="60">
      <c r="A238" s="99" t="n">
        <v>46229</v>
      </c>
      <c r="B238" s="100">
        <f>SUMIFS(Report!$U:$U,Report!$T:$T,"&lt;&gt;"&amp;"MERCADORIAS P/REVENDA",Report!$AA:$AA,"SIM",Report!$C:$C,A238)</f>
        <v/>
      </c>
      <c r="C238" s="100">
        <f>SUMIFS(Report!$U:$U,Report!$T:$T,"MERCADORIAS P/REVENDA",Report!$AA:$AA,"SIM",Report!$C:$C,A238)</f>
        <v/>
      </c>
      <c r="D238" s="101" t="n"/>
      <c r="E238" s="101" t="n"/>
      <c r="F238" s="100">
        <f>B238+C238</f>
        <v/>
      </c>
    </row>
    <row r="239" ht="12.75" customHeight="1" s="60">
      <c r="A239" s="99" t="n">
        <v>46230</v>
      </c>
      <c r="B239" s="100">
        <f>SUMIFS(Report!$U:$U,Report!$T:$T,"&lt;&gt;"&amp;"MERCADORIAS P/REVENDA",Report!$AA:$AA,"SIM",Report!$C:$C,A239)</f>
        <v/>
      </c>
      <c r="C239" s="100">
        <f>SUMIFS(Report!$U:$U,Report!$T:$T,"MERCADORIAS P/REVENDA",Report!$AA:$AA,"SIM",Report!$C:$C,A239)</f>
        <v/>
      </c>
      <c r="D239" s="101" t="n"/>
      <c r="E239" s="101" t="n"/>
      <c r="F239" s="100">
        <f>B239+C239</f>
        <v/>
      </c>
    </row>
    <row r="240" ht="12.75" customHeight="1" s="60">
      <c r="A240" s="102">
        <f>"Subtotal Semana "&amp;TEXT(A233,"dd/mm/yyyy")&amp;" a "&amp;TEXT(A239,"dd/mm/yyyy")</f>
        <v/>
      </c>
      <c r="B240" s="90">
        <f>SUM(B233:B239)</f>
        <v/>
      </c>
      <c r="C240" s="90">
        <f>SUM(C233:C239)</f>
        <v/>
      </c>
      <c r="D240" s="94" t="n"/>
      <c r="E240" s="94" t="n"/>
      <c r="F240" s="90">
        <f>B240+C240</f>
        <v/>
      </c>
    </row>
    <row r="241" ht="12.75" customHeight="1" s="60">
      <c r="A241" s="75" t="n">
        <v>46231</v>
      </c>
      <c r="B241" s="77">
        <f>SUMIFS(Report!$U:$U,Report!$T:$T,"&lt;&gt;"&amp;"MERCADORIAS P/REVENDA",Report!$AA:$AA,"SIM",Report!$C:$C,A241)</f>
        <v/>
      </c>
      <c r="C241" s="77">
        <f>SUMIFS(Report!$U:$U,Report!$T:$T,"MERCADORIAS P/REVENDA",Report!$AA:$AA,"SIM",Report!$C:$C,A241)</f>
        <v/>
      </c>
      <c r="F241" s="77">
        <f>B241+C241</f>
        <v/>
      </c>
    </row>
    <row r="242" ht="12.75" customHeight="1" s="60">
      <c r="A242" s="75" t="n">
        <v>46232</v>
      </c>
      <c r="B242" s="77">
        <f>SUMIFS(Report!$U:$U,Report!$T:$T,"&lt;&gt;"&amp;"MERCADORIAS P/REVENDA",Report!$AA:$AA,"SIM",Report!$C:$C,A242)</f>
        <v/>
      </c>
      <c r="C242" s="77">
        <f>SUMIFS(Report!$U:$U,Report!$T:$T,"MERCADORIAS P/REVENDA",Report!$AA:$AA,"SIM",Report!$C:$C,A242)</f>
        <v/>
      </c>
      <c r="F242" s="77">
        <f>B242+C242</f>
        <v/>
      </c>
    </row>
    <row r="243" ht="12.75" customHeight="1" s="60">
      <c r="A243" s="75" t="n">
        <v>46233</v>
      </c>
      <c r="B243" s="77">
        <f>SUMIFS(Report!$U:$U,Report!$T:$T,"&lt;&gt;"&amp;"MERCADORIAS P/REVENDA",Report!$AA:$AA,"SIM",Report!$C:$C,A243)</f>
        <v/>
      </c>
      <c r="C243" s="77">
        <f>SUMIFS(Report!$U:$U,Report!$T:$T,"MERCADORIAS P/REVENDA",Report!$AA:$AA,"SIM",Report!$C:$C,A243)</f>
        <v/>
      </c>
      <c r="F243" s="77">
        <f>B243+C243</f>
        <v/>
      </c>
    </row>
    <row r="244" ht="12.75" customHeight="1" s="60">
      <c r="A244" s="75" t="n">
        <v>46234</v>
      </c>
      <c r="B244" s="77">
        <f>SUMIFS(Report!$U:$U,Report!$T:$T,"&lt;&gt;"&amp;"MERCADORIAS P/REVENDA",Report!$AA:$AA,"SIM",Report!$C:$C,A244)</f>
        <v/>
      </c>
      <c r="C244" s="77">
        <f>SUMIFS(Report!$U:$U,Report!$T:$T,"MERCADORIAS P/REVENDA",Report!$AA:$AA,"SIM",Report!$C:$C,A244)</f>
        <v/>
      </c>
      <c r="F244" s="77">
        <f>B244+C244</f>
        <v/>
      </c>
    </row>
    <row r="245" ht="12.75" customHeight="1" s="60">
      <c r="A245" s="99" t="n">
        <v>46235</v>
      </c>
      <c r="B245" s="100">
        <f>SUMIFS(Report!$U:$U,Report!$T:$T,"&lt;&gt;"&amp;"MERCADORIAS P/REVENDA",Report!$AA:$AA,"SIM",Report!$C:$C,A245)</f>
        <v/>
      </c>
      <c r="C245" s="100">
        <f>SUMIFS(Report!$U:$U,Report!$T:$T,"MERCADORIAS P/REVENDA",Report!$AA:$AA,"SIM",Report!$C:$C,A245)</f>
        <v/>
      </c>
      <c r="D245" s="101" t="n"/>
      <c r="E245" s="101" t="n"/>
      <c r="F245" s="100">
        <f>B245+C245</f>
        <v/>
      </c>
    </row>
    <row r="246" ht="12.75" customHeight="1" s="60">
      <c r="A246" s="99" t="n">
        <v>46236</v>
      </c>
      <c r="B246" s="100">
        <f>SUMIFS(Report!$U:$U,Report!$T:$T,"&lt;&gt;"&amp;"MERCADORIAS P/REVENDA",Report!$AA:$AA,"SIM",Report!$C:$C,A246)</f>
        <v/>
      </c>
      <c r="C246" s="100">
        <f>SUMIFS(Report!$U:$U,Report!$T:$T,"MERCADORIAS P/REVENDA",Report!$AA:$AA,"SIM",Report!$C:$C,A246)</f>
        <v/>
      </c>
      <c r="D246" s="101" t="n"/>
      <c r="E246" s="101" t="n"/>
      <c r="F246" s="100">
        <f>B246+C246</f>
        <v/>
      </c>
    </row>
    <row r="247" ht="12.75" customHeight="1" s="60">
      <c r="A247" s="99" t="n">
        <v>46237</v>
      </c>
      <c r="B247" s="100">
        <f>SUMIFS(Report!$U:$U,Report!$T:$T,"&lt;&gt;"&amp;"MERCADORIAS P/REVENDA",Report!$AA:$AA,"SIM",Report!$C:$C,A247)</f>
        <v/>
      </c>
      <c r="C247" s="100">
        <f>SUMIFS(Report!$U:$U,Report!$T:$T,"MERCADORIAS P/REVENDA",Report!$AA:$AA,"SIM",Report!$C:$C,A247)</f>
        <v/>
      </c>
      <c r="D247" s="101" t="n"/>
      <c r="E247" s="101" t="n"/>
      <c r="F247" s="100">
        <f>B247+C247</f>
        <v/>
      </c>
    </row>
    <row r="248" ht="12.75" customHeight="1" s="60">
      <c r="A248" s="102">
        <f>"Subtotal Semana "&amp;TEXT(A241,"dd/mm/yyyy")&amp;" a "&amp;TEXT(A247,"dd/mm/yyyy")</f>
        <v/>
      </c>
      <c r="B248" s="90">
        <f>SUM(B241:B247)</f>
        <v/>
      </c>
      <c r="C248" s="90">
        <f>SUM(C241:C247)</f>
        <v/>
      </c>
      <c r="D248" s="94" t="n"/>
      <c r="E248" s="94" t="n"/>
      <c r="F248" s="90">
        <f>B248+C248</f>
        <v/>
      </c>
    </row>
    <row r="249" ht="12.75" customHeight="1" s="60">
      <c r="A249" s="75" t="n">
        <v>46238</v>
      </c>
      <c r="B249" s="77">
        <f>SUMIFS(Report!$U:$U,Report!$T:$T,"&lt;&gt;"&amp;"MERCADORIAS P/REVENDA",Report!$AA:$AA,"SIM",Report!$C:$C,A249)</f>
        <v/>
      </c>
      <c r="C249" s="77">
        <f>SUMIFS(Report!$U:$U,Report!$T:$T,"MERCADORIAS P/REVENDA",Report!$AA:$AA,"SIM",Report!$C:$C,A249)</f>
        <v/>
      </c>
      <c r="F249" s="77">
        <f>B249+C249</f>
        <v/>
      </c>
    </row>
    <row r="250" ht="12.75" customHeight="1" s="60">
      <c r="A250" s="75" t="n">
        <v>46239</v>
      </c>
      <c r="B250" s="77">
        <f>SUMIFS(Report!$U:$U,Report!$T:$T,"&lt;&gt;"&amp;"MERCADORIAS P/REVENDA",Report!$AA:$AA,"SIM",Report!$C:$C,A250)</f>
        <v/>
      </c>
      <c r="C250" s="77">
        <f>SUMIFS(Report!$U:$U,Report!$T:$T,"MERCADORIAS P/REVENDA",Report!$AA:$AA,"SIM",Report!$C:$C,A250)</f>
        <v/>
      </c>
      <c r="F250" s="77">
        <f>B250+C250</f>
        <v/>
      </c>
    </row>
    <row r="251" ht="12.75" customHeight="1" s="60">
      <c r="A251" s="75" t="n">
        <v>46240</v>
      </c>
      <c r="B251" s="77">
        <f>SUMIFS(Report!$U:$U,Report!$T:$T,"&lt;&gt;"&amp;"MERCADORIAS P/REVENDA",Report!$AA:$AA,"SIM",Report!$C:$C,A251)</f>
        <v/>
      </c>
      <c r="C251" s="77">
        <f>SUMIFS(Report!$U:$U,Report!$T:$T,"MERCADORIAS P/REVENDA",Report!$AA:$AA,"SIM",Report!$C:$C,A251)</f>
        <v/>
      </c>
      <c r="F251" s="77">
        <f>B251+C251</f>
        <v/>
      </c>
    </row>
    <row r="252" ht="12.75" customHeight="1" s="60">
      <c r="A252" s="75" t="n">
        <v>46241</v>
      </c>
      <c r="B252" s="77">
        <f>SUMIFS(Report!$U:$U,Report!$T:$T,"&lt;&gt;"&amp;"MERCADORIAS P/REVENDA",Report!$AA:$AA,"SIM",Report!$C:$C,A252)</f>
        <v/>
      </c>
      <c r="C252" s="77">
        <f>SUMIFS(Report!$U:$U,Report!$T:$T,"MERCADORIAS P/REVENDA",Report!$AA:$AA,"SIM",Report!$C:$C,A252)</f>
        <v/>
      </c>
      <c r="F252" s="77">
        <f>B252+C252</f>
        <v/>
      </c>
    </row>
    <row r="253" ht="12.75" customHeight="1" s="60">
      <c r="A253" s="99" t="n">
        <v>46242</v>
      </c>
      <c r="B253" s="100">
        <f>SUMIFS(Report!$U:$U,Report!$T:$T,"&lt;&gt;"&amp;"MERCADORIAS P/REVENDA",Report!$AA:$AA,"SIM",Report!$C:$C,A253)</f>
        <v/>
      </c>
      <c r="C253" s="100">
        <f>SUMIFS(Report!$U:$U,Report!$T:$T,"MERCADORIAS P/REVENDA",Report!$AA:$AA,"SIM",Report!$C:$C,A253)</f>
        <v/>
      </c>
      <c r="D253" s="101" t="n"/>
      <c r="E253" s="101" t="n"/>
      <c r="F253" s="100">
        <f>B253+C253</f>
        <v/>
      </c>
    </row>
    <row r="254" ht="12.75" customHeight="1" s="60">
      <c r="A254" s="99" t="n">
        <v>46243</v>
      </c>
      <c r="B254" s="100">
        <f>SUMIFS(Report!$U:$U,Report!$T:$T,"&lt;&gt;"&amp;"MERCADORIAS P/REVENDA",Report!$AA:$AA,"SIM",Report!$C:$C,A254)</f>
        <v/>
      </c>
      <c r="C254" s="100">
        <f>SUMIFS(Report!$U:$U,Report!$T:$T,"MERCADORIAS P/REVENDA",Report!$AA:$AA,"SIM",Report!$C:$C,A254)</f>
        <v/>
      </c>
      <c r="D254" s="101" t="n"/>
      <c r="E254" s="101" t="n"/>
      <c r="F254" s="100">
        <f>B254+C254</f>
        <v/>
      </c>
    </row>
    <row r="255" ht="12.75" customHeight="1" s="60">
      <c r="A255" s="99" t="n">
        <v>46244</v>
      </c>
      <c r="B255" s="100">
        <f>SUMIFS(Report!$U:$U,Report!$T:$T,"&lt;&gt;"&amp;"MERCADORIAS P/REVENDA",Report!$AA:$AA,"SIM",Report!$C:$C,A255)</f>
        <v/>
      </c>
      <c r="C255" s="100">
        <f>SUMIFS(Report!$U:$U,Report!$T:$T,"MERCADORIAS P/REVENDA",Report!$AA:$AA,"SIM",Report!$C:$C,A255)</f>
        <v/>
      </c>
      <c r="D255" s="101" t="n"/>
      <c r="E255" s="101" t="n"/>
      <c r="F255" s="100">
        <f>B255+C255</f>
        <v/>
      </c>
    </row>
    <row r="256" ht="12.75" customHeight="1" s="60">
      <c r="A256" s="102">
        <f>"Subtotal Semana "&amp;TEXT(A249,"dd/mm/yyyy")&amp;" a "&amp;TEXT(A255,"dd/mm/yyyy")</f>
        <v/>
      </c>
      <c r="B256" s="90">
        <f>SUM(B249:B255)</f>
        <v/>
      </c>
      <c r="C256" s="90">
        <f>SUM(C249:C255)</f>
        <v/>
      </c>
      <c r="D256" s="94" t="n"/>
      <c r="E256" s="94" t="n"/>
      <c r="F256" s="90">
        <f>B256+C256</f>
        <v/>
      </c>
    </row>
    <row r="257" ht="12.75" customHeight="1" s="60">
      <c r="A257" s="75" t="n">
        <v>46245</v>
      </c>
      <c r="B257" s="77">
        <f>SUMIFS(Report!$U:$U,Report!$T:$T,"&lt;&gt;"&amp;"MERCADORIAS P/REVENDA",Report!$AA:$AA,"SIM",Report!$C:$C,A257)</f>
        <v/>
      </c>
      <c r="C257" s="77">
        <f>SUMIFS(Report!$U:$U,Report!$T:$T,"MERCADORIAS P/REVENDA",Report!$AA:$AA,"SIM",Report!$C:$C,A257)</f>
        <v/>
      </c>
      <c r="F257" s="77">
        <f>B257+C257</f>
        <v/>
      </c>
    </row>
    <row r="258" ht="12.75" customHeight="1" s="60">
      <c r="A258" s="75" t="n">
        <v>46246</v>
      </c>
      <c r="B258" s="77">
        <f>SUMIFS(Report!$U:$U,Report!$T:$T,"&lt;&gt;"&amp;"MERCADORIAS P/REVENDA",Report!$AA:$AA,"SIM",Report!$C:$C,A258)</f>
        <v/>
      </c>
      <c r="C258" s="77">
        <f>SUMIFS(Report!$U:$U,Report!$T:$T,"MERCADORIAS P/REVENDA",Report!$AA:$AA,"SIM",Report!$C:$C,A258)</f>
        <v/>
      </c>
      <c r="F258" s="77">
        <f>B258+C258</f>
        <v/>
      </c>
    </row>
    <row r="259" ht="12.75" customHeight="1" s="60">
      <c r="A259" s="75" t="n">
        <v>46247</v>
      </c>
      <c r="B259" s="77">
        <f>SUMIFS(Report!$U:$U,Report!$T:$T,"&lt;&gt;"&amp;"MERCADORIAS P/REVENDA",Report!$AA:$AA,"SIM",Report!$C:$C,A259)</f>
        <v/>
      </c>
      <c r="C259" s="77">
        <f>SUMIFS(Report!$U:$U,Report!$T:$T,"MERCADORIAS P/REVENDA",Report!$AA:$AA,"SIM",Report!$C:$C,A259)</f>
        <v/>
      </c>
      <c r="F259" s="77">
        <f>B259+C259</f>
        <v/>
      </c>
    </row>
    <row r="260" ht="12.75" customHeight="1" s="60">
      <c r="A260" s="75" t="n">
        <v>46248</v>
      </c>
      <c r="B260" s="77">
        <f>SUMIFS(Report!$U:$U,Report!$T:$T,"&lt;&gt;"&amp;"MERCADORIAS P/REVENDA",Report!$AA:$AA,"SIM",Report!$C:$C,A260)</f>
        <v/>
      </c>
      <c r="C260" s="77">
        <f>SUMIFS(Report!$U:$U,Report!$T:$T,"MERCADORIAS P/REVENDA",Report!$AA:$AA,"SIM",Report!$C:$C,A260)</f>
        <v/>
      </c>
      <c r="F260" s="77">
        <f>B260+C260</f>
        <v/>
      </c>
    </row>
    <row r="261" ht="12.75" customHeight="1" s="60">
      <c r="A261" s="99" t="n">
        <v>46249</v>
      </c>
      <c r="B261" s="100">
        <f>SUMIFS(Report!$U:$U,Report!$T:$T,"&lt;&gt;"&amp;"MERCADORIAS P/REVENDA",Report!$AA:$AA,"SIM",Report!$C:$C,A261)</f>
        <v/>
      </c>
      <c r="C261" s="100">
        <f>SUMIFS(Report!$U:$U,Report!$T:$T,"MERCADORIAS P/REVENDA",Report!$AA:$AA,"SIM",Report!$C:$C,A261)</f>
        <v/>
      </c>
      <c r="D261" s="101" t="n"/>
      <c r="E261" s="101" t="n"/>
      <c r="F261" s="100">
        <f>B261+C261</f>
        <v/>
      </c>
    </row>
    <row r="262" ht="12.75" customHeight="1" s="60">
      <c r="A262" s="99" t="n">
        <v>46250</v>
      </c>
      <c r="B262" s="100">
        <f>SUMIFS(Report!$U:$U,Report!$T:$T,"&lt;&gt;"&amp;"MERCADORIAS P/REVENDA",Report!$AA:$AA,"SIM",Report!$C:$C,A262)</f>
        <v/>
      </c>
      <c r="C262" s="100">
        <f>SUMIFS(Report!$U:$U,Report!$T:$T,"MERCADORIAS P/REVENDA",Report!$AA:$AA,"SIM",Report!$C:$C,A262)</f>
        <v/>
      </c>
      <c r="D262" s="101" t="n"/>
      <c r="E262" s="101" t="n"/>
      <c r="F262" s="100">
        <f>B262+C262</f>
        <v/>
      </c>
    </row>
    <row r="263" ht="12.75" customHeight="1" s="60">
      <c r="A263" s="99" t="n">
        <v>46251</v>
      </c>
      <c r="B263" s="100">
        <f>SUMIFS(Report!$U:$U,Report!$T:$T,"&lt;&gt;"&amp;"MERCADORIAS P/REVENDA",Report!$AA:$AA,"SIM",Report!$C:$C,A263)</f>
        <v/>
      </c>
      <c r="C263" s="100">
        <f>SUMIFS(Report!$U:$U,Report!$T:$T,"MERCADORIAS P/REVENDA",Report!$AA:$AA,"SIM",Report!$C:$C,A263)</f>
        <v/>
      </c>
      <c r="D263" s="101" t="n"/>
      <c r="E263" s="101" t="n"/>
      <c r="F263" s="100">
        <f>B263+C263</f>
        <v/>
      </c>
    </row>
    <row r="264" ht="12.75" customHeight="1" s="60">
      <c r="A264" s="102">
        <f>"Subtotal Semana "&amp;TEXT(A257,"dd/mm/yyyy")&amp;" a "&amp;TEXT(A263,"dd/mm/yyyy")</f>
        <v/>
      </c>
      <c r="B264" s="90">
        <f>SUM(B257:B263)</f>
        <v/>
      </c>
      <c r="C264" s="90">
        <f>SUM(C257:C263)</f>
        <v/>
      </c>
      <c r="D264" s="94" t="n"/>
      <c r="E264" s="94" t="n"/>
      <c r="F264" s="90">
        <f>B264+C264</f>
        <v/>
      </c>
    </row>
    <row r="265" ht="12.75" customHeight="1" s="60">
      <c r="A265" s="75" t="n">
        <v>46252</v>
      </c>
      <c r="B265" s="77">
        <f>SUMIFS(Report!$U:$U,Report!$T:$T,"&lt;&gt;"&amp;"MERCADORIAS P/REVENDA",Report!$AA:$AA,"SIM",Report!$C:$C,A265)</f>
        <v/>
      </c>
      <c r="C265" s="77">
        <f>SUMIFS(Report!$U:$U,Report!$T:$T,"MERCADORIAS P/REVENDA",Report!$AA:$AA,"SIM",Report!$C:$C,A265)</f>
        <v/>
      </c>
      <c r="F265" s="77">
        <f>B265+C265</f>
        <v/>
      </c>
    </row>
    <row r="266" ht="12.75" customHeight="1" s="60">
      <c r="A266" s="75" t="n">
        <v>46253</v>
      </c>
      <c r="B266" s="77">
        <f>SUMIFS(Report!$U:$U,Report!$T:$T,"&lt;&gt;"&amp;"MERCADORIAS P/REVENDA",Report!$AA:$AA,"SIM",Report!$C:$C,A266)</f>
        <v/>
      </c>
      <c r="C266" s="77">
        <f>SUMIFS(Report!$U:$U,Report!$T:$T,"MERCADORIAS P/REVENDA",Report!$AA:$AA,"SIM",Report!$C:$C,A266)</f>
        <v/>
      </c>
      <c r="F266" s="77">
        <f>B266+C266</f>
        <v/>
      </c>
    </row>
    <row r="267" ht="12.75" customHeight="1" s="60">
      <c r="A267" s="75" t="n">
        <v>46254</v>
      </c>
      <c r="B267" s="77">
        <f>SUMIFS(Report!$U:$U,Report!$T:$T,"&lt;&gt;"&amp;"MERCADORIAS P/REVENDA",Report!$AA:$AA,"SIM",Report!$C:$C,A267)</f>
        <v/>
      </c>
      <c r="C267" s="77">
        <f>SUMIFS(Report!$U:$U,Report!$T:$T,"MERCADORIAS P/REVENDA",Report!$AA:$AA,"SIM",Report!$C:$C,A267)</f>
        <v/>
      </c>
      <c r="F267" s="77">
        <f>B267+C267</f>
        <v/>
      </c>
    </row>
    <row r="268" ht="12.75" customHeight="1" s="60">
      <c r="A268" s="75" t="n">
        <v>46255</v>
      </c>
      <c r="B268" s="77">
        <f>SUMIFS(Report!$U:$U,Report!$T:$T,"&lt;&gt;"&amp;"MERCADORIAS P/REVENDA",Report!$AA:$AA,"SIM",Report!$C:$C,A268)</f>
        <v/>
      </c>
      <c r="C268" s="77">
        <f>SUMIFS(Report!$U:$U,Report!$T:$T,"MERCADORIAS P/REVENDA",Report!$AA:$AA,"SIM",Report!$C:$C,A268)</f>
        <v/>
      </c>
      <c r="F268" s="77">
        <f>B268+C268</f>
        <v/>
      </c>
    </row>
    <row r="269" ht="12.75" customHeight="1" s="60">
      <c r="A269" s="99" t="n">
        <v>46256</v>
      </c>
      <c r="B269" s="100">
        <f>SUMIFS(Report!$U:$U,Report!$T:$T,"&lt;&gt;"&amp;"MERCADORIAS P/REVENDA",Report!$AA:$AA,"SIM",Report!$C:$C,A269)</f>
        <v/>
      </c>
      <c r="C269" s="100">
        <f>SUMIFS(Report!$U:$U,Report!$T:$T,"MERCADORIAS P/REVENDA",Report!$AA:$AA,"SIM",Report!$C:$C,A269)</f>
        <v/>
      </c>
      <c r="D269" s="101" t="n"/>
      <c r="E269" s="101" t="n"/>
      <c r="F269" s="100">
        <f>B269+C269</f>
        <v/>
      </c>
    </row>
    <row r="270" ht="12.75" customHeight="1" s="60">
      <c r="A270" s="99" t="n">
        <v>46257</v>
      </c>
      <c r="B270" s="100">
        <f>SUMIFS(Report!$U:$U,Report!$T:$T,"&lt;&gt;"&amp;"MERCADORIAS P/REVENDA",Report!$AA:$AA,"SIM",Report!$C:$C,A270)</f>
        <v/>
      </c>
      <c r="C270" s="100">
        <f>SUMIFS(Report!$U:$U,Report!$T:$T,"MERCADORIAS P/REVENDA",Report!$AA:$AA,"SIM",Report!$C:$C,A270)</f>
        <v/>
      </c>
      <c r="D270" s="101" t="n"/>
      <c r="E270" s="101" t="n"/>
      <c r="F270" s="100">
        <f>B270+C270</f>
        <v/>
      </c>
    </row>
    <row r="271" ht="12.75" customHeight="1" s="60">
      <c r="A271" s="99" t="n">
        <v>46258</v>
      </c>
      <c r="B271" s="100">
        <f>SUMIFS(Report!$U:$U,Report!$T:$T,"&lt;&gt;"&amp;"MERCADORIAS P/REVENDA",Report!$AA:$AA,"SIM",Report!$C:$C,A271)</f>
        <v/>
      </c>
      <c r="C271" s="100">
        <f>SUMIFS(Report!$U:$U,Report!$T:$T,"MERCADORIAS P/REVENDA",Report!$AA:$AA,"SIM",Report!$C:$C,A271)</f>
        <v/>
      </c>
      <c r="D271" s="101" t="n"/>
      <c r="E271" s="101" t="n"/>
      <c r="F271" s="100">
        <f>B271+C271</f>
        <v/>
      </c>
    </row>
    <row r="272" ht="12.75" customHeight="1" s="60">
      <c r="A272" s="102">
        <f>"Subtotal Semana "&amp;TEXT(A265,"dd/mm/yyyy")&amp;" a "&amp;TEXT(A271,"dd/mm/yyyy")</f>
        <v/>
      </c>
      <c r="B272" s="90">
        <f>SUM(B265:B271)</f>
        <v/>
      </c>
      <c r="C272" s="90">
        <f>SUM(C265:C271)</f>
        <v/>
      </c>
      <c r="D272" s="94" t="n"/>
      <c r="E272" s="94" t="n"/>
      <c r="F272" s="90">
        <f>B272+C272</f>
        <v/>
      </c>
    </row>
    <row r="273" ht="12.75" customHeight="1" s="60">
      <c r="A273" s="75" t="n">
        <v>46259</v>
      </c>
      <c r="B273" s="77">
        <f>SUMIFS(Report!$U:$U,Report!$T:$T,"&lt;&gt;"&amp;"MERCADORIAS P/REVENDA",Report!$AA:$AA,"SIM",Report!$C:$C,A273)</f>
        <v/>
      </c>
      <c r="C273" s="77">
        <f>SUMIFS(Report!$U:$U,Report!$T:$T,"MERCADORIAS P/REVENDA",Report!$AA:$AA,"SIM",Report!$C:$C,A273)</f>
        <v/>
      </c>
      <c r="F273" s="77">
        <f>B273+C273</f>
        <v/>
      </c>
    </row>
    <row r="274" ht="12.75" customHeight="1" s="60">
      <c r="A274" s="75" t="n">
        <v>46260</v>
      </c>
      <c r="B274" s="77">
        <f>SUMIFS(Report!$U:$U,Report!$T:$T,"&lt;&gt;"&amp;"MERCADORIAS P/REVENDA",Report!$AA:$AA,"SIM",Report!$C:$C,A274)</f>
        <v/>
      </c>
      <c r="C274" s="77">
        <f>SUMIFS(Report!$U:$U,Report!$T:$T,"MERCADORIAS P/REVENDA",Report!$AA:$AA,"SIM",Report!$C:$C,A274)</f>
        <v/>
      </c>
      <c r="F274" s="77">
        <f>B274+C274</f>
        <v/>
      </c>
    </row>
    <row r="275" ht="12.75" customHeight="1" s="60">
      <c r="A275" s="75" t="n">
        <v>46261</v>
      </c>
      <c r="B275" s="77">
        <f>SUMIFS(Report!$U:$U,Report!$T:$T,"&lt;&gt;"&amp;"MERCADORIAS P/REVENDA",Report!$AA:$AA,"SIM",Report!$C:$C,A275)</f>
        <v/>
      </c>
      <c r="C275" s="77">
        <f>SUMIFS(Report!$U:$U,Report!$T:$T,"MERCADORIAS P/REVENDA",Report!$AA:$AA,"SIM",Report!$C:$C,A275)</f>
        <v/>
      </c>
      <c r="F275" s="77">
        <f>B275+C275</f>
        <v/>
      </c>
    </row>
    <row r="276" ht="12.75" customHeight="1" s="60">
      <c r="A276" s="75" t="n">
        <v>46262</v>
      </c>
      <c r="B276" s="77">
        <f>SUMIFS(Report!$U:$U,Report!$T:$T,"&lt;&gt;"&amp;"MERCADORIAS P/REVENDA",Report!$AA:$AA,"SIM",Report!$C:$C,A276)</f>
        <v/>
      </c>
      <c r="C276" s="77">
        <f>SUMIFS(Report!$U:$U,Report!$T:$T,"MERCADORIAS P/REVENDA",Report!$AA:$AA,"SIM",Report!$C:$C,A276)</f>
        <v/>
      </c>
      <c r="F276" s="77">
        <f>B276+C276</f>
        <v/>
      </c>
    </row>
    <row r="277" ht="12.75" customHeight="1" s="60">
      <c r="A277" s="99" t="n">
        <v>46263</v>
      </c>
      <c r="B277" s="100">
        <f>SUMIFS(Report!$U:$U,Report!$T:$T,"&lt;&gt;"&amp;"MERCADORIAS P/REVENDA",Report!$AA:$AA,"SIM",Report!$C:$C,A277)</f>
        <v/>
      </c>
      <c r="C277" s="100">
        <f>SUMIFS(Report!$U:$U,Report!$T:$T,"MERCADORIAS P/REVENDA",Report!$AA:$AA,"SIM",Report!$C:$C,A277)</f>
        <v/>
      </c>
      <c r="D277" s="101" t="n"/>
      <c r="E277" s="101" t="n"/>
      <c r="F277" s="100">
        <f>B277+C277</f>
        <v/>
      </c>
    </row>
    <row r="278" ht="12.75" customHeight="1" s="60">
      <c r="A278" s="99" t="n">
        <v>46264</v>
      </c>
      <c r="B278" s="100">
        <f>SUMIFS(Report!$U:$U,Report!$T:$T,"&lt;&gt;"&amp;"MERCADORIAS P/REVENDA",Report!$AA:$AA,"SIM",Report!$C:$C,A278)</f>
        <v/>
      </c>
      <c r="C278" s="100">
        <f>SUMIFS(Report!$U:$U,Report!$T:$T,"MERCADORIAS P/REVENDA",Report!$AA:$AA,"SIM",Report!$C:$C,A278)</f>
        <v/>
      </c>
      <c r="D278" s="101" t="n"/>
      <c r="E278" s="101" t="n"/>
      <c r="F278" s="100">
        <f>B278+C278</f>
        <v/>
      </c>
    </row>
    <row r="279" ht="12.75" customHeight="1" s="60">
      <c r="A279" s="99" t="n">
        <v>46265</v>
      </c>
      <c r="B279" s="100">
        <f>SUMIFS(Report!$U:$U,Report!$T:$T,"&lt;&gt;"&amp;"MERCADORIAS P/REVENDA",Report!$AA:$AA,"SIM",Report!$C:$C,A279)</f>
        <v/>
      </c>
      <c r="C279" s="100">
        <f>SUMIFS(Report!$U:$U,Report!$T:$T,"MERCADORIAS P/REVENDA",Report!$AA:$AA,"SIM",Report!$C:$C,A279)</f>
        <v/>
      </c>
      <c r="D279" s="101" t="n"/>
      <c r="E279" s="101" t="n"/>
      <c r="F279" s="100">
        <f>B279+C279</f>
        <v/>
      </c>
    </row>
    <row r="280" ht="12.75" customHeight="1" s="60">
      <c r="A280" s="102">
        <f>"Subtotal Semana "&amp;TEXT(A273,"dd/mm/yyyy")&amp;" a "&amp;TEXT(A279,"dd/mm/yyyy")</f>
        <v/>
      </c>
      <c r="B280" s="90">
        <f>SUM(B273:B279)</f>
        <v/>
      </c>
      <c r="C280" s="90">
        <f>SUM(C273:C279)</f>
        <v/>
      </c>
      <c r="D280" s="94" t="n"/>
      <c r="E280" s="94" t="n"/>
      <c r="F280" s="90">
        <f>B280+C280</f>
        <v/>
      </c>
    </row>
    <row r="281" ht="12.75" customHeight="1" s="60">
      <c r="A281" s="75" t="n">
        <v>46266</v>
      </c>
      <c r="B281" s="77">
        <f>SUMIFS(Report!$U:$U,Report!$T:$T,"&lt;&gt;"&amp;"MERCADORIAS P/REVENDA",Report!$AA:$AA,"SIM",Report!$C:$C,A281)</f>
        <v/>
      </c>
      <c r="C281" s="77">
        <f>SUMIFS(Report!$U:$U,Report!$T:$T,"MERCADORIAS P/REVENDA",Report!$AA:$AA,"SIM",Report!$C:$C,A281)</f>
        <v/>
      </c>
      <c r="F281" s="77">
        <f>B281+C281</f>
        <v/>
      </c>
    </row>
    <row r="282" ht="12.75" customHeight="1" s="60">
      <c r="A282" s="75" t="n">
        <v>46267</v>
      </c>
      <c r="B282" s="77">
        <f>SUMIFS(Report!$U:$U,Report!$T:$T,"&lt;&gt;"&amp;"MERCADORIAS P/REVENDA",Report!$AA:$AA,"SIM",Report!$C:$C,A282)</f>
        <v/>
      </c>
      <c r="C282" s="77">
        <f>SUMIFS(Report!$U:$U,Report!$T:$T,"MERCADORIAS P/REVENDA",Report!$AA:$AA,"SIM",Report!$C:$C,A282)</f>
        <v/>
      </c>
      <c r="F282" s="77">
        <f>B282+C282</f>
        <v/>
      </c>
    </row>
    <row r="283" ht="12.75" customHeight="1" s="60">
      <c r="A283" s="75" t="n">
        <v>46268</v>
      </c>
      <c r="B283" s="77">
        <f>SUMIFS(Report!$U:$U,Report!$T:$T,"&lt;&gt;"&amp;"MERCADORIAS P/REVENDA",Report!$AA:$AA,"SIM",Report!$C:$C,A283)</f>
        <v/>
      </c>
      <c r="C283" s="77">
        <f>SUMIFS(Report!$U:$U,Report!$T:$T,"MERCADORIAS P/REVENDA",Report!$AA:$AA,"SIM",Report!$C:$C,A283)</f>
        <v/>
      </c>
      <c r="F283" s="77">
        <f>B283+C283</f>
        <v/>
      </c>
    </row>
    <row r="284" ht="12.75" customHeight="1" s="60">
      <c r="A284" s="75" t="n">
        <v>46269</v>
      </c>
      <c r="B284" s="77">
        <f>SUMIFS(Report!$U:$U,Report!$T:$T,"&lt;&gt;"&amp;"MERCADORIAS P/REVENDA",Report!$AA:$AA,"SIM",Report!$C:$C,A284)</f>
        <v/>
      </c>
      <c r="C284" s="77">
        <f>SUMIFS(Report!$U:$U,Report!$T:$T,"MERCADORIAS P/REVENDA",Report!$AA:$AA,"SIM",Report!$C:$C,A284)</f>
        <v/>
      </c>
      <c r="F284" s="77">
        <f>B284+C284</f>
        <v/>
      </c>
    </row>
    <row r="285" ht="12.75" customHeight="1" s="60">
      <c r="A285" s="99" t="n">
        <v>46270</v>
      </c>
      <c r="B285" s="100">
        <f>SUMIFS(Report!$U:$U,Report!$T:$T,"&lt;&gt;"&amp;"MERCADORIAS P/REVENDA",Report!$AA:$AA,"SIM",Report!$C:$C,A285)</f>
        <v/>
      </c>
      <c r="C285" s="100">
        <f>SUMIFS(Report!$U:$U,Report!$T:$T,"MERCADORIAS P/REVENDA",Report!$AA:$AA,"SIM",Report!$C:$C,A285)</f>
        <v/>
      </c>
      <c r="D285" s="101" t="n"/>
      <c r="E285" s="101" t="n"/>
      <c r="F285" s="100">
        <f>B285+C285</f>
        <v/>
      </c>
    </row>
    <row r="286" ht="12.75" customHeight="1" s="60">
      <c r="A286" s="99" t="n">
        <v>46271</v>
      </c>
      <c r="B286" s="100">
        <f>SUMIFS(Report!$U:$U,Report!$T:$T,"&lt;&gt;"&amp;"MERCADORIAS P/REVENDA",Report!$AA:$AA,"SIM",Report!$C:$C,A286)</f>
        <v/>
      </c>
      <c r="C286" s="100">
        <f>SUMIFS(Report!$U:$U,Report!$T:$T,"MERCADORIAS P/REVENDA",Report!$AA:$AA,"SIM",Report!$C:$C,A286)</f>
        <v/>
      </c>
      <c r="D286" s="101" t="n"/>
      <c r="E286" s="101" t="n"/>
      <c r="F286" s="100">
        <f>B286+C286</f>
        <v/>
      </c>
    </row>
    <row r="287" ht="12.75" customHeight="1" s="60">
      <c r="A287" s="99" t="n">
        <v>46272</v>
      </c>
      <c r="B287" s="100">
        <f>SUMIFS(Report!$U:$U,Report!$T:$T,"&lt;&gt;"&amp;"MERCADORIAS P/REVENDA",Report!$AA:$AA,"SIM",Report!$C:$C,A287)</f>
        <v/>
      </c>
      <c r="C287" s="100">
        <f>SUMIFS(Report!$U:$U,Report!$T:$T,"MERCADORIAS P/REVENDA",Report!$AA:$AA,"SIM",Report!$C:$C,A287)</f>
        <v/>
      </c>
      <c r="D287" s="101" t="n"/>
      <c r="E287" s="101" t="n"/>
      <c r="F287" s="100">
        <f>B287+C287</f>
        <v/>
      </c>
    </row>
    <row r="288" ht="12.75" customHeight="1" s="60">
      <c r="A288" s="102">
        <f>"Subtotal Semana "&amp;TEXT(A281,"dd/mm/yyyy")&amp;" a "&amp;TEXT(A287,"dd/mm/yyyy")</f>
        <v/>
      </c>
      <c r="B288" s="90">
        <f>SUM(B281:B287)</f>
        <v/>
      </c>
      <c r="C288" s="90">
        <f>SUM(C281:C287)</f>
        <v/>
      </c>
      <c r="D288" s="94" t="n"/>
      <c r="E288" s="94" t="n"/>
      <c r="F288" s="90">
        <f>B288+C288</f>
        <v/>
      </c>
    </row>
    <row r="289" ht="12.75" customHeight="1" s="60">
      <c r="A289" s="75" t="n">
        <v>46273</v>
      </c>
      <c r="B289" s="77">
        <f>SUMIFS(Report!$U:$U,Report!$T:$T,"&lt;&gt;"&amp;"MERCADORIAS P/REVENDA",Report!$AA:$AA,"SIM",Report!$C:$C,A289)</f>
        <v/>
      </c>
      <c r="C289" s="77">
        <f>SUMIFS(Report!$U:$U,Report!$T:$T,"MERCADORIAS P/REVENDA",Report!$AA:$AA,"SIM",Report!$C:$C,A289)</f>
        <v/>
      </c>
      <c r="F289" s="77">
        <f>B289+C289</f>
        <v/>
      </c>
    </row>
    <row r="290" ht="12.75" customHeight="1" s="60">
      <c r="A290" s="75" t="n">
        <v>46274</v>
      </c>
      <c r="B290" s="77">
        <f>SUMIFS(Report!$U:$U,Report!$T:$T,"&lt;&gt;"&amp;"MERCADORIAS P/REVENDA",Report!$AA:$AA,"SIM",Report!$C:$C,A290)</f>
        <v/>
      </c>
      <c r="C290" s="77">
        <f>SUMIFS(Report!$U:$U,Report!$T:$T,"MERCADORIAS P/REVENDA",Report!$AA:$AA,"SIM",Report!$C:$C,A290)</f>
        <v/>
      </c>
      <c r="F290" s="77">
        <f>B290+C290</f>
        <v/>
      </c>
    </row>
    <row r="291" ht="12.75" customHeight="1" s="60">
      <c r="A291" s="75" t="n">
        <v>46275</v>
      </c>
      <c r="B291" s="77">
        <f>SUMIFS(Report!$U:$U,Report!$T:$T,"&lt;&gt;"&amp;"MERCADORIAS P/REVENDA",Report!$AA:$AA,"SIM",Report!$C:$C,A291)</f>
        <v/>
      </c>
      <c r="C291" s="77">
        <f>SUMIFS(Report!$U:$U,Report!$T:$T,"MERCADORIAS P/REVENDA",Report!$AA:$AA,"SIM",Report!$C:$C,A291)</f>
        <v/>
      </c>
      <c r="F291" s="77">
        <f>B291+C291</f>
        <v/>
      </c>
    </row>
    <row r="292" ht="12.75" customHeight="1" s="60">
      <c r="A292" s="75" t="n">
        <v>46276</v>
      </c>
      <c r="B292" s="77">
        <f>SUMIFS(Report!$U:$U,Report!$T:$T,"&lt;&gt;"&amp;"MERCADORIAS P/REVENDA",Report!$AA:$AA,"SIM",Report!$C:$C,A292)</f>
        <v/>
      </c>
      <c r="C292" s="77">
        <f>SUMIFS(Report!$U:$U,Report!$T:$T,"MERCADORIAS P/REVENDA",Report!$AA:$AA,"SIM",Report!$C:$C,A292)</f>
        <v/>
      </c>
      <c r="F292" s="77">
        <f>B292+C292</f>
        <v/>
      </c>
    </row>
    <row r="293" ht="12.75" customHeight="1" s="60">
      <c r="A293" s="99" t="n">
        <v>46277</v>
      </c>
      <c r="B293" s="100">
        <f>SUMIFS(Report!$U:$U,Report!$T:$T,"&lt;&gt;"&amp;"MERCADORIAS P/REVENDA",Report!$AA:$AA,"SIM",Report!$C:$C,A293)</f>
        <v/>
      </c>
      <c r="C293" s="100">
        <f>SUMIFS(Report!$U:$U,Report!$T:$T,"MERCADORIAS P/REVENDA",Report!$AA:$AA,"SIM",Report!$C:$C,A293)</f>
        <v/>
      </c>
      <c r="D293" s="101" t="n"/>
      <c r="E293" s="101" t="n"/>
      <c r="F293" s="100">
        <f>B293+C293</f>
        <v/>
      </c>
    </row>
    <row r="294" ht="12.75" customHeight="1" s="60">
      <c r="A294" s="99" t="n">
        <v>46278</v>
      </c>
      <c r="B294" s="100">
        <f>SUMIFS(Report!$U:$U,Report!$T:$T,"&lt;&gt;"&amp;"MERCADORIAS P/REVENDA",Report!$AA:$AA,"SIM",Report!$C:$C,A294)</f>
        <v/>
      </c>
      <c r="C294" s="100">
        <f>SUMIFS(Report!$U:$U,Report!$T:$T,"MERCADORIAS P/REVENDA",Report!$AA:$AA,"SIM",Report!$C:$C,A294)</f>
        <v/>
      </c>
      <c r="D294" s="101" t="n"/>
      <c r="E294" s="101" t="n"/>
      <c r="F294" s="100">
        <f>B294+C294</f>
        <v/>
      </c>
    </row>
    <row r="295" ht="12.75" customHeight="1" s="60">
      <c r="A295" s="99" t="n">
        <v>46279</v>
      </c>
      <c r="B295" s="100">
        <f>SUMIFS(Report!$U:$U,Report!$T:$T,"&lt;&gt;"&amp;"MERCADORIAS P/REVENDA",Report!$AA:$AA,"SIM",Report!$C:$C,A295)</f>
        <v/>
      </c>
      <c r="C295" s="100">
        <f>SUMIFS(Report!$U:$U,Report!$T:$T,"MERCADORIAS P/REVENDA",Report!$AA:$AA,"SIM",Report!$C:$C,A295)</f>
        <v/>
      </c>
      <c r="D295" s="101" t="n"/>
      <c r="E295" s="101" t="n"/>
      <c r="F295" s="100">
        <f>B295+C295</f>
        <v/>
      </c>
    </row>
    <row r="296" ht="12.75" customHeight="1" s="60">
      <c r="A296" s="102">
        <f>"Subtotal Semana "&amp;TEXT(A289,"dd/mm/yyyy")&amp;" a "&amp;TEXT(A295,"dd/mm/yyyy")</f>
        <v/>
      </c>
      <c r="B296" s="90">
        <f>SUM(B289:B295)</f>
        <v/>
      </c>
      <c r="C296" s="90">
        <f>SUM(C289:C295)</f>
        <v/>
      </c>
      <c r="D296" s="94" t="n"/>
      <c r="E296" s="94" t="n"/>
      <c r="F296" s="90">
        <f>B296+C296</f>
        <v/>
      </c>
    </row>
    <row r="297" ht="12.75" customHeight="1" s="60">
      <c r="A297" s="75" t="n">
        <v>46280</v>
      </c>
      <c r="B297" s="77">
        <f>SUMIFS(Report!$U:$U,Report!$T:$T,"&lt;&gt;"&amp;"MERCADORIAS P/REVENDA",Report!$AA:$AA,"SIM",Report!$C:$C,A297)</f>
        <v/>
      </c>
      <c r="C297" s="77">
        <f>SUMIFS(Report!$U:$U,Report!$T:$T,"MERCADORIAS P/REVENDA",Report!$AA:$AA,"SIM",Report!$C:$C,A297)</f>
        <v/>
      </c>
      <c r="F297" s="77">
        <f>B297+C297</f>
        <v/>
      </c>
    </row>
    <row r="298" ht="12.75" customHeight="1" s="60">
      <c r="A298" s="75" t="n">
        <v>46281</v>
      </c>
      <c r="B298" s="77">
        <f>SUMIFS(Report!$U:$U,Report!$T:$T,"&lt;&gt;"&amp;"MERCADORIAS P/REVENDA",Report!$AA:$AA,"SIM",Report!$C:$C,A298)</f>
        <v/>
      </c>
      <c r="C298" s="77">
        <f>SUMIFS(Report!$U:$U,Report!$T:$T,"MERCADORIAS P/REVENDA",Report!$AA:$AA,"SIM",Report!$C:$C,A298)</f>
        <v/>
      </c>
      <c r="F298" s="77">
        <f>B298+C298</f>
        <v/>
      </c>
    </row>
    <row r="299" ht="12.75" customHeight="1" s="60">
      <c r="A299" s="75" t="n">
        <v>46282</v>
      </c>
      <c r="B299" s="77">
        <f>SUMIFS(Report!$U:$U,Report!$T:$T,"&lt;&gt;"&amp;"MERCADORIAS P/REVENDA",Report!$AA:$AA,"SIM",Report!$C:$C,A299)</f>
        <v/>
      </c>
      <c r="C299" s="77">
        <f>SUMIFS(Report!$U:$U,Report!$T:$T,"MERCADORIAS P/REVENDA",Report!$AA:$AA,"SIM",Report!$C:$C,A299)</f>
        <v/>
      </c>
      <c r="F299" s="77">
        <f>B299+C299</f>
        <v/>
      </c>
    </row>
    <row r="300" ht="12.75" customHeight="1" s="60">
      <c r="A300" s="75" t="n">
        <v>46283</v>
      </c>
      <c r="B300" s="77">
        <f>SUMIFS(Report!$U:$U,Report!$T:$T,"&lt;&gt;"&amp;"MERCADORIAS P/REVENDA",Report!$AA:$AA,"SIM",Report!$C:$C,A300)</f>
        <v/>
      </c>
      <c r="C300" s="77">
        <f>SUMIFS(Report!$U:$U,Report!$T:$T,"MERCADORIAS P/REVENDA",Report!$AA:$AA,"SIM",Report!$C:$C,A300)</f>
        <v/>
      </c>
      <c r="F300" s="77">
        <f>B300+C300</f>
        <v/>
      </c>
    </row>
    <row r="301" ht="12.75" customHeight="1" s="60">
      <c r="A301" s="99" t="n">
        <v>46284</v>
      </c>
      <c r="B301" s="100">
        <f>SUMIFS(Report!$U:$U,Report!$T:$T,"&lt;&gt;"&amp;"MERCADORIAS P/REVENDA",Report!$AA:$AA,"SIM",Report!$C:$C,A301)</f>
        <v/>
      </c>
      <c r="C301" s="100">
        <f>SUMIFS(Report!$U:$U,Report!$T:$T,"MERCADORIAS P/REVENDA",Report!$AA:$AA,"SIM",Report!$C:$C,A301)</f>
        <v/>
      </c>
      <c r="D301" s="101" t="n"/>
      <c r="E301" s="101" t="n"/>
      <c r="F301" s="100">
        <f>B301+C301</f>
        <v/>
      </c>
    </row>
    <row r="302" ht="12.75" customHeight="1" s="60">
      <c r="A302" s="99" t="n">
        <v>46285</v>
      </c>
      <c r="B302" s="100">
        <f>SUMIFS(Report!$U:$U,Report!$T:$T,"&lt;&gt;"&amp;"MERCADORIAS P/REVENDA",Report!$AA:$AA,"SIM",Report!$C:$C,A302)</f>
        <v/>
      </c>
      <c r="C302" s="100">
        <f>SUMIFS(Report!$U:$U,Report!$T:$T,"MERCADORIAS P/REVENDA",Report!$AA:$AA,"SIM",Report!$C:$C,A302)</f>
        <v/>
      </c>
      <c r="D302" s="101" t="n"/>
      <c r="E302" s="101" t="n"/>
      <c r="F302" s="100">
        <f>B302+C302</f>
        <v/>
      </c>
    </row>
    <row r="303" ht="12.75" customHeight="1" s="60">
      <c r="A303" s="99" t="n">
        <v>46286</v>
      </c>
      <c r="B303" s="100">
        <f>SUMIFS(Report!$U:$U,Report!$T:$T,"&lt;&gt;"&amp;"MERCADORIAS P/REVENDA",Report!$AA:$AA,"SIM",Report!$C:$C,A303)</f>
        <v/>
      </c>
      <c r="C303" s="100">
        <f>SUMIFS(Report!$U:$U,Report!$T:$T,"MERCADORIAS P/REVENDA",Report!$AA:$AA,"SIM",Report!$C:$C,A303)</f>
        <v/>
      </c>
      <c r="D303" s="101" t="n"/>
      <c r="E303" s="101" t="n"/>
      <c r="F303" s="100">
        <f>B303+C303</f>
        <v/>
      </c>
    </row>
    <row r="304" ht="12.75" customHeight="1" s="60">
      <c r="A304" s="102">
        <f>"Subtotal Semana "&amp;TEXT(A297,"dd/mm/yyyy")&amp;" a "&amp;TEXT(A303,"dd/mm/yyyy")</f>
        <v/>
      </c>
      <c r="B304" s="90">
        <f>SUM(B297:B303)</f>
        <v/>
      </c>
      <c r="C304" s="90">
        <f>SUM(C297:C303)</f>
        <v/>
      </c>
      <c r="D304" s="94" t="n"/>
      <c r="E304" s="94" t="n"/>
      <c r="F304" s="90">
        <f>B304+C304</f>
        <v/>
      </c>
    </row>
    <row r="305" ht="12.75" customHeight="1" s="60">
      <c r="A305" s="75" t="n">
        <v>46287</v>
      </c>
      <c r="B305" s="77">
        <f>SUMIFS(Report!$U:$U,Report!$T:$T,"&lt;&gt;"&amp;"MERCADORIAS P/REVENDA",Report!$AA:$AA,"SIM",Report!$C:$C,A305)</f>
        <v/>
      </c>
      <c r="C305" s="77">
        <f>SUMIFS(Report!$U:$U,Report!$T:$T,"MERCADORIAS P/REVENDA",Report!$AA:$AA,"SIM",Report!$C:$C,A305)</f>
        <v/>
      </c>
      <c r="F305" s="77">
        <f>B305+C305</f>
        <v/>
      </c>
    </row>
    <row r="306" ht="12.75" customHeight="1" s="60">
      <c r="A306" s="75" t="n">
        <v>46288</v>
      </c>
      <c r="B306" s="77">
        <f>SUMIFS(Report!$U:$U,Report!$T:$T,"&lt;&gt;"&amp;"MERCADORIAS P/REVENDA",Report!$AA:$AA,"SIM",Report!$C:$C,A306)</f>
        <v/>
      </c>
      <c r="C306" s="77">
        <f>SUMIFS(Report!$U:$U,Report!$T:$T,"MERCADORIAS P/REVENDA",Report!$AA:$AA,"SIM",Report!$C:$C,A306)</f>
        <v/>
      </c>
      <c r="F306" s="77">
        <f>B306+C306</f>
        <v/>
      </c>
    </row>
    <row r="307" ht="12.75" customHeight="1" s="60">
      <c r="A307" s="75" t="n">
        <v>46289</v>
      </c>
      <c r="B307" s="77">
        <f>SUMIFS(Report!$U:$U,Report!$T:$T,"&lt;&gt;"&amp;"MERCADORIAS P/REVENDA",Report!$AA:$AA,"SIM",Report!$C:$C,A307)</f>
        <v/>
      </c>
      <c r="C307" s="77">
        <f>SUMIFS(Report!$U:$U,Report!$T:$T,"MERCADORIAS P/REVENDA",Report!$AA:$AA,"SIM",Report!$C:$C,A307)</f>
        <v/>
      </c>
      <c r="F307" s="77">
        <f>B307+C307</f>
        <v/>
      </c>
    </row>
    <row r="308" ht="12.75" customHeight="1" s="60">
      <c r="A308" s="75" t="n">
        <v>46290</v>
      </c>
      <c r="B308" s="77">
        <f>SUMIFS(Report!$U:$U,Report!$T:$T,"&lt;&gt;"&amp;"MERCADORIAS P/REVENDA",Report!$AA:$AA,"SIM",Report!$C:$C,A308)</f>
        <v/>
      </c>
      <c r="C308" s="77">
        <f>SUMIFS(Report!$U:$U,Report!$T:$T,"MERCADORIAS P/REVENDA",Report!$AA:$AA,"SIM",Report!$C:$C,A308)</f>
        <v/>
      </c>
      <c r="F308" s="77">
        <f>B308+C308</f>
        <v/>
      </c>
    </row>
    <row r="309" ht="12.75" customHeight="1" s="60">
      <c r="A309" s="99" t="n">
        <v>46291</v>
      </c>
      <c r="B309" s="100">
        <f>SUMIFS(Report!$U:$U,Report!$T:$T,"&lt;&gt;"&amp;"MERCADORIAS P/REVENDA",Report!$AA:$AA,"SIM",Report!$C:$C,A309)</f>
        <v/>
      </c>
      <c r="C309" s="100">
        <f>SUMIFS(Report!$U:$U,Report!$T:$T,"MERCADORIAS P/REVENDA",Report!$AA:$AA,"SIM",Report!$C:$C,A309)</f>
        <v/>
      </c>
      <c r="D309" s="101" t="n"/>
      <c r="E309" s="101" t="n"/>
      <c r="F309" s="100">
        <f>B309+C309</f>
        <v/>
      </c>
    </row>
    <row r="310" ht="12.75" customHeight="1" s="60">
      <c r="A310" s="99" t="n">
        <v>46292</v>
      </c>
      <c r="B310" s="100">
        <f>SUMIFS(Report!$U:$U,Report!$T:$T,"&lt;&gt;"&amp;"MERCADORIAS P/REVENDA",Report!$AA:$AA,"SIM",Report!$C:$C,A310)</f>
        <v/>
      </c>
      <c r="C310" s="100">
        <f>SUMIFS(Report!$U:$U,Report!$T:$T,"MERCADORIAS P/REVENDA",Report!$AA:$AA,"SIM",Report!$C:$C,A310)</f>
        <v/>
      </c>
      <c r="D310" s="101" t="n"/>
      <c r="E310" s="101" t="n"/>
      <c r="F310" s="100">
        <f>B310+C310</f>
        <v/>
      </c>
    </row>
    <row r="311" ht="12.75" customHeight="1" s="60">
      <c r="A311" s="99" t="n">
        <v>46293</v>
      </c>
      <c r="B311" s="100">
        <f>SUMIFS(Report!$U:$U,Report!$T:$T,"&lt;&gt;"&amp;"MERCADORIAS P/REVENDA",Report!$AA:$AA,"SIM",Report!$C:$C,A311)</f>
        <v/>
      </c>
      <c r="C311" s="100">
        <f>SUMIFS(Report!$U:$U,Report!$T:$T,"MERCADORIAS P/REVENDA",Report!$AA:$AA,"SIM",Report!$C:$C,A311)</f>
        <v/>
      </c>
      <c r="D311" s="101" t="n"/>
      <c r="E311" s="101" t="n"/>
      <c r="F311" s="100">
        <f>B311+C311</f>
        <v/>
      </c>
    </row>
    <row r="312" ht="12.75" customHeight="1" s="60">
      <c r="A312" s="102">
        <f>"Subtotal Semana "&amp;TEXT(A305,"dd/mm/yyyy")&amp;" a "&amp;TEXT(A311,"dd/mm/yyyy")</f>
        <v/>
      </c>
      <c r="B312" s="90">
        <f>SUM(B305:B311)</f>
        <v/>
      </c>
      <c r="C312" s="90">
        <f>SUM(C305:C311)</f>
        <v/>
      </c>
      <c r="D312" s="94" t="n"/>
      <c r="E312" s="94" t="n"/>
      <c r="F312" s="90">
        <f>B312+C312</f>
        <v/>
      </c>
    </row>
    <row r="313" ht="12.75" customHeight="1" s="60">
      <c r="A313" s="75" t="n">
        <v>46294</v>
      </c>
      <c r="B313" s="77">
        <f>SUMIFS(Report!$U:$U,Report!$T:$T,"&lt;&gt;"&amp;"MERCADORIAS P/REVENDA",Report!$AA:$AA,"SIM",Report!$C:$C,A313)</f>
        <v/>
      </c>
      <c r="C313" s="77">
        <f>SUMIFS(Report!$U:$U,Report!$T:$T,"MERCADORIAS P/REVENDA",Report!$AA:$AA,"SIM",Report!$C:$C,A313)</f>
        <v/>
      </c>
      <c r="F313" s="77">
        <f>B313+C313</f>
        <v/>
      </c>
    </row>
    <row r="314" ht="12.75" customHeight="1" s="60">
      <c r="A314" s="75" t="n">
        <v>46295</v>
      </c>
      <c r="B314" s="77">
        <f>SUMIFS(Report!$U:$U,Report!$T:$T,"&lt;&gt;"&amp;"MERCADORIAS P/REVENDA",Report!$AA:$AA,"SIM",Report!$C:$C,A314)</f>
        <v/>
      </c>
      <c r="C314" s="77">
        <f>SUMIFS(Report!$U:$U,Report!$T:$T,"MERCADORIAS P/REVENDA",Report!$AA:$AA,"SIM",Report!$C:$C,A314)</f>
        <v/>
      </c>
      <c r="F314" s="77">
        <f>B314+C314</f>
        <v/>
      </c>
    </row>
    <row r="315" ht="12.75" customHeight="1" s="60">
      <c r="A315" s="75" t="n">
        <v>46296</v>
      </c>
      <c r="B315" s="77">
        <f>SUMIFS(Report!$U:$U,Report!$T:$T,"&lt;&gt;"&amp;"MERCADORIAS P/REVENDA",Report!$AA:$AA,"SIM",Report!$C:$C,A315)</f>
        <v/>
      </c>
      <c r="C315" s="77">
        <f>SUMIFS(Report!$U:$U,Report!$T:$T,"MERCADORIAS P/REVENDA",Report!$AA:$AA,"SIM",Report!$C:$C,A315)</f>
        <v/>
      </c>
      <c r="F315" s="77">
        <f>B315+C315</f>
        <v/>
      </c>
    </row>
    <row r="316" ht="12.75" customHeight="1" s="60">
      <c r="A316" s="75" t="n">
        <v>46297</v>
      </c>
      <c r="B316" s="77">
        <f>SUMIFS(Report!$U:$U,Report!$T:$T,"&lt;&gt;"&amp;"MERCADORIAS P/REVENDA",Report!$AA:$AA,"SIM",Report!$C:$C,A316)</f>
        <v/>
      </c>
      <c r="C316" s="77">
        <f>SUMIFS(Report!$U:$U,Report!$T:$T,"MERCADORIAS P/REVENDA",Report!$AA:$AA,"SIM",Report!$C:$C,A316)</f>
        <v/>
      </c>
      <c r="F316" s="77">
        <f>B316+C316</f>
        <v/>
      </c>
    </row>
    <row r="317" ht="12.75" customHeight="1" s="60">
      <c r="A317" s="99" t="n">
        <v>46298</v>
      </c>
      <c r="B317" s="100">
        <f>SUMIFS(Report!$U:$U,Report!$T:$T,"&lt;&gt;"&amp;"MERCADORIAS P/REVENDA",Report!$AA:$AA,"SIM",Report!$C:$C,A317)</f>
        <v/>
      </c>
      <c r="C317" s="100">
        <f>SUMIFS(Report!$U:$U,Report!$T:$T,"MERCADORIAS P/REVENDA",Report!$AA:$AA,"SIM",Report!$C:$C,A317)</f>
        <v/>
      </c>
      <c r="D317" s="101" t="n"/>
      <c r="E317" s="101" t="n"/>
      <c r="F317" s="100">
        <f>B317+C317</f>
        <v/>
      </c>
    </row>
    <row r="318" ht="12.75" customHeight="1" s="60">
      <c r="A318" s="99" t="n">
        <v>46299</v>
      </c>
      <c r="B318" s="100">
        <f>SUMIFS(Report!$U:$U,Report!$T:$T,"&lt;&gt;"&amp;"MERCADORIAS P/REVENDA",Report!$AA:$AA,"SIM",Report!$C:$C,A318)</f>
        <v/>
      </c>
      <c r="C318" s="100">
        <f>SUMIFS(Report!$U:$U,Report!$T:$T,"MERCADORIAS P/REVENDA",Report!$AA:$AA,"SIM",Report!$C:$C,A318)</f>
        <v/>
      </c>
      <c r="D318" s="101" t="n"/>
      <c r="E318" s="101" t="n"/>
      <c r="F318" s="100">
        <f>B318+C318</f>
        <v/>
      </c>
    </row>
    <row r="319" ht="12.75" customHeight="1" s="60">
      <c r="A319" s="99" t="n">
        <v>46300</v>
      </c>
      <c r="B319" s="100">
        <f>SUMIFS(Report!$U:$U,Report!$T:$T,"&lt;&gt;"&amp;"MERCADORIAS P/REVENDA",Report!$AA:$AA,"SIM",Report!$C:$C,A319)</f>
        <v/>
      </c>
      <c r="C319" s="100">
        <f>SUMIFS(Report!$U:$U,Report!$T:$T,"MERCADORIAS P/REVENDA",Report!$AA:$AA,"SIM",Report!$C:$C,A319)</f>
        <v/>
      </c>
      <c r="D319" s="101" t="n"/>
      <c r="E319" s="101" t="n"/>
      <c r="F319" s="100">
        <f>B319+C319</f>
        <v/>
      </c>
    </row>
    <row r="320" ht="12.75" customHeight="1" s="60">
      <c r="A320" s="102">
        <f>"Subtotal Semana "&amp;TEXT(A313,"dd/mm/yyyy")&amp;" a "&amp;TEXT(A319,"dd/mm/yyyy")</f>
        <v/>
      </c>
      <c r="B320" s="90">
        <f>SUM(B313:B319)</f>
        <v/>
      </c>
      <c r="C320" s="90">
        <f>SUM(C313:C319)</f>
        <v/>
      </c>
      <c r="D320" s="94" t="n"/>
      <c r="E320" s="94" t="n"/>
      <c r="F320" s="90">
        <f>B320+C320</f>
        <v/>
      </c>
    </row>
    <row r="321" ht="12.75" customHeight="1" s="60">
      <c r="A321" s="75" t="n">
        <v>46301</v>
      </c>
      <c r="B321" s="77">
        <f>SUMIFS(Report!$U:$U,Report!$T:$T,"&lt;&gt;"&amp;"MERCADORIAS P/REVENDA",Report!$AA:$AA,"SIM",Report!$C:$C,A321)</f>
        <v/>
      </c>
      <c r="C321" s="77">
        <f>SUMIFS(Report!$U:$U,Report!$T:$T,"MERCADORIAS P/REVENDA",Report!$AA:$AA,"SIM",Report!$C:$C,A321)</f>
        <v/>
      </c>
      <c r="F321" s="77">
        <f>B321+C321</f>
        <v/>
      </c>
    </row>
    <row r="322" ht="12.75" customHeight="1" s="60">
      <c r="A322" s="75" t="n">
        <v>46302</v>
      </c>
      <c r="B322" s="77">
        <f>SUMIFS(Report!$U:$U,Report!$T:$T,"&lt;&gt;"&amp;"MERCADORIAS P/REVENDA",Report!$AA:$AA,"SIM",Report!$C:$C,A322)</f>
        <v/>
      </c>
      <c r="C322" s="77">
        <f>SUMIFS(Report!$U:$U,Report!$T:$T,"MERCADORIAS P/REVENDA",Report!$AA:$AA,"SIM",Report!$C:$C,A322)</f>
        <v/>
      </c>
      <c r="F322" s="77">
        <f>B322+C322</f>
        <v/>
      </c>
    </row>
    <row r="323" ht="12.75" customHeight="1" s="60">
      <c r="A323" s="75" t="n">
        <v>46303</v>
      </c>
      <c r="B323" s="77">
        <f>SUMIFS(Report!$U:$U,Report!$T:$T,"&lt;&gt;"&amp;"MERCADORIAS P/REVENDA",Report!$AA:$AA,"SIM",Report!$C:$C,A323)</f>
        <v/>
      </c>
      <c r="C323" s="77">
        <f>SUMIFS(Report!$U:$U,Report!$T:$T,"MERCADORIAS P/REVENDA",Report!$AA:$AA,"SIM",Report!$C:$C,A323)</f>
        <v/>
      </c>
      <c r="F323" s="77">
        <f>B323+C323</f>
        <v/>
      </c>
    </row>
    <row r="324" ht="12.75" customHeight="1" s="60">
      <c r="A324" s="75" t="n">
        <v>46304</v>
      </c>
      <c r="B324" s="77">
        <f>SUMIFS(Report!$U:$U,Report!$T:$T,"&lt;&gt;"&amp;"MERCADORIAS P/REVENDA",Report!$AA:$AA,"SIM",Report!$C:$C,A324)</f>
        <v/>
      </c>
      <c r="C324" s="77">
        <f>SUMIFS(Report!$U:$U,Report!$T:$T,"MERCADORIAS P/REVENDA",Report!$AA:$AA,"SIM",Report!$C:$C,A324)</f>
        <v/>
      </c>
      <c r="F324" s="77">
        <f>B324+C324</f>
        <v/>
      </c>
    </row>
    <row r="325" ht="12.75" customHeight="1" s="60">
      <c r="A325" s="99" t="n">
        <v>46305</v>
      </c>
      <c r="B325" s="100">
        <f>SUMIFS(Report!$U:$U,Report!$T:$T,"&lt;&gt;"&amp;"MERCADORIAS P/REVENDA",Report!$AA:$AA,"SIM",Report!$C:$C,A325)</f>
        <v/>
      </c>
      <c r="C325" s="100">
        <f>SUMIFS(Report!$U:$U,Report!$T:$T,"MERCADORIAS P/REVENDA",Report!$AA:$AA,"SIM",Report!$C:$C,A325)</f>
        <v/>
      </c>
      <c r="D325" s="101" t="n"/>
      <c r="E325" s="101" t="n"/>
      <c r="F325" s="100">
        <f>B325+C325</f>
        <v/>
      </c>
    </row>
    <row r="326" ht="12.75" customHeight="1" s="60">
      <c r="A326" s="99" t="n">
        <v>46306</v>
      </c>
      <c r="B326" s="100">
        <f>SUMIFS(Report!$U:$U,Report!$T:$T,"&lt;&gt;"&amp;"MERCADORIAS P/REVENDA",Report!$AA:$AA,"SIM",Report!$C:$C,A326)</f>
        <v/>
      </c>
      <c r="C326" s="100">
        <f>SUMIFS(Report!$U:$U,Report!$T:$T,"MERCADORIAS P/REVENDA",Report!$AA:$AA,"SIM",Report!$C:$C,A326)</f>
        <v/>
      </c>
      <c r="D326" s="101" t="n"/>
      <c r="E326" s="101" t="n"/>
      <c r="F326" s="100">
        <f>B326+C326</f>
        <v/>
      </c>
    </row>
    <row r="327" ht="12.75" customHeight="1" s="60">
      <c r="A327" s="99" t="n">
        <v>46307</v>
      </c>
      <c r="B327" s="100">
        <f>SUMIFS(Report!$U:$U,Report!$T:$T,"&lt;&gt;"&amp;"MERCADORIAS P/REVENDA",Report!$AA:$AA,"SIM",Report!$C:$C,A327)</f>
        <v/>
      </c>
      <c r="C327" s="100">
        <f>SUMIFS(Report!$U:$U,Report!$T:$T,"MERCADORIAS P/REVENDA",Report!$AA:$AA,"SIM",Report!$C:$C,A327)</f>
        <v/>
      </c>
      <c r="D327" s="101" t="n"/>
      <c r="E327" s="101" t="n"/>
      <c r="F327" s="100">
        <f>B327+C327</f>
        <v/>
      </c>
    </row>
    <row r="328" ht="12.75" customHeight="1" s="60">
      <c r="A328" s="102">
        <f>"Subtotal Semana "&amp;TEXT(A321,"dd/mm/yyyy")&amp;" a "&amp;TEXT(A327,"dd/mm/yyyy")</f>
        <v/>
      </c>
      <c r="B328" s="90">
        <f>SUM(B321:B327)</f>
        <v/>
      </c>
      <c r="C328" s="90">
        <f>SUM(C321:C327)</f>
        <v/>
      </c>
      <c r="D328" s="94" t="n"/>
      <c r="E328" s="94" t="n"/>
      <c r="F328" s="90">
        <f>B328+C328</f>
        <v/>
      </c>
    </row>
    <row r="329" ht="12.75" customHeight="1" s="60">
      <c r="A329" s="75" t="n">
        <v>46308</v>
      </c>
      <c r="B329" s="77">
        <f>SUMIFS(Report!$U:$U,Report!$T:$T,"&lt;&gt;"&amp;"MERCADORIAS P/REVENDA",Report!$AA:$AA,"SIM",Report!$C:$C,A329)</f>
        <v/>
      </c>
      <c r="C329" s="77">
        <f>SUMIFS(Report!$U:$U,Report!$T:$T,"MERCADORIAS P/REVENDA",Report!$AA:$AA,"SIM",Report!$C:$C,A329)</f>
        <v/>
      </c>
      <c r="F329" s="77">
        <f>B329+C329</f>
        <v/>
      </c>
    </row>
    <row r="330" ht="12.75" customHeight="1" s="60">
      <c r="A330" s="75" t="n">
        <v>46309</v>
      </c>
      <c r="B330" s="77">
        <f>SUMIFS(Report!$U:$U,Report!$T:$T,"&lt;&gt;"&amp;"MERCADORIAS P/REVENDA",Report!$AA:$AA,"SIM",Report!$C:$C,A330)</f>
        <v/>
      </c>
      <c r="C330" s="77">
        <f>SUMIFS(Report!$U:$U,Report!$T:$T,"MERCADORIAS P/REVENDA",Report!$AA:$AA,"SIM",Report!$C:$C,A330)</f>
        <v/>
      </c>
      <c r="F330" s="77">
        <f>B330+C330</f>
        <v/>
      </c>
    </row>
    <row r="331" ht="12.75" customHeight="1" s="60">
      <c r="A331" s="75" t="n">
        <v>46310</v>
      </c>
      <c r="B331" s="77">
        <f>SUMIFS(Report!$U:$U,Report!$T:$T,"&lt;&gt;"&amp;"MERCADORIAS P/REVENDA",Report!$AA:$AA,"SIM",Report!$C:$C,A331)</f>
        <v/>
      </c>
      <c r="C331" s="77">
        <f>SUMIFS(Report!$U:$U,Report!$T:$T,"MERCADORIAS P/REVENDA",Report!$AA:$AA,"SIM",Report!$C:$C,A331)</f>
        <v/>
      </c>
      <c r="F331" s="77">
        <f>B331+C331</f>
        <v/>
      </c>
    </row>
    <row r="332" ht="12.75" customHeight="1" s="60">
      <c r="A332" s="75" t="n">
        <v>46311</v>
      </c>
      <c r="B332" s="77">
        <f>SUMIFS(Report!$U:$U,Report!$T:$T,"&lt;&gt;"&amp;"MERCADORIAS P/REVENDA",Report!$AA:$AA,"SIM",Report!$C:$C,A332)</f>
        <v/>
      </c>
      <c r="C332" s="77">
        <f>SUMIFS(Report!$U:$U,Report!$T:$T,"MERCADORIAS P/REVENDA",Report!$AA:$AA,"SIM",Report!$C:$C,A332)</f>
        <v/>
      </c>
      <c r="F332" s="77">
        <f>B332+C332</f>
        <v/>
      </c>
    </row>
    <row r="333" ht="12.75" customHeight="1" s="60">
      <c r="A333" s="99" t="n">
        <v>46312</v>
      </c>
      <c r="B333" s="100">
        <f>SUMIFS(Report!$U:$U,Report!$T:$T,"&lt;&gt;"&amp;"MERCADORIAS P/REVENDA",Report!$AA:$AA,"SIM",Report!$C:$C,A333)</f>
        <v/>
      </c>
      <c r="C333" s="100">
        <f>SUMIFS(Report!$U:$U,Report!$T:$T,"MERCADORIAS P/REVENDA",Report!$AA:$AA,"SIM",Report!$C:$C,A333)</f>
        <v/>
      </c>
      <c r="D333" s="101" t="n"/>
      <c r="E333" s="101" t="n"/>
      <c r="F333" s="100">
        <f>B333+C333</f>
        <v/>
      </c>
    </row>
    <row r="334" ht="12.75" customHeight="1" s="60">
      <c r="A334" s="99" t="n">
        <v>46313</v>
      </c>
      <c r="B334" s="100">
        <f>SUMIFS(Report!$U:$U,Report!$T:$T,"&lt;&gt;"&amp;"MERCADORIAS P/REVENDA",Report!$AA:$AA,"SIM",Report!$C:$C,A334)</f>
        <v/>
      </c>
      <c r="C334" s="100">
        <f>SUMIFS(Report!$U:$U,Report!$T:$T,"MERCADORIAS P/REVENDA",Report!$AA:$AA,"SIM",Report!$C:$C,A334)</f>
        <v/>
      </c>
      <c r="D334" s="101" t="n"/>
      <c r="E334" s="101" t="n"/>
      <c r="F334" s="100">
        <f>B334+C334</f>
        <v/>
      </c>
    </row>
    <row r="335" ht="12.75" customHeight="1" s="60">
      <c r="A335" s="99" t="n">
        <v>46314</v>
      </c>
      <c r="B335" s="100">
        <f>SUMIFS(Report!$U:$U,Report!$T:$T,"&lt;&gt;"&amp;"MERCADORIAS P/REVENDA",Report!$AA:$AA,"SIM",Report!$C:$C,A335)</f>
        <v/>
      </c>
      <c r="C335" s="100">
        <f>SUMIFS(Report!$U:$U,Report!$T:$T,"MERCADORIAS P/REVENDA",Report!$AA:$AA,"SIM",Report!$C:$C,A335)</f>
        <v/>
      </c>
      <c r="D335" s="101" t="n"/>
      <c r="E335" s="101" t="n"/>
      <c r="F335" s="100">
        <f>B335+C335</f>
        <v/>
      </c>
    </row>
    <row r="336" ht="12.75" customHeight="1" s="60">
      <c r="A336" s="102">
        <f>"Subtotal Semana "&amp;TEXT(A329,"dd/mm/yyyy")&amp;" a "&amp;TEXT(A335,"dd/mm/yyyy")</f>
        <v/>
      </c>
      <c r="B336" s="90">
        <f>SUM(B329:B335)</f>
        <v/>
      </c>
      <c r="C336" s="90">
        <f>SUM(C329:C335)</f>
        <v/>
      </c>
      <c r="D336" s="94" t="n"/>
      <c r="E336" s="94" t="n"/>
      <c r="F336" s="90">
        <f>B336+C336</f>
        <v/>
      </c>
    </row>
    <row r="337" ht="12.75" customHeight="1" s="60">
      <c r="A337" s="75" t="n">
        <v>46315</v>
      </c>
      <c r="B337" s="77">
        <f>SUMIFS(Report!$U:$U,Report!$T:$T,"&lt;&gt;"&amp;"MERCADORIAS P/REVENDA",Report!$AA:$AA,"SIM",Report!$C:$C,A337)</f>
        <v/>
      </c>
      <c r="C337" s="77">
        <f>SUMIFS(Report!$U:$U,Report!$T:$T,"MERCADORIAS P/REVENDA",Report!$AA:$AA,"SIM",Report!$C:$C,A337)</f>
        <v/>
      </c>
      <c r="F337" s="77">
        <f>B337+C337</f>
        <v/>
      </c>
    </row>
    <row r="338" ht="12.75" customHeight="1" s="60">
      <c r="A338" s="75" t="n">
        <v>46316</v>
      </c>
      <c r="B338" s="77">
        <f>SUMIFS(Report!$U:$U,Report!$T:$T,"&lt;&gt;"&amp;"MERCADORIAS P/REVENDA",Report!$AA:$AA,"SIM",Report!$C:$C,A338)</f>
        <v/>
      </c>
      <c r="C338" s="77">
        <f>SUMIFS(Report!$U:$U,Report!$T:$T,"MERCADORIAS P/REVENDA",Report!$AA:$AA,"SIM",Report!$C:$C,A338)</f>
        <v/>
      </c>
      <c r="F338" s="77">
        <f>B338+C338</f>
        <v/>
      </c>
    </row>
    <row r="339" ht="12.75" customHeight="1" s="60">
      <c r="A339" s="75" t="n">
        <v>46317</v>
      </c>
      <c r="B339" s="77">
        <f>SUMIFS(Report!$U:$U,Report!$T:$T,"&lt;&gt;"&amp;"MERCADORIAS P/REVENDA",Report!$AA:$AA,"SIM",Report!$C:$C,A339)</f>
        <v/>
      </c>
      <c r="C339" s="77">
        <f>SUMIFS(Report!$U:$U,Report!$T:$T,"MERCADORIAS P/REVENDA",Report!$AA:$AA,"SIM",Report!$C:$C,A339)</f>
        <v/>
      </c>
      <c r="F339" s="77">
        <f>B339+C339</f>
        <v/>
      </c>
    </row>
    <row r="340" ht="12.75" customHeight="1" s="60">
      <c r="A340" s="75" t="n">
        <v>46318</v>
      </c>
      <c r="B340" s="77">
        <f>SUMIFS(Report!$U:$U,Report!$T:$T,"&lt;&gt;"&amp;"MERCADORIAS P/REVENDA",Report!$AA:$AA,"SIM",Report!$C:$C,A340)</f>
        <v/>
      </c>
      <c r="C340" s="77">
        <f>SUMIFS(Report!$U:$U,Report!$T:$T,"MERCADORIAS P/REVENDA",Report!$AA:$AA,"SIM",Report!$C:$C,A340)</f>
        <v/>
      </c>
      <c r="F340" s="77">
        <f>B340+C340</f>
        <v/>
      </c>
    </row>
    <row r="341" ht="12.75" customHeight="1" s="60">
      <c r="A341" s="99" t="n">
        <v>46319</v>
      </c>
      <c r="B341" s="100">
        <f>SUMIFS(Report!$U:$U,Report!$T:$T,"&lt;&gt;"&amp;"MERCADORIAS P/REVENDA",Report!$AA:$AA,"SIM",Report!$C:$C,A341)</f>
        <v/>
      </c>
      <c r="C341" s="100">
        <f>SUMIFS(Report!$U:$U,Report!$T:$T,"MERCADORIAS P/REVENDA",Report!$AA:$AA,"SIM",Report!$C:$C,A341)</f>
        <v/>
      </c>
      <c r="D341" s="101" t="n"/>
      <c r="E341" s="101" t="n"/>
      <c r="F341" s="100">
        <f>B341+C341</f>
        <v/>
      </c>
    </row>
    <row r="342" ht="12.75" customHeight="1" s="60">
      <c r="A342" s="99" t="n">
        <v>46320</v>
      </c>
      <c r="B342" s="100">
        <f>SUMIFS(Report!$U:$U,Report!$T:$T,"&lt;&gt;"&amp;"MERCADORIAS P/REVENDA",Report!$AA:$AA,"SIM",Report!$C:$C,A342)</f>
        <v/>
      </c>
      <c r="C342" s="100">
        <f>SUMIFS(Report!$U:$U,Report!$T:$T,"MERCADORIAS P/REVENDA",Report!$AA:$AA,"SIM",Report!$C:$C,A342)</f>
        <v/>
      </c>
      <c r="D342" s="101" t="n"/>
      <c r="E342" s="101" t="n"/>
      <c r="F342" s="100">
        <f>B342+C342</f>
        <v/>
      </c>
    </row>
    <row r="343" ht="12.75" customHeight="1" s="60">
      <c r="A343" s="99" t="n">
        <v>46321</v>
      </c>
      <c r="B343" s="100">
        <f>SUMIFS(Report!$U:$U,Report!$T:$T,"&lt;&gt;"&amp;"MERCADORIAS P/REVENDA",Report!$AA:$AA,"SIM",Report!$C:$C,A343)</f>
        <v/>
      </c>
      <c r="C343" s="100">
        <f>SUMIFS(Report!$U:$U,Report!$T:$T,"MERCADORIAS P/REVENDA",Report!$AA:$AA,"SIM",Report!$C:$C,A343)</f>
        <v/>
      </c>
      <c r="D343" s="101" t="n"/>
      <c r="E343" s="101" t="n"/>
      <c r="F343" s="100">
        <f>B343+C343</f>
        <v/>
      </c>
    </row>
    <row r="344" ht="12.75" customHeight="1" s="60">
      <c r="A344" s="102">
        <f>"Subtotal Semana "&amp;TEXT(A337,"dd/mm/yyyy")&amp;" a "&amp;TEXT(A343,"dd/mm/yyyy")</f>
        <v/>
      </c>
      <c r="B344" s="90">
        <f>SUM(B337:B343)</f>
        <v/>
      </c>
      <c r="C344" s="90">
        <f>SUM(C337:C343)</f>
        <v/>
      </c>
      <c r="D344" s="94" t="n"/>
      <c r="E344" s="94" t="n"/>
      <c r="F344" s="90">
        <f>B344+C344</f>
        <v/>
      </c>
    </row>
    <row r="345" ht="12.75" customHeight="1" s="60">
      <c r="A345" s="75" t="n">
        <v>46322</v>
      </c>
      <c r="B345" s="77">
        <f>SUMIFS(Report!$U:$U,Report!$T:$T,"&lt;&gt;"&amp;"MERCADORIAS P/REVENDA",Report!$AA:$AA,"SIM",Report!$C:$C,A345)</f>
        <v/>
      </c>
      <c r="C345" s="77">
        <f>SUMIFS(Report!$U:$U,Report!$T:$T,"MERCADORIAS P/REVENDA",Report!$AA:$AA,"SIM",Report!$C:$C,A345)</f>
        <v/>
      </c>
      <c r="F345" s="77">
        <f>B345+C345</f>
        <v/>
      </c>
    </row>
    <row r="346" ht="12.75" customHeight="1" s="60">
      <c r="A346" s="75" t="n">
        <v>46323</v>
      </c>
      <c r="B346" s="77">
        <f>SUMIFS(Report!$U:$U,Report!$T:$T,"&lt;&gt;"&amp;"MERCADORIAS P/REVENDA",Report!$AA:$AA,"SIM",Report!$C:$C,A346)</f>
        <v/>
      </c>
      <c r="C346" s="77">
        <f>SUMIFS(Report!$U:$U,Report!$T:$T,"MERCADORIAS P/REVENDA",Report!$AA:$AA,"SIM",Report!$C:$C,A346)</f>
        <v/>
      </c>
      <c r="F346" s="77">
        <f>B346+C346</f>
        <v/>
      </c>
    </row>
    <row r="347" ht="12.75" customHeight="1" s="60">
      <c r="A347" s="75" t="n">
        <v>46324</v>
      </c>
      <c r="B347" s="77">
        <f>SUMIFS(Report!$U:$U,Report!$T:$T,"&lt;&gt;"&amp;"MERCADORIAS P/REVENDA",Report!$AA:$AA,"SIM",Report!$C:$C,A347)</f>
        <v/>
      </c>
      <c r="C347" s="77">
        <f>SUMIFS(Report!$U:$U,Report!$T:$T,"MERCADORIAS P/REVENDA",Report!$AA:$AA,"SIM",Report!$C:$C,A347)</f>
        <v/>
      </c>
      <c r="F347" s="77">
        <f>B347+C347</f>
        <v/>
      </c>
    </row>
    <row r="348" ht="12.75" customHeight="1" s="60">
      <c r="A348" s="75" t="n">
        <v>46325</v>
      </c>
      <c r="B348" s="77">
        <f>SUMIFS(Report!$U:$U,Report!$T:$T,"&lt;&gt;"&amp;"MERCADORIAS P/REVENDA",Report!$AA:$AA,"SIM",Report!$C:$C,A348)</f>
        <v/>
      </c>
      <c r="C348" s="77">
        <f>SUMIFS(Report!$U:$U,Report!$T:$T,"MERCADORIAS P/REVENDA",Report!$AA:$AA,"SIM",Report!$C:$C,A348)</f>
        <v/>
      </c>
      <c r="F348" s="77">
        <f>B348+C348</f>
        <v/>
      </c>
    </row>
    <row r="349" ht="12.75" customHeight="1" s="60">
      <c r="A349" s="99" t="n">
        <v>46326</v>
      </c>
      <c r="B349" s="100">
        <f>SUMIFS(Report!$U:$U,Report!$T:$T,"&lt;&gt;"&amp;"MERCADORIAS P/REVENDA",Report!$AA:$AA,"SIM",Report!$C:$C,A349)</f>
        <v/>
      </c>
      <c r="C349" s="100">
        <f>SUMIFS(Report!$U:$U,Report!$T:$T,"MERCADORIAS P/REVENDA",Report!$AA:$AA,"SIM",Report!$C:$C,A349)</f>
        <v/>
      </c>
      <c r="D349" s="101" t="n"/>
      <c r="E349" s="101" t="n"/>
      <c r="F349" s="100">
        <f>B349+C349</f>
        <v/>
      </c>
    </row>
    <row r="350" ht="12.75" customHeight="1" s="60">
      <c r="A350" s="99" t="n">
        <v>46327</v>
      </c>
      <c r="B350" s="100">
        <f>SUMIFS(Report!$U:$U,Report!$T:$T,"&lt;&gt;"&amp;"MERCADORIAS P/REVENDA",Report!$AA:$AA,"SIM",Report!$C:$C,A350)</f>
        <v/>
      </c>
      <c r="C350" s="100">
        <f>SUMIFS(Report!$U:$U,Report!$T:$T,"MERCADORIAS P/REVENDA",Report!$AA:$AA,"SIM",Report!$C:$C,A350)</f>
        <v/>
      </c>
      <c r="D350" s="101" t="n"/>
      <c r="E350" s="101" t="n"/>
      <c r="F350" s="100">
        <f>B350+C350</f>
        <v/>
      </c>
    </row>
    <row r="351" ht="12.75" customHeight="1" s="60">
      <c r="A351" s="99" t="n">
        <v>46328</v>
      </c>
      <c r="B351" s="100">
        <f>SUMIFS(Report!$U:$U,Report!$T:$T,"&lt;&gt;"&amp;"MERCADORIAS P/REVENDA",Report!$AA:$AA,"SIM",Report!$C:$C,A351)</f>
        <v/>
      </c>
      <c r="C351" s="100">
        <f>SUMIFS(Report!$U:$U,Report!$T:$T,"MERCADORIAS P/REVENDA",Report!$AA:$AA,"SIM",Report!$C:$C,A351)</f>
        <v/>
      </c>
      <c r="D351" s="101" t="n"/>
      <c r="E351" s="101" t="n"/>
      <c r="F351" s="100">
        <f>B351+C351</f>
        <v/>
      </c>
    </row>
    <row r="352" ht="12.75" customHeight="1" s="60">
      <c r="A352" s="102">
        <f>"Subtotal Semana "&amp;TEXT(A345,"dd/mm/yyyy")&amp;" a "&amp;TEXT(A351,"dd/mm/yyyy")</f>
        <v/>
      </c>
      <c r="B352" s="90">
        <f>SUM(B345:B351)</f>
        <v/>
      </c>
      <c r="C352" s="90">
        <f>SUM(C345:C351)</f>
        <v/>
      </c>
      <c r="D352" s="94" t="n"/>
      <c r="E352" s="94" t="n"/>
      <c r="F352" s="90">
        <f>B352+C352</f>
        <v/>
      </c>
    </row>
    <row r="353" ht="12.75" customHeight="1" s="60">
      <c r="A353" s="75" t="n">
        <v>46329</v>
      </c>
      <c r="B353" s="77">
        <f>SUMIFS(Report!$U:$U,Report!$T:$T,"&lt;&gt;"&amp;"MERCADORIAS P/REVENDA",Report!$AA:$AA,"SIM",Report!$C:$C,A353)</f>
        <v/>
      </c>
      <c r="C353" s="77">
        <f>SUMIFS(Report!$U:$U,Report!$T:$T,"MERCADORIAS P/REVENDA",Report!$AA:$AA,"SIM",Report!$C:$C,A353)</f>
        <v/>
      </c>
      <c r="F353" s="77">
        <f>B353+C353</f>
        <v/>
      </c>
    </row>
    <row r="354" ht="12.75" customHeight="1" s="60">
      <c r="A354" s="75" t="n">
        <v>46330</v>
      </c>
      <c r="B354" s="77">
        <f>SUMIFS(Report!$U:$U,Report!$T:$T,"&lt;&gt;"&amp;"MERCADORIAS P/REVENDA",Report!$AA:$AA,"SIM",Report!$C:$C,A354)</f>
        <v/>
      </c>
      <c r="C354" s="77">
        <f>SUMIFS(Report!$U:$U,Report!$T:$T,"MERCADORIAS P/REVENDA",Report!$AA:$AA,"SIM",Report!$C:$C,A354)</f>
        <v/>
      </c>
      <c r="F354" s="77">
        <f>B354+C354</f>
        <v/>
      </c>
    </row>
    <row r="355" ht="12.75" customHeight="1" s="60">
      <c r="A355" s="75" t="n">
        <v>46331</v>
      </c>
      <c r="B355" s="77">
        <f>SUMIFS(Report!$U:$U,Report!$T:$T,"&lt;&gt;"&amp;"MERCADORIAS P/REVENDA",Report!$AA:$AA,"SIM",Report!$C:$C,A355)</f>
        <v/>
      </c>
      <c r="C355" s="77">
        <f>SUMIFS(Report!$U:$U,Report!$T:$T,"MERCADORIAS P/REVENDA",Report!$AA:$AA,"SIM",Report!$C:$C,A355)</f>
        <v/>
      </c>
      <c r="F355" s="77">
        <f>B355+C355</f>
        <v/>
      </c>
    </row>
    <row r="356" ht="12.75" customHeight="1" s="60">
      <c r="A356" s="75" t="n">
        <v>46332</v>
      </c>
      <c r="B356" s="77">
        <f>SUMIFS(Report!$U:$U,Report!$T:$T,"&lt;&gt;"&amp;"MERCADORIAS P/REVENDA",Report!$AA:$AA,"SIM",Report!$C:$C,A356)</f>
        <v/>
      </c>
      <c r="C356" s="77">
        <f>SUMIFS(Report!$U:$U,Report!$T:$T,"MERCADORIAS P/REVENDA",Report!$AA:$AA,"SIM",Report!$C:$C,A356)</f>
        <v/>
      </c>
      <c r="F356" s="77">
        <f>B356+C356</f>
        <v/>
      </c>
    </row>
    <row r="357" ht="12.75" customHeight="1" s="60">
      <c r="A357" s="99" t="n">
        <v>46333</v>
      </c>
      <c r="B357" s="100">
        <f>SUMIFS(Report!$U:$U,Report!$T:$T,"&lt;&gt;"&amp;"MERCADORIAS P/REVENDA",Report!$AA:$AA,"SIM",Report!$C:$C,A357)</f>
        <v/>
      </c>
      <c r="C357" s="100">
        <f>SUMIFS(Report!$U:$U,Report!$T:$T,"MERCADORIAS P/REVENDA",Report!$AA:$AA,"SIM",Report!$C:$C,A357)</f>
        <v/>
      </c>
      <c r="D357" s="101" t="n"/>
      <c r="E357" s="101" t="n"/>
      <c r="F357" s="100">
        <f>B357+C357</f>
        <v/>
      </c>
    </row>
    <row r="358" ht="12.75" customHeight="1" s="60">
      <c r="A358" s="99" t="n">
        <v>46334</v>
      </c>
      <c r="B358" s="100">
        <f>SUMIFS(Report!$U:$U,Report!$T:$T,"&lt;&gt;"&amp;"MERCADORIAS P/REVENDA",Report!$AA:$AA,"SIM",Report!$C:$C,A358)</f>
        <v/>
      </c>
      <c r="C358" s="100">
        <f>SUMIFS(Report!$U:$U,Report!$T:$T,"MERCADORIAS P/REVENDA",Report!$AA:$AA,"SIM",Report!$C:$C,A358)</f>
        <v/>
      </c>
      <c r="D358" s="101" t="n"/>
      <c r="E358" s="101" t="n"/>
      <c r="F358" s="100">
        <f>B358+C358</f>
        <v/>
      </c>
    </row>
    <row r="359" ht="12.75" customHeight="1" s="60">
      <c r="A359" s="99" t="n">
        <v>46335</v>
      </c>
      <c r="B359" s="100">
        <f>SUMIFS(Report!$U:$U,Report!$T:$T,"&lt;&gt;"&amp;"MERCADORIAS P/REVENDA",Report!$AA:$AA,"SIM",Report!$C:$C,A359)</f>
        <v/>
      </c>
      <c r="C359" s="100">
        <f>SUMIFS(Report!$U:$U,Report!$T:$T,"MERCADORIAS P/REVENDA",Report!$AA:$AA,"SIM",Report!$C:$C,A359)</f>
        <v/>
      </c>
      <c r="D359" s="101" t="n"/>
      <c r="E359" s="101" t="n"/>
      <c r="F359" s="100">
        <f>B359+C359</f>
        <v/>
      </c>
    </row>
    <row r="360" ht="12.75" customHeight="1" s="60">
      <c r="A360" s="102">
        <f>"Subtotal Semana "&amp;TEXT(A353,"dd/mm/yyyy")&amp;" a "&amp;TEXT(A359,"dd/mm/yyyy")</f>
        <v/>
      </c>
      <c r="B360" s="90">
        <f>SUM(B353:B359)</f>
        <v/>
      </c>
      <c r="C360" s="90">
        <f>SUM(C353:C359)</f>
        <v/>
      </c>
      <c r="D360" s="94" t="n"/>
      <c r="E360" s="94" t="n"/>
      <c r="F360" s="90">
        <f>B360+C360</f>
        <v/>
      </c>
    </row>
    <row r="361" ht="12.75" customHeight="1" s="60">
      <c r="A361" s="75" t="n">
        <v>46336</v>
      </c>
      <c r="B361" s="77">
        <f>SUMIFS(Report!$U:$U,Report!$T:$T,"&lt;&gt;"&amp;"MERCADORIAS P/REVENDA",Report!$AA:$AA,"SIM",Report!$C:$C,A361)</f>
        <v/>
      </c>
      <c r="C361" s="77">
        <f>SUMIFS(Report!$U:$U,Report!$T:$T,"MERCADORIAS P/REVENDA",Report!$AA:$AA,"SIM",Report!$C:$C,A361)</f>
        <v/>
      </c>
      <c r="F361" s="77">
        <f>B361+C361</f>
        <v/>
      </c>
    </row>
    <row r="362" ht="12.75" customHeight="1" s="60">
      <c r="A362" s="75" t="n">
        <v>46337</v>
      </c>
      <c r="B362" s="77">
        <f>SUMIFS(Report!$U:$U,Report!$T:$T,"&lt;&gt;"&amp;"MERCADORIAS P/REVENDA",Report!$AA:$AA,"SIM",Report!$C:$C,A362)</f>
        <v/>
      </c>
      <c r="C362" s="77">
        <f>SUMIFS(Report!$U:$U,Report!$T:$T,"MERCADORIAS P/REVENDA",Report!$AA:$AA,"SIM",Report!$C:$C,A362)</f>
        <v/>
      </c>
      <c r="F362" s="77">
        <f>B362+C362</f>
        <v/>
      </c>
    </row>
    <row r="363" ht="12.75" customHeight="1" s="60">
      <c r="A363" s="75" t="n">
        <v>46338</v>
      </c>
      <c r="B363" s="77">
        <f>SUMIFS(Report!$U:$U,Report!$T:$T,"&lt;&gt;"&amp;"MERCADORIAS P/REVENDA",Report!$AA:$AA,"SIM",Report!$C:$C,A363)</f>
        <v/>
      </c>
      <c r="C363" s="77">
        <f>SUMIFS(Report!$U:$U,Report!$T:$T,"MERCADORIAS P/REVENDA",Report!$AA:$AA,"SIM",Report!$C:$C,A363)</f>
        <v/>
      </c>
      <c r="F363" s="77">
        <f>B363+C363</f>
        <v/>
      </c>
    </row>
    <row r="364" ht="12.75" customHeight="1" s="60">
      <c r="A364" s="75" t="n">
        <v>46339</v>
      </c>
      <c r="B364" s="77">
        <f>SUMIFS(Report!$U:$U,Report!$T:$T,"&lt;&gt;"&amp;"MERCADORIAS P/REVENDA",Report!$AA:$AA,"SIM",Report!$C:$C,A364)</f>
        <v/>
      </c>
      <c r="C364" s="77">
        <f>SUMIFS(Report!$U:$U,Report!$T:$T,"MERCADORIAS P/REVENDA",Report!$AA:$AA,"SIM",Report!$C:$C,A364)</f>
        <v/>
      </c>
      <c r="F364" s="77">
        <f>B364+C364</f>
        <v/>
      </c>
    </row>
    <row r="365" ht="12.75" customHeight="1" s="60">
      <c r="A365" s="99" t="n">
        <v>46340</v>
      </c>
      <c r="B365" s="100">
        <f>SUMIFS(Report!$U:$U,Report!$T:$T,"&lt;&gt;"&amp;"MERCADORIAS P/REVENDA",Report!$AA:$AA,"SIM",Report!$C:$C,A365)</f>
        <v/>
      </c>
      <c r="C365" s="100">
        <f>SUMIFS(Report!$U:$U,Report!$T:$T,"MERCADORIAS P/REVENDA",Report!$AA:$AA,"SIM",Report!$C:$C,A365)</f>
        <v/>
      </c>
      <c r="D365" s="101" t="n"/>
      <c r="E365" s="101" t="n"/>
      <c r="F365" s="100">
        <f>B365+C365</f>
        <v/>
      </c>
    </row>
    <row r="366" ht="12.75" customHeight="1" s="60">
      <c r="A366" s="99" t="n">
        <v>46341</v>
      </c>
      <c r="B366" s="100">
        <f>SUMIFS(Report!$U:$U,Report!$T:$T,"&lt;&gt;"&amp;"MERCADORIAS P/REVENDA",Report!$AA:$AA,"SIM",Report!$C:$C,A366)</f>
        <v/>
      </c>
      <c r="C366" s="100">
        <f>SUMIFS(Report!$U:$U,Report!$T:$T,"MERCADORIAS P/REVENDA",Report!$AA:$AA,"SIM",Report!$C:$C,A366)</f>
        <v/>
      </c>
      <c r="D366" s="101" t="n"/>
      <c r="E366" s="101" t="n"/>
      <c r="F366" s="100">
        <f>B366+C366</f>
        <v/>
      </c>
    </row>
    <row r="367" ht="12.75" customHeight="1" s="60">
      <c r="A367" s="99" t="n">
        <v>46342</v>
      </c>
      <c r="B367" s="100">
        <f>SUMIFS(Report!$U:$U,Report!$T:$T,"&lt;&gt;"&amp;"MERCADORIAS P/REVENDA",Report!$AA:$AA,"SIM",Report!$C:$C,A367)</f>
        <v/>
      </c>
      <c r="C367" s="100">
        <f>SUMIFS(Report!$U:$U,Report!$T:$T,"MERCADORIAS P/REVENDA",Report!$AA:$AA,"SIM",Report!$C:$C,A367)</f>
        <v/>
      </c>
      <c r="D367" s="101" t="n"/>
      <c r="E367" s="101" t="n"/>
      <c r="F367" s="100">
        <f>B367+C367</f>
        <v/>
      </c>
    </row>
    <row r="368" ht="12.75" customHeight="1" s="60">
      <c r="A368" s="102">
        <f>"Subtotal Semana "&amp;TEXT(A361,"dd/mm/yyyy")&amp;" a "&amp;TEXT(A367,"dd/mm/yyyy")</f>
        <v/>
      </c>
      <c r="B368" s="90">
        <f>SUM(B361:B367)</f>
        <v/>
      </c>
      <c r="C368" s="90">
        <f>SUM(C361:C367)</f>
        <v/>
      </c>
      <c r="D368" s="94" t="n"/>
      <c r="E368" s="94" t="n"/>
      <c r="F368" s="90">
        <f>B368+C368</f>
        <v/>
      </c>
    </row>
    <row r="369" ht="12.75" customHeight="1" s="60">
      <c r="A369" s="75" t="n">
        <v>46343</v>
      </c>
      <c r="B369" s="77">
        <f>SUMIFS(Report!$U:$U,Report!$T:$T,"&lt;&gt;"&amp;"MERCADORIAS P/REVENDA",Report!$AA:$AA,"SIM",Report!$C:$C,A369)</f>
        <v/>
      </c>
      <c r="C369" s="77">
        <f>SUMIFS(Report!$U:$U,Report!$T:$T,"MERCADORIAS P/REVENDA",Report!$AA:$AA,"SIM",Report!$C:$C,A369)</f>
        <v/>
      </c>
      <c r="F369" s="77">
        <f>B369+C369</f>
        <v/>
      </c>
    </row>
    <row r="370" ht="12.75" customHeight="1" s="60">
      <c r="A370" s="75" t="n">
        <v>46344</v>
      </c>
      <c r="B370" s="77">
        <f>SUMIFS(Report!$U:$U,Report!$T:$T,"&lt;&gt;"&amp;"MERCADORIAS P/REVENDA",Report!$AA:$AA,"SIM",Report!$C:$C,A370)</f>
        <v/>
      </c>
      <c r="C370" s="77">
        <f>SUMIFS(Report!$U:$U,Report!$T:$T,"MERCADORIAS P/REVENDA",Report!$AA:$AA,"SIM",Report!$C:$C,A370)</f>
        <v/>
      </c>
      <c r="F370" s="77">
        <f>B370+C370</f>
        <v/>
      </c>
    </row>
    <row r="371" ht="12.75" customHeight="1" s="60">
      <c r="A371" s="75" t="n">
        <v>46345</v>
      </c>
      <c r="B371" s="77">
        <f>SUMIFS(Report!$U:$U,Report!$T:$T,"&lt;&gt;"&amp;"MERCADORIAS P/REVENDA",Report!$AA:$AA,"SIM",Report!$C:$C,A371)</f>
        <v/>
      </c>
      <c r="C371" s="77">
        <f>SUMIFS(Report!$U:$U,Report!$T:$T,"MERCADORIAS P/REVENDA",Report!$AA:$AA,"SIM",Report!$C:$C,A371)</f>
        <v/>
      </c>
      <c r="F371" s="77">
        <f>B371+C371</f>
        <v/>
      </c>
    </row>
    <row r="372" ht="12.75" customHeight="1" s="60">
      <c r="A372" s="75" t="n">
        <v>46346</v>
      </c>
      <c r="B372" s="77">
        <f>SUMIFS(Report!$U:$U,Report!$T:$T,"&lt;&gt;"&amp;"MERCADORIAS P/REVENDA",Report!$AA:$AA,"SIM",Report!$C:$C,A372)</f>
        <v/>
      </c>
      <c r="C372" s="77">
        <f>SUMIFS(Report!$U:$U,Report!$T:$T,"MERCADORIAS P/REVENDA",Report!$AA:$AA,"SIM",Report!$C:$C,A372)</f>
        <v/>
      </c>
      <c r="F372" s="77">
        <f>B372+C372</f>
        <v/>
      </c>
    </row>
    <row r="373" ht="12.75" customHeight="1" s="60">
      <c r="A373" s="99" t="n">
        <v>46347</v>
      </c>
      <c r="B373" s="100">
        <f>SUMIFS(Report!$U:$U,Report!$T:$T,"&lt;&gt;"&amp;"MERCADORIAS P/REVENDA",Report!$AA:$AA,"SIM",Report!$C:$C,A373)</f>
        <v/>
      </c>
      <c r="C373" s="100">
        <f>SUMIFS(Report!$U:$U,Report!$T:$T,"MERCADORIAS P/REVENDA",Report!$AA:$AA,"SIM",Report!$C:$C,A373)</f>
        <v/>
      </c>
      <c r="D373" s="101" t="n"/>
      <c r="E373" s="101" t="n"/>
      <c r="F373" s="100">
        <f>B373+C373</f>
        <v/>
      </c>
    </row>
    <row r="374" ht="12.75" customHeight="1" s="60">
      <c r="A374" s="99" t="n">
        <v>46348</v>
      </c>
      <c r="B374" s="100">
        <f>SUMIFS(Report!$U:$U,Report!$T:$T,"&lt;&gt;"&amp;"MERCADORIAS P/REVENDA",Report!$AA:$AA,"SIM",Report!$C:$C,A374)</f>
        <v/>
      </c>
      <c r="C374" s="100">
        <f>SUMIFS(Report!$U:$U,Report!$T:$T,"MERCADORIAS P/REVENDA",Report!$AA:$AA,"SIM",Report!$C:$C,A374)</f>
        <v/>
      </c>
      <c r="D374" s="101" t="n"/>
      <c r="E374" s="101" t="n"/>
      <c r="F374" s="100">
        <f>B374+C374</f>
        <v/>
      </c>
    </row>
    <row r="375" ht="12.75" customHeight="1" s="60">
      <c r="A375" s="99" t="n">
        <v>46349</v>
      </c>
      <c r="B375" s="100">
        <f>SUMIFS(Report!$U:$U,Report!$T:$T,"&lt;&gt;"&amp;"MERCADORIAS P/REVENDA",Report!$AA:$AA,"SIM",Report!$C:$C,A375)</f>
        <v/>
      </c>
      <c r="C375" s="100">
        <f>SUMIFS(Report!$U:$U,Report!$T:$T,"MERCADORIAS P/REVENDA",Report!$AA:$AA,"SIM",Report!$C:$C,A375)</f>
        <v/>
      </c>
      <c r="D375" s="101" t="n"/>
      <c r="E375" s="101" t="n"/>
      <c r="F375" s="100">
        <f>B375+C375</f>
        <v/>
      </c>
    </row>
    <row r="376" ht="12.75" customHeight="1" s="60">
      <c r="A376" s="102">
        <f>"Subtotal Semana "&amp;TEXT(A369,"dd/mm/yyyy")&amp;" a "&amp;TEXT(A375,"dd/mm/yyyy")</f>
        <v/>
      </c>
      <c r="B376" s="90">
        <f>SUM(B369:B375)</f>
        <v/>
      </c>
      <c r="C376" s="90">
        <f>SUM(C369:C375)</f>
        <v/>
      </c>
      <c r="D376" s="94" t="n"/>
      <c r="E376" s="94" t="n"/>
      <c r="F376" s="90">
        <f>B376+C376</f>
        <v/>
      </c>
    </row>
    <row r="377" ht="12.75" customHeight="1" s="60">
      <c r="A377" s="75" t="n">
        <v>46350</v>
      </c>
      <c r="B377" s="77">
        <f>SUMIFS(Report!$U:$U,Report!$T:$T,"&lt;&gt;"&amp;"MERCADORIAS P/REVENDA",Report!$AA:$AA,"SIM",Report!$C:$C,A377)</f>
        <v/>
      </c>
      <c r="C377" s="77">
        <f>SUMIFS(Report!$U:$U,Report!$T:$T,"MERCADORIAS P/REVENDA",Report!$AA:$AA,"SIM",Report!$C:$C,A377)</f>
        <v/>
      </c>
      <c r="F377" s="77">
        <f>B377+C377</f>
        <v/>
      </c>
    </row>
    <row r="378" ht="12.75" customHeight="1" s="60">
      <c r="A378" s="75" t="n">
        <v>46351</v>
      </c>
      <c r="B378" s="77">
        <f>SUMIFS(Report!$U:$U,Report!$T:$T,"&lt;&gt;"&amp;"MERCADORIAS P/REVENDA",Report!$AA:$AA,"SIM",Report!$C:$C,A378)</f>
        <v/>
      </c>
      <c r="C378" s="77">
        <f>SUMIFS(Report!$U:$U,Report!$T:$T,"MERCADORIAS P/REVENDA",Report!$AA:$AA,"SIM",Report!$C:$C,A378)</f>
        <v/>
      </c>
      <c r="F378" s="77">
        <f>B378+C378</f>
        <v/>
      </c>
    </row>
    <row r="379" ht="12.75" customHeight="1" s="60">
      <c r="A379" s="75" t="n">
        <v>46352</v>
      </c>
      <c r="B379" s="77">
        <f>SUMIFS(Report!$U:$U,Report!$T:$T,"&lt;&gt;"&amp;"MERCADORIAS P/REVENDA",Report!$AA:$AA,"SIM",Report!$C:$C,A379)</f>
        <v/>
      </c>
      <c r="C379" s="77">
        <f>SUMIFS(Report!$U:$U,Report!$T:$T,"MERCADORIAS P/REVENDA",Report!$AA:$AA,"SIM",Report!$C:$C,A379)</f>
        <v/>
      </c>
      <c r="F379" s="77">
        <f>B379+C379</f>
        <v/>
      </c>
    </row>
    <row r="380" ht="12.75" customHeight="1" s="60">
      <c r="A380" s="75" t="n">
        <v>46353</v>
      </c>
      <c r="B380" s="77">
        <f>SUMIFS(Report!$U:$U,Report!$T:$T,"&lt;&gt;"&amp;"MERCADORIAS P/REVENDA",Report!$AA:$AA,"SIM",Report!$C:$C,A380)</f>
        <v/>
      </c>
      <c r="C380" s="77">
        <f>SUMIFS(Report!$U:$U,Report!$T:$T,"MERCADORIAS P/REVENDA",Report!$AA:$AA,"SIM",Report!$C:$C,A380)</f>
        <v/>
      </c>
      <c r="F380" s="77">
        <f>B380+C380</f>
        <v/>
      </c>
    </row>
    <row r="381" ht="12.75" customHeight="1" s="60">
      <c r="A381" s="99" t="n">
        <v>46354</v>
      </c>
      <c r="B381" s="100">
        <f>SUMIFS(Report!$U:$U,Report!$T:$T,"&lt;&gt;"&amp;"MERCADORIAS P/REVENDA",Report!$AA:$AA,"SIM",Report!$C:$C,A381)</f>
        <v/>
      </c>
      <c r="C381" s="100">
        <f>SUMIFS(Report!$U:$U,Report!$T:$T,"MERCADORIAS P/REVENDA",Report!$AA:$AA,"SIM",Report!$C:$C,A381)</f>
        <v/>
      </c>
      <c r="D381" s="101" t="n"/>
      <c r="E381" s="101" t="n"/>
      <c r="F381" s="100">
        <f>B381+C381</f>
        <v/>
      </c>
    </row>
    <row r="382" ht="12.75" customHeight="1" s="60">
      <c r="A382" s="99" t="n">
        <v>46355</v>
      </c>
      <c r="B382" s="100">
        <f>SUMIFS(Report!$U:$U,Report!$T:$T,"&lt;&gt;"&amp;"MERCADORIAS P/REVENDA",Report!$AA:$AA,"SIM",Report!$C:$C,A382)</f>
        <v/>
      </c>
      <c r="C382" s="100">
        <f>SUMIFS(Report!$U:$U,Report!$T:$T,"MERCADORIAS P/REVENDA",Report!$AA:$AA,"SIM",Report!$C:$C,A382)</f>
        <v/>
      </c>
      <c r="D382" s="101" t="n"/>
      <c r="E382" s="101" t="n"/>
      <c r="F382" s="100">
        <f>B382+C382</f>
        <v/>
      </c>
    </row>
    <row r="383" ht="12.75" customHeight="1" s="60">
      <c r="A383" s="99" t="n">
        <v>46356</v>
      </c>
      <c r="B383" s="100">
        <f>SUMIFS(Report!$U:$U,Report!$T:$T,"&lt;&gt;"&amp;"MERCADORIAS P/REVENDA",Report!$AA:$AA,"SIM",Report!$C:$C,A383)</f>
        <v/>
      </c>
      <c r="C383" s="100">
        <f>SUMIFS(Report!$U:$U,Report!$T:$T,"MERCADORIAS P/REVENDA",Report!$AA:$AA,"SIM",Report!$C:$C,A383)</f>
        <v/>
      </c>
      <c r="D383" s="101" t="n"/>
      <c r="E383" s="101" t="n"/>
      <c r="F383" s="100">
        <f>B383+C383</f>
        <v/>
      </c>
    </row>
    <row r="384" ht="12.75" customHeight="1" s="60">
      <c r="A384" s="102">
        <f>"Subtotal Semana "&amp;TEXT(A377,"dd/mm/yyyy")&amp;" a "&amp;TEXT(A383,"dd/mm/yyyy")</f>
        <v/>
      </c>
      <c r="B384" s="90">
        <f>SUM(B377:B383)</f>
        <v/>
      </c>
      <c r="C384" s="90">
        <f>SUM(C377:C383)</f>
        <v/>
      </c>
      <c r="D384" s="94" t="n"/>
      <c r="E384" s="94" t="n"/>
      <c r="F384" s="90">
        <f>B384+C384</f>
        <v/>
      </c>
    </row>
    <row r="385" ht="12.75" customHeight="1" s="60">
      <c r="A385" s="75" t="n">
        <v>46357</v>
      </c>
      <c r="B385" s="77">
        <f>SUMIFS(Report!$U:$U,Report!$T:$T,"&lt;&gt;"&amp;"MERCADORIAS P/REVENDA",Report!$AA:$AA,"SIM",Report!$C:$C,A385)</f>
        <v/>
      </c>
      <c r="C385" s="77">
        <f>SUMIFS(Report!$U:$U,Report!$T:$T,"MERCADORIAS P/REVENDA",Report!$AA:$AA,"SIM",Report!$C:$C,A385)</f>
        <v/>
      </c>
      <c r="F385" s="77">
        <f>B385+C385</f>
        <v/>
      </c>
    </row>
    <row r="386" ht="12.75" customHeight="1" s="60">
      <c r="A386" s="75" t="n">
        <v>46358</v>
      </c>
      <c r="B386" s="77">
        <f>SUMIFS(Report!$U:$U,Report!$T:$T,"&lt;&gt;"&amp;"MERCADORIAS P/REVENDA",Report!$AA:$AA,"SIM",Report!$C:$C,A386)</f>
        <v/>
      </c>
      <c r="C386" s="77">
        <f>SUMIFS(Report!$U:$U,Report!$T:$T,"MERCADORIAS P/REVENDA",Report!$AA:$AA,"SIM",Report!$C:$C,A386)</f>
        <v/>
      </c>
      <c r="F386" s="77">
        <f>B386+C386</f>
        <v/>
      </c>
    </row>
    <row r="387" ht="12.75" customHeight="1" s="60">
      <c r="A387" s="75" t="n">
        <v>46359</v>
      </c>
      <c r="B387" s="77">
        <f>SUMIFS(Report!$U:$U,Report!$T:$T,"&lt;&gt;"&amp;"MERCADORIAS P/REVENDA",Report!$AA:$AA,"SIM",Report!$C:$C,A387)</f>
        <v/>
      </c>
      <c r="C387" s="77">
        <f>SUMIFS(Report!$U:$U,Report!$T:$T,"MERCADORIAS P/REVENDA",Report!$AA:$AA,"SIM",Report!$C:$C,A387)</f>
        <v/>
      </c>
      <c r="F387" s="77">
        <f>B387+C387</f>
        <v/>
      </c>
    </row>
    <row r="388" ht="12.75" customHeight="1" s="60">
      <c r="A388" s="75" t="n">
        <v>46360</v>
      </c>
      <c r="B388" s="77">
        <f>SUMIFS(Report!$U:$U,Report!$T:$T,"&lt;&gt;"&amp;"MERCADORIAS P/REVENDA",Report!$AA:$AA,"SIM",Report!$C:$C,A388)</f>
        <v/>
      </c>
      <c r="C388" s="77">
        <f>SUMIFS(Report!$U:$U,Report!$T:$T,"MERCADORIAS P/REVENDA",Report!$AA:$AA,"SIM",Report!$C:$C,A388)</f>
        <v/>
      </c>
      <c r="F388" s="77">
        <f>B388+C388</f>
        <v/>
      </c>
    </row>
    <row r="389" ht="12.75" customHeight="1" s="60">
      <c r="A389" s="99" t="n">
        <v>46361</v>
      </c>
      <c r="B389" s="100">
        <f>SUMIFS(Report!$U:$U,Report!$T:$T,"&lt;&gt;"&amp;"MERCADORIAS P/REVENDA",Report!$AA:$AA,"SIM",Report!$C:$C,A389)</f>
        <v/>
      </c>
      <c r="C389" s="100">
        <f>SUMIFS(Report!$U:$U,Report!$T:$T,"MERCADORIAS P/REVENDA",Report!$AA:$AA,"SIM",Report!$C:$C,A389)</f>
        <v/>
      </c>
      <c r="D389" s="101" t="n"/>
      <c r="E389" s="101" t="n"/>
      <c r="F389" s="100">
        <f>B389+C389</f>
        <v/>
      </c>
    </row>
    <row r="390" ht="12.75" customHeight="1" s="60">
      <c r="A390" s="99" t="n">
        <v>46362</v>
      </c>
      <c r="B390" s="100">
        <f>SUMIFS(Report!$U:$U,Report!$T:$T,"&lt;&gt;"&amp;"MERCADORIAS P/REVENDA",Report!$AA:$AA,"SIM",Report!$C:$C,A390)</f>
        <v/>
      </c>
      <c r="C390" s="100">
        <f>SUMIFS(Report!$U:$U,Report!$T:$T,"MERCADORIAS P/REVENDA",Report!$AA:$AA,"SIM",Report!$C:$C,A390)</f>
        <v/>
      </c>
      <c r="D390" s="101" t="n"/>
      <c r="E390" s="101" t="n"/>
      <c r="F390" s="100">
        <f>B390+C390</f>
        <v/>
      </c>
    </row>
    <row r="391" ht="12.75" customHeight="1" s="60">
      <c r="A391" s="99" t="n">
        <v>46363</v>
      </c>
      <c r="B391" s="100">
        <f>SUMIFS(Report!$U:$U,Report!$T:$T,"&lt;&gt;"&amp;"MERCADORIAS P/REVENDA",Report!$AA:$AA,"SIM",Report!$C:$C,A391)</f>
        <v/>
      </c>
      <c r="C391" s="100">
        <f>SUMIFS(Report!$U:$U,Report!$T:$T,"MERCADORIAS P/REVENDA",Report!$AA:$AA,"SIM",Report!$C:$C,A391)</f>
        <v/>
      </c>
      <c r="D391" s="101" t="n"/>
      <c r="E391" s="101" t="n"/>
      <c r="F391" s="100">
        <f>B391+C391</f>
        <v/>
      </c>
    </row>
    <row r="392" ht="12.75" customHeight="1" s="60">
      <c r="A392" s="102">
        <f>"Subtotal Semana "&amp;TEXT(A385,"dd/mm/yyyy")&amp;" a "&amp;TEXT(A391,"dd/mm/yyyy")</f>
        <v/>
      </c>
      <c r="B392" s="90">
        <f>SUM(B385:B391)</f>
        <v/>
      </c>
      <c r="C392" s="90">
        <f>SUM(C385:C391)</f>
        <v/>
      </c>
      <c r="D392" s="94" t="n"/>
      <c r="E392" s="94" t="n"/>
      <c r="F392" s="90">
        <f>B392+C392</f>
        <v/>
      </c>
    </row>
    <row r="393" ht="12.75" customHeight="1" s="60">
      <c r="A393" s="75" t="n">
        <v>46364</v>
      </c>
      <c r="B393" s="77">
        <f>SUMIFS(Report!$U:$U,Report!$T:$T,"&lt;&gt;"&amp;"MERCADORIAS P/REVENDA",Report!$AA:$AA,"SIM",Report!$C:$C,A393)</f>
        <v/>
      </c>
      <c r="C393" s="77">
        <f>SUMIFS(Report!$U:$U,Report!$T:$T,"MERCADORIAS P/REVENDA",Report!$AA:$AA,"SIM",Report!$C:$C,A393)</f>
        <v/>
      </c>
      <c r="F393" s="77">
        <f>B393+C393</f>
        <v/>
      </c>
    </row>
    <row r="394" ht="12.75" customHeight="1" s="60">
      <c r="A394" s="75" t="n">
        <v>46365</v>
      </c>
      <c r="B394" s="77">
        <f>SUMIFS(Report!$U:$U,Report!$T:$T,"&lt;&gt;"&amp;"MERCADORIAS P/REVENDA",Report!$AA:$AA,"SIM",Report!$C:$C,A394)</f>
        <v/>
      </c>
      <c r="C394" s="77">
        <f>SUMIFS(Report!$U:$U,Report!$T:$T,"MERCADORIAS P/REVENDA",Report!$AA:$AA,"SIM",Report!$C:$C,A394)</f>
        <v/>
      </c>
      <c r="F394" s="77">
        <f>B394+C394</f>
        <v/>
      </c>
    </row>
    <row r="395" ht="12.75" customHeight="1" s="60">
      <c r="A395" s="75" t="n">
        <v>46366</v>
      </c>
      <c r="B395" s="77">
        <f>SUMIFS(Report!$U:$U,Report!$T:$T,"&lt;&gt;"&amp;"MERCADORIAS P/REVENDA",Report!$AA:$AA,"SIM",Report!$C:$C,A395)</f>
        <v/>
      </c>
      <c r="C395" s="77">
        <f>SUMIFS(Report!$U:$U,Report!$T:$T,"MERCADORIAS P/REVENDA",Report!$AA:$AA,"SIM",Report!$C:$C,A395)</f>
        <v/>
      </c>
      <c r="F395" s="77">
        <f>B395+C395</f>
        <v/>
      </c>
    </row>
    <row r="396" ht="12.75" customHeight="1" s="60">
      <c r="A396" s="75" t="n">
        <v>46367</v>
      </c>
      <c r="B396" s="77">
        <f>SUMIFS(Report!$U:$U,Report!$T:$T,"&lt;&gt;"&amp;"MERCADORIAS P/REVENDA",Report!$AA:$AA,"SIM",Report!$C:$C,A396)</f>
        <v/>
      </c>
      <c r="C396" s="77">
        <f>SUMIFS(Report!$U:$U,Report!$T:$T,"MERCADORIAS P/REVENDA",Report!$AA:$AA,"SIM",Report!$C:$C,A396)</f>
        <v/>
      </c>
      <c r="F396" s="77">
        <f>B396+C396</f>
        <v/>
      </c>
    </row>
    <row r="397" ht="12.75" customHeight="1" s="60">
      <c r="A397" s="99" t="n">
        <v>46368</v>
      </c>
      <c r="B397" s="100">
        <f>SUMIFS(Report!$U:$U,Report!$T:$T,"&lt;&gt;"&amp;"MERCADORIAS P/REVENDA",Report!$AA:$AA,"SIM",Report!$C:$C,A397)</f>
        <v/>
      </c>
      <c r="C397" s="100">
        <f>SUMIFS(Report!$U:$U,Report!$T:$T,"MERCADORIAS P/REVENDA",Report!$AA:$AA,"SIM",Report!$C:$C,A397)</f>
        <v/>
      </c>
      <c r="D397" s="101" t="n"/>
      <c r="E397" s="101" t="n"/>
      <c r="F397" s="100">
        <f>B397+C397</f>
        <v/>
      </c>
    </row>
    <row r="398" ht="12.75" customHeight="1" s="60">
      <c r="A398" s="99" t="n">
        <v>46369</v>
      </c>
      <c r="B398" s="100">
        <f>SUMIFS(Report!$U:$U,Report!$T:$T,"&lt;&gt;"&amp;"MERCADORIAS P/REVENDA",Report!$AA:$AA,"SIM",Report!$C:$C,A398)</f>
        <v/>
      </c>
      <c r="C398" s="100">
        <f>SUMIFS(Report!$U:$U,Report!$T:$T,"MERCADORIAS P/REVENDA",Report!$AA:$AA,"SIM",Report!$C:$C,A398)</f>
        <v/>
      </c>
      <c r="D398" s="101" t="n"/>
      <c r="E398" s="101" t="n"/>
      <c r="F398" s="100">
        <f>B398+C398</f>
        <v/>
      </c>
    </row>
    <row r="399" ht="12.75" customHeight="1" s="60">
      <c r="A399" s="99" t="n">
        <v>46370</v>
      </c>
      <c r="B399" s="100">
        <f>SUMIFS(Report!$U:$U,Report!$T:$T,"&lt;&gt;"&amp;"MERCADORIAS P/REVENDA",Report!$AA:$AA,"SIM",Report!$C:$C,A399)</f>
        <v/>
      </c>
      <c r="C399" s="100">
        <f>SUMIFS(Report!$U:$U,Report!$T:$T,"MERCADORIAS P/REVENDA",Report!$AA:$AA,"SIM",Report!$C:$C,A399)</f>
        <v/>
      </c>
      <c r="D399" s="101" t="n"/>
      <c r="E399" s="101" t="n"/>
      <c r="F399" s="100">
        <f>B399+C399</f>
        <v/>
      </c>
    </row>
    <row r="400" ht="12.75" customHeight="1" s="60">
      <c r="A400" s="102">
        <f>"Subtotal Semana "&amp;TEXT(A393,"dd/mm/yyyy")&amp;" a "&amp;TEXT(A399,"dd/mm/yyyy")</f>
        <v/>
      </c>
      <c r="B400" s="90">
        <f>SUM(B393:B399)</f>
        <v/>
      </c>
      <c r="C400" s="90">
        <f>SUM(C393:C399)</f>
        <v/>
      </c>
      <c r="D400" s="94" t="n"/>
      <c r="E400" s="94" t="n"/>
      <c r="F400" s="90">
        <f>B400+C400</f>
        <v/>
      </c>
    </row>
    <row r="401" ht="12.75" customHeight="1" s="60">
      <c r="A401" s="75" t="n">
        <v>46371</v>
      </c>
      <c r="B401" s="77">
        <f>SUMIFS(Report!$U:$U,Report!$T:$T,"&lt;&gt;"&amp;"MERCADORIAS P/REVENDA",Report!$AA:$AA,"SIM",Report!$C:$C,A401)</f>
        <v/>
      </c>
      <c r="C401" s="77">
        <f>SUMIFS(Report!$U:$U,Report!$T:$T,"MERCADORIAS P/REVENDA",Report!$AA:$AA,"SIM",Report!$C:$C,A401)</f>
        <v/>
      </c>
      <c r="F401" s="77">
        <f>B401+C401</f>
        <v/>
      </c>
    </row>
    <row r="402" ht="12.75" customHeight="1" s="60">
      <c r="A402" s="75" t="n">
        <v>46372</v>
      </c>
      <c r="B402" s="77">
        <f>SUMIFS(Report!$U:$U,Report!$T:$T,"&lt;&gt;"&amp;"MERCADORIAS P/REVENDA",Report!$AA:$AA,"SIM",Report!$C:$C,A402)</f>
        <v/>
      </c>
      <c r="C402" s="77">
        <f>SUMIFS(Report!$U:$U,Report!$T:$T,"MERCADORIAS P/REVENDA",Report!$AA:$AA,"SIM",Report!$C:$C,A402)</f>
        <v/>
      </c>
      <c r="F402" s="77">
        <f>B402+C402</f>
        <v/>
      </c>
    </row>
    <row r="403" ht="12.75" customHeight="1" s="60">
      <c r="A403" s="75" t="n">
        <v>46373</v>
      </c>
      <c r="B403" s="77">
        <f>SUMIFS(Report!$U:$U,Report!$T:$T,"&lt;&gt;"&amp;"MERCADORIAS P/REVENDA",Report!$AA:$AA,"SIM",Report!$C:$C,A403)</f>
        <v/>
      </c>
      <c r="C403" s="77">
        <f>SUMIFS(Report!$U:$U,Report!$T:$T,"MERCADORIAS P/REVENDA",Report!$AA:$AA,"SIM",Report!$C:$C,A403)</f>
        <v/>
      </c>
      <c r="F403" s="77">
        <f>B403+C403</f>
        <v/>
      </c>
    </row>
    <row r="404" ht="12.75" customHeight="1" s="60">
      <c r="A404" s="75" t="n">
        <v>46374</v>
      </c>
      <c r="B404" s="77">
        <f>SUMIFS(Report!$U:$U,Report!$T:$T,"&lt;&gt;"&amp;"MERCADORIAS P/REVENDA",Report!$AA:$AA,"SIM",Report!$C:$C,A404)</f>
        <v/>
      </c>
      <c r="C404" s="77">
        <f>SUMIFS(Report!$U:$U,Report!$T:$T,"MERCADORIAS P/REVENDA",Report!$AA:$AA,"SIM",Report!$C:$C,A404)</f>
        <v/>
      </c>
      <c r="F404" s="77">
        <f>B404+C404</f>
        <v/>
      </c>
    </row>
    <row r="405" ht="12.75" customHeight="1" s="60">
      <c r="A405" s="99" t="n">
        <v>46375</v>
      </c>
      <c r="B405" s="100">
        <f>SUMIFS(Report!$U:$U,Report!$T:$T,"&lt;&gt;"&amp;"MERCADORIAS P/REVENDA",Report!$AA:$AA,"SIM",Report!$C:$C,A405)</f>
        <v/>
      </c>
      <c r="C405" s="100">
        <f>SUMIFS(Report!$U:$U,Report!$T:$T,"MERCADORIAS P/REVENDA",Report!$AA:$AA,"SIM",Report!$C:$C,A405)</f>
        <v/>
      </c>
      <c r="D405" s="101" t="n"/>
      <c r="E405" s="101" t="n"/>
      <c r="F405" s="100">
        <f>B405+C405</f>
        <v/>
      </c>
    </row>
    <row r="406" ht="12.75" customHeight="1" s="60">
      <c r="A406" s="99" t="n">
        <v>46376</v>
      </c>
      <c r="B406" s="100">
        <f>SUMIFS(Report!$U:$U,Report!$T:$T,"&lt;&gt;"&amp;"MERCADORIAS P/REVENDA",Report!$AA:$AA,"SIM",Report!$C:$C,A406)</f>
        <v/>
      </c>
      <c r="C406" s="100">
        <f>SUMIFS(Report!$U:$U,Report!$T:$T,"MERCADORIAS P/REVENDA",Report!$AA:$AA,"SIM",Report!$C:$C,A406)</f>
        <v/>
      </c>
      <c r="D406" s="101" t="n"/>
      <c r="E406" s="101" t="n"/>
      <c r="F406" s="100">
        <f>B406+C406</f>
        <v/>
      </c>
    </row>
    <row r="407" ht="12.75" customHeight="1" s="60">
      <c r="A407" s="99" t="n">
        <v>46377</v>
      </c>
      <c r="B407" s="100">
        <f>SUMIFS(Report!$U:$U,Report!$T:$T,"&lt;&gt;"&amp;"MERCADORIAS P/REVENDA",Report!$AA:$AA,"SIM",Report!$C:$C,A407)</f>
        <v/>
      </c>
      <c r="C407" s="100">
        <f>SUMIFS(Report!$U:$U,Report!$T:$T,"MERCADORIAS P/REVENDA",Report!$AA:$AA,"SIM",Report!$C:$C,A407)</f>
        <v/>
      </c>
      <c r="D407" s="101" t="n"/>
      <c r="E407" s="101" t="n"/>
      <c r="F407" s="100">
        <f>B407+C407</f>
        <v/>
      </c>
    </row>
    <row r="408" ht="12.75" customHeight="1" s="60">
      <c r="A408" s="102">
        <f>"Subtotal Semana "&amp;TEXT(A401,"dd/mm/yyyy")&amp;" a "&amp;TEXT(A407,"dd/mm/yyyy")</f>
        <v/>
      </c>
      <c r="B408" s="90">
        <f>SUM(B401:B407)</f>
        <v/>
      </c>
      <c r="C408" s="90">
        <f>SUM(C401:C407)</f>
        <v/>
      </c>
      <c r="D408" s="94" t="n"/>
      <c r="E408" s="94" t="n"/>
      <c r="F408" s="90">
        <f>B408+C408</f>
        <v/>
      </c>
    </row>
    <row r="409" ht="12.75" customHeight="1" s="60">
      <c r="A409" s="75" t="n">
        <v>46378</v>
      </c>
      <c r="B409" s="77">
        <f>SUMIFS(Report!$U:$U,Report!$T:$T,"&lt;&gt;"&amp;"MERCADORIAS P/REVENDA",Report!$AA:$AA,"SIM",Report!$C:$C,A409)</f>
        <v/>
      </c>
      <c r="C409" s="77">
        <f>SUMIFS(Report!$U:$U,Report!$T:$T,"MERCADORIAS P/REVENDA",Report!$AA:$AA,"SIM",Report!$C:$C,A409)</f>
        <v/>
      </c>
      <c r="F409" s="77">
        <f>B409+C409</f>
        <v/>
      </c>
    </row>
    <row r="410" ht="12.75" customHeight="1" s="60">
      <c r="A410" s="75" t="n">
        <v>46379</v>
      </c>
      <c r="B410" s="77">
        <f>SUMIFS(Report!$U:$U,Report!$T:$T,"&lt;&gt;"&amp;"MERCADORIAS P/REVENDA",Report!$AA:$AA,"SIM",Report!$C:$C,A410)</f>
        <v/>
      </c>
      <c r="C410" s="77">
        <f>SUMIFS(Report!$U:$U,Report!$T:$T,"MERCADORIAS P/REVENDA",Report!$AA:$AA,"SIM",Report!$C:$C,A410)</f>
        <v/>
      </c>
      <c r="F410" s="77">
        <f>B410+C410</f>
        <v/>
      </c>
    </row>
    <row r="411" ht="12.75" customHeight="1" s="60">
      <c r="A411" s="75" t="n">
        <v>46380</v>
      </c>
      <c r="B411" s="77">
        <f>SUMIFS(Report!$U:$U,Report!$T:$T,"&lt;&gt;"&amp;"MERCADORIAS P/REVENDA",Report!$AA:$AA,"SIM",Report!$C:$C,A411)</f>
        <v/>
      </c>
      <c r="C411" s="77">
        <f>SUMIFS(Report!$U:$U,Report!$T:$T,"MERCADORIAS P/REVENDA",Report!$AA:$AA,"SIM",Report!$C:$C,A411)</f>
        <v/>
      </c>
      <c r="F411" s="77">
        <f>B411+C411</f>
        <v/>
      </c>
    </row>
    <row r="412" ht="12.75" customHeight="1" s="60">
      <c r="A412" s="75" t="n">
        <v>46381</v>
      </c>
      <c r="B412" s="77">
        <f>SUMIFS(Report!$U:$U,Report!$T:$T,"&lt;&gt;"&amp;"MERCADORIAS P/REVENDA",Report!$AA:$AA,"SIM",Report!$C:$C,A412)</f>
        <v/>
      </c>
      <c r="C412" s="77">
        <f>SUMIFS(Report!$U:$U,Report!$T:$T,"MERCADORIAS P/REVENDA",Report!$AA:$AA,"SIM",Report!$C:$C,A412)</f>
        <v/>
      </c>
      <c r="F412" s="77">
        <f>B412+C412</f>
        <v/>
      </c>
    </row>
    <row r="413" ht="12.75" customHeight="1" s="60">
      <c r="A413" s="99" t="n">
        <v>46382</v>
      </c>
      <c r="B413" s="100">
        <f>SUMIFS(Report!$U:$U,Report!$T:$T,"&lt;&gt;"&amp;"MERCADORIAS P/REVENDA",Report!$AA:$AA,"SIM",Report!$C:$C,A413)</f>
        <v/>
      </c>
      <c r="C413" s="100">
        <f>SUMIFS(Report!$U:$U,Report!$T:$T,"MERCADORIAS P/REVENDA",Report!$AA:$AA,"SIM",Report!$C:$C,A413)</f>
        <v/>
      </c>
      <c r="D413" s="101" t="n"/>
      <c r="E413" s="101" t="n"/>
      <c r="F413" s="100">
        <f>B413+C413</f>
        <v/>
      </c>
    </row>
    <row r="414" ht="12.75" customHeight="1" s="60">
      <c r="A414" s="99" t="n">
        <v>46383</v>
      </c>
      <c r="B414" s="100">
        <f>SUMIFS(Report!$U:$U,Report!$T:$T,"&lt;&gt;"&amp;"MERCADORIAS P/REVENDA",Report!$AA:$AA,"SIM",Report!$C:$C,A414)</f>
        <v/>
      </c>
      <c r="C414" s="100">
        <f>SUMIFS(Report!$U:$U,Report!$T:$T,"MERCADORIAS P/REVENDA",Report!$AA:$AA,"SIM",Report!$C:$C,A414)</f>
        <v/>
      </c>
      <c r="D414" s="101" t="n"/>
      <c r="E414" s="101" t="n"/>
      <c r="F414" s="100">
        <f>B414+C414</f>
        <v/>
      </c>
    </row>
    <row r="415" ht="12.75" customHeight="1" s="60">
      <c r="A415" s="99" t="n">
        <v>46384</v>
      </c>
      <c r="B415" s="100">
        <f>SUMIFS(Report!$U:$U,Report!$T:$T,"&lt;&gt;"&amp;"MERCADORIAS P/REVENDA",Report!$AA:$AA,"SIM",Report!$C:$C,A415)</f>
        <v/>
      </c>
      <c r="C415" s="100">
        <f>SUMIFS(Report!$U:$U,Report!$T:$T,"MERCADORIAS P/REVENDA",Report!$AA:$AA,"SIM",Report!$C:$C,A415)</f>
        <v/>
      </c>
      <c r="D415" s="101" t="n"/>
      <c r="E415" s="101" t="n"/>
      <c r="F415" s="100">
        <f>B415+C415</f>
        <v/>
      </c>
    </row>
    <row r="416" ht="12.75" customHeight="1" s="60">
      <c r="A416" s="102">
        <f>"Subtotal Semana "&amp;TEXT(A409,"dd/mm/yyyy")&amp;" a "&amp;TEXT(A415,"dd/mm/yyyy")</f>
        <v/>
      </c>
      <c r="B416" s="90">
        <f>SUM(B409:B415)</f>
        <v/>
      </c>
      <c r="C416" s="90">
        <f>SUM(C409:C415)</f>
        <v/>
      </c>
      <c r="D416" s="94" t="n"/>
      <c r="E416" s="94" t="n"/>
      <c r="F416" s="90">
        <f>B416+C416</f>
        <v/>
      </c>
    </row>
    <row r="417" ht="12.75" customHeight="1" s="60">
      <c r="A417" s="75" t="n">
        <v>46385</v>
      </c>
      <c r="B417" s="77">
        <f>SUMIFS(Report!$U:$U,Report!$T:$T,"&lt;&gt;"&amp;"MERCADORIAS P/REVENDA",Report!$AA:$AA,"SIM",Report!$C:$C,A417)</f>
        <v/>
      </c>
      <c r="C417" s="77">
        <f>SUMIFS(Report!$U:$U,Report!$T:$T,"MERCADORIAS P/REVENDA",Report!$AA:$AA,"SIM",Report!$C:$C,A417)</f>
        <v/>
      </c>
      <c r="F417" s="77">
        <f>B417+C417</f>
        <v/>
      </c>
    </row>
    <row r="418" ht="12.75" customHeight="1" s="60">
      <c r="A418" s="75" t="n">
        <v>46386</v>
      </c>
      <c r="B418" s="77">
        <f>SUMIFS(Report!$U:$U,Report!$T:$T,"&lt;&gt;"&amp;"MERCADORIAS P/REVENDA",Report!$AA:$AA,"SIM",Report!$C:$C,A418)</f>
        <v/>
      </c>
      <c r="C418" s="77">
        <f>SUMIFS(Report!$U:$U,Report!$T:$T,"MERCADORIAS P/REVENDA",Report!$AA:$AA,"SIM",Report!$C:$C,A418)</f>
        <v/>
      </c>
      <c r="F418" s="77">
        <f>B418+C418</f>
        <v/>
      </c>
    </row>
    <row r="419" ht="12.75" customHeight="1" s="60">
      <c r="A419" s="75" t="n">
        <v>46387</v>
      </c>
      <c r="B419" s="77">
        <f>SUMIFS(Report!$U:$U,Report!$T:$T,"&lt;&gt;"&amp;"MERCADORIAS P/REVENDA",Report!$AA:$AA,"SIM",Report!$C:$C,A419)</f>
        <v/>
      </c>
      <c r="C419" s="77">
        <f>SUMIFS(Report!$U:$U,Report!$T:$T,"MERCADORIAS P/REVENDA",Report!$AA:$AA,"SIM",Report!$C:$C,A419)</f>
        <v/>
      </c>
      <c r="F419" s="77">
        <f>B419+C419</f>
        <v/>
      </c>
    </row>
    <row r="420" ht="12.75" customHeight="1" s="60">
      <c r="A420" s="75" t="n">
        <v>46388</v>
      </c>
      <c r="B420" s="77">
        <f>SUMIFS(Report!$U:$U,Report!$T:$T,"&lt;&gt;"&amp;"MERCADORIAS P/REVENDA",Report!$AA:$AA,"SIM",Report!$C:$C,A420)</f>
        <v/>
      </c>
      <c r="C420" s="77">
        <f>SUMIFS(Report!$U:$U,Report!$T:$T,"MERCADORIAS P/REVENDA",Report!$AA:$AA,"SIM",Report!$C:$C,A420)</f>
        <v/>
      </c>
      <c r="F420" s="77">
        <f>B420+C420</f>
        <v/>
      </c>
    </row>
    <row r="421" ht="12.75" customHeight="1" s="60">
      <c r="A421" s="99" t="n">
        <v>46389</v>
      </c>
      <c r="B421" s="100">
        <f>SUMIFS(Report!$U:$U,Report!$T:$T,"&lt;&gt;"&amp;"MERCADORIAS P/REVENDA",Report!$AA:$AA,"SIM",Report!$C:$C,A421)</f>
        <v/>
      </c>
      <c r="C421" s="100">
        <f>SUMIFS(Report!$U:$U,Report!$T:$T,"MERCADORIAS P/REVENDA",Report!$AA:$AA,"SIM",Report!$C:$C,A421)</f>
        <v/>
      </c>
      <c r="D421" s="101" t="n"/>
      <c r="E421" s="101" t="n"/>
      <c r="F421" s="100">
        <f>B421+C421</f>
        <v/>
      </c>
    </row>
    <row r="422" ht="12.75" customHeight="1" s="60">
      <c r="A422" s="99" t="n">
        <v>46390</v>
      </c>
      <c r="B422" s="100">
        <f>SUMIFS(Report!$U:$U,Report!$T:$T,"&lt;&gt;"&amp;"MERCADORIAS P/REVENDA",Report!$AA:$AA,"SIM",Report!$C:$C,A422)</f>
        <v/>
      </c>
      <c r="C422" s="100">
        <f>SUMIFS(Report!$U:$U,Report!$T:$T,"MERCADORIAS P/REVENDA",Report!$AA:$AA,"SIM",Report!$C:$C,A422)</f>
        <v/>
      </c>
      <c r="D422" s="101" t="n"/>
      <c r="E422" s="101" t="n"/>
      <c r="F422" s="100">
        <f>B422+C422</f>
        <v/>
      </c>
    </row>
    <row r="423" ht="12.75" customHeight="1" s="60">
      <c r="A423" s="99" t="n">
        <v>46391</v>
      </c>
      <c r="B423" s="100">
        <f>SUMIFS(Report!$U:$U,Report!$T:$T,"&lt;&gt;"&amp;"MERCADORIAS P/REVENDA",Report!$AA:$AA,"SIM",Report!$C:$C,A423)</f>
        <v/>
      </c>
      <c r="C423" s="100">
        <f>SUMIFS(Report!$U:$U,Report!$T:$T,"MERCADORIAS P/REVENDA",Report!$AA:$AA,"SIM",Report!$C:$C,A423)</f>
        <v/>
      </c>
      <c r="D423" s="101" t="n"/>
      <c r="E423" s="101" t="n"/>
      <c r="F423" s="100">
        <f>B423+C423</f>
        <v/>
      </c>
    </row>
    <row r="424" ht="12.75" customHeight="1" s="60">
      <c r="A424" s="102">
        <f>"Subtotal Semana "&amp;TEXT(A417,"dd/mm/yyyy")&amp;" a "&amp;TEXT(A423,"dd/mm/yyyy")</f>
        <v/>
      </c>
      <c r="B424" s="90">
        <f>SUM(B417:B423)</f>
        <v/>
      </c>
      <c r="C424" s="90">
        <f>SUM(C417:C423)</f>
        <v/>
      </c>
      <c r="D424" s="94" t="n"/>
      <c r="E424" s="94" t="n"/>
      <c r="F424" s="90">
        <f>B424+C424</f>
        <v/>
      </c>
    </row>
    <row r="425" ht="12.75" customHeight="1" s="60">
      <c r="A425" s="75" t="n">
        <v>46392</v>
      </c>
      <c r="B425" s="77">
        <f>SUMIFS(Report!$U:$U,Report!$T:$T,"&lt;&gt;"&amp;"MERCADORIAS P/REVENDA",Report!$AA:$AA,"SIM",Report!$C:$C,A425)</f>
        <v/>
      </c>
      <c r="C425" s="77">
        <f>SUMIFS(Report!$U:$U,Report!$T:$T,"MERCADORIAS P/REVENDA",Report!$AA:$AA,"SIM",Report!$C:$C,A425)</f>
        <v/>
      </c>
      <c r="F425" s="77">
        <f>B425+C425</f>
        <v/>
      </c>
    </row>
    <row r="426" ht="12.75" customHeight="1" s="60">
      <c r="A426" s="75" t="n">
        <v>46393</v>
      </c>
      <c r="B426" s="77">
        <f>SUMIFS(Report!$U:$U,Report!$T:$T,"&lt;&gt;"&amp;"MERCADORIAS P/REVENDA",Report!$AA:$AA,"SIM",Report!$C:$C,A426)</f>
        <v/>
      </c>
      <c r="C426" s="77">
        <f>SUMIFS(Report!$U:$U,Report!$T:$T,"MERCADORIAS P/REVENDA",Report!$AA:$AA,"SIM",Report!$C:$C,A426)</f>
        <v/>
      </c>
      <c r="F426" s="77">
        <f>B426+C426</f>
        <v/>
      </c>
    </row>
    <row r="427" ht="12.75" customHeight="1" s="60">
      <c r="A427" s="75" t="n">
        <v>46394</v>
      </c>
      <c r="B427" s="77">
        <f>SUMIFS(Report!$U:$U,Report!$T:$T,"&lt;&gt;"&amp;"MERCADORIAS P/REVENDA",Report!$AA:$AA,"SIM",Report!$C:$C,A427)</f>
        <v/>
      </c>
      <c r="C427" s="77">
        <f>SUMIFS(Report!$U:$U,Report!$T:$T,"MERCADORIAS P/REVENDA",Report!$AA:$AA,"SIM",Report!$C:$C,A427)</f>
        <v/>
      </c>
      <c r="F427" s="77">
        <f>B427+C427</f>
        <v/>
      </c>
    </row>
    <row r="428" ht="12.75" customHeight="1" s="60">
      <c r="A428" s="75" t="n">
        <v>46395</v>
      </c>
      <c r="B428" s="77">
        <f>SUMIFS(Report!$U:$U,Report!$T:$T,"&lt;&gt;"&amp;"MERCADORIAS P/REVENDA",Report!$AA:$AA,"SIM",Report!$C:$C,A428)</f>
        <v/>
      </c>
      <c r="C428" s="77">
        <f>SUMIFS(Report!$U:$U,Report!$T:$T,"MERCADORIAS P/REVENDA",Report!$AA:$AA,"SIM",Report!$C:$C,A428)</f>
        <v/>
      </c>
      <c r="F428" s="77">
        <f>B428+C428</f>
        <v/>
      </c>
    </row>
    <row r="429" ht="12.75" customHeight="1" s="60">
      <c r="A429" s="99" t="n">
        <v>46396</v>
      </c>
      <c r="B429" s="100">
        <f>SUMIFS(Report!$U:$U,Report!$T:$T,"&lt;&gt;"&amp;"MERCADORIAS P/REVENDA",Report!$AA:$AA,"SIM",Report!$C:$C,A429)</f>
        <v/>
      </c>
      <c r="C429" s="100">
        <f>SUMIFS(Report!$U:$U,Report!$T:$T,"MERCADORIAS P/REVENDA",Report!$AA:$AA,"SIM",Report!$C:$C,A429)</f>
        <v/>
      </c>
      <c r="D429" s="101" t="n"/>
      <c r="E429" s="101" t="n"/>
      <c r="F429" s="100">
        <f>B429+C429</f>
        <v/>
      </c>
    </row>
    <row r="430" ht="12.75" customHeight="1" s="60">
      <c r="A430" s="99" t="n">
        <v>46397</v>
      </c>
      <c r="B430" s="100">
        <f>SUMIFS(Report!$U:$U,Report!$T:$T,"&lt;&gt;"&amp;"MERCADORIAS P/REVENDA",Report!$AA:$AA,"SIM",Report!$C:$C,A430)</f>
        <v/>
      </c>
      <c r="C430" s="100">
        <f>SUMIFS(Report!$U:$U,Report!$T:$T,"MERCADORIAS P/REVENDA",Report!$AA:$AA,"SIM",Report!$C:$C,A430)</f>
        <v/>
      </c>
      <c r="D430" s="101" t="n"/>
      <c r="E430" s="101" t="n"/>
      <c r="F430" s="100">
        <f>B430+C430</f>
        <v/>
      </c>
    </row>
    <row r="431" ht="12.75" customHeight="1" s="60">
      <c r="A431" s="99" t="n">
        <v>46398</v>
      </c>
      <c r="B431" s="100">
        <f>SUMIFS(Report!$U:$U,Report!$T:$T,"&lt;&gt;"&amp;"MERCADORIAS P/REVENDA",Report!$AA:$AA,"SIM",Report!$C:$C,A431)</f>
        <v/>
      </c>
      <c r="C431" s="100">
        <f>SUMIFS(Report!$U:$U,Report!$T:$T,"MERCADORIAS P/REVENDA",Report!$AA:$AA,"SIM",Report!$C:$C,A431)</f>
        <v/>
      </c>
      <c r="D431" s="101" t="n"/>
      <c r="E431" s="101" t="n"/>
      <c r="F431" s="100">
        <f>B431+C431</f>
        <v/>
      </c>
    </row>
    <row r="432" ht="12.75" customHeight="1" s="60">
      <c r="A432" s="102">
        <f>"Subtotal Semana "&amp;TEXT(A425,"dd/mm/yyyy")&amp;" a "&amp;TEXT(A431,"dd/mm/yyyy")</f>
        <v/>
      </c>
      <c r="B432" s="90">
        <f>SUM(B425:B431)</f>
        <v/>
      </c>
      <c r="C432" s="90">
        <f>SUM(C425:C431)</f>
        <v/>
      </c>
      <c r="D432" s="94" t="n"/>
      <c r="E432" s="94" t="n"/>
      <c r="F432" s="90">
        <f>B432+C432</f>
        <v/>
      </c>
    </row>
    <row r="433" ht="12.75" customHeight="1" s="60">
      <c r="A433" s="75" t="n">
        <v>46399</v>
      </c>
      <c r="B433" s="77">
        <f>SUMIFS(Report!$U:$U,Report!$T:$T,"&lt;&gt;"&amp;"MERCADORIAS P/REVENDA",Report!$AA:$AA,"SIM",Report!$C:$C,A433)</f>
        <v/>
      </c>
      <c r="C433" s="77">
        <f>SUMIFS(Report!$U:$U,Report!$T:$T,"MERCADORIAS P/REVENDA",Report!$AA:$AA,"SIM",Report!$C:$C,A433)</f>
        <v/>
      </c>
      <c r="F433" s="77">
        <f>B433+C433</f>
        <v/>
      </c>
    </row>
    <row r="434" ht="12.75" customHeight="1" s="60">
      <c r="A434" s="75" t="n">
        <v>46400</v>
      </c>
      <c r="B434" s="77">
        <f>SUMIFS(Report!$U:$U,Report!$T:$T,"&lt;&gt;"&amp;"MERCADORIAS P/REVENDA",Report!$AA:$AA,"SIM",Report!$C:$C,A434)</f>
        <v/>
      </c>
      <c r="C434" s="77">
        <f>SUMIFS(Report!$U:$U,Report!$T:$T,"MERCADORIAS P/REVENDA",Report!$AA:$AA,"SIM",Report!$C:$C,A434)</f>
        <v/>
      </c>
      <c r="F434" s="77">
        <f>B434+C434</f>
        <v/>
      </c>
    </row>
    <row r="435" ht="12.75" customHeight="1" s="60">
      <c r="A435" s="75" t="n">
        <v>46401</v>
      </c>
      <c r="B435" s="77">
        <f>SUMIFS(Report!$U:$U,Report!$T:$T,"&lt;&gt;"&amp;"MERCADORIAS P/REVENDA",Report!$AA:$AA,"SIM",Report!$C:$C,A435)</f>
        <v/>
      </c>
      <c r="C435" s="77">
        <f>SUMIFS(Report!$U:$U,Report!$T:$T,"MERCADORIAS P/REVENDA",Report!$AA:$AA,"SIM",Report!$C:$C,A435)</f>
        <v/>
      </c>
      <c r="F435" s="77">
        <f>B435+C435</f>
        <v/>
      </c>
    </row>
    <row r="436" ht="12.75" customHeight="1" s="60">
      <c r="A436" s="75" t="n">
        <v>46402</v>
      </c>
      <c r="B436" s="77">
        <f>SUMIFS(Report!$U:$U,Report!$T:$T,"&lt;&gt;"&amp;"MERCADORIAS P/REVENDA",Report!$AA:$AA,"SIM",Report!$C:$C,A436)</f>
        <v/>
      </c>
      <c r="C436" s="77">
        <f>SUMIFS(Report!$U:$U,Report!$T:$T,"MERCADORIAS P/REVENDA",Report!$AA:$AA,"SIM",Report!$C:$C,A436)</f>
        <v/>
      </c>
      <c r="F436" s="77">
        <f>B436+C436</f>
        <v/>
      </c>
    </row>
    <row r="437" ht="12.75" customHeight="1" s="60">
      <c r="A437" s="99" t="n">
        <v>46403</v>
      </c>
      <c r="B437" s="100">
        <f>SUMIFS(Report!$U:$U,Report!$T:$T,"&lt;&gt;"&amp;"MERCADORIAS P/REVENDA",Report!$AA:$AA,"SIM",Report!$C:$C,A437)</f>
        <v/>
      </c>
      <c r="C437" s="100">
        <f>SUMIFS(Report!$U:$U,Report!$T:$T,"MERCADORIAS P/REVENDA",Report!$AA:$AA,"SIM",Report!$C:$C,A437)</f>
        <v/>
      </c>
      <c r="D437" s="101" t="n"/>
      <c r="E437" s="101" t="n"/>
      <c r="F437" s="100">
        <f>B437+C437</f>
        <v/>
      </c>
    </row>
    <row r="438" ht="12.75" customHeight="1" s="60">
      <c r="A438" s="99" t="n">
        <v>46404</v>
      </c>
      <c r="B438" s="100">
        <f>SUMIFS(Report!$U:$U,Report!$T:$T,"&lt;&gt;"&amp;"MERCADORIAS P/REVENDA",Report!$AA:$AA,"SIM",Report!$C:$C,A438)</f>
        <v/>
      </c>
      <c r="C438" s="100">
        <f>SUMIFS(Report!$U:$U,Report!$T:$T,"MERCADORIAS P/REVENDA",Report!$AA:$AA,"SIM",Report!$C:$C,A438)</f>
        <v/>
      </c>
      <c r="D438" s="101" t="n"/>
      <c r="E438" s="101" t="n"/>
      <c r="F438" s="100">
        <f>B438+C438</f>
        <v/>
      </c>
    </row>
    <row r="439" ht="12.75" customHeight="1" s="60">
      <c r="A439" s="99" t="n">
        <v>46405</v>
      </c>
      <c r="B439" s="100">
        <f>SUMIFS(Report!$U:$U,Report!$T:$T,"&lt;&gt;"&amp;"MERCADORIAS P/REVENDA",Report!$AA:$AA,"SIM",Report!$C:$C,A439)</f>
        <v/>
      </c>
      <c r="C439" s="100">
        <f>SUMIFS(Report!$U:$U,Report!$T:$T,"MERCADORIAS P/REVENDA",Report!$AA:$AA,"SIM",Report!$C:$C,A439)</f>
        <v/>
      </c>
      <c r="D439" s="101" t="n"/>
      <c r="E439" s="101" t="n"/>
      <c r="F439" s="100">
        <f>B439+C439</f>
        <v/>
      </c>
    </row>
    <row r="440" ht="12.75" customHeight="1" s="60">
      <c r="A440" s="102">
        <f>"Subtotal Semana "&amp;TEXT(A433,"dd/mm/yyyy")&amp;" a "&amp;TEXT(A439,"dd/mm/yyyy")</f>
        <v/>
      </c>
      <c r="B440" s="90">
        <f>SUM(B433:B439)</f>
        <v/>
      </c>
      <c r="C440" s="90">
        <f>SUM(C433:C439)</f>
        <v/>
      </c>
      <c r="D440" s="94" t="n"/>
      <c r="E440" s="94" t="n"/>
      <c r="F440" s="90">
        <f>B440+C440</f>
        <v/>
      </c>
    </row>
    <row r="441" ht="12.75" customHeight="1" s="60">
      <c r="A441" s="75" t="n">
        <v>46406</v>
      </c>
      <c r="B441" s="77">
        <f>SUMIFS(Report!$U:$U,Report!$T:$T,"&lt;&gt;"&amp;"MERCADORIAS P/REVENDA",Report!$AA:$AA,"SIM",Report!$C:$C,A441)</f>
        <v/>
      </c>
      <c r="C441" s="77">
        <f>SUMIFS(Report!$U:$U,Report!$T:$T,"MERCADORIAS P/REVENDA",Report!$AA:$AA,"SIM",Report!$C:$C,A441)</f>
        <v/>
      </c>
      <c r="F441" s="77">
        <f>B441+C441</f>
        <v/>
      </c>
    </row>
    <row r="442" ht="12.75" customHeight="1" s="60">
      <c r="A442" s="75" t="n">
        <v>46407</v>
      </c>
      <c r="B442" s="77">
        <f>SUMIFS(Report!$U:$U,Report!$T:$T,"&lt;&gt;"&amp;"MERCADORIAS P/REVENDA",Report!$AA:$AA,"SIM",Report!$C:$C,A442)</f>
        <v/>
      </c>
      <c r="C442" s="77">
        <f>SUMIFS(Report!$U:$U,Report!$T:$T,"MERCADORIAS P/REVENDA",Report!$AA:$AA,"SIM",Report!$C:$C,A442)</f>
        <v/>
      </c>
      <c r="F442" s="77">
        <f>B442+C442</f>
        <v/>
      </c>
    </row>
    <row r="443" ht="12.75" customHeight="1" s="60">
      <c r="A443" s="75" t="n">
        <v>46408</v>
      </c>
      <c r="B443" s="77">
        <f>SUMIFS(Report!$U:$U,Report!$T:$T,"&lt;&gt;"&amp;"MERCADORIAS P/REVENDA",Report!$AA:$AA,"SIM",Report!$C:$C,A443)</f>
        <v/>
      </c>
      <c r="C443" s="77">
        <f>SUMIFS(Report!$U:$U,Report!$T:$T,"MERCADORIAS P/REVENDA",Report!$AA:$AA,"SIM",Report!$C:$C,A443)</f>
        <v/>
      </c>
      <c r="F443" s="77">
        <f>B443+C443</f>
        <v/>
      </c>
    </row>
    <row r="444" ht="12.75" customHeight="1" s="60">
      <c r="A444" s="75" t="n">
        <v>46409</v>
      </c>
      <c r="B444" s="77">
        <f>SUMIFS(Report!$U:$U,Report!$T:$T,"&lt;&gt;"&amp;"MERCADORIAS P/REVENDA",Report!$AA:$AA,"SIM",Report!$C:$C,A444)</f>
        <v/>
      </c>
      <c r="C444" s="77">
        <f>SUMIFS(Report!$U:$U,Report!$T:$T,"MERCADORIAS P/REVENDA",Report!$AA:$AA,"SIM",Report!$C:$C,A444)</f>
        <v/>
      </c>
      <c r="F444" s="77">
        <f>B444+C444</f>
        <v/>
      </c>
    </row>
    <row r="445" ht="12.75" customHeight="1" s="60">
      <c r="A445" s="99" t="n">
        <v>46410</v>
      </c>
      <c r="B445" s="100">
        <f>SUMIFS(Report!$U:$U,Report!$T:$T,"&lt;&gt;"&amp;"MERCADORIAS P/REVENDA",Report!$AA:$AA,"SIM",Report!$C:$C,A445)</f>
        <v/>
      </c>
      <c r="C445" s="100">
        <f>SUMIFS(Report!$U:$U,Report!$T:$T,"MERCADORIAS P/REVENDA",Report!$AA:$AA,"SIM",Report!$C:$C,A445)</f>
        <v/>
      </c>
      <c r="D445" s="101" t="n"/>
      <c r="E445" s="101" t="n"/>
      <c r="F445" s="100">
        <f>B445+C445</f>
        <v/>
      </c>
    </row>
    <row r="446" ht="12.75" customHeight="1" s="60">
      <c r="A446" s="99" t="n">
        <v>46411</v>
      </c>
      <c r="B446" s="100">
        <f>SUMIFS(Report!$U:$U,Report!$T:$T,"&lt;&gt;"&amp;"MERCADORIAS P/REVENDA",Report!$AA:$AA,"SIM",Report!$C:$C,A446)</f>
        <v/>
      </c>
      <c r="C446" s="100">
        <f>SUMIFS(Report!$U:$U,Report!$T:$T,"MERCADORIAS P/REVENDA",Report!$AA:$AA,"SIM",Report!$C:$C,A446)</f>
        <v/>
      </c>
      <c r="D446" s="101" t="n"/>
      <c r="E446" s="101" t="n"/>
      <c r="F446" s="100">
        <f>B446+C446</f>
        <v/>
      </c>
    </row>
    <row r="447" ht="12.75" customHeight="1" s="60">
      <c r="A447" s="99" t="n">
        <v>46412</v>
      </c>
      <c r="B447" s="100">
        <f>SUMIFS(Report!$U:$U,Report!$T:$T,"&lt;&gt;"&amp;"MERCADORIAS P/REVENDA",Report!$AA:$AA,"SIM",Report!$C:$C,A447)</f>
        <v/>
      </c>
      <c r="C447" s="100">
        <f>SUMIFS(Report!$U:$U,Report!$T:$T,"MERCADORIAS P/REVENDA",Report!$AA:$AA,"SIM",Report!$C:$C,A447)</f>
        <v/>
      </c>
      <c r="D447" s="101" t="n"/>
      <c r="E447" s="101" t="n"/>
      <c r="F447" s="100">
        <f>B447+C447</f>
        <v/>
      </c>
    </row>
    <row r="448" ht="12.75" customHeight="1" s="60">
      <c r="A448" s="102">
        <f>"Subtotal Semana "&amp;TEXT(A441,"dd/mm/yyyy")&amp;" a "&amp;TEXT(A447,"dd/mm/yyyy")</f>
        <v/>
      </c>
      <c r="B448" s="90">
        <f>SUM(B441:B447)</f>
        <v/>
      </c>
      <c r="C448" s="90">
        <f>SUM(C441:C447)</f>
        <v/>
      </c>
      <c r="D448" s="94" t="n"/>
      <c r="E448" s="94" t="n"/>
      <c r="F448" s="90">
        <f>B448+C448</f>
        <v/>
      </c>
    </row>
    <row r="449" ht="12.75" customHeight="1" s="60">
      <c r="A449" s="75" t="n">
        <v>46413</v>
      </c>
      <c r="B449" s="77">
        <f>SUMIFS(Report!$U:$U,Report!$T:$T,"&lt;&gt;"&amp;"MERCADORIAS P/REVENDA",Report!$AA:$AA,"SIM",Report!$C:$C,A449)</f>
        <v/>
      </c>
      <c r="C449" s="77">
        <f>SUMIFS(Report!$U:$U,Report!$T:$T,"MERCADORIAS P/REVENDA",Report!$AA:$AA,"SIM",Report!$C:$C,A449)</f>
        <v/>
      </c>
      <c r="F449" s="77">
        <f>B449+C449</f>
        <v/>
      </c>
    </row>
    <row r="450" ht="12.75" customHeight="1" s="60">
      <c r="A450" s="75" t="n">
        <v>46414</v>
      </c>
      <c r="B450" s="77">
        <f>SUMIFS(Report!$U:$U,Report!$T:$T,"&lt;&gt;"&amp;"MERCADORIAS P/REVENDA",Report!$AA:$AA,"SIM",Report!$C:$C,A450)</f>
        <v/>
      </c>
      <c r="C450" s="77">
        <f>SUMIFS(Report!$U:$U,Report!$T:$T,"MERCADORIAS P/REVENDA",Report!$AA:$AA,"SIM",Report!$C:$C,A450)</f>
        <v/>
      </c>
      <c r="F450" s="77">
        <f>B450+C450</f>
        <v/>
      </c>
    </row>
    <row r="451" ht="12.75" customHeight="1" s="60">
      <c r="A451" s="75" t="n">
        <v>46415</v>
      </c>
      <c r="B451" s="77">
        <f>SUMIFS(Report!$U:$U,Report!$T:$T,"&lt;&gt;"&amp;"MERCADORIAS P/REVENDA",Report!$AA:$AA,"SIM",Report!$C:$C,A451)</f>
        <v/>
      </c>
      <c r="C451" s="77">
        <f>SUMIFS(Report!$U:$U,Report!$T:$T,"MERCADORIAS P/REVENDA",Report!$AA:$AA,"SIM",Report!$C:$C,A451)</f>
        <v/>
      </c>
      <c r="F451" s="77">
        <f>B451+C451</f>
        <v/>
      </c>
    </row>
    <row r="452" ht="12.75" customHeight="1" s="60">
      <c r="A452" s="75" t="n">
        <v>46416</v>
      </c>
      <c r="B452" s="77">
        <f>SUMIFS(Report!$U:$U,Report!$T:$T,"&lt;&gt;"&amp;"MERCADORIAS P/REVENDA",Report!$AA:$AA,"SIM",Report!$C:$C,A452)</f>
        <v/>
      </c>
      <c r="C452" s="77">
        <f>SUMIFS(Report!$U:$U,Report!$T:$T,"MERCADORIAS P/REVENDA",Report!$AA:$AA,"SIM",Report!$C:$C,A452)</f>
        <v/>
      </c>
      <c r="F452" s="77">
        <f>B452+C452</f>
        <v/>
      </c>
    </row>
    <row r="453" ht="12.75" customHeight="1" s="60">
      <c r="A453" s="99" t="n">
        <v>46417</v>
      </c>
      <c r="B453" s="100">
        <f>SUMIFS(Report!$U:$U,Report!$T:$T,"&lt;&gt;"&amp;"MERCADORIAS P/REVENDA",Report!$AA:$AA,"SIM",Report!$C:$C,A453)</f>
        <v/>
      </c>
      <c r="C453" s="100">
        <f>SUMIFS(Report!$U:$U,Report!$T:$T,"MERCADORIAS P/REVENDA",Report!$AA:$AA,"SIM",Report!$C:$C,A453)</f>
        <v/>
      </c>
      <c r="D453" s="101" t="n"/>
      <c r="E453" s="101" t="n"/>
      <c r="F453" s="100">
        <f>B453+C453</f>
        <v/>
      </c>
    </row>
    <row r="454" ht="12.75" customHeight="1" s="60">
      <c r="A454" s="99" t="n">
        <v>46418</v>
      </c>
      <c r="B454" s="100">
        <f>SUMIFS(Report!$U:$U,Report!$T:$T,"&lt;&gt;"&amp;"MERCADORIAS P/REVENDA",Report!$AA:$AA,"SIM",Report!$C:$C,A454)</f>
        <v/>
      </c>
      <c r="C454" s="100">
        <f>SUMIFS(Report!$U:$U,Report!$T:$T,"MERCADORIAS P/REVENDA",Report!$AA:$AA,"SIM",Report!$C:$C,A454)</f>
        <v/>
      </c>
      <c r="D454" s="101" t="n"/>
      <c r="E454" s="101" t="n"/>
      <c r="F454" s="100">
        <f>B454+C454</f>
        <v/>
      </c>
    </row>
    <row r="455" ht="12.75" customHeight="1" s="60">
      <c r="A455" s="99" t="n">
        <v>46419</v>
      </c>
      <c r="B455" s="100">
        <f>SUMIFS(Report!$U:$U,Report!$T:$T,"&lt;&gt;"&amp;"MERCADORIAS P/REVENDA",Report!$AA:$AA,"SIM",Report!$C:$C,A455)</f>
        <v/>
      </c>
      <c r="C455" s="100">
        <f>SUMIFS(Report!$U:$U,Report!$T:$T,"MERCADORIAS P/REVENDA",Report!$AA:$AA,"SIM",Report!$C:$C,A455)</f>
        <v/>
      </c>
      <c r="D455" s="101" t="n"/>
      <c r="E455" s="101" t="n"/>
      <c r="F455" s="100">
        <f>B455+C455</f>
        <v/>
      </c>
    </row>
    <row r="456" ht="12.75" customHeight="1" s="60">
      <c r="A456" s="102">
        <f>"Subtotal Semana "&amp;TEXT(A449,"dd/mm/yyyy")&amp;" a "&amp;TEXT(A455,"dd/mm/yyyy")</f>
        <v/>
      </c>
      <c r="B456" s="90">
        <f>SUM(B449:B455)</f>
        <v/>
      </c>
      <c r="C456" s="90">
        <f>SUM(C449:C455)</f>
        <v/>
      </c>
      <c r="D456" s="94" t="n"/>
      <c r="E456" s="94" t="n"/>
      <c r="F456" s="90">
        <f>B456+C456</f>
        <v/>
      </c>
    </row>
    <row r="457" ht="12.75" customHeight="1" s="60">
      <c r="A457" s="75" t="n">
        <v>46420</v>
      </c>
      <c r="B457" s="77">
        <f>SUMIFS(Report!$U:$U,Report!$T:$T,"&lt;&gt;"&amp;"MERCADORIAS P/REVENDA",Report!$AA:$AA,"SIM",Report!$C:$C,A457)</f>
        <v/>
      </c>
      <c r="C457" s="77">
        <f>SUMIFS(Report!$U:$U,Report!$T:$T,"MERCADORIAS P/REVENDA",Report!$AA:$AA,"SIM",Report!$C:$C,A457)</f>
        <v/>
      </c>
      <c r="F457" s="77">
        <f>B457+C457</f>
        <v/>
      </c>
    </row>
    <row r="458" ht="12.75" customHeight="1" s="60">
      <c r="A458" s="75" t="n">
        <v>46421</v>
      </c>
      <c r="B458" s="77">
        <f>SUMIFS(Report!$U:$U,Report!$T:$T,"&lt;&gt;"&amp;"MERCADORIAS P/REVENDA",Report!$AA:$AA,"SIM",Report!$C:$C,A458)</f>
        <v/>
      </c>
      <c r="C458" s="77">
        <f>SUMIFS(Report!$U:$U,Report!$T:$T,"MERCADORIAS P/REVENDA",Report!$AA:$AA,"SIM",Report!$C:$C,A458)</f>
        <v/>
      </c>
      <c r="F458" s="77">
        <f>B458+C458</f>
        <v/>
      </c>
    </row>
    <row r="459" ht="12.75" customHeight="1" s="60">
      <c r="A459" s="75" t="n">
        <v>46422</v>
      </c>
      <c r="B459" s="77">
        <f>SUMIFS(Report!$U:$U,Report!$T:$T,"&lt;&gt;"&amp;"MERCADORIAS P/REVENDA",Report!$AA:$AA,"SIM",Report!$C:$C,A459)</f>
        <v/>
      </c>
      <c r="C459" s="77">
        <f>SUMIFS(Report!$U:$U,Report!$T:$T,"MERCADORIAS P/REVENDA",Report!$AA:$AA,"SIM",Report!$C:$C,A459)</f>
        <v/>
      </c>
      <c r="F459" s="77">
        <f>B459+C459</f>
        <v/>
      </c>
    </row>
    <row r="460" ht="12.75" customHeight="1" s="60">
      <c r="A460" s="75" t="n">
        <v>46423</v>
      </c>
      <c r="B460" s="77">
        <f>SUMIFS(Report!$U:$U,Report!$T:$T,"&lt;&gt;"&amp;"MERCADORIAS P/REVENDA",Report!$AA:$AA,"SIM",Report!$C:$C,A460)</f>
        <v/>
      </c>
      <c r="C460" s="77">
        <f>SUMIFS(Report!$U:$U,Report!$T:$T,"MERCADORIAS P/REVENDA",Report!$AA:$AA,"SIM",Report!$C:$C,A460)</f>
        <v/>
      </c>
      <c r="F460" s="77">
        <f>B460+C460</f>
        <v/>
      </c>
    </row>
    <row r="461" ht="12.75" customHeight="1" s="60">
      <c r="A461" s="99" t="n">
        <v>46424</v>
      </c>
      <c r="B461" s="100">
        <f>SUMIFS(Report!$U:$U,Report!$T:$T,"&lt;&gt;"&amp;"MERCADORIAS P/REVENDA",Report!$AA:$AA,"SIM",Report!$C:$C,A461)</f>
        <v/>
      </c>
      <c r="C461" s="100">
        <f>SUMIFS(Report!$U:$U,Report!$T:$T,"MERCADORIAS P/REVENDA",Report!$AA:$AA,"SIM",Report!$C:$C,A461)</f>
        <v/>
      </c>
      <c r="D461" s="101" t="n"/>
      <c r="E461" s="101" t="n"/>
      <c r="F461" s="100">
        <f>B461+C461</f>
        <v/>
      </c>
    </row>
    <row r="462" ht="12.75" customHeight="1" s="60">
      <c r="A462" s="99" t="n">
        <v>46425</v>
      </c>
      <c r="B462" s="100">
        <f>SUMIFS(Report!$U:$U,Report!$T:$T,"&lt;&gt;"&amp;"MERCADORIAS P/REVENDA",Report!$AA:$AA,"SIM",Report!$C:$C,A462)</f>
        <v/>
      </c>
      <c r="C462" s="100">
        <f>SUMIFS(Report!$U:$U,Report!$T:$T,"MERCADORIAS P/REVENDA",Report!$AA:$AA,"SIM",Report!$C:$C,A462)</f>
        <v/>
      </c>
      <c r="D462" s="101" t="n"/>
      <c r="E462" s="101" t="n"/>
      <c r="F462" s="100">
        <f>B462+C462</f>
        <v/>
      </c>
    </row>
    <row r="463" ht="12.75" customHeight="1" s="60">
      <c r="A463" s="99" t="n">
        <v>46426</v>
      </c>
      <c r="B463" s="100">
        <f>SUMIFS(Report!$U:$U,Report!$T:$T,"&lt;&gt;"&amp;"MERCADORIAS P/REVENDA",Report!$AA:$AA,"SIM",Report!$C:$C,A463)</f>
        <v/>
      </c>
      <c r="C463" s="100">
        <f>SUMIFS(Report!$U:$U,Report!$T:$T,"MERCADORIAS P/REVENDA",Report!$AA:$AA,"SIM",Report!$C:$C,A463)</f>
        <v/>
      </c>
      <c r="D463" s="101" t="n"/>
      <c r="E463" s="101" t="n"/>
      <c r="F463" s="100">
        <f>B463+C463</f>
        <v/>
      </c>
    </row>
    <row r="464" ht="12.75" customHeight="1" s="60">
      <c r="A464" s="102">
        <f>"Subtotal Semana "&amp;TEXT(A457,"dd/mm/yyyy")&amp;" a "&amp;TEXT(A463,"dd/mm/yyyy")</f>
        <v/>
      </c>
      <c r="B464" s="90">
        <f>SUM(B457:B463)</f>
        <v/>
      </c>
      <c r="C464" s="90">
        <f>SUM(C457:C463)</f>
        <v/>
      </c>
      <c r="D464" s="94" t="n"/>
      <c r="E464" s="94" t="n"/>
      <c r="F464" s="90">
        <f>B464+C464</f>
        <v/>
      </c>
    </row>
    <row r="465" ht="12.75" customHeight="1" s="60">
      <c r="A465" s="75" t="n">
        <v>46427</v>
      </c>
      <c r="B465" s="77">
        <f>SUMIFS(Report!$U:$U,Report!$T:$T,"&lt;&gt;"&amp;"MERCADORIAS P/REVENDA",Report!$AA:$AA,"SIM",Report!$C:$C,A465)</f>
        <v/>
      </c>
      <c r="C465" s="77">
        <f>SUMIFS(Report!$U:$U,Report!$T:$T,"MERCADORIAS P/REVENDA",Report!$AA:$AA,"SIM",Report!$C:$C,A465)</f>
        <v/>
      </c>
      <c r="F465" s="77">
        <f>B465+C465</f>
        <v/>
      </c>
    </row>
    <row r="466" ht="12.75" customHeight="1" s="60">
      <c r="A466" s="75" t="n">
        <v>46428</v>
      </c>
      <c r="B466" s="77">
        <f>SUMIFS(Report!$U:$U,Report!$T:$T,"&lt;&gt;"&amp;"MERCADORIAS P/REVENDA",Report!$AA:$AA,"SIM",Report!$C:$C,A466)</f>
        <v/>
      </c>
      <c r="C466" s="77">
        <f>SUMIFS(Report!$U:$U,Report!$T:$T,"MERCADORIAS P/REVENDA",Report!$AA:$AA,"SIM",Report!$C:$C,A466)</f>
        <v/>
      </c>
      <c r="F466" s="77">
        <f>B466+C466</f>
        <v/>
      </c>
    </row>
    <row r="467" ht="12.75" customHeight="1" s="60">
      <c r="A467" s="75" t="n">
        <v>46429</v>
      </c>
      <c r="B467" s="77">
        <f>SUMIFS(Report!$U:$U,Report!$T:$T,"&lt;&gt;"&amp;"MERCADORIAS P/REVENDA",Report!$AA:$AA,"SIM",Report!$C:$C,A467)</f>
        <v/>
      </c>
      <c r="C467" s="77">
        <f>SUMIFS(Report!$U:$U,Report!$T:$T,"MERCADORIAS P/REVENDA",Report!$AA:$AA,"SIM",Report!$C:$C,A467)</f>
        <v/>
      </c>
      <c r="F467" s="77">
        <f>B467+C467</f>
        <v/>
      </c>
    </row>
    <row r="468" ht="12.75" customHeight="1" s="60">
      <c r="A468" s="75" t="n">
        <v>46430</v>
      </c>
      <c r="B468" s="77">
        <f>SUMIFS(Report!$U:$U,Report!$T:$T,"&lt;&gt;"&amp;"MERCADORIAS P/REVENDA",Report!$AA:$AA,"SIM",Report!$C:$C,A468)</f>
        <v/>
      </c>
      <c r="C468" s="77">
        <f>SUMIFS(Report!$U:$U,Report!$T:$T,"MERCADORIAS P/REVENDA",Report!$AA:$AA,"SIM",Report!$C:$C,A468)</f>
        <v/>
      </c>
      <c r="F468" s="77">
        <f>B468+C468</f>
        <v/>
      </c>
    </row>
    <row r="469" ht="12.75" customHeight="1" s="60">
      <c r="A469" s="99" t="n">
        <v>46431</v>
      </c>
      <c r="B469" s="100">
        <f>SUMIFS(Report!$U:$U,Report!$T:$T,"&lt;&gt;"&amp;"MERCADORIAS P/REVENDA",Report!$AA:$AA,"SIM",Report!$C:$C,A469)</f>
        <v/>
      </c>
      <c r="C469" s="100">
        <f>SUMIFS(Report!$U:$U,Report!$T:$T,"MERCADORIAS P/REVENDA",Report!$AA:$AA,"SIM",Report!$C:$C,A469)</f>
        <v/>
      </c>
      <c r="D469" s="101" t="n"/>
      <c r="E469" s="101" t="n"/>
      <c r="F469" s="100">
        <f>B469+C469</f>
        <v/>
      </c>
    </row>
    <row r="470" ht="12.75" customHeight="1" s="60">
      <c r="A470" s="99" t="n">
        <v>46432</v>
      </c>
      <c r="B470" s="100">
        <f>SUMIFS(Report!$U:$U,Report!$T:$T,"&lt;&gt;"&amp;"MERCADORIAS P/REVENDA",Report!$AA:$AA,"SIM",Report!$C:$C,A470)</f>
        <v/>
      </c>
      <c r="C470" s="100">
        <f>SUMIFS(Report!$U:$U,Report!$T:$T,"MERCADORIAS P/REVENDA",Report!$AA:$AA,"SIM",Report!$C:$C,A470)</f>
        <v/>
      </c>
      <c r="D470" s="101" t="n"/>
      <c r="E470" s="101" t="n"/>
      <c r="F470" s="100">
        <f>B470+C470</f>
        <v/>
      </c>
    </row>
    <row r="471" ht="12.75" customHeight="1" s="60">
      <c r="A471" s="99" t="n">
        <v>46433</v>
      </c>
      <c r="B471" s="100">
        <f>SUMIFS(Report!$U:$U,Report!$T:$T,"&lt;&gt;"&amp;"MERCADORIAS P/REVENDA",Report!$AA:$AA,"SIM",Report!$C:$C,A471)</f>
        <v/>
      </c>
      <c r="C471" s="100">
        <f>SUMIFS(Report!$U:$U,Report!$T:$T,"MERCADORIAS P/REVENDA",Report!$AA:$AA,"SIM",Report!$C:$C,A471)</f>
        <v/>
      </c>
      <c r="D471" s="101" t="n"/>
      <c r="E471" s="101" t="n"/>
      <c r="F471" s="100">
        <f>B471+C471</f>
        <v/>
      </c>
    </row>
    <row r="472" ht="12.75" customHeight="1" s="60">
      <c r="A472" s="102">
        <f>"Subtotal Semana "&amp;TEXT(A465,"dd/mm/yyyy")&amp;" a "&amp;TEXT(A471,"dd/mm/yyyy")</f>
        <v/>
      </c>
      <c r="B472" s="90">
        <f>SUM(B465:B471)</f>
        <v/>
      </c>
      <c r="C472" s="90">
        <f>SUM(C465:C471)</f>
        <v/>
      </c>
      <c r="D472" s="94" t="n"/>
      <c r="E472" s="94" t="n"/>
      <c r="F472" s="90">
        <f>B472+C472</f>
        <v/>
      </c>
    </row>
    <row r="473" ht="12.75" customHeight="1" s="60">
      <c r="A473" s="75" t="n">
        <v>46434</v>
      </c>
      <c r="B473" s="77">
        <f>SUMIFS(Report!$U:$U,Report!$T:$T,"&lt;&gt;"&amp;"MERCADORIAS P/REVENDA",Report!$AA:$AA,"SIM",Report!$C:$C,A473)</f>
        <v/>
      </c>
      <c r="C473" s="77">
        <f>SUMIFS(Report!$U:$U,Report!$T:$T,"MERCADORIAS P/REVENDA",Report!$AA:$AA,"SIM",Report!$C:$C,A473)</f>
        <v/>
      </c>
      <c r="F473" s="77">
        <f>B473+C473</f>
        <v/>
      </c>
    </row>
    <row r="474" ht="12.75" customHeight="1" s="60">
      <c r="A474" s="75" t="n">
        <v>46435</v>
      </c>
      <c r="B474" s="77">
        <f>SUMIFS(Report!$U:$U,Report!$T:$T,"&lt;&gt;"&amp;"MERCADORIAS P/REVENDA",Report!$AA:$AA,"SIM",Report!$C:$C,A474)</f>
        <v/>
      </c>
      <c r="C474" s="77">
        <f>SUMIFS(Report!$U:$U,Report!$T:$T,"MERCADORIAS P/REVENDA",Report!$AA:$AA,"SIM",Report!$C:$C,A474)</f>
        <v/>
      </c>
      <c r="F474" s="77">
        <f>B474+C474</f>
        <v/>
      </c>
    </row>
    <row r="475" ht="12.75" customHeight="1" s="60">
      <c r="A475" s="75" t="n">
        <v>46436</v>
      </c>
      <c r="B475" s="77">
        <f>SUMIFS(Report!$U:$U,Report!$T:$T,"&lt;&gt;"&amp;"MERCADORIAS P/REVENDA",Report!$AA:$AA,"SIM",Report!$C:$C,A475)</f>
        <v/>
      </c>
      <c r="C475" s="77">
        <f>SUMIFS(Report!$U:$U,Report!$T:$T,"MERCADORIAS P/REVENDA",Report!$AA:$AA,"SIM",Report!$C:$C,A475)</f>
        <v/>
      </c>
      <c r="F475" s="77">
        <f>B475+C475</f>
        <v/>
      </c>
    </row>
    <row r="476" ht="12.75" customHeight="1" s="60">
      <c r="A476" s="75" t="n">
        <v>46437</v>
      </c>
      <c r="B476" s="77">
        <f>SUMIFS(Report!$U:$U,Report!$T:$T,"&lt;&gt;"&amp;"MERCADORIAS P/REVENDA",Report!$AA:$AA,"SIM",Report!$C:$C,A476)</f>
        <v/>
      </c>
      <c r="C476" s="77">
        <f>SUMIFS(Report!$U:$U,Report!$T:$T,"MERCADORIAS P/REVENDA",Report!$AA:$AA,"SIM",Report!$C:$C,A476)</f>
        <v/>
      </c>
      <c r="F476" s="77">
        <f>B476+C476</f>
        <v/>
      </c>
    </row>
    <row r="477" ht="12.75" customHeight="1" s="60">
      <c r="A477" s="99" t="n">
        <v>46438</v>
      </c>
      <c r="B477" s="100">
        <f>SUMIFS(Report!$U:$U,Report!$T:$T,"&lt;&gt;"&amp;"MERCADORIAS P/REVENDA",Report!$AA:$AA,"SIM",Report!$C:$C,A477)</f>
        <v/>
      </c>
      <c r="C477" s="100">
        <f>SUMIFS(Report!$U:$U,Report!$T:$T,"MERCADORIAS P/REVENDA",Report!$AA:$AA,"SIM",Report!$C:$C,A477)</f>
        <v/>
      </c>
      <c r="D477" s="101" t="n"/>
      <c r="E477" s="101" t="n"/>
      <c r="F477" s="100">
        <f>B477+C477</f>
        <v/>
      </c>
    </row>
    <row r="478" ht="12.75" customHeight="1" s="60">
      <c r="A478" s="99" t="n">
        <v>46439</v>
      </c>
      <c r="B478" s="100">
        <f>SUMIFS(Report!$U:$U,Report!$T:$T,"&lt;&gt;"&amp;"MERCADORIAS P/REVENDA",Report!$AA:$AA,"SIM",Report!$C:$C,A478)</f>
        <v/>
      </c>
      <c r="C478" s="100">
        <f>SUMIFS(Report!$U:$U,Report!$T:$T,"MERCADORIAS P/REVENDA",Report!$AA:$AA,"SIM",Report!$C:$C,A478)</f>
        <v/>
      </c>
      <c r="D478" s="101" t="n"/>
      <c r="E478" s="101" t="n"/>
      <c r="F478" s="100">
        <f>B478+C478</f>
        <v/>
      </c>
    </row>
    <row r="479" ht="12.75" customHeight="1" s="60">
      <c r="A479" s="99" t="n">
        <v>46440</v>
      </c>
      <c r="B479" s="100">
        <f>SUMIFS(Report!$U:$U,Report!$T:$T,"&lt;&gt;"&amp;"MERCADORIAS P/REVENDA",Report!$AA:$AA,"SIM",Report!$C:$C,A479)</f>
        <v/>
      </c>
      <c r="C479" s="100">
        <f>SUMIFS(Report!$U:$U,Report!$T:$T,"MERCADORIAS P/REVENDA",Report!$AA:$AA,"SIM",Report!$C:$C,A479)</f>
        <v/>
      </c>
      <c r="D479" s="101" t="n"/>
      <c r="E479" s="101" t="n"/>
      <c r="F479" s="100">
        <f>B479+C479</f>
        <v/>
      </c>
    </row>
    <row r="480" ht="12.75" customHeight="1" s="60">
      <c r="A480" s="102">
        <f>"Subtotal Semana "&amp;TEXT(A473,"dd/mm/yyyy")&amp;" a "&amp;TEXT(A479,"dd/mm/yyyy")</f>
        <v/>
      </c>
      <c r="B480" s="90">
        <f>SUM(B473:B479)</f>
        <v/>
      </c>
      <c r="C480" s="90">
        <f>SUM(C473:C479)</f>
        <v/>
      </c>
      <c r="D480" s="94" t="n"/>
      <c r="E480" s="94" t="n"/>
      <c r="F480" s="90">
        <f>B480+C480</f>
        <v/>
      </c>
    </row>
    <row r="481" ht="12.75" customHeight="1" s="60">
      <c r="A481" s="75" t="n">
        <v>46441</v>
      </c>
      <c r="B481" s="77">
        <f>SUMIFS(Report!$U:$U,Report!$T:$T,"&lt;&gt;"&amp;"MERCADORIAS P/REVENDA",Report!$AA:$AA,"SIM",Report!$C:$C,A481)</f>
        <v/>
      </c>
      <c r="C481" s="77">
        <f>SUMIFS(Report!$U:$U,Report!$T:$T,"MERCADORIAS P/REVENDA",Report!$AA:$AA,"SIM",Report!$C:$C,A481)</f>
        <v/>
      </c>
      <c r="F481" s="77">
        <f>B481+C481</f>
        <v/>
      </c>
    </row>
    <row r="482" ht="12.75" customHeight="1" s="60">
      <c r="A482" s="75" t="n">
        <v>46442</v>
      </c>
      <c r="B482" s="77">
        <f>SUMIFS(Report!$U:$U,Report!$T:$T,"&lt;&gt;"&amp;"MERCADORIAS P/REVENDA",Report!$AA:$AA,"SIM",Report!$C:$C,A482)</f>
        <v/>
      </c>
      <c r="C482" s="77">
        <f>SUMIFS(Report!$U:$U,Report!$T:$T,"MERCADORIAS P/REVENDA",Report!$AA:$AA,"SIM",Report!$C:$C,A482)</f>
        <v/>
      </c>
      <c r="F482" s="77">
        <f>B482+C482</f>
        <v/>
      </c>
    </row>
    <row r="483" ht="12.75" customHeight="1" s="60">
      <c r="A483" s="75" t="n">
        <v>46443</v>
      </c>
      <c r="B483" s="77">
        <f>SUMIFS(Report!$U:$U,Report!$T:$T,"&lt;&gt;"&amp;"MERCADORIAS P/REVENDA",Report!$AA:$AA,"SIM",Report!$C:$C,A483)</f>
        <v/>
      </c>
      <c r="C483" s="77">
        <f>SUMIFS(Report!$U:$U,Report!$T:$T,"MERCADORIAS P/REVENDA",Report!$AA:$AA,"SIM",Report!$C:$C,A483)</f>
        <v/>
      </c>
      <c r="F483" s="77">
        <f>B483+C483</f>
        <v/>
      </c>
    </row>
    <row r="484" ht="12.75" customHeight="1" s="60">
      <c r="A484" s="75" t="n">
        <v>46444</v>
      </c>
      <c r="B484" s="77">
        <f>SUMIFS(Report!$U:$U,Report!$T:$T,"&lt;&gt;"&amp;"MERCADORIAS P/REVENDA",Report!$AA:$AA,"SIM",Report!$C:$C,A484)</f>
        <v/>
      </c>
      <c r="C484" s="77">
        <f>SUMIFS(Report!$U:$U,Report!$T:$T,"MERCADORIAS P/REVENDA",Report!$AA:$AA,"SIM",Report!$C:$C,A484)</f>
        <v/>
      </c>
      <c r="F484" s="77">
        <f>B484+C484</f>
        <v/>
      </c>
    </row>
    <row r="485" ht="12.75" customHeight="1" s="60">
      <c r="A485" s="99" t="n">
        <v>46445</v>
      </c>
      <c r="B485" s="100">
        <f>SUMIFS(Report!$U:$U,Report!$T:$T,"&lt;&gt;"&amp;"MERCADORIAS P/REVENDA",Report!$AA:$AA,"SIM",Report!$C:$C,A485)</f>
        <v/>
      </c>
      <c r="C485" s="100">
        <f>SUMIFS(Report!$U:$U,Report!$T:$T,"MERCADORIAS P/REVENDA",Report!$AA:$AA,"SIM",Report!$C:$C,A485)</f>
        <v/>
      </c>
      <c r="D485" s="101" t="n"/>
      <c r="E485" s="101" t="n"/>
      <c r="F485" s="100">
        <f>B485+C485</f>
        <v/>
      </c>
    </row>
    <row r="486" ht="12.75" customHeight="1" s="60">
      <c r="A486" s="99" t="n">
        <v>46446</v>
      </c>
      <c r="B486" s="100">
        <f>SUMIFS(Report!$U:$U,Report!$T:$T,"&lt;&gt;"&amp;"MERCADORIAS P/REVENDA",Report!$AA:$AA,"SIM",Report!$C:$C,A486)</f>
        <v/>
      </c>
      <c r="C486" s="100">
        <f>SUMIFS(Report!$U:$U,Report!$T:$T,"MERCADORIAS P/REVENDA",Report!$AA:$AA,"SIM",Report!$C:$C,A486)</f>
        <v/>
      </c>
      <c r="D486" s="101" t="n"/>
      <c r="E486" s="101" t="n"/>
      <c r="F486" s="100">
        <f>B486+C486</f>
        <v/>
      </c>
    </row>
    <row r="487" ht="12.75" customHeight="1" s="60">
      <c r="A487" s="99" t="n">
        <v>46447</v>
      </c>
      <c r="B487" s="100">
        <f>SUMIFS(Report!$U:$U,Report!$T:$T,"&lt;&gt;"&amp;"MERCADORIAS P/REVENDA",Report!$AA:$AA,"SIM",Report!$C:$C,A487)</f>
        <v/>
      </c>
      <c r="C487" s="100">
        <f>SUMIFS(Report!$U:$U,Report!$T:$T,"MERCADORIAS P/REVENDA",Report!$AA:$AA,"SIM",Report!$C:$C,A487)</f>
        <v/>
      </c>
      <c r="D487" s="101" t="n"/>
      <c r="E487" s="101" t="n"/>
      <c r="F487" s="100">
        <f>B487+C487</f>
        <v/>
      </c>
    </row>
    <row r="488" ht="12.75" customHeight="1" s="60">
      <c r="A488" s="102">
        <f>"Subtotal Semana "&amp;TEXT(A481,"dd/mm/yyyy")&amp;" a "&amp;TEXT(A487,"dd/mm/yyyy")</f>
        <v/>
      </c>
      <c r="B488" s="90">
        <f>SUM(B481:B487)</f>
        <v/>
      </c>
      <c r="C488" s="90">
        <f>SUM(C481:C487)</f>
        <v/>
      </c>
      <c r="D488" s="94" t="n"/>
      <c r="E488" s="94" t="n"/>
      <c r="F488" s="90">
        <f>B488+C488</f>
        <v/>
      </c>
    </row>
    <row r="489" ht="12.75" customHeight="1" s="60">
      <c r="A489" s="75" t="n">
        <v>46448</v>
      </c>
      <c r="B489" s="77">
        <f>SUMIFS(Report!$U:$U,Report!$T:$T,"&lt;&gt;"&amp;"MERCADORIAS P/REVENDA",Report!$AA:$AA,"SIM",Report!$C:$C,A489)</f>
        <v/>
      </c>
      <c r="C489" s="77">
        <f>SUMIFS(Report!$U:$U,Report!$T:$T,"MERCADORIAS P/REVENDA",Report!$AA:$AA,"SIM",Report!$C:$C,A489)</f>
        <v/>
      </c>
      <c r="F489" s="77">
        <f>B489+C489</f>
        <v/>
      </c>
    </row>
    <row r="490" ht="12.75" customHeight="1" s="60">
      <c r="A490" s="75" t="n">
        <v>46449</v>
      </c>
      <c r="B490" s="77">
        <f>SUMIFS(Report!$U:$U,Report!$T:$T,"&lt;&gt;"&amp;"MERCADORIAS P/REVENDA",Report!$AA:$AA,"SIM",Report!$C:$C,A490)</f>
        <v/>
      </c>
      <c r="C490" s="77">
        <f>SUMIFS(Report!$U:$U,Report!$T:$T,"MERCADORIAS P/REVENDA",Report!$AA:$AA,"SIM",Report!$C:$C,A490)</f>
        <v/>
      </c>
      <c r="F490" s="77">
        <f>B490+C490</f>
        <v/>
      </c>
    </row>
    <row r="491" ht="12.75" customHeight="1" s="60">
      <c r="A491" s="75" t="n">
        <v>46450</v>
      </c>
      <c r="B491" s="77">
        <f>SUMIFS(Report!$U:$U,Report!$T:$T,"&lt;&gt;"&amp;"MERCADORIAS P/REVENDA",Report!$AA:$AA,"SIM",Report!$C:$C,A491)</f>
        <v/>
      </c>
      <c r="C491" s="77">
        <f>SUMIFS(Report!$U:$U,Report!$T:$T,"MERCADORIAS P/REVENDA",Report!$AA:$AA,"SIM",Report!$C:$C,A491)</f>
        <v/>
      </c>
      <c r="F491" s="77">
        <f>B491+C491</f>
        <v/>
      </c>
    </row>
    <row r="492" ht="12.75" customHeight="1" s="60">
      <c r="A492" s="75" t="n">
        <v>46451</v>
      </c>
      <c r="B492" s="77">
        <f>SUMIFS(Report!$U:$U,Report!$T:$T,"&lt;&gt;"&amp;"MERCADORIAS P/REVENDA",Report!$AA:$AA,"SIM",Report!$C:$C,A492)</f>
        <v/>
      </c>
      <c r="C492" s="77">
        <f>SUMIFS(Report!$U:$U,Report!$T:$T,"MERCADORIAS P/REVENDA",Report!$AA:$AA,"SIM",Report!$C:$C,A492)</f>
        <v/>
      </c>
      <c r="F492" s="77">
        <f>B492+C492</f>
        <v/>
      </c>
    </row>
    <row r="493" ht="12.75" customHeight="1" s="60">
      <c r="A493" s="99" t="n">
        <v>46452</v>
      </c>
      <c r="B493" s="100">
        <f>SUMIFS(Report!$U:$U,Report!$T:$T,"&lt;&gt;"&amp;"MERCADORIAS P/REVENDA",Report!$AA:$AA,"SIM",Report!$C:$C,A493)</f>
        <v/>
      </c>
      <c r="C493" s="100">
        <f>SUMIFS(Report!$U:$U,Report!$T:$T,"MERCADORIAS P/REVENDA",Report!$AA:$AA,"SIM",Report!$C:$C,A493)</f>
        <v/>
      </c>
      <c r="D493" s="101" t="n"/>
      <c r="E493" s="101" t="n"/>
      <c r="F493" s="100">
        <f>B493+C493</f>
        <v/>
      </c>
    </row>
    <row r="494" ht="12.75" customHeight="1" s="60">
      <c r="A494" s="99" t="n">
        <v>46453</v>
      </c>
      <c r="B494" s="100">
        <f>SUMIFS(Report!$U:$U,Report!$T:$T,"&lt;&gt;"&amp;"MERCADORIAS P/REVENDA",Report!$AA:$AA,"SIM",Report!$C:$C,A494)</f>
        <v/>
      </c>
      <c r="C494" s="100">
        <f>SUMIFS(Report!$U:$U,Report!$T:$T,"MERCADORIAS P/REVENDA",Report!$AA:$AA,"SIM",Report!$C:$C,A494)</f>
        <v/>
      </c>
      <c r="D494" s="101" t="n"/>
      <c r="E494" s="101" t="n"/>
      <c r="F494" s="100">
        <f>B494+C494</f>
        <v/>
      </c>
    </row>
    <row r="495" ht="12.75" customHeight="1" s="60">
      <c r="A495" s="99" t="n">
        <v>46454</v>
      </c>
      <c r="B495" s="100">
        <f>SUMIFS(Report!$U:$U,Report!$T:$T,"&lt;&gt;"&amp;"MERCADORIAS P/REVENDA",Report!$AA:$AA,"SIM",Report!$C:$C,A495)</f>
        <v/>
      </c>
      <c r="C495" s="100">
        <f>SUMIFS(Report!$U:$U,Report!$T:$T,"MERCADORIAS P/REVENDA",Report!$AA:$AA,"SIM",Report!$C:$C,A495)</f>
        <v/>
      </c>
      <c r="D495" s="101" t="n"/>
      <c r="E495" s="101" t="n"/>
      <c r="F495" s="100">
        <f>B495+C495</f>
        <v/>
      </c>
    </row>
    <row r="496" ht="12.75" customHeight="1" s="60">
      <c r="A496" s="102">
        <f>"Subtotal Semana "&amp;TEXT(A489,"dd/mm/yyyy")&amp;" a "&amp;TEXT(A495,"dd/mm/yyyy")</f>
        <v/>
      </c>
      <c r="B496" s="90">
        <f>SUM(B489:B495)</f>
        <v/>
      </c>
      <c r="C496" s="90">
        <f>SUM(C489:C495)</f>
        <v/>
      </c>
      <c r="D496" s="94" t="n"/>
      <c r="E496" s="94" t="n"/>
      <c r="F496" s="90">
        <f>B496+C496</f>
        <v/>
      </c>
    </row>
    <row r="497" ht="12.75" customHeight="1" s="60">
      <c r="A497" s="75" t="n">
        <v>46455</v>
      </c>
      <c r="B497" s="77">
        <f>SUMIFS(Report!$U:$U,Report!$T:$T,"&lt;&gt;"&amp;"MERCADORIAS P/REVENDA",Report!$AA:$AA,"SIM",Report!$C:$C,A497)</f>
        <v/>
      </c>
      <c r="C497" s="77">
        <f>SUMIFS(Report!$U:$U,Report!$T:$T,"MERCADORIAS P/REVENDA",Report!$AA:$AA,"SIM",Report!$C:$C,A497)</f>
        <v/>
      </c>
      <c r="F497" s="77">
        <f>B497+C497</f>
        <v/>
      </c>
    </row>
    <row r="498" ht="12.75" customHeight="1" s="60">
      <c r="A498" s="75" t="n">
        <v>46456</v>
      </c>
      <c r="B498" s="77">
        <f>SUMIFS(Report!$U:$U,Report!$T:$T,"&lt;&gt;"&amp;"MERCADORIAS P/REVENDA",Report!$AA:$AA,"SIM",Report!$C:$C,A498)</f>
        <v/>
      </c>
      <c r="C498" s="77">
        <f>SUMIFS(Report!$U:$U,Report!$T:$T,"MERCADORIAS P/REVENDA",Report!$AA:$AA,"SIM",Report!$C:$C,A498)</f>
        <v/>
      </c>
      <c r="F498" s="77">
        <f>B498+C498</f>
        <v/>
      </c>
    </row>
    <row r="499" ht="12.75" customHeight="1" s="60">
      <c r="A499" s="75" t="n">
        <v>46457</v>
      </c>
      <c r="B499" s="77">
        <f>SUMIFS(Report!$U:$U,Report!$T:$T,"&lt;&gt;"&amp;"MERCADORIAS P/REVENDA",Report!$AA:$AA,"SIM",Report!$C:$C,A499)</f>
        <v/>
      </c>
      <c r="C499" s="77">
        <f>SUMIFS(Report!$U:$U,Report!$T:$T,"MERCADORIAS P/REVENDA",Report!$AA:$AA,"SIM",Report!$C:$C,A499)</f>
        <v/>
      </c>
      <c r="F499" s="77">
        <f>B499+C499</f>
        <v/>
      </c>
    </row>
    <row r="500" ht="12.75" customHeight="1" s="60">
      <c r="A500" s="75" t="n">
        <v>46458</v>
      </c>
      <c r="B500" s="77">
        <f>SUMIFS(Report!$U:$U,Report!$T:$T,"&lt;&gt;"&amp;"MERCADORIAS P/REVENDA",Report!$AA:$AA,"SIM",Report!$C:$C,A500)</f>
        <v/>
      </c>
      <c r="C500" s="77">
        <f>SUMIFS(Report!$U:$U,Report!$T:$T,"MERCADORIAS P/REVENDA",Report!$AA:$AA,"SIM",Report!$C:$C,A500)</f>
        <v/>
      </c>
      <c r="F500" s="77">
        <f>B500+C500</f>
        <v/>
      </c>
    </row>
    <row r="501" ht="12.75" customHeight="1" s="60">
      <c r="A501" s="99" t="n">
        <v>46459</v>
      </c>
      <c r="B501" s="100">
        <f>SUMIFS(Report!$U:$U,Report!$T:$T,"&lt;&gt;"&amp;"MERCADORIAS P/REVENDA",Report!$AA:$AA,"SIM",Report!$C:$C,A501)</f>
        <v/>
      </c>
      <c r="C501" s="100">
        <f>SUMIFS(Report!$U:$U,Report!$T:$T,"MERCADORIAS P/REVENDA",Report!$AA:$AA,"SIM",Report!$C:$C,A501)</f>
        <v/>
      </c>
      <c r="D501" s="101" t="n"/>
      <c r="E501" s="101" t="n"/>
      <c r="F501" s="100">
        <f>B501+C501</f>
        <v/>
      </c>
    </row>
    <row r="502" ht="12.75" customHeight="1" s="60">
      <c r="A502" s="99" t="n">
        <v>46460</v>
      </c>
      <c r="B502" s="100">
        <f>SUMIFS(Report!$U:$U,Report!$T:$T,"&lt;&gt;"&amp;"MERCADORIAS P/REVENDA",Report!$AA:$AA,"SIM",Report!$C:$C,A502)</f>
        <v/>
      </c>
      <c r="C502" s="100">
        <f>SUMIFS(Report!$U:$U,Report!$T:$T,"MERCADORIAS P/REVENDA",Report!$AA:$AA,"SIM",Report!$C:$C,A502)</f>
        <v/>
      </c>
      <c r="D502" s="101" t="n"/>
      <c r="E502" s="101" t="n"/>
      <c r="F502" s="100">
        <f>B502+C502</f>
        <v/>
      </c>
    </row>
    <row r="503" ht="12.75" customHeight="1" s="60">
      <c r="A503" s="99" t="n">
        <v>46461</v>
      </c>
      <c r="B503" s="100">
        <f>SUMIFS(Report!$U:$U,Report!$T:$T,"&lt;&gt;"&amp;"MERCADORIAS P/REVENDA",Report!$AA:$AA,"SIM",Report!$C:$C,A503)</f>
        <v/>
      </c>
      <c r="C503" s="100">
        <f>SUMIFS(Report!$U:$U,Report!$T:$T,"MERCADORIAS P/REVENDA",Report!$AA:$AA,"SIM",Report!$C:$C,A503)</f>
        <v/>
      </c>
      <c r="D503" s="101" t="n"/>
      <c r="E503" s="101" t="n"/>
      <c r="F503" s="100">
        <f>B503+C503</f>
        <v/>
      </c>
    </row>
    <row r="504" ht="12.75" customHeight="1" s="60">
      <c r="A504" s="102">
        <f>"Subtotal Semana "&amp;TEXT(A497,"dd/mm/yyyy")&amp;" a "&amp;TEXT(A503,"dd/mm/yyyy")</f>
        <v/>
      </c>
      <c r="B504" s="90">
        <f>SUM(B497:B503)</f>
        <v/>
      </c>
      <c r="C504" s="90">
        <f>SUM(C497:C503)</f>
        <v/>
      </c>
      <c r="D504" s="94" t="n"/>
      <c r="E504" s="94" t="n"/>
      <c r="F504" s="90">
        <f>B504+C504</f>
        <v/>
      </c>
    </row>
    <row r="505" ht="12.75" customHeight="1" s="60">
      <c r="A505" s="75" t="n">
        <v>46462</v>
      </c>
      <c r="B505" s="77">
        <f>SUMIFS(Report!$U:$U,Report!$T:$T,"&lt;&gt;"&amp;"MERCADORIAS P/REVENDA",Report!$AA:$AA,"SIM",Report!$C:$C,A505)</f>
        <v/>
      </c>
      <c r="C505" s="77">
        <f>SUMIFS(Report!$U:$U,Report!$T:$T,"MERCADORIAS P/REVENDA",Report!$AA:$AA,"SIM",Report!$C:$C,A505)</f>
        <v/>
      </c>
      <c r="F505" s="77">
        <f>B505+C505</f>
        <v/>
      </c>
    </row>
    <row r="506" ht="12.75" customHeight="1" s="60">
      <c r="A506" s="75" t="n">
        <v>46463</v>
      </c>
      <c r="B506" s="77">
        <f>SUMIFS(Report!$U:$U,Report!$T:$T,"&lt;&gt;"&amp;"MERCADORIAS P/REVENDA",Report!$AA:$AA,"SIM",Report!$C:$C,A506)</f>
        <v/>
      </c>
      <c r="C506" s="77">
        <f>SUMIFS(Report!$U:$U,Report!$T:$T,"MERCADORIAS P/REVENDA",Report!$AA:$AA,"SIM",Report!$C:$C,A506)</f>
        <v/>
      </c>
      <c r="F506" s="77">
        <f>B506+C506</f>
        <v/>
      </c>
    </row>
    <row r="507" ht="12.75" customHeight="1" s="60">
      <c r="A507" s="75" t="n">
        <v>46464</v>
      </c>
      <c r="B507" s="77">
        <f>SUMIFS(Report!$U:$U,Report!$T:$T,"&lt;&gt;"&amp;"MERCADORIAS P/REVENDA",Report!$AA:$AA,"SIM",Report!$C:$C,A507)</f>
        <v/>
      </c>
      <c r="C507" s="77">
        <f>SUMIFS(Report!$U:$U,Report!$T:$T,"MERCADORIAS P/REVENDA",Report!$AA:$AA,"SIM",Report!$C:$C,A507)</f>
        <v/>
      </c>
      <c r="F507" s="77">
        <f>B507+C507</f>
        <v/>
      </c>
    </row>
    <row r="508" ht="12.75" customHeight="1" s="60">
      <c r="A508" s="75" t="n">
        <v>46465</v>
      </c>
      <c r="B508" s="77">
        <f>SUMIFS(Report!$U:$U,Report!$T:$T,"&lt;&gt;"&amp;"MERCADORIAS P/REVENDA",Report!$AA:$AA,"SIM",Report!$C:$C,A508)</f>
        <v/>
      </c>
      <c r="C508" s="77">
        <f>SUMIFS(Report!$U:$U,Report!$T:$T,"MERCADORIAS P/REVENDA",Report!$AA:$AA,"SIM",Report!$C:$C,A508)</f>
        <v/>
      </c>
      <c r="F508" s="77">
        <f>B508+C508</f>
        <v/>
      </c>
    </row>
    <row r="509" ht="12.75" customHeight="1" s="60">
      <c r="A509" s="99" t="n">
        <v>46466</v>
      </c>
      <c r="B509" s="100">
        <f>SUMIFS(Report!$U:$U,Report!$T:$T,"&lt;&gt;"&amp;"MERCADORIAS P/REVENDA",Report!$AA:$AA,"SIM",Report!$C:$C,A509)</f>
        <v/>
      </c>
      <c r="C509" s="100">
        <f>SUMIFS(Report!$U:$U,Report!$T:$T,"MERCADORIAS P/REVENDA",Report!$AA:$AA,"SIM",Report!$C:$C,A509)</f>
        <v/>
      </c>
      <c r="D509" s="101" t="n"/>
      <c r="E509" s="101" t="n"/>
      <c r="F509" s="100">
        <f>B509+C509</f>
        <v/>
      </c>
    </row>
    <row r="510" ht="12.75" customHeight="1" s="60">
      <c r="A510" s="99" t="n">
        <v>46467</v>
      </c>
      <c r="B510" s="100">
        <f>SUMIFS(Report!$U:$U,Report!$T:$T,"&lt;&gt;"&amp;"MERCADORIAS P/REVENDA",Report!$AA:$AA,"SIM",Report!$C:$C,A510)</f>
        <v/>
      </c>
      <c r="C510" s="100">
        <f>SUMIFS(Report!$U:$U,Report!$T:$T,"MERCADORIAS P/REVENDA",Report!$AA:$AA,"SIM",Report!$C:$C,A510)</f>
        <v/>
      </c>
      <c r="D510" s="101" t="n"/>
      <c r="E510" s="101" t="n"/>
      <c r="F510" s="100">
        <f>B510+C510</f>
        <v/>
      </c>
    </row>
    <row r="511" ht="12.75" customHeight="1" s="60">
      <c r="A511" s="99" t="n">
        <v>46468</v>
      </c>
      <c r="B511" s="100">
        <f>SUMIFS(Report!$U:$U,Report!$T:$T,"&lt;&gt;"&amp;"MERCADORIAS P/REVENDA",Report!$AA:$AA,"SIM",Report!$C:$C,A511)</f>
        <v/>
      </c>
      <c r="C511" s="100">
        <f>SUMIFS(Report!$U:$U,Report!$T:$T,"MERCADORIAS P/REVENDA",Report!$AA:$AA,"SIM",Report!$C:$C,A511)</f>
        <v/>
      </c>
      <c r="D511" s="101" t="n"/>
      <c r="E511" s="101" t="n"/>
      <c r="F511" s="100">
        <f>B511+C511</f>
        <v/>
      </c>
    </row>
    <row r="512" ht="12.75" customHeight="1" s="60">
      <c r="A512" s="102">
        <f>"Subtotal Semana "&amp;TEXT(A505,"dd/mm/yyyy")&amp;" a "&amp;TEXT(A511,"dd/mm/yyyy")</f>
        <v/>
      </c>
      <c r="B512" s="90">
        <f>SUM(B505:B511)</f>
        <v/>
      </c>
      <c r="C512" s="90">
        <f>SUM(C505:C511)</f>
        <v/>
      </c>
      <c r="D512" s="94" t="n"/>
      <c r="E512" s="94" t="n"/>
      <c r="F512" s="90">
        <f>B512+C512</f>
        <v/>
      </c>
    </row>
    <row r="513" ht="12.75" customHeight="1" s="60">
      <c r="A513" s="75" t="n">
        <v>46469</v>
      </c>
      <c r="B513" s="77">
        <f>SUMIFS(Report!$U:$U,Report!$T:$T,"&lt;&gt;"&amp;"MERCADORIAS P/REVENDA",Report!$AA:$AA,"SIM",Report!$C:$C,A513)</f>
        <v/>
      </c>
      <c r="C513" s="77">
        <f>SUMIFS(Report!$U:$U,Report!$T:$T,"MERCADORIAS P/REVENDA",Report!$AA:$AA,"SIM",Report!$C:$C,A513)</f>
        <v/>
      </c>
      <c r="F513" s="77">
        <f>B513+C513</f>
        <v/>
      </c>
    </row>
    <row r="514" ht="12.75" customHeight="1" s="60">
      <c r="A514" s="75" t="n">
        <v>46470</v>
      </c>
      <c r="B514" s="77">
        <f>SUMIFS(Report!$U:$U,Report!$T:$T,"&lt;&gt;"&amp;"MERCADORIAS P/REVENDA",Report!$AA:$AA,"SIM",Report!$C:$C,A514)</f>
        <v/>
      </c>
      <c r="C514" s="77">
        <f>SUMIFS(Report!$U:$U,Report!$T:$T,"MERCADORIAS P/REVENDA",Report!$AA:$AA,"SIM",Report!$C:$C,A514)</f>
        <v/>
      </c>
      <c r="F514" s="77">
        <f>B514+C514</f>
        <v/>
      </c>
    </row>
    <row r="515" ht="12.75" customHeight="1" s="60">
      <c r="A515" s="75" t="n">
        <v>46471</v>
      </c>
      <c r="B515" s="77">
        <f>SUMIFS(Report!$U:$U,Report!$T:$T,"&lt;&gt;"&amp;"MERCADORIAS P/REVENDA",Report!$AA:$AA,"SIM",Report!$C:$C,A515)</f>
        <v/>
      </c>
      <c r="C515" s="77">
        <f>SUMIFS(Report!$U:$U,Report!$T:$T,"MERCADORIAS P/REVENDA",Report!$AA:$AA,"SIM",Report!$C:$C,A515)</f>
        <v/>
      </c>
      <c r="F515" s="77">
        <f>B515+C515</f>
        <v/>
      </c>
    </row>
    <row r="516" ht="12.75" customHeight="1" s="60">
      <c r="A516" s="75" t="n">
        <v>46472</v>
      </c>
      <c r="B516" s="77">
        <f>SUMIFS(Report!$U:$U,Report!$T:$T,"&lt;&gt;"&amp;"MERCADORIAS P/REVENDA",Report!$AA:$AA,"SIM",Report!$C:$C,A516)</f>
        <v/>
      </c>
      <c r="C516" s="77">
        <f>SUMIFS(Report!$U:$U,Report!$T:$T,"MERCADORIAS P/REVENDA",Report!$AA:$AA,"SIM",Report!$C:$C,A516)</f>
        <v/>
      </c>
      <c r="F516" s="77">
        <f>B516+C516</f>
        <v/>
      </c>
    </row>
    <row r="517" ht="12.75" customHeight="1" s="60">
      <c r="A517" s="99" t="n">
        <v>46473</v>
      </c>
      <c r="B517" s="100">
        <f>SUMIFS(Report!$U:$U,Report!$T:$T,"&lt;&gt;"&amp;"MERCADORIAS P/REVENDA",Report!$AA:$AA,"SIM",Report!$C:$C,A517)</f>
        <v/>
      </c>
      <c r="C517" s="100">
        <f>SUMIFS(Report!$U:$U,Report!$T:$T,"MERCADORIAS P/REVENDA",Report!$AA:$AA,"SIM",Report!$C:$C,A517)</f>
        <v/>
      </c>
      <c r="D517" s="101" t="n"/>
      <c r="E517" s="101" t="n"/>
      <c r="F517" s="100">
        <f>B517+C517</f>
        <v/>
      </c>
    </row>
    <row r="518" ht="12.75" customHeight="1" s="60">
      <c r="A518" s="99" t="n">
        <v>46474</v>
      </c>
      <c r="B518" s="100">
        <f>SUMIFS(Report!$U:$U,Report!$T:$T,"&lt;&gt;"&amp;"MERCADORIAS P/REVENDA",Report!$AA:$AA,"SIM",Report!$C:$C,A518)</f>
        <v/>
      </c>
      <c r="C518" s="100">
        <f>SUMIFS(Report!$U:$U,Report!$T:$T,"MERCADORIAS P/REVENDA",Report!$AA:$AA,"SIM",Report!$C:$C,A518)</f>
        <v/>
      </c>
      <c r="D518" s="101" t="n"/>
      <c r="E518" s="101" t="n"/>
      <c r="F518" s="100">
        <f>B518+C518</f>
        <v/>
      </c>
    </row>
    <row r="519" ht="12.75" customHeight="1" s="60">
      <c r="A519" s="99" t="n">
        <v>46475</v>
      </c>
      <c r="B519" s="100">
        <f>SUMIFS(Report!$U:$U,Report!$T:$T,"&lt;&gt;"&amp;"MERCADORIAS P/REVENDA",Report!$AA:$AA,"SIM",Report!$C:$C,A519)</f>
        <v/>
      </c>
      <c r="C519" s="100">
        <f>SUMIFS(Report!$U:$U,Report!$T:$T,"MERCADORIAS P/REVENDA",Report!$AA:$AA,"SIM",Report!$C:$C,A519)</f>
        <v/>
      </c>
      <c r="D519" s="101" t="n"/>
      <c r="E519" s="101" t="n"/>
      <c r="F519" s="100">
        <f>B519+C519</f>
        <v/>
      </c>
    </row>
    <row r="520" ht="12.75" customHeight="1" s="60">
      <c r="A520" s="102">
        <f>"Subtotal Semana "&amp;TEXT(A513,"dd/mm/yyyy")&amp;" a "&amp;TEXT(A519,"dd/mm/yyyy")</f>
        <v/>
      </c>
      <c r="B520" s="90">
        <f>SUM(B513:B519)</f>
        <v/>
      </c>
      <c r="C520" s="90">
        <f>SUM(C513:C519)</f>
        <v/>
      </c>
      <c r="D520" s="94" t="n"/>
      <c r="E520" s="94" t="n"/>
      <c r="F520" s="90">
        <f>B520+C520</f>
        <v/>
      </c>
    </row>
    <row r="521" ht="12.75" customHeight="1" s="60">
      <c r="A521" s="75" t="n">
        <v>46476</v>
      </c>
      <c r="B521" s="77">
        <f>SUMIFS(Report!$U:$U,Report!$T:$T,"&lt;&gt;"&amp;"MERCADORIAS P/REVENDA",Report!$AA:$AA,"SIM",Report!$C:$C,A521)</f>
        <v/>
      </c>
      <c r="C521" s="77">
        <f>SUMIFS(Report!$U:$U,Report!$T:$T,"MERCADORIAS P/REVENDA",Report!$AA:$AA,"SIM",Report!$C:$C,A521)</f>
        <v/>
      </c>
      <c r="F521" s="77">
        <f>B521+C521</f>
        <v/>
      </c>
    </row>
    <row r="522" ht="12.75" customHeight="1" s="60">
      <c r="A522" s="75" t="n">
        <v>46477</v>
      </c>
      <c r="B522" s="77">
        <f>SUMIFS(Report!$U:$U,Report!$T:$T,"&lt;&gt;"&amp;"MERCADORIAS P/REVENDA",Report!$AA:$AA,"SIM",Report!$C:$C,A522)</f>
        <v/>
      </c>
      <c r="C522" s="77">
        <f>SUMIFS(Report!$U:$U,Report!$T:$T,"MERCADORIAS P/REVENDA",Report!$AA:$AA,"SIM",Report!$C:$C,A522)</f>
        <v/>
      </c>
      <c r="F522" s="77">
        <f>B522+C522</f>
        <v/>
      </c>
    </row>
    <row r="523" ht="12.75" customHeight="1" s="60">
      <c r="A523" s="75" t="n">
        <v>46478</v>
      </c>
      <c r="B523" s="77">
        <f>SUMIFS(Report!$U:$U,Report!$T:$T,"&lt;&gt;"&amp;"MERCADORIAS P/REVENDA",Report!$AA:$AA,"SIM",Report!$C:$C,A523)</f>
        <v/>
      </c>
      <c r="C523" s="77">
        <f>SUMIFS(Report!$U:$U,Report!$T:$T,"MERCADORIAS P/REVENDA",Report!$AA:$AA,"SIM",Report!$C:$C,A523)</f>
        <v/>
      </c>
      <c r="F523" s="77">
        <f>B523+C523</f>
        <v/>
      </c>
    </row>
    <row r="524" ht="12.75" customHeight="1" s="60">
      <c r="A524" s="75" t="n">
        <v>46479</v>
      </c>
      <c r="B524" s="77">
        <f>SUMIFS(Report!$U:$U,Report!$T:$T,"&lt;&gt;"&amp;"MERCADORIAS P/REVENDA",Report!$AA:$AA,"SIM",Report!$C:$C,A524)</f>
        <v/>
      </c>
      <c r="C524" s="77">
        <f>SUMIFS(Report!$U:$U,Report!$T:$T,"MERCADORIAS P/REVENDA",Report!$AA:$AA,"SIM",Report!$C:$C,A524)</f>
        <v/>
      </c>
      <c r="F524" s="77">
        <f>B524+C524</f>
        <v/>
      </c>
    </row>
    <row r="525" ht="12.75" customHeight="1" s="60">
      <c r="A525" s="99" t="n">
        <v>46480</v>
      </c>
      <c r="B525" s="100">
        <f>SUMIFS(Report!$U:$U,Report!$T:$T,"&lt;&gt;"&amp;"MERCADORIAS P/REVENDA",Report!$AA:$AA,"SIM",Report!$C:$C,A525)</f>
        <v/>
      </c>
      <c r="C525" s="100">
        <f>SUMIFS(Report!$U:$U,Report!$T:$T,"MERCADORIAS P/REVENDA",Report!$AA:$AA,"SIM",Report!$C:$C,A525)</f>
        <v/>
      </c>
      <c r="D525" s="101" t="n"/>
      <c r="E525" s="101" t="n"/>
      <c r="F525" s="100">
        <f>B525+C525</f>
        <v/>
      </c>
    </row>
    <row r="526" ht="12.75" customHeight="1" s="60">
      <c r="A526" s="99" t="n">
        <v>46481</v>
      </c>
      <c r="B526" s="100">
        <f>SUMIFS(Report!$U:$U,Report!$T:$T,"&lt;&gt;"&amp;"MERCADORIAS P/REVENDA",Report!$AA:$AA,"SIM",Report!$C:$C,A526)</f>
        <v/>
      </c>
      <c r="C526" s="100">
        <f>SUMIFS(Report!$U:$U,Report!$T:$T,"MERCADORIAS P/REVENDA",Report!$AA:$AA,"SIM",Report!$C:$C,A526)</f>
        <v/>
      </c>
      <c r="D526" s="101" t="n"/>
      <c r="E526" s="101" t="n"/>
      <c r="F526" s="100">
        <f>B526+C526</f>
        <v/>
      </c>
    </row>
    <row r="527" ht="12.75" customHeight="1" s="60">
      <c r="A527" s="99" t="n">
        <v>46482</v>
      </c>
      <c r="B527" s="100">
        <f>SUMIFS(Report!$U:$U,Report!$T:$T,"&lt;&gt;"&amp;"MERCADORIAS P/REVENDA",Report!$AA:$AA,"SIM",Report!$C:$C,A527)</f>
        <v/>
      </c>
      <c r="C527" s="100">
        <f>SUMIFS(Report!$U:$U,Report!$T:$T,"MERCADORIAS P/REVENDA",Report!$AA:$AA,"SIM",Report!$C:$C,A527)</f>
        <v/>
      </c>
      <c r="D527" s="101" t="n"/>
      <c r="E527" s="101" t="n"/>
      <c r="F527" s="100">
        <f>B527+C527</f>
        <v/>
      </c>
    </row>
    <row r="528" ht="12.75" customHeight="1" s="60">
      <c r="A528" s="102">
        <f>"Subtotal Semana "&amp;TEXT(A521,"dd/mm/yyyy")&amp;" a "&amp;TEXT(A527,"dd/mm/yyyy")</f>
        <v/>
      </c>
      <c r="B528" s="90">
        <f>SUM(B521:B527)</f>
        <v/>
      </c>
      <c r="C528" s="90">
        <f>SUM(C521:C527)</f>
        <v/>
      </c>
      <c r="D528" s="94" t="n"/>
      <c r="E528" s="94" t="n"/>
      <c r="F528" s="90">
        <f>B528+C528</f>
        <v/>
      </c>
    </row>
    <row r="529" ht="12.75" customHeight="1" s="60">
      <c r="A529" s="75" t="n">
        <v>46483</v>
      </c>
      <c r="B529" s="77">
        <f>SUMIFS(Report!$U:$U,Report!$T:$T,"&lt;&gt;"&amp;"MERCADORIAS P/REVENDA",Report!$AA:$AA,"SIM",Report!$C:$C,A529)</f>
        <v/>
      </c>
      <c r="C529" s="77">
        <f>SUMIFS(Report!$U:$U,Report!$T:$T,"MERCADORIAS P/REVENDA",Report!$AA:$AA,"SIM",Report!$C:$C,A529)</f>
        <v/>
      </c>
      <c r="F529" s="77">
        <f>B529+C529</f>
        <v/>
      </c>
    </row>
    <row r="530" ht="12.75" customHeight="1" s="60">
      <c r="A530" s="75" t="n">
        <v>46484</v>
      </c>
      <c r="B530" s="77">
        <f>SUMIFS(Report!$U:$U,Report!$T:$T,"&lt;&gt;"&amp;"MERCADORIAS P/REVENDA",Report!$AA:$AA,"SIM",Report!$C:$C,A530)</f>
        <v/>
      </c>
      <c r="C530" s="77">
        <f>SUMIFS(Report!$U:$U,Report!$T:$T,"MERCADORIAS P/REVENDA",Report!$AA:$AA,"SIM",Report!$C:$C,A530)</f>
        <v/>
      </c>
      <c r="F530" s="77">
        <f>B530+C530</f>
        <v/>
      </c>
    </row>
    <row r="531" ht="12.75" customHeight="1" s="60">
      <c r="A531" s="75" t="n">
        <v>46485</v>
      </c>
      <c r="B531" s="77">
        <f>SUMIFS(Report!$U:$U,Report!$T:$T,"&lt;&gt;"&amp;"MERCADORIAS P/REVENDA",Report!$AA:$AA,"SIM",Report!$C:$C,A531)</f>
        <v/>
      </c>
      <c r="C531" s="77">
        <f>SUMIFS(Report!$U:$U,Report!$T:$T,"MERCADORIAS P/REVENDA",Report!$AA:$AA,"SIM",Report!$C:$C,A531)</f>
        <v/>
      </c>
      <c r="F531" s="77">
        <f>B531+C531</f>
        <v/>
      </c>
    </row>
    <row r="532" ht="12.75" customHeight="1" s="60">
      <c r="A532" s="75" t="n">
        <v>46486</v>
      </c>
      <c r="B532" s="77">
        <f>SUMIFS(Report!$U:$U,Report!$T:$T,"&lt;&gt;"&amp;"MERCADORIAS P/REVENDA",Report!$AA:$AA,"SIM",Report!$C:$C,A532)</f>
        <v/>
      </c>
      <c r="C532" s="77">
        <f>SUMIFS(Report!$U:$U,Report!$T:$T,"MERCADORIAS P/REVENDA",Report!$AA:$AA,"SIM",Report!$C:$C,A532)</f>
        <v/>
      </c>
      <c r="F532" s="77">
        <f>B532+C532</f>
        <v/>
      </c>
    </row>
    <row r="533" ht="12.75" customHeight="1" s="60">
      <c r="A533" s="99" t="n">
        <v>46487</v>
      </c>
      <c r="B533" s="100">
        <f>SUMIFS(Report!$U:$U,Report!$T:$T,"&lt;&gt;"&amp;"MERCADORIAS P/REVENDA",Report!$AA:$AA,"SIM",Report!$C:$C,A533)</f>
        <v/>
      </c>
      <c r="C533" s="100">
        <f>SUMIFS(Report!$U:$U,Report!$T:$T,"MERCADORIAS P/REVENDA",Report!$AA:$AA,"SIM",Report!$C:$C,A533)</f>
        <v/>
      </c>
      <c r="D533" s="101" t="n"/>
      <c r="E533" s="101" t="n"/>
      <c r="F533" s="100">
        <f>B533+C533</f>
        <v/>
      </c>
    </row>
    <row r="534" ht="12.75" customHeight="1" s="60">
      <c r="A534" s="99" t="n">
        <v>46488</v>
      </c>
      <c r="B534" s="100">
        <f>SUMIFS(Report!$U:$U,Report!$T:$T,"&lt;&gt;"&amp;"MERCADORIAS P/REVENDA",Report!$AA:$AA,"SIM",Report!$C:$C,A534)</f>
        <v/>
      </c>
      <c r="C534" s="100">
        <f>SUMIFS(Report!$U:$U,Report!$T:$T,"MERCADORIAS P/REVENDA",Report!$AA:$AA,"SIM",Report!$C:$C,A534)</f>
        <v/>
      </c>
      <c r="D534" s="101" t="n"/>
      <c r="E534" s="101" t="n"/>
      <c r="F534" s="100">
        <f>B534+C534</f>
        <v/>
      </c>
    </row>
    <row r="535" ht="12.75" customHeight="1" s="60">
      <c r="A535" s="99" t="n">
        <v>46489</v>
      </c>
      <c r="B535" s="100">
        <f>SUMIFS(Report!$U:$U,Report!$T:$T,"&lt;&gt;"&amp;"MERCADORIAS P/REVENDA",Report!$AA:$AA,"SIM",Report!$C:$C,A535)</f>
        <v/>
      </c>
      <c r="C535" s="100">
        <f>SUMIFS(Report!$U:$U,Report!$T:$T,"MERCADORIAS P/REVENDA",Report!$AA:$AA,"SIM",Report!$C:$C,A535)</f>
        <v/>
      </c>
      <c r="D535" s="101" t="n"/>
      <c r="E535" s="101" t="n"/>
      <c r="F535" s="100">
        <f>B535+C535</f>
        <v/>
      </c>
    </row>
    <row r="536" ht="12.75" customHeight="1" s="60">
      <c r="A536" s="102">
        <f>"Subtotal Semana "&amp;TEXT(A529,"dd/mm/yyyy")&amp;" a "&amp;TEXT(A535,"dd/mm/yyyy")</f>
        <v/>
      </c>
      <c r="B536" s="90">
        <f>SUM(B529:B535)</f>
        <v/>
      </c>
      <c r="C536" s="90">
        <f>SUM(C529:C535)</f>
        <v/>
      </c>
      <c r="D536" s="94" t="n"/>
      <c r="E536" s="94" t="n"/>
      <c r="F536" s="90">
        <f>B536+C536</f>
        <v/>
      </c>
    </row>
    <row r="537" ht="12.75" customHeight="1" s="60">
      <c r="A537" s="75" t="n">
        <v>46490</v>
      </c>
      <c r="B537" s="77">
        <f>SUMIFS(Report!$U:$U,Report!$T:$T,"&lt;&gt;"&amp;"MERCADORIAS P/REVENDA",Report!$AA:$AA,"SIM",Report!$C:$C,A537)</f>
        <v/>
      </c>
      <c r="C537" s="77">
        <f>SUMIFS(Report!$U:$U,Report!$T:$T,"MERCADORIAS P/REVENDA",Report!$AA:$AA,"SIM",Report!$C:$C,A537)</f>
        <v/>
      </c>
      <c r="F537" s="77">
        <f>B537+C537</f>
        <v/>
      </c>
    </row>
    <row r="538" ht="12.75" customHeight="1" s="60">
      <c r="A538" s="75" t="n">
        <v>46491</v>
      </c>
      <c r="B538" s="77">
        <f>SUMIFS(Report!$U:$U,Report!$T:$T,"&lt;&gt;"&amp;"MERCADORIAS P/REVENDA",Report!$AA:$AA,"SIM",Report!$C:$C,A538)</f>
        <v/>
      </c>
      <c r="C538" s="77">
        <f>SUMIFS(Report!$U:$U,Report!$T:$T,"MERCADORIAS P/REVENDA",Report!$AA:$AA,"SIM",Report!$C:$C,A538)</f>
        <v/>
      </c>
      <c r="F538" s="77">
        <f>B538+C538</f>
        <v/>
      </c>
    </row>
    <row r="539" ht="12.75" customHeight="1" s="60">
      <c r="A539" s="75" t="n">
        <v>46492</v>
      </c>
      <c r="B539" s="77">
        <f>SUMIFS(Report!$U:$U,Report!$T:$T,"&lt;&gt;"&amp;"MERCADORIAS P/REVENDA",Report!$AA:$AA,"SIM",Report!$C:$C,A539)</f>
        <v/>
      </c>
      <c r="C539" s="77">
        <f>SUMIFS(Report!$U:$U,Report!$T:$T,"MERCADORIAS P/REVENDA",Report!$AA:$AA,"SIM",Report!$C:$C,A539)</f>
        <v/>
      </c>
      <c r="F539" s="77">
        <f>B539+C539</f>
        <v/>
      </c>
    </row>
    <row r="540" ht="12.75" customHeight="1" s="60">
      <c r="A540" s="75" t="n">
        <v>46493</v>
      </c>
      <c r="B540" s="77">
        <f>SUMIFS(Report!$U:$U,Report!$T:$T,"&lt;&gt;"&amp;"MERCADORIAS P/REVENDA",Report!$AA:$AA,"SIM",Report!$C:$C,A540)</f>
        <v/>
      </c>
      <c r="C540" s="77">
        <f>SUMIFS(Report!$U:$U,Report!$T:$T,"MERCADORIAS P/REVENDA",Report!$AA:$AA,"SIM",Report!$C:$C,A540)</f>
        <v/>
      </c>
      <c r="F540" s="77">
        <f>B540+C540</f>
        <v/>
      </c>
    </row>
    <row r="541" ht="12.75" customHeight="1" s="60">
      <c r="A541" s="99" t="n">
        <v>46494</v>
      </c>
      <c r="B541" s="100">
        <f>SUMIFS(Report!$U:$U,Report!$T:$T,"&lt;&gt;"&amp;"MERCADORIAS P/REVENDA",Report!$AA:$AA,"SIM",Report!$C:$C,A541)</f>
        <v/>
      </c>
      <c r="C541" s="100">
        <f>SUMIFS(Report!$U:$U,Report!$T:$T,"MERCADORIAS P/REVENDA",Report!$AA:$AA,"SIM",Report!$C:$C,A541)</f>
        <v/>
      </c>
      <c r="D541" s="101" t="n"/>
      <c r="E541" s="101" t="n"/>
      <c r="F541" s="100">
        <f>B541+C541</f>
        <v/>
      </c>
    </row>
    <row r="542" ht="12.75" customHeight="1" s="60">
      <c r="A542" s="99" t="n">
        <v>46495</v>
      </c>
      <c r="B542" s="100">
        <f>SUMIFS(Report!$U:$U,Report!$T:$T,"&lt;&gt;"&amp;"MERCADORIAS P/REVENDA",Report!$AA:$AA,"SIM",Report!$C:$C,A542)</f>
        <v/>
      </c>
      <c r="C542" s="100">
        <f>SUMIFS(Report!$U:$U,Report!$T:$T,"MERCADORIAS P/REVENDA",Report!$AA:$AA,"SIM",Report!$C:$C,A542)</f>
        <v/>
      </c>
      <c r="D542" s="101" t="n"/>
      <c r="E542" s="101" t="n"/>
      <c r="F542" s="100">
        <f>B542+C542</f>
        <v/>
      </c>
    </row>
    <row r="543" ht="12.75" customHeight="1" s="60">
      <c r="A543" s="99" t="n">
        <v>46496</v>
      </c>
      <c r="B543" s="100">
        <f>SUMIFS(Report!$U:$U,Report!$T:$T,"&lt;&gt;"&amp;"MERCADORIAS P/REVENDA",Report!$AA:$AA,"SIM",Report!$C:$C,A543)</f>
        <v/>
      </c>
      <c r="C543" s="100">
        <f>SUMIFS(Report!$U:$U,Report!$T:$T,"MERCADORIAS P/REVENDA",Report!$AA:$AA,"SIM",Report!$C:$C,A543)</f>
        <v/>
      </c>
      <c r="D543" s="101" t="n"/>
      <c r="E543" s="101" t="n"/>
      <c r="F543" s="100">
        <f>B543+C543</f>
        <v/>
      </c>
    </row>
    <row r="544" ht="12.75" customHeight="1" s="60">
      <c r="A544" s="102">
        <f>"Subtotal Semana "&amp;TEXT(A537,"dd/mm/yyyy")&amp;" a "&amp;TEXT(A543,"dd/mm/yyyy")</f>
        <v/>
      </c>
      <c r="B544" s="90">
        <f>SUM(B537:B543)</f>
        <v/>
      </c>
      <c r="C544" s="90">
        <f>SUM(C537:C543)</f>
        <v/>
      </c>
      <c r="D544" s="94" t="n"/>
      <c r="E544" s="94" t="n"/>
      <c r="F544" s="90">
        <f>B544+C544</f>
        <v/>
      </c>
    </row>
    <row r="545" ht="12.75" customHeight="1" s="60">
      <c r="A545" s="75" t="n">
        <v>46497</v>
      </c>
      <c r="B545" s="77">
        <f>SUMIFS(Report!$U:$U,Report!$T:$T,"&lt;&gt;"&amp;"MERCADORIAS P/REVENDA",Report!$AA:$AA,"SIM",Report!$C:$C,A545)</f>
        <v/>
      </c>
      <c r="C545" s="77">
        <f>SUMIFS(Report!$U:$U,Report!$T:$T,"MERCADORIAS P/REVENDA",Report!$AA:$AA,"SIM",Report!$C:$C,A545)</f>
        <v/>
      </c>
      <c r="F545" s="77">
        <f>B545+C545</f>
        <v/>
      </c>
    </row>
    <row r="546" ht="12.75" customHeight="1" s="60">
      <c r="A546" s="75" t="n">
        <v>46498</v>
      </c>
      <c r="B546" s="77">
        <f>SUMIFS(Report!$U:$U,Report!$T:$T,"&lt;&gt;"&amp;"MERCADORIAS P/REVENDA",Report!$AA:$AA,"SIM",Report!$C:$C,A546)</f>
        <v/>
      </c>
      <c r="C546" s="77">
        <f>SUMIFS(Report!$U:$U,Report!$T:$T,"MERCADORIAS P/REVENDA",Report!$AA:$AA,"SIM",Report!$C:$C,A546)</f>
        <v/>
      </c>
      <c r="F546" s="77">
        <f>B546+C546</f>
        <v/>
      </c>
    </row>
    <row r="547" ht="12.75" customHeight="1" s="60">
      <c r="A547" s="75" t="n">
        <v>46499</v>
      </c>
      <c r="B547" s="77">
        <f>SUMIFS(Report!$U:$U,Report!$T:$T,"&lt;&gt;"&amp;"MERCADORIAS P/REVENDA",Report!$AA:$AA,"SIM",Report!$C:$C,A547)</f>
        <v/>
      </c>
      <c r="C547" s="77">
        <f>SUMIFS(Report!$U:$U,Report!$T:$T,"MERCADORIAS P/REVENDA",Report!$AA:$AA,"SIM",Report!$C:$C,A547)</f>
        <v/>
      </c>
      <c r="F547" s="77">
        <f>B547+C547</f>
        <v/>
      </c>
    </row>
    <row r="548" ht="12.75" customHeight="1" s="60">
      <c r="A548" s="75" t="n">
        <v>46500</v>
      </c>
      <c r="B548" s="77">
        <f>SUMIFS(Report!$U:$U,Report!$T:$T,"&lt;&gt;"&amp;"MERCADORIAS P/REVENDA",Report!$AA:$AA,"SIM",Report!$C:$C,A548)</f>
        <v/>
      </c>
      <c r="C548" s="77">
        <f>SUMIFS(Report!$U:$U,Report!$T:$T,"MERCADORIAS P/REVENDA",Report!$AA:$AA,"SIM",Report!$C:$C,A548)</f>
        <v/>
      </c>
      <c r="F548" s="77">
        <f>B548+C548</f>
        <v/>
      </c>
    </row>
    <row r="549" ht="12.75" customHeight="1" s="60">
      <c r="A549" s="99" t="n">
        <v>46501</v>
      </c>
      <c r="B549" s="100">
        <f>SUMIFS(Report!$U:$U,Report!$T:$T,"&lt;&gt;"&amp;"MERCADORIAS P/REVENDA",Report!$AA:$AA,"SIM",Report!$C:$C,A549)</f>
        <v/>
      </c>
      <c r="C549" s="100">
        <f>SUMIFS(Report!$U:$U,Report!$T:$T,"MERCADORIAS P/REVENDA",Report!$AA:$AA,"SIM",Report!$C:$C,A549)</f>
        <v/>
      </c>
      <c r="D549" s="101" t="n"/>
      <c r="E549" s="101" t="n"/>
      <c r="F549" s="100">
        <f>B549+C549</f>
        <v/>
      </c>
    </row>
    <row r="550" ht="12.75" customHeight="1" s="60">
      <c r="A550" s="99" t="n">
        <v>46502</v>
      </c>
      <c r="B550" s="100">
        <f>SUMIFS(Report!$U:$U,Report!$T:$T,"&lt;&gt;"&amp;"MERCADORIAS P/REVENDA",Report!$AA:$AA,"SIM",Report!$C:$C,A550)</f>
        <v/>
      </c>
      <c r="C550" s="100">
        <f>SUMIFS(Report!$U:$U,Report!$T:$T,"MERCADORIAS P/REVENDA",Report!$AA:$AA,"SIM",Report!$C:$C,A550)</f>
        <v/>
      </c>
      <c r="D550" s="101" t="n"/>
      <c r="E550" s="101" t="n"/>
      <c r="F550" s="100">
        <f>B550+C550</f>
        <v/>
      </c>
    </row>
    <row r="551" ht="12.75" customHeight="1" s="60">
      <c r="A551" s="99" t="n">
        <v>46503</v>
      </c>
      <c r="B551" s="100">
        <f>SUMIFS(Report!$U:$U,Report!$T:$T,"&lt;&gt;"&amp;"MERCADORIAS P/REVENDA",Report!$AA:$AA,"SIM",Report!$C:$C,A551)</f>
        <v/>
      </c>
      <c r="C551" s="100">
        <f>SUMIFS(Report!$U:$U,Report!$T:$T,"MERCADORIAS P/REVENDA",Report!$AA:$AA,"SIM",Report!$C:$C,A551)</f>
        <v/>
      </c>
      <c r="D551" s="101" t="n"/>
      <c r="E551" s="101" t="n"/>
      <c r="F551" s="100">
        <f>B551+C551</f>
        <v/>
      </c>
    </row>
    <row r="552" ht="12.75" customHeight="1" s="60">
      <c r="A552" s="102">
        <f>"Subtotal Semana "&amp;TEXT(A545,"dd/mm/yyyy")&amp;" a "&amp;TEXT(A551,"dd/mm/yyyy")</f>
        <v/>
      </c>
      <c r="B552" s="90">
        <f>SUM(B545:B551)</f>
        <v/>
      </c>
      <c r="C552" s="90">
        <f>SUM(C545:C551)</f>
        <v/>
      </c>
      <c r="D552" s="94" t="n"/>
      <c r="E552" s="94" t="n"/>
      <c r="F552" s="90">
        <f>B552+C552</f>
        <v/>
      </c>
    </row>
    <row r="553" ht="12.75" customHeight="1" s="60">
      <c r="A553" s="75" t="n">
        <v>46504</v>
      </c>
      <c r="B553" s="77">
        <f>SUMIFS(Report!$U:$U,Report!$T:$T,"&lt;&gt;"&amp;"MERCADORIAS P/REVENDA",Report!$AA:$AA,"SIM",Report!$C:$C,A553)</f>
        <v/>
      </c>
      <c r="C553" s="77">
        <f>SUMIFS(Report!$U:$U,Report!$T:$T,"MERCADORIAS P/REVENDA",Report!$AA:$AA,"SIM",Report!$C:$C,A553)</f>
        <v/>
      </c>
      <c r="F553" s="77">
        <f>B553+C553</f>
        <v/>
      </c>
    </row>
    <row r="554" ht="12.75" customHeight="1" s="60">
      <c r="A554" s="75" t="n">
        <v>46505</v>
      </c>
      <c r="B554" s="77">
        <f>SUMIFS(Report!$U:$U,Report!$T:$T,"&lt;&gt;"&amp;"MERCADORIAS P/REVENDA",Report!$AA:$AA,"SIM",Report!$C:$C,A554)</f>
        <v/>
      </c>
      <c r="C554" s="77">
        <f>SUMIFS(Report!$U:$U,Report!$T:$T,"MERCADORIAS P/REVENDA",Report!$AA:$AA,"SIM",Report!$C:$C,A554)</f>
        <v/>
      </c>
      <c r="F554" s="77">
        <f>B554+C554</f>
        <v/>
      </c>
    </row>
    <row r="555" ht="12.75" customHeight="1" s="60">
      <c r="A555" s="75" t="n">
        <v>46506</v>
      </c>
      <c r="B555" s="77">
        <f>SUMIFS(Report!$U:$U,Report!$T:$T,"&lt;&gt;"&amp;"MERCADORIAS P/REVENDA",Report!$AA:$AA,"SIM",Report!$C:$C,A555)</f>
        <v/>
      </c>
      <c r="C555" s="77">
        <f>SUMIFS(Report!$U:$U,Report!$T:$T,"MERCADORIAS P/REVENDA",Report!$AA:$AA,"SIM",Report!$C:$C,A555)</f>
        <v/>
      </c>
      <c r="F555" s="77">
        <f>B555+C555</f>
        <v/>
      </c>
    </row>
    <row r="556" ht="12.75" customHeight="1" s="60">
      <c r="A556" s="75" t="n">
        <v>46507</v>
      </c>
      <c r="B556" s="77">
        <f>SUMIFS(Report!$U:$U,Report!$T:$T,"&lt;&gt;"&amp;"MERCADORIAS P/REVENDA",Report!$AA:$AA,"SIM",Report!$C:$C,A556)</f>
        <v/>
      </c>
      <c r="C556" s="77">
        <f>SUMIFS(Report!$U:$U,Report!$T:$T,"MERCADORIAS P/REVENDA",Report!$AA:$AA,"SIM",Report!$C:$C,A556)</f>
        <v/>
      </c>
      <c r="F556" s="77">
        <f>B556+C556</f>
        <v/>
      </c>
    </row>
    <row r="557" ht="12.75" customHeight="1" s="60">
      <c r="A557" s="99" t="n">
        <v>46508</v>
      </c>
      <c r="B557" s="100">
        <f>SUMIFS(Report!$U:$U,Report!$T:$T,"&lt;&gt;"&amp;"MERCADORIAS P/REVENDA",Report!$AA:$AA,"SIM",Report!$C:$C,A557)</f>
        <v/>
      </c>
      <c r="C557" s="100">
        <f>SUMIFS(Report!$U:$U,Report!$T:$T,"MERCADORIAS P/REVENDA",Report!$AA:$AA,"SIM",Report!$C:$C,A557)</f>
        <v/>
      </c>
      <c r="D557" s="101" t="n"/>
      <c r="E557" s="101" t="n"/>
      <c r="F557" s="100">
        <f>B557+C557</f>
        <v/>
      </c>
    </row>
    <row r="558" ht="12.75" customHeight="1" s="60">
      <c r="A558" s="99" t="n">
        <v>46509</v>
      </c>
      <c r="B558" s="100">
        <f>SUMIFS(Report!$U:$U,Report!$T:$T,"&lt;&gt;"&amp;"MERCADORIAS P/REVENDA",Report!$AA:$AA,"SIM",Report!$C:$C,A558)</f>
        <v/>
      </c>
      <c r="C558" s="100">
        <f>SUMIFS(Report!$U:$U,Report!$T:$T,"MERCADORIAS P/REVENDA",Report!$AA:$AA,"SIM",Report!$C:$C,A558)</f>
        <v/>
      </c>
      <c r="D558" s="101" t="n"/>
      <c r="E558" s="101" t="n"/>
      <c r="F558" s="100">
        <f>B558+C558</f>
        <v/>
      </c>
    </row>
    <row r="559" ht="12.75" customHeight="1" s="60">
      <c r="A559" s="99" t="n">
        <v>46510</v>
      </c>
      <c r="B559" s="100">
        <f>SUMIFS(Report!$U:$U,Report!$T:$T,"&lt;&gt;"&amp;"MERCADORIAS P/REVENDA",Report!$AA:$AA,"SIM",Report!$C:$C,A559)</f>
        <v/>
      </c>
      <c r="C559" s="100">
        <f>SUMIFS(Report!$U:$U,Report!$T:$T,"MERCADORIAS P/REVENDA",Report!$AA:$AA,"SIM",Report!$C:$C,A559)</f>
        <v/>
      </c>
      <c r="D559" s="101" t="n"/>
      <c r="E559" s="101" t="n"/>
      <c r="F559" s="100">
        <f>B559+C559</f>
        <v/>
      </c>
    </row>
    <row r="560" ht="12.75" customHeight="1" s="60">
      <c r="A560" s="102">
        <f>"Subtotal Semana "&amp;TEXT(A553,"dd/mm/yyyy")&amp;" a "&amp;TEXT(A559,"dd/mm/yyyy")</f>
        <v/>
      </c>
      <c r="B560" s="90">
        <f>SUM(B553:B559)</f>
        <v/>
      </c>
      <c r="C560" s="90">
        <f>SUM(C553:C559)</f>
        <v/>
      </c>
      <c r="D560" s="94" t="n"/>
      <c r="E560" s="94" t="n"/>
      <c r="F560" s="90">
        <f>B560+C560</f>
        <v/>
      </c>
    </row>
    <row r="561" ht="12.75" customHeight="1" s="60">
      <c r="A561" s="75" t="n">
        <v>46511</v>
      </c>
      <c r="B561" s="77">
        <f>SUMIFS(Report!$U:$U,Report!$T:$T,"&lt;&gt;"&amp;"MERCADORIAS P/REVENDA",Report!$AA:$AA,"SIM",Report!$C:$C,A561)</f>
        <v/>
      </c>
      <c r="C561" s="77">
        <f>SUMIFS(Report!$U:$U,Report!$T:$T,"MERCADORIAS P/REVENDA",Report!$AA:$AA,"SIM",Report!$C:$C,A561)</f>
        <v/>
      </c>
      <c r="F561" s="77">
        <f>B561+C561</f>
        <v/>
      </c>
    </row>
    <row r="562" ht="12.75" customHeight="1" s="60">
      <c r="A562" s="75" t="n">
        <v>46512</v>
      </c>
      <c r="B562" s="77">
        <f>SUMIFS(Report!$U:$U,Report!$T:$T,"&lt;&gt;"&amp;"MERCADORIAS P/REVENDA",Report!$AA:$AA,"SIM",Report!$C:$C,A562)</f>
        <v/>
      </c>
      <c r="C562" s="77">
        <f>SUMIFS(Report!$U:$U,Report!$T:$T,"MERCADORIAS P/REVENDA",Report!$AA:$AA,"SIM",Report!$C:$C,A562)</f>
        <v/>
      </c>
      <c r="F562" s="77">
        <f>B562+C562</f>
        <v/>
      </c>
    </row>
    <row r="563" ht="12.75" customHeight="1" s="60">
      <c r="A563" s="75" t="n">
        <v>46513</v>
      </c>
      <c r="B563" s="77">
        <f>SUMIFS(Report!$U:$U,Report!$T:$T,"&lt;&gt;"&amp;"MERCADORIAS P/REVENDA",Report!$AA:$AA,"SIM",Report!$C:$C,A563)</f>
        <v/>
      </c>
      <c r="C563" s="77">
        <f>SUMIFS(Report!$U:$U,Report!$T:$T,"MERCADORIAS P/REVENDA",Report!$AA:$AA,"SIM",Report!$C:$C,A563)</f>
        <v/>
      </c>
      <c r="F563" s="77">
        <f>B563+C563</f>
        <v/>
      </c>
    </row>
    <row r="564" ht="12.75" customHeight="1" s="60">
      <c r="A564" s="75" t="n">
        <v>46514</v>
      </c>
      <c r="B564" s="77">
        <f>SUMIFS(Report!$U:$U,Report!$T:$T,"&lt;&gt;"&amp;"MERCADORIAS P/REVENDA",Report!$AA:$AA,"SIM",Report!$C:$C,A564)</f>
        <v/>
      </c>
      <c r="C564" s="77">
        <f>SUMIFS(Report!$U:$U,Report!$T:$T,"MERCADORIAS P/REVENDA",Report!$AA:$AA,"SIM",Report!$C:$C,A564)</f>
        <v/>
      </c>
      <c r="F564" s="77">
        <f>B564+C564</f>
        <v/>
      </c>
    </row>
    <row r="565" ht="12.75" customHeight="1" s="60">
      <c r="A565" s="99" t="n">
        <v>46515</v>
      </c>
      <c r="B565" s="100">
        <f>SUMIFS(Report!$U:$U,Report!$T:$T,"&lt;&gt;"&amp;"MERCADORIAS P/REVENDA",Report!$AA:$AA,"SIM",Report!$C:$C,A565)</f>
        <v/>
      </c>
      <c r="C565" s="100">
        <f>SUMIFS(Report!$U:$U,Report!$T:$T,"MERCADORIAS P/REVENDA",Report!$AA:$AA,"SIM",Report!$C:$C,A565)</f>
        <v/>
      </c>
      <c r="D565" s="101" t="n"/>
      <c r="E565" s="101" t="n"/>
      <c r="F565" s="100">
        <f>B565+C565</f>
        <v/>
      </c>
    </row>
    <row r="566" ht="12.75" customHeight="1" s="60">
      <c r="A566" s="99" t="n">
        <v>46516</v>
      </c>
      <c r="B566" s="100">
        <f>SUMIFS(Report!$U:$U,Report!$T:$T,"&lt;&gt;"&amp;"MERCADORIAS P/REVENDA",Report!$AA:$AA,"SIM",Report!$C:$C,A566)</f>
        <v/>
      </c>
      <c r="C566" s="100">
        <f>SUMIFS(Report!$U:$U,Report!$T:$T,"MERCADORIAS P/REVENDA",Report!$AA:$AA,"SIM",Report!$C:$C,A566)</f>
        <v/>
      </c>
      <c r="D566" s="101" t="n"/>
      <c r="E566" s="101" t="n"/>
      <c r="F566" s="100">
        <f>B566+C566</f>
        <v/>
      </c>
    </row>
    <row r="567" ht="12.75" customHeight="1" s="60">
      <c r="A567" s="99" t="n">
        <v>46517</v>
      </c>
      <c r="B567" s="100">
        <f>SUMIFS(Report!$U:$U,Report!$T:$T,"&lt;&gt;"&amp;"MERCADORIAS P/REVENDA",Report!$AA:$AA,"SIM",Report!$C:$C,A567)</f>
        <v/>
      </c>
      <c r="C567" s="100">
        <f>SUMIFS(Report!$U:$U,Report!$T:$T,"MERCADORIAS P/REVENDA",Report!$AA:$AA,"SIM",Report!$C:$C,A567)</f>
        <v/>
      </c>
      <c r="D567" s="101" t="n"/>
      <c r="E567" s="101" t="n"/>
      <c r="F567" s="100">
        <f>B567+C567</f>
        <v/>
      </c>
    </row>
    <row r="568" ht="12.75" customHeight="1" s="60">
      <c r="A568" s="102">
        <f>"Subtotal Semana "&amp;TEXT(A561,"dd/mm/yyyy")&amp;" a "&amp;TEXT(A567,"dd/mm/yyyy")</f>
        <v/>
      </c>
      <c r="B568" s="90">
        <f>SUM(B561:B567)</f>
        <v/>
      </c>
      <c r="C568" s="90">
        <f>SUM(C561:C567)</f>
        <v/>
      </c>
      <c r="D568" s="94" t="n"/>
      <c r="E568" s="94" t="n"/>
      <c r="F568" s="90">
        <f>B568+C568</f>
        <v/>
      </c>
    </row>
    <row r="569" ht="12.75" customHeight="1" s="60">
      <c r="A569" s="75" t="n">
        <v>46518</v>
      </c>
      <c r="B569" s="77">
        <f>SUMIFS(Report!$U:$U,Report!$T:$T,"&lt;&gt;"&amp;"MERCADORIAS P/REVENDA",Report!$AA:$AA,"SIM",Report!$C:$C,A569)</f>
        <v/>
      </c>
      <c r="C569" s="77">
        <f>SUMIFS(Report!$U:$U,Report!$T:$T,"MERCADORIAS P/REVENDA",Report!$AA:$AA,"SIM",Report!$C:$C,A569)</f>
        <v/>
      </c>
      <c r="F569" s="77">
        <f>B569+C569</f>
        <v/>
      </c>
    </row>
    <row r="570" ht="12.75" customHeight="1" s="60">
      <c r="A570" s="75" t="n">
        <v>46519</v>
      </c>
      <c r="B570" s="77">
        <f>SUMIFS(Report!$U:$U,Report!$T:$T,"&lt;&gt;"&amp;"MERCADORIAS P/REVENDA",Report!$AA:$AA,"SIM",Report!$C:$C,A570)</f>
        <v/>
      </c>
      <c r="C570" s="77">
        <f>SUMIFS(Report!$U:$U,Report!$T:$T,"MERCADORIAS P/REVENDA",Report!$AA:$AA,"SIM",Report!$C:$C,A570)</f>
        <v/>
      </c>
      <c r="F570" s="77">
        <f>B570+C570</f>
        <v/>
      </c>
    </row>
    <row r="571" ht="12.75" customHeight="1" s="60">
      <c r="A571" s="75" t="n">
        <v>46520</v>
      </c>
      <c r="B571" s="77">
        <f>SUMIFS(Report!$U:$U,Report!$T:$T,"&lt;&gt;"&amp;"MERCADORIAS P/REVENDA",Report!$AA:$AA,"SIM",Report!$C:$C,A571)</f>
        <v/>
      </c>
      <c r="C571" s="77">
        <f>SUMIFS(Report!$U:$U,Report!$T:$T,"MERCADORIAS P/REVENDA",Report!$AA:$AA,"SIM",Report!$C:$C,A571)</f>
        <v/>
      </c>
      <c r="F571" s="77">
        <f>B571+C571</f>
        <v/>
      </c>
    </row>
    <row r="572" ht="12.75" customHeight="1" s="60">
      <c r="A572" s="75" t="n">
        <v>46521</v>
      </c>
      <c r="B572" s="77">
        <f>SUMIFS(Report!$U:$U,Report!$T:$T,"&lt;&gt;"&amp;"MERCADORIAS P/REVENDA",Report!$AA:$AA,"SIM",Report!$C:$C,A572)</f>
        <v/>
      </c>
      <c r="C572" s="77">
        <f>SUMIFS(Report!$U:$U,Report!$T:$T,"MERCADORIAS P/REVENDA",Report!$AA:$AA,"SIM",Report!$C:$C,A572)</f>
        <v/>
      </c>
      <c r="F572" s="77">
        <f>B572+C572</f>
        <v/>
      </c>
    </row>
    <row r="573" ht="12.75" customHeight="1" s="60">
      <c r="A573" s="99" t="n">
        <v>46522</v>
      </c>
      <c r="B573" s="100">
        <f>SUMIFS(Report!$U:$U,Report!$T:$T,"&lt;&gt;"&amp;"MERCADORIAS P/REVENDA",Report!$AA:$AA,"SIM",Report!$C:$C,A573)</f>
        <v/>
      </c>
      <c r="C573" s="100">
        <f>SUMIFS(Report!$U:$U,Report!$T:$T,"MERCADORIAS P/REVENDA",Report!$AA:$AA,"SIM",Report!$C:$C,A573)</f>
        <v/>
      </c>
      <c r="D573" s="101" t="n"/>
      <c r="E573" s="101" t="n"/>
      <c r="F573" s="100">
        <f>B573+C573</f>
        <v/>
      </c>
    </row>
    <row r="574" ht="12.75" customHeight="1" s="60">
      <c r="A574" s="99" t="n">
        <v>46523</v>
      </c>
      <c r="B574" s="100">
        <f>SUMIFS(Report!$U:$U,Report!$T:$T,"&lt;&gt;"&amp;"MERCADORIAS P/REVENDA",Report!$AA:$AA,"SIM",Report!$C:$C,A574)</f>
        <v/>
      </c>
      <c r="C574" s="100">
        <f>SUMIFS(Report!$U:$U,Report!$T:$T,"MERCADORIAS P/REVENDA",Report!$AA:$AA,"SIM",Report!$C:$C,A574)</f>
        <v/>
      </c>
      <c r="D574" s="101" t="n"/>
      <c r="E574" s="101" t="n"/>
      <c r="F574" s="100">
        <f>B574+C574</f>
        <v/>
      </c>
    </row>
    <row r="575" ht="12.75" customHeight="1" s="60">
      <c r="A575" s="99" t="n">
        <v>46524</v>
      </c>
      <c r="B575" s="100">
        <f>SUMIFS(Report!$U:$U,Report!$T:$T,"&lt;&gt;"&amp;"MERCADORIAS P/REVENDA",Report!$AA:$AA,"SIM",Report!$C:$C,A575)</f>
        <v/>
      </c>
      <c r="C575" s="100">
        <f>SUMIFS(Report!$U:$U,Report!$T:$T,"MERCADORIAS P/REVENDA",Report!$AA:$AA,"SIM",Report!$C:$C,A575)</f>
        <v/>
      </c>
      <c r="D575" s="101" t="n"/>
      <c r="E575" s="101" t="n"/>
      <c r="F575" s="100">
        <f>B575+C575</f>
        <v/>
      </c>
    </row>
    <row r="576" ht="12.75" customHeight="1" s="60">
      <c r="A576" s="102">
        <f>"Subtotal Semana "&amp;TEXT(A569,"dd/mm/yyyy")&amp;" a "&amp;TEXT(A575,"dd/mm/yyyy")</f>
        <v/>
      </c>
      <c r="B576" s="90">
        <f>SUM(B569:B575)</f>
        <v/>
      </c>
      <c r="C576" s="90">
        <f>SUM(C569:C575)</f>
        <v/>
      </c>
      <c r="D576" s="94" t="n"/>
      <c r="E576" s="94" t="n"/>
      <c r="F576" s="90">
        <f>B576+C576</f>
        <v/>
      </c>
    </row>
    <row r="577" ht="12.75" customHeight="1" s="60">
      <c r="A577" s="75" t="n">
        <v>46525</v>
      </c>
      <c r="B577" s="77">
        <f>SUMIFS(Report!$U:$U,Report!$T:$T,"&lt;&gt;"&amp;"MERCADORIAS P/REVENDA",Report!$AA:$AA,"SIM",Report!$C:$C,A577)</f>
        <v/>
      </c>
      <c r="C577" s="77">
        <f>SUMIFS(Report!$U:$U,Report!$T:$T,"MERCADORIAS P/REVENDA",Report!$AA:$AA,"SIM",Report!$C:$C,A577)</f>
        <v/>
      </c>
      <c r="F577" s="77">
        <f>B577+C577</f>
        <v/>
      </c>
    </row>
    <row r="578" ht="12.75" customHeight="1" s="60">
      <c r="A578" s="75" t="n">
        <v>46526</v>
      </c>
      <c r="B578" s="77">
        <f>SUMIFS(Report!$U:$U,Report!$T:$T,"&lt;&gt;"&amp;"MERCADORIAS P/REVENDA",Report!$AA:$AA,"SIM",Report!$C:$C,A578)</f>
        <v/>
      </c>
      <c r="C578" s="77">
        <f>SUMIFS(Report!$U:$U,Report!$T:$T,"MERCADORIAS P/REVENDA",Report!$AA:$AA,"SIM",Report!$C:$C,A578)</f>
        <v/>
      </c>
      <c r="F578" s="77">
        <f>B578+C578</f>
        <v/>
      </c>
    </row>
    <row r="579" ht="12.75" customHeight="1" s="60">
      <c r="A579" s="75" t="n">
        <v>46527</v>
      </c>
      <c r="B579" s="77">
        <f>SUMIFS(Report!$U:$U,Report!$T:$T,"&lt;&gt;"&amp;"MERCADORIAS P/REVENDA",Report!$AA:$AA,"SIM",Report!$C:$C,A579)</f>
        <v/>
      </c>
      <c r="C579" s="77">
        <f>SUMIFS(Report!$U:$U,Report!$T:$T,"MERCADORIAS P/REVENDA",Report!$AA:$AA,"SIM",Report!$C:$C,A579)</f>
        <v/>
      </c>
      <c r="F579" s="77">
        <f>B579+C579</f>
        <v/>
      </c>
    </row>
    <row r="580" ht="12.75" customHeight="1" s="60">
      <c r="A580" s="75" t="n">
        <v>46528</v>
      </c>
      <c r="B580" s="77">
        <f>SUMIFS(Report!$U:$U,Report!$T:$T,"&lt;&gt;"&amp;"MERCADORIAS P/REVENDA",Report!$AA:$AA,"SIM",Report!$C:$C,A580)</f>
        <v/>
      </c>
      <c r="C580" s="77">
        <f>SUMIFS(Report!$U:$U,Report!$T:$T,"MERCADORIAS P/REVENDA",Report!$AA:$AA,"SIM",Report!$C:$C,A580)</f>
        <v/>
      </c>
      <c r="F580" s="77">
        <f>B580+C580</f>
        <v/>
      </c>
    </row>
    <row r="581" ht="12.75" customHeight="1" s="60">
      <c r="A581" s="99" t="n">
        <v>46529</v>
      </c>
      <c r="B581" s="100">
        <f>SUMIFS(Report!$U:$U,Report!$T:$T,"&lt;&gt;"&amp;"MERCADORIAS P/REVENDA",Report!$AA:$AA,"SIM",Report!$C:$C,A581)</f>
        <v/>
      </c>
      <c r="C581" s="100">
        <f>SUMIFS(Report!$U:$U,Report!$T:$T,"MERCADORIAS P/REVENDA",Report!$AA:$AA,"SIM",Report!$C:$C,A581)</f>
        <v/>
      </c>
      <c r="D581" s="101" t="n"/>
      <c r="E581" s="101" t="n"/>
      <c r="F581" s="100">
        <f>B581+C581</f>
        <v/>
      </c>
    </row>
    <row r="582" ht="12.75" customHeight="1" s="60">
      <c r="A582" s="99" t="n">
        <v>46530</v>
      </c>
      <c r="B582" s="100">
        <f>SUMIFS(Report!$U:$U,Report!$T:$T,"&lt;&gt;"&amp;"MERCADORIAS P/REVENDA",Report!$AA:$AA,"SIM",Report!$C:$C,A582)</f>
        <v/>
      </c>
      <c r="C582" s="100">
        <f>SUMIFS(Report!$U:$U,Report!$T:$T,"MERCADORIAS P/REVENDA",Report!$AA:$AA,"SIM",Report!$C:$C,A582)</f>
        <v/>
      </c>
      <c r="D582" s="101" t="n"/>
      <c r="E582" s="101" t="n"/>
      <c r="F582" s="100">
        <f>B582+C582</f>
        <v/>
      </c>
    </row>
    <row r="583" ht="12.75" customHeight="1" s="60">
      <c r="A583" s="99" t="n">
        <v>46531</v>
      </c>
      <c r="B583" s="100">
        <f>SUMIFS(Report!$U:$U,Report!$T:$T,"&lt;&gt;"&amp;"MERCADORIAS P/REVENDA",Report!$AA:$AA,"SIM",Report!$C:$C,A583)</f>
        <v/>
      </c>
      <c r="C583" s="100">
        <f>SUMIFS(Report!$U:$U,Report!$T:$T,"MERCADORIAS P/REVENDA",Report!$AA:$AA,"SIM",Report!$C:$C,A583)</f>
        <v/>
      </c>
      <c r="D583" s="101" t="n"/>
      <c r="E583" s="101" t="n"/>
      <c r="F583" s="100">
        <f>B583+C583</f>
        <v/>
      </c>
    </row>
    <row r="584" ht="12.75" customHeight="1" s="60">
      <c r="A584" s="102">
        <f>"Subtotal Semana "&amp;TEXT(A577,"dd/mm/yyyy")&amp;" a "&amp;TEXT(A583,"dd/mm/yyyy")</f>
        <v/>
      </c>
      <c r="B584" s="90">
        <f>SUM(B577:B583)</f>
        <v/>
      </c>
      <c r="C584" s="90">
        <f>SUM(C577:C583)</f>
        <v/>
      </c>
      <c r="D584" s="94" t="n"/>
      <c r="E584" s="94" t="n"/>
      <c r="F584" s="90">
        <f>B584+C584</f>
        <v/>
      </c>
    </row>
    <row r="585" ht="12.75" customHeight="1" s="60">
      <c r="A585" s="75" t="n">
        <v>46532</v>
      </c>
      <c r="B585" s="77">
        <f>SUMIFS(Report!$U:$U,Report!$T:$T,"&lt;&gt;"&amp;"MERCADORIAS P/REVENDA",Report!$AA:$AA,"SIM",Report!$C:$C,A585)</f>
        <v/>
      </c>
      <c r="C585" s="77">
        <f>SUMIFS(Report!$U:$U,Report!$T:$T,"MERCADORIAS P/REVENDA",Report!$AA:$AA,"SIM",Report!$C:$C,A585)</f>
        <v/>
      </c>
      <c r="F585" s="77">
        <f>B585+C585</f>
        <v/>
      </c>
    </row>
    <row r="586" ht="12.75" customHeight="1" s="60">
      <c r="A586" s="75" t="n">
        <v>46533</v>
      </c>
      <c r="B586" s="77">
        <f>SUMIFS(Report!$U:$U,Report!$T:$T,"&lt;&gt;"&amp;"MERCADORIAS P/REVENDA",Report!$AA:$AA,"SIM",Report!$C:$C,A586)</f>
        <v/>
      </c>
      <c r="C586" s="77">
        <f>SUMIFS(Report!$U:$U,Report!$T:$T,"MERCADORIAS P/REVENDA",Report!$AA:$AA,"SIM",Report!$C:$C,A586)</f>
        <v/>
      </c>
      <c r="F586" s="77">
        <f>B586+C586</f>
        <v/>
      </c>
    </row>
    <row r="587" ht="12.75" customHeight="1" s="60">
      <c r="A587" s="75" t="n">
        <v>46534</v>
      </c>
      <c r="B587" s="77">
        <f>SUMIFS(Report!$U:$U,Report!$T:$T,"&lt;&gt;"&amp;"MERCADORIAS P/REVENDA",Report!$AA:$AA,"SIM",Report!$C:$C,A587)</f>
        <v/>
      </c>
      <c r="C587" s="77">
        <f>SUMIFS(Report!$U:$U,Report!$T:$T,"MERCADORIAS P/REVENDA",Report!$AA:$AA,"SIM",Report!$C:$C,A587)</f>
        <v/>
      </c>
      <c r="F587" s="77">
        <f>B587+C587</f>
        <v/>
      </c>
    </row>
    <row r="588" ht="12.75" customHeight="1" s="60">
      <c r="A588" s="75" t="n">
        <v>46535</v>
      </c>
      <c r="B588" s="77">
        <f>SUMIFS(Report!$U:$U,Report!$T:$T,"&lt;&gt;"&amp;"MERCADORIAS P/REVENDA",Report!$AA:$AA,"SIM",Report!$C:$C,A588)</f>
        <v/>
      </c>
      <c r="C588" s="77">
        <f>SUMIFS(Report!$U:$U,Report!$T:$T,"MERCADORIAS P/REVENDA",Report!$AA:$AA,"SIM",Report!$C:$C,A588)</f>
        <v/>
      </c>
      <c r="F588" s="77">
        <f>B588+C588</f>
        <v/>
      </c>
    </row>
    <row r="589" ht="12.75" customHeight="1" s="60">
      <c r="A589" s="99" t="n">
        <v>46536</v>
      </c>
      <c r="B589" s="100">
        <f>SUMIFS(Report!$U:$U,Report!$T:$T,"&lt;&gt;"&amp;"MERCADORIAS P/REVENDA",Report!$AA:$AA,"SIM",Report!$C:$C,A589)</f>
        <v/>
      </c>
      <c r="C589" s="100">
        <f>SUMIFS(Report!$U:$U,Report!$T:$T,"MERCADORIAS P/REVENDA",Report!$AA:$AA,"SIM",Report!$C:$C,A589)</f>
        <v/>
      </c>
      <c r="D589" s="101" t="n"/>
      <c r="E589" s="101" t="n"/>
      <c r="F589" s="100">
        <f>B589+C589</f>
        <v/>
      </c>
    </row>
    <row r="590" ht="12.75" customHeight="1" s="60">
      <c r="A590" s="99" t="n">
        <v>46537</v>
      </c>
      <c r="B590" s="100">
        <f>SUMIFS(Report!$U:$U,Report!$T:$T,"&lt;&gt;"&amp;"MERCADORIAS P/REVENDA",Report!$AA:$AA,"SIM",Report!$C:$C,A590)</f>
        <v/>
      </c>
      <c r="C590" s="100">
        <f>SUMIFS(Report!$U:$U,Report!$T:$T,"MERCADORIAS P/REVENDA",Report!$AA:$AA,"SIM",Report!$C:$C,A590)</f>
        <v/>
      </c>
      <c r="D590" s="101" t="n"/>
      <c r="E590" s="101" t="n"/>
      <c r="F590" s="100">
        <f>B590+C590</f>
        <v/>
      </c>
    </row>
    <row r="591" ht="12.75" customHeight="1" s="60">
      <c r="A591" s="99" t="n">
        <v>46538</v>
      </c>
      <c r="B591" s="100">
        <f>SUMIFS(Report!$U:$U,Report!$T:$T,"&lt;&gt;"&amp;"MERCADORIAS P/REVENDA",Report!$AA:$AA,"SIM",Report!$C:$C,A591)</f>
        <v/>
      </c>
      <c r="C591" s="100">
        <f>SUMIFS(Report!$U:$U,Report!$T:$T,"MERCADORIAS P/REVENDA",Report!$AA:$AA,"SIM",Report!$C:$C,A591)</f>
        <v/>
      </c>
      <c r="D591" s="101" t="n"/>
      <c r="E591" s="101" t="n"/>
      <c r="F591" s="100">
        <f>B591+C591</f>
        <v/>
      </c>
    </row>
    <row r="592" ht="12.75" customHeight="1" s="60">
      <c r="A592" s="102">
        <f>"Subtotal Semana "&amp;TEXT(A585,"dd/mm/yyyy")&amp;" a "&amp;TEXT(A591,"dd/mm/yyyy")</f>
        <v/>
      </c>
      <c r="B592" s="90">
        <f>SUM(B585:B591)</f>
        <v/>
      </c>
      <c r="C592" s="90">
        <f>SUM(C585:C591)</f>
        <v/>
      </c>
      <c r="D592" s="94" t="n"/>
      <c r="E592" s="94" t="n"/>
      <c r="F592" s="90">
        <f>B592+C592</f>
        <v/>
      </c>
    </row>
    <row r="593" ht="12.75" customHeight="1" s="60">
      <c r="A593" s="75" t="n">
        <v>46539</v>
      </c>
      <c r="B593" s="77">
        <f>SUMIFS(Report!$U:$U,Report!$T:$T,"&lt;&gt;"&amp;"MERCADORIAS P/REVENDA",Report!$AA:$AA,"SIM",Report!$C:$C,A593)</f>
        <v/>
      </c>
      <c r="C593" s="77">
        <f>SUMIFS(Report!$U:$U,Report!$T:$T,"MERCADORIAS P/REVENDA",Report!$AA:$AA,"SIM",Report!$C:$C,A593)</f>
        <v/>
      </c>
      <c r="F593" s="77">
        <f>B593+C593</f>
        <v/>
      </c>
    </row>
    <row r="594" ht="12.75" customHeight="1" s="60">
      <c r="A594" s="75" t="n">
        <v>46540</v>
      </c>
      <c r="B594" s="77">
        <f>SUMIFS(Report!$U:$U,Report!$T:$T,"&lt;&gt;"&amp;"MERCADORIAS P/REVENDA",Report!$AA:$AA,"SIM",Report!$C:$C,A594)</f>
        <v/>
      </c>
      <c r="C594" s="77">
        <f>SUMIFS(Report!$U:$U,Report!$T:$T,"MERCADORIAS P/REVENDA",Report!$AA:$AA,"SIM",Report!$C:$C,A594)</f>
        <v/>
      </c>
      <c r="F594" s="77">
        <f>B594+C594</f>
        <v/>
      </c>
    </row>
    <row r="595" ht="12.75" customHeight="1" s="60">
      <c r="A595" s="75" t="n">
        <v>46541</v>
      </c>
      <c r="B595" s="77">
        <f>SUMIFS(Report!$U:$U,Report!$T:$T,"&lt;&gt;"&amp;"MERCADORIAS P/REVENDA",Report!$AA:$AA,"SIM",Report!$C:$C,A595)</f>
        <v/>
      </c>
      <c r="C595" s="77">
        <f>SUMIFS(Report!$U:$U,Report!$T:$T,"MERCADORIAS P/REVENDA",Report!$AA:$AA,"SIM",Report!$C:$C,A595)</f>
        <v/>
      </c>
      <c r="F595" s="77">
        <f>B595+C595</f>
        <v/>
      </c>
    </row>
    <row r="596" ht="12.75" customHeight="1" s="60">
      <c r="A596" s="75" t="n">
        <v>46542</v>
      </c>
      <c r="B596" s="77">
        <f>SUMIFS(Report!$U:$U,Report!$T:$T,"&lt;&gt;"&amp;"MERCADORIAS P/REVENDA",Report!$AA:$AA,"SIM",Report!$C:$C,A596)</f>
        <v/>
      </c>
      <c r="C596" s="77">
        <f>SUMIFS(Report!$U:$U,Report!$T:$T,"MERCADORIAS P/REVENDA",Report!$AA:$AA,"SIM",Report!$C:$C,A596)</f>
        <v/>
      </c>
      <c r="F596" s="77">
        <f>B596+C596</f>
        <v/>
      </c>
    </row>
    <row r="597" ht="12.75" customHeight="1" s="60">
      <c r="A597" s="99" t="n">
        <v>46543</v>
      </c>
      <c r="B597" s="100">
        <f>SUMIFS(Report!$U:$U,Report!$T:$T,"&lt;&gt;"&amp;"MERCADORIAS P/REVENDA",Report!$AA:$AA,"SIM",Report!$C:$C,A597)</f>
        <v/>
      </c>
      <c r="C597" s="100">
        <f>SUMIFS(Report!$U:$U,Report!$T:$T,"MERCADORIAS P/REVENDA",Report!$AA:$AA,"SIM",Report!$C:$C,A597)</f>
        <v/>
      </c>
      <c r="D597" s="101" t="n"/>
      <c r="E597" s="101" t="n"/>
      <c r="F597" s="100">
        <f>B597+C597</f>
        <v/>
      </c>
    </row>
    <row r="598" ht="12.75" customHeight="1" s="60">
      <c r="A598" s="99" t="n">
        <v>46544</v>
      </c>
      <c r="B598" s="100">
        <f>SUMIFS(Report!$U:$U,Report!$T:$T,"&lt;&gt;"&amp;"MERCADORIAS P/REVENDA",Report!$AA:$AA,"SIM",Report!$C:$C,A598)</f>
        <v/>
      </c>
      <c r="C598" s="100">
        <f>SUMIFS(Report!$U:$U,Report!$T:$T,"MERCADORIAS P/REVENDA",Report!$AA:$AA,"SIM",Report!$C:$C,A598)</f>
        <v/>
      </c>
      <c r="D598" s="101" t="n"/>
      <c r="E598" s="101" t="n"/>
      <c r="F598" s="100">
        <f>B598+C598</f>
        <v/>
      </c>
    </row>
    <row r="599" ht="12.75" customHeight="1" s="60">
      <c r="A599" s="99" t="n">
        <v>46545</v>
      </c>
      <c r="B599" s="100">
        <f>SUMIFS(Report!$U:$U,Report!$T:$T,"&lt;&gt;"&amp;"MERCADORIAS P/REVENDA",Report!$AA:$AA,"SIM",Report!$C:$C,A599)</f>
        <v/>
      </c>
      <c r="C599" s="100">
        <f>SUMIFS(Report!$U:$U,Report!$T:$T,"MERCADORIAS P/REVENDA",Report!$AA:$AA,"SIM",Report!$C:$C,A599)</f>
        <v/>
      </c>
      <c r="D599" s="101" t="n"/>
      <c r="E599" s="101" t="n"/>
      <c r="F599" s="100">
        <f>B599+C599</f>
        <v/>
      </c>
    </row>
    <row r="600" ht="12.75" customHeight="1" s="60">
      <c r="A600" s="102">
        <f>"Subtotal Semana "&amp;TEXT(A593,"dd/mm/yyyy")&amp;" a "&amp;TEXT(A599,"dd/mm/yyyy")</f>
        <v/>
      </c>
      <c r="B600" s="90">
        <f>SUM(B593:B599)</f>
        <v/>
      </c>
      <c r="C600" s="90">
        <f>SUM(C593:C599)</f>
        <v/>
      </c>
      <c r="D600" s="94" t="n"/>
      <c r="E600" s="94" t="n"/>
      <c r="F600" s="90">
        <f>B600+C600</f>
        <v/>
      </c>
    </row>
    <row r="601" ht="12.75" customHeight="1" s="60">
      <c r="A601" s="75" t="n">
        <v>46546</v>
      </c>
      <c r="B601" s="77">
        <f>SUMIFS(Report!$U:$U,Report!$T:$T,"&lt;&gt;"&amp;"MERCADORIAS P/REVENDA",Report!$AA:$AA,"SIM",Report!$C:$C,A601)</f>
        <v/>
      </c>
      <c r="C601" s="77">
        <f>SUMIFS(Report!$U:$U,Report!$T:$T,"MERCADORIAS P/REVENDA",Report!$AA:$AA,"SIM",Report!$C:$C,A601)</f>
        <v/>
      </c>
      <c r="F601" s="77">
        <f>B601+C601</f>
        <v/>
      </c>
    </row>
    <row r="602" ht="12.75" customHeight="1" s="60">
      <c r="A602" s="75" t="n">
        <v>46547</v>
      </c>
      <c r="B602" s="77">
        <f>SUMIFS(Report!$U:$U,Report!$T:$T,"&lt;&gt;"&amp;"MERCADORIAS P/REVENDA",Report!$AA:$AA,"SIM",Report!$C:$C,A602)</f>
        <v/>
      </c>
      <c r="C602" s="77">
        <f>SUMIFS(Report!$U:$U,Report!$T:$T,"MERCADORIAS P/REVENDA",Report!$AA:$AA,"SIM",Report!$C:$C,A602)</f>
        <v/>
      </c>
      <c r="F602" s="77">
        <f>B602+C602</f>
        <v/>
      </c>
    </row>
    <row r="603" ht="12.75" customHeight="1" s="60">
      <c r="A603" s="75" t="n">
        <v>46548</v>
      </c>
      <c r="B603" s="77">
        <f>SUMIFS(Report!$U:$U,Report!$T:$T,"&lt;&gt;"&amp;"MERCADORIAS P/REVENDA",Report!$AA:$AA,"SIM",Report!$C:$C,A603)</f>
        <v/>
      </c>
      <c r="C603" s="77">
        <f>SUMIFS(Report!$U:$U,Report!$T:$T,"MERCADORIAS P/REVENDA",Report!$AA:$AA,"SIM",Report!$C:$C,A603)</f>
        <v/>
      </c>
      <c r="F603" s="77">
        <f>B603+C603</f>
        <v/>
      </c>
    </row>
    <row r="604" ht="12.75" customHeight="1" s="60">
      <c r="A604" s="75" t="n">
        <v>46549</v>
      </c>
      <c r="B604" s="77">
        <f>SUMIFS(Report!$U:$U,Report!$T:$T,"&lt;&gt;"&amp;"MERCADORIAS P/REVENDA",Report!$AA:$AA,"SIM",Report!$C:$C,A604)</f>
        <v/>
      </c>
      <c r="C604" s="77">
        <f>SUMIFS(Report!$U:$U,Report!$T:$T,"MERCADORIAS P/REVENDA",Report!$AA:$AA,"SIM",Report!$C:$C,A604)</f>
        <v/>
      </c>
      <c r="F604" s="77">
        <f>B604+C604</f>
        <v/>
      </c>
    </row>
    <row r="605" ht="12.75" customHeight="1" s="60">
      <c r="A605" s="99" t="n">
        <v>46550</v>
      </c>
      <c r="B605" s="100">
        <f>SUMIFS(Report!$U:$U,Report!$T:$T,"&lt;&gt;"&amp;"MERCADORIAS P/REVENDA",Report!$AA:$AA,"SIM",Report!$C:$C,A605)</f>
        <v/>
      </c>
      <c r="C605" s="100">
        <f>SUMIFS(Report!$U:$U,Report!$T:$T,"MERCADORIAS P/REVENDA",Report!$AA:$AA,"SIM",Report!$C:$C,A605)</f>
        <v/>
      </c>
      <c r="D605" s="101" t="n"/>
      <c r="E605" s="101" t="n"/>
      <c r="F605" s="100">
        <f>B605+C605</f>
        <v/>
      </c>
    </row>
    <row r="606" ht="12.75" customHeight="1" s="60">
      <c r="A606" s="99" t="n">
        <v>46551</v>
      </c>
      <c r="B606" s="100">
        <f>SUMIFS(Report!$U:$U,Report!$T:$T,"&lt;&gt;"&amp;"MERCADORIAS P/REVENDA",Report!$AA:$AA,"SIM",Report!$C:$C,A606)</f>
        <v/>
      </c>
      <c r="C606" s="100">
        <f>SUMIFS(Report!$U:$U,Report!$T:$T,"MERCADORIAS P/REVENDA",Report!$AA:$AA,"SIM",Report!$C:$C,A606)</f>
        <v/>
      </c>
      <c r="D606" s="101" t="n"/>
      <c r="E606" s="101" t="n"/>
      <c r="F606" s="100">
        <f>B606+C606</f>
        <v/>
      </c>
    </row>
    <row r="607" ht="12.75" customHeight="1" s="60">
      <c r="A607" s="99" t="n">
        <v>46552</v>
      </c>
      <c r="B607" s="100">
        <f>SUMIFS(Report!$U:$U,Report!$T:$T,"&lt;&gt;"&amp;"MERCADORIAS P/REVENDA",Report!$AA:$AA,"SIM",Report!$C:$C,A607)</f>
        <v/>
      </c>
      <c r="C607" s="100">
        <f>SUMIFS(Report!$U:$U,Report!$T:$T,"MERCADORIAS P/REVENDA",Report!$AA:$AA,"SIM",Report!$C:$C,A607)</f>
        <v/>
      </c>
      <c r="D607" s="101" t="n"/>
      <c r="E607" s="101" t="n"/>
      <c r="F607" s="100">
        <f>B607+C607</f>
        <v/>
      </c>
    </row>
    <row r="608" ht="12.75" customHeight="1" s="60">
      <c r="A608" s="102">
        <f>"Subtotal Semana "&amp;TEXT(A601,"dd/mm/yyyy")&amp;" a "&amp;TEXT(A607,"dd/mm/yyyy")</f>
        <v/>
      </c>
      <c r="B608" s="90">
        <f>SUM(B601:B607)</f>
        <v/>
      </c>
      <c r="C608" s="90">
        <f>SUM(C601:C607)</f>
        <v/>
      </c>
      <c r="D608" s="94" t="n"/>
      <c r="E608" s="94" t="n"/>
      <c r="F608" s="90">
        <f>B608+C608</f>
        <v/>
      </c>
    </row>
    <row r="609" ht="12.75" customHeight="1" s="60">
      <c r="A609" s="75" t="n">
        <v>46553</v>
      </c>
      <c r="B609" s="77">
        <f>SUMIFS(Report!$U:$U,Report!$T:$T,"&lt;&gt;"&amp;"MERCADORIAS P/REVENDA",Report!$AA:$AA,"SIM",Report!$C:$C,A609)</f>
        <v/>
      </c>
      <c r="C609" s="77">
        <f>SUMIFS(Report!$U:$U,Report!$T:$T,"MERCADORIAS P/REVENDA",Report!$AA:$AA,"SIM",Report!$C:$C,A609)</f>
        <v/>
      </c>
      <c r="F609" s="77">
        <f>B609+C609</f>
        <v/>
      </c>
    </row>
    <row r="610" ht="12.75" customHeight="1" s="60">
      <c r="A610" s="75" t="n">
        <v>46554</v>
      </c>
      <c r="B610" s="77">
        <f>SUMIFS(Report!$U:$U,Report!$T:$T,"&lt;&gt;"&amp;"MERCADORIAS P/REVENDA",Report!$AA:$AA,"SIM",Report!$C:$C,A610)</f>
        <v/>
      </c>
      <c r="C610" s="77">
        <f>SUMIFS(Report!$U:$U,Report!$T:$T,"MERCADORIAS P/REVENDA",Report!$AA:$AA,"SIM",Report!$C:$C,A610)</f>
        <v/>
      </c>
      <c r="F610" s="77">
        <f>B610+C610</f>
        <v/>
      </c>
    </row>
    <row r="611" ht="12.75" customHeight="1" s="60">
      <c r="A611" s="75" t="n">
        <v>46555</v>
      </c>
      <c r="B611" s="77">
        <f>SUMIFS(Report!$U:$U,Report!$T:$T,"&lt;&gt;"&amp;"MERCADORIAS P/REVENDA",Report!$AA:$AA,"SIM",Report!$C:$C,A611)</f>
        <v/>
      </c>
      <c r="C611" s="77">
        <f>SUMIFS(Report!$U:$U,Report!$T:$T,"MERCADORIAS P/REVENDA",Report!$AA:$AA,"SIM",Report!$C:$C,A611)</f>
        <v/>
      </c>
      <c r="F611" s="77">
        <f>B611+C611</f>
        <v/>
      </c>
    </row>
    <row r="612" ht="12.75" customHeight="1" s="60">
      <c r="A612" s="75" t="n">
        <v>46556</v>
      </c>
      <c r="B612" s="77">
        <f>SUMIFS(Report!$U:$U,Report!$T:$T,"&lt;&gt;"&amp;"MERCADORIAS P/REVENDA",Report!$AA:$AA,"SIM",Report!$C:$C,A612)</f>
        <v/>
      </c>
      <c r="C612" s="77">
        <f>SUMIFS(Report!$U:$U,Report!$T:$T,"MERCADORIAS P/REVENDA",Report!$AA:$AA,"SIM",Report!$C:$C,A612)</f>
        <v/>
      </c>
      <c r="F612" s="77">
        <f>B612+C612</f>
        <v/>
      </c>
    </row>
    <row r="613" ht="12.75" customHeight="1" s="60">
      <c r="A613" s="99" t="n">
        <v>46557</v>
      </c>
      <c r="B613" s="100">
        <f>SUMIFS(Report!$U:$U,Report!$T:$T,"&lt;&gt;"&amp;"MERCADORIAS P/REVENDA",Report!$AA:$AA,"SIM",Report!$C:$C,A613)</f>
        <v/>
      </c>
      <c r="C613" s="100">
        <f>SUMIFS(Report!$U:$U,Report!$T:$T,"MERCADORIAS P/REVENDA",Report!$AA:$AA,"SIM",Report!$C:$C,A613)</f>
        <v/>
      </c>
      <c r="D613" s="101" t="n"/>
      <c r="E613" s="101" t="n"/>
      <c r="F613" s="100">
        <f>B613+C613</f>
        <v/>
      </c>
    </row>
    <row r="614" ht="12.75" customHeight="1" s="60">
      <c r="A614" s="99" t="n">
        <v>46558</v>
      </c>
      <c r="B614" s="100">
        <f>SUMIFS(Report!$U:$U,Report!$T:$T,"&lt;&gt;"&amp;"MERCADORIAS P/REVENDA",Report!$AA:$AA,"SIM",Report!$C:$C,A614)</f>
        <v/>
      </c>
      <c r="C614" s="100">
        <f>SUMIFS(Report!$U:$U,Report!$T:$T,"MERCADORIAS P/REVENDA",Report!$AA:$AA,"SIM",Report!$C:$C,A614)</f>
        <v/>
      </c>
      <c r="D614" s="101" t="n"/>
      <c r="E614" s="101" t="n"/>
      <c r="F614" s="100">
        <f>B614+C614</f>
        <v/>
      </c>
    </row>
    <row r="615" ht="12.75" customHeight="1" s="60">
      <c r="A615" s="99" t="n">
        <v>46559</v>
      </c>
      <c r="B615" s="100">
        <f>SUMIFS(Report!$U:$U,Report!$T:$T,"&lt;&gt;"&amp;"MERCADORIAS P/REVENDA",Report!$AA:$AA,"SIM",Report!$C:$C,A615)</f>
        <v/>
      </c>
      <c r="C615" s="100">
        <f>SUMIFS(Report!$U:$U,Report!$T:$T,"MERCADORIAS P/REVENDA",Report!$AA:$AA,"SIM",Report!$C:$C,A615)</f>
        <v/>
      </c>
      <c r="D615" s="101" t="n"/>
      <c r="E615" s="101" t="n"/>
      <c r="F615" s="100">
        <f>B615+C615</f>
        <v/>
      </c>
    </row>
    <row r="616" ht="12.75" customHeight="1" s="60">
      <c r="A616" s="102">
        <f>"Subtotal Semana "&amp;TEXT(A609,"dd/mm/yyyy")&amp;" a "&amp;TEXT(A615,"dd/mm/yyyy")</f>
        <v/>
      </c>
      <c r="B616" s="90">
        <f>SUM(B609:B615)</f>
        <v/>
      </c>
      <c r="C616" s="90">
        <f>SUM(C609:C615)</f>
        <v/>
      </c>
      <c r="D616" s="94" t="n"/>
      <c r="E616" s="94" t="n"/>
      <c r="F616" s="90">
        <f>B616+C616</f>
        <v/>
      </c>
    </row>
    <row r="617" ht="12.75" customHeight="1" s="60">
      <c r="A617" s="75" t="n">
        <v>46560</v>
      </c>
      <c r="B617" s="77">
        <f>SUMIFS(Report!$U:$U,Report!$T:$T,"&lt;&gt;"&amp;"MERCADORIAS P/REVENDA",Report!$AA:$AA,"SIM",Report!$C:$C,A617)</f>
        <v/>
      </c>
      <c r="C617" s="77">
        <f>SUMIFS(Report!$U:$U,Report!$T:$T,"MERCADORIAS P/REVENDA",Report!$AA:$AA,"SIM",Report!$C:$C,A617)</f>
        <v/>
      </c>
      <c r="F617" s="77">
        <f>B617+C617</f>
        <v/>
      </c>
    </row>
    <row r="618" ht="12.75" customHeight="1" s="60">
      <c r="A618" s="75" t="n">
        <v>46561</v>
      </c>
      <c r="B618" s="77">
        <f>SUMIFS(Report!$U:$U,Report!$T:$T,"&lt;&gt;"&amp;"MERCADORIAS P/REVENDA",Report!$AA:$AA,"SIM",Report!$C:$C,A618)</f>
        <v/>
      </c>
      <c r="C618" s="77">
        <f>SUMIFS(Report!$U:$U,Report!$T:$T,"MERCADORIAS P/REVENDA",Report!$AA:$AA,"SIM",Report!$C:$C,A618)</f>
        <v/>
      </c>
      <c r="F618" s="77">
        <f>B618+C618</f>
        <v/>
      </c>
    </row>
    <row r="619" ht="12.75" customHeight="1" s="60">
      <c r="A619" s="75" t="n">
        <v>46562</v>
      </c>
      <c r="B619" s="77">
        <f>SUMIFS(Report!$U:$U,Report!$T:$T,"&lt;&gt;"&amp;"MERCADORIAS P/REVENDA",Report!$AA:$AA,"SIM",Report!$C:$C,A619)</f>
        <v/>
      </c>
      <c r="C619" s="77">
        <f>SUMIFS(Report!$U:$U,Report!$T:$T,"MERCADORIAS P/REVENDA",Report!$AA:$AA,"SIM",Report!$C:$C,A619)</f>
        <v/>
      </c>
      <c r="F619" s="77">
        <f>B619+C619</f>
        <v/>
      </c>
    </row>
    <row r="620" ht="12.75" customHeight="1" s="60">
      <c r="A620" s="75" t="n">
        <v>46563</v>
      </c>
      <c r="B620" s="77">
        <f>SUMIFS(Report!$U:$U,Report!$T:$T,"&lt;&gt;"&amp;"MERCADORIAS P/REVENDA",Report!$AA:$AA,"SIM",Report!$C:$C,A620)</f>
        <v/>
      </c>
      <c r="C620" s="77">
        <f>SUMIFS(Report!$U:$U,Report!$T:$T,"MERCADORIAS P/REVENDA",Report!$AA:$AA,"SIM",Report!$C:$C,A620)</f>
        <v/>
      </c>
      <c r="F620" s="77">
        <f>B620+C620</f>
        <v/>
      </c>
    </row>
    <row r="621" ht="12.75" customHeight="1" s="60">
      <c r="A621" s="99" t="n">
        <v>46564</v>
      </c>
      <c r="B621" s="100">
        <f>SUMIFS(Report!$U:$U,Report!$T:$T,"&lt;&gt;"&amp;"MERCADORIAS P/REVENDA",Report!$AA:$AA,"SIM",Report!$C:$C,A621)</f>
        <v/>
      </c>
      <c r="C621" s="100">
        <f>SUMIFS(Report!$U:$U,Report!$T:$T,"MERCADORIAS P/REVENDA",Report!$AA:$AA,"SIM",Report!$C:$C,A621)</f>
        <v/>
      </c>
      <c r="D621" s="101" t="n"/>
      <c r="E621" s="101" t="n"/>
      <c r="F621" s="100">
        <f>B621+C621</f>
        <v/>
      </c>
    </row>
    <row r="622" ht="12.75" customHeight="1" s="60">
      <c r="A622" s="99" t="n">
        <v>46565</v>
      </c>
      <c r="B622" s="100">
        <f>SUMIFS(Report!$U:$U,Report!$T:$T,"&lt;&gt;"&amp;"MERCADORIAS P/REVENDA",Report!$AA:$AA,"SIM",Report!$C:$C,A622)</f>
        <v/>
      </c>
      <c r="C622" s="100">
        <f>SUMIFS(Report!$U:$U,Report!$T:$T,"MERCADORIAS P/REVENDA",Report!$AA:$AA,"SIM",Report!$C:$C,A622)</f>
        <v/>
      </c>
      <c r="D622" s="101" t="n"/>
      <c r="E622" s="101" t="n"/>
      <c r="F622" s="100">
        <f>B622+C622</f>
        <v/>
      </c>
    </row>
    <row r="623" ht="12.75" customHeight="1" s="60">
      <c r="A623" s="99" t="n">
        <v>46566</v>
      </c>
      <c r="B623" s="100">
        <f>SUMIFS(Report!$U:$U,Report!$T:$T,"&lt;&gt;"&amp;"MERCADORIAS P/REVENDA",Report!$AA:$AA,"SIM",Report!$C:$C,A623)</f>
        <v/>
      </c>
      <c r="C623" s="100">
        <f>SUMIFS(Report!$U:$U,Report!$T:$T,"MERCADORIAS P/REVENDA",Report!$AA:$AA,"SIM",Report!$C:$C,A623)</f>
        <v/>
      </c>
      <c r="D623" s="101" t="n"/>
      <c r="E623" s="101" t="n"/>
      <c r="F623" s="100">
        <f>B623+C623</f>
        <v/>
      </c>
    </row>
    <row r="624" ht="12.75" customHeight="1" s="60">
      <c r="A624" s="102">
        <f>"Subtotal Semana "&amp;TEXT(A617,"dd/mm/yyyy")&amp;" a "&amp;TEXT(A623,"dd/mm/yyyy")</f>
        <v/>
      </c>
      <c r="B624" s="90">
        <f>SUM(B617:B623)</f>
        <v/>
      </c>
      <c r="C624" s="90">
        <f>SUM(C617:C623)</f>
        <v/>
      </c>
      <c r="D624" s="94" t="n"/>
      <c r="E624" s="94" t="n"/>
      <c r="F624" s="90">
        <f>B624+C624</f>
        <v/>
      </c>
    </row>
    <row r="625" ht="12.75" customHeight="1" s="60">
      <c r="A625" s="75" t="n">
        <v>46567</v>
      </c>
      <c r="B625" s="77">
        <f>SUMIFS(Report!$U:$U,Report!$T:$T,"&lt;&gt;"&amp;"MERCADORIAS P/REVENDA",Report!$AA:$AA,"SIM",Report!$C:$C,A625)</f>
        <v/>
      </c>
      <c r="C625" s="77">
        <f>SUMIFS(Report!$U:$U,Report!$T:$T,"MERCADORIAS P/REVENDA",Report!$AA:$AA,"SIM",Report!$C:$C,A625)</f>
        <v/>
      </c>
      <c r="F625" s="77">
        <f>B625+C625</f>
        <v/>
      </c>
    </row>
    <row r="626" ht="12.75" customHeight="1" s="60">
      <c r="A626" s="75" t="n">
        <v>46568</v>
      </c>
      <c r="B626" s="77">
        <f>SUMIFS(Report!$U:$U,Report!$T:$T,"&lt;&gt;"&amp;"MERCADORIAS P/REVENDA",Report!$AA:$AA,"SIM",Report!$C:$C,A626)</f>
        <v/>
      </c>
      <c r="C626" s="77">
        <f>SUMIFS(Report!$U:$U,Report!$T:$T,"MERCADORIAS P/REVENDA",Report!$AA:$AA,"SIM",Report!$C:$C,A626)</f>
        <v/>
      </c>
      <c r="F626" s="77">
        <f>B626+C626</f>
        <v/>
      </c>
    </row>
    <row r="627" ht="12.75" customHeight="1" s="60">
      <c r="A627" s="75" t="n">
        <v>46569</v>
      </c>
      <c r="B627" s="77">
        <f>SUMIFS(Report!$U:$U,Report!$T:$T,"&lt;&gt;"&amp;"MERCADORIAS P/REVENDA",Report!$AA:$AA,"SIM",Report!$C:$C,A627)</f>
        <v/>
      </c>
      <c r="C627" s="77">
        <f>SUMIFS(Report!$U:$U,Report!$T:$T,"MERCADORIAS P/REVENDA",Report!$AA:$AA,"SIM",Report!$C:$C,A627)</f>
        <v/>
      </c>
      <c r="F627" s="77">
        <f>B627+C627</f>
        <v/>
      </c>
    </row>
    <row r="628" ht="12.75" customHeight="1" s="60">
      <c r="A628" s="75" t="n">
        <v>46570</v>
      </c>
      <c r="B628" s="77">
        <f>SUMIFS(Report!$U:$U,Report!$T:$T,"&lt;&gt;"&amp;"MERCADORIAS P/REVENDA",Report!$AA:$AA,"SIM",Report!$C:$C,A628)</f>
        <v/>
      </c>
      <c r="C628" s="77">
        <f>SUMIFS(Report!$U:$U,Report!$T:$T,"MERCADORIAS P/REVENDA",Report!$AA:$AA,"SIM",Report!$C:$C,A628)</f>
        <v/>
      </c>
      <c r="F628" s="77">
        <f>B628+C628</f>
        <v/>
      </c>
    </row>
    <row r="629" ht="12.75" customHeight="1" s="60">
      <c r="A629" s="99" t="n">
        <v>46571</v>
      </c>
      <c r="B629" s="100">
        <f>SUMIFS(Report!$U:$U,Report!$T:$T,"&lt;&gt;"&amp;"MERCADORIAS P/REVENDA",Report!$AA:$AA,"SIM",Report!$C:$C,A629)</f>
        <v/>
      </c>
      <c r="C629" s="100">
        <f>SUMIFS(Report!$U:$U,Report!$T:$T,"MERCADORIAS P/REVENDA",Report!$AA:$AA,"SIM",Report!$C:$C,A629)</f>
        <v/>
      </c>
      <c r="D629" s="101" t="n"/>
      <c r="E629" s="101" t="n"/>
      <c r="F629" s="100">
        <f>B629+C629</f>
        <v/>
      </c>
    </row>
    <row r="630" ht="12.75" customHeight="1" s="60">
      <c r="A630" s="99" t="n">
        <v>46572</v>
      </c>
      <c r="B630" s="100">
        <f>SUMIFS(Report!$U:$U,Report!$T:$T,"&lt;&gt;"&amp;"MERCADORIAS P/REVENDA",Report!$AA:$AA,"SIM",Report!$C:$C,A630)</f>
        <v/>
      </c>
      <c r="C630" s="100">
        <f>SUMIFS(Report!$U:$U,Report!$T:$T,"MERCADORIAS P/REVENDA",Report!$AA:$AA,"SIM",Report!$C:$C,A630)</f>
        <v/>
      </c>
      <c r="D630" s="101" t="n"/>
      <c r="E630" s="101" t="n"/>
      <c r="F630" s="100">
        <f>B630+C630</f>
        <v/>
      </c>
    </row>
    <row r="631" ht="12.75" customHeight="1" s="60">
      <c r="A631" s="99" t="n">
        <v>46573</v>
      </c>
      <c r="B631" s="100">
        <f>SUMIFS(Report!$U:$U,Report!$T:$T,"&lt;&gt;"&amp;"MERCADORIAS P/REVENDA",Report!$AA:$AA,"SIM",Report!$C:$C,A631)</f>
        <v/>
      </c>
      <c r="C631" s="100">
        <f>SUMIFS(Report!$U:$U,Report!$T:$T,"MERCADORIAS P/REVENDA",Report!$AA:$AA,"SIM",Report!$C:$C,A631)</f>
        <v/>
      </c>
      <c r="D631" s="101" t="n"/>
      <c r="E631" s="101" t="n"/>
      <c r="F631" s="100">
        <f>B631+C631</f>
        <v/>
      </c>
    </row>
    <row r="632" ht="12.75" customHeight="1" s="60">
      <c r="A632" s="102">
        <f>"Subtotal Semana "&amp;TEXT(A625,"dd/mm/yyyy")&amp;" a "&amp;TEXT(A631,"dd/mm/yyyy")</f>
        <v/>
      </c>
      <c r="B632" s="90">
        <f>SUM(B625:B631)</f>
        <v/>
      </c>
      <c r="C632" s="90">
        <f>SUM(C625:C631)</f>
        <v/>
      </c>
      <c r="D632" s="94" t="n"/>
      <c r="E632" s="94" t="n"/>
      <c r="F632" s="90">
        <f>B632+C632</f>
        <v/>
      </c>
    </row>
    <row r="633" ht="12.75" customHeight="1" s="60">
      <c r="A633" s="75" t="n">
        <v>46574</v>
      </c>
      <c r="B633" s="77">
        <f>SUMIFS(Report!$U:$U,Report!$T:$T,"&lt;&gt;"&amp;"MERCADORIAS P/REVENDA",Report!$AA:$AA,"SIM",Report!$C:$C,A633)</f>
        <v/>
      </c>
      <c r="C633" s="77">
        <f>SUMIFS(Report!$U:$U,Report!$T:$T,"MERCADORIAS P/REVENDA",Report!$AA:$AA,"SIM",Report!$C:$C,A633)</f>
        <v/>
      </c>
      <c r="F633" s="77">
        <f>B633+C633</f>
        <v/>
      </c>
    </row>
    <row r="634" ht="12.75" customHeight="1" s="60">
      <c r="A634" s="75" t="n">
        <v>46575</v>
      </c>
      <c r="B634" s="77">
        <f>SUMIFS(Report!$U:$U,Report!$T:$T,"&lt;&gt;"&amp;"MERCADORIAS P/REVENDA",Report!$AA:$AA,"SIM",Report!$C:$C,A634)</f>
        <v/>
      </c>
      <c r="C634" s="77">
        <f>SUMIFS(Report!$U:$U,Report!$T:$T,"MERCADORIAS P/REVENDA",Report!$AA:$AA,"SIM",Report!$C:$C,A634)</f>
        <v/>
      </c>
      <c r="F634" s="77">
        <f>B634+C634</f>
        <v/>
      </c>
    </row>
    <row r="635" ht="12.75" customHeight="1" s="60">
      <c r="A635" s="75" t="n">
        <v>46576</v>
      </c>
      <c r="B635" s="77">
        <f>SUMIFS(Report!$U:$U,Report!$T:$T,"&lt;&gt;"&amp;"MERCADORIAS P/REVENDA",Report!$AA:$AA,"SIM",Report!$C:$C,A635)</f>
        <v/>
      </c>
      <c r="C635" s="77">
        <f>SUMIFS(Report!$U:$U,Report!$T:$T,"MERCADORIAS P/REVENDA",Report!$AA:$AA,"SIM",Report!$C:$C,A635)</f>
        <v/>
      </c>
      <c r="F635" s="77">
        <f>B635+C635</f>
        <v/>
      </c>
    </row>
    <row r="636" ht="12.75" customHeight="1" s="60">
      <c r="A636" s="75" t="n">
        <v>46577</v>
      </c>
      <c r="B636" s="77">
        <f>SUMIFS(Report!$U:$U,Report!$T:$T,"&lt;&gt;"&amp;"MERCADORIAS P/REVENDA",Report!$AA:$AA,"SIM",Report!$C:$C,A636)</f>
        <v/>
      </c>
      <c r="C636" s="77">
        <f>SUMIFS(Report!$U:$U,Report!$T:$T,"MERCADORIAS P/REVENDA",Report!$AA:$AA,"SIM",Report!$C:$C,A636)</f>
        <v/>
      </c>
      <c r="F636" s="77">
        <f>B636+C636</f>
        <v/>
      </c>
    </row>
    <row r="637" ht="12.75" customHeight="1" s="60">
      <c r="A637" s="99" t="n">
        <v>46578</v>
      </c>
      <c r="B637" s="100">
        <f>SUMIFS(Report!$U:$U,Report!$T:$T,"&lt;&gt;"&amp;"MERCADORIAS P/REVENDA",Report!$AA:$AA,"SIM",Report!$C:$C,A637)</f>
        <v/>
      </c>
      <c r="C637" s="100">
        <f>SUMIFS(Report!$U:$U,Report!$T:$T,"MERCADORIAS P/REVENDA",Report!$AA:$AA,"SIM",Report!$C:$C,A637)</f>
        <v/>
      </c>
      <c r="D637" s="101" t="n"/>
      <c r="E637" s="101" t="n"/>
      <c r="F637" s="100">
        <f>B637+C637</f>
        <v/>
      </c>
    </row>
    <row r="638" ht="12.75" customHeight="1" s="60">
      <c r="A638" s="99" t="n">
        <v>46579</v>
      </c>
      <c r="B638" s="100">
        <f>SUMIFS(Report!$U:$U,Report!$T:$T,"&lt;&gt;"&amp;"MERCADORIAS P/REVENDA",Report!$AA:$AA,"SIM",Report!$C:$C,A638)</f>
        <v/>
      </c>
      <c r="C638" s="100">
        <f>SUMIFS(Report!$U:$U,Report!$T:$T,"MERCADORIAS P/REVENDA",Report!$AA:$AA,"SIM",Report!$C:$C,A638)</f>
        <v/>
      </c>
      <c r="D638" s="101" t="n"/>
      <c r="E638" s="101" t="n"/>
      <c r="F638" s="100">
        <f>B638+C638</f>
        <v/>
      </c>
    </row>
    <row r="639" ht="12.75" customHeight="1" s="60">
      <c r="A639" s="99" t="n">
        <v>46580</v>
      </c>
      <c r="B639" s="100">
        <f>SUMIFS(Report!$U:$U,Report!$T:$T,"&lt;&gt;"&amp;"MERCADORIAS P/REVENDA",Report!$AA:$AA,"SIM",Report!$C:$C,A639)</f>
        <v/>
      </c>
      <c r="C639" s="100">
        <f>SUMIFS(Report!$U:$U,Report!$T:$T,"MERCADORIAS P/REVENDA",Report!$AA:$AA,"SIM",Report!$C:$C,A639)</f>
        <v/>
      </c>
      <c r="D639" s="101" t="n"/>
      <c r="E639" s="101" t="n"/>
      <c r="F639" s="100">
        <f>B639+C639</f>
        <v/>
      </c>
    </row>
    <row r="640" ht="12.75" customHeight="1" s="60">
      <c r="A640" s="102">
        <f>"Subtotal Semana "&amp;TEXT(A633,"dd/mm/yyyy")&amp;" a "&amp;TEXT(A639,"dd/mm/yyyy")</f>
        <v/>
      </c>
      <c r="B640" s="90">
        <f>SUM(B633:B639)</f>
        <v/>
      </c>
      <c r="C640" s="90">
        <f>SUM(C633:C639)</f>
        <v/>
      </c>
      <c r="D640" s="94" t="n"/>
      <c r="E640" s="94" t="n"/>
      <c r="F640" s="90">
        <f>B640+C640</f>
        <v/>
      </c>
    </row>
    <row r="641" ht="12.75" customHeight="1" s="60">
      <c r="A641" s="75" t="n">
        <v>46581</v>
      </c>
      <c r="B641" s="77">
        <f>SUMIFS(Report!$U:$U,Report!$T:$T,"&lt;&gt;"&amp;"MERCADORIAS P/REVENDA",Report!$AA:$AA,"SIM",Report!$C:$C,A641)</f>
        <v/>
      </c>
      <c r="C641" s="77">
        <f>SUMIFS(Report!$U:$U,Report!$T:$T,"MERCADORIAS P/REVENDA",Report!$AA:$AA,"SIM",Report!$C:$C,A641)</f>
        <v/>
      </c>
      <c r="F641" s="77">
        <f>B641+C641</f>
        <v/>
      </c>
    </row>
    <row r="642" ht="12.75" customHeight="1" s="60">
      <c r="A642" s="75" t="n">
        <v>46582</v>
      </c>
      <c r="B642" s="77">
        <f>SUMIFS(Report!$U:$U,Report!$T:$T,"&lt;&gt;"&amp;"MERCADORIAS P/REVENDA",Report!$AA:$AA,"SIM",Report!$C:$C,A642)</f>
        <v/>
      </c>
      <c r="C642" s="77">
        <f>SUMIFS(Report!$U:$U,Report!$T:$T,"MERCADORIAS P/REVENDA",Report!$AA:$AA,"SIM",Report!$C:$C,A642)</f>
        <v/>
      </c>
      <c r="F642" s="77">
        <f>B642+C642</f>
        <v/>
      </c>
    </row>
    <row r="643" ht="12.75" customHeight="1" s="60">
      <c r="A643" s="75" t="n">
        <v>46583</v>
      </c>
      <c r="B643" s="77">
        <f>SUMIFS(Report!$U:$U,Report!$T:$T,"&lt;&gt;"&amp;"MERCADORIAS P/REVENDA",Report!$AA:$AA,"SIM",Report!$C:$C,A643)</f>
        <v/>
      </c>
      <c r="C643" s="77">
        <f>SUMIFS(Report!$U:$U,Report!$T:$T,"MERCADORIAS P/REVENDA",Report!$AA:$AA,"SIM",Report!$C:$C,A643)</f>
        <v/>
      </c>
      <c r="F643" s="77">
        <f>B643+C643</f>
        <v/>
      </c>
    </row>
    <row r="644" ht="12.75" customHeight="1" s="60">
      <c r="A644" s="75" t="n">
        <v>46584</v>
      </c>
      <c r="B644" s="77">
        <f>SUMIFS(Report!$U:$U,Report!$T:$T,"&lt;&gt;"&amp;"MERCADORIAS P/REVENDA",Report!$AA:$AA,"SIM",Report!$C:$C,A644)</f>
        <v/>
      </c>
      <c r="C644" s="77">
        <f>SUMIFS(Report!$U:$U,Report!$T:$T,"MERCADORIAS P/REVENDA",Report!$AA:$AA,"SIM",Report!$C:$C,A644)</f>
        <v/>
      </c>
      <c r="F644" s="77">
        <f>B644+C644</f>
        <v/>
      </c>
    </row>
    <row r="645" ht="12.75" customHeight="1" s="60">
      <c r="A645" s="99" t="n">
        <v>46585</v>
      </c>
      <c r="B645" s="100">
        <f>SUMIFS(Report!$U:$U,Report!$T:$T,"&lt;&gt;"&amp;"MERCADORIAS P/REVENDA",Report!$AA:$AA,"SIM",Report!$C:$C,A645)</f>
        <v/>
      </c>
      <c r="C645" s="100">
        <f>SUMIFS(Report!$U:$U,Report!$T:$T,"MERCADORIAS P/REVENDA",Report!$AA:$AA,"SIM",Report!$C:$C,A645)</f>
        <v/>
      </c>
      <c r="D645" s="101" t="n"/>
      <c r="E645" s="101" t="n"/>
      <c r="F645" s="100">
        <f>B645+C645</f>
        <v/>
      </c>
    </row>
    <row r="646" ht="12.75" customHeight="1" s="60">
      <c r="A646" s="99" t="n">
        <v>46586</v>
      </c>
      <c r="B646" s="100">
        <f>SUMIFS(Report!$U:$U,Report!$T:$T,"&lt;&gt;"&amp;"MERCADORIAS P/REVENDA",Report!$AA:$AA,"SIM",Report!$C:$C,A646)</f>
        <v/>
      </c>
      <c r="C646" s="100">
        <f>SUMIFS(Report!$U:$U,Report!$T:$T,"MERCADORIAS P/REVENDA",Report!$AA:$AA,"SIM",Report!$C:$C,A646)</f>
        <v/>
      </c>
      <c r="D646" s="101" t="n"/>
      <c r="E646" s="101" t="n"/>
      <c r="F646" s="100">
        <f>B646+C646</f>
        <v/>
      </c>
    </row>
    <row r="647" ht="12.75" customHeight="1" s="60">
      <c r="A647" s="99" t="n">
        <v>46587</v>
      </c>
      <c r="B647" s="100">
        <f>SUMIFS(Report!$U:$U,Report!$T:$T,"&lt;&gt;"&amp;"MERCADORIAS P/REVENDA",Report!$AA:$AA,"SIM",Report!$C:$C,A647)</f>
        <v/>
      </c>
      <c r="C647" s="100">
        <f>SUMIFS(Report!$U:$U,Report!$T:$T,"MERCADORIAS P/REVENDA",Report!$AA:$AA,"SIM",Report!$C:$C,A647)</f>
        <v/>
      </c>
      <c r="D647" s="101" t="n"/>
      <c r="E647" s="101" t="n"/>
      <c r="F647" s="100">
        <f>B647+C647</f>
        <v/>
      </c>
    </row>
    <row r="648" ht="12.75" customHeight="1" s="60">
      <c r="A648" s="102">
        <f>"Subtotal Semana "&amp;TEXT(A641,"dd/mm/yyyy")&amp;" a "&amp;TEXT(A647,"dd/mm/yyyy")</f>
        <v/>
      </c>
      <c r="B648" s="90">
        <f>SUM(B641:B647)</f>
        <v/>
      </c>
      <c r="C648" s="90">
        <f>SUM(C641:C647)</f>
        <v/>
      </c>
      <c r="D648" s="94" t="n"/>
      <c r="E648" s="94" t="n"/>
      <c r="F648" s="90">
        <f>B648+C648</f>
        <v/>
      </c>
    </row>
    <row r="649" ht="12.75" customHeight="1" s="60">
      <c r="A649" s="75" t="n">
        <v>46588</v>
      </c>
      <c r="B649" s="77">
        <f>SUMIFS(Report!$U:$U,Report!$T:$T,"&lt;&gt;"&amp;"MERCADORIAS P/REVENDA",Report!$AA:$AA,"SIM",Report!$C:$C,A649)</f>
        <v/>
      </c>
      <c r="C649" s="77">
        <f>SUMIFS(Report!$U:$U,Report!$T:$T,"MERCADORIAS P/REVENDA",Report!$AA:$AA,"SIM",Report!$C:$C,A649)</f>
        <v/>
      </c>
      <c r="F649" s="77">
        <f>B649+C649</f>
        <v/>
      </c>
    </row>
    <row r="650" ht="12.75" customHeight="1" s="60">
      <c r="A650" s="75" t="n">
        <v>46589</v>
      </c>
      <c r="B650" s="77">
        <f>SUMIFS(Report!$U:$U,Report!$T:$T,"&lt;&gt;"&amp;"MERCADORIAS P/REVENDA",Report!$AA:$AA,"SIM",Report!$C:$C,A650)</f>
        <v/>
      </c>
      <c r="C650" s="77">
        <f>SUMIFS(Report!$U:$U,Report!$T:$T,"MERCADORIAS P/REVENDA",Report!$AA:$AA,"SIM",Report!$C:$C,A650)</f>
        <v/>
      </c>
      <c r="F650" s="77">
        <f>B650+C650</f>
        <v/>
      </c>
    </row>
    <row r="651" ht="12.75" customHeight="1" s="60">
      <c r="A651" s="75" t="n">
        <v>46590</v>
      </c>
      <c r="B651" s="77">
        <f>SUMIFS(Report!$U:$U,Report!$T:$T,"&lt;&gt;"&amp;"MERCADORIAS P/REVENDA",Report!$AA:$AA,"SIM",Report!$C:$C,A651)</f>
        <v/>
      </c>
      <c r="C651" s="77">
        <f>SUMIFS(Report!$U:$U,Report!$T:$T,"MERCADORIAS P/REVENDA",Report!$AA:$AA,"SIM",Report!$C:$C,A651)</f>
        <v/>
      </c>
      <c r="F651" s="77">
        <f>B651+C651</f>
        <v/>
      </c>
    </row>
    <row r="652" ht="12.75" customHeight="1" s="60">
      <c r="A652" s="75" t="n">
        <v>46591</v>
      </c>
      <c r="B652" s="77">
        <f>SUMIFS(Report!$U:$U,Report!$T:$T,"&lt;&gt;"&amp;"MERCADORIAS P/REVENDA",Report!$AA:$AA,"SIM",Report!$C:$C,A652)</f>
        <v/>
      </c>
      <c r="C652" s="77">
        <f>SUMIFS(Report!$U:$U,Report!$T:$T,"MERCADORIAS P/REVENDA",Report!$AA:$AA,"SIM",Report!$C:$C,A652)</f>
        <v/>
      </c>
      <c r="F652" s="77">
        <f>B652+C652</f>
        <v/>
      </c>
    </row>
    <row r="653" ht="12.75" customHeight="1" s="60">
      <c r="A653" s="99" t="n">
        <v>46592</v>
      </c>
      <c r="B653" s="100">
        <f>SUMIFS(Report!$U:$U,Report!$T:$T,"&lt;&gt;"&amp;"MERCADORIAS P/REVENDA",Report!$AA:$AA,"SIM",Report!$C:$C,A653)</f>
        <v/>
      </c>
      <c r="C653" s="100">
        <f>SUMIFS(Report!$U:$U,Report!$T:$T,"MERCADORIAS P/REVENDA",Report!$AA:$AA,"SIM",Report!$C:$C,A653)</f>
        <v/>
      </c>
      <c r="D653" s="101" t="n"/>
      <c r="E653" s="101" t="n"/>
      <c r="F653" s="100">
        <f>B653+C653</f>
        <v/>
      </c>
    </row>
    <row r="654" ht="12.75" customHeight="1" s="60">
      <c r="A654" s="99" t="n">
        <v>46593</v>
      </c>
      <c r="B654" s="100">
        <f>SUMIFS(Report!$U:$U,Report!$T:$T,"&lt;&gt;"&amp;"MERCADORIAS P/REVENDA",Report!$AA:$AA,"SIM",Report!$C:$C,A654)</f>
        <v/>
      </c>
      <c r="C654" s="100">
        <f>SUMIFS(Report!$U:$U,Report!$T:$T,"MERCADORIAS P/REVENDA",Report!$AA:$AA,"SIM",Report!$C:$C,A654)</f>
        <v/>
      </c>
      <c r="D654" s="101" t="n"/>
      <c r="E654" s="101" t="n"/>
      <c r="F654" s="100">
        <f>B654+C654</f>
        <v/>
      </c>
    </row>
    <row r="655" ht="12.75" customHeight="1" s="60">
      <c r="A655" s="99" t="n">
        <v>46594</v>
      </c>
      <c r="B655" s="100">
        <f>SUMIFS(Report!$U:$U,Report!$T:$T,"&lt;&gt;"&amp;"MERCADORIAS P/REVENDA",Report!$AA:$AA,"SIM",Report!$C:$C,A655)</f>
        <v/>
      </c>
      <c r="C655" s="100">
        <f>SUMIFS(Report!$U:$U,Report!$T:$T,"MERCADORIAS P/REVENDA",Report!$AA:$AA,"SIM",Report!$C:$C,A655)</f>
        <v/>
      </c>
      <c r="D655" s="101" t="n"/>
      <c r="E655" s="101" t="n"/>
      <c r="F655" s="100">
        <f>B655+C655</f>
        <v/>
      </c>
    </row>
    <row r="656" ht="12.75" customHeight="1" s="60">
      <c r="A656" s="102">
        <f>"Subtotal Semana "&amp;TEXT(A649,"dd/mm/yyyy")&amp;" a "&amp;TEXT(A655,"dd/mm/yyyy")</f>
        <v/>
      </c>
      <c r="B656" s="90">
        <f>SUM(B649:B655)</f>
        <v/>
      </c>
      <c r="C656" s="90">
        <f>SUM(C649:C655)</f>
        <v/>
      </c>
      <c r="D656" s="94" t="n"/>
      <c r="E656" s="94" t="n"/>
      <c r="F656" s="90">
        <f>B656+C656</f>
        <v/>
      </c>
    </row>
    <row r="657" ht="12.75" customHeight="1" s="60">
      <c r="A657" s="75" t="n">
        <v>46595</v>
      </c>
      <c r="B657" s="77">
        <f>SUMIFS(Report!$U:$U,Report!$T:$T,"&lt;&gt;"&amp;"MERCADORIAS P/REVENDA",Report!$AA:$AA,"SIM",Report!$C:$C,A657)</f>
        <v/>
      </c>
      <c r="C657" s="77">
        <f>SUMIFS(Report!$U:$U,Report!$T:$T,"MERCADORIAS P/REVENDA",Report!$AA:$AA,"SIM",Report!$C:$C,A657)</f>
        <v/>
      </c>
      <c r="F657" s="77">
        <f>B657+C657</f>
        <v/>
      </c>
    </row>
    <row r="658" ht="12.75" customHeight="1" s="60">
      <c r="A658" s="75" t="n">
        <v>46596</v>
      </c>
      <c r="B658" s="77">
        <f>SUMIFS(Report!$U:$U,Report!$T:$T,"&lt;&gt;"&amp;"MERCADORIAS P/REVENDA",Report!$AA:$AA,"SIM",Report!$C:$C,A658)</f>
        <v/>
      </c>
      <c r="C658" s="77">
        <f>SUMIFS(Report!$U:$U,Report!$T:$T,"MERCADORIAS P/REVENDA",Report!$AA:$AA,"SIM",Report!$C:$C,A658)</f>
        <v/>
      </c>
      <c r="F658" s="77">
        <f>B658+C658</f>
        <v/>
      </c>
    </row>
    <row r="659" ht="12.75" customHeight="1" s="60">
      <c r="A659" s="75" t="n">
        <v>46597</v>
      </c>
      <c r="B659" s="77">
        <f>SUMIFS(Report!$U:$U,Report!$T:$T,"&lt;&gt;"&amp;"MERCADORIAS P/REVENDA",Report!$AA:$AA,"SIM",Report!$C:$C,A659)</f>
        <v/>
      </c>
      <c r="C659" s="77">
        <f>SUMIFS(Report!$U:$U,Report!$T:$T,"MERCADORIAS P/REVENDA",Report!$AA:$AA,"SIM",Report!$C:$C,A659)</f>
        <v/>
      </c>
      <c r="F659" s="77">
        <f>B659+C659</f>
        <v/>
      </c>
    </row>
    <row r="660" ht="12.75" customHeight="1" s="60">
      <c r="A660" s="75" t="n">
        <v>46598</v>
      </c>
      <c r="B660" s="77">
        <f>SUMIFS(Report!$U:$U,Report!$T:$T,"&lt;&gt;"&amp;"MERCADORIAS P/REVENDA",Report!$AA:$AA,"SIM",Report!$C:$C,A660)</f>
        <v/>
      </c>
      <c r="C660" s="77">
        <f>SUMIFS(Report!$U:$U,Report!$T:$T,"MERCADORIAS P/REVENDA",Report!$AA:$AA,"SIM",Report!$C:$C,A660)</f>
        <v/>
      </c>
      <c r="F660" s="77">
        <f>B660+C660</f>
        <v/>
      </c>
    </row>
    <row r="661" ht="12.75" customHeight="1" s="60">
      <c r="A661" s="99" t="n">
        <v>46599</v>
      </c>
      <c r="B661" s="100">
        <f>SUMIFS(Report!$U:$U,Report!$T:$T,"&lt;&gt;"&amp;"MERCADORIAS P/REVENDA",Report!$AA:$AA,"SIM",Report!$C:$C,A661)</f>
        <v/>
      </c>
      <c r="C661" s="100">
        <f>SUMIFS(Report!$U:$U,Report!$T:$T,"MERCADORIAS P/REVENDA",Report!$AA:$AA,"SIM",Report!$C:$C,A661)</f>
        <v/>
      </c>
      <c r="D661" s="101" t="n"/>
      <c r="E661" s="101" t="n"/>
      <c r="F661" s="100">
        <f>B661+C661</f>
        <v/>
      </c>
    </row>
    <row r="662" ht="12.75" customHeight="1" s="60">
      <c r="A662" s="99" t="n">
        <v>46600</v>
      </c>
      <c r="B662" s="100">
        <f>SUMIFS(Report!$U:$U,Report!$T:$T,"&lt;&gt;"&amp;"MERCADORIAS P/REVENDA",Report!$AA:$AA,"SIM",Report!$C:$C,A662)</f>
        <v/>
      </c>
      <c r="C662" s="100">
        <f>SUMIFS(Report!$U:$U,Report!$T:$T,"MERCADORIAS P/REVENDA",Report!$AA:$AA,"SIM",Report!$C:$C,A662)</f>
        <v/>
      </c>
      <c r="D662" s="101" t="n"/>
      <c r="E662" s="101" t="n"/>
      <c r="F662" s="100">
        <f>B662+C662</f>
        <v/>
      </c>
    </row>
    <row r="663" ht="12.75" customHeight="1" s="60">
      <c r="A663" s="99" t="n">
        <v>46601</v>
      </c>
      <c r="B663" s="100">
        <f>SUMIFS(Report!$U:$U,Report!$T:$T,"&lt;&gt;"&amp;"MERCADORIAS P/REVENDA",Report!$AA:$AA,"SIM",Report!$C:$C,A663)</f>
        <v/>
      </c>
      <c r="C663" s="100">
        <f>SUMIFS(Report!$U:$U,Report!$T:$T,"MERCADORIAS P/REVENDA",Report!$AA:$AA,"SIM",Report!$C:$C,A663)</f>
        <v/>
      </c>
      <c r="D663" s="101" t="n"/>
      <c r="E663" s="101" t="n"/>
      <c r="F663" s="100">
        <f>B663+C663</f>
        <v/>
      </c>
    </row>
    <row r="664" ht="12.75" customHeight="1" s="60">
      <c r="A664" s="102">
        <f>"Subtotal Semana "&amp;TEXT(A657,"dd/mm/yyyy")&amp;" a "&amp;TEXT(A663,"dd/mm/yyyy")</f>
        <v/>
      </c>
      <c r="B664" s="90">
        <f>SUM(B657:B663)</f>
        <v/>
      </c>
      <c r="C664" s="90">
        <f>SUM(C657:C663)</f>
        <v/>
      </c>
      <c r="D664" s="94" t="n"/>
      <c r="E664" s="94" t="n"/>
      <c r="F664" s="90">
        <f>B664+C664</f>
        <v/>
      </c>
    </row>
    <row r="665" ht="12.75" customHeight="1" s="60">
      <c r="A665" s="75" t="n">
        <v>46602</v>
      </c>
      <c r="B665" s="77">
        <f>SUMIFS(Report!$U:$U,Report!$T:$T,"&lt;&gt;"&amp;"MERCADORIAS P/REVENDA",Report!$AA:$AA,"SIM",Report!$C:$C,A665)</f>
        <v/>
      </c>
      <c r="C665" s="77">
        <f>SUMIFS(Report!$U:$U,Report!$T:$T,"MERCADORIAS P/REVENDA",Report!$AA:$AA,"SIM",Report!$C:$C,A665)</f>
        <v/>
      </c>
      <c r="F665" s="77">
        <f>B665+C665</f>
        <v/>
      </c>
    </row>
    <row r="666" ht="12.75" customHeight="1" s="60">
      <c r="A666" s="75" t="n">
        <v>46603</v>
      </c>
      <c r="B666" s="77">
        <f>SUMIFS(Report!$U:$U,Report!$T:$T,"&lt;&gt;"&amp;"MERCADORIAS P/REVENDA",Report!$AA:$AA,"SIM",Report!$C:$C,A666)</f>
        <v/>
      </c>
      <c r="C666" s="77">
        <f>SUMIFS(Report!$U:$U,Report!$T:$T,"MERCADORIAS P/REVENDA",Report!$AA:$AA,"SIM",Report!$C:$C,A666)</f>
        <v/>
      </c>
      <c r="F666" s="77">
        <f>B666+C666</f>
        <v/>
      </c>
    </row>
    <row r="667" ht="12.75" customHeight="1" s="60">
      <c r="A667" s="75" t="n">
        <v>46604</v>
      </c>
      <c r="B667" s="77">
        <f>SUMIFS(Report!$U:$U,Report!$T:$T,"&lt;&gt;"&amp;"MERCADORIAS P/REVENDA",Report!$AA:$AA,"SIM",Report!$C:$C,A667)</f>
        <v/>
      </c>
      <c r="C667" s="77">
        <f>SUMIFS(Report!$U:$U,Report!$T:$T,"MERCADORIAS P/REVENDA",Report!$AA:$AA,"SIM",Report!$C:$C,A667)</f>
        <v/>
      </c>
      <c r="F667" s="77">
        <f>B667+C667</f>
        <v/>
      </c>
    </row>
    <row r="668" ht="12.75" customHeight="1" s="60">
      <c r="A668" s="75" t="n">
        <v>46605</v>
      </c>
      <c r="B668" s="77">
        <f>SUMIFS(Report!$U:$U,Report!$T:$T,"&lt;&gt;"&amp;"MERCADORIAS P/REVENDA",Report!$AA:$AA,"SIM",Report!$C:$C,A668)</f>
        <v/>
      </c>
      <c r="C668" s="77">
        <f>SUMIFS(Report!$U:$U,Report!$T:$T,"MERCADORIAS P/REVENDA",Report!$AA:$AA,"SIM",Report!$C:$C,A668)</f>
        <v/>
      </c>
      <c r="F668" s="77">
        <f>B668+C668</f>
        <v/>
      </c>
    </row>
    <row r="669" ht="12.75" customHeight="1" s="60">
      <c r="A669" s="99" t="n">
        <v>46606</v>
      </c>
      <c r="B669" s="100">
        <f>SUMIFS(Report!$U:$U,Report!$T:$T,"&lt;&gt;"&amp;"MERCADORIAS P/REVENDA",Report!$AA:$AA,"SIM",Report!$C:$C,A669)</f>
        <v/>
      </c>
      <c r="C669" s="100">
        <f>SUMIFS(Report!$U:$U,Report!$T:$T,"MERCADORIAS P/REVENDA",Report!$AA:$AA,"SIM",Report!$C:$C,A669)</f>
        <v/>
      </c>
      <c r="D669" s="101" t="n"/>
      <c r="E669" s="101" t="n"/>
      <c r="F669" s="100">
        <f>B669+C669</f>
        <v/>
      </c>
    </row>
    <row r="670" ht="12.75" customHeight="1" s="60">
      <c r="A670" s="99" t="n">
        <v>46607</v>
      </c>
      <c r="B670" s="100">
        <f>SUMIFS(Report!$U:$U,Report!$T:$T,"&lt;&gt;"&amp;"MERCADORIAS P/REVENDA",Report!$AA:$AA,"SIM",Report!$C:$C,A670)</f>
        <v/>
      </c>
      <c r="C670" s="100">
        <f>SUMIFS(Report!$U:$U,Report!$T:$T,"MERCADORIAS P/REVENDA",Report!$AA:$AA,"SIM",Report!$C:$C,A670)</f>
        <v/>
      </c>
      <c r="D670" s="101" t="n"/>
      <c r="E670" s="101" t="n"/>
      <c r="F670" s="100">
        <f>B670+C670</f>
        <v/>
      </c>
    </row>
    <row r="671" ht="12.75" customHeight="1" s="60">
      <c r="A671" s="99" t="n">
        <v>46608</v>
      </c>
      <c r="B671" s="100">
        <f>SUMIFS(Report!$U:$U,Report!$T:$T,"&lt;&gt;"&amp;"MERCADORIAS P/REVENDA",Report!$AA:$AA,"SIM",Report!$C:$C,A671)</f>
        <v/>
      </c>
      <c r="C671" s="100">
        <f>SUMIFS(Report!$U:$U,Report!$T:$T,"MERCADORIAS P/REVENDA",Report!$AA:$AA,"SIM",Report!$C:$C,A671)</f>
        <v/>
      </c>
      <c r="D671" s="101" t="n"/>
      <c r="E671" s="101" t="n"/>
      <c r="F671" s="100">
        <f>B671+C671</f>
        <v/>
      </c>
    </row>
    <row r="672" ht="12.75" customHeight="1" s="60">
      <c r="A672" s="102">
        <f>"Subtotal Semana "&amp;TEXT(A665,"dd/mm/yyyy")&amp;" a "&amp;TEXT(A671,"dd/mm/yyyy")</f>
        <v/>
      </c>
      <c r="B672" s="90">
        <f>SUM(B665:B671)</f>
        <v/>
      </c>
      <c r="C672" s="90">
        <f>SUM(C665:C671)</f>
        <v/>
      </c>
      <c r="D672" s="94" t="n"/>
      <c r="E672" s="94" t="n"/>
      <c r="F672" s="90">
        <f>B672+C672</f>
        <v/>
      </c>
    </row>
    <row r="673" ht="12.75" customHeight="1" s="60">
      <c r="A673" s="75" t="n">
        <v>46609</v>
      </c>
      <c r="B673" s="77">
        <f>SUMIFS(Report!$U:$U,Report!$T:$T,"&lt;&gt;"&amp;"MERCADORIAS P/REVENDA",Report!$AA:$AA,"SIM",Report!$C:$C,A673)</f>
        <v/>
      </c>
      <c r="C673" s="77">
        <f>SUMIFS(Report!$U:$U,Report!$T:$T,"MERCADORIAS P/REVENDA",Report!$AA:$AA,"SIM",Report!$C:$C,A673)</f>
        <v/>
      </c>
      <c r="F673" s="77">
        <f>B673+C673</f>
        <v/>
      </c>
    </row>
    <row r="674" ht="12.75" customHeight="1" s="60">
      <c r="A674" s="75" t="n">
        <v>46610</v>
      </c>
      <c r="B674" s="77">
        <f>SUMIFS(Report!$U:$U,Report!$T:$T,"&lt;&gt;"&amp;"MERCADORIAS P/REVENDA",Report!$AA:$AA,"SIM",Report!$C:$C,A674)</f>
        <v/>
      </c>
      <c r="C674" s="77">
        <f>SUMIFS(Report!$U:$U,Report!$T:$T,"MERCADORIAS P/REVENDA",Report!$AA:$AA,"SIM",Report!$C:$C,A674)</f>
        <v/>
      </c>
      <c r="F674" s="77">
        <f>B674+C674</f>
        <v/>
      </c>
    </row>
    <row r="675" ht="12.75" customHeight="1" s="60">
      <c r="A675" s="75" t="n">
        <v>46611</v>
      </c>
      <c r="B675" s="77">
        <f>SUMIFS(Report!$U:$U,Report!$T:$T,"&lt;&gt;"&amp;"MERCADORIAS P/REVENDA",Report!$AA:$AA,"SIM",Report!$C:$C,A675)</f>
        <v/>
      </c>
      <c r="C675" s="77">
        <f>SUMIFS(Report!$U:$U,Report!$T:$T,"MERCADORIAS P/REVENDA",Report!$AA:$AA,"SIM",Report!$C:$C,A675)</f>
        <v/>
      </c>
      <c r="F675" s="77">
        <f>B675+C675</f>
        <v/>
      </c>
    </row>
    <row r="676" ht="12.75" customHeight="1" s="60">
      <c r="A676" s="75" t="n">
        <v>46612</v>
      </c>
      <c r="B676" s="77">
        <f>SUMIFS(Report!$U:$U,Report!$T:$T,"&lt;&gt;"&amp;"MERCADORIAS P/REVENDA",Report!$AA:$AA,"SIM",Report!$C:$C,A676)</f>
        <v/>
      </c>
      <c r="C676" s="77">
        <f>SUMIFS(Report!$U:$U,Report!$T:$T,"MERCADORIAS P/REVENDA",Report!$AA:$AA,"SIM",Report!$C:$C,A676)</f>
        <v/>
      </c>
      <c r="F676" s="77">
        <f>B676+C676</f>
        <v/>
      </c>
    </row>
    <row r="677" ht="12.75" customHeight="1" s="60">
      <c r="A677" s="99" t="n">
        <v>46613</v>
      </c>
      <c r="B677" s="100">
        <f>SUMIFS(Report!$U:$U,Report!$T:$T,"&lt;&gt;"&amp;"MERCADORIAS P/REVENDA",Report!$AA:$AA,"SIM",Report!$C:$C,A677)</f>
        <v/>
      </c>
      <c r="C677" s="100">
        <f>SUMIFS(Report!$U:$U,Report!$T:$T,"MERCADORIAS P/REVENDA",Report!$AA:$AA,"SIM",Report!$C:$C,A677)</f>
        <v/>
      </c>
      <c r="D677" s="101" t="n"/>
      <c r="E677" s="101" t="n"/>
      <c r="F677" s="100">
        <f>B677+C677</f>
        <v/>
      </c>
    </row>
    <row r="678" ht="12.75" customHeight="1" s="60">
      <c r="A678" s="99" t="n">
        <v>46614</v>
      </c>
      <c r="B678" s="100">
        <f>SUMIFS(Report!$U:$U,Report!$T:$T,"&lt;&gt;"&amp;"MERCADORIAS P/REVENDA",Report!$AA:$AA,"SIM",Report!$C:$C,A678)</f>
        <v/>
      </c>
      <c r="C678" s="100">
        <f>SUMIFS(Report!$U:$U,Report!$T:$T,"MERCADORIAS P/REVENDA",Report!$AA:$AA,"SIM",Report!$C:$C,A678)</f>
        <v/>
      </c>
      <c r="D678" s="101" t="n"/>
      <c r="E678" s="101" t="n"/>
      <c r="F678" s="100">
        <f>B678+C678</f>
        <v/>
      </c>
    </row>
    <row r="679" ht="12.75" customHeight="1" s="60">
      <c r="A679" s="99" t="n">
        <v>46615</v>
      </c>
      <c r="B679" s="100">
        <f>SUMIFS(Report!$U:$U,Report!$T:$T,"&lt;&gt;"&amp;"MERCADORIAS P/REVENDA",Report!$AA:$AA,"SIM",Report!$C:$C,A679)</f>
        <v/>
      </c>
      <c r="C679" s="100">
        <f>SUMIFS(Report!$U:$U,Report!$T:$T,"MERCADORIAS P/REVENDA",Report!$AA:$AA,"SIM",Report!$C:$C,A679)</f>
        <v/>
      </c>
      <c r="D679" s="101" t="n"/>
      <c r="E679" s="101" t="n"/>
      <c r="F679" s="100">
        <f>B679+C679</f>
        <v/>
      </c>
    </row>
    <row r="680" ht="12.75" customHeight="1" s="60">
      <c r="A680" s="102">
        <f>"Subtotal Semana "&amp;TEXT(A673,"dd/mm/yyyy")&amp;" a "&amp;TEXT(A679,"dd/mm/yyyy")</f>
        <v/>
      </c>
      <c r="B680" s="90">
        <f>SUM(B673:B679)</f>
        <v/>
      </c>
      <c r="C680" s="90">
        <f>SUM(C673:C679)</f>
        <v/>
      </c>
      <c r="D680" s="94" t="n"/>
      <c r="E680" s="94" t="n"/>
      <c r="F680" s="90">
        <f>B680+C680</f>
        <v/>
      </c>
    </row>
    <row r="681" ht="12.75" customHeight="1" s="60">
      <c r="A681" s="75" t="n">
        <v>46616</v>
      </c>
      <c r="B681" s="77">
        <f>SUMIFS(Report!$U:$U,Report!$T:$T,"&lt;&gt;"&amp;"MERCADORIAS P/REVENDA",Report!$AA:$AA,"SIM",Report!$C:$C,A681)</f>
        <v/>
      </c>
      <c r="C681" s="77">
        <f>SUMIFS(Report!$U:$U,Report!$T:$T,"MERCADORIAS P/REVENDA",Report!$AA:$AA,"SIM",Report!$C:$C,A681)</f>
        <v/>
      </c>
      <c r="F681" s="77">
        <f>B681+C681</f>
        <v/>
      </c>
    </row>
    <row r="682" ht="12.75" customHeight="1" s="60">
      <c r="A682" s="75" t="n">
        <v>46617</v>
      </c>
      <c r="B682" s="77">
        <f>SUMIFS(Report!$U:$U,Report!$T:$T,"&lt;&gt;"&amp;"MERCADORIAS P/REVENDA",Report!$AA:$AA,"SIM",Report!$C:$C,A682)</f>
        <v/>
      </c>
      <c r="C682" s="77">
        <f>SUMIFS(Report!$U:$U,Report!$T:$T,"MERCADORIAS P/REVENDA",Report!$AA:$AA,"SIM",Report!$C:$C,A682)</f>
        <v/>
      </c>
      <c r="F682" s="77">
        <f>B682+C682</f>
        <v/>
      </c>
    </row>
    <row r="683" ht="12.75" customHeight="1" s="60">
      <c r="A683" s="75" t="n">
        <v>46618</v>
      </c>
      <c r="B683" s="77">
        <f>SUMIFS(Report!$U:$U,Report!$T:$T,"&lt;&gt;"&amp;"MERCADORIAS P/REVENDA",Report!$AA:$AA,"SIM",Report!$C:$C,A683)</f>
        <v/>
      </c>
      <c r="C683" s="77">
        <f>SUMIFS(Report!$U:$U,Report!$T:$T,"MERCADORIAS P/REVENDA",Report!$AA:$AA,"SIM",Report!$C:$C,A683)</f>
        <v/>
      </c>
      <c r="F683" s="77">
        <f>B683+C683</f>
        <v/>
      </c>
    </row>
    <row r="684" ht="12.75" customHeight="1" s="60">
      <c r="A684" s="75" t="n">
        <v>46619</v>
      </c>
      <c r="B684" s="77">
        <f>SUMIFS(Report!$U:$U,Report!$T:$T,"&lt;&gt;"&amp;"MERCADORIAS P/REVENDA",Report!$AA:$AA,"SIM",Report!$C:$C,A684)</f>
        <v/>
      </c>
      <c r="C684" s="77">
        <f>SUMIFS(Report!$U:$U,Report!$T:$T,"MERCADORIAS P/REVENDA",Report!$AA:$AA,"SIM",Report!$C:$C,A684)</f>
        <v/>
      </c>
      <c r="F684" s="77">
        <f>B684+C684</f>
        <v/>
      </c>
    </row>
    <row r="685" ht="12.75" customHeight="1" s="60">
      <c r="A685" s="99" t="n">
        <v>46620</v>
      </c>
      <c r="B685" s="100">
        <f>SUMIFS(Report!$U:$U,Report!$T:$T,"&lt;&gt;"&amp;"MERCADORIAS P/REVENDA",Report!$AA:$AA,"SIM",Report!$C:$C,A685)</f>
        <v/>
      </c>
      <c r="C685" s="100">
        <f>SUMIFS(Report!$U:$U,Report!$T:$T,"MERCADORIAS P/REVENDA",Report!$AA:$AA,"SIM",Report!$C:$C,A685)</f>
        <v/>
      </c>
      <c r="D685" s="101" t="n"/>
      <c r="E685" s="101" t="n"/>
      <c r="F685" s="100">
        <f>B685+C685</f>
        <v/>
      </c>
    </row>
    <row r="686" ht="12.75" customHeight="1" s="60">
      <c r="A686" s="99" t="n">
        <v>46621</v>
      </c>
      <c r="B686" s="100">
        <f>SUMIFS(Report!$U:$U,Report!$T:$T,"&lt;&gt;"&amp;"MERCADORIAS P/REVENDA",Report!$AA:$AA,"SIM",Report!$C:$C,A686)</f>
        <v/>
      </c>
      <c r="C686" s="100">
        <f>SUMIFS(Report!$U:$U,Report!$T:$T,"MERCADORIAS P/REVENDA",Report!$AA:$AA,"SIM",Report!$C:$C,A686)</f>
        <v/>
      </c>
      <c r="D686" s="101" t="n"/>
      <c r="E686" s="101" t="n"/>
      <c r="F686" s="100">
        <f>B686+C686</f>
        <v/>
      </c>
    </row>
    <row r="687" ht="12.75" customHeight="1" s="60">
      <c r="A687" s="99" t="n">
        <v>46622</v>
      </c>
      <c r="B687" s="100">
        <f>SUMIFS(Report!$U:$U,Report!$T:$T,"&lt;&gt;"&amp;"MERCADORIAS P/REVENDA",Report!$AA:$AA,"SIM",Report!$C:$C,A687)</f>
        <v/>
      </c>
      <c r="C687" s="100">
        <f>SUMIFS(Report!$U:$U,Report!$T:$T,"MERCADORIAS P/REVENDA",Report!$AA:$AA,"SIM",Report!$C:$C,A687)</f>
        <v/>
      </c>
      <c r="D687" s="101" t="n"/>
      <c r="E687" s="101" t="n"/>
      <c r="F687" s="100">
        <f>B687+C687</f>
        <v/>
      </c>
    </row>
    <row r="688" ht="12.75" customHeight="1" s="60">
      <c r="A688" s="102">
        <f>"Subtotal Semana "&amp;TEXT(A681,"dd/mm/yyyy")&amp;" a "&amp;TEXT(A687,"dd/mm/yyyy")</f>
        <v/>
      </c>
      <c r="B688" s="90">
        <f>SUM(B681:B687)</f>
        <v/>
      </c>
      <c r="C688" s="90">
        <f>SUM(C681:C687)</f>
        <v/>
      </c>
      <c r="D688" s="94" t="n"/>
      <c r="E688" s="94" t="n"/>
      <c r="F688" s="90">
        <f>B688+C688</f>
        <v/>
      </c>
    </row>
    <row r="689" ht="12.75" customHeight="1" s="60">
      <c r="A689" s="75" t="n">
        <v>46623</v>
      </c>
      <c r="B689" s="77">
        <f>SUMIFS(Report!$U:$U,Report!$T:$T,"&lt;&gt;"&amp;"MERCADORIAS P/REVENDA",Report!$AA:$AA,"SIM",Report!$C:$C,A689)</f>
        <v/>
      </c>
      <c r="C689" s="77">
        <f>SUMIFS(Report!$U:$U,Report!$T:$T,"MERCADORIAS P/REVENDA",Report!$AA:$AA,"SIM",Report!$C:$C,A689)</f>
        <v/>
      </c>
      <c r="F689" s="77">
        <f>B689+C689</f>
        <v/>
      </c>
    </row>
    <row r="690" ht="12.75" customHeight="1" s="60">
      <c r="A690" s="75" t="n">
        <v>46624</v>
      </c>
      <c r="B690" s="77">
        <f>SUMIFS(Report!$U:$U,Report!$T:$T,"&lt;&gt;"&amp;"MERCADORIAS P/REVENDA",Report!$AA:$AA,"SIM",Report!$C:$C,A690)</f>
        <v/>
      </c>
      <c r="C690" s="77">
        <f>SUMIFS(Report!$U:$U,Report!$T:$T,"MERCADORIAS P/REVENDA",Report!$AA:$AA,"SIM",Report!$C:$C,A690)</f>
        <v/>
      </c>
      <c r="F690" s="77">
        <f>B690+C690</f>
        <v/>
      </c>
    </row>
    <row r="691" ht="12.75" customHeight="1" s="60">
      <c r="A691" s="75" t="n">
        <v>46625</v>
      </c>
      <c r="B691" s="77">
        <f>SUMIFS(Report!$U:$U,Report!$T:$T,"&lt;&gt;"&amp;"MERCADORIAS P/REVENDA",Report!$AA:$AA,"SIM",Report!$C:$C,A691)</f>
        <v/>
      </c>
      <c r="C691" s="77">
        <f>SUMIFS(Report!$U:$U,Report!$T:$T,"MERCADORIAS P/REVENDA",Report!$AA:$AA,"SIM",Report!$C:$C,A691)</f>
        <v/>
      </c>
      <c r="F691" s="77">
        <f>B691+C691</f>
        <v/>
      </c>
    </row>
    <row r="692" ht="12.75" customHeight="1" s="60">
      <c r="A692" s="75" t="n">
        <v>46626</v>
      </c>
      <c r="B692" s="77">
        <f>SUMIFS(Report!$U:$U,Report!$T:$T,"&lt;&gt;"&amp;"MERCADORIAS P/REVENDA",Report!$AA:$AA,"SIM",Report!$C:$C,A692)</f>
        <v/>
      </c>
      <c r="C692" s="77">
        <f>SUMIFS(Report!$U:$U,Report!$T:$T,"MERCADORIAS P/REVENDA",Report!$AA:$AA,"SIM",Report!$C:$C,A692)</f>
        <v/>
      </c>
      <c r="F692" s="77">
        <f>B692+C692</f>
        <v/>
      </c>
    </row>
    <row r="693" ht="12.75" customHeight="1" s="60">
      <c r="A693" s="99" t="n">
        <v>46627</v>
      </c>
      <c r="B693" s="100">
        <f>SUMIFS(Report!$U:$U,Report!$T:$T,"&lt;&gt;"&amp;"MERCADORIAS P/REVENDA",Report!$AA:$AA,"SIM",Report!$C:$C,A693)</f>
        <v/>
      </c>
      <c r="C693" s="100">
        <f>SUMIFS(Report!$U:$U,Report!$T:$T,"MERCADORIAS P/REVENDA",Report!$AA:$AA,"SIM",Report!$C:$C,A693)</f>
        <v/>
      </c>
      <c r="D693" s="101" t="n"/>
      <c r="E693" s="101" t="n"/>
      <c r="F693" s="100">
        <f>B693+C693</f>
        <v/>
      </c>
    </row>
    <row r="694" ht="12.75" customHeight="1" s="60">
      <c r="A694" s="99" t="n">
        <v>46628</v>
      </c>
      <c r="B694" s="100">
        <f>SUMIFS(Report!$U:$U,Report!$T:$T,"&lt;&gt;"&amp;"MERCADORIAS P/REVENDA",Report!$AA:$AA,"SIM",Report!$C:$C,A694)</f>
        <v/>
      </c>
      <c r="C694" s="100">
        <f>SUMIFS(Report!$U:$U,Report!$T:$T,"MERCADORIAS P/REVENDA",Report!$AA:$AA,"SIM",Report!$C:$C,A694)</f>
        <v/>
      </c>
      <c r="D694" s="101" t="n"/>
      <c r="E694" s="101" t="n"/>
      <c r="F694" s="100">
        <f>B694+C694</f>
        <v/>
      </c>
    </row>
    <row r="695" ht="12.75" customHeight="1" s="60">
      <c r="A695" s="99" t="n">
        <v>46629</v>
      </c>
      <c r="B695" s="100">
        <f>SUMIFS(Report!$U:$U,Report!$T:$T,"&lt;&gt;"&amp;"MERCADORIAS P/REVENDA",Report!$AA:$AA,"SIM",Report!$C:$C,A695)</f>
        <v/>
      </c>
      <c r="C695" s="100">
        <f>SUMIFS(Report!$U:$U,Report!$T:$T,"MERCADORIAS P/REVENDA",Report!$AA:$AA,"SIM",Report!$C:$C,A695)</f>
        <v/>
      </c>
      <c r="D695" s="101" t="n"/>
      <c r="E695" s="101" t="n"/>
      <c r="F695" s="100">
        <f>B695+C695</f>
        <v/>
      </c>
    </row>
    <row r="696" ht="12.75" customHeight="1" s="60">
      <c r="A696" s="102">
        <f>"Subtotal Semana "&amp;TEXT(A689,"dd/mm/yyyy")&amp;" a "&amp;TEXT(A695,"dd/mm/yyyy")</f>
        <v/>
      </c>
      <c r="B696" s="90">
        <f>SUM(B689:B695)</f>
        <v/>
      </c>
      <c r="C696" s="90">
        <f>SUM(C689:C695)</f>
        <v/>
      </c>
      <c r="D696" s="94" t="n"/>
      <c r="E696" s="94" t="n"/>
      <c r="F696" s="90">
        <f>B696+C696</f>
        <v/>
      </c>
    </row>
    <row r="697" ht="12.75" customHeight="1" s="60">
      <c r="A697" s="75" t="n">
        <v>46630</v>
      </c>
      <c r="B697" s="77">
        <f>SUMIFS(Report!$U:$U,Report!$T:$T,"&lt;&gt;"&amp;"MERCADORIAS P/REVENDA",Report!$AA:$AA,"SIM",Report!$C:$C,A697)</f>
        <v/>
      </c>
      <c r="C697" s="77">
        <f>SUMIFS(Report!$U:$U,Report!$T:$T,"MERCADORIAS P/REVENDA",Report!$AA:$AA,"SIM",Report!$C:$C,A697)</f>
        <v/>
      </c>
      <c r="F697" s="77">
        <f>B697+C697</f>
        <v/>
      </c>
    </row>
    <row r="698" ht="12.75" customHeight="1" s="60">
      <c r="A698" s="75" t="n">
        <v>46631</v>
      </c>
      <c r="B698" s="77">
        <f>SUMIFS(Report!$U:$U,Report!$T:$T,"&lt;&gt;"&amp;"MERCADORIAS P/REVENDA",Report!$AA:$AA,"SIM",Report!$C:$C,A698)</f>
        <v/>
      </c>
      <c r="C698" s="77">
        <f>SUMIFS(Report!$U:$U,Report!$T:$T,"MERCADORIAS P/REVENDA",Report!$AA:$AA,"SIM",Report!$C:$C,A698)</f>
        <v/>
      </c>
      <c r="F698" s="77">
        <f>B698+C698</f>
        <v/>
      </c>
    </row>
    <row r="699" ht="12.75" customHeight="1" s="60">
      <c r="A699" s="75" t="n">
        <v>46632</v>
      </c>
      <c r="B699" s="77">
        <f>SUMIFS(Report!$U:$U,Report!$T:$T,"&lt;&gt;"&amp;"MERCADORIAS P/REVENDA",Report!$AA:$AA,"SIM",Report!$C:$C,A699)</f>
        <v/>
      </c>
      <c r="C699" s="77">
        <f>SUMIFS(Report!$U:$U,Report!$T:$T,"MERCADORIAS P/REVENDA",Report!$AA:$AA,"SIM",Report!$C:$C,A699)</f>
        <v/>
      </c>
      <c r="F699" s="77">
        <f>B699+C699</f>
        <v/>
      </c>
    </row>
    <row r="700" ht="12.75" customHeight="1" s="60">
      <c r="A700" s="75" t="n">
        <v>46633</v>
      </c>
      <c r="B700" s="77">
        <f>SUMIFS(Report!$U:$U,Report!$T:$T,"&lt;&gt;"&amp;"MERCADORIAS P/REVENDA",Report!$AA:$AA,"SIM",Report!$C:$C,A700)</f>
        <v/>
      </c>
      <c r="C700" s="77">
        <f>SUMIFS(Report!$U:$U,Report!$T:$T,"MERCADORIAS P/REVENDA",Report!$AA:$AA,"SIM",Report!$C:$C,A700)</f>
        <v/>
      </c>
      <c r="F700" s="77">
        <f>B700+C700</f>
        <v/>
      </c>
    </row>
    <row r="701" ht="12.75" customHeight="1" s="60">
      <c r="A701" s="99" t="n">
        <v>46634</v>
      </c>
      <c r="B701" s="100">
        <f>SUMIFS(Report!$U:$U,Report!$T:$T,"&lt;&gt;"&amp;"MERCADORIAS P/REVENDA",Report!$AA:$AA,"SIM",Report!$C:$C,A701)</f>
        <v/>
      </c>
      <c r="C701" s="100">
        <f>SUMIFS(Report!$U:$U,Report!$T:$T,"MERCADORIAS P/REVENDA",Report!$AA:$AA,"SIM",Report!$C:$C,A701)</f>
        <v/>
      </c>
      <c r="D701" s="101" t="n"/>
      <c r="E701" s="101" t="n"/>
      <c r="F701" s="100">
        <f>B701+C701</f>
        <v/>
      </c>
    </row>
    <row r="702" ht="12.75" customHeight="1" s="60">
      <c r="A702" s="99" t="n">
        <v>46635</v>
      </c>
      <c r="B702" s="100">
        <f>SUMIFS(Report!$U:$U,Report!$T:$T,"&lt;&gt;"&amp;"MERCADORIAS P/REVENDA",Report!$AA:$AA,"SIM",Report!$C:$C,A702)</f>
        <v/>
      </c>
      <c r="C702" s="100">
        <f>SUMIFS(Report!$U:$U,Report!$T:$T,"MERCADORIAS P/REVENDA",Report!$AA:$AA,"SIM",Report!$C:$C,A702)</f>
        <v/>
      </c>
      <c r="D702" s="101" t="n"/>
      <c r="E702" s="101" t="n"/>
      <c r="F702" s="100">
        <f>B702+C702</f>
        <v/>
      </c>
    </row>
    <row r="703" ht="12.75" customHeight="1" s="60">
      <c r="A703" s="99" t="n">
        <v>46636</v>
      </c>
      <c r="B703" s="100">
        <f>SUMIFS(Report!$U:$U,Report!$T:$T,"&lt;&gt;"&amp;"MERCADORIAS P/REVENDA",Report!$AA:$AA,"SIM",Report!$C:$C,A703)</f>
        <v/>
      </c>
      <c r="C703" s="100">
        <f>SUMIFS(Report!$U:$U,Report!$T:$T,"MERCADORIAS P/REVENDA",Report!$AA:$AA,"SIM",Report!$C:$C,A703)</f>
        <v/>
      </c>
      <c r="D703" s="101" t="n"/>
      <c r="E703" s="101" t="n"/>
      <c r="F703" s="100">
        <f>B703+C703</f>
        <v/>
      </c>
    </row>
    <row r="704" ht="12.75" customHeight="1" s="60">
      <c r="A704" s="102">
        <f>"Subtotal Semana "&amp;TEXT(A697,"dd/mm/yyyy")&amp;" a "&amp;TEXT(A703,"dd/mm/yyyy")</f>
        <v/>
      </c>
      <c r="B704" s="90">
        <f>SUM(B697:B703)</f>
        <v/>
      </c>
      <c r="C704" s="90">
        <f>SUM(C697:C703)</f>
        <v/>
      </c>
      <c r="D704" s="94" t="n"/>
      <c r="E704" s="94" t="n"/>
      <c r="F704" s="90">
        <f>B704+C704</f>
        <v/>
      </c>
    </row>
    <row r="705" ht="12.75" customHeight="1" s="60">
      <c r="A705" s="75" t="n">
        <v>46637</v>
      </c>
      <c r="B705" s="77">
        <f>SUMIFS(Report!$U:$U,Report!$T:$T,"&lt;&gt;"&amp;"MERCADORIAS P/REVENDA",Report!$AA:$AA,"SIM",Report!$C:$C,A705)</f>
        <v/>
      </c>
      <c r="C705" s="77">
        <f>SUMIFS(Report!$U:$U,Report!$T:$T,"MERCADORIAS P/REVENDA",Report!$AA:$AA,"SIM",Report!$C:$C,A705)</f>
        <v/>
      </c>
      <c r="F705" s="77">
        <f>B705+C705</f>
        <v/>
      </c>
    </row>
    <row r="706" ht="12.75" customHeight="1" s="60">
      <c r="A706" s="75" t="n">
        <v>46638</v>
      </c>
      <c r="B706" s="77">
        <f>SUMIFS(Report!$U:$U,Report!$T:$T,"&lt;&gt;"&amp;"MERCADORIAS P/REVENDA",Report!$AA:$AA,"SIM",Report!$C:$C,A706)</f>
        <v/>
      </c>
      <c r="C706" s="77">
        <f>SUMIFS(Report!$U:$U,Report!$T:$T,"MERCADORIAS P/REVENDA",Report!$AA:$AA,"SIM",Report!$C:$C,A706)</f>
        <v/>
      </c>
      <c r="F706" s="77">
        <f>B706+C706</f>
        <v/>
      </c>
    </row>
    <row r="707" ht="12.75" customHeight="1" s="60">
      <c r="A707" s="75" t="n">
        <v>46639</v>
      </c>
      <c r="B707" s="77">
        <f>SUMIFS(Report!$U:$U,Report!$T:$T,"&lt;&gt;"&amp;"MERCADORIAS P/REVENDA",Report!$AA:$AA,"SIM",Report!$C:$C,A707)</f>
        <v/>
      </c>
      <c r="C707" s="77">
        <f>SUMIFS(Report!$U:$U,Report!$T:$T,"MERCADORIAS P/REVENDA",Report!$AA:$AA,"SIM",Report!$C:$C,A707)</f>
        <v/>
      </c>
      <c r="F707" s="77">
        <f>B707+C707</f>
        <v/>
      </c>
    </row>
    <row r="708" ht="12.75" customHeight="1" s="60">
      <c r="A708" s="75" t="n">
        <v>46640</v>
      </c>
      <c r="B708" s="77">
        <f>SUMIFS(Report!$U:$U,Report!$T:$T,"&lt;&gt;"&amp;"MERCADORIAS P/REVENDA",Report!$AA:$AA,"SIM",Report!$C:$C,A708)</f>
        <v/>
      </c>
      <c r="C708" s="77">
        <f>SUMIFS(Report!$U:$U,Report!$T:$T,"MERCADORIAS P/REVENDA",Report!$AA:$AA,"SIM",Report!$C:$C,A708)</f>
        <v/>
      </c>
      <c r="F708" s="77">
        <f>B708+C708</f>
        <v/>
      </c>
    </row>
    <row r="709" ht="12.75" customHeight="1" s="60">
      <c r="A709" s="99" t="n">
        <v>46641</v>
      </c>
      <c r="B709" s="100">
        <f>SUMIFS(Report!$U:$U,Report!$T:$T,"&lt;&gt;"&amp;"MERCADORIAS P/REVENDA",Report!$AA:$AA,"SIM",Report!$C:$C,A709)</f>
        <v/>
      </c>
      <c r="C709" s="100">
        <f>SUMIFS(Report!$U:$U,Report!$T:$T,"MERCADORIAS P/REVENDA",Report!$AA:$AA,"SIM",Report!$C:$C,A709)</f>
        <v/>
      </c>
      <c r="D709" s="101" t="n"/>
      <c r="E709" s="101" t="n"/>
      <c r="F709" s="100">
        <f>B709+C709</f>
        <v/>
      </c>
    </row>
    <row r="710" ht="12.75" customHeight="1" s="60">
      <c r="A710" s="99" t="n">
        <v>46642</v>
      </c>
      <c r="B710" s="100">
        <f>SUMIFS(Report!$U:$U,Report!$T:$T,"&lt;&gt;"&amp;"MERCADORIAS P/REVENDA",Report!$AA:$AA,"SIM",Report!$C:$C,A710)</f>
        <v/>
      </c>
      <c r="C710" s="100">
        <f>SUMIFS(Report!$U:$U,Report!$T:$T,"MERCADORIAS P/REVENDA",Report!$AA:$AA,"SIM",Report!$C:$C,A710)</f>
        <v/>
      </c>
      <c r="D710" s="101" t="n"/>
      <c r="E710" s="101" t="n"/>
      <c r="F710" s="100">
        <f>B710+C710</f>
        <v/>
      </c>
    </row>
    <row r="711" ht="12.75" customHeight="1" s="60">
      <c r="A711" s="99" t="n">
        <v>46643</v>
      </c>
      <c r="B711" s="100">
        <f>SUMIFS(Report!$U:$U,Report!$T:$T,"&lt;&gt;"&amp;"MERCADORIAS P/REVENDA",Report!$AA:$AA,"SIM",Report!$C:$C,A711)</f>
        <v/>
      </c>
      <c r="C711" s="100">
        <f>SUMIFS(Report!$U:$U,Report!$T:$T,"MERCADORIAS P/REVENDA",Report!$AA:$AA,"SIM",Report!$C:$C,A711)</f>
        <v/>
      </c>
      <c r="D711" s="101" t="n"/>
      <c r="E711" s="101" t="n"/>
      <c r="F711" s="100">
        <f>B711+C711</f>
        <v/>
      </c>
    </row>
    <row r="712" ht="12.75" customHeight="1" s="60">
      <c r="A712" s="102">
        <f>"Subtotal Semana "&amp;TEXT(A705,"dd/mm/yyyy")&amp;" a "&amp;TEXT(A711,"dd/mm/yyyy")</f>
        <v/>
      </c>
      <c r="B712" s="90">
        <f>SUM(B705:B711)</f>
        <v/>
      </c>
      <c r="C712" s="90">
        <f>SUM(C705:C711)</f>
        <v/>
      </c>
      <c r="D712" s="94" t="n"/>
      <c r="E712" s="94" t="n"/>
      <c r="F712" s="90">
        <f>B712+C712</f>
        <v/>
      </c>
    </row>
    <row r="713" ht="12.75" customHeight="1" s="60">
      <c r="A713" s="75" t="n">
        <v>46644</v>
      </c>
      <c r="B713" s="77">
        <f>SUMIFS(Report!$U:$U,Report!$T:$T,"&lt;&gt;"&amp;"MERCADORIAS P/REVENDA",Report!$AA:$AA,"SIM",Report!$C:$C,A713)</f>
        <v/>
      </c>
      <c r="C713" s="77">
        <f>SUMIFS(Report!$U:$U,Report!$T:$T,"MERCADORIAS P/REVENDA",Report!$AA:$AA,"SIM",Report!$C:$C,A713)</f>
        <v/>
      </c>
      <c r="F713" s="77">
        <f>B713+C713</f>
        <v/>
      </c>
    </row>
    <row r="714" ht="12.75" customHeight="1" s="60">
      <c r="A714" s="75" t="n">
        <v>46645</v>
      </c>
      <c r="B714" s="77">
        <f>SUMIFS(Report!$U:$U,Report!$T:$T,"&lt;&gt;"&amp;"MERCADORIAS P/REVENDA",Report!$AA:$AA,"SIM",Report!$C:$C,A714)</f>
        <v/>
      </c>
      <c r="C714" s="77">
        <f>SUMIFS(Report!$U:$U,Report!$T:$T,"MERCADORIAS P/REVENDA",Report!$AA:$AA,"SIM",Report!$C:$C,A714)</f>
        <v/>
      </c>
      <c r="F714" s="77">
        <f>B714+C714</f>
        <v/>
      </c>
    </row>
    <row r="715" ht="12.75" customHeight="1" s="60">
      <c r="A715" s="75" t="n">
        <v>46646</v>
      </c>
      <c r="B715" s="77">
        <f>SUMIFS(Report!$U:$U,Report!$T:$T,"&lt;&gt;"&amp;"MERCADORIAS P/REVENDA",Report!$AA:$AA,"SIM",Report!$C:$C,A715)</f>
        <v/>
      </c>
      <c r="C715" s="77">
        <f>SUMIFS(Report!$U:$U,Report!$T:$T,"MERCADORIAS P/REVENDA",Report!$AA:$AA,"SIM",Report!$C:$C,A715)</f>
        <v/>
      </c>
      <c r="F715" s="77">
        <f>B715+C715</f>
        <v/>
      </c>
    </row>
    <row r="716" ht="12.75" customHeight="1" s="60">
      <c r="A716" s="75" t="n">
        <v>46647</v>
      </c>
      <c r="B716" s="77">
        <f>SUMIFS(Report!$U:$U,Report!$T:$T,"&lt;&gt;"&amp;"MERCADORIAS P/REVENDA",Report!$AA:$AA,"SIM",Report!$C:$C,A716)</f>
        <v/>
      </c>
      <c r="C716" s="77">
        <f>SUMIFS(Report!$U:$U,Report!$T:$T,"MERCADORIAS P/REVENDA",Report!$AA:$AA,"SIM",Report!$C:$C,A716)</f>
        <v/>
      </c>
      <c r="F716" s="77">
        <f>B716+C716</f>
        <v/>
      </c>
    </row>
    <row r="717" ht="12.75" customHeight="1" s="60">
      <c r="A717" s="99" t="n">
        <v>46648</v>
      </c>
      <c r="B717" s="100">
        <f>SUMIFS(Report!$U:$U,Report!$T:$T,"&lt;&gt;"&amp;"MERCADORIAS P/REVENDA",Report!$AA:$AA,"SIM",Report!$C:$C,A717)</f>
        <v/>
      </c>
      <c r="C717" s="100">
        <f>SUMIFS(Report!$U:$U,Report!$T:$T,"MERCADORIAS P/REVENDA",Report!$AA:$AA,"SIM",Report!$C:$C,A717)</f>
        <v/>
      </c>
      <c r="D717" s="101" t="n"/>
      <c r="E717" s="101" t="n"/>
      <c r="F717" s="100">
        <f>B717+C717</f>
        <v/>
      </c>
    </row>
    <row r="718" ht="12.75" customHeight="1" s="60">
      <c r="A718" s="99" t="n">
        <v>46649</v>
      </c>
      <c r="B718" s="100">
        <f>SUMIFS(Report!$U:$U,Report!$T:$T,"&lt;&gt;"&amp;"MERCADORIAS P/REVENDA",Report!$AA:$AA,"SIM",Report!$C:$C,A718)</f>
        <v/>
      </c>
      <c r="C718" s="100">
        <f>SUMIFS(Report!$U:$U,Report!$T:$T,"MERCADORIAS P/REVENDA",Report!$AA:$AA,"SIM",Report!$C:$C,A718)</f>
        <v/>
      </c>
      <c r="D718" s="101" t="n"/>
      <c r="E718" s="101" t="n"/>
      <c r="F718" s="100">
        <f>B718+C718</f>
        <v/>
      </c>
    </row>
    <row r="719" ht="12.75" customHeight="1" s="60">
      <c r="A719" s="99" t="n">
        <v>46650</v>
      </c>
      <c r="B719" s="100">
        <f>SUMIFS(Report!$U:$U,Report!$T:$T,"&lt;&gt;"&amp;"MERCADORIAS P/REVENDA",Report!$AA:$AA,"SIM",Report!$C:$C,A719)</f>
        <v/>
      </c>
      <c r="C719" s="100">
        <f>SUMIFS(Report!$U:$U,Report!$T:$T,"MERCADORIAS P/REVENDA",Report!$AA:$AA,"SIM",Report!$C:$C,A719)</f>
        <v/>
      </c>
      <c r="D719" s="101" t="n"/>
      <c r="E719" s="101" t="n"/>
      <c r="F719" s="100">
        <f>B719+C719</f>
        <v/>
      </c>
    </row>
    <row r="720" ht="12.75" customHeight="1" s="60">
      <c r="A720" s="102">
        <f>"Subtotal Semana "&amp;TEXT(A713,"dd/mm/yyyy")&amp;" a "&amp;TEXT(A719,"dd/mm/yyyy")</f>
        <v/>
      </c>
      <c r="B720" s="90">
        <f>SUM(B713:B719)</f>
        <v/>
      </c>
      <c r="C720" s="90">
        <f>SUM(C713:C719)</f>
        <v/>
      </c>
      <c r="D720" s="94" t="n"/>
      <c r="E720" s="94" t="n"/>
      <c r="F720" s="90">
        <f>B720+C720</f>
        <v/>
      </c>
    </row>
    <row r="721" ht="12.75" customHeight="1" s="60">
      <c r="A721" s="75" t="n">
        <v>46651</v>
      </c>
      <c r="B721" s="77">
        <f>SUMIFS(Report!$U:$U,Report!$T:$T,"&lt;&gt;"&amp;"MERCADORIAS P/REVENDA",Report!$AA:$AA,"SIM",Report!$C:$C,A721)</f>
        <v/>
      </c>
      <c r="C721" s="77">
        <f>SUMIFS(Report!$U:$U,Report!$T:$T,"MERCADORIAS P/REVENDA",Report!$AA:$AA,"SIM",Report!$C:$C,A721)</f>
        <v/>
      </c>
      <c r="F721" s="77">
        <f>B721+C721</f>
        <v/>
      </c>
    </row>
    <row r="722" ht="12.75" customHeight="1" s="60">
      <c r="A722" s="75" t="n">
        <v>46652</v>
      </c>
      <c r="B722" s="77">
        <f>SUMIFS(Report!$U:$U,Report!$T:$T,"&lt;&gt;"&amp;"MERCADORIAS P/REVENDA",Report!$AA:$AA,"SIM",Report!$C:$C,A722)</f>
        <v/>
      </c>
      <c r="C722" s="77">
        <f>SUMIFS(Report!$U:$U,Report!$T:$T,"MERCADORIAS P/REVENDA",Report!$AA:$AA,"SIM",Report!$C:$C,A722)</f>
        <v/>
      </c>
      <c r="F722" s="77">
        <f>B722+C722</f>
        <v/>
      </c>
    </row>
    <row r="723" ht="12.75" customHeight="1" s="60">
      <c r="A723" s="75" t="n">
        <v>46653</v>
      </c>
      <c r="B723" s="77">
        <f>SUMIFS(Report!$U:$U,Report!$T:$T,"&lt;&gt;"&amp;"MERCADORIAS P/REVENDA",Report!$AA:$AA,"SIM",Report!$C:$C,A723)</f>
        <v/>
      </c>
      <c r="C723" s="77">
        <f>SUMIFS(Report!$U:$U,Report!$T:$T,"MERCADORIAS P/REVENDA",Report!$AA:$AA,"SIM",Report!$C:$C,A723)</f>
        <v/>
      </c>
      <c r="F723" s="77">
        <f>B723+C723</f>
        <v/>
      </c>
    </row>
    <row r="724" ht="12.75" customHeight="1" s="60">
      <c r="A724" s="75" t="n">
        <v>46654</v>
      </c>
      <c r="B724" s="77">
        <f>SUMIFS(Report!$U:$U,Report!$T:$T,"&lt;&gt;"&amp;"MERCADORIAS P/REVENDA",Report!$AA:$AA,"SIM",Report!$C:$C,A724)</f>
        <v/>
      </c>
      <c r="C724" s="77">
        <f>SUMIFS(Report!$U:$U,Report!$T:$T,"MERCADORIAS P/REVENDA",Report!$AA:$AA,"SIM",Report!$C:$C,A724)</f>
        <v/>
      </c>
      <c r="F724" s="77">
        <f>B724+C724</f>
        <v/>
      </c>
    </row>
    <row r="725" ht="12.75" customHeight="1" s="60">
      <c r="A725" s="99" t="n">
        <v>46655</v>
      </c>
      <c r="B725" s="100">
        <f>SUMIFS(Report!$U:$U,Report!$T:$T,"&lt;&gt;"&amp;"MERCADORIAS P/REVENDA",Report!$AA:$AA,"SIM",Report!$C:$C,A725)</f>
        <v/>
      </c>
      <c r="C725" s="100">
        <f>SUMIFS(Report!$U:$U,Report!$T:$T,"MERCADORIAS P/REVENDA",Report!$AA:$AA,"SIM",Report!$C:$C,A725)</f>
        <v/>
      </c>
      <c r="D725" s="101" t="n"/>
      <c r="E725" s="101" t="n"/>
      <c r="F725" s="100">
        <f>B725+C725</f>
        <v/>
      </c>
    </row>
    <row r="726" ht="12.75" customHeight="1" s="60">
      <c r="A726" s="99" t="n">
        <v>46656</v>
      </c>
      <c r="B726" s="100">
        <f>SUMIFS(Report!$U:$U,Report!$T:$T,"&lt;&gt;"&amp;"MERCADORIAS P/REVENDA",Report!$AA:$AA,"SIM",Report!$C:$C,A726)</f>
        <v/>
      </c>
      <c r="C726" s="100">
        <f>SUMIFS(Report!$U:$U,Report!$T:$T,"MERCADORIAS P/REVENDA",Report!$AA:$AA,"SIM",Report!$C:$C,A726)</f>
        <v/>
      </c>
      <c r="D726" s="101" t="n"/>
      <c r="E726" s="101" t="n"/>
      <c r="F726" s="100">
        <f>B726+C726</f>
        <v/>
      </c>
    </row>
    <row r="727" ht="12.75" customHeight="1" s="60">
      <c r="A727" s="99" t="n">
        <v>46657</v>
      </c>
      <c r="B727" s="100">
        <f>SUMIFS(Report!$U:$U,Report!$T:$T,"&lt;&gt;"&amp;"MERCADORIAS P/REVENDA",Report!$AA:$AA,"SIM",Report!$C:$C,A727)</f>
        <v/>
      </c>
      <c r="C727" s="100">
        <f>SUMIFS(Report!$U:$U,Report!$T:$T,"MERCADORIAS P/REVENDA",Report!$AA:$AA,"SIM",Report!$C:$C,A727)</f>
        <v/>
      </c>
      <c r="D727" s="101" t="n"/>
      <c r="E727" s="101" t="n"/>
      <c r="F727" s="100">
        <f>B727+C727</f>
        <v/>
      </c>
    </row>
    <row r="728" ht="12.75" customHeight="1" s="60">
      <c r="A728" s="102">
        <f>"Subtotal Semana "&amp;TEXT(A721,"dd/mm/yyyy")&amp;" a "&amp;TEXT(A727,"dd/mm/yyyy")</f>
        <v/>
      </c>
      <c r="B728" s="90">
        <f>SUM(B721:B727)</f>
        <v/>
      </c>
      <c r="C728" s="90">
        <f>SUM(C721:C727)</f>
        <v/>
      </c>
      <c r="D728" s="94" t="n"/>
      <c r="E728" s="94" t="n"/>
      <c r="F728" s="90">
        <f>B728+C728</f>
        <v/>
      </c>
    </row>
    <row r="729" ht="12.75" customHeight="1" s="60">
      <c r="A729" s="75" t="n">
        <v>46658</v>
      </c>
      <c r="B729" s="77">
        <f>SUMIFS(Report!$U:$U,Report!$T:$T,"&lt;&gt;"&amp;"MERCADORIAS P/REVENDA",Report!$AA:$AA,"SIM",Report!$C:$C,A729)</f>
        <v/>
      </c>
      <c r="C729" s="77">
        <f>SUMIFS(Report!$U:$U,Report!$T:$T,"MERCADORIAS P/REVENDA",Report!$AA:$AA,"SIM",Report!$C:$C,A729)</f>
        <v/>
      </c>
      <c r="F729" s="77">
        <f>B729+C729</f>
        <v/>
      </c>
    </row>
    <row r="730" ht="12.75" customHeight="1" s="60">
      <c r="A730" s="75" t="n">
        <v>46659</v>
      </c>
      <c r="B730" s="77">
        <f>SUMIFS(Report!$U:$U,Report!$T:$T,"&lt;&gt;"&amp;"MERCADORIAS P/REVENDA",Report!$AA:$AA,"SIM",Report!$C:$C,A730)</f>
        <v/>
      </c>
      <c r="C730" s="77">
        <f>SUMIFS(Report!$U:$U,Report!$T:$T,"MERCADORIAS P/REVENDA",Report!$AA:$AA,"SIM",Report!$C:$C,A730)</f>
        <v/>
      </c>
      <c r="F730" s="77">
        <f>B730+C730</f>
        <v/>
      </c>
    </row>
    <row r="731" ht="12.75" customHeight="1" s="60">
      <c r="A731" s="75" t="n">
        <v>46660</v>
      </c>
      <c r="B731" s="77">
        <f>SUMIFS(Report!$U:$U,Report!$T:$T,"&lt;&gt;"&amp;"MERCADORIAS P/REVENDA",Report!$AA:$AA,"SIM",Report!$C:$C,A731)</f>
        <v/>
      </c>
      <c r="C731" s="77">
        <f>SUMIFS(Report!$U:$U,Report!$T:$T,"MERCADORIAS P/REVENDA",Report!$AA:$AA,"SIM",Report!$C:$C,A731)</f>
        <v/>
      </c>
      <c r="F731" s="77">
        <f>B731+C731</f>
        <v/>
      </c>
    </row>
    <row r="732" ht="12.75" customHeight="1" s="60">
      <c r="A732" s="75" t="n">
        <v>46661</v>
      </c>
      <c r="B732" s="77">
        <f>SUMIFS(Report!$U:$U,Report!$T:$T,"&lt;&gt;"&amp;"MERCADORIAS P/REVENDA",Report!$AA:$AA,"SIM",Report!$C:$C,A732)</f>
        <v/>
      </c>
      <c r="C732" s="77">
        <f>SUMIFS(Report!$U:$U,Report!$T:$T,"MERCADORIAS P/REVENDA",Report!$AA:$AA,"SIM",Report!$C:$C,A732)</f>
        <v/>
      </c>
      <c r="F732" s="77">
        <f>B732+C732</f>
        <v/>
      </c>
    </row>
    <row r="733" ht="12.75" customHeight="1" s="60">
      <c r="A733" s="99" t="n">
        <v>46662</v>
      </c>
      <c r="B733" s="100">
        <f>SUMIFS(Report!$U:$U,Report!$T:$T,"&lt;&gt;"&amp;"MERCADORIAS P/REVENDA",Report!$AA:$AA,"SIM",Report!$C:$C,A733)</f>
        <v/>
      </c>
      <c r="C733" s="100">
        <f>SUMIFS(Report!$U:$U,Report!$T:$T,"MERCADORIAS P/REVENDA",Report!$AA:$AA,"SIM",Report!$C:$C,A733)</f>
        <v/>
      </c>
      <c r="D733" s="101" t="n"/>
      <c r="E733" s="101" t="n"/>
      <c r="F733" s="100">
        <f>B733+C733</f>
        <v/>
      </c>
    </row>
    <row r="734" ht="12.75" customHeight="1" s="60">
      <c r="A734" s="99" t="n">
        <v>46663</v>
      </c>
      <c r="B734" s="100">
        <f>SUMIFS(Report!$U:$U,Report!$T:$T,"&lt;&gt;"&amp;"MERCADORIAS P/REVENDA",Report!$AA:$AA,"SIM",Report!$C:$C,A734)</f>
        <v/>
      </c>
      <c r="C734" s="100">
        <f>SUMIFS(Report!$U:$U,Report!$T:$T,"MERCADORIAS P/REVENDA",Report!$AA:$AA,"SIM",Report!$C:$C,A734)</f>
        <v/>
      </c>
      <c r="D734" s="101" t="n"/>
      <c r="E734" s="101" t="n"/>
      <c r="F734" s="100">
        <f>B734+C734</f>
        <v/>
      </c>
    </row>
    <row r="735" ht="12.75" customHeight="1" s="60">
      <c r="A735" s="99" t="n">
        <v>46664</v>
      </c>
      <c r="B735" s="100">
        <f>SUMIFS(Report!$U:$U,Report!$T:$T,"&lt;&gt;"&amp;"MERCADORIAS P/REVENDA",Report!$AA:$AA,"SIM",Report!$C:$C,A735)</f>
        <v/>
      </c>
      <c r="C735" s="100">
        <f>SUMIFS(Report!$U:$U,Report!$T:$T,"MERCADORIAS P/REVENDA",Report!$AA:$AA,"SIM",Report!$C:$C,A735)</f>
        <v/>
      </c>
      <c r="D735" s="101" t="n"/>
      <c r="E735" s="101" t="n"/>
      <c r="F735" s="100">
        <f>B735+C735</f>
        <v/>
      </c>
    </row>
    <row r="736" ht="12.75" customHeight="1" s="60">
      <c r="A736" s="102">
        <f>"Subtotal Semana "&amp;TEXT(A729,"dd/mm/yyyy")&amp;" a "&amp;TEXT(A735,"dd/mm/yyyy")</f>
        <v/>
      </c>
      <c r="B736" s="90">
        <f>SUM(B729:B735)</f>
        <v/>
      </c>
      <c r="C736" s="90">
        <f>SUM(C729:C735)</f>
        <v/>
      </c>
      <c r="D736" s="94" t="n"/>
      <c r="E736" s="94" t="n"/>
      <c r="F736" s="90">
        <f>B736+C736</f>
        <v/>
      </c>
    </row>
    <row r="737" ht="12.75" customHeight="1" s="60">
      <c r="A737" s="75" t="n">
        <v>46665</v>
      </c>
      <c r="B737" s="77">
        <f>SUMIFS(Report!$U:$U,Report!$T:$T,"&lt;&gt;"&amp;"MERCADORIAS P/REVENDA",Report!$AA:$AA,"SIM",Report!$C:$C,A737)</f>
        <v/>
      </c>
      <c r="C737" s="77">
        <f>SUMIFS(Report!$U:$U,Report!$T:$T,"MERCADORIAS P/REVENDA",Report!$AA:$AA,"SIM",Report!$C:$C,A737)</f>
        <v/>
      </c>
      <c r="F737" s="77">
        <f>B737+C737</f>
        <v/>
      </c>
    </row>
    <row r="738" ht="12.75" customHeight="1" s="60">
      <c r="A738" s="75" t="n">
        <v>46666</v>
      </c>
      <c r="B738" s="77">
        <f>SUMIFS(Report!$U:$U,Report!$T:$T,"&lt;&gt;"&amp;"MERCADORIAS P/REVENDA",Report!$AA:$AA,"SIM",Report!$C:$C,A738)</f>
        <v/>
      </c>
      <c r="C738" s="77">
        <f>SUMIFS(Report!$U:$U,Report!$T:$T,"MERCADORIAS P/REVENDA",Report!$AA:$AA,"SIM",Report!$C:$C,A738)</f>
        <v/>
      </c>
      <c r="F738" s="77">
        <f>B738+C738</f>
        <v/>
      </c>
    </row>
    <row r="739" ht="12.75" customHeight="1" s="60">
      <c r="A739" s="75" t="n">
        <v>46667</v>
      </c>
      <c r="B739" s="77">
        <f>SUMIFS(Report!$U:$U,Report!$T:$T,"&lt;&gt;"&amp;"MERCADORIAS P/REVENDA",Report!$AA:$AA,"SIM",Report!$C:$C,A739)</f>
        <v/>
      </c>
      <c r="C739" s="77">
        <f>SUMIFS(Report!$U:$U,Report!$T:$T,"MERCADORIAS P/REVENDA",Report!$AA:$AA,"SIM",Report!$C:$C,A739)</f>
        <v/>
      </c>
      <c r="F739" s="77">
        <f>B739+C739</f>
        <v/>
      </c>
    </row>
    <row r="740" ht="12.75" customHeight="1" s="60">
      <c r="A740" s="75" t="n">
        <v>46668</v>
      </c>
      <c r="B740" s="77">
        <f>SUMIFS(Report!$U:$U,Report!$T:$T,"&lt;&gt;"&amp;"MERCADORIAS P/REVENDA",Report!$AA:$AA,"SIM",Report!$C:$C,A740)</f>
        <v/>
      </c>
      <c r="C740" s="77">
        <f>SUMIFS(Report!$U:$U,Report!$T:$T,"MERCADORIAS P/REVENDA",Report!$AA:$AA,"SIM",Report!$C:$C,A740)</f>
        <v/>
      </c>
      <c r="F740" s="77">
        <f>B740+C740</f>
        <v/>
      </c>
    </row>
    <row r="741" ht="12.75" customHeight="1" s="60">
      <c r="A741" s="99" t="n">
        <v>46669</v>
      </c>
      <c r="B741" s="100">
        <f>SUMIFS(Report!$U:$U,Report!$T:$T,"&lt;&gt;"&amp;"MERCADORIAS P/REVENDA",Report!$AA:$AA,"SIM",Report!$C:$C,A741)</f>
        <v/>
      </c>
      <c r="C741" s="100">
        <f>SUMIFS(Report!$U:$U,Report!$T:$T,"MERCADORIAS P/REVENDA",Report!$AA:$AA,"SIM",Report!$C:$C,A741)</f>
        <v/>
      </c>
      <c r="D741" s="101" t="n"/>
      <c r="E741" s="101" t="n"/>
      <c r="F741" s="100">
        <f>B741+C741</f>
        <v/>
      </c>
    </row>
    <row r="742" ht="12.75" customHeight="1" s="60">
      <c r="A742" s="99" t="n">
        <v>46670</v>
      </c>
      <c r="B742" s="100">
        <f>SUMIFS(Report!$U:$U,Report!$T:$T,"&lt;&gt;"&amp;"MERCADORIAS P/REVENDA",Report!$AA:$AA,"SIM",Report!$C:$C,A742)</f>
        <v/>
      </c>
      <c r="C742" s="100">
        <f>SUMIFS(Report!$U:$U,Report!$T:$T,"MERCADORIAS P/REVENDA",Report!$AA:$AA,"SIM",Report!$C:$C,A742)</f>
        <v/>
      </c>
      <c r="D742" s="101" t="n"/>
      <c r="E742" s="101" t="n"/>
      <c r="F742" s="100">
        <f>B742+C742</f>
        <v/>
      </c>
    </row>
    <row r="743" ht="12.75" customHeight="1" s="60">
      <c r="A743" s="99" t="n">
        <v>46671</v>
      </c>
      <c r="B743" s="100">
        <f>SUMIFS(Report!$U:$U,Report!$T:$T,"&lt;&gt;"&amp;"MERCADORIAS P/REVENDA",Report!$AA:$AA,"SIM",Report!$C:$C,A743)</f>
        <v/>
      </c>
      <c r="C743" s="100">
        <f>SUMIFS(Report!$U:$U,Report!$T:$T,"MERCADORIAS P/REVENDA",Report!$AA:$AA,"SIM",Report!$C:$C,A743)</f>
        <v/>
      </c>
      <c r="D743" s="101" t="n"/>
      <c r="E743" s="101" t="n"/>
      <c r="F743" s="100">
        <f>B743+C743</f>
        <v/>
      </c>
    </row>
    <row r="744" ht="12.75" customHeight="1" s="60">
      <c r="A744" s="102">
        <f>"Subtotal Semana "&amp;TEXT(A737,"dd/mm/yyyy")&amp;" a "&amp;TEXT(A743,"dd/mm/yyyy")</f>
        <v/>
      </c>
      <c r="B744" s="90">
        <f>SUM(B737:B743)</f>
        <v/>
      </c>
      <c r="C744" s="90">
        <f>SUM(C737:C743)</f>
        <v/>
      </c>
      <c r="D744" s="94" t="n"/>
      <c r="E744" s="94" t="n"/>
      <c r="F744" s="90">
        <f>B744+C744</f>
        <v/>
      </c>
    </row>
    <row r="745" ht="12.75" customHeight="1" s="60">
      <c r="A745" s="75" t="n">
        <v>46672</v>
      </c>
      <c r="B745" s="77">
        <f>SUMIFS(Report!$U:$U,Report!$T:$T,"&lt;&gt;"&amp;"MERCADORIAS P/REVENDA",Report!$AA:$AA,"SIM",Report!$C:$C,A745)</f>
        <v/>
      </c>
      <c r="C745" s="77">
        <f>SUMIFS(Report!$U:$U,Report!$T:$T,"MERCADORIAS P/REVENDA",Report!$AA:$AA,"SIM",Report!$C:$C,A745)</f>
        <v/>
      </c>
      <c r="F745" s="77">
        <f>B745+C745</f>
        <v/>
      </c>
    </row>
    <row r="746" ht="12.75" customHeight="1" s="60">
      <c r="A746" s="75" t="n">
        <v>46673</v>
      </c>
      <c r="B746" s="77">
        <f>SUMIFS(Report!$U:$U,Report!$T:$T,"&lt;&gt;"&amp;"MERCADORIAS P/REVENDA",Report!$AA:$AA,"SIM",Report!$C:$C,A746)</f>
        <v/>
      </c>
      <c r="C746" s="77">
        <f>SUMIFS(Report!$U:$U,Report!$T:$T,"MERCADORIAS P/REVENDA",Report!$AA:$AA,"SIM",Report!$C:$C,A746)</f>
        <v/>
      </c>
      <c r="F746" s="77">
        <f>B746+C746</f>
        <v/>
      </c>
    </row>
    <row r="747" ht="12.75" customHeight="1" s="60">
      <c r="A747" s="75" t="n">
        <v>46674</v>
      </c>
      <c r="B747" s="77">
        <f>SUMIFS(Report!$U:$U,Report!$T:$T,"&lt;&gt;"&amp;"MERCADORIAS P/REVENDA",Report!$AA:$AA,"SIM",Report!$C:$C,A747)</f>
        <v/>
      </c>
      <c r="C747" s="77">
        <f>SUMIFS(Report!$U:$U,Report!$T:$T,"MERCADORIAS P/REVENDA",Report!$AA:$AA,"SIM",Report!$C:$C,A747)</f>
        <v/>
      </c>
      <c r="F747" s="77">
        <f>B747+C747</f>
        <v/>
      </c>
    </row>
    <row r="748" ht="12.75" customHeight="1" s="60">
      <c r="A748" s="75" t="n">
        <v>46675</v>
      </c>
      <c r="B748" s="77">
        <f>SUMIFS(Report!$U:$U,Report!$T:$T,"&lt;&gt;"&amp;"MERCADORIAS P/REVENDA",Report!$AA:$AA,"SIM",Report!$C:$C,A748)</f>
        <v/>
      </c>
      <c r="C748" s="77">
        <f>SUMIFS(Report!$U:$U,Report!$T:$T,"MERCADORIAS P/REVENDA",Report!$AA:$AA,"SIM",Report!$C:$C,A748)</f>
        <v/>
      </c>
      <c r="F748" s="77">
        <f>B748+C748</f>
        <v/>
      </c>
    </row>
    <row r="749" ht="12.75" customHeight="1" s="60">
      <c r="A749" s="99" t="n">
        <v>46676</v>
      </c>
      <c r="B749" s="100">
        <f>SUMIFS(Report!$U:$U,Report!$T:$T,"&lt;&gt;"&amp;"MERCADORIAS P/REVENDA",Report!$AA:$AA,"SIM",Report!$C:$C,A749)</f>
        <v/>
      </c>
      <c r="C749" s="100">
        <f>SUMIFS(Report!$U:$U,Report!$T:$T,"MERCADORIAS P/REVENDA",Report!$AA:$AA,"SIM",Report!$C:$C,A749)</f>
        <v/>
      </c>
      <c r="D749" s="101" t="n"/>
      <c r="E749" s="101" t="n"/>
      <c r="F749" s="100">
        <f>B749+C749</f>
        <v/>
      </c>
    </row>
    <row r="750" ht="12.75" customHeight="1" s="60">
      <c r="A750" s="99" t="n">
        <v>46677</v>
      </c>
      <c r="B750" s="100">
        <f>SUMIFS(Report!$U:$U,Report!$T:$T,"&lt;&gt;"&amp;"MERCADORIAS P/REVENDA",Report!$AA:$AA,"SIM",Report!$C:$C,A750)</f>
        <v/>
      </c>
      <c r="C750" s="100">
        <f>SUMIFS(Report!$U:$U,Report!$T:$T,"MERCADORIAS P/REVENDA",Report!$AA:$AA,"SIM",Report!$C:$C,A750)</f>
        <v/>
      </c>
      <c r="D750" s="101" t="n"/>
      <c r="E750" s="101" t="n"/>
      <c r="F750" s="100">
        <f>B750+C750</f>
        <v/>
      </c>
    </row>
    <row r="751" ht="12.75" customHeight="1" s="60">
      <c r="A751" s="99" t="n">
        <v>46678</v>
      </c>
      <c r="B751" s="100">
        <f>SUMIFS(Report!$U:$U,Report!$T:$T,"&lt;&gt;"&amp;"MERCADORIAS P/REVENDA",Report!$AA:$AA,"SIM",Report!$C:$C,A751)</f>
        <v/>
      </c>
      <c r="C751" s="100">
        <f>SUMIFS(Report!$U:$U,Report!$T:$T,"MERCADORIAS P/REVENDA",Report!$AA:$AA,"SIM",Report!$C:$C,A751)</f>
        <v/>
      </c>
      <c r="D751" s="101" t="n"/>
      <c r="E751" s="101" t="n"/>
      <c r="F751" s="100">
        <f>B751+C751</f>
        <v/>
      </c>
    </row>
    <row r="752" ht="12.75" customHeight="1" s="60">
      <c r="A752" s="102">
        <f>"Subtotal Semana "&amp;TEXT(A745,"dd/mm/yyyy")&amp;" a "&amp;TEXT(A751,"dd/mm/yyyy")</f>
        <v/>
      </c>
      <c r="B752" s="90">
        <f>SUM(B745:B751)</f>
        <v/>
      </c>
      <c r="C752" s="90">
        <f>SUM(C745:C751)</f>
        <v/>
      </c>
      <c r="D752" s="94" t="n"/>
      <c r="E752" s="94" t="n"/>
      <c r="F752" s="90">
        <f>B752+C752</f>
        <v/>
      </c>
    </row>
    <row r="753" ht="12.75" customHeight="1" s="60">
      <c r="A753" s="75" t="n">
        <v>46679</v>
      </c>
      <c r="B753" s="77">
        <f>SUMIFS(Report!$U:$U,Report!$T:$T,"&lt;&gt;"&amp;"MERCADORIAS P/REVENDA",Report!$AA:$AA,"SIM",Report!$C:$C,A753)</f>
        <v/>
      </c>
      <c r="C753" s="77">
        <f>SUMIFS(Report!$U:$U,Report!$T:$T,"MERCADORIAS P/REVENDA",Report!$AA:$AA,"SIM",Report!$C:$C,A753)</f>
        <v/>
      </c>
      <c r="F753" s="77">
        <f>B753+C753</f>
        <v/>
      </c>
    </row>
    <row r="754" ht="12.75" customHeight="1" s="60">
      <c r="A754" s="75" t="n">
        <v>46680</v>
      </c>
      <c r="B754" s="77">
        <f>SUMIFS(Report!$U:$U,Report!$T:$T,"&lt;&gt;"&amp;"MERCADORIAS P/REVENDA",Report!$AA:$AA,"SIM",Report!$C:$C,A754)</f>
        <v/>
      </c>
      <c r="C754" s="77">
        <f>SUMIFS(Report!$U:$U,Report!$T:$T,"MERCADORIAS P/REVENDA",Report!$AA:$AA,"SIM",Report!$C:$C,A754)</f>
        <v/>
      </c>
      <c r="F754" s="77">
        <f>B754+C754</f>
        <v/>
      </c>
    </row>
    <row r="755" ht="12.75" customHeight="1" s="60">
      <c r="A755" s="75" t="n">
        <v>46681</v>
      </c>
      <c r="B755" s="77">
        <f>SUMIFS(Report!$U:$U,Report!$T:$T,"&lt;&gt;"&amp;"MERCADORIAS P/REVENDA",Report!$AA:$AA,"SIM",Report!$C:$C,A755)</f>
        <v/>
      </c>
      <c r="C755" s="77">
        <f>SUMIFS(Report!$U:$U,Report!$T:$T,"MERCADORIAS P/REVENDA",Report!$AA:$AA,"SIM",Report!$C:$C,A755)</f>
        <v/>
      </c>
      <c r="F755" s="77">
        <f>B755+C755</f>
        <v/>
      </c>
    </row>
    <row r="756" ht="12.75" customHeight="1" s="60">
      <c r="A756" s="75" t="n">
        <v>46682</v>
      </c>
      <c r="B756" s="77">
        <f>SUMIFS(Report!$U:$U,Report!$T:$T,"&lt;&gt;"&amp;"MERCADORIAS P/REVENDA",Report!$AA:$AA,"SIM",Report!$C:$C,A756)</f>
        <v/>
      </c>
      <c r="C756" s="77">
        <f>SUMIFS(Report!$U:$U,Report!$T:$T,"MERCADORIAS P/REVENDA",Report!$AA:$AA,"SIM",Report!$C:$C,A756)</f>
        <v/>
      </c>
      <c r="F756" s="77">
        <f>B756+C756</f>
        <v/>
      </c>
    </row>
    <row r="757" ht="12.75" customHeight="1" s="60">
      <c r="A757" s="99" t="n">
        <v>46683</v>
      </c>
      <c r="B757" s="100">
        <f>SUMIFS(Report!$U:$U,Report!$T:$T,"&lt;&gt;"&amp;"MERCADORIAS P/REVENDA",Report!$AA:$AA,"SIM",Report!$C:$C,A757)</f>
        <v/>
      </c>
      <c r="C757" s="100">
        <f>SUMIFS(Report!$U:$U,Report!$T:$T,"MERCADORIAS P/REVENDA",Report!$AA:$AA,"SIM",Report!$C:$C,A757)</f>
        <v/>
      </c>
      <c r="D757" s="101" t="n"/>
      <c r="E757" s="101" t="n"/>
      <c r="F757" s="100">
        <f>B757+C757</f>
        <v/>
      </c>
    </row>
    <row r="758" ht="12.75" customHeight="1" s="60">
      <c r="A758" s="99" t="n">
        <v>46684</v>
      </c>
      <c r="B758" s="100">
        <f>SUMIFS(Report!$U:$U,Report!$T:$T,"&lt;&gt;"&amp;"MERCADORIAS P/REVENDA",Report!$AA:$AA,"SIM",Report!$C:$C,A758)</f>
        <v/>
      </c>
      <c r="C758" s="100">
        <f>SUMIFS(Report!$U:$U,Report!$T:$T,"MERCADORIAS P/REVENDA",Report!$AA:$AA,"SIM",Report!$C:$C,A758)</f>
        <v/>
      </c>
      <c r="D758" s="101" t="n"/>
      <c r="E758" s="101" t="n"/>
      <c r="F758" s="100">
        <f>B758+C758</f>
        <v/>
      </c>
    </row>
    <row r="759" ht="12.75" customHeight="1" s="60">
      <c r="A759" s="99" t="n">
        <v>46685</v>
      </c>
      <c r="B759" s="100">
        <f>SUMIFS(Report!$U:$U,Report!$T:$T,"&lt;&gt;"&amp;"MERCADORIAS P/REVENDA",Report!$AA:$AA,"SIM",Report!$C:$C,A759)</f>
        <v/>
      </c>
      <c r="C759" s="100">
        <f>SUMIFS(Report!$U:$U,Report!$T:$T,"MERCADORIAS P/REVENDA",Report!$AA:$AA,"SIM",Report!$C:$C,A759)</f>
        <v/>
      </c>
      <c r="D759" s="101" t="n"/>
      <c r="E759" s="101" t="n"/>
      <c r="F759" s="100">
        <f>B759+C759</f>
        <v/>
      </c>
    </row>
    <row r="760" ht="12.75" customHeight="1" s="60">
      <c r="A760" s="102">
        <f>"Subtotal Semana "&amp;TEXT(A753,"dd/mm/yyyy")&amp;" a "&amp;TEXT(A759,"dd/mm/yyyy")</f>
        <v/>
      </c>
      <c r="B760" s="90">
        <f>SUM(B753:B759)</f>
        <v/>
      </c>
      <c r="C760" s="90">
        <f>SUM(C753:C759)</f>
        <v/>
      </c>
      <c r="D760" s="94" t="n"/>
      <c r="E760" s="94" t="n"/>
      <c r="F760" s="90">
        <f>B760+C760</f>
        <v/>
      </c>
    </row>
    <row r="761" ht="12.75" customHeight="1" s="60">
      <c r="A761" s="75" t="n">
        <v>46686</v>
      </c>
      <c r="B761" s="77">
        <f>SUMIFS(Report!$U:$U,Report!$T:$T,"&lt;&gt;"&amp;"MERCADORIAS P/REVENDA",Report!$AA:$AA,"SIM",Report!$C:$C,A761)</f>
        <v/>
      </c>
      <c r="C761" s="77">
        <f>SUMIFS(Report!$U:$U,Report!$T:$T,"MERCADORIAS P/REVENDA",Report!$AA:$AA,"SIM",Report!$C:$C,A761)</f>
        <v/>
      </c>
      <c r="F761" s="77">
        <f>B761+C761</f>
        <v/>
      </c>
    </row>
    <row r="762" ht="12.75" customHeight="1" s="60">
      <c r="A762" s="75" t="n">
        <v>46687</v>
      </c>
      <c r="B762" s="77">
        <f>SUMIFS(Report!$U:$U,Report!$T:$T,"&lt;&gt;"&amp;"MERCADORIAS P/REVENDA",Report!$AA:$AA,"SIM",Report!$C:$C,A762)</f>
        <v/>
      </c>
      <c r="C762" s="77">
        <f>SUMIFS(Report!$U:$U,Report!$T:$T,"MERCADORIAS P/REVENDA",Report!$AA:$AA,"SIM",Report!$C:$C,A762)</f>
        <v/>
      </c>
      <c r="F762" s="77">
        <f>B762+C762</f>
        <v/>
      </c>
    </row>
    <row r="763" ht="12.75" customHeight="1" s="60">
      <c r="A763" s="75" t="n">
        <v>46688</v>
      </c>
      <c r="B763" s="77">
        <f>SUMIFS(Report!$U:$U,Report!$T:$T,"&lt;&gt;"&amp;"MERCADORIAS P/REVENDA",Report!$AA:$AA,"SIM",Report!$C:$C,A763)</f>
        <v/>
      </c>
      <c r="C763" s="77">
        <f>SUMIFS(Report!$U:$U,Report!$T:$T,"MERCADORIAS P/REVENDA",Report!$AA:$AA,"SIM",Report!$C:$C,A763)</f>
        <v/>
      </c>
      <c r="F763" s="77">
        <f>B763+C763</f>
        <v/>
      </c>
    </row>
    <row r="764" ht="12.75" customHeight="1" s="60">
      <c r="A764" s="75" t="n">
        <v>46689</v>
      </c>
      <c r="B764" s="77">
        <f>SUMIFS(Report!$U:$U,Report!$T:$T,"&lt;&gt;"&amp;"MERCADORIAS P/REVENDA",Report!$AA:$AA,"SIM",Report!$C:$C,A764)</f>
        <v/>
      </c>
      <c r="C764" s="77">
        <f>SUMIFS(Report!$U:$U,Report!$T:$T,"MERCADORIAS P/REVENDA",Report!$AA:$AA,"SIM",Report!$C:$C,A764)</f>
        <v/>
      </c>
      <c r="F764" s="77">
        <f>B764+C764</f>
        <v/>
      </c>
    </row>
    <row r="765" ht="12.75" customHeight="1" s="60">
      <c r="A765" s="99" t="n">
        <v>46690</v>
      </c>
      <c r="B765" s="100">
        <f>SUMIFS(Report!$U:$U,Report!$T:$T,"&lt;&gt;"&amp;"MERCADORIAS P/REVENDA",Report!$AA:$AA,"SIM",Report!$C:$C,A765)</f>
        <v/>
      </c>
      <c r="C765" s="100">
        <f>SUMIFS(Report!$U:$U,Report!$T:$T,"MERCADORIAS P/REVENDA",Report!$AA:$AA,"SIM",Report!$C:$C,A765)</f>
        <v/>
      </c>
      <c r="D765" s="101" t="n"/>
      <c r="E765" s="101" t="n"/>
      <c r="F765" s="100">
        <f>B765+C765</f>
        <v/>
      </c>
    </row>
    <row r="766" ht="12.75" customHeight="1" s="60">
      <c r="A766" s="99" t="n">
        <v>46691</v>
      </c>
      <c r="B766" s="100">
        <f>SUMIFS(Report!$U:$U,Report!$T:$T,"&lt;&gt;"&amp;"MERCADORIAS P/REVENDA",Report!$AA:$AA,"SIM",Report!$C:$C,A766)</f>
        <v/>
      </c>
      <c r="C766" s="100">
        <f>SUMIFS(Report!$U:$U,Report!$T:$T,"MERCADORIAS P/REVENDA",Report!$AA:$AA,"SIM",Report!$C:$C,A766)</f>
        <v/>
      </c>
      <c r="D766" s="101" t="n"/>
      <c r="E766" s="101" t="n"/>
      <c r="F766" s="100">
        <f>B766+C766</f>
        <v/>
      </c>
    </row>
    <row r="767" ht="12.75" customHeight="1" s="60">
      <c r="A767" s="99" t="n">
        <v>46692</v>
      </c>
      <c r="B767" s="100">
        <f>SUMIFS(Report!$U:$U,Report!$T:$T,"&lt;&gt;"&amp;"MERCADORIAS P/REVENDA",Report!$AA:$AA,"SIM",Report!$C:$C,A767)</f>
        <v/>
      </c>
      <c r="C767" s="100">
        <f>SUMIFS(Report!$U:$U,Report!$T:$T,"MERCADORIAS P/REVENDA",Report!$AA:$AA,"SIM",Report!$C:$C,A767)</f>
        <v/>
      </c>
      <c r="D767" s="101" t="n"/>
      <c r="E767" s="101" t="n"/>
      <c r="F767" s="100">
        <f>B767+C767</f>
        <v/>
      </c>
    </row>
    <row r="768" ht="12.75" customHeight="1" s="60">
      <c r="A768" s="102">
        <f>"Subtotal Semana "&amp;TEXT(A761,"dd/mm/yyyy")&amp;" a "&amp;TEXT(A767,"dd/mm/yyyy")</f>
        <v/>
      </c>
      <c r="B768" s="90">
        <f>SUM(B761:B767)</f>
        <v/>
      </c>
      <c r="C768" s="90">
        <f>SUM(C761:C767)</f>
        <v/>
      </c>
      <c r="D768" s="94" t="n"/>
      <c r="E768" s="94" t="n"/>
      <c r="F768" s="90">
        <f>B768+C768</f>
        <v/>
      </c>
    </row>
    <row r="769" ht="12.75" customHeight="1" s="60">
      <c r="A769" s="75" t="n">
        <v>46693</v>
      </c>
      <c r="B769" s="77">
        <f>SUMIFS(Report!$U:$U,Report!$T:$T,"&lt;&gt;"&amp;"MERCADORIAS P/REVENDA",Report!$AA:$AA,"SIM",Report!$C:$C,A769)</f>
        <v/>
      </c>
      <c r="C769" s="77">
        <f>SUMIFS(Report!$U:$U,Report!$T:$T,"MERCADORIAS P/REVENDA",Report!$AA:$AA,"SIM",Report!$C:$C,A769)</f>
        <v/>
      </c>
      <c r="F769" s="77">
        <f>B769+C769</f>
        <v/>
      </c>
    </row>
    <row r="770" ht="12.75" customHeight="1" s="60">
      <c r="A770" s="75" t="n">
        <v>46694</v>
      </c>
      <c r="B770" s="77">
        <f>SUMIFS(Report!$U:$U,Report!$T:$T,"&lt;&gt;"&amp;"MERCADORIAS P/REVENDA",Report!$AA:$AA,"SIM",Report!$C:$C,A770)</f>
        <v/>
      </c>
      <c r="C770" s="77">
        <f>SUMIFS(Report!$U:$U,Report!$T:$T,"MERCADORIAS P/REVENDA",Report!$AA:$AA,"SIM",Report!$C:$C,A770)</f>
        <v/>
      </c>
      <c r="F770" s="77">
        <f>B770+C770</f>
        <v/>
      </c>
    </row>
    <row r="771" ht="12.75" customHeight="1" s="60">
      <c r="A771" s="75" t="n">
        <v>46695</v>
      </c>
      <c r="B771" s="77">
        <f>SUMIFS(Report!$U:$U,Report!$T:$T,"&lt;&gt;"&amp;"MERCADORIAS P/REVENDA",Report!$AA:$AA,"SIM",Report!$C:$C,A771)</f>
        <v/>
      </c>
      <c r="C771" s="77">
        <f>SUMIFS(Report!$U:$U,Report!$T:$T,"MERCADORIAS P/REVENDA",Report!$AA:$AA,"SIM",Report!$C:$C,A771)</f>
        <v/>
      </c>
      <c r="F771" s="77">
        <f>B771+C771</f>
        <v/>
      </c>
    </row>
    <row r="772" ht="12.75" customHeight="1" s="60">
      <c r="A772" s="75" t="n">
        <v>46696</v>
      </c>
      <c r="B772" s="77">
        <f>SUMIFS(Report!$U:$U,Report!$T:$T,"&lt;&gt;"&amp;"MERCADORIAS P/REVENDA",Report!$AA:$AA,"SIM",Report!$C:$C,A772)</f>
        <v/>
      </c>
      <c r="C772" s="77">
        <f>SUMIFS(Report!$U:$U,Report!$T:$T,"MERCADORIAS P/REVENDA",Report!$AA:$AA,"SIM",Report!$C:$C,A772)</f>
        <v/>
      </c>
      <c r="F772" s="77">
        <f>B772+C772</f>
        <v/>
      </c>
    </row>
    <row r="773" ht="12.75" customHeight="1" s="60">
      <c r="A773" s="99" t="n">
        <v>46697</v>
      </c>
      <c r="B773" s="100">
        <f>SUMIFS(Report!$U:$U,Report!$T:$T,"&lt;&gt;"&amp;"MERCADORIAS P/REVENDA",Report!$AA:$AA,"SIM",Report!$C:$C,A773)</f>
        <v/>
      </c>
      <c r="C773" s="100">
        <f>SUMIFS(Report!$U:$U,Report!$T:$T,"MERCADORIAS P/REVENDA",Report!$AA:$AA,"SIM",Report!$C:$C,A773)</f>
        <v/>
      </c>
      <c r="D773" s="101" t="n"/>
      <c r="E773" s="101" t="n"/>
      <c r="F773" s="100">
        <f>B773+C773</f>
        <v/>
      </c>
    </row>
    <row r="774" ht="12.75" customHeight="1" s="60">
      <c r="A774" s="99" t="n">
        <v>46698</v>
      </c>
      <c r="B774" s="100">
        <f>SUMIFS(Report!$U:$U,Report!$T:$T,"&lt;&gt;"&amp;"MERCADORIAS P/REVENDA",Report!$AA:$AA,"SIM",Report!$C:$C,A774)</f>
        <v/>
      </c>
      <c r="C774" s="100">
        <f>SUMIFS(Report!$U:$U,Report!$T:$T,"MERCADORIAS P/REVENDA",Report!$AA:$AA,"SIM",Report!$C:$C,A774)</f>
        <v/>
      </c>
      <c r="D774" s="101" t="n"/>
      <c r="E774" s="101" t="n"/>
      <c r="F774" s="100">
        <f>B774+C774</f>
        <v/>
      </c>
    </row>
    <row r="775" ht="12.75" customHeight="1" s="60">
      <c r="A775" s="99" t="n">
        <v>46699</v>
      </c>
      <c r="B775" s="100">
        <f>SUMIFS(Report!$U:$U,Report!$T:$T,"&lt;&gt;"&amp;"MERCADORIAS P/REVENDA",Report!$AA:$AA,"SIM",Report!$C:$C,A775)</f>
        <v/>
      </c>
      <c r="C775" s="100">
        <f>SUMIFS(Report!$U:$U,Report!$T:$T,"MERCADORIAS P/REVENDA",Report!$AA:$AA,"SIM",Report!$C:$C,A775)</f>
        <v/>
      </c>
      <c r="D775" s="101" t="n"/>
      <c r="E775" s="101" t="n"/>
      <c r="F775" s="100">
        <f>B775+C775</f>
        <v/>
      </c>
    </row>
    <row r="776" ht="12.75" customHeight="1" s="60">
      <c r="A776" s="102">
        <f>"Subtotal Semana "&amp;TEXT(A769,"dd/mm/yyyy")&amp;" a "&amp;TEXT(A775,"dd/mm/yyyy")</f>
        <v/>
      </c>
      <c r="B776" s="90">
        <f>SUM(B769:B775)</f>
        <v/>
      </c>
      <c r="C776" s="90">
        <f>SUM(C769:C775)</f>
        <v/>
      </c>
      <c r="D776" s="94" t="n"/>
      <c r="E776" s="94" t="n"/>
      <c r="F776" s="90">
        <f>B776+C776</f>
        <v/>
      </c>
    </row>
    <row r="777" ht="12.75" customHeight="1" s="60">
      <c r="A777" s="75" t="n">
        <v>46700</v>
      </c>
      <c r="B777" s="77">
        <f>SUMIFS(Report!$U:$U,Report!$T:$T,"&lt;&gt;"&amp;"MERCADORIAS P/REVENDA",Report!$AA:$AA,"SIM",Report!$C:$C,A777)</f>
        <v/>
      </c>
      <c r="C777" s="77">
        <f>SUMIFS(Report!$U:$U,Report!$T:$T,"MERCADORIAS P/REVENDA",Report!$AA:$AA,"SIM",Report!$C:$C,A777)</f>
        <v/>
      </c>
      <c r="F777" s="77">
        <f>B777+C777</f>
        <v/>
      </c>
    </row>
    <row r="778" ht="12.75" customHeight="1" s="60">
      <c r="A778" s="75" t="n">
        <v>46701</v>
      </c>
      <c r="B778" s="77">
        <f>SUMIFS(Report!$U:$U,Report!$T:$T,"&lt;&gt;"&amp;"MERCADORIAS P/REVENDA",Report!$AA:$AA,"SIM",Report!$C:$C,A778)</f>
        <v/>
      </c>
      <c r="C778" s="77">
        <f>SUMIFS(Report!$U:$U,Report!$T:$T,"MERCADORIAS P/REVENDA",Report!$AA:$AA,"SIM",Report!$C:$C,A778)</f>
        <v/>
      </c>
      <c r="F778" s="77">
        <f>B778+C778</f>
        <v/>
      </c>
    </row>
    <row r="779" ht="12.75" customHeight="1" s="60">
      <c r="A779" s="75" t="n">
        <v>46702</v>
      </c>
      <c r="B779" s="77">
        <f>SUMIFS(Report!$U:$U,Report!$T:$T,"&lt;&gt;"&amp;"MERCADORIAS P/REVENDA",Report!$AA:$AA,"SIM",Report!$C:$C,A779)</f>
        <v/>
      </c>
      <c r="C779" s="77">
        <f>SUMIFS(Report!$U:$U,Report!$T:$T,"MERCADORIAS P/REVENDA",Report!$AA:$AA,"SIM",Report!$C:$C,A779)</f>
        <v/>
      </c>
      <c r="F779" s="77">
        <f>B779+C779</f>
        <v/>
      </c>
    </row>
    <row r="780" ht="12.75" customHeight="1" s="60">
      <c r="A780" s="75" t="n">
        <v>46703</v>
      </c>
      <c r="B780" s="77">
        <f>SUMIFS(Report!$U:$U,Report!$T:$T,"&lt;&gt;"&amp;"MERCADORIAS P/REVENDA",Report!$AA:$AA,"SIM",Report!$C:$C,A780)</f>
        <v/>
      </c>
      <c r="C780" s="77">
        <f>SUMIFS(Report!$U:$U,Report!$T:$T,"MERCADORIAS P/REVENDA",Report!$AA:$AA,"SIM",Report!$C:$C,A780)</f>
        <v/>
      </c>
      <c r="F780" s="77">
        <f>B780+C780</f>
        <v/>
      </c>
    </row>
    <row r="781" ht="12.75" customHeight="1" s="60">
      <c r="A781" s="99" t="n">
        <v>46704</v>
      </c>
      <c r="B781" s="100">
        <f>SUMIFS(Report!$U:$U,Report!$T:$T,"&lt;&gt;"&amp;"MERCADORIAS P/REVENDA",Report!$AA:$AA,"SIM",Report!$C:$C,A781)</f>
        <v/>
      </c>
      <c r="C781" s="100">
        <f>SUMIFS(Report!$U:$U,Report!$T:$T,"MERCADORIAS P/REVENDA",Report!$AA:$AA,"SIM",Report!$C:$C,A781)</f>
        <v/>
      </c>
      <c r="D781" s="101" t="n"/>
      <c r="E781" s="101" t="n"/>
      <c r="F781" s="100">
        <f>B781+C781</f>
        <v/>
      </c>
    </row>
    <row r="782" ht="12.75" customHeight="1" s="60">
      <c r="A782" s="99" t="n">
        <v>46705</v>
      </c>
      <c r="B782" s="100">
        <f>SUMIFS(Report!$U:$U,Report!$T:$T,"&lt;&gt;"&amp;"MERCADORIAS P/REVENDA",Report!$AA:$AA,"SIM",Report!$C:$C,A782)</f>
        <v/>
      </c>
      <c r="C782" s="100">
        <f>SUMIFS(Report!$U:$U,Report!$T:$T,"MERCADORIAS P/REVENDA",Report!$AA:$AA,"SIM",Report!$C:$C,A782)</f>
        <v/>
      </c>
      <c r="D782" s="101" t="n"/>
      <c r="E782" s="101" t="n"/>
      <c r="F782" s="100">
        <f>B782+C782</f>
        <v/>
      </c>
    </row>
    <row r="783" ht="12.75" customHeight="1" s="60">
      <c r="A783" s="99" t="n">
        <v>46706</v>
      </c>
      <c r="B783" s="100">
        <f>SUMIFS(Report!$U:$U,Report!$T:$T,"&lt;&gt;"&amp;"MERCADORIAS P/REVENDA",Report!$AA:$AA,"SIM",Report!$C:$C,A783)</f>
        <v/>
      </c>
      <c r="C783" s="100">
        <f>SUMIFS(Report!$U:$U,Report!$T:$T,"MERCADORIAS P/REVENDA",Report!$AA:$AA,"SIM",Report!$C:$C,A783)</f>
        <v/>
      </c>
      <c r="D783" s="101" t="n"/>
      <c r="E783" s="101" t="n"/>
      <c r="F783" s="100">
        <f>B783+C783</f>
        <v/>
      </c>
    </row>
    <row r="784" ht="12.75" customHeight="1" s="60">
      <c r="A784" s="102">
        <f>"Subtotal Semana "&amp;TEXT(A777,"dd/mm/yyyy")&amp;" a "&amp;TEXT(A783,"dd/mm/yyyy")</f>
        <v/>
      </c>
      <c r="B784" s="90">
        <f>SUM(B777:B783)</f>
        <v/>
      </c>
      <c r="C784" s="90">
        <f>SUM(C777:C783)</f>
        <v/>
      </c>
      <c r="D784" s="94" t="n"/>
      <c r="E784" s="94" t="n"/>
      <c r="F784" s="90">
        <f>B784+C784</f>
        <v/>
      </c>
    </row>
    <row r="785" ht="12.75" customHeight="1" s="60">
      <c r="A785" s="75" t="n">
        <v>46707</v>
      </c>
      <c r="B785" s="77">
        <f>SUMIFS(Report!$U:$U,Report!$T:$T,"&lt;&gt;"&amp;"MERCADORIAS P/REVENDA",Report!$AA:$AA,"SIM",Report!$C:$C,A785)</f>
        <v/>
      </c>
      <c r="C785" s="77">
        <f>SUMIFS(Report!$U:$U,Report!$T:$T,"MERCADORIAS P/REVENDA",Report!$AA:$AA,"SIM",Report!$C:$C,A785)</f>
        <v/>
      </c>
      <c r="F785" s="77">
        <f>B785+C785</f>
        <v/>
      </c>
    </row>
    <row r="786" ht="12.75" customHeight="1" s="60">
      <c r="A786" s="75" t="n">
        <v>46708</v>
      </c>
      <c r="B786" s="77">
        <f>SUMIFS(Report!$U:$U,Report!$T:$T,"&lt;&gt;"&amp;"MERCADORIAS P/REVENDA",Report!$AA:$AA,"SIM",Report!$C:$C,A786)</f>
        <v/>
      </c>
      <c r="C786" s="77">
        <f>SUMIFS(Report!$U:$U,Report!$T:$T,"MERCADORIAS P/REVENDA",Report!$AA:$AA,"SIM",Report!$C:$C,A786)</f>
        <v/>
      </c>
      <c r="F786" s="77">
        <f>B786+C786</f>
        <v/>
      </c>
    </row>
    <row r="787" ht="12.75" customHeight="1" s="60">
      <c r="A787" s="75" t="n">
        <v>46709</v>
      </c>
      <c r="B787" s="77">
        <f>SUMIFS(Report!$U:$U,Report!$T:$T,"&lt;&gt;"&amp;"MERCADORIAS P/REVENDA",Report!$AA:$AA,"SIM",Report!$C:$C,A787)</f>
        <v/>
      </c>
      <c r="C787" s="77">
        <f>SUMIFS(Report!$U:$U,Report!$T:$T,"MERCADORIAS P/REVENDA",Report!$AA:$AA,"SIM",Report!$C:$C,A787)</f>
        <v/>
      </c>
      <c r="F787" s="77">
        <f>B787+C787</f>
        <v/>
      </c>
    </row>
    <row r="788" ht="12.75" customHeight="1" s="60">
      <c r="A788" s="75" t="n">
        <v>46710</v>
      </c>
      <c r="B788" s="77">
        <f>SUMIFS(Report!$U:$U,Report!$T:$T,"&lt;&gt;"&amp;"MERCADORIAS P/REVENDA",Report!$AA:$AA,"SIM",Report!$C:$C,A788)</f>
        <v/>
      </c>
      <c r="C788" s="77">
        <f>SUMIFS(Report!$U:$U,Report!$T:$T,"MERCADORIAS P/REVENDA",Report!$AA:$AA,"SIM",Report!$C:$C,A788)</f>
        <v/>
      </c>
      <c r="F788" s="77">
        <f>B788+C788</f>
        <v/>
      </c>
    </row>
    <row r="789" ht="12.75" customHeight="1" s="60">
      <c r="A789" s="99" t="n">
        <v>46711</v>
      </c>
      <c r="B789" s="100">
        <f>SUMIFS(Report!$U:$U,Report!$T:$T,"&lt;&gt;"&amp;"MERCADORIAS P/REVENDA",Report!$AA:$AA,"SIM",Report!$C:$C,A789)</f>
        <v/>
      </c>
      <c r="C789" s="100">
        <f>SUMIFS(Report!$U:$U,Report!$T:$T,"MERCADORIAS P/REVENDA",Report!$AA:$AA,"SIM",Report!$C:$C,A789)</f>
        <v/>
      </c>
      <c r="D789" s="101" t="n"/>
      <c r="E789" s="101" t="n"/>
      <c r="F789" s="100">
        <f>B789+C789</f>
        <v/>
      </c>
    </row>
    <row r="790" ht="12.75" customHeight="1" s="60">
      <c r="A790" s="99" t="n">
        <v>46712</v>
      </c>
      <c r="B790" s="100">
        <f>SUMIFS(Report!$U:$U,Report!$T:$T,"&lt;&gt;"&amp;"MERCADORIAS P/REVENDA",Report!$AA:$AA,"SIM",Report!$C:$C,A790)</f>
        <v/>
      </c>
      <c r="C790" s="100">
        <f>SUMIFS(Report!$U:$U,Report!$T:$T,"MERCADORIAS P/REVENDA",Report!$AA:$AA,"SIM",Report!$C:$C,A790)</f>
        <v/>
      </c>
      <c r="D790" s="101" t="n"/>
      <c r="E790" s="101" t="n"/>
      <c r="F790" s="100">
        <f>B790+C790</f>
        <v/>
      </c>
    </row>
    <row r="791" ht="12.75" customHeight="1" s="60">
      <c r="A791" s="99" t="n">
        <v>46713</v>
      </c>
      <c r="B791" s="100">
        <f>SUMIFS(Report!$U:$U,Report!$T:$T,"&lt;&gt;"&amp;"MERCADORIAS P/REVENDA",Report!$AA:$AA,"SIM",Report!$C:$C,A791)</f>
        <v/>
      </c>
      <c r="C791" s="100">
        <f>SUMIFS(Report!$U:$U,Report!$T:$T,"MERCADORIAS P/REVENDA",Report!$AA:$AA,"SIM",Report!$C:$C,A791)</f>
        <v/>
      </c>
      <c r="D791" s="101" t="n"/>
      <c r="E791" s="101" t="n"/>
      <c r="F791" s="100">
        <f>B791+C791</f>
        <v/>
      </c>
    </row>
    <row r="792" ht="12.75" customHeight="1" s="60">
      <c r="A792" s="102">
        <f>"Subtotal Semana "&amp;TEXT(A785,"dd/mm/yyyy")&amp;" a "&amp;TEXT(A791,"dd/mm/yyyy")</f>
        <v/>
      </c>
      <c r="B792" s="90">
        <f>SUM(B785:B791)</f>
        <v/>
      </c>
      <c r="C792" s="90">
        <f>SUM(C785:C791)</f>
        <v/>
      </c>
      <c r="D792" s="94" t="n"/>
      <c r="E792" s="94" t="n"/>
      <c r="F792" s="90">
        <f>B792+C792</f>
        <v/>
      </c>
    </row>
    <row r="793" ht="12.75" customHeight="1" s="60">
      <c r="A793" s="75" t="n">
        <v>46714</v>
      </c>
      <c r="B793" s="77">
        <f>SUMIFS(Report!$U:$U,Report!$T:$T,"&lt;&gt;"&amp;"MERCADORIAS P/REVENDA",Report!$AA:$AA,"SIM",Report!$C:$C,A793)</f>
        <v/>
      </c>
      <c r="C793" s="77">
        <f>SUMIFS(Report!$U:$U,Report!$T:$T,"MERCADORIAS P/REVENDA",Report!$AA:$AA,"SIM",Report!$C:$C,A793)</f>
        <v/>
      </c>
      <c r="F793" s="77">
        <f>B793+C793</f>
        <v/>
      </c>
    </row>
    <row r="794" ht="12.75" customHeight="1" s="60">
      <c r="A794" s="75" t="n">
        <v>46715</v>
      </c>
      <c r="B794" s="77">
        <f>SUMIFS(Report!$U:$U,Report!$T:$T,"&lt;&gt;"&amp;"MERCADORIAS P/REVENDA",Report!$AA:$AA,"SIM",Report!$C:$C,A794)</f>
        <v/>
      </c>
      <c r="C794" s="77">
        <f>SUMIFS(Report!$U:$U,Report!$T:$T,"MERCADORIAS P/REVENDA",Report!$AA:$AA,"SIM",Report!$C:$C,A794)</f>
        <v/>
      </c>
      <c r="F794" s="77">
        <f>B794+C794</f>
        <v/>
      </c>
    </row>
    <row r="795" ht="12.75" customHeight="1" s="60">
      <c r="A795" s="75" t="n">
        <v>46716</v>
      </c>
      <c r="B795" s="77">
        <f>SUMIFS(Report!$U:$U,Report!$T:$T,"&lt;&gt;"&amp;"MERCADORIAS P/REVENDA",Report!$AA:$AA,"SIM",Report!$C:$C,A795)</f>
        <v/>
      </c>
      <c r="C795" s="77">
        <f>SUMIFS(Report!$U:$U,Report!$T:$T,"MERCADORIAS P/REVENDA",Report!$AA:$AA,"SIM",Report!$C:$C,A795)</f>
        <v/>
      </c>
      <c r="F795" s="77">
        <f>B795+C795</f>
        <v/>
      </c>
    </row>
    <row r="796" ht="12.75" customHeight="1" s="60">
      <c r="A796" s="75" t="n">
        <v>46717</v>
      </c>
      <c r="B796" s="77">
        <f>SUMIFS(Report!$U:$U,Report!$T:$T,"&lt;&gt;"&amp;"MERCADORIAS P/REVENDA",Report!$AA:$AA,"SIM",Report!$C:$C,A796)</f>
        <v/>
      </c>
      <c r="C796" s="77">
        <f>SUMIFS(Report!$U:$U,Report!$T:$T,"MERCADORIAS P/REVENDA",Report!$AA:$AA,"SIM",Report!$C:$C,A796)</f>
        <v/>
      </c>
      <c r="F796" s="77">
        <f>B796+C796</f>
        <v/>
      </c>
    </row>
    <row r="797" ht="12.75" customHeight="1" s="60">
      <c r="A797" s="99" t="n">
        <v>46718</v>
      </c>
      <c r="B797" s="100">
        <f>SUMIFS(Report!$U:$U,Report!$T:$T,"&lt;&gt;"&amp;"MERCADORIAS P/REVENDA",Report!$AA:$AA,"SIM",Report!$C:$C,A797)</f>
        <v/>
      </c>
      <c r="C797" s="100">
        <f>SUMIFS(Report!$U:$U,Report!$T:$T,"MERCADORIAS P/REVENDA",Report!$AA:$AA,"SIM",Report!$C:$C,A797)</f>
        <v/>
      </c>
      <c r="D797" s="101" t="n"/>
      <c r="E797" s="101" t="n"/>
      <c r="F797" s="100">
        <f>B797+C797</f>
        <v/>
      </c>
    </row>
    <row r="798" ht="12.75" customHeight="1" s="60">
      <c r="A798" s="99" t="n">
        <v>46719</v>
      </c>
      <c r="B798" s="100">
        <f>SUMIFS(Report!$U:$U,Report!$T:$T,"&lt;&gt;"&amp;"MERCADORIAS P/REVENDA",Report!$AA:$AA,"SIM",Report!$C:$C,A798)</f>
        <v/>
      </c>
      <c r="C798" s="100">
        <f>SUMIFS(Report!$U:$U,Report!$T:$T,"MERCADORIAS P/REVENDA",Report!$AA:$AA,"SIM",Report!$C:$C,A798)</f>
        <v/>
      </c>
      <c r="D798" s="101" t="n"/>
      <c r="E798" s="101" t="n"/>
      <c r="F798" s="100">
        <f>B798+C798</f>
        <v/>
      </c>
    </row>
    <row r="799" ht="12.75" customHeight="1" s="60">
      <c r="A799" s="99" t="n">
        <v>46720</v>
      </c>
      <c r="B799" s="100">
        <f>SUMIFS(Report!$U:$U,Report!$T:$T,"&lt;&gt;"&amp;"MERCADORIAS P/REVENDA",Report!$AA:$AA,"SIM",Report!$C:$C,A799)</f>
        <v/>
      </c>
      <c r="C799" s="100">
        <f>SUMIFS(Report!$U:$U,Report!$T:$T,"MERCADORIAS P/REVENDA",Report!$AA:$AA,"SIM",Report!$C:$C,A799)</f>
        <v/>
      </c>
      <c r="D799" s="101" t="n"/>
      <c r="E799" s="101" t="n"/>
      <c r="F799" s="100">
        <f>B799+C799</f>
        <v/>
      </c>
    </row>
    <row r="800" ht="12.75" customHeight="1" s="60">
      <c r="A800" s="102">
        <f>"Subtotal Semana "&amp;TEXT(A793,"dd/mm/yyyy")&amp;" a "&amp;TEXT(A799,"dd/mm/yyyy")</f>
        <v/>
      </c>
      <c r="B800" s="90">
        <f>SUM(B793:B799)</f>
        <v/>
      </c>
      <c r="C800" s="90">
        <f>SUM(C793:C799)</f>
        <v/>
      </c>
      <c r="D800" s="94" t="n"/>
      <c r="E800" s="94" t="n"/>
      <c r="F800" s="90">
        <f>B800+C800</f>
        <v/>
      </c>
    </row>
    <row r="801" ht="12.75" customHeight="1" s="60">
      <c r="A801" s="75" t="n">
        <v>46721</v>
      </c>
      <c r="B801" s="77">
        <f>SUMIFS(Report!$U:$U,Report!$T:$T,"&lt;&gt;"&amp;"MERCADORIAS P/REVENDA",Report!$AA:$AA,"SIM",Report!$C:$C,A801)</f>
        <v/>
      </c>
      <c r="C801" s="77">
        <f>SUMIFS(Report!$U:$U,Report!$T:$T,"MERCADORIAS P/REVENDA",Report!$AA:$AA,"SIM",Report!$C:$C,A801)</f>
        <v/>
      </c>
      <c r="F801" s="77">
        <f>B801+C801</f>
        <v/>
      </c>
    </row>
    <row r="802" ht="12.75" customHeight="1" s="60">
      <c r="A802" s="75" t="n">
        <v>46722</v>
      </c>
      <c r="B802" s="77">
        <f>SUMIFS(Report!$U:$U,Report!$T:$T,"&lt;&gt;"&amp;"MERCADORIAS P/REVENDA",Report!$AA:$AA,"SIM",Report!$C:$C,A802)</f>
        <v/>
      </c>
      <c r="C802" s="77">
        <f>SUMIFS(Report!$U:$U,Report!$T:$T,"MERCADORIAS P/REVENDA",Report!$AA:$AA,"SIM",Report!$C:$C,A802)</f>
        <v/>
      </c>
      <c r="F802" s="77">
        <f>B802+C802</f>
        <v/>
      </c>
    </row>
    <row r="803" ht="12.75" customHeight="1" s="60">
      <c r="A803" s="75" t="n">
        <v>46723</v>
      </c>
      <c r="B803" s="77">
        <f>SUMIFS(Report!$U:$U,Report!$T:$T,"&lt;&gt;"&amp;"MERCADORIAS P/REVENDA",Report!$AA:$AA,"SIM",Report!$C:$C,A803)</f>
        <v/>
      </c>
      <c r="C803" s="77">
        <f>SUMIFS(Report!$U:$U,Report!$T:$T,"MERCADORIAS P/REVENDA",Report!$AA:$AA,"SIM",Report!$C:$C,A803)</f>
        <v/>
      </c>
      <c r="F803" s="77">
        <f>B803+C803</f>
        <v/>
      </c>
    </row>
    <row r="804" ht="12.75" customHeight="1" s="60">
      <c r="A804" s="75" t="n">
        <v>46724</v>
      </c>
      <c r="B804" s="77">
        <f>SUMIFS(Report!$U:$U,Report!$T:$T,"&lt;&gt;"&amp;"MERCADORIAS P/REVENDA",Report!$AA:$AA,"SIM",Report!$C:$C,A804)</f>
        <v/>
      </c>
      <c r="C804" s="77">
        <f>SUMIFS(Report!$U:$U,Report!$T:$T,"MERCADORIAS P/REVENDA",Report!$AA:$AA,"SIM",Report!$C:$C,A804)</f>
        <v/>
      </c>
      <c r="F804" s="77">
        <f>B804+C804</f>
        <v/>
      </c>
    </row>
    <row r="805" ht="12.75" customHeight="1" s="60">
      <c r="A805" s="99" t="n">
        <v>46725</v>
      </c>
      <c r="B805" s="100">
        <f>SUMIFS(Report!$U:$U,Report!$T:$T,"&lt;&gt;"&amp;"MERCADORIAS P/REVENDA",Report!$AA:$AA,"SIM",Report!$C:$C,A805)</f>
        <v/>
      </c>
      <c r="C805" s="100">
        <f>SUMIFS(Report!$U:$U,Report!$T:$T,"MERCADORIAS P/REVENDA",Report!$AA:$AA,"SIM",Report!$C:$C,A805)</f>
        <v/>
      </c>
      <c r="D805" s="101" t="n"/>
      <c r="E805" s="101" t="n"/>
      <c r="F805" s="100">
        <f>B805+C805</f>
        <v/>
      </c>
    </row>
    <row r="806" ht="12.75" customHeight="1" s="60">
      <c r="A806" s="99" t="n">
        <v>46726</v>
      </c>
      <c r="B806" s="100">
        <f>SUMIFS(Report!$U:$U,Report!$T:$T,"&lt;&gt;"&amp;"MERCADORIAS P/REVENDA",Report!$AA:$AA,"SIM",Report!$C:$C,A806)</f>
        <v/>
      </c>
      <c r="C806" s="100">
        <f>SUMIFS(Report!$U:$U,Report!$T:$T,"MERCADORIAS P/REVENDA",Report!$AA:$AA,"SIM",Report!$C:$C,A806)</f>
        <v/>
      </c>
      <c r="D806" s="101" t="n"/>
      <c r="E806" s="101" t="n"/>
      <c r="F806" s="100">
        <f>B806+C806</f>
        <v/>
      </c>
    </row>
    <row r="807" ht="12.75" customHeight="1" s="60">
      <c r="A807" s="99" t="n">
        <v>46727</v>
      </c>
      <c r="B807" s="100">
        <f>SUMIFS(Report!$U:$U,Report!$T:$T,"&lt;&gt;"&amp;"MERCADORIAS P/REVENDA",Report!$AA:$AA,"SIM",Report!$C:$C,A807)</f>
        <v/>
      </c>
      <c r="C807" s="100">
        <f>SUMIFS(Report!$U:$U,Report!$T:$T,"MERCADORIAS P/REVENDA",Report!$AA:$AA,"SIM",Report!$C:$C,A807)</f>
        <v/>
      </c>
      <c r="D807" s="101" t="n"/>
      <c r="E807" s="101" t="n"/>
      <c r="F807" s="100">
        <f>B807+C807</f>
        <v/>
      </c>
    </row>
    <row r="808" ht="12.75" customHeight="1" s="60">
      <c r="A808" s="102">
        <f>"Subtotal Semana "&amp;TEXT(A801,"dd/mm/yyyy")&amp;" a "&amp;TEXT(A807,"dd/mm/yyyy")</f>
        <v/>
      </c>
      <c r="B808" s="90">
        <f>SUM(B801:B807)</f>
        <v/>
      </c>
      <c r="C808" s="90">
        <f>SUM(C801:C807)</f>
        <v/>
      </c>
      <c r="D808" s="94" t="n"/>
      <c r="E808" s="94" t="n"/>
      <c r="F808" s="90">
        <f>B808+C808</f>
        <v/>
      </c>
    </row>
    <row r="809" ht="12.75" customHeight="1" s="60">
      <c r="A809" s="75" t="n">
        <v>46728</v>
      </c>
      <c r="B809" s="77">
        <f>SUMIFS(Report!$U:$U,Report!$T:$T,"&lt;&gt;"&amp;"MERCADORIAS P/REVENDA",Report!$AA:$AA,"SIM",Report!$C:$C,A809)</f>
        <v/>
      </c>
      <c r="C809" s="77">
        <f>SUMIFS(Report!$U:$U,Report!$T:$T,"MERCADORIAS P/REVENDA",Report!$AA:$AA,"SIM",Report!$C:$C,A809)</f>
        <v/>
      </c>
      <c r="F809" s="77">
        <f>B809+C809</f>
        <v/>
      </c>
    </row>
    <row r="810" ht="12.75" customHeight="1" s="60">
      <c r="A810" s="75" t="n">
        <v>46729</v>
      </c>
      <c r="B810" s="77">
        <f>SUMIFS(Report!$U:$U,Report!$T:$T,"&lt;&gt;"&amp;"MERCADORIAS P/REVENDA",Report!$AA:$AA,"SIM",Report!$C:$C,A810)</f>
        <v/>
      </c>
      <c r="C810" s="77">
        <f>SUMIFS(Report!$U:$U,Report!$T:$T,"MERCADORIAS P/REVENDA",Report!$AA:$AA,"SIM",Report!$C:$C,A810)</f>
        <v/>
      </c>
      <c r="F810" s="77">
        <f>B810+C810</f>
        <v/>
      </c>
    </row>
    <row r="811" ht="12.75" customHeight="1" s="60">
      <c r="A811" s="75" t="n">
        <v>46730</v>
      </c>
      <c r="B811" s="77">
        <f>SUMIFS(Report!$U:$U,Report!$T:$T,"&lt;&gt;"&amp;"MERCADORIAS P/REVENDA",Report!$AA:$AA,"SIM",Report!$C:$C,A811)</f>
        <v/>
      </c>
      <c r="C811" s="77">
        <f>SUMIFS(Report!$U:$U,Report!$T:$T,"MERCADORIAS P/REVENDA",Report!$AA:$AA,"SIM",Report!$C:$C,A811)</f>
        <v/>
      </c>
      <c r="F811" s="77">
        <f>B811+C811</f>
        <v/>
      </c>
    </row>
    <row r="812" ht="12.75" customHeight="1" s="60">
      <c r="A812" s="75" t="n">
        <v>46731</v>
      </c>
      <c r="B812" s="77">
        <f>SUMIFS(Report!$U:$U,Report!$T:$T,"&lt;&gt;"&amp;"MERCADORIAS P/REVENDA",Report!$AA:$AA,"SIM",Report!$C:$C,A812)</f>
        <v/>
      </c>
      <c r="C812" s="77">
        <f>SUMIFS(Report!$U:$U,Report!$T:$T,"MERCADORIAS P/REVENDA",Report!$AA:$AA,"SIM",Report!$C:$C,A812)</f>
        <v/>
      </c>
      <c r="F812" s="77">
        <f>B812+C812</f>
        <v/>
      </c>
    </row>
    <row r="813" ht="12.75" customHeight="1" s="60">
      <c r="A813" s="99" t="n">
        <v>46732</v>
      </c>
      <c r="B813" s="100">
        <f>SUMIFS(Report!$U:$U,Report!$T:$T,"&lt;&gt;"&amp;"MERCADORIAS P/REVENDA",Report!$AA:$AA,"SIM",Report!$C:$C,A813)</f>
        <v/>
      </c>
      <c r="C813" s="100">
        <f>SUMIFS(Report!$U:$U,Report!$T:$T,"MERCADORIAS P/REVENDA",Report!$AA:$AA,"SIM",Report!$C:$C,A813)</f>
        <v/>
      </c>
      <c r="D813" s="101" t="n"/>
      <c r="E813" s="101" t="n"/>
      <c r="F813" s="100">
        <f>B813+C813</f>
        <v/>
      </c>
    </row>
    <row r="814" ht="12.75" customHeight="1" s="60">
      <c r="A814" s="99" t="n">
        <v>46733</v>
      </c>
      <c r="B814" s="100">
        <f>SUMIFS(Report!$U:$U,Report!$T:$T,"&lt;&gt;"&amp;"MERCADORIAS P/REVENDA",Report!$AA:$AA,"SIM",Report!$C:$C,A814)</f>
        <v/>
      </c>
      <c r="C814" s="100">
        <f>SUMIFS(Report!$U:$U,Report!$T:$T,"MERCADORIAS P/REVENDA",Report!$AA:$AA,"SIM",Report!$C:$C,A814)</f>
        <v/>
      </c>
      <c r="D814" s="101" t="n"/>
      <c r="E814" s="101" t="n"/>
      <c r="F814" s="100">
        <f>B814+C814</f>
        <v/>
      </c>
    </row>
    <row r="815" ht="12.75" customHeight="1" s="60">
      <c r="A815" s="99" t="n">
        <v>46734</v>
      </c>
      <c r="B815" s="100">
        <f>SUMIFS(Report!$U:$U,Report!$T:$T,"&lt;&gt;"&amp;"MERCADORIAS P/REVENDA",Report!$AA:$AA,"SIM",Report!$C:$C,A815)</f>
        <v/>
      </c>
      <c r="C815" s="100">
        <f>SUMIFS(Report!$U:$U,Report!$T:$T,"MERCADORIAS P/REVENDA",Report!$AA:$AA,"SIM",Report!$C:$C,A815)</f>
        <v/>
      </c>
      <c r="D815" s="101" t="n"/>
      <c r="E815" s="101" t="n"/>
      <c r="F815" s="100">
        <f>B815+C815</f>
        <v/>
      </c>
    </row>
    <row r="816" ht="12.75" customHeight="1" s="60">
      <c r="A816" s="102">
        <f>"Subtotal Semana "&amp;TEXT(A809,"dd/mm/yyyy")&amp;" a "&amp;TEXT(A815,"dd/mm/yyyy")</f>
        <v/>
      </c>
      <c r="B816" s="90">
        <f>SUM(B809:B815)</f>
        <v/>
      </c>
      <c r="C816" s="90">
        <f>SUM(C809:C815)</f>
        <v/>
      </c>
      <c r="D816" s="94" t="n"/>
      <c r="E816" s="94" t="n"/>
      <c r="F816" s="90">
        <f>B816+C816</f>
        <v/>
      </c>
    </row>
    <row r="817" ht="12.75" customHeight="1" s="60">
      <c r="A817" s="75" t="n">
        <v>46735</v>
      </c>
      <c r="B817" s="77">
        <f>SUMIFS(Report!$U:$U,Report!$T:$T,"&lt;&gt;"&amp;"MERCADORIAS P/REVENDA",Report!$AA:$AA,"SIM",Report!$C:$C,A817)</f>
        <v/>
      </c>
      <c r="C817" s="77">
        <f>SUMIFS(Report!$U:$U,Report!$T:$T,"MERCADORIAS P/REVENDA",Report!$AA:$AA,"SIM",Report!$C:$C,A817)</f>
        <v/>
      </c>
      <c r="F817" s="77">
        <f>B817+C817</f>
        <v/>
      </c>
    </row>
    <row r="818" ht="12.75" customHeight="1" s="60">
      <c r="A818" s="75" t="n">
        <v>46736</v>
      </c>
      <c r="B818" s="77">
        <f>SUMIFS(Report!$U:$U,Report!$T:$T,"&lt;&gt;"&amp;"MERCADORIAS P/REVENDA",Report!$AA:$AA,"SIM",Report!$C:$C,A818)</f>
        <v/>
      </c>
      <c r="C818" s="77">
        <f>SUMIFS(Report!$U:$U,Report!$T:$T,"MERCADORIAS P/REVENDA",Report!$AA:$AA,"SIM",Report!$C:$C,A818)</f>
        <v/>
      </c>
      <c r="F818" s="77">
        <f>B818+C818</f>
        <v/>
      </c>
    </row>
    <row r="819" ht="12.75" customHeight="1" s="60">
      <c r="A819" s="75" t="n">
        <v>46737</v>
      </c>
      <c r="B819" s="77">
        <f>SUMIFS(Report!$U:$U,Report!$T:$T,"&lt;&gt;"&amp;"MERCADORIAS P/REVENDA",Report!$AA:$AA,"SIM",Report!$C:$C,A819)</f>
        <v/>
      </c>
      <c r="C819" s="77">
        <f>SUMIFS(Report!$U:$U,Report!$T:$T,"MERCADORIAS P/REVENDA",Report!$AA:$AA,"SIM",Report!$C:$C,A819)</f>
        <v/>
      </c>
      <c r="F819" s="77">
        <f>B819+C819</f>
        <v/>
      </c>
    </row>
    <row r="820" ht="12.75" customHeight="1" s="60">
      <c r="A820" s="75" t="n">
        <v>46738</v>
      </c>
      <c r="B820" s="77">
        <f>SUMIFS(Report!$U:$U,Report!$T:$T,"&lt;&gt;"&amp;"MERCADORIAS P/REVENDA",Report!$AA:$AA,"SIM",Report!$C:$C,A820)</f>
        <v/>
      </c>
      <c r="C820" s="77">
        <f>SUMIFS(Report!$U:$U,Report!$T:$T,"MERCADORIAS P/REVENDA",Report!$AA:$AA,"SIM",Report!$C:$C,A820)</f>
        <v/>
      </c>
      <c r="F820" s="77">
        <f>B820+C820</f>
        <v/>
      </c>
    </row>
    <row r="821" ht="12.75" customHeight="1" s="60">
      <c r="A821" s="99" t="n">
        <v>46739</v>
      </c>
      <c r="B821" s="100">
        <f>SUMIFS(Report!$U:$U,Report!$T:$T,"&lt;&gt;"&amp;"MERCADORIAS P/REVENDA",Report!$AA:$AA,"SIM",Report!$C:$C,A821)</f>
        <v/>
      </c>
      <c r="C821" s="100">
        <f>SUMIFS(Report!$U:$U,Report!$T:$T,"MERCADORIAS P/REVENDA",Report!$AA:$AA,"SIM",Report!$C:$C,A821)</f>
        <v/>
      </c>
      <c r="D821" s="101" t="n"/>
      <c r="E821" s="101" t="n"/>
      <c r="F821" s="100">
        <f>B821+C821</f>
        <v/>
      </c>
    </row>
    <row r="822" ht="12.75" customHeight="1" s="60">
      <c r="A822" s="99" t="n">
        <v>46740</v>
      </c>
      <c r="B822" s="100">
        <f>SUMIFS(Report!$U:$U,Report!$T:$T,"&lt;&gt;"&amp;"MERCADORIAS P/REVENDA",Report!$AA:$AA,"SIM",Report!$C:$C,A822)</f>
        <v/>
      </c>
      <c r="C822" s="100">
        <f>SUMIFS(Report!$U:$U,Report!$T:$T,"MERCADORIAS P/REVENDA",Report!$AA:$AA,"SIM",Report!$C:$C,A822)</f>
        <v/>
      </c>
      <c r="D822" s="101" t="n"/>
      <c r="E822" s="101" t="n"/>
      <c r="F822" s="100">
        <f>B822+C822</f>
        <v/>
      </c>
    </row>
    <row r="823" ht="12.75" customHeight="1" s="60">
      <c r="A823" s="99" t="n">
        <v>46741</v>
      </c>
      <c r="B823" s="100">
        <f>SUMIFS(Report!$U:$U,Report!$T:$T,"&lt;&gt;"&amp;"MERCADORIAS P/REVENDA",Report!$AA:$AA,"SIM",Report!$C:$C,A823)</f>
        <v/>
      </c>
      <c r="C823" s="100">
        <f>SUMIFS(Report!$U:$U,Report!$T:$T,"MERCADORIAS P/REVENDA",Report!$AA:$AA,"SIM",Report!$C:$C,A823)</f>
        <v/>
      </c>
      <c r="D823" s="101" t="n"/>
      <c r="E823" s="101" t="n"/>
      <c r="F823" s="100">
        <f>B823+C823</f>
        <v/>
      </c>
    </row>
    <row r="824" ht="12.75" customHeight="1" s="60">
      <c r="A824" s="102">
        <f>"Subtotal Semana "&amp;TEXT(A817,"dd/mm/yyyy")&amp;" a "&amp;TEXT(A823,"dd/mm/yyyy")</f>
        <v/>
      </c>
      <c r="B824" s="90">
        <f>SUM(B817:B823)</f>
        <v/>
      </c>
      <c r="C824" s="90">
        <f>SUM(C817:C823)</f>
        <v/>
      </c>
      <c r="D824" s="94" t="n"/>
      <c r="E824" s="94" t="n"/>
      <c r="F824" s="90">
        <f>B824+C824</f>
        <v/>
      </c>
    </row>
    <row r="825" ht="12.75" customHeight="1" s="60">
      <c r="A825" s="75" t="n">
        <v>46742</v>
      </c>
      <c r="B825" s="77">
        <f>SUMIFS(Report!$U:$U,Report!$T:$T,"&lt;&gt;"&amp;"MERCADORIAS P/REVENDA",Report!$AA:$AA,"SIM",Report!$C:$C,A825)</f>
        <v/>
      </c>
      <c r="C825" s="77">
        <f>SUMIFS(Report!$U:$U,Report!$T:$T,"MERCADORIAS P/REVENDA",Report!$AA:$AA,"SIM",Report!$C:$C,A825)</f>
        <v/>
      </c>
      <c r="F825" s="77">
        <f>B825+C825</f>
        <v/>
      </c>
    </row>
    <row r="826" ht="12.75" customHeight="1" s="60">
      <c r="A826" s="75" t="n">
        <v>46743</v>
      </c>
      <c r="B826" s="77">
        <f>SUMIFS(Report!$U:$U,Report!$T:$T,"&lt;&gt;"&amp;"MERCADORIAS P/REVENDA",Report!$AA:$AA,"SIM",Report!$C:$C,A826)</f>
        <v/>
      </c>
      <c r="C826" s="77">
        <f>SUMIFS(Report!$U:$U,Report!$T:$T,"MERCADORIAS P/REVENDA",Report!$AA:$AA,"SIM",Report!$C:$C,A826)</f>
        <v/>
      </c>
      <c r="F826" s="77">
        <f>B826+C826</f>
        <v/>
      </c>
    </row>
    <row r="827" ht="12.75" customHeight="1" s="60">
      <c r="A827" s="75" t="n">
        <v>46744</v>
      </c>
      <c r="B827" s="77">
        <f>SUMIFS(Report!$U:$U,Report!$T:$T,"&lt;&gt;"&amp;"MERCADORIAS P/REVENDA",Report!$AA:$AA,"SIM",Report!$C:$C,A827)</f>
        <v/>
      </c>
      <c r="C827" s="77">
        <f>SUMIFS(Report!$U:$U,Report!$T:$T,"MERCADORIAS P/REVENDA",Report!$AA:$AA,"SIM",Report!$C:$C,A827)</f>
        <v/>
      </c>
      <c r="F827" s="77">
        <f>B827+C827</f>
        <v/>
      </c>
    </row>
    <row r="828" ht="12.75" customHeight="1" s="60">
      <c r="A828" s="75" t="n">
        <v>46745</v>
      </c>
      <c r="B828" s="77">
        <f>SUMIFS(Report!$U:$U,Report!$T:$T,"&lt;&gt;"&amp;"MERCADORIAS P/REVENDA",Report!$AA:$AA,"SIM",Report!$C:$C,A828)</f>
        <v/>
      </c>
      <c r="C828" s="77">
        <f>SUMIFS(Report!$U:$U,Report!$T:$T,"MERCADORIAS P/REVENDA",Report!$AA:$AA,"SIM",Report!$C:$C,A828)</f>
        <v/>
      </c>
      <c r="F828" s="77">
        <f>B828+C828</f>
        <v/>
      </c>
    </row>
    <row r="829" ht="12.75" customHeight="1" s="60">
      <c r="A829" s="99" t="n">
        <v>46746</v>
      </c>
      <c r="B829" s="100">
        <f>SUMIFS(Report!$U:$U,Report!$T:$T,"&lt;&gt;"&amp;"MERCADORIAS P/REVENDA",Report!$AA:$AA,"SIM",Report!$C:$C,A829)</f>
        <v/>
      </c>
      <c r="C829" s="100">
        <f>SUMIFS(Report!$U:$U,Report!$T:$T,"MERCADORIAS P/REVENDA",Report!$AA:$AA,"SIM",Report!$C:$C,A829)</f>
        <v/>
      </c>
      <c r="D829" s="101" t="n"/>
      <c r="E829" s="101" t="n"/>
      <c r="F829" s="100">
        <f>B829+C829</f>
        <v/>
      </c>
    </row>
    <row r="830" ht="12.75" customHeight="1" s="60">
      <c r="A830" s="99" t="n">
        <v>46747</v>
      </c>
      <c r="B830" s="100">
        <f>SUMIFS(Report!$U:$U,Report!$T:$T,"&lt;&gt;"&amp;"MERCADORIAS P/REVENDA",Report!$AA:$AA,"SIM",Report!$C:$C,A830)</f>
        <v/>
      </c>
      <c r="C830" s="100">
        <f>SUMIFS(Report!$U:$U,Report!$T:$T,"MERCADORIAS P/REVENDA",Report!$AA:$AA,"SIM",Report!$C:$C,A830)</f>
        <v/>
      </c>
      <c r="D830" s="101" t="n"/>
      <c r="E830" s="101" t="n"/>
      <c r="F830" s="100">
        <f>B830+C830</f>
        <v/>
      </c>
    </row>
    <row r="831" ht="12.75" customHeight="1" s="60">
      <c r="A831" s="99" t="n">
        <v>46748</v>
      </c>
      <c r="B831" s="100">
        <f>SUMIFS(Report!$U:$U,Report!$T:$T,"&lt;&gt;"&amp;"MERCADORIAS P/REVENDA",Report!$AA:$AA,"SIM",Report!$C:$C,A831)</f>
        <v/>
      </c>
      <c r="C831" s="100">
        <f>SUMIFS(Report!$U:$U,Report!$T:$T,"MERCADORIAS P/REVENDA",Report!$AA:$AA,"SIM",Report!$C:$C,A831)</f>
        <v/>
      </c>
      <c r="D831" s="101" t="n"/>
      <c r="E831" s="101" t="n"/>
      <c r="F831" s="100">
        <f>B831+C831</f>
        <v/>
      </c>
    </row>
    <row r="832" ht="12.75" customHeight="1" s="60">
      <c r="A832" s="102">
        <f>"Subtotal Semana "&amp;TEXT(A825,"dd/mm/yyyy")&amp;" a "&amp;TEXT(A831,"dd/mm/yyyy")</f>
        <v/>
      </c>
      <c r="B832" s="90">
        <f>SUM(B825:B831)</f>
        <v/>
      </c>
      <c r="C832" s="90">
        <f>SUM(C825:C831)</f>
        <v/>
      </c>
      <c r="D832" s="94" t="n"/>
      <c r="E832" s="94" t="n"/>
      <c r="F832" s="90">
        <f>B832+C832</f>
        <v/>
      </c>
    </row>
    <row r="833" ht="12.75" customHeight="1" s="60">
      <c r="A833" s="75" t="n">
        <v>46749</v>
      </c>
      <c r="B833" s="77">
        <f>SUMIFS(Report!$U:$U,Report!$T:$T,"&lt;&gt;"&amp;"MERCADORIAS P/REVENDA",Report!$AA:$AA,"SIM",Report!$C:$C,A833)</f>
        <v/>
      </c>
      <c r="C833" s="77">
        <f>SUMIFS(Report!$U:$U,Report!$T:$T,"MERCADORIAS P/REVENDA",Report!$AA:$AA,"SIM",Report!$C:$C,A833)</f>
        <v/>
      </c>
      <c r="F833" s="77">
        <f>B833+C833</f>
        <v/>
      </c>
    </row>
    <row r="834" ht="12.75" customHeight="1" s="60">
      <c r="A834" s="75" t="n">
        <v>46750</v>
      </c>
      <c r="B834" s="77">
        <f>SUMIFS(Report!$U:$U,Report!$T:$T,"&lt;&gt;"&amp;"MERCADORIAS P/REVENDA",Report!$AA:$AA,"SIM",Report!$C:$C,A834)</f>
        <v/>
      </c>
      <c r="C834" s="77">
        <f>SUMIFS(Report!$U:$U,Report!$T:$T,"MERCADORIAS P/REVENDA",Report!$AA:$AA,"SIM",Report!$C:$C,A834)</f>
        <v/>
      </c>
      <c r="F834" s="77">
        <f>B834+C834</f>
        <v/>
      </c>
    </row>
    <row r="835" ht="12.75" customHeight="1" s="60">
      <c r="A835" s="75" t="n">
        <v>46751</v>
      </c>
      <c r="B835" s="77">
        <f>SUMIFS(Report!$U:$U,Report!$T:$T,"&lt;&gt;"&amp;"MERCADORIAS P/REVENDA",Report!$AA:$AA,"SIM",Report!$C:$C,A835)</f>
        <v/>
      </c>
      <c r="C835" s="77">
        <f>SUMIFS(Report!$U:$U,Report!$T:$T,"MERCADORIAS P/REVENDA",Report!$AA:$AA,"SIM",Report!$C:$C,A835)</f>
        <v/>
      </c>
      <c r="F835" s="77">
        <f>B835+C835</f>
        <v/>
      </c>
    </row>
    <row r="836" ht="12.75" customHeight="1" s="60">
      <c r="A836" s="75" t="n">
        <v>46752</v>
      </c>
      <c r="B836" s="77">
        <f>SUMIFS(Report!$U:$U,Report!$T:$T,"&lt;&gt;"&amp;"MERCADORIAS P/REVENDA",Report!$AA:$AA,"SIM",Report!$C:$C,A836)</f>
        <v/>
      </c>
      <c r="C836" s="77">
        <f>SUMIFS(Report!$U:$U,Report!$T:$T,"MERCADORIAS P/REVENDA",Report!$AA:$AA,"SIM",Report!$C:$C,A836)</f>
        <v/>
      </c>
      <c r="F836" s="77">
        <f>B836+C836</f>
        <v/>
      </c>
    </row>
    <row r="837" ht="12.75" customHeight="1" s="60">
      <c r="A837" s="102">
        <f>"Subtotal Semana "&amp;TEXT(A833,"dd/mm/yyyy")&amp;" a "&amp;TEXT(A836,"dd/mm/yyyy")</f>
        <v/>
      </c>
      <c r="B837" s="90">
        <f>SUM(B833:B836)</f>
        <v/>
      </c>
      <c r="C837" s="90">
        <f>SUM(C833:C836)</f>
        <v/>
      </c>
      <c r="D837" s="94" t="n"/>
      <c r="E837" s="94" t="n"/>
      <c r="F837" s="90">
        <f>B837+C837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59" min="1" max="1"/>
    <col width="5" customWidth="1" style="59" min="2" max="2"/>
    <col width="14.56" customWidth="1" style="59" min="3" max="3"/>
  </cols>
  <sheetData>
    <row r="1" ht="17.25" customHeight="1" s="60">
      <c r="A1" s="103" t="inlineStr">
        <is>
          <t>Base de Venda Anual - Loja MO1</t>
        </is>
      </c>
    </row>
    <row r="2" ht="12.75" customHeight="1" s="60">
      <c r="A2" s="104" t="inlineStr">
        <is>
          <t>Fonte: VENDA ANUAL MO1.xls (aba Report - Vendas/Metas de Venda), soma da linha 'Total' por mes.</t>
        </is>
      </c>
    </row>
    <row r="4" ht="13.5" customHeight="1" s="60">
      <c r="A4" s="105" t="inlineStr">
        <is>
          <t>Mes</t>
        </is>
      </c>
      <c r="B4" s="105" t="inlineStr">
        <is>
          <t>Ano</t>
        </is>
      </c>
      <c r="C4" s="105" t="inlineStr">
        <is>
          <t>Valor Vendido</t>
        </is>
      </c>
    </row>
    <row r="5" ht="12.75" customHeight="1" s="60">
      <c r="A5" s="106" t="inlineStr">
        <is>
          <t>Jan/2026</t>
        </is>
      </c>
      <c r="B5" s="106" t="n">
        <v>2026</v>
      </c>
      <c r="C5" s="107" t="n">
        <v>1144889.69</v>
      </c>
    </row>
    <row r="6" ht="12.75" customHeight="1" s="60">
      <c r="A6" s="106" t="inlineStr">
        <is>
          <t>Fev/2026</t>
        </is>
      </c>
      <c r="B6" s="106" t="n">
        <v>2026</v>
      </c>
      <c r="C6" s="107" t="n">
        <v>1033395.35</v>
      </c>
    </row>
    <row r="7" ht="12.75" customHeight="1" s="60">
      <c r="A7" s="106" t="inlineStr">
        <is>
          <t>Mar/2026</t>
        </is>
      </c>
      <c r="B7" s="106" t="n">
        <v>2026</v>
      </c>
      <c r="C7" s="107" t="n">
        <v>1144493.82</v>
      </c>
    </row>
    <row r="8" ht="12.75" customHeight="1" s="60">
      <c r="A8" s="106" t="inlineStr">
        <is>
          <t>Abr/2026</t>
        </is>
      </c>
      <c r="B8" s="106" t="n">
        <v>2026</v>
      </c>
      <c r="C8" s="107" t="n">
        <v>1122494.94</v>
      </c>
    </row>
    <row r="9" ht="12.75" customHeight="1" s="60">
      <c r="A9" s="106" t="inlineStr">
        <is>
          <t>Mai/2026</t>
        </is>
      </c>
      <c r="B9" s="106" t="n">
        <v>2026</v>
      </c>
      <c r="C9" s="107" t="n">
        <v>1211481.58</v>
      </c>
    </row>
    <row r="10" ht="12.75" customHeight="1" s="60">
      <c r="A10" s="106" t="inlineStr">
        <is>
          <t>Jun/2026</t>
        </is>
      </c>
      <c r="B10" s="106" t="n">
        <v>2026</v>
      </c>
      <c r="C10" s="107" t="n">
        <v>1183261.6</v>
      </c>
    </row>
    <row r="11" ht="12.75" customHeight="1" s="60">
      <c r="A11" s="106" t="inlineStr">
        <is>
          <t>Jul/2026</t>
        </is>
      </c>
      <c r="B11" s="106" t="n">
        <v>2026</v>
      </c>
      <c r="C11" s="107" t="n">
        <v>1173881.95</v>
      </c>
    </row>
    <row r="12" ht="13.5" customHeight="1" s="60">
      <c r="A12" s="106" t="inlineStr">
        <is>
          <t>Ago/2026</t>
        </is>
      </c>
      <c r="B12" s="106" t="n">
        <v>2026</v>
      </c>
      <c r="C12" s="108" t="n">
        <v>718621.75</v>
      </c>
    </row>
    <row r="13" ht="13.5" customHeight="1" s="60">
      <c r="A13" s="106" t="inlineStr">
        <is>
          <t>Set/2026</t>
        </is>
      </c>
      <c r="B13" s="106" t="n">
        <v>2026</v>
      </c>
      <c r="C13" s="108" t="n">
        <v>0</v>
      </c>
    </row>
    <row r="14" ht="13.5" customHeight="1" s="60">
      <c r="A14" s="106" t="inlineStr">
        <is>
          <t>Out/2026</t>
        </is>
      </c>
      <c r="B14" s="106" t="n">
        <v>2026</v>
      </c>
      <c r="C14" s="108" t="n">
        <v>0</v>
      </c>
    </row>
    <row r="15" ht="13.5" customHeight="1" s="60">
      <c r="A15" s="106" t="inlineStr">
        <is>
          <t>Nov/2026</t>
        </is>
      </c>
      <c r="B15" s="106" t="n">
        <v>2026</v>
      </c>
      <c r="C15" s="108" t="n">
        <v>0</v>
      </c>
    </row>
    <row r="16" ht="13.5" customHeight="1" s="60">
      <c r="A16" s="106" t="inlineStr">
        <is>
          <t>Dez/2026</t>
        </is>
      </c>
      <c r="B16" s="106" t="n">
        <v>2026</v>
      </c>
      <c r="C16" s="108" t="n">
        <v>0</v>
      </c>
    </row>
    <row r="18" ht="13.5" customHeight="1" s="60">
      <c r="A18" s="109" t="inlineStr">
        <is>
          <t>Data de corte dos dados de venda (extracao do relatorio):</t>
        </is>
      </c>
      <c r="C18" s="110" t="n">
        <v>46254</v>
      </c>
    </row>
    <row r="20" ht="12.75" customHeight="1" s="60">
      <c r="A20" s="104" t="inlineStr">
        <is>
      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      </is>
      </c>
    </row>
  </sheetData>
  <mergeCells count="4">
    <mergeCell ref="A18:B18"/>
    <mergeCell ref="A1:D1"/>
    <mergeCell ref="A20:H20"/>
    <mergeCell ref="A2:D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255.78" customWidth="1" style="87" min="1" max="1"/>
    <col width="14.67" customWidth="1" style="59" min="2" max="2"/>
    <col width="41" customWidth="1" style="59" min="3" max="3"/>
    <col width="35.33" customWidth="1" style="59" min="4" max="4"/>
    <col width="16.22" customWidth="1" style="59" min="5" max="5"/>
    <col width="18" customWidth="1" style="59" min="6" max="6"/>
    <col width="16" customWidth="1" style="60" min="7" max="7"/>
    <col width="18" customWidth="1" style="60" min="8" max="8"/>
    <col width="18" customWidth="1" style="60" min="9" max="9"/>
  </cols>
  <sheetData>
    <row r="1" ht="17.25" customHeight="1" s="60">
      <c r="A1" s="111" t="inlineStr">
        <is>
          <t>Resultado - Venda x Compra - Loja MO1</t>
        </is>
      </c>
    </row>
    <row r="3" ht="12.75" customHeight="1" s="60">
      <c r="A3" s="87" t="inlineStr">
        <is>
          <t>% da venda do mes anterior usado para sugerir a compra do mes:</t>
        </is>
      </c>
      <c r="E3" s="112" t="n">
        <v>0.8584000000000001</v>
      </c>
      <c r="F3" s="113" t="inlineStr">
        <is>
          <t>Tendência (venda mês-1 / mês-2)</t>
        </is>
      </c>
      <c r="G3" s="113" t="inlineStr">
        <is>
          <t>Dias de Estoque</t>
        </is>
      </c>
      <c r="H3" s="113" t="inlineStr">
        <is>
          <t>Alerta (queda/aumento &gt;10%)</t>
        </is>
      </c>
      <c r="I3" s="113" t="inlineStr">
        <is>
          <t>Compra Sugerida Ajustada</t>
        </is>
      </c>
    </row>
    <row r="4">
      <c r="F4" s="114" t="n"/>
      <c r="G4" s="114">
        <f>IF(AND(ISNUMBER(D4),ISNUMBER(B4),B4&lt;&gt;0),(D4/B4)*30,"")</f>
        <v/>
      </c>
      <c r="H4" s="115">
        <f>IF(F4="","",IF(OR(F4&lt;0.9,F4&gt;1.1),"ALERTA","OK"))</f>
        <v/>
      </c>
      <c r="I4" s="116">
        <f>IF(C4="","",IF(AND(F4&lt;&gt;"",F4&lt;1),C4*F4,C4))</f>
        <v/>
      </c>
    </row>
    <row r="5">
      <c r="F5" s="117" t="n"/>
      <c r="G5" s="117">
        <f>IF(AND(ISNUMBER(D5),ISNUMBER(B5),B5&lt;&gt;0),(D5/B5)*30,"")</f>
        <v/>
      </c>
      <c r="H5" s="118">
        <f>IF(F5="","",IF(OR(F5&lt;0.9,F5&gt;1.1),"ALERTA","OK"))</f>
        <v/>
      </c>
      <c r="I5" s="119">
        <f>IF(C5="","",IF(AND(F5&lt;&gt;"",F5&lt;1),C5*F5,C5))</f>
        <v/>
      </c>
    </row>
    <row r="6" ht="12.75" customHeight="1" s="60">
      <c r="A6" s="120" t="inlineStr">
        <is>
          <t>Mes</t>
        </is>
      </c>
      <c r="B6" s="92" t="inlineStr">
        <is>
          <t>Venda do Mes</t>
        </is>
      </c>
      <c r="C6" s="92" t="inlineStr">
        <is>
          <t>Compra Sugerida (base: venda mes anterior)</t>
        </is>
      </c>
      <c r="D6" s="92" t="inlineStr">
        <is>
          <t>Compra Real (Mercadorias P/Revenda)</t>
        </is>
      </c>
      <c r="E6" s="92" t="inlineStr">
        <is>
          <t>Comprado a Mais</t>
        </is>
      </c>
      <c r="F6" s="121">
        <f>IF(AND(ISNUMBER(B5),ISNUMBER(B4),B4&lt;&gt;0),B5/B4,"")</f>
        <v/>
      </c>
      <c r="G6" s="114">
        <f>IF(AND(ISNUMBER(D6),ISNUMBER(B6),B6&lt;&gt;0),(D6/B6)*30,"")</f>
        <v/>
      </c>
      <c r="H6" s="115">
        <f>IF(F6="","",IF(OR(F6&lt;0.9,F6&gt;1.1),"ALERTA","OK"))</f>
        <v/>
      </c>
      <c r="I6" s="116">
        <f>IF(C6="","",IF(AND(F6&lt;&gt;"",F6&lt;1),C6*F6,C6))</f>
        <v/>
      </c>
    </row>
    <row r="7" ht="12.75" customHeight="1" s="60">
      <c r="A7" s="87" t="inlineStr">
        <is>
          <t>Jan/2026</t>
        </is>
      </c>
      <c r="B7" s="77">
        <f>IFERROR(INDEX('Venda Anual (Base)'!$C$5:$C$16,MATCH($A7,'Venda Anual (Base)'!$A$5:$A$16,0)),"")</f>
        <v/>
      </c>
      <c r="C7" s="77" t="n"/>
      <c r="D7" s="77">
        <f>IFERROR(INDEX('Resumo Mensal'!$C$2:$C$25,MATCH($A7,'Resumo Mensal'!$A$2:$A$25,0)),0)</f>
        <v/>
      </c>
      <c r="E7" s="77">
        <f>IF(AND(ISNUMBER(C7),D7&gt;0),D7-C7,"")</f>
        <v/>
      </c>
      <c r="F7" s="117">
        <f>IF(AND(ISNUMBER(B6),ISNUMBER(B5),B5&lt;&gt;0),B6/B5,"")</f>
        <v/>
      </c>
      <c r="G7" s="117">
        <f>IF(AND(ISNUMBER(D7),ISNUMBER(B7),B7&lt;&gt;0),(D7/B7)*30,"")</f>
        <v/>
      </c>
      <c r="H7" s="118">
        <f>IF(F7="","",IF(OR(F7&lt;0.9,F7&gt;1.1),"ALERTA","OK"))</f>
        <v/>
      </c>
      <c r="I7" s="119">
        <f>IF(C7="","",IF(AND(F7&lt;&gt;"",F7&lt;1),C7*F7,C7))</f>
        <v/>
      </c>
    </row>
    <row r="8" ht="12.75" customHeight="1" s="60">
      <c r="A8" s="87" t="inlineStr">
        <is>
          <t>Fev/2026</t>
        </is>
      </c>
      <c r="B8" s="77">
        <f>IFERROR(INDEX('Venda Anual (Base)'!$C$5:$C$16,MATCH($A8,'Venda Anual (Base)'!$A$5:$A$16,0)),"")</f>
        <v/>
      </c>
      <c r="C8" s="77">
        <f>(B7*$E$3)</f>
        <v/>
      </c>
      <c r="D8" s="77">
        <f>IFERROR(INDEX('Resumo Mensal'!$C$2:$C$25,MATCH($A8,'Resumo Mensal'!$A$2:$A$25,0)),0)</f>
        <v/>
      </c>
      <c r="E8" s="77">
        <f>IF(AND(ISNUMBER(C8),D8&gt;0),D8-C8,"")</f>
        <v/>
      </c>
      <c r="F8" s="114">
        <f>IF(AND(ISNUMBER(B7),ISNUMBER(B6),B6&lt;&gt;0),B7/B6,"")</f>
        <v/>
      </c>
      <c r="G8" s="114">
        <f>IF(AND(ISNUMBER(D8),ISNUMBER(B8),B8&lt;&gt;0),(D8/B8)*30,"")</f>
        <v/>
      </c>
      <c r="H8" s="115">
        <f>IF(F8="","",IF(OR(F8&lt;0.9,F8&gt;1.1),"ALERTA","OK"))</f>
        <v/>
      </c>
      <c r="I8" s="116">
        <f>IF(C8="","",IF(AND(F8&lt;&gt;"",F8&lt;1),C8*F8,C8))</f>
        <v/>
      </c>
    </row>
    <row r="9" ht="12.75" customHeight="1" s="60">
      <c r="A9" s="87" t="inlineStr">
        <is>
          <t>Mar/2026</t>
        </is>
      </c>
      <c r="B9" s="77">
        <f>IFERROR(INDEX('Venda Anual (Base)'!$C$5:$C$16,MATCH($A9,'Venda Anual (Base)'!$A$5:$A$16,0)),"")</f>
        <v/>
      </c>
      <c r="C9" s="77">
        <f>(B8*$E$3)</f>
        <v/>
      </c>
      <c r="D9" s="77">
        <f>IFERROR(INDEX('Resumo Mensal'!$C$2:$C$25,MATCH($A9,'Resumo Mensal'!$A$2:$A$25,0)),0)</f>
        <v/>
      </c>
      <c r="E9" s="77">
        <f>IF(AND(ISNUMBER(C9),D9&gt;0),D9-C9,"")</f>
        <v/>
      </c>
      <c r="F9" s="117">
        <f>IF(AND(ISNUMBER(B8),ISNUMBER(B7),B7&lt;&gt;0),B8/B7,"")</f>
        <v/>
      </c>
      <c r="G9" s="117">
        <f>IF(AND(ISNUMBER(D9),ISNUMBER(B9),B9&lt;&gt;0),(D9/B9)*30,"")</f>
        <v/>
      </c>
      <c r="H9" s="118">
        <f>IF(F9="","",IF(OR(F9&lt;0.9,F9&gt;1.1),"ALERTA","OK"))</f>
        <v/>
      </c>
      <c r="I9" s="119">
        <f>IF(C9="","",IF(AND(F9&lt;&gt;"",F9&lt;1),C9*F9,C9))</f>
        <v/>
      </c>
    </row>
    <row r="10" ht="12.75" customHeight="1" s="60">
      <c r="A10" s="87" t="inlineStr">
        <is>
          <t>Abr/2026</t>
        </is>
      </c>
      <c r="B10" s="77">
        <f>IFERROR(INDEX('Venda Anual (Base)'!$C$5:$C$16,MATCH($A10,'Venda Anual (Base)'!$A$5:$A$16,0)),"")</f>
        <v/>
      </c>
      <c r="C10" s="77">
        <f>(B9*$E$3)</f>
        <v/>
      </c>
      <c r="D10" s="77">
        <f>IFERROR(INDEX('Resumo Mensal'!$C$2:$C$25,MATCH($A10,'Resumo Mensal'!$A$2:$A$25,0)),0)</f>
        <v/>
      </c>
      <c r="E10" s="77">
        <f>IF(AND(ISNUMBER(C10),D10&gt;0),D10-C10,"")</f>
        <v/>
      </c>
      <c r="F10" s="114">
        <f>IF(AND(ISNUMBER(B9),ISNUMBER(B8),B8&lt;&gt;0),B9/B8,"")</f>
        <v/>
      </c>
      <c r="G10" s="114">
        <f>IF(AND(ISNUMBER(D10),ISNUMBER(B10),B10&lt;&gt;0),(D10/B10)*30,"")</f>
        <v/>
      </c>
      <c r="H10" s="115">
        <f>IF(F10="","",IF(OR(F10&lt;0.9,F10&gt;1.1),"ALERTA","OK"))</f>
        <v/>
      </c>
      <c r="I10" s="116">
        <f>IF(C10="","",IF(AND(F10&lt;&gt;"",F10&lt;1),C10*F10,C10))</f>
        <v/>
      </c>
    </row>
    <row r="11" ht="12.75" customHeight="1" s="60">
      <c r="A11" s="87" t="inlineStr">
        <is>
          <t>Mai/2026</t>
        </is>
      </c>
      <c r="B11" s="77">
        <f>IFERROR(INDEX('Venda Anual (Base)'!$C$5:$C$16,MATCH($A11,'Venda Anual (Base)'!$A$5:$A$16,0)),"")</f>
        <v/>
      </c>
      <c r="C11" s="77">
        <f>(B10*$E$3)</f>
        <v/>
      </c>
      <c r="D11" s="77">
        <f>IFERROR(INDEX('Resumo Mensal'!$C$2:$C$25,MATCH($A11,'Resumo Mensal'!$A$2:$A$25,0)),0)</f>
        <v/>
      </c>
      <c r="E11" s="77">
        <f>IF(AND(ISNUMBER(C11),D11&gt;0),D11-C11,"")</f>
        <v/>
      </c>
      <c r="F11" s="117">
        <f>IF(AND(ISNUMBER(B10),ISNUMBER(B9),B9&lt;&gt;0),B10/B9,"")</f>
        <v/>
      </c>
      <c r="G11" s="117">
        <f>IF(AND(ISNUMBER(D11),ISNUMBER(B11),B11&lt;&gt;0),(D11/B11)*30,"")</f>
        <v/>
      </c>
      <c r="H11" s="118">
        <f>IF(F11="","",IF(OR(F11&lt;0.9,F11&gt;1.1),"ALERTA","OK"))</f>
        <v/>
      </c>
      <c r="I11" s="119">
        <f>IF(C11="","",IF(AND(F11&lt;&gt;"",F11&lt;1),C11*F11,C11))</f>
        <v/>
      </c>
    </row>
    <row r="12" ht="12.75" customHeight="1" s="60">
      <c r="A12" s="87" t="inlineStr">
        <is>
          <t>Jun/2026</t>
        </is>
      </c>
      <c r="B12" s="77">
        <f>IFERROR(INDEX('Venda Anual (Base)'!$C$5:$C$16,MATCH($A12,'Venda Anual (Base)'!$A$5:$A$16,0)),"")</f>
        <v/>
      </c>
      <c r="C12" s="77">
        <f>(B11*$E$3)</f>
        <v/>
      </c>
      <c r="D12" s="77">
        <f>IFERROR(INDEX('Resumo Mensal'!$C$2:$C$25,MATCH($A12,'Resumo Mensal'!$A$2:$A$25,0)),0)</f>
        <v/>
      </c>
      <c r="E12" s="77">
        <f>IF(AND(ISNUMBER(C12),D12&gt;0),D12-C12,"")</f>
        <v/>
      </c>
      <c r="F12" s="114">
        <f>IF(AND(ISNUMBER(B11),ISNUMBER(B10),B10&lt;&gt;0),B11/B10,"")</f>
        <v/>
      </c>
      <c r="G12" s="114">
        <f>IF(AND(ISNUMBER(D12),ISNUMBER(B12),B12&lt;&gt;0),(D12/B12)*30,"")</f>
        <v/>
      </c>
      <c r="H12" s="115">
        <f>IF(F12="","",IF(OR(F12&lt;0.9,F12&gt;1.1),"ALERTA","OK"))</f>
        <v/>
      </c>
      <c r="I12" s="116">
        <f>IF(C12="","",IF(AND(F12&lt;&gt;"",F12&lt;1),C12*F12,C12))</f>
        <v/>
      </c>
    </row>
    <row r="13" ht="12.75" customHeight="1" s="60">
      <c r="A13" s="87" t="inlineStr">
        <is>
          <t>Jul/2026</t>
        </is>
      </c>
      <c r="B13" s="77">
        <f>IFERROR(INDEX('Venda Anual (Base)'!$C$5:$C$16,MATCH($A13,'Venda Anual (Base)'!$A$5:$A$16,0)),"")</f>
        <v/>
      </c>
      <c r="C13" s="77">
        <f>(B12*$E$3)</f>
        <v/>
      </c>
      <c r="D13" s="77">
        <f>IFERROR(INDEX('Resumo Mensal'!$C$2:$C$25,MATCH($A13,'Resumo Mensal'!$A$2:$A$25,0)),0)</f>
        <v/>
      </c>
      <c r="E13" s="77">
        <f>IF(AND(ISNUMBER(C13),D13&gt;0),D13-C13,"")</f>
        <v/>
      </c>
      <c r="F13" s="117">
        <f>IF(AND(ISNUMBER(B12),ISNUMBER(B11),B11&lt;&gt;0),B12/B11,"")</f>
        <v/>
      </c>
      <c r="G13" s="117">
        <f>IF(AND(ISNUMBER(D13),ISNUMBER(B13),B13&lt;&gt;0),(D13/B13)*30,"")</f>
        <v/>
      </c>
      <c r="H13" s="118">
        <f>IF(F13="","",IF(OR(F13&lt;0.9,F13&gt;1.1),"ALERTA","OK"))</f>
        <v/>
      </c>
      <c r="I13" s="119">
        <f>IF(C13="","",IF(AND(F13&lt;&gt;"",F13&lt;1),C13*F13,C13))</f>
        <v/>
      </c>
    </row>
    <row r="14" ht="12.75" customHeight="1" s="60">
      <c r="A14" s="87" t="inlineStr">
        <is>
          <t>Ago/2026</t>
        </is>
      </c>
      <c r="B14" s="77">
        <f>IFERROR(INDEX('Venda Anual (Base)'!$C$5:$C$16,MATCH($A14,'Venda Anual (Base)'!$A$5:$A$16,0)),"")</f>
        <v/>
      </c>
      <c r="C14" s="77">
        <f>(B13*$E$3)</f>
        <v/>
      </c>
      <c r="D14" s="77">
        <f>IFERROR(INDEX('Resumo Mensal'!$C$2:$C$25,MATCH($A14,'Resumo Mensal'!$A$2:$A$25,0)),0)</f>
        <v/>
      </c>
      <c r="E14" s="77">
        <f>IF(AND(ISNUMBER(C14),D14&gt;0),D14-C14,"")</f>
        <v/>
      </c>
      <c r="F14" s="114">
        <f>IF(AND(ISNUMBER(B13),ISNUMBER(B12),B12&lt;&gt;0),B13/B12,"")</f>
        <v/>
      </c>
      <c r="G14" s="114">
        <f>IF(AND(ISNUMBER(D14),ISNUMBER(B14),B14&lt;&gt;0),(D14/B14)*30,"")</f>
        <v/>
      </c>
      <c r="H14" s="115">
        <f>IF(F14="","",IF(OR(F14&lt;0.9,F14&gt;1.1),"ALERTA","OK"))</f>
        <v/>
      </c>
      <c r="I14" s="116">
        <f>IF(C14="","",IF(AND(F14&lt;&gt;"",F14&lt;1),C14*F14,C14))</f>
        <v/>
      </c>
    </row>
    <row r="15" ht="12.75" customHeight="1" s="60">
      <c r="A15" s="87" t="inlineStr">
        <is>
          <t>Set/2026</t>
        </is>
      </c>
      <c r="B15" s="77">
        <f>IFERROR(INDEX('Venda Anual (Base)'!$C$5:$C$16,MATCH($A15,'Venda Anual (Base)'!$A$5:$A$16,0)),"")</f>
        <v/>
      </c>
      <c r="C15" s="77">
        <f>(B14*$E$3)</f>
        <v/>
      </c>
      <c r="D15" s="77">
        <f>IFERROR(INDEX('Resumo Mensal'!$C$2:$C$25,MATCH($A15,'Resumo Mensal'!$A$2:$A$25,0)),0)</f>
        <v/>
      </c>
      <c r="E15" s="77">
        <f>IF(AND(ISNUMBER(C15),D15&gt;0),D15-C15,"")</f>
        <v/>
      </c>
      <c r="F15" s="117">
        <f>IF(AND(ISNUMBER(B14),ISNUMBER(B13),B13&lt;&gt;0),B14/B13,"")</f>
        <v/>
      </c>
      <c r="G15" s="117">
        <f>IF(AND(ISNUMBER(D15),ISNUMBER(B15),B15&lt;&gt;0),(D15/B15)*30,"")</f>
        <v/>
      </c>
      <c r="H15" s="118">
        <f>IF(F15="","",IF(OR(F15&lt;0.9,F15&gt;1.1),"ALERTA","OK"))</f>
        <v/>
      </c>
      <c r="I15" s="119">
        <f>IF(C15="","",IF(AND(F15&lt;&gt;"",F15&lt;1),C15*F15,C15))</f>
        <v/>
      </c>
    </row>
    <row r="16" ht="12.75" customHeight="1" s="60">
      <c r="A16" s="87" t="inlineStr">
        <is>
          <t>Out/2026</t>
        </is>
      </c>
      <c r="B16" s="77">
        <f>IFERROR(INDEX('Venda Anual (Base)'!$C$5:$C$16,MATCH($A16,'Venda Anual (Base)'!$A$5:$A$16,0)),"")</f>
        <v/>
      </c>
      <c r="C16" s="77">
        <f>(B15*$E$3)</f>
        <v/>
      </c>
      <c r="D16" s="77">
        <f>IFERROR(INDEX('Resumo Mensal'!$C$2:$C$25,MATCH($A16,'Resumo Mensal'!$A$2:$A$25,0)),0)</f>
        <v/>
      </c>
      <c r="E16" s="77">
        <f>IF(AND(ISNUMBER(C16),D16&gt;0),D16-C16,"")</f>
        <v/>
      </c>
      <c r="F16" s="122">
        <f>SUMIFS('Notas Fiscais (Rel 19)'!$K:$K,'Notas Fiscais (Rel 19)'!$E:$E,"&gt;="&amp;DATE(2026,10,1),'Notas Fiscais (Rel 19)'!$E:$E,"&lt;="&amp;DATE(2026,10,31))</f>
        <v/>
      </c>
      <c r="G16" s="123" t="n"/>
      <c r="H16" s="123" t="n"/>
      <c r="I16" s="124">
        <f>SUM(I5:I15)</f>
        <v/>
      </c>
    </row>
    <row r="17" ht="12.75" customHeight="1" s="60">
      <c r="A17" s="87" t="inlineStr">
        <is>
          <t>Nov/2026</t>
        </is>
      </c>
      <c r="B17" s="77">
        <f>IFERROR(INDEX('Venda Anual (Base)'!$C$5:$C$16,MATCH($A17,'Venda Anual (Base)'!$A$5:$A$16,0)),"")</f>
        <v/>
      </c>
      <c r="C17" s="77">
        <f>(B16*$E$3)</f>
        <v/>
      </c>
      <c r="D17" s="77">
        <f>IFERROR(INDEX('Resumo Mensal'!$C$2:$C$25,MATCH($A17,'Resumo Mensal'!$A$2:$A$25,0)),0)</f>
        <v/>
      </c>
      <c r="E17" s="77">
        <f>IF(AND(ISNUMBER(C17),D17&gt;0),D17-C17,"")</f>
        <v/>
      </c>
      <c r="F17" s="77">
        <f>SUMIFS('Notas Fiscais (Rel 19)'!$K:$K,'Notas Fiscais (Rel 19)'!$E:$E,"&gt;="&amp;DATE(2026,11,1),'Notas Fiscais (Rel 19)'!$E:$E,"&lt;="&amp;DATE(2026,11,30))</f>
        <v/>
      </c>
    </row>
    <row r="18" ht="12.75" customHeight="1" s="60">
      <c r="A18" s="87" t="inlineStr">
        <is>
          <t>Dez/2026</t>
        </is>
      </c>
      <c r="B18" s="77">
        <f>IFERROR(INDEX('Venda Anual (Base)'!$C$5:$C$16,MATCH($A18,'Venda Anual (Base)'!$A$5:$A$16,0)),"")</f>
        <v/>
      </c>
      <c r="C18" s="77">
        <f>(B17*$E$3)</f>
        <v/>
      </c>
      <c r="D18" s="77">
        <f>IFERROR(INDEX('Resumo Mensal'!$C$2:$C$25,MATCH($A18,'Resumo Mensal'!$A$2:$A$25,0)),0)</f>
        <v/>
      </c>
      <c r="E18" s="77">
        <f>IF(AND(ISNUMBER(C18),D18&gt;0),D18-C18,"")</f>
        <v/>
      </c>
      <c r="F18" s="77">
        <f>SUMIFS('Notas Fiscais (Rel 19)'!$K:$K,'Notas Fiscais (Rel 19)'!$E:$E,"&gt;="&amp;DATE(2026,12,1),'Notas Fiscais (Rel 19)'!$E:$E,"&lt;="&amp;DATE(2026,12,31))</f>
        <v/>
      </c>
    </row>
    <row r="19" ht="12.75" customHeight="1" s="60">
      <c r="A19" s="120" t="inlineStr">
        <is>
          <t>TOTAL</t>
        </is>
      </c>
      <c r="B19" s="95">
        <f>SUM(B7:B18)</f>
        <v/>
      </c>
      <c r="C19" s="95">
        <f>SUM(C7:C18)</f>
        <v/>
      </c>
      <c r="D19" s="95">
        <f>SUM(D7:D18)</f>
        <v/>
      </c>
      <c r="E19" s="95">
        <f>IF(COUNT(E7:E18)=0,"sem dados comparaveis ainda",SUM(E7:E18))</f>
        <v/>
      </c>
      <c r="F19" s="95">
        <f>SUM(F7:F18)</f>
        <v/>
      </c>
    </row>
    <row r="21" ht="12.75" customHeight="1" s="60">
      <c r="A21" s="87" t="inlineStr">
        <is>
          <t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      </is>
      </c>
    </row>
    <row r="23" ht="12.75" customHeight="1" s="60">
      <c r="A23" s="87" t="inlineStr">
        <is>
          <t>Expectativa de Venda do Mes Corrente (projecao com base no vendido ate a data de corte)</t>
        </is>
      </c>
    </row>
    <row r="25" ht="12.75" customHeight="1" s="60">
      <c r="A25" s="87" t="inlineStr">
        <is>
          <t>=INDEX('Venda Anual (Base)'!$A$5:$A$16,MONTH('Venda Anual (Base)'!$C$20))</t>
        </is>
      </c>
      <c r="B25" s="83">
        <f>'Venda Anual (Base)'!$C$20</f>
        <v/>
      </c>
      <c r="C25" s="77">
        <f>INDEX('Venda Anual (Base)'!$C$5:$C$16,MONTH('Venda Anual (Base)'!$C$20))</f>
        <v/>
      </c>
      <c r="D25" s="59">
        <f>DAY(B25)</f>
        <v/>
      </c>
      <c r="E25" s="59">
        <f>DAY(EOMONTH(B25,0))</f>
        <v/>
      </c>
      <c r="F25" s="77">
        <f>IFERROR(IF(D25=0,"",C25/D25*E25),"")</f>
        <v/>
      </c>
    </row>
    <row r="27" ht="12.75" customHeight="1" s="60">
      <c r="A27" s="87" t="inlineStr">
        <is>
          <t>Metodo: projecao = (venda acumulada ate a data de corte / dias corridos no mes) x dias totais do mes. A 'Data de Corte' vem do timestamp de extracao do relatorio de venda anual (aba 'Venda Anual (Base)').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O14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35" customWidth="1" style="59" min="7" max="7"/>
    <col width="14" customWidth="1" style="59" min="14" max="14"/>
    <col width="20" customWidth="1" style="59" min="15" max="15"/>
  </cols>
  <sheetData>
    <row r="1" ht="15" customHeight="1" s="60">
      <c r="A1" s="59" t="inlineStr">
        <is>
          <t>idempresa</t>
        </is>
      </c>
      <c r="B1" s="59" t="inlineStr">
        <is>
          <t>numnota</t>
        </is>
      </c>
      <c r="C1" s="59" t="inlineStr">
        <is>
          <t>serienota</t>
        </is>
      </c>
      <c r="D1" s="59" t="inlineStr">
        <is>
          <t>cnpjcpf</t>
        </is>
      </c>
      <c r="E1" s="59" t="inlineStr">
        <is>
          <t>dtmovimento</t>
        </is>
      </c>
      <c r="F1" s="59" t="inlineStr">
        <is>
          <t>dtemissao</t>
        </is>
      </c>
      <c r="G1" s="59" t="inlineStr">
        <is>
          <t>nome</t>
        </is>
      </c>
      <c r="H1" s="59" t="inlineStr">
        <is>
          <t>idplanilha</t>
        </is>
      </c>
      <c r="I1" s="59" t="inlineStr">
        <is>
          <t>idoperacao</t>
        </is>
      </c>
      <c r="J1" s="59" t="inlineStr">
        <is>
          <t>uf</t>
        </is>
      </c>
      <c r="K1" s="59" t="inlineStr">
        <is>
          <t>valcontabil</t>
        </is>
      </c>
      <c r="N1" s="125" t="inlineStr">
        <is>
          <t>Data</t>
        </is>
      </c>
      <c r="O1" s="125" t="inlineStr">
        <is>
          <t>Valor Recebido no Dia</t>
        </is>
      </c>
    </row>
    <row r="2" ht="15" customHeight="1" s="60">
      <c r="A2" s="59" t="n">
        <v>1</v>
      </c>
      <c r="B2" s="59" t="n">
        <v>88280</v>
      </c>
      <c r="C2" s="59" t="inlineStr">
        <is>
          <t>2</t>
        </is>
      </c>
      <c r="D2" s="59" t="inlineStr">
        <is>
          <t>22957970000112</t>
        </is>
      </c>
      <c r="E2" s="75" t="n">
        <v>46174</v>
      </c>
      <c r="F2" s="75" t="n">
        <v>46171</v>
      </c>
      <c r="G2" s="59" t="inlineStr">
        <is>
          <t>AMAZON DISTRIBUIDORA DE PRODUTOS ALIMENT</t>
        </is>
      </c>
      <c r="H2" s="59" t="n">
        <v>1187486</v>
      </c>
      <c r="I2" s="59" t="n">
        <v>1</v>
      </c>
      <c r="J2" s="59" t="inlineStr">
        <is>
          <t>AM</t>
        </is>
      </c>
      <c r="K2" s="126" t="n">
        <v>390.66</v>
      </c>
      <c r="N2" s="75" t="n">
        <v>46174</v>
      </c>
      <c r="O2" s="126">
        <f>SUMIFS($K:$K,$E:$E,N2)</f>
        <v/>
      </c>
    </row>
    <row r="3" ht="15" customHeight="1" s="60">
      <c r="A3" s="59" t="n">
        <v>1</v>
      </c>
      <c r="B3" s="59" t="n">
        <v>106513</v>
      </c>
      <c r="C3" s="59" t="inlineStr">
        <is>
          <t>1</t>
        </is>
      </c>
      <c r="D3" s="59" t="inlineStr">
        <is>
          <t>34487736000158</t>
        </is>
      </c>
      <c r="E3" s="75" t="n">
        <v>46174</v>
      </c>
      <c r="F3" s="75" t="n">
        <v>46160</v>
      </c>
      <c r="G3" s="59" t="inlineStr">
        <is>
          <t>ANTONIO DE PADUA ARAUJO E CIA LTDA</t>
        </is>
      </c>
      <c r="H3" s="59" t="n">
        <v>1187952</v>
      </c>
      <c r="I3" s="59" t="n">
        <v>3</v>
      </c>
      <c r="J3" s="59" t="inlineStr">
        <is>
          <t>AM</t>
        </is>
      </c>
      <c r="K3" s="126" t="n">
        <v>218.36</v>
      </c>
      <c r="N3" s="75" t="n">
        <v>46175</v>
      </c>
      <c r="O3" s="126">
        <f>SUMIFS($K:$K,$E:$E,N3)</f>
        <v/>
      </c>
    </row>
    <row r="4" ht="15" customHeight="1" s="60">
      <c r="A4" s="59" t="n">
        <v>1</v>
      </c>
      <c r="B4" s="59" t="n">
        <v>395</v>
      </c>
      <c r="C4" s="59" t="inlineStr">
        <is>
          <t>3</t>
        </is>
      </c>
      <c r="D4" s="59" t="inlineStr">
        <is>
          <t>40233745000115</t>
        </is>
      </c>
      <c r="E4" s="75" t="n">
        <v>46174</v>
      </c>
      <c r="F4" s="75" t="n">
        <v>46170</v>
      </c>
      <c r="G4" s="59" t="inlineStr">
        <is>
          <t>D N COMERCIO ATACADISTA DE EMBALAGENS E</t>
        </is>
      </c>
      <c r="H4" s="59" t="n">
        <v>1187519</v>
      </c>
      <c r="I4" s="59" t="n">
        <v>11</v>
      </c>
      <c r="J4" s="59" t="inlineStr">
        <is>
          <t>AM</t>
        </is>
      </c>
      <c r="K4" s="126" t="n">
        <v>2284</v>
      </c>
      <c r="N4" s="75" t="n">
        <v>46176</v>
      </c>
      <c r="O4" s="126">
        <f>SUMIFS($K:$K,$E:$E,N4)</f>
        <v/>
      </c>
    </row>
    <row r="5" ht="15" customHeight="1" s="60">
      <c r="A5" s="59" t="n">
        <v>1</v>
      </c>
      <c r="B5" s="59" t="n">
        <v>7906</v>
      </c>
      <c r="C5" s="59" t="inlineStr">
        <is>
          <t>1</t>
        </is>
      </c>
      <c r="D5" s="59" t="inlineStr">
        <is>
          <t>44302603000113</t>
        </is>
      </c>
      <c r="E5" s="75" t="n">
        <v>46174</v>
      </c>
      <c r="F5" s="75" t="n">
        <v>46164</v>
      </c>
      <c r="G5" s="59" t="inlineStr">
        <is>
          <t>EDMARA COMERCIO DE HIGIENE PESSOAL LTDA</t>
        </is>
      </c>
      <c r="H5" s="59" t="n">
        <v>1187889</v>
      </c>
      <c r="I5" s="59" t="n">
        <v>3</v>
      </c>
      <c r="J5" s="59" t="inlineStr">
        <is>
          <t>AM</t>
        </is>
      </c>
      <c r="K5" s="126" t="n">
        <v>2710</v>
      </c>
      <c r="N5" s="75" t="n">
        <v>46177</v>
      </c>
      <c r="O5" s="126">
        <f>SUMIFS($K:$K,$E:$E,N5)</f>
        <v/>
      </c>
    </row>
    <row r="6" ht="15" customHeight="1" s="60">
      <c r="A6" s="59" t="n">
        <v>1</v>
      </c>
      <c r="B6" s="59" t="n">
        <v>1625398</v>
      </c>
      <c r="C6" s="59" t="inlineStr">
        <is>
          <t>890</t>
        </is>
      </c>
      <c r="D6" s="59" t="inlineStr">
        <is>
          <t>02532915340</t>
        </is>
      </c>
      <c r="E6" s="75" t="n">
        <v>46174</v>
      </c>
      <c r="F6" s="75" t="n">
        <v>46174</v>
      </c>
      <c r="G6" s="59" t="inlineStr">
        <is>
          <t>EDSON AGUIAR DE SOUZA</t>
        </is>
      </c>
      <c r="H6" s="59" t="n">
        <v>1191272</v>
      </c>
      <c r="I6" s="59" t="n">
        <v>1</v>
      </c>
      <c r="J6" s="59" t="inlineStr">
        <is>
          <t>AM</t>
        </is>
      </c>
      <c r="K6" s="126" t="n">
        <v>180</v>
      </c>
      <c r="N6" s="75" t="n">
        <v>46178</v>
      </c>
      <c r="O6" s="126">
        <f>SUMIFS($K:$K,$E:$E,N6)</f>
        <v/>
      </c>
    </row>
    <row r="7" ht="15" customHeight="1" s="60">
      <c r="A7" s="59" t="n">
        <v>1</v>
      </c>
      <c r="B7" s="59" t="n">
        <v>2069</v>
      </c>
      <c r="C7" s="59" t="inlineStr">
        <is>
          <t>1</t>
        </is>
      </c>
      <c r="D7" s="59" t="inlineStr">
        <is>
          <t>63443798000166</t>
        </is>
      </c>
      <c r="E7" s="75" t="n">
        <v>46174</v>
      </c>
      <c r="F7" s="75" t="n">
        <v>46160</v>
      </c>
      <c r="G7" s="59" t="inlineStr">
        <is>
          <t>FORTVET DISTRIBUIDORA LTDA</t>
        </is>
      </c>
      <c r="H7" s="59" t="n">
        <v>1187048</v>
      </c>
      <c r="I7" s="59" t="n">
        <v>1</v>
      </c>
      <c r="J7" s="59" t="inlineStr">
        <is>
          <t>AM</t>
        </is>
      </c>
      <c r="K7" s="126" t="n">
        <v>1751.27</v>
      </c>
      <c r="N7" s="75" t="n">
        <v>46179</v>
      </c>
      <c r="O7" s="126">
        <f>SUMIFS($K:$K,$E:$E,N7)</f>
        <v/>
      </c>
    </row>
    <row r="8" ht="15" customHeight="1" s="60">
      <c r="A8" s="59" t="n">
        <v>1</v>
      </c>
      <c r="B8" s="59" t="n">
        <v>234</v>
      </c>
      <c r="C8" s="59" t="inlineStr">
        <is>
          <t>2</t>
        </is>
      </c>
      <c r="D8" s="59" t="inlineStr">
        <is>
          <t>20380110000133</t>
        </is>
      </c>
      <c r="E8" s="75" t="n">
        <v>46174</v>
      </c>
      <c r="F8" s="75" t="n">
        <v>46174</v>
      </c>
      <c r="G8" s="59" t="inlineStr">
        <is>
          <t>GELO DANGELO FABRICACAO DE GELO LTDA</t>
        </is>
      </c>
      <c r="H8" s="59" t="n">
        <v>1189172</v>
      </c>
      <c r="I8" s="59" t="n">
        <v>1</v>
      </c>
      <c r="J8" s="59" t="inlineStr">
        <is>
          <t>AM</t>
        </is>
      </c>
      <c r="K8" s="126" t="n">
        <v>405.5</v>
      </c>
      <c r="N8" s="75" t="n">
        <v>46180</v>
      </c>
      <c r="O8" s="126">
        <f>SUMIFS($K:$K,$E:$E,N8)</f>
        <v/>
      </c>
    </row>
    <row r="9" ht="15" customHeight="1" s="60">
      <c r="A9" s="59" t="n">
        <v>1</v>
      </c>
      <c r="B9" s="59" t="n">
        <v>5924</v>
      </c>
      <c r="C9" s="59" t="inlineStr">
        <is>
          <t>2</t>
        </is>
      </c>
      <c r="D9" s="59" t="inlineStr">
        <is>
          <t>08649356000243</t>
        </is>
      </c>
      <c r="E9" s="75" t="n">
        <v>46174</v>
      </c>
      <c r="F9" s="75" t="n">
        <v>46174</v>
      </c>
      <c r="G9" s="59" t="inlineStr">
        <is>
          <t>MANOEL TEXEIRA DE SOUZA RESTAURANTE</t>
        </is>
      </c>
      <c r="H9" s="59" t="n">
        <v>1194085</v>
      </c>
      <c r="I9" s="59" t="n">
        <v>1</v>
      </c>
      <c r="J9" s="59" t="inlineStr">
        <is>
          <t>AM</t>
        </is>
      </c>
      <c r="K9" s="126" t="n">
        <v>280</v>
      </c>
      <c r="N9" s="75" t="n">
        <v>46181</v>
      </c>
      <c r="O9" s="126">
        <f>SUMIFS($K:$K,$E:$E,N9)</f>
        <v/>
      </c>
    </row>
    <row r="10" ht="15" customHeight="1" s="60">
      <c r="A10" s="59" t="n">
        <v>1</v>
      </c>
      <c r="B10" s="59" t="n">
        <v>14363</v>
      </c>
      <c r="C10" s="59" t="inlineStr">
        <is>
          <t>1</t>
        </is>
      </c>
      <c r="D10" s="59" t="inlineStr">
        <is>
          <t>03784729000194</t>
        </is>
      </c>
      <c r="E10" s="75" t="n">
        <v>46174</v>
      </c>
      <c r="F10" s="75" t="n">
        <v>46172</v>
      </c>
      <c r="G10" s="59" t="inlineStr">
        <is>
          <t>MAXFRI DISTRIUIDORA LTDA</t>
        </is>
      </c>
      <c r="H10" s="59" t="n">
        <v>1188385</v>
      </c>
      <c r="I10" s="59" t="n">
        <v>1</v>
      </c>
      <c r="J10" s="59" t="inlineStr">
        <is>
          <t>AM</t>
        </is>
      </c>
      <c r="K10" s="126" t="n">
        <v>11363.2</v>
      </c>
      <c r="N10" s="75" t="n">
        <v>46182</v>
      </c>
      <c r="O10" s="126">
        <f>SUMIFS($K:$K,$E:$E,N10)</f>
        <v/>
      </c>
    </row>
    <row r="11" ht="15" customHeight="1" s="60">
      <c r="A11" s="59" t="n">
        <v>1</v>
      </c>
      <c r="B11" s="59" t="n">
        <v>23761</v>
      </c>
      <c r="C11" s="59" t="inlineStr">
        <is>
          <t>1</t>
        </is>
      </c>
      <c r="D11" s="59" t="inlineStr">
        <is>
          <t>03025155000685</t>
        </is>
      </c>
      <c r="E11" s="75" t="n">
        <v>46174</v>
      </c>
      <c r="F11" s="75" t="n">
        <v>46155</v>
      </c>
      <c r="G11" s="59" t="inlineStr">
        <is>
          <t>REFRIAL DISTRIBUIDORA COMERCIAL DE MAQUI</t>
        </is>
      </c>
      <c r="H11" s="59" t="n">
        <v>1188129</v>
      </c>
      <c r="I11" s="59" t="n">
        <v>39</v>
      </c>
      <c r="J11" s="59" t="inlineStr">
        <is>
          <t>AM</t>
        </is>
      </c>
      <c r="K11" s="126" t="n">
        <v>84</v>
      </c>
      <c r="N11" s="75" t="n">
        <v>46183</v>
      </c>
      <c r="O11" s="126">
        <f>SUMIFS($K:$K,$E:$E,N11)</f>
        <v/>
      </c>
    </row>
    <row r="12" ht="15" customHeight="1" s="60">
      <c r="A12" s="59" t="n">
        <v>1</v>
      </c>
      <c r="B12" s="59" t="n">
        <v>11</v>
      </c>
      <c r="C12" s="59" t="inlineStr">
        <is>
          <t>1</t>
        </is>
      </c>
      <c r="D12" s="59" t="inlineStr">
        <is>
          <t>36480282000119</t>
        </is>
      </c>
      <c r="E12" s="75" t="n">
        <v>46174</v>
      </c>
      <c r="F12" s="75" t="n">
        <v>46174</v>
      </c>
      <c r="G12" s="59" t="inlineStr">
        <is>
          <t>RENATO DE O AZEVEDO E CIA LTDA - EPP</t>
        </is>
      </c>
      <c r="H12" s="59" t="n">
        <v>1189233</v>
      </c>
      <c r="I12" s="59" t="n">
        <v>2</v>
      </c>
      <c r="J12" s="59" t="inlineStr">
        <is>
          <t>AM</t>
        </is>
      </c>
      <c r="K12" s="126" t="n">
        <v>260</v>
      </c>
      <c r="N12" s="75" t="n">
        <v>46184</v>
      </c>
      <c r="O12" s="126">
        <f>SUMIFS($K:$K,$E:$E,N12)</f>
        <v/>
      </c>
    </row>
    <row r="13" ht="15" customHeight="1" s="60">
      <c r="A13" s="59" t="n">
        <v>1</v>
      </c>
      <c r="B13" s="59" t="n">
        <v>5068</v>
      </c>
      <c r="C13" s="59" t="inlineStr">
        <is>
          <t>1</t>
        </is>
      </c>
      <c r="D13" s="59" t="inlineStr">
        <is>
          <t>36480282000119</t>
        </is>
      </c>
      <c r="E13" s="75" t="n">
        <v>46174</v>
      </c>
      <c r="F13" s="75" t="n">
        <v>46174</v>
      </c>
      <c r="G13" s="59" t="inlineStr">
        <is>
          <t>RENATO DE O AZEVEDO E CIA LTDA - EPP</t>
        </is>
      </c>
      <c r="H13" s="59" t="n">
        <v>1189238</v>
      </c>
      <c r="I13" s="59" t="n">
        <v>6</v>
      </c>
      <c r="J13" s="59" t="inlineStr">
        <is>
          <t>AM</t>
        </is>
      </c>
      <c r="K13" s="126" t="n">
        <v>260</v>
      </c>
      <c r="N13" s="75" t="n">
        <v>46185</v>
      </c>
      <c r="O13" s="126">
        <f>SUMIFS($K:$K,$E:$E,N13)</f>
        <v/>
      </c>
    </row>
    <row r="14" ht="15" customHeight="1" s="60">
      <c r="A14" s="59" t="n">
        <v>1</v>
      </c>
      <c r="B14" s="59" t="n">
        <v>30770</v>
      </c>
      <c r="C14" s="59" t="inlineStr">
        <is>
          <t>1</t>
        </is>
      </c>
      <c r="D14" s="59" t="inlineStr">
        <is>
          <t>30652116000176</t>
        </is>
      </c>
      <c r="E14" s="75" t="n">
        <v>46174</v>
      </c>
      <c r="F14" s="75" t="n">
        <v>46172</v>
      </c>
      <c r="G14" s="59" t="inlineStr">
        <is>
          <t>SILVA E SANTOS FRIGORIFICO LTDA</t>
        </is>
      </c>
      <c r="H14" s="59" t="n">
        <v>1188444</v>
      </c>
      <c r="I14" s="59" t="n">
        <v>1</v>
      </c>
      <c r="J14" s="59" t="inlineStr">
        <is>
          <t>AM</t>
        </is>
      </c>
      <c r="K14" s="126" t="n">
        <v>3055.2</v>
      </c>
      <c r="N14" s="75" t="n">
        <v>46186</v>
      </c>
      <c r="O14" s="126">
        <f>SUMIFS($K:$K,$E:$E,N14)</f>
        <v/>
      </c>
    </row>
    <row r="15" ht="15" customHeight="1" s="60">
      <c r="A15" s="59" t="n">
        <v>1</v>
      </c>
      <c r="B15" s="59" t="n">
        <v>3372</v>
      </c>
      <c r="C15" s="59" t="inlineStr">
        <is>
          <t>1</t>
        </is>
      </c>
      <c r="D15" s="59" t="inlineStr">
        <is>
          <t>60214639000100</t>
        </is>
      </c>
      <c r="E15" s="75" t="n">
        <v>46174</v>
      </c>
      <c r="F15" s="75" t="n">
        <v>46160</v>
      </c>
      <c r="G15" s="59" t="inlineStr">
        <is>
          <t>TRIPLASTIK ATAKADO</t>
        </is>
      </c>
      <c r="H15" s="59" t="n">
        <v>1187627</v>
      </c>
      <c r="I15" s="59" t="n">
        <v>3</v>
      </c>
      <c r="J15" s="59" t="inlineStr">
        <is>
          <t>AM</t>
        </is>
      </c>
      <c r="K15" s="126" t="n">
        <v>5050.31</v>
      </c>
      <c r="N15" s="75" t="n">
        <v>46187</v>
      </c>
      <c r="O15" s="126">
        <f>SUMIFS($K:$K,$E:$E,N15)</f>
        <v/>
      </c>
    </row>
    <row r="16" ht="15" customHeight="1" s="60">
      <c r="A16" s="59" t="n">
        <v>1</v>
      </c>
      <c r="B16" s="59" t="n">
        <v>3454</v>
      </c>
      <c r="C16" s="59" t="inlineStr">
        <is>
          <t>3</t>
        </is>
      </c>
      <c r="D16" s="59" t="inlineStr">
        <is>
          <t>37225449000168</t>
        </is>
      </c>
      <c r="E16" s="75" t="n">
        <v>46174</v>
      </c>
      <c r="F16" s="75" t="n">
        <v>46174</v>
      </c>
      <c r="G16" s="59" t="inlineStr">
        <is>
          <t>VOVO DIZA COMERCIO VAREJISTA DE HORTALICAS LTDA</t>
        </is>
      </c>
      <c r="H16" s="59" t="n">
        <v>1189192</v>
      </c>
      <c r="I16" s="59" t="n">
        <v>1</v>
      </c>
      <c r="J16" s="59" t="inlineStr">
        <is>
          <t>AM</t>
        </is>
      </c>
      <c r="K16" s="126" t="n">
        <v>105</v>
      </c>
      <c r="N16" s="75" t="n">
        <v>46188</v>
      </c>
      <c r="O16" s="126">
        <f>SUMIFS($K:$K,$E:$E,N16)</f>
        <v/>
      </c>
    </row>
    <row r="17" ht="15" customHeight="1" s="60">
      <c r="A17" s="59" t="n">
        <v>1</v>
      </c>
      <c r="B17" s="59" t="n">
        <v>482</v>
      </c>
      <c r="C17" s="59" t="inlineStr">
        <is>
          <t>1</t>
        </is>
      </c>
      <c r="D17" s="59" t="inlineStr">
        <is>
          <t>47496330000183</t>
        </is>
      </c>
      <c r="E17" s="75" t="n">
        <v>46175</v>
      </c>
      <c r="F17" s="75" t="n">
        <v>46174</v>
      </c>
      <c r="G17" s="59" t="inlineStr">
        <is>
          <t>ADICSO FABIAN GONZALEZ MONTILLA 70302186</t>
        </is>
      </c>
      <c r="H17" s="59" t="n">
        <v>1193274</v>
      </c>
      <c r="I17" s="59" t="n">
        <v>1</v>
      </c>
      <c r="J17" s="59" t="inlineStr">
        <is>
          <t>AM</t>
        </is>
      </c>
      <c r="K17" s="126" t="n">
        <v>564</v>
      </c>
      <c r="N17" s="75" t="n">
        <v>46189</v>
      </c>
      <c r="O17" s="126">
        <f>SUMIFS($K:$K,$E:$E,N17)</f>
        <v/>
      </c>
    </row>
    <row r="18" ht="15" customHeight="1" s="60">
      <c r="A18" s="59" t="n">
        <v>1</v>
      </c>
      <c r="B18" s="59" t="n">
        <v>288</v>
      </c>
      <c r="C18" s="59" t="inlineStr">
        <is>
          <t>1</t>
        </is>
      </c>
      <c r="D18" s="59" t="inlineStr">
        <is>
          <t>34787423000115</t>
        </is>
      </c>
      <c r="E18" s="75" t="n">
        <v>46175</v>
      </c>
      <c r="F18" s="75" t="n">
        <v>46170</v>
      </c>
      <c r="G18" s="59" t="inlineStr">
        <is>
          <t>ADRIANO FEITOSA OLIVEIRA LTDA</t>
        </is>
      </c>
      <c r="H18" s="59" t="n">
        <v>1193288</v>
      </c>
      <c r="I18" s="59" t="n">
        <v>1</v>
      </c>
      <c r="J18" s="59" t="inlineStr">
        <is>
          <t>AM</t>
        </is>
      </c>
      <c r="K18" s="126" t="n">
        <v>1330</v>
      </c>
      <c r="N18" s="75" t="n">
        <v>46190</v>
      </c>
      <c r="O18" s="126">
        <f>SUMIFS($K:$K,$E:$E,N18)</f>
        <v/>
      </c>
    </row>
    <row r="19" ht="15" customHeight="1" s="60">
      <c r="A19" s="59" t="n">
        <v>1</v>
      </c>
      <c r="B19" s="59" t="n">
        <v>11208</v>
      </c>
      <c r="C19" s="59" t="inlineStr">
        <is>
          <t>2</t>
        </is>
      </c>
      <c r="D19" s="59" t="inlineStr">
        <is>
          <t>40810324000100</t>
        </is>
      </c>
      <c r="E19" s="75" t="n">
        <v>46175</v>
      </c>
      <c r="F19" s="75" t="n">
        <v>46174</v>
      </c>
      <c r="G19" s="59" t="inlineStr">
        <is>
          <t>C. R. PARENTE ABREU</t>
        </is>
      </c>
      <c r="H19" s="59" t="n">
        <v>1191273</v>
      </c>
      <c r="I19" s="59" t="n">
        <v>1</v>
      </c>
      <c r="J19" s="59" t="inlineStr">
        <is>
          <t>AM</t>
        </is>
      </c>
      <c r="K19" s="126" t="n">
        <v>655.6799999999999</v>
      </c>
      <c r="N19" s="75" t="n">
        <v>46191</v>
      </c>
      <c r="O19" s="126">
        <f>SUMIFS($K:$K,$E:$E,N19)</f>
        <v/>
      </c>
    </row>
    <row r="20" ht="15" customHeight="1" s="60">
      <c r="A20" s="59" t="n">
        <v>1</v>
      </c>
      <c r="B20" s="59" t="n">
        <v>170852</v>
      </c>
      <c r="C20" s="59" t="inlineStr">
        <is>
          <t>1</t>
        </is>
      </c>
      <c r="D20" s="59" t="inlineStr">
        <is>
          <t>10418161000153</t>
        </is>
      </c>
      <c r="E20" s="75" t="n">
        <v>46175</v>
      </c>
      <c r="F20" s="75" t="n">
        <v>46174</v>
      </c>
      <c r="G20" s="59" t="inlineStr">
        <is>
          <t>COMERCIO DE FRIOS MANAUS LTDA</t>
        </is>
      </c>
      <c r="H20" s="59" t="n">
        <v>1191245</v>
      </c>
      <c r="I20" s="59" t="n">
        <v>1</v>
      </c>
      <c r="J20" s="59" t="inlineStr">
        <is>
          <t>AM</t>
        </is>
      </c>
      <c r="K20" s="126" t="n">
        <v>2569.25</v>
      </c>
      <c r="N20" s="75" t="n">
        <v>46192</v>
      </c>
      <c r="O20" s="126">
        <f>SUMIFS($K:$K,$E:$E,N20)</f>
        <v/>
      </c>
    </row>
    <row r="21" ht="15" customHeight="1" s="60">
      <c r="A21" s="59" t="n">
        <v>1</v>
      </c>
      <c r="B21" s="59" t="n">
        <v>170905</v>
      </c>
      <c r="C21" s="59" t="inlineStr">
        <is>
          <t>1</t>
        </is>
      </c>
      <c r="D21" s="59" t="inlineStr">
        <is>
          <t>10418161000153</t>
        </is>
      </c>
      <c r="E21" s="75" t="n">
        <v>46175</v>
      </c>
      <c r="F21" s="75" t="n">
        <v>46175</v>
      </c>
      <c r="G21" s="59" t="inlineStr">
        <is>
          <t>COMERCIO DE FRIOS MANAUS LTDA</t>
        </is>
      </c>
      <c r="H21" s="59" t="n">
        <v>1193353</v>
      </c>
      <c r="I21" s="59" t="n">
        <v>1</v>
      </c>
      <c r="J21" s="59" t="inlineStr">
        <is>
          <t>AM</t>
        </is>
      </c>
      <c r="K21" s="126" t="n">
        <v>4425.75</v>
      </c>
      <c r="N21" s="75" t="n">
        <v>46193</v>
      </c>
      <c r="O21" s="126">
        <f>SUMIFS($K:$K,$E:$E,N21)</f>
        <v/>
      </c>
    </row>
    <row r="22" ht="15" customHeight="1" s="60">
      <c r="A22" s="59" t="n">
        <v>1</v>
      </c>
      <c r="B22" s="59" t="n">
        <v>14605</v>
      </c>
      <c r="C22" s="59" t="inlineStr">
        <is>
          <t>1</t>
        </is>
      </c>
      <c r="D22" s="59" t="inlineStr">
        <is>
          <t>09531992000158</t>
        </is>
      </c>
      <c r="E22" s="75" t="n">
        <v>46175</v>
      </c>
      <c r="F22" s="75" t="n">
        <v>46175</v>
      </c>
      <c r="G22" s="59" t="inlineStr">
        <is>
          <t>COMERCIO E TRANSPORTE BRANDAO LTDA</t>
        </is>
      </c>
      <c r="H22" s="59" t="n">
        <v>1193996</v>
      </c>
      <c r="I22" s="59" t="n">
        <v>1</v>
      </c>
      <c r="J22" s="59" t="inlineStr">
        <is>
          <t>AM</t>
        </is>
      </c>
      <c r="K22" s="126" t="n">
        <v>400</v>
      </c>
      <c r="N22" s="75" t="n">
        <v>46194</v>
      </c>
      <c r="O22" s="126">
        <f>SUMIFS($K:$K,$E:$E,N22)</f>
        <v/>
      </c>
    </row>
    <row r="23" ht="15" customHeight="1" s="60">
      <c r="A23" s="59" t="n">
        <v>1</v>
      </c>
      <c r="B23" s="59" t="n">
        <v>1664084</v>
      </c>
      <c r="C23" s="59" t="inlineStr">
        <is>
          <t>1</t>
        </is>
      </c>
      <c r="D23" s="59" t="inlineStr">
        <is>
          <t>02796653000154</t>
        </is>
      </c>
      <c r="E23" s="75" t="n">
        <v>46175</v>
      </c>
      <c r="F23" s="75" t="n">
        <v>46170</v>
      </c>
      <c r="G23" s="59" t="inlineStr">
        <is>
          <t>DISTRIBUIDORA LOPES LTDA</t>
        </is>
      </c>
      <c r="H23" s="59" t="n">
        <v>1191825</v>
      </c>
      <c r="I23" s="59" t="n">
        <v>1</v>
      </c>
      <c r="J23" s="59" t="inlineStr">
        <is>
          <t>AM</t>
        </is>
      </c>
      <c r="K23" s="126" t="n">
        <v>2152.02</v>
      </c>
      <c r="N23" s="75" t="n">
        <v>46195</v>
      </c>
      <c r="O23" s="126">
        <f>SUMIFS($K:$K,$E:$E,N23)</f>
        <v/>
      </c>
    </row>
    <row r="24" ht="15" customHeight="1" s="60">
      <c r="A24" s="59" t="n">
        <v>1</v>
      </c>
      <c r="B24" s="59" t="n">
        <v>7862</v>
      </c>
      <c r="C24" s="59" t="inlineStr">
        <is>
          <t>1</t>
        </is>
      </c>
      <c r="D24" s="59" t="inlineStr">
        <is>
          <t>44302603000113</t>
        </is>
      </c>
      <c r="E24" s="75" t="n">
        <v>46175</v>
      </c>
      <c r="F24" s="75" t="n">
        <v>46161</v>
      </c>
      <c r="G24" s="59" t="inlineStr">
        <is>
          <t>EDMARA COMERCIO DE HIGIENE PESSOAL LTDA</t>
        </is>
      </c>
      <c r="H24" s="59" t="n">
        <v>1192775</v>
      </c>
      <c r="I24" s="59" t="n">
        <v>1</v>
      </c>
      <c r="J24" s="59" t="inlineStr">
        <is>
          <t>AM</t>
        </is>
      </c>
      <c r="K24" s="126" t="n">
        <v>6783.58</v>
      </c>
      <c r="N24" s="75" t="n">
        <v>46196</v>
      </c>
      <c r="O24" s="126">
        <f>SUMIFS($K:$K,$E:$E,N24)</f>
        <v/>
      </c>
    </row>
    <row r="25" ht="15" customHeight="1" s="60">
      <c r="A25" s="59" t="n">
        <v>1</v>
      </c>
      <c r="B25" s="59" t="n">
        <v>394340</v>
      </c>
      <c r="C25" s="59" t="inlineStr">
        <is>
          <t>1</t>
        </is>
      </c>
      <c r="D25" s="59" t="inlineStr">
        <is>
          <t>06257367000171</t>
        </is>
      </c>
      <c r="E25" s="75" t="n">
        <v>46175</v>
      </c>
      <c r="F25" s="75" t="n">
        <v>46171</v>
      </c>
      <c r="G25" s="59" t="inlineStr">
        <is>
          <t>FENNIX BRASIL DISTRIBUIDORA DE PRODUTOS</t>
        </is>
      </c>
      <c r="H25" s="59" t="n">
        <v>1193236</v>
      </c>
      <c r="I25" s="59" t="n">
        <v>11</v>
      </c>
      <c r="J25" s="59" t="inlineStr">
        <is>
          <t>AM</t>
        </is>
      </c>
      <c r="K25" s="126" t="n">
        <v>900.5599999999999</v>
      </c>
      <c r="N25" s="75" t="n">
        <v>46197</v>
      </c>
      <c r="O25" s="126">
        <f>SUMIFS($K:$K,$E:$E,N25)</f>
        <v/>
      </c>
    </row>
    <row r="26" ht="15" customHeight="1" s="60">
      <c r="A26" s="59" t="n">
        <v>1</v>
      </c>
      <c r="B26" s="59" t="n">
        <v>222385</v>
      </c>
      <c r="C26" s="59" t="inlineStr">
        <is>
          <t>2</t>
        </is>
      </c>
      <c r="D26" s="59" t="inlineStr">
        <is>
          <t>05646631000104</t>
        </is>
      </c>
      <c r="E26" s="75" t="n">
        <v>46175</v>
      </c>
      <c r="F26" s="75" t="n">
        <v>46174</v>
      </c>
      <c r="G26" s="59" t="inlineStr">
        <is>
          <t>FRUTAL INDUSTRIA E COMERCIO LTDA</t>
        </is>
      </c>
      <c r="H26" s="59" t="n">
        <v>1191705</v>
      </c>
      <c r="I26" s="59" t="n">
        <v>1</v>
      </c>
      <c r="J26" s="59" t="inlineStr">
        <is>
          <t>AM</t>
        </is>
      </c>
      <c r="K26" s="126" t="n">
        <v>577.25</v>
      </c>
      <c r="N26" s="75" t="n">
        <v>46198</v>
      </c>
      <c r="O26" s="126">
        <f>SUMIFS($K:$K,$E:$E,N26)</f>
        <v/>
      </c>
    </row>
    <row r="27" ht="15" customHeight="1" s="60">
      <c r="A27" s="59" t="n">
        <v>1</v>
      </c>
      <c r="B27" s="59" t="n">
        <v>3284</v>
      </c>
      <c r="C27" s="59" t="inlineStr">
        <is>
          <t>1</t>
        </is>
      </c>
      <c r="D27" s="59" t="inlineStr">
        <is>
          <t>59566132000128</t>
        </is>
      </c>
      <c r="E27" s="75" t="n">
        <v>46175</v>
      </c>
      <c r="F27" s="75" t="n">
        <v>46172</v>
      </c>
      <c r="G27" s="59" t="inlineStr">
        <is>
          <t>JAB COMERCIO DE PRODUTOS ALIMENTICIOS LT</t>
        </is>
      </c>
      <c r="H27" s="59" t="n">
        <v>1193391</v>
      </c>
      <c r="I27" s="59" t="n">
        <v>1</v>
      </c>
      <c r="J27" s="59" t="inlineStr">
        <is>
          <t>AM</t>
        </is>
      </c>
      <c r="K27" s="126" t="n">
        <v>331</v>
      </c>
      <c r="N27" s="75" t="n">
        <v>46199</v>
      </c>
      <c r="O27" s="126">
        <f>SUMIFS($K:$K,$E:$E,N27)</f>
        <v/>
      </c>
    </row>
    <row r="28" ht="15" customHeight="1" s="60">
      <c r="A28" s="59" t="n">
        <v>1</v>
      </c>
      <c r="B28" s="59" t="n">
        <v>3482</v>
      </c>
      <c r="C28" s="59" t="inlineStr">
        <is>
          <t>1</t>
        </is>
      </c>
      <c r="D28" s="59" t="inlineStr">
        <is>
          <t>21141748000184</t>
        </is>
      </c>
      <c r="E28" s="75" t="n">
        <v>46175</v>
      </c>
      <c r="F28" s="75" t="n">
        <v>46160</v>
      </c>
      <c r="G28" s="59" t="inlineStr">
        <is>
          <t>MARCLEY MACHADO CHAVES</t>
        </is>
      </c>
      <c r="H28" s="59" t="n">
        <v>1193035</v>
      </c>
      <c r="I28" s="59" t="n">
        <v>1</v>
      </c>
      <c r="J28" s="59" t="inlineStr">
        <is>
          <t>AM</t>
        </is>
      </c>
      <c r="K28" s="126" t="n">
        <v>1747.29</v>
      </c>
      <c r="N28" s="75" t="n">
        <v>46200</v>
      </c>
      <c r="O28" s="126">
        <f>SUMIFS($K:$K,$E:$E,N28)</f>
        <v/>
      </c>
    </row>
    <row r="29" ht="15" customHeight="1" s="60">
      <c r="A29" s="59" t="n">
        <v>1</v>
      </c>
      <c r="B29" s="59" t="n">
        <v>3610</v>
      </c>
      <c r="C29" s="59" t="inlineStr">
        <is>
          <t>1</t>
        </is>
      </c>
      <c r="D29" s="59" t="inlineStr">
        <is>
          <t>14459228000159</t>
        </is>
      </c>
      <c r="E29" s="75" t="n">
        <v>46175</v>
      </c>
      <c r="F29" s="75" t="n">
        <v>46174</v>
      </c>
      <c r="G29" s="59" t="inlineStr">
        <is>
          <t>NOVA FRIOS COMERCIO ATACADISTA DE LATICINIOS LTDA</t>
        </is>
      </c>
      <c r="H29" s="59" t="n">
        <v>1191624</v>
      </c>
      <c r="I29" s="59" t="n">
        <v>1</v>
      </c>
      <c r="J29" s="59" t="inlineStr">
        <is>
          <t>AM</t>
        </is>
      </c>
      <c r="K29" s="126" t="n">
        <v>213</v>
      </c>
      <c r="N29" s="75" t="n">
        <v>46201</v>
      </c>
      <c r="O29" s="126">
        <f>SUMIFS($K:$K,$E:$E,N29)</f>
        <v/>
      </c>
    </row>
    <row r="30" ht="15" customHeight="1" s="60">
      <c r="A30" s="59" t="n">
        <v>1</v>
      </c>
      <c r="B30" s="59" t="n">
        <v>642</v>
      </c>
      <c r="C30" s="59" t="inlineStr">
        <is>
          <t>2</t>
        </is>
      </c>
      <c r="D30" s="59" t="inlineStr">
        <is>
          <t>35729236000148</t>
        </is>
      </c>
      <c r="E30" s="75" t="n">
        <v>46175</v>
      </c>
      <c r="F30" s="75" t="n">
        <v>46174</v>
      </c>
      <c r="G30" s="59" t="inlineStr">
        <is>
          <t>PANIFICADORA E CONFEITARIA REAL MADRI LTDA</t>
        </is>
      </c>
      <c r="H30" s="59" t="n">
        <v>1191285</v>
      </c>
      <c r="I30" s="59" t="n">
        <v>1</v>
      </c>
      <c r="J30" s="59" t="inlineStr">
        <is>
          <t>AM</t>
        </is>
      </c>
      <c r="K30" s="126" t="n">
        <v>304.75</v>
      </c>
      <c r="N30" s="75" t="n">
        <v>46202</v>
      </c>
      <c r="O30" s="126">
        <f>SUMIFS($K:$K,$E:$E,N30)</f>
        <v/>
      </c>
    </row>
    <row r="31" ht="15" customHeight="1" s="60">
      <c r="A31" s="59" t="n">
        <v>1</v>
      </c>
      <c r="B31" s="59" t="n">
        <v>644</v>
      </c>
      <c r="C31" s="59" t="inlineStr">
        <is>
          <t>2</t>
        </is>
      </c>
      <c r="D31" s="59" t="inlineStr">
        <is>
          <t>35729236000148</t>
        </is>
      </c>
      <c r="E31" s="75" t="n">
        <v>46175</v>
      </c>
      <c r="F31" s="75" t="n">
        <v>46174</v>
      </c>
      <c r="G31" s="59" t="inlineStr">
        <is>
          <t>PANIFICADORA E CONFEITARIA REAL MADRI LTDA</t>
        </is>
      </c>
      <c r="H31" s="59" t="n">
        <v>1191319</v>
      </c>
      <c r="I31" s="59" t="n">
        <v>1</v>
      </c>
      <c r="J31" s="59" t="inlineStr">
        <is>
          <t>AM</t>
        </is>
      </c>
      <c r="K31" s="126" t="n">
        <v>394.75</v>
      </c>
      <c r="N31" s="75" t="n">
        <v>46203</v>
      </c>
      <c r="O31" s="126">
        <f>SUMIFS($K:$K,$E:$E,N31)</f>
        <v/>
      </c>
    </row>
    <row r="32" ht="15" customHeight="1" s="60">
      <c r="A32" s="59" t="n">
        <v>1</v>
      </c>
      <c r="B32" s="59" t="n">
        <v>192998</v>
      </c>
      <c r="C32" s="59" t="inlineStr">
        <is>
          <t>3</t>
        </is>
      </c>
      <c r="D32" s="59" t="inlineStr">
        <is>
          <t>11094287000344</t>
        </is>
      </c>
      <c r="E32" s="75" t="n">
        <v>46175</v>
      </c>
      <c r="F32" s="75" t="n">
        <v>46171</v>
      </c>
      <c r="G32" s="59" t="inlineStr">
        <is>
          <t>PIARARA COMERCIO, IMPORTACAO E EXPORTACAO LTDA</t>
        </is>
      </c>
      <c r="H32" s="59" t="n">
        <v>1193162</v>
      </c>
      <c r="I32" s="59" t="n">
        <v>1</v>
      </c>
      <c r="J32" s="59" t="inlineStr">
        <is>
          <t>AM</t>
        </is>
      </c>
      <c r="K32" s="126" t="n">
        <v>1864.49</v>
      </c>
      <c r="N32" s="75" t="n">
        <v>46204</v>
      </c>
      <c r="O32" s="126">
        <f>SUMIFS($K:$K,$E:$E,N32)</f>
        <v/>
      </c>
    </row>
    <row r="33" ht="15" customHeight="1" s="60">
      <c r="A33" s="59" t="n">
        <v>1</v>
      </c>
      <c r="B33" s="59" t="n">
        <v>122</v>
      </c>
      <c r="C33" s="59" t="inlineStr">
        <is>
          <t>1</t>
        </is>
      </c>
      <c r="D33" s="59" t="inlineStr">
        <is>
          <t>36480282000119</t>
        </is>
      </c>
      <c r="E33" s="75" t="n">
        <v>46175</v>
      </c>
      <c r="F33" s="75" t="n">
        <v>46175</v>
      </c>
      <c r="G33" s="59" t="inlineStr">
        <is>
          <t>RENATO DE O AZEVEDO E CIA LTDA - EPP</t>
        </is>
      </c>
      <c r="H33" s="59" t="n">
        <v>1193240</v>
      </c>
      <c r="I33" s="59" t="n">
        <v>2</v>
      </c>
      <c r="J33" s="59" t="inlineStr">
        <is>
          <t>AM</t>
        </is>
      </c>
      <c r="K33" s="126" t="n">
        <v>3006.01</v>
      </c>
      <c r="N33" s="75" t="n">
        <v>46205</v>
      </c>
      <c r="O33" s="126">
        <f>SUMIFS($K:$K,$E:$E,N33)</f>
        <v/>
      </c>
    </row>
    <row r="34" ht="15" customHeight="1" s="60">
      <c r="A34" s="59" t="n">
        <v>1</v>
      </c>
      <c r="B34" s="59" t="n">
        <v>1223</v>
      </c>
      <c r="C34" s="59" t="inlineStr">
        <is>
          <t>1</t>
        </is>
      </c>
      <c r="D34" s="59" t="inlineStr">
        <is>
          <t>36480282000119</t>
        </is>
      </c>
      <c r="E34" s="75" t="n">
        <v>46175</v>
      </c>
      <c r="F34" s="75" t="n">
        <v>46175</v>
      </c>
      <c r="G34" s="59" t="inlineStr">
        <is>
          <t>RENATO DE O AZEVEDO E CIA LTDA - EPP</t>
        </is>
      </c>
      <c r="H34" s="59" t="n">
        <v>1193910</v>
      </c>
      <c r="I34" s="59" t="n">
        <v>2</v>
      </c>
      <c r="J34" s="59" t="inlineStr">
        <is>
          <t>AM</t>
        </is>
      </c>
      <c r="K34" s="126" t="n">
        <v>1394</v>
      </c>
      <c r="N34" s="75" t="n">
        <v>46206</v>
      </c>
      <c r="O34" s="126">
        <f>SUMIFS($K:$K,$E:$E,N34)</f>
        <v/>
      </c>
    </row>
    <row r="35" ht="15" customHeight="1" s="60">
      <c r="A35" s="59" t="n">
        <v>1</v>
      </c>
      <c r="B35" s="59" t="n">
        <v>5071</v>
      </c>
      <c r="C35" s="59" t="inlineStr">
        <is>
          <t>1</t>
        </is>
      </c>
      <c r="D35" s="59" t="inlineStr">
        <is>
          <t>36480282000119</t>
        </is>
      </c>
      <c r="E35" s="75" t="n">
        <v>46175</v>
      </c>
      <c r="F35" s="75" t="n">
        <v>46175</v>
      </c>
      <c r="G35" s="59" t="inlineStr">
        <is>
          <t>RENATO DE O AZEVEDO E CIA LTDA - EPP</t>
        </is>
      </c>
      <c r="H35" s="59" t="n">
        <v>1193247</v>
      </c>
      <c r="I35" s="59" t="n">
        <v>6</v>
      </c>
      <c r="J35" s="59" t="inlineStr">
        <is>
          <t>AM</t>
        </is>
      </c>
      <c r="K35" s="126" t="n">
        <v>3006.01</v>
      </c>
      <c r="N35" s="75" t="n">
        <v>46207</v>
      </c>
      <c r="O35" s="126">
        <f>SUMIFS($K:$K,$E:$E,N35)</f>
        <v/>
      </c>
    </row>
    <row r="36" ht="15" customHeight="1" s="60">
      <c r="A36" s="59" t="n">
        <v>1</v>
      </c>
      <c r="B36" s="59" t="n">
        <v>5072</v>
      </c>
      <c r="C36" s="59" t="inlineStr">
        <is>
          <t>1</t>
        </is>
      </c>
      <c r="D36" s="59" t="inlineStr">
        <is>
          <t>36480282000119</t>
        </is>
      </c>
      <c r="E36" s="75" t="n">
        <v>46175</v>
      </c>
      <c r="F36" s="75" t="n">
        <v>46175</v>
      </c>
      <c r="G36" s="59" t="inlineStr">
        <is>
          <t>RENATO DE O AZEVEDO E CIA LTDA - EPP</t>
        </is>
      </c>
      <c r="H36" s="59" t="n">
        <v>1193289</v>
      </c>
      <c r="I36" s="59" t="n">
        <v>6</v>
      </c>
      <c r="J36" s="59" t="inlineStr">
        <is>
          <t>AM</t>
        </is>
      </c>
      <c r="K36" s="126" t="n">
        <v>3006.01</v>
      </c>
      <c r="N36" s="75" t="n">
        <v>46208</v>
      </c>
      <c r="O36" s="126">
        <f>SUMIFS($K:$K,$E:$E,N36)</f>
        <v/>
      </c>
    </row>
    <row r="37" ht="15" customHeight="1" s="60">
      <c r="A37" s="59" t="n">
        <v>1</v>
      </c>
      <c r="B37" s="59" t="n">
        <v>5075</v>
      </c>
      <c r="C37" s="59" t="inlineStr">
        <is>
          <t>1</t>
        </is>
      </c>
      <c r="D37" s="59" t="inlineStr">
        <is>
          <t>36480282000119</t>
        </is>
      </c>
      <c r="E37" s="75" t="n">
        <v>46175</v>
      </c>
      <c r="F37" s="75" t="n">
        <v>46175</v>
      </c>
      <c r="G37" s="59" t="inlineStr">
        <is>
          <t>RENATO DE O AZEVEDO E CIA LTDA - EPP</t>
        </is>
      </c>
      <c r="H37" s="59" t="n">
        <v>1193916</v>
      </c>
      <c r="I37" s="59" t="n">
        <v>6</v>
      </c>
      <c r="J37" s="59" t="inlineStr">
        <is>
          <t>AM</t>
        </is>
      </c>
      <c r="K37" s="126" t="n">
        <v>1394</v>
      </c>
      <c r="N37" s="75" t="n">
        <v>46209</v>
      </c>
      <c r="O37" s="126">
        <f>SUMIFS($K:$K,$E:$E,N37)</f>
        <v/>
      </c>
    </row>
    <row r="38" ht="15" customHeight="1" s="60">
      <c r="A38" s="59" t="n">
        <v>1</v>
      </c>
      <c r="B38" s="59" t="n">
        <v>170970</v>
      </c>
      <c r="C38" s="59" t="inlineStr">
        <is>
          <t>1</t>
        </is>
      </c>
      <c r="D38" s="59" t="inlineStr">
        <is>
          <t>10418161000153</t>
        </is>
      </c>
      <c r="E38" s="75" t="n">
        <v>46176</v>
      </c>
      <c r="F38" s="75" t="n">
        <v>46176</v>
      </c>
      <c r="G38" s="59" t="inlineStr">
        <is>
          <t>COMERCIO DE FRIOS MANAUS LTDA</t>
        </is>
      </c>
      <c r="H38" s="59" t="n">
        <v>1197903</v>
      </c>
      <c r="I38" s="59" t="n">
        <v>1</v>
      </c>
      <c r="J38" s="59" t="inlineStr">
        <is>
          <t>AM</t>
        </is>
      </c>
      <c r="K38" s="126" t="n">
        <v>2028.6</v>
      </c>
      <c r="N38" s="75" t="n">
        <v>46210</v>
      </c>
      <c r="O38" s="126">
        <f>SUMIFS($K:$K,$E:$E,N38)</f>
        <v/>
      </c>
    </row>
    <row r="39" ht="15" customHeight="1" s="60">
      <c r="A39" s="59" t="n">
        <v>1</v>
      </c>
      <c r="B39" s="59" t="n">
        <v>243</v>
      </c>
      <c r="C39" s="59" t="inlineStr">
        <is>
          <t>2</t>
        </is>
      </c>
      <c r="D39" s="59" t="inlineStr">
        <is>
          <t>20380110000133</t>
        </is>
      </c>
      <c r="E39" s="75" t="n">
        <v>46176</v>
      </c>
      <c r="F39" s="75" t="n">
        <v>46176</v>
      </c>
      <c r="G39" s="59" t="inlineStr">
        <is>
          <t>GELO DANGELO FABRICACAO DE GELO LTDA</t>
        </is>
      </c>
      <c r="H39" s="59" t="n">
        <v>1206718</v>
      </c>
      <c r="I39" s="59" t="n">
        <v>1</v>
      </c>
      <c r="J39" s="59" t="inlineStr">
        <is>
          <t>AM</t>
        </is>
      </c>
      <c r="K39" s="126" t="n">
        <v>370.5</v>
      </c>
      <c r="N39" s="75" t="n">
        <v>46211</v>
      </c>
      <c r="O39" s="126">
        <f>SUMIFS($K:$K,$E:$E,N39)</f>
        <v/>
      </c>
    </row>
    <row r="40" ht="15" customHeight="1" s="60">
      <c r="A40" s="59" t="n">
        <v>1</v>
      </c>
      <c r="B40" s="59" t="n">
        <v>5936</v>
      </c>
      <c r="C40" s="59" t="inlineStr">
        <is>
          <t>2</t>
        </is>
      </c>
      <c r="D40" s="59" t="inlineStr">
        <is>
          <t>08649356000243</t>
        </is>
      </c>
      <c r="E40" s="75" t="n">
        <v>46176</v>
      </c>
      <c r="F40" s="75" t="n">
        <v>46176</v>
      </c>
      <c r="G40" s="59" t="inlineStr">
        <is>
          <t>MANOEL TEXEIRA DE SOUZA RESTAURANTE</t>
        </is>
      </c>
      <c r="H40" s="59" t="n">
        <v>1228376</v>
      </c>
      <c r="I40" s="59" t="n">
        <v>1</v>
      </c>
      <c r="J40" s="59" t="inlineStr">
        <is>
          <t>AM</t>
        </is>
      </c>
      <c r="K40" s="126" t="n">
        <v>720</v>
      </c>
      <c r="N40" s="75" t="n">
        <v>46212</v>
      </c>
      <c r="O40" s="126">
        <f>SUMIFS($K:$K,$E:$E,N40)</f>
        <v/>
      </c>
    </row>
    <row r="41" ht="15" customHeight="1" s="60">
      <c r="A41" s="59" t="n">
        <v>1</v>
      </c>
      <c r="B41" s="59" t="n">
        <v>5077</v>
      </c>
      <c r="C41" s="59" t="inlineStr">
        <is>
          <t>1</t>
        </is>
      </c>
      <c r="D41" s="59" t="inlineStr">
        <is>
          <t>36480282000119</t>
        </is>
      </c>
      <c r="E41" s="75" t="n">
        <v>46176</v>
      </c>
      <c r="F41" s="75" t="n">
        <v>46176</v>
      </c>
      <c r="G41" s="59" t="inlineStr">
        <is>
          <t>RENATO DE O AZEVEDO E CIA LTDA - EPP</t>
        </is>
      </c>
      <c r="H41" s="59" t="n">
        <v>1198147</v>
      </c>
      <c r="I41" s="59" t="n">
        <v>6</v>
      </c>
      <c r="J41" s="59" t="inlineStr">
        <is>
          <t>AM</t>
        </is>
      </c>
      <c r="K41" s="126" t="n">
        <v>290</v>
      </c>
      <c r="N41" s="75" t="n">
        <v>46213</v>
      </c>
      <c r="O41" s="126">
        <f>SUMIFS($K:$K,$E:$E,N41)</f>
        <v/>
      </c>
    </row>
    <row r="42" ht="15" customHeight="1" s="60">
      <c r="A42" s="59" t="n">
        <v>1</v>
      </c>
      <c r="B42" s="59" t="n">
        <v>177906</v>
      </c>
      <c r="C42" s="59" t="inlineStr">
        <is>
          <t>1</t>
        </is>
      </c>
      <c r="D42" s="59" t="inlineStr">
        <is>
          <t>36480282000119</t>
        </is>
      </c>
      <c r="E42" s="75" t="n">
        <v>46176</v>
      </c>
      <c r="F42" s="75" t="n">
        <v>46176</v>
      </c>
      <c r="G42" s="59" t="inlineStr">
        <is>
          <t>RENATO DE O AZEVEDO E CIA LTDA - EPP</t>
        </is>
      </c>
      <c r="H42" s="59" t="n">
        <v>1198102</v>
      </c>
      <c r="I42" s="59" t="n">
        <v>2</v>
      </c>
      <c r="J42" s="59" t="inlineStr">
        <is>
          <t>AM</t>
        </is>
      </c>
      <c r="K42" s="126" t="n">
        <v>290</v>
      </c>
      <c r="N42" s="75" t="n">
        <v>46214</v>
      </c>
      <c r="O42" s="126">
        <f>SUMIFS($K:$K,$E:$E,N42)</f>
        <v/>
      </c>
    </row>
    <row r="43" ht="15" customHeight="1" s="60">
      <c r="A43" s="59" t="n">
        <v>1</v>
      </c>
      <c r="B43" s="59" t="n">
        <v>3477</v>
      </c>
      <c r="C43" s="59" t="inlineStr">
        <is>
          <t>3</t>
        </is>
      </c>
      <c r="D43" s="59" t="inlineStr">
        <is>
          <t>37225449000168</t>
        </is>
      </c>
      <c r="E43" s="75" t="n">
        <v>46176</v>
      </c>
      <c r="F43" s="75" t="n">
        <v>46176</v>
      </c>
      <c r="G43" s="59" t="inlineStr">
        <is>
          <t>VOVO DIZA COMERCIO VAREJISTA DE HORTALICAS LTDA</t>
        </is>
      </c>
      <c r="H43" s="59" t="n">
        <v>1228315</v>
      </c>
      <c r="I43" s="59" t="n">
        <v>1</v>
      </c>
      <c r="J43" s="59" t="inlineStr">
        <is>
          <t>AM</t>
        </is>
      </c>
      <c r="K43" s="126" t="n">
        <v>52.5</v>
      </c>
      <c r="N43" s="75" t="n">
        <v>46215</v>
      </c>
      <c r="O43" s="126">
        <f>SUMIFS($K:$K,$E:$E,N43)</f>
        <v/>
      </c>
    </row>
    <row r="44" ht="15" customHeight="1" s="60">
      <c r="A44" s="59" t="n">
        <v>1</v>
      </c>
      <c r="B44" s="59" t="n">
        <v>296</v>
      </c>
      <c r="C44" s="59" t="inlineStr">
        <is>
          <t>1</t>
        </is>
      </c>
      <c r="D44" s="59" t="inlineStr">
        <is>
          <t>63502353000100</t>
        </is>
      </c>
      <c r="E44" s="75" t="n">
        <v>46178</v>
      </c>
      <c r="F44" s="75" t="n">
        <v>46178</v>
      </c>
      <c r="G44" s="59" t="inlineStr">
        <is>
          <t>63.502.353 JOAO WYLLAMI NASCIMENTO DOS SANTOS</t>
        </is>
      </c>
      <c r="H44" s="59" t="n">
        <v>1228363</v>
      </c>
      <c r="I44" s="59" t="n">
        <v>1</v>
      </c>
      <c r="J44" s="59" t="inlineStr">
        <is>
          <t>AM</t>
        </is>
      </c>
      <c r="K44" s="126" t="n">
        <v>381</v>
      </c>
      <c r="N44" s="75" t="n">
        <v>46216</v>
      </c>
      <c r="O44" s="126">
        <f>SUMIFS($K:$K,$E:$E,N44)</f>
        <v/>
      </c>
    </row>
    <row r="45" ht="15" customHeight="1" s="60">
      <c r="A45" s="59" t="n">
        <v>1</v>
      </c>
      <c r="B45" s="59" t="n">
        <v>1025113</v>
      </c>
      <c r="C45" s="59" t="inlineStr">
        <is>
          <t>1</t>
        </is>
      </c>
      <c r="D45" s="59" t="inlineStr">
        <is>
          <t>34579060000122</t>
        </is>
      </c>
      <c r="E45" s="75" t="n">
        <v>46178</v>
      </c>
      <c r="F45" s="75" t="n">
        <v>46174</v>
      </c>
      <c r="G45" s="59" t="inlineStr">
        <is>
          <t>BROTHERS  INDUSTRIA DE ALIMENTOS LTDA</t>
        </is>
      </c>
      <c r="H45" s="59" t="n">
        <v>1208610</v>
      </c>
      <c r="I45" s="59" t="n">
        <v>1</v>
      </c>
      <c r="J45" s="59" t="inlineStr">
        <is>
          <t>AM</t>
        </is>
      </c>
      <c r="K45" s="126" t="n">
        <v>1290.24</v>
      </c>
      <c r="N45" s="75" t="n">
        <v>46217</v>
      </c>
      <c r="O45" s="126">
        <f>SUMIFS($K:$K,$E:$E,N45)</f>
        <v/>
      </c>
    </row>
    <row r="46" ht="15" customHeight="1" s="60">
      <c r="A46" s="59" t="n">
        <v>1</v>
      </c>
      <c r="B46" s="59" t="n">
        <v>171046</v>
      </c>
      <c r="C46" s="59" t="inlineStr">
        <is>
          <t>1</t>
        </is>
      </c>
      <c r="D46" s="59" t="inlineStr">
        <is>
          <t>10418161000153</t>
        </is>
      </c>
      <c r="E46" s="75" t="n">
        <v>46178</v>
      </c>
      <c r="F46" s="75" t="n">
        <v>46177</v>
      </c>
      <c r="G46" s="59" t="inlineStr">
        <is>
          <t>COMERCIO DE FRIOS MANAUS LTDA</t>
        </is>
      </c>
      <c r="H46" s="59" t="n">
        <v>1207979</v>
      </c>
      <c r="I46" s="59" t="n">
        <v>1</v>
      </c>
      <c r="J46" s="59" t="inlineStr">
        <is>
          <t>AM</t>
        </is>
      </c>
      <c r="K46" s="126" t="n">
        <v>4428.9</v>
      </c>
      <c r="N46" s="75" t="n">
        <v>46218</v>
      </c>
      <c r="O46" s="126">
        <f>SUMIFS($K:$K,$E:$E,N46)</f>
        <v/>
      </c>
    </row>
    <row r="47" ht="15" customHeight="1" s="60">
      <c r="A47" s="59" t="n">
        <v>1</v>
      </c>
      <c r="B47" s="59" t="n">
        <v>171072</v>
      </c>
      <c r="C47" s="59" t="inlineStr">
        <is>
          <t>1</t>
        </is>
      </c>
      <c r="D47" s="59" t="inlineStr">
        <is>
          <t>10418161000153</t>
        </is>
      </c>
      <c r="E47" s="75" t="n">
        <v>46178</v>
      </c>
      <c r="F47" s="75" t="n">
        <v>46178</v>
      </c>
      <c r="G47" s="59" t="inlineStr">
        <is>
          <t>COMERCIO DE FRIOS MANAUS LTDA</t>
        </is>
      </c>
      <c r="H47" s="59" t="n">
        <v>1208222</v>
      </c>
      <c r="I47" s="59" t="n">
        <v>1</v>
      </c>
      <c r="J47" s="59" t="inlineStr">
        <is>
          <t>AM</t>
        </is>
      </c>
      <c r="K47" s="126" t="n">
        <v>5578.7</v>
      </c>
      <c r="N47" s="75" t="n">
        <v>46219</v>
      </c>
      <c r="O47" s="126">
        <f>SUMIFS($K:$K,$E:$E,N47)</f>
        <v/>
      </c>
    </row>
    <row r="48" ht="15" customHeight="1" s="60">
      <c r="A48" s="59" t="n">
        <v>1</v>
      </c>
      <c r="B48" s="59" t="n">
        <v>14623</v>
      </c>
      <c r="C48" s="59" t="inlineStr">
        <is>
          <t>1</t>
        </is>
      </c>
      <c r="D48" s="59" t="inlineStr">
        <is>
          <t>09531992000158</t>
        </is>
      </c>
      <c r="E48" s="75" t="n">
        <v>46178</v>
      </c>
      <c r="F48" s="75" t="n">
        <v>46178</v>
      </c>
      <c r="G48" s="59" t="inlineStr">
        <is>
          <t>COMERCIO E TRANSPORTE BRANDAO LTDA</t>
        </is>
      </c>
      <c r="H48" s="59" t="n">
        <v>1207696</v>
      </c>
      <c r="I48" s="59" t="n">
        <v>1</v>
      </c>
      <c r="J48" s="59" t="inlineStr">
        <is>
          <t>AM</t>
        </is>
      </c>
      <c r="K48" s="126" t="n">
        <v>1210</v>
      </c>
      <c r="N48" s="75" t="n">
        <v>46220</v>
      </c>
      <c r="O48" s="126">
        <f>SUMIFS($K:$K,$E:$E,N48)</f>
        <v/>
      </c>
    </row>
    <row r="49" ht="15" customHeight="1" s="60">
      <c r="A49" s="59" t="n">
        <v>1</v>
      </c>
      <c r="B49" s="59" t="n">
        <v>1667674</v>
      </c>
      <c r="C49" s="59" t="inlineStr">
        <is>
          <t>1</t>
        </is>
      </c>
      <c r="D49" s="59" t="inlineStr">
        <is>
          <t>02796653000154</t>
        </is>
      </c>
      <c r="E49" s="75" t="n">
        <v>46178</v>
      </c>
      <c r="F49" s="75" t="n">
        <v>46176</v>
      </c>
      <c r="G49" s="59" t="inlineStr">
        <is>
          <t>DISTRIBUIDORA LOPES LTDA</t>
        </is>
      </c>
      <c r="H49" s="59" t="n">
        <v>1207747</v>
      </c>
      <c r="I49" s="59" t="n">
        <v>1</v>
      </c>
      <c r="J49" s="59" t="inlineStr">
        <is>
          <t>AM</t>
        </is>
      </c>
      <c r="K49" s="126" t="n">
        <v>1579.16</v>
      </c>
      <c r="N49" s="75" t="n">
        <v>46221</v>
      </c>
      <c r="O49" s="126">
        <f>SUMIFS($K:$K,$E:$E,N49)</f>
        <v/>
      </c>
    </row>
    <row r="50" ht="15" customHeight="1" s="60">
      <c r="A50" s="59" t="n">
        <v>1</v>
      </c>
      <c r="B50" s="59" t="n">
        <v>138853</v>
      </c>
      <c r="C50" s="59" t="inlineStr">
        <is>
          <t>1</t>
        </is>
      </c>
      <c r="D50" s="59" t="inlineStr">
        <is>
          <t>04259133000138</t>
        </is>
      </c>
      <c r="E50" s="75" t="n">
        <v>46178</v>
      </c>
      <c r="F50" s="75" t="n">
        <v>46174</v>
      </c>
      <c r="G50" s="59" t="inlineStr">
        <is>
          <t>FORT COMERCIO DE BEBIDA LTDA</t>
        </is>
      </c>
      <c r="H50" s="59" t="n">
        <v>1208293</v>
      </c>
      <c r="I50" s="59" t="n">
        <v>1</v>
      </c>
      <c r="J50" s="59" t="inlineStr">
        <is>
          <t>AM</t>
        </is>
      </c>
      <c r="K50" s="126" t="n">
        <v>1110</v>
      </c>
      <c r="N50" s="75" t="n">
        <v>46222</v>
      </c>
      <c r="O50" s="126">
        <f>SUMIFS($K:$K,$E:$E,N50)</f>
        <v/>
      </c>
    </row>
    <row r="51" ht="15" customHeight="1" s="60">
      <c r="A51" s="59" t="n">
        <v>1</v>
      </c>
      <c r="B51" s="59" t="n">
        <v>5943</v>
      </c>
      <c r="C51" s="59" t="inlineStr">
        <is>
          <t>2</t>
        </is>
      </c>
      <c r="D51" s="59" t="inlineStr">
        <is>
          <t>08649356000243</t>
        </is>
      </c>
      <c r="E51" s="75" t="n">
        <v>46178</v>
      </c>
      <c r="F51" s="75" t="n">
        <v>46178</v>
      </c>
      <c r="G51" s="59" t="inlineStr">
        <is>
          <t>MANOEL TEXEIRA DE SOUZA RESTAURANTE</t>
        </is>
      </c>
      <c r="H51" s="59" t="n">
        <v>1228408</v>
      </c>
      <c r="I51" s="59" t="n">
        <v>1</v>
      </c>
      <c r="J51" s="59" t="inlineStr">
        <is>
          <t>AM</t>
        </is>
      </c>
      <c r="K51" s="126" t="n">
        <v>520</v>
      </c>
      <c r="N51" s="75" t="n">
        <v>46223</v>
      </c>
      <c r="O51" s="126">
        <f>SUMIFS($K:$K,$E:$E,N51)</f>
        <v/>
      </c>
    </row>
    <row r="52" ht="15" customHeight="1" s="60">
      <c r="A52" s="59" t="n">
        <v>1</v>
      </c>
      <c r="B52" s="59" t="n">
        <v>3639</v>
      </c>
      <c r="C52" s="59" t="inlineStr">
        <is>
          <t>1</t>
        </is>
      </c>
      <c r="D52" s="59" t="inlineStr">
        <is>
          <t>14459228000159</t>
        </is>
      </c>
      <c r="E52" s="75" t="n">
        <v>46178</v>
      </c>
      <c r="F52" s="75" t="n">
        <v>46175</v>
      </c>
      <c r="G52" s="59" t="inlineStr">
        <is>
          <t>NOVA FRIOS COMERCIO ATACADISTA DE LATICINIOS LTDA</t>
        </is>
      </c>
      <c r="H52" s="59" t="n">
        <v>1208597</v>
      </c>
      <c r="I52" s="59" t="n">
        <v>1</v>
      </c>
      <c r="J52" s="59" t="inlineStr">
        <is>
          <t>AM</t>
        </is>
      </c>
      <c r="K52" s="126" t="n">
        <v>241.6</v>
      </c>
      <c r="N52" s="75" t="n">
        <v>46224</v>
      </c>
      <c r="O52" s="126">
        <f>SUMIFS($K:$K,$E:$E,N52)</f>
        <v/>
      </c>
    </row>
    <row r="53" ht="15" customHeight="1" s="60">
      <c r="A53" s="59" t="n">
        <v>1</v>
      </c>
      <c r="B53" s="59" t="n">
        <v>646</v>
      </c>
      <c r="C53" s="59" t="inlineStr">
        <is>
          <t>2</t>
        </is>
      </c>
      <c r="D53" s="59" t="inlineStr">
        <is>
          <t>35729236000148</t>
        </is>
      </c>
      <c r="E53" s="75" t="n">
        <v>46178</v>
      </c>
      <c r="F53" s="75" t="n">
        <v>46176</v>
      </c>
      <c r="G53" s="59" t="inlineStr">
        <is>
          <t>PANIFICADORA E CONFEITARIA REAL MADRI LTDA</t>
        </is>
      </c>
      <c r="H53" s="59" t="n">
        <v>1208634</v>
      </c>
      <c r="I53" s="59" t="n">
        <v>1</v>
      </c>
      <c r="J53" s="59" t="inlineStr">
        <is>
          <t>AM</t>
        </is>
      </c>
      <c r="K53" s="126" t="n">
        <v>1400</v>
      </c>
      <c r="N53" s="75" t="n">
        <v>46225</v>
      </c>
      <c r="O53" s="126">
        <f>SUMIFS($K:$K,$E:$E,N53)</f>
        <v/>
      </c>
    </row>
    <row r="54" ht="15" customHeight="1" s="60">
      <c r="A54" s="59" t="n">
        <v>1</v>
      </c>
      <c r="B54" s="59" t="n">
        <v>650</v>
      </c>
      <c r="C54" s="59" t="inlineStr">
        <is>
          <t>2</t>
        </is>
      </c>
      <c r="D54" s="59" t="inlineStr">
        <is>
          <t>35729236000148</t>
        </is>
      </c>
      <c r="E54" s="75" t="n">
        <v>46178</v>
      </c>
      <c r="F54" s="75" t="n">
        <v>46176</v>
      </c>
      <c r="G54" s="59" t="inlineStr">
        <is>
          <t>PANIFICADORA E CONFEITARIA REAL MADRI LTDA</t>
        </is>
      </c>
      <c r="H54" s="59" t="n">
        <v>1208563</v>
      </c>
      <c r="I54" s="59" t="n">
        <v>1</v>
      </c>
      <c r="J54" s="59" t="inlineStr">
        <is>
          <t>AM</t>
        </is>
      </c>
      <c r="K54" s="126" t="n">
        <v>544.45</v>
      </c>
      <c r="N54" s="75" t="n">
        <v>46226</v>
      </c>
      <c r="O54" s="126">
        <f>SUMIFS($K:$K,$E:$E,N54)</f>
        <v/>
      </c>
    </row>
    <row r="55" ht="15" customHeight="1" s="60">
      <c r="A55" s="59" t="n">
        <v>1</v>
      </c>
      <c r="B55" s="59" t="n">
        <v>2846</v>
      </c>
      <c r="C55" s="59" t="inlineStr">
        <is>
          <t>1</t>
        </is>
      </c>
      <c r="D55" s="59" t="inlineStr">
        <is>
          <t>01516878000147</t>
        </is>
      </c>
      <c r="E55" s="75" t="n">
        <v>46178</v>
      </c>
      <c r="F55" s="75" t="n">
        <v>46174</v>
      </c>
      <c r="G55" s="59" t="inlineStr">
        <is>
          <t>PRIMICIA DISTRIBUIDORA DE FRIOS LTDA</t>
        </is>
      </c>
      <c r="H55" s="59" t="n">
        <v>1208373</v>
      </c>
      <c r="I55" s="59" t="n">
        <v>1</v>
      </c>
      <c r="J55" s="59" t="inlineStr">
        <is>
          <t>AM</t>
        </is>
      </c>
      <c r="K55" s="126" t="n">
        <v>1068.5</v>
      </c>
      <c r="N55" s="75" t="n">
        <v>46227</v>
      </c>
      <c r="O55" s="126">
        <f>SUMIFS($K:$K,$E:$E,N55)</f>
        <v/>
      </c>
    </row>
    <row r="56" ht="15" customHeight="1" s="60">
      <c r="A56" s="59" t="n">
        <v>1</v>
      </c>
      <c r="B56" s="59" t="n">
        <v>1122</v>
      </c>
      <c r="C56" s="59" t="inlineStr">
        <is>
          <t>1</t>
        </is>
      </c>
      <c r="D56" s="59" t="inlineStr">
        <is>
          <t>36480282000119</t>
        </is>
      </c>
      <c r="E56" s="75" t="n">
        <v>46178</v>
      </c>
      <c r="F56" s="75" t="n">
        <v>46178</v>
      </c>
      <c r="G56" s="59" t="inlineStr">
        <is>
          <t>RENATO DE O AZEVEDO E CIA LTDA - EPP</t>
        </is>
      </c>
      <c r="H56" s="59" t="n">
        <v>1207595</v>
      </c>
      <c r="I56" s="59" t="n">
        <v>2</v>
      </c>
      <c r="J56" s="59" t="inlineStr">
        <is>
          <t>AM</t>
        </is>
      </c>
      <c r="K56" s="126" t="n">
        <v>3701</v>
      </c>
      <c r="N56" s="75" t="n">
        <v>46228</v>
      </c>
      <c r="O56" s="126">
        <f>SUMIFS($K:$K,$E:$E,N56)</f>
        <v/>
      </c>
    </row>
    <row r="57" ht="15" customHeight="1" s="60">
      <c r="A57" s="59" t="n">
        <v>1</v>
      </c>
      <c r="B57" s="59" t="n">
        <v>5080</v>
      </c>
      <c r="C57" s="59" t="inlineStr">
        <is>
          <t>1</t>
        </is>
      </c>
      <c r="D57" s="59" t="inlineStr">
        <is>
          <t>36480282000119</t>
        </is>
      </c>
      <c r="E57" s="75" t="n">
        <v>46178</v>
      </c>
      <c r="F57" s="75" t="n">
        <v>46178</v>
      </c>
      <c r="G57" s="59" t="inlineStr">
        <is>
          <t>RENATO DE O AZEVEDO E CIA LTDA - EPP</t>
        </is>
      </c>
      <c r="H57" s="59" t="n">
        <v>1207551</v>
      </c>
      <c r="I57" s="59" t="n">
        <v>6</v>
      </c>
      <c r="J57" s="59" t="inlineStr">
        <is>
          <t>AM</t>
        </is>
      </c>
      <c r="K57" s="126" t="n">
        <v>1100</v>
      </c>
      <c r="N57" s="75" t="n">
        <v>46229</v>
      </c>
      <c r="O57" s="126">
        <f>SUMIFS($K:$K,$E:$E,N57)</f>
        <v/>
      </c>
    </row>
    <row r="58" ht="15" customHeight="1" s="60">
      <c r="A58" s="59" t="n">
        <v>1</v>
      </c>
      <c r="B58" s="59" t="n">
        <v>5081</v>
      </c>
      <c r="C58" s="59" t="inlineStr">
        <is>
          <t>1</t>
        </is>
      </c>
      <c r="D58" s="59" t="inlineStr">
        <is>
          <t>36480282000119</t>
        </is>
      </c>
      <c r="E58" s="75" t="n">
        <v>46178</v>
      </c>
      <c r="F58" s="75" t="n">
        <v>46178</v>
      </c>
      <c r="G58" s="59" t="inlineStr">
        <is>
          <t>RENATO DE O AZEVEDO E CIA LTDA - EPP</t>
        </is>
      </c>
      <c r="H58" s="59" t="n">
        <v>1207605</v>
      </c>
      <c r="I58" s="59" t="n">
        <v>6</v>
      </c>
      <c r="J58" s="59" t="inlineStr">
        <is>
          <t>AM</t>
        </is>
      </c>
      <c r="K58" s="126" t="n">
        <v>3701</v>
      </c>
      <c r="N58" s="75" t="n">
        <v>46230</v>
      </c>
      <c r="O58" s="126">
        <f>SUMIFS($K:$K,$E:$E,N58)</f>
        <v/>
      </c>
    </row>
    <row r="59" ht="15" customHeight="1" s="60">
      <c r="A59" s="59" t="n">
        <v>1</v>
      </c>
      <c r="B59" s="59" t="n">
        <v>5086</v>
      </c>
      <c r="C59" s="59" t="inlineStr">
        <is>
          <t>1</t>
        </is>
      </c>
      <c r="D59" s="59" t="inlineStr">
        <is>
          <t>36480282000119</t>
        </is>
      </c>
      <c r="E59" s="75" t="n">
        <v>46178</v>
      </c>
      <c r="F59" s="75" t="n">
        <v>46178</v>
      </c>
      <c r="G59" s="59" t="inlineStr">
        <is>
          <t>RENATO DE O AZEVEDO E CIA LTDA - EPP</t>
        </is>
      </c>
      <c r="H59" s="59" t="n">
        <v>1207923</v>
      </c>
      <c r="I59" s="59" t="n">
        <v>6</v>
      </c>
      <c r="J59" s="59" t="inlineStr">
        <is>
          <t>AM</t>
        </is>
      </c>
      <c r="K59" s="126" t="n">
        <v>3602.44</v>
      </c>
      <c r="N59" s="75" t="n">
        <v>46231</v>
      </c>
      <c r="O59" s="126">
        <f>SUMIFS($K:$K,$E:$E,N59)</f>
        <v/>
      </c>
    </row>
    <row r="60" ht="15" customHeight="1" s="60">
      <c r="A60" s="59" t="n">
        <v>1</v>
      </c>
      <c r="B60" s="59" t="n">
        <v>12233</v>
      </c>
      <c r="C60" s="59" t="inlineStr">
        <is>
          <t>1</t>
        </is>
      </c>
      <c r="D60" s="59" t="inlineStr">
        <is>
          <t>36480282000119</t>
        </is>
      </c>
      <c r="E60" s="75" t="n">
        <v>46178</v>
      </c>
      <c r="F60" s="75" t="n">
        <v>46178</v>
      </c>
      <c r="G60" s="59" t="inlineStr">
        <is>
          <t>RENATO DE O AZEVEDO E CIA LTDA - EPP</t>
        </is>
      </c>
      <c r="H60" s="59" t="n">
        <v>1207909</v>
      </c>
      <c r="I60" s="59" t="n">
        <v>2</v>
      </c>
      <c r="J60" s="59" t="inlineStr">
        <is>
          <t>AM</t>
        </is>
      </c>
      <c r="K60" s="126" t="n">
        <v>3602.44</v>
      </c>
      <c r="N60" s="75" t="n">
        <v>46232</v>
      </c>
      <c r="O60" s="126">
        <f>SUMIFS($K:$K,$E:$E,N60)</f>
        <v/>
      </c>
    </row>
    <row r="61" ht="15" customHeight="1" s="60">
      <c r="A61" s="59" t="n">
        <v>1</v>
      </c>
      <c r="B61" s="59" t="n">
        <v>3062026</v>
      </c>
      <c r="C61" s="59" t="inlineStr">
        <is>
          <t>1</t>
        </is>
      </c>
      <c r="D61" s="59" t="inlineStr">
        <is>
          <t>36480282000119</t>
        </is>
      </c>
      <c r="E61" s="75" t="n">
        <v>46178</v>
      </c>
      <c r="F61" s="75" t="n">
        <v>46178</v>
      </c>
      <c r="G61" s="59" t="inlineStr">
        <is>
          <t>RENATO DE O AZEVEDO E CIA LTDA - EPP</t>
        </is>
      </c>
      <c r="H61" s="59" t="n">
        <v>1207538</v>
      </c>
      <c r="I61" s="59" t="n">
        <v>2</v>
      </c>
      <c r="J61" s="59" t="inlineStr">
        <is>
          <t>AM</t>
        </is>
      </c>
      <c r="K61" s="126" t="n">
        <v>1100</v>
      </c>
      <c r="N61" s="75" t="n">
        <v>46233</v>
      </c>
      <c r="O61" s="126">
        <f>SUMIFS($K:$K,$E:$E,N61)</f>
        <v/>
      </c>
    </row>
    <row r="62" ht="15" customHeight="1" s="60">
      <c r="A62" s="59" t="n">
        <v>1</v>
      </c>
      <c r="B62" s="59" t="n">
        <v>30865</v>
      </c>
      <c r="C62" s="59" t="inlineStr">
        <is>
          <t>1</t>
        </is>
      </c>
      <c r="D62" s="59" t="inlineStr">
        <is>
          <t>30652116000176</t>
        </is>
      </c>
      <c r="E62" s="75" t="n">
        <v>46178</v>
      </c>
      <c r="F62" s="75" t="n">
        <v>46176</v>
      </c>
      <c r="G62" s="59" t="inlineStr">
        <is>
          <t>SILVA E SANTOS FRIGORIFICO LTDA</t>
        </is>
      </c>
      <c r="H62" s="59" t="n">
        <v>1207832</v>
      </c>
      <c r="I62" s="59" t="n">
        <v>1</v>
      </c>
      <c r="J62" s="59" t="inlineStr">
        <is>
          <t>AM</t>
        </is>
      </c>
      <c r="K62" s="126" t="n">
        <v>3547.5</v>
      </c>
      <c r="N62" s="75" t="n">
        <v>46234</v>
      </c>
      <c r="O62" s="126">
        <f>SUMIFS($K:$K,$E:$E,N62)</f>
        <v/>
      </c>
    </row>
    <row r="63" ht="15" customHeight="1" s="60">
      <c r="A63" s="59" t="n">
        <v>1</v>
      </c>
      <c r="B63" s="59" t="n">
        <v>10011</v>
      </c>
      <c r="C63" s="59" t="inlineStr">
        <is>
          <t>2</t>
        </is>
      </c>
      <c r="D63" s="59" t="inlineStr">
        <is>
          <t>36296113000123</t>
        </is>
      </c>
      <c r="E63" s="75" t="n">
        <v>46178</v>
      </c>
      <c r="F63" s="75" t="n">
        <v>46174</v>
      </c>
      <c r="G63" s="59" t="inlineStr">
        <is>
          <t>VITAPAN COMERCIO VAREJISTA DE PRODUTOS ALIMENTICIOS LTDA</t>
        </is>
      </c>
      <c r="H63" s="59" t="n">
        <v>1208637</v>
      </c>
      <c r="I63" s="59" t="n">
        <v>1</v>
      </c>
      <c r="J63" s="59" t="inlineStr">
        <is>
          <t>AM</t>
        </is>
      </c>
      <c r="K63" s="126" t="n">
        <v>1188</v>
      </c>
      <c r="N63" s="75" t="n">
        <v>46235</v>
      </c>
      <c r="O63" s="126">
        <f>SUMIFS($K:$K,$E:$E,N63)</f>
        <v/>
      </c>
    </row>
    <row r="64" ht="15" customHeight="1" s="60">
      <c r="A64" s="59" t="n">
        <v>1</v>
      </c>
      <c r="B64" s="59" t="n">
        <v>486</v>
      </c>
      <c r="C64" s="59" t="inlineStr">
        <is>
          <t>1</t>
        </is>
      </c>
      <c r="D64" s="59" t="inlineStr">
        <is>
          <t>47496330000183</t>
        </is>
      </c>
      <c r="E64" s="75" t="n">
        <v>46179</v>
      </c>
      <c r="F64" s="75" t="n">
        <v>46178</v>
      </c>
      <c r="G64" s="59" t="inlineStr">
        <is>
          <t>ADICSO FABIAN GONZALEZ MONTILLA 70302186</t>
        </is>
      </c>
      <c r="H64" s="59" t="n">
        <v>1210899</v>
      </c>
      <c r="I64" s="59" t="n">
        <v>1</v>
      </c>
      <c r="J64" s="59" t="inlineStr">
        <is>
          <t>AM</t>
        </is>
      </c>
      <c r="K64" s="126" t="n">
        <v>864</v>
      </c>
      <c r="N64" s="75" t="n">
        <v>46236</v>
      </c>
      <c r="O64" s="126">
        <f>SUMIFS($K:$K,$E:$E,N64)</f>
        <v/>
      </c>
    </row>
    <row r="65" ht="15" customHeight="1" s="60">
      <c r="A65" s="59" t="n">
        <v>1</v>
      </c>
      <c r="B65" s="59" t="n">
        <v>293</v>
      </c>
      <c r="C65" s="59" t="inlineStr">
        <is>
          <t>1</t>
        </is>
      </c>
      <c r="D65" s="59" t="inlineStr">
        <is>
          <t>34787423000115</t>
        </is>
      </c>
      <c r="E65" s="75" t="n">
        <v>46179</v>
      </c>
      <c r="F65" s="75" t="n">
        <v>46177</v>
      </c>
      <c r="G65" s="59" t="inlineStr">
        <is>
          <t>ADRIANO FEITOSA OLIVEIRA LTDA</t>
        </is>
      </c>
      <c r="H65" s="59" t="n">
        <v>1211170</v>
      </c>
      <c r="I65" s="59" t="n">
        <v>1</v>
      </c>
      <c r="J65" s="59" t="inlineStr">
        <is>
          <t>AM</t>
        </is>
      </c>
      <c r="K65" s="126" t="n">
        <v>3105</v>
      </c>
      <c r="N65" s="75" t="n">
        <v>46237</v>
      </c>
      <c r="O65" s="126">
        <f>SUMIFS($K:$K,$E:$E,N65)</f>
        <v/>
      </c>
    </row>
    <row r="66" ht="15" customHeight="1" s="60">
      <c r="A66" s="59" t="n">
        <v>1</v>
      </c>
      <c r="B66" s="59" t="n">
        <v>171135</v>
      </c>
      <c r="C66" s="59" t="inlineStr">
        <is>
          <t>1</t>
        </is>
      </c>
      <c r="D66" s="59" t="inlineStr">
        <is>
          <t>10418161000153</t>
        </is>
      </c>
      <c r="E66" s="75" t="n">
        <v>46179</v>
      </c>
      <c r="F66" s="75" t="n">
        <v>46179</v>
      </c>
      <c r="G66" s="59" t="inlineStr">
        <is>
          <t>COMERCIO DE FRIOS MANAUS LTDA</t>
        </is>
      </c>
      <c r="H66" s="59" t="n">
        <v>1212044</v>
      </c>
      <c r="I66" s="59" t="n">
        <v>1</v>
      </c>
      <c r="J66" s="59" t="inlineStr">
        <is>
          <t>AM</t>
        </is>
      </c>
      <c r="K66" s="126" t="n">
        <v>6167.15</v>
      </c>
      <c r="N66" s="75" t="n">
        <v>46238</v>
      </c>
      <c r="O66" s="126">
        <f>SUMIFS($K:$K,$E:$E,N66)</f>
        <v/>
      </c>
    </row>
    <row r="67" ht="15" customHeight="1" s="60">
      <c r="A67" s="59" t="n">
        <v>1</v>
      </c>
      <c r="B67" s="59" t="n">
        <v>9</v>
      </c>
      <c r="C67" s="59" t="inlineStr">
        <is>
          <t>3</t>
        </is>
      </c>
      <c r="D67" s="59" t="inlineStr">
        <is>
          <t>05539712000105</t>
        </is>
      </c>
      <c r="E67" s="75" t="n">
        <v>46179</v>
      </c>
      <c r="F67" s="75" t="n">
        <v>46170</v>
      </c>
      <c r="G67" s="59" t="inlineStr">
        <is>
          <t>D. MAGALHAES PAULINO</t>
        </is>
      </c>
      <c r="H67" s="59" t="n">
        <v>1212406</v>
      </c>
      <c r="I67" s="59" t="n">
        <v>11</v>
      </c>
      <c r="J67" s="59" t="inlineStr">
        <is>
          <t>AM</t>
        </is>
      </c>
      <c r="K67" s="126" t="n">
        <v>399.5</v>
      </c>
      <c r="N67" s="75" t="n">
        <v>46239</v>
      </c>
      <c r="O67" s="126">
        <f>SUMIFS($K:$K,$E:$E,N67)</f>
        <v/>
      </c>
    </row>
    <row r="68" ht="15" customHeight="1" s="60">
      <c r="A68" s="59" t="n">
        <v>1</v>
      </c>
      <c r="B68" s="59" t="n">
        <v>5619</v>
      </c>
      <c r="C68" s="59" t="inlineStr">
        <is>
          <t>1</t>
        </is>
      </c>
      <c r="D68" s="59" t="inlineStr">
        <is>
          <t>13854487000111</t>
        </is>
      </c>
      <c r="E68" s="75" t="n">
        <v>46179</v>
      </c>
      <c r="F68" s="75" t="n">
        <v>46176</v>
      </c>
      <c r="G68" s="59" t="inlineStr">
        <is>
          <t>HILTONMAR LIMA DO NASCIMENTO</t>
        </is>
      </c>
      <c r="H68" s="59" t="n">
        <v>1210942</v>
      </c>
      <c r="I68" s="59" t="n">
        <v>1</v>
      </c>
      <c r="J68" s="59" t="inlineStr">
        <is>
          <t>AM</t>
        </is>
      </c>
      <c r="K68" s="126" t="n">
        <v>430.3</v>
      </c>
      <c r="N68" s="75" t="n">
        <v>46240</v>
      </c>
      <c r="O68" s="126">
        <f>SUMIFS($K:$K,$E:$E,N68)</f>
        <v/>
      </c>
    </row>
    <row r="69" ht="15" customHeight="1" s="60">
      <c r="A69" s="59" t="n">
        <v>1</v>
      </c>
      <c r="B69" s="59" t="n">
        <v>3319</v>
      </c>
      <c r="C69" s="59" t="inlineStr">
        <is>
          <t>1</t>
        </is>
      </c>
      <c r="D69" s="59" t="inlineStr">
        <is>
          <t>59566132000128</t>
        </is>
      </c>
      <c r="E69" s="75" t="n">
        <v>46179</v>
      </c>
      <c r="F69" s="75" t="n">
        <v>46178</v>
      </c>
      <c r="G69" s="59" t="inlineStr">
        <is>
          <t>JAB COMERCIO DE PRODUTOS ALIMENTICIOS LT</t>
        </is>
      </c>
      <c r="H69" s="59" t="n">
        <v>1210990</v>
      </c>
      <c r="I69" s="59" t="n">
        <v>1</v>
      </c>
      <c r="J69" s="59" t="inlineStr">
        <is>
          <t>AM</t>
        </is>
      </c>
      <c r="K69" s="126" t="n">
        <v>410</v>
      </c>
      <c r="N69" s="75" t="n">
        <v>46241</v>
      </c>
      <c r="O69" s="126">
        <f>SUMIFS($K:$K,$E:$E,N69)</f>
        <v/>
      </c>
    </row>
    <row r="70" ht="15" customHeight="1" s="60">
      <c r="A70" s="59" t="n">
        <v>1</v>
      </c>
      <c r="B70" s="59" t="n">
        <v>30796</v>
      </c>
      <c r="C70" s="59" t="inlineStr">
        <is>
          <t>1</t>
        </is>
      </c>
      <c r="D70" s="59" t="inlineStr">
        <is>
          <t>30996759000137</t>
        </is>
      </c>
      <c r="E70" s="75" t="n">
        <v>46179</v>
      </c>
      <c r="F70" s="75" t="n">
        <v>46176</v>
      </c>
      <c r="G70" s="59" t="inlineStr">
        <is>
          <t>LIMA E BARANDA COMERCIO DE PRODUTOS REGI</t>
        </is>
      </c>
      <c r="H70" s="59" t="n">
        <v>1210916</v>
      </c>
      <c r="I70" s="59" t="n">
        <v>1</v>
      </c>
      <c r="J70" s="59" t="inlineStr">
        <is>
          <t>AM</t>
        </is>
      </c>
      <c r="K70" s="126" t="n">
        <v>233.5</v>
      </c>
      <c r="N70" s="75" t="n">
        <v>46242</v>
      </c>
      <c r="O70" s="126">
        <f>SUMIFS($K:$K,$E:$E,N70)</f>
        <v/>
      </c>
    </row>
    <row r="71" ht="15" customHeight="1" s="60">
      <c r="A71" s="59" t="n">
        <v>1</v>
      </c>
      <c r="B71" s="59" t="n">
        <v>5948</v>
      </c>
      <c r="C71" s="59" t="inlineStr">
        <is>
          <t>2</t>
        </is>
      </c>
      <c r="D71" s="59" t="inlineStr">
        <is>
          <t>08649356000243</t>
        </is>
      </c>
      <c r="E71" s="75" t="n">
        <v>46179</v>
      </c>
      <c r="F71" s="75" t="n">
        <v>46179</v>
      </c>
      <c r="G71" s="59" t="inlineStr">
        <is>
          <t>MANOEL TEXEIRA DE SOUZA RESTAURANTE</t>
        </is>
      </c>
      <c r="H71" s="59" t="n">
        <v>1228430</v>
      </c>
      <c r="I71" s="59" t="n">
        <v>1</v>
      </c>
      <c r="J71" s="59" t="inlineStr">
        <is>
          <t>AM</t>
        </is>
      </c>
      <c r="K71" s="126" t="n">
        <v>512</v>
      </c>
      <c r="N71" s="75" t="n">
        <v>46243</v>
      </c>
      <c r="O71" s="126">
        <f>SUMIFS($K:$K,$E:$E,N71)</f>
        <v/>
      </c>
    </row>
    <row r="72" ht="15" customHeight="1" s="60">
      <c r="A72" s="59" t="n">
        <v>1</v>
      </c>
      <c r="B72" s="59" t="n">
        <v>37407</v>
      </c>
      <c r="C72" s="59" t="inlineStr">
        <is>
          <t>5</t>
        </is>
      </c>
      <c r="D72" s="59" t="inlineStr">
        <is>
          <t>03439223000148</t>
        </is>
      </c>
      <c r="E72" s="75" t="n">
        <v>46179</v>
      </c>
      <c r="F72" s="75" t="n">
        <v>46175</v>
      </c>
      <c r="G72" s="59" t="inlineStr">
        <is>
          <t>NT INDUSTRIA E COMERCIO DE PANIFICACAO L</t>
        </is>
      </c>
      <c r="H72" s="59" t="n">
        <v>1211417</v>
      </c>
      <c r="I72" s="59" t="n">
        <v>1</v>
      </c>
      <c r="J72" s="59" t="inlineStr">
        <is>
          <t>AM</t>
        </is>
      </c>
      <c r="K72" s="126" t="n">
        <v>5110.55</v>
      </c>
      <c r="N72" s="75" t="n">
        <v>46244</v>
      </c>
      <c r="O72" s="126">
        <f>SUMIFS($K:$K,$E:$E,N72)</f>
        <v/>
      </c>
    </row>
    <row r="73" ht="15" customHeight="1" s="60">
      <c r="A73" s="59" t="n">
        <v>1</v>
      </c>
      <c r="B73" s="59" t="n">
        <v>1233736</v>
      </c>
      <c r="C73" s="59" t="inlineStr">
        <is>
          <t>1</t>
        </is>
      </c>
      <c r="D73" s="59" t="inlineStr">
        <is>
          <t>02805138000193</t>
        </is>
      </c>
      <c r="E73" s="75" t="n">
        <v>46179</v>
      </c>
      <c r="F73" s="75" t="n">
        <v>46178</v>
      </c>
      <c r="G73" s="59" t="inlineStr">
        <is>
          <t>OCIDENTAL COMERCIO DE FRIOS LTDA</t>
        </is>
      </c>
      <c r="H73" s="59" t="n">
        <v>1211026</v>
      </c>
      <c r="I73" s="59" t="n">
        <v>1</v>
      </c>
      <c r="J73" s="59" t="inlineStr">
        <is>
          <t>AM</t>
        </is>
      </c>
      <c r="K73" s="126" t="n">
        <v>1105.12</v>
      </c>
      <c r="N73" s="75" t="n">
        <v>46245</v>
      </c>
      <c r="O73" s="126">
        <f>SUMIFS($K:$K,$E:$E,N73)</f>
        <v/>
      </c>
    </row>
    <row r="74" ht="15" customHeight="1" s="60">
      <c r="A74" s="59" t="n">
        <v>1</v>
      </c>
      <c r="B74" s="59" t="n">
        <v>1383</v>
      </c>
      <c r="C74" s="59" t="inlineStr">
        <is>
          <t>3</t>
        </is>
      </c>
      <c r="D74" s="59" t="inlineStr">
        <is>
          <t>20934191000176</t>
        </is>
      </c>
      <c r="E74" s="75" t="n">
        <v>46179</v>
      </c>
      <c r="F74" s="75" t="n">
        <v>46178</v>
      </c>
      <c r="G74" s="59" t="inlineStr">
        <is>
          <t>ORIENTE COM. ATACADISTA E REPRES. LTDA</t>
        </is>
      </c>
      <c r="H74" s="59" t="n">
        <v>1212483</v>
      </c>
      <c r="I74" s="59" t="n">
        <v>1</v>
      </c>
      <c r="J74" s="59" t="inlineStr">
        <is>
          <t>AM</t>
        </is>
      </c>
      <c r="K74" s="126" t="n">
        <v>1857.2</v>
      </c>
      <c r="N74" s="75" t="n">
        <v>46246</v>
      </c>
      <c r="O74" s="126">
        <f>SUMIFS($K:$K,$E:$E,N74)</f>
        <v/>
      </c>
    </row>
    <row r="75" ht="15" customHeight="1" s="60">
      <c r="A75" s="59" t="n">
        <v>1</v>
      </c>
      <c r="B75" s="59" t="n">
        <v>653</v>
      </c>
      <c r="C75" s="59" t="inlineStr">
        <is>
          <t>2</t>
        </is>
      </c>
      <c r="D75" s="59" t="inlineStr">
        <is>
          <t>35729236000148</t>
        </is>
      </c>
      <c r="E75" s="75" t="n">
        <v>46179</v>
      </c>
      <c r="F75" s="75" t="n">
        <v>46178</v>
      </c>
      <c r="G75" s="59" t="inlineStr">
        <is>
          <t>PANIFICADORA E CONFEITARIA REAL MADRI LTDA</t>
        </is>
      </c>
      <c r="H75" s="59" t="n">
        <v>1210926</v>
      </c>
      <c r="I75" s="59" t="n">
        <v>1</v>
      </c>
      <c r="J75" s="59" t="inlineStr">
        <is>
          <t>AM</t>
        </is>
      </c>
      <c r="K75" s="126" t="n">
        <v>684.35</v>
      </c>
      <c r="N75" s="75" t="n">
        <v>46247</v>
      </c>
      <c r="O75" s="126">
        <f>SUMIFS($K:$K,$E:$E,N75)</f>
        <v/>
      </c>
    </row>
    <row r="76" ht="15" customHeight="1" s="60">
      <c r="A76" s="59" t="n">
        <v>1</v>
      </c>
      <c r="B76" s="59" t="n">
        <v>14980</v>
      </c>
      <c r="C76" s="59" t="inlineStr">
        <is>
          <t>1</t>
        </is>
      </c>
      <c r="D76" s="59" t="inlineStr">
        <is>
          <t>01215382000133</t>
        </is>
      </c>
      <c r="E76" s="75" t="n">
        <v>46179</v>
      </c>
      <c r="F76" s="75" t="n">
        <v>46175</v>
      </c>
      <c r="G76" s="59" t="inlineStr">
        <is>
          <t>T. M. L. DA SILVA LTDA</t>
        </is>
      </c>
      <c r="H76" s="59" t="n">
        <v>1211080</v>
      </c>
      <c r="I76" s="59" t="n">
        <v>1</v>
      </c>
      <c r="J76" s="59" t="inlineStr">
        <is>
          <t>AM</t>
        </is>
      </c>
      <c r="K76" s="126" t="n">
        <v>709.3200000000001</v>
      </c>
      <c r="N76" s="75" t="n">
        <v>46248</v>
      </c>
      <c r="O76" s="126">
        <f>SUMIFS($K:$K,$E:$E,N76)</f>
        <v/>
      </c>
    </row>
    <row r="77" ht="15" customHeight="1" s="60">
      <c r="A77" s="59" t="n">
        <v>1</v>
      </c>
      <c r="B77" s="59" t="n">
        <v>10024</v>
      </c>
      <c r="C77" s="59" t="inlineStr">
        <is>
          <t>2</t>
        </is>
      </c>
      <c r="D77" s="59" t="inlineStr">
        <is>
          <t>36296113000123</t>
        </is>
      </c>
      <c r="E77" s="75" t="n">
        <v>46179</v>
      </c>
      <c r="F77" s="75" t="n">
        <v>46176</v>
      </c>
      <c r="G77" s="59" t="inlineStr">
        <is>
          <t>VITAPAN COMERCIO VAREJISTA DE PRODUTOS ALIMENTICIOS LTDA</t>
        </is>
      </c>
      <c r="H77" s="59" t="n">
        <v>1211212</v>
      </c>
      <c r="I77" s="59" t="n">
        <v>1</v>
      </c>
      <c r="J77" s="59" t="inlineStr">
        <is>
          <t>AM</t>
        </is>
      </c>
      <c r="K77" s="126" t="n">
        <v>1296</v>
      </c>
      <c r="N77" s="75" t="n">
        <v>46249</v>
      </c>
      <c r="O77" s="126">
        <f>SUMIFS($K:$K,$E:$E,N77)</f>
        <v/>
      </c>
    </row>
    <row r="78" ht="15" customHeight="1" s="60">
      <c r="A78" s="59" t="n">
        <v>1</v>
      </c>
      <c r="B78" s="59" t="n">
        <v>3504</v>
      </c>
      <c r="C78" s="59" t="inlineStr">
        <is>
          <t>3</t>
        </is>
      </c>
      <c r="D78" s="59" t="inlineStr">
        <is>
          <t>37225449000168</t>
        </is>
      </c>
      <c r="E78" s="75" t="n">
        <v>46179</v>
      </c>
      <c r="F78" s="75" t="n">
        <v>46179</v>
      </c>
      <c r="G78" s="59" t="inlineStr">
        <is>
          <t>VOVO DIZA COMERCIO VAREJISTA DE HORTALICAS LTDA</t>
        </is>
      </c>
      <c r="H78" s="59" t="n">
        <v>1228489</v>
      </c>
      <c r="I78" s="59" t="n">
        <v>1</v>
      </c>
      <c r="J78" s="59" t="inlineStr">
        <is>
          <t>AM</t>
        </is>
      </c>
      <c r="K78" s="126" t="n">
        <v>140</v>
      </c>
      <c r="N78" s="75" t="n">
        <v>46250</v>
      </c>
      <c r="O78" s="126">
        <f>SUMIFS($K:$K,$E:$E,N78)</f>
        <v/>
      </c>
    </row>
    <row r="79" ht="15" customHeight="1" s="60">
      <c r="A79" s="59" t="n">
        <v>1</v>
      </c>
      <c r="B79" s="59" t="n">
        <v>876740</v>
      </c>
      <c r="C79" s="59" t="inlineStr">
        <is>
          <t>1</t>
        </is>
      </c>
      <c r="D79" s="59" t="inlineStr">
        <is>
          <t>04724476000126</t>
        </is>
      </c>
      <c r="E79" s="75" t="n">
        <v>46181</v>
      </c>
      <c r="F79" s="75" t="n">
        <v>46176</v>
      </c>
      <c r="G79" s="59" t="inlineStr">
        <is>
          <t>ADRIANA DISTRIBUIDORA DE PRODUTOS ALIMEN</t>
        </is>
      </c>
      <c r="H79" s="59" t="n">
        <v>1223005</v>
      </c>
      <c r="I79" s="59" t="n">
        <v>1</v>
      </c>
      <c r="J79" s="59" t="inlineStr">
        <is>
          <t>AM</t>
        </is>
      </c>
      <c r="K79" s="126" t="n">
        <v>1752.55</v>
      </c>
      <c r="N79" s="75" t="n">
        <v>46251</v>
      </c>
      <c r="O79" s="126">
        <f>SUMIFS($K:$K,$E:$E,N79)</f>
        <v/>
      </c>
    </row>
    <row r="80" ht="15" customHeight="1" s="60">
      <c r="A80" s="59" t="n">
        <v>1</v>
      </c>
      <c r="B80" s="59" t="n">
        <v>18532</v>
      </c>
      <c r="C80" s="59" t="inlineStr">
        <is>
          <t>4</t>
        </is>
      </c>
      <c r="D80" s="59" t="inlineStr">
        <is>
          <t>14539474000463</t>
        </is>
      </c>
      <c r="E80" s="75" t="n">
        <v>46181</v>
      </c>
      <c r="F80" s="75" t="n">
        <v>46179</v>
      </c>
      <c r="G80" s="59" t="inlineStr">
        <is>
          <t>BRAGA TABACARIA EIRELI ME</t>
        </is>
      </c>
      <c r="H80" s="59" t="n">
        <v>1222097</v>
      </c>
      <c r="I80" s="59" t="n">
        <v>1</v>
      </c>
      <c r="J80" s="59" t="inlineStr">
        <is>
          <t>AM</t>
        </is>
      </c>
      <c r="K80" s="126" t="n">
        <v>2422.22</v>
      </c>
      <c r="N80" s="75" t="n">
        <v>46252</v>
      </c>
      <c r="O80" s="126">
        <f>SUMIFS($K:$K,$E:$E,N80)</f>
        <v/>
      </c>
    </row>
    <row r="81" ht="15" customHeight="1" s="60">
      <c r="A81" s="59" t="n">
        <v>1</v>
      </c>
      <c r="B81" s="59" t="n">
        <v>11227</v>
      </c>
      <c r="C81" s="59" t="inlineStr">
        <is>
          <t>2</t>
        </is>
      </c>
      <c r="D81" s="59" t="inlineStr">
        <is>
          <t>40810324000100</t>
        </is>
      </c>
      <c r="E81" s="75" t="n">
        <v>46181</v>
      </c>
      <c r="F81" s="75" t="n">
        <v>46179</v>
      </c>
      <c r="G81" s="59" t="inlineStr">
        <is>
          <t>C. R. PARENTE ABREU</t>
        </is>
      </c>
      <c r="H81" s="59" t="n">
        <v>1221579</v>
      </c>
      <c r="I81" s="59" t="n">
        <v>1</v>
      </c>
      <c r="J81" s="59" t="inlineStr">
        <is>
          <t>AM</t>
        </is>
      </c>
      <c r="K81" s="126" t="n">
        <v>1144.8</v>
      </c>
      <c r="N81" s="75" t="n">
        <v>46253</v>
      </c>
      <c r="O81" s="126">
        <f>SUMIFS($K:$K,$E:$E,N81)</f>
        <v/>
      </c>
    </row>
    <row r="82" ht="15" customHeight="1" s="60">
      <c r="A82" s="59" t="n">
        <v>1</v>
      </c>
      <c r="B82" s="59" t="n">
        <v>841669</v>
      </c>
      <c r="C82" s="59" t="inlineStr">
        <is>
          <t>38</t>
        </is>
      </c>
      <c r="D82" s="59" t="inlineStr">
        <is>
          <t>56228356010013</t>
        </is>
      </c>
      <c r="E82" s="75" t="n">
        <v>46181</v>
      </c>
      <c r="F82" s="75" t="n">
        <v>46177</v>
      </c>
      <c r="G82" s="59" t="inlineStr">
        <is>
          <t>CRBS S/A</t>
        </is>
      </c>
      <c r="H82" s="59" t="n">
        <v>1222718</v>
      </c>
      <c r="I82" s="59" t="n">
        <v>1</v>
      </c>
      <c r="J82" s="59" t="inlineStr">
        <is>
          <t>AM</t>
        </is>
      </c>
      <c r="K82" s="126" t="n">
        <v>2180.28</v>
      </c>
      <c r="N82" s="75" t="n">
        <v>46254</v>
      </c>
      <c r="O82" s="126">
        <f>SUMIFS($K:$K,$E:$E,N82)</f>
        <v/>
      </c>
    </row>
    <row r="83" ht="15" customHeight="1" s="60">
      <c r="A83" s="59" t="n">
        <v>1</v>
      </c>
      <c r="B83" s="59" t="n">
        <v>398</v>
      </c>
      <c r="C83" s="59" t="inlineStr">
        <is>
          <t>3</t>
        </is>
      </c>
      <c r="D83" s="59" t="inlineStr">
        <is>
          <t>40233745000115</t>
        </is>
      </c>
      <c r="E83" s="75" t="n">
        <v>46181</v>
      </c>
      <c r="F83" s="75" t="n">
        <v>46181</v>
      </c>
      <c r="G83" s="59" t="inlineStr">
        <is>
          <t>D N COMERCIO ATACADISTA DE EMBALAGENS E</t>
        </is>
      </c>
      <c r="H83" s="59" t="n">
        <v>1223045</v>
      </c>
      <c r="I83" s="59" t="n">
        <v>11</v>
      </c>
      <c r="J83" s="59" t="inlineStr">
        <is>
          <t>AM</t>
        </is>
      </c>
      <c r="K83" s="126" t="n">
        <v>109</v>
      </c>
      <c r="N83" s="75" t="n">
        <v>46255</v>
      </c>
      <c r="O83" s="126">
        <f>SUMIFS($K:$K,$E:$E,N83)</f>
        <v/>
      </c>
    </row>
    <row r="84" ht="15" customHeight="1" s="60">
      <c r="A84" s="59" t="n">
        <v>1</v>
      </c>
      <c r="B84" s="59" t="n">
        <v>399</v>
      </c>
      <c r="C84" s="59" t="inlineStr">
        <is>
          <t>3</t>
        </is>
      </c>
      <c r="D84" s="59" t="inlineStr">
        <is>
          <t>40233745000115</t>
        </is>
      </c>
      <c r="E84" s="75" t="n">
        <v>46181</v>
      </c>
      <c r="F84" s="75" t="n">
        <v>46181</v>
      </c>
      <c r="G84" s="59" t="inlineStr">
        <is>
          <t>D N COMERCIO ATACADISTA DE EMBALAGENS E</t>
        </is>
      </c>
      <c r="H84" s="59" t="n">
        <v>1223092</v>
      </c>
      <c r="I84" s="59" t="n">
        <v>1</v>
      </c>
      <c r="J84" s="59" t="inlineStr">
        <is>
          <t>AM</t>
        </is>
      </c>
      <c r="K84" s="126" t="n">
        <v>779.4</v>
      </c>
      <c r="N84" s="75" t="n">
        <v>46256</v>
      </c>
      <c r="O84" s="126">
        <f>SUMIFS($K:$K,$E:$E,N84)</f>
        <v/>
      </c>
    </row>
    <row r="85" ht="15" customHeight="1" s="60">
      <c r="A85" s="59" t="n">
        <v>1</v>
      </c>
      <c r="B85" s="59" t="n">
        <v>400</v>
      </c>
      <c r="C85" s="59" t="inlineStr">
        <is>
          <t>3</t>
        </is>
      </c>
      <c r="D85" s="59" t="inlineStr">
        <is>
          <t>40233745000115</t>
        </is>
      </c>
      <c r="E85" s="75" t="n">
        <v>46181</v>
      </c>
      <c r="F85" s="75" t="n">
        <v>46181</v>
      </c>
      <c r="G85" s="59" t="inlineStr">
        <is>
          <t>D N COMERCIO ATACADISTA DE EMBALAGENS E</t>
        </is>
      </c>
      <c r="H85" s="59" t="n">
        <v>1223157</v>
      </c>
      <c r="I85" s="59" t="n">
        <v>1</v>
      </c>
      <c r="J85" s="59" t="inlineStr">
        <is>
          <t>AM</t>
        </is>
      </c>
      <c r="K85" s="126" t="n">
        <v>550.34</v>
      </c>
      <c r="N85" s="75" t="n">
        <v>46257</v>
      </c>
      <c r="O85" s="126">
        <f>SUMIFS($K:$K,$E:$E,N85)</f>
        <v/>
      </c>
    </row>
    <row r="86" ht="15" customHeight="1" s="60">
      <c r="A86" s="59" t="n">
        <v>1</v>
      </c>
      <c r="B86" s="59" t="n">
        <v>1669083</v>
      </c>
      <c r="C86" s="59" t="inlineStr">
        <is>
          <t>1</t>
        </is>
      </c>
      <c r="D86" s="59" t="inlineStr">
        <is>
          <t>02796653000154</t>
        </is>
      </c>
      <c r="E86" s="75" t="n">
        <v>46181</v>
      </c>
      <c r="F86" s="75" t="n">
        <v>46179</v>
      </c>
      <c r="G86" s="59" t="inlineStr">
        <is>
          <t>DISTRIBUIDORA LOPES LTDA</t>
        </is>
      </c>
      <c r="H86" s="59" t="n">
        <v>1223463</v>
      </c>
      <c r="I86" s="59" t="n">
        <v>1</v>
      </c>
      <c r="J86" s="59" t="inlineStr">
        <is>
          <t>AM</t>
        </is>
      </c>
      <c r="K86" s="126" t="n">
        <v>2211.38</v>
      </c>
      <c r="N86" s="75" t="n">
        <v>46258</v>
      </c>
      <c r="O86" s="126">
        <f>SUMIFS($K:$K,$E:$E,N86)</f>
        <v/>
      </c>
    </row>
    <row r="87" ht="15" customHeight="1" s="60">
      <c r="A87" s="59" t="n">
        <v>1</v>
      </c>
      <c r="B87" s="59" t="n">
        <v>259</v>
      </c>
      <c r="C87" s="59" t="inlineStr">
        <is>
          <t>2</t>
        </is>
      </c>
      <c r="D87" s="59" t="inlineStr">
        <is>
          <t>20380110000133</t>
        </is>
      </c>
      <c r="E87" s="75" t="n">
        <v>46181</v>
      </c>
      <c r="F87" s="75" t="n">
        <v>46181</v>
      </c>
      <c r="G87" s="59" t="inlineStr">
        <is>
          <t>GELO DANGELO FABRICACAO DE GELO LTDA</t>
        </is>
      </c>
      <c r="H87" s="59" t="n">
        <v>1228519</v>
      </c>
      <c r="I87" s="59" t="n">
        <v>1</v>
      </c>
      <c r="J87" s="59" t="inlineStr">
        <is>
          <t>AM</t>
        </is>
      </c>
      <c r="K87" s="126" t="n">
        <v>409</v>
      </c>
      <c r="N87" s="75" t="n">
        <v>46259</v>
      </c>
      <c r="O87" s="126">
        <f>SUMIFS($K:$K,$E:$E,N87)</f>
        <v/>
      </c>
    </row>
    <row r="88" ht="15" customHeight="1" s="60">
      <c r="A88" s="59" t="n">
        <v>1</v>
      </c>
      <c r="B88" s="59" t="n">
        <v>2488</v>
      </c>
      <c r="C88" s="59" t="inlineStr">
        <is>
          <t>1</t>
        </is>
      </c>
      <c r="D88" s="59" t="inlineStr">
        <is>
          <t>10583405000153</t>
        </is>
      </c>
      <c r="E88" s="75" t="n">
        <v>46181</v>
      </c>
      <c r="F88" s="75" t="n">
        <v>46178</v>
      </c>
      <c r="G88" s="59" t="inlineStr">
        <is>
          <t>J. S. MOREIRA ALVES LTDA</t>
        </is>
      </c>
      <c r="H88" s="59" t="n">
        <v>1221640</v>
      </c>
      <c r="I88" s="59" t="n">
        <v>1</v>
      </c>
      <c r="J88" s="59" t="inlineStr">
        <is>
          <t>AM</t>
        </is>
      </c>
      <c r="K88" s="126" t="n">
        <v>574.5</v>
      </c>
      <c r="N88" s="75" t="n">
        <v>46260</v>
      </c>
      <c r="O88" s="126">
        <f>SUMIFS($K:$K,$E:$E,N88)</f>
        <v/>
      </c>
    </row>
    <row r="89" ht="15" customHeight="1" s="60">
      <c r="A89" s="59" t="n">
        <v>1</v>
      </c>
      <c r="B89" s="59" t="n">
        <v>303409</v>
      </c>
      <c r="C89" s="59" t="inlineStr">
        <is>
          <t>1</t>
        </is>
      </c>
      <c r="D89" s="59" t="inlineStr">
        <is>
          <t>07391948000164</t>
        </is>
      </c>
      <c r="E89" s="75" t="n">
        <v>46181</v>
      </c>
      <c r="F89" s="75" t="n">
        <v>46176</v>
      </c>
      <c r="G89" s="59" t="inlineStr">
        <is>
          <t>L S M COMERCIO DE ALIMENTOS E NAVEGACAO</t>
        </is>
      </c>
      <c r="H89" s="59" t="n">
        <v>1222961</v>
      </c>
      <c r="I89" s="59" t="n">
        <v>1</v>
      </c>
      <c r="J89" s="59" t="inlineStr">
        <is>
          <t>AM</t>
        </is>
      </c>
      <c r="K89" s="126" t="n">
        <v>3113.5</v>
      </c>
      <c r="N89" s="75" t="n">
        <v>46261</v>
      </c>
      <c r="O89" s="126">
        <f>SUMIFS($K:$K,$E:$E,N89)</f>
        <v/>
      </c>
    </row>
    <row r="90" ht="15" customHeight="1" s="60">
      <c r="A90" s="59" t="n">
        <v>1</v>
      </c>
      <c r="B90" s="59" t="n">
        <v>657</v>
      </c>
      <c r="C90" s="59" t="inlineStr">
        <is>
          <t>2</t>
        </is>
      </c>
      <c r="D90" s="59" t="inlineStr">
        <is>
          <t>35729236000148</t>
        </is>
      </c>
      <c r="E90" s="75" t="n">
        <v>46181</v>
      </c>
      <c r="F90" s="75" t="n">
        <v>46181</v>
      </c>
      <c r="G90" s="59" t="inlineStr">
        <is>
          <t>PANIFICADORA E CONFEITARIA REAL MADRI LTDA</t>
        </is>
      </c>
      <c r="H90" s="59" t="n">
        <v>1223438</v>
      </c>
      <c r="I90" s="59" t="n">
        <v>1</v>
      </c>
      <c r="J90" s="59" t="inlineStr">
        <is>
          <t>AM</t>
        </is>
      </c>
      <c r="K90" s="126" t="n">
        <v>840</v>
      </c>
      <c r="N90" s="75" t="n">
        <v>46262</v>
      </c>
      <c r="O90" s="126">
        <f>SUMIFS($K:$K,$E:$E,N90)</f>
        <v/>
      </c>
    </row>
    <row r="91" ht="15" customHeight="1" s="60">
      <c r="A91" s="59" t="n">
        <v>1</v>
      </c>
      <c r="B91" s="59" t="n">
        <v>5097</v>
      </c>
      <c r="C91" s="59" t="inlineStr">
        <is>
          <t>1</t>
        </is>
      </c>
      <c r="D91" s="59" t="inlineStr">
        <is>
          <t>36480282000119</t>
        </is>
      </c>
      <c r="E91" s="75" t="n">
        <v>46181</v>
      </c>
      <c r="F91" s="75" t="n">
        <v>46181</v>
      </c>
      <c r="G91" s="59" t="inlineStr">
        <is>
          <t>RENATO DE O AZEVEDO E CIA LTDA - EPP</t>
        </is>
      </c>
      <c r="H91" s="59" t="n">
        <v>1221276</v>
      </c>
      <c r="I91" s="59" t="n">
        <v>6</v>
      </c>
      <c r="J91" s="59" t="inlineStr">
        <is>
          <t>AM</t>
        </is>
      </c>
      <c r="K91" s="126" t="n">
        <v>340</v>
      </c>
      <c r="N91" s="75" t="n">
        <v>46263</v>
      </c>
      <c r="O91" s="126">
        <f>SUMIFS($K:$K,$E:$E,N91)</f>
        <v/>
      </c>
    </row>
    <row r="92" ht="15" customHeight="1" s="60">
      <c r="A92" s="59" t="n">
        <v>1</v>
      </c>
      <c r="B92" s="59" t="n">
        <v>112233</v>
      </c>
      <c r="C92" s="59" t="inlineStr">
        <is>
          <t>1</t>
        </is>
      </c>
      <c r="D92" s="59" t="inlineStr">
        <is>
          <t>36480282000119</t>
        </is>
      </c>
      <c r="E92" s="75" t="n">
        <v>46181</v>
      </c>
      <c r="F92" s="75" t="n">
        <v>46181</v>
      </c>
      <c r="G92" s="59" t="inlineStr">
        <is>
          <t>RENATO DE O AZEVEDO E CIA LTDA - EPP</t>
        </is>
      </c>
      <c r="H92" s="59" t="n">
        <v>1221272</v>
      </c>
      <c r="I92" s="59" t="n">
        <v>2</v>
      </c>
      <c r="J92" s="59" t="inlineStr">
        <is>
          <t>AM</t>
        </is>
      </c>
      <c r="K92" s="126" t="n">
        <v>340</v>
      </c>
      <c r="N92" s="75" t="n">
        <v>46264</v>
      </c>
      <c r="O92" s="126">
        <f>SUMIFS($K:$K,$E:$E,N92)</f>
        <v/>
      </c>
    </row>
    <row r="93" ht="15" customHeight="1" s="60">
      <c r="A93" s="59" t="n">
        <v>1</v>
      </c>
      <c r="B93" s="59" t="n">
        <v>3318</v>
      </c>
      <c r="C93" s="59" t="inlineStr">
        <is>
          <t>1</t>
        </is>
      </c>
      <c r="D93" s="59" t="inlineStr">
        <is>
          <t>10288430000104</t>
        </is>
      </c>
      <c r="E93" s="75" t="n">
        <v>46181</v>
      </c>
      <c r="F93" s="75" t="n">
        <v>46174</v>
      </c>
      <c r="G93" s="59" t="inlineStr">
        <is>
          <t>SAO JOSE COMERCIO DE LATICINIOS E FRIOS</t>
        </is>
      </c>
      <c r="H93" s="59" t="n">
        <v>1222142</v>
      </c>
      <c r="I93" s="59" t="n">
        <v>1</v>
      </c>
      <c r="J93" s="59" t="inlineStr">
        <is>
          <t>AM</t>
        </is>
      </c>
      <c r="K93" s="126" t="n">
        <v>2562.75</v>
      </c>
      <c r="N93" s="75" t="n">
        <v>46265</v>
      </c>
      <c r="O93" s="126">
        <f>SUMIFS($K:$K,$E:$E,N93)</f>
        <v/>
      </c>
    </row>
    <row r="94" ht="15" customHeight="1" s="60">
      <c r="A94" s="59" t="n">
        <v>1</v>
      </c>
      <c r="B94" s="59" t="n">
        <v>3352</v>
      </c>
      <c r="C94" s="59" t="inlineStr">
        <is>
          <t>1</t>
        </is>
      </c>
      <c r="D94" s="59" t="inlineStr">
        <is>
          <t>10288430000104</t>
        </is>
      </c>
      <c r="E94" s="75" t="n">
        <v>46181</v>
      </c>
      <c r="F94" s="75" t="n">
        <v>46179</v>
      </c>
      <c r="G94" s="59" t="inlineStr">
        <is>
          <t>SAO JOSE COMERCIO DE LATICINIOS E FRIOS</t>
        </is>
      </c>
      <c r="H94" s="59" t="n">
        <v>1223402</v>
      </c>
      <c r="I94" s="59" t="n">
        <v>1</v>
      </c>
      <c r="J94" s="59" t="inlineStr">
        <is>
          <t>AM</t>
        </is>
      </c>
      <c r="K94" s="126" t="n">
        <v>1548.5</v>
      </c>
    </row>
    <row r="95" ht="15" customHeight="1" s="60">
      <c r="A95" s="59" t="n">
        <v>1</v>
      </c>
      <c r="B95" s="59" t="n">
        <v>417</v>
      </c>
      <c r="C95" s="59" t="inlineStr">
        <is>
          <t>1</t>
        </is>
      </c>
      <c r="D95" s="59" t="inlineStr">
        <is>
          <t>31304798000199</t>
        </is>
      </c>
      <c r="E95" s="75" t="n">
        <v>46181</v>
      </c>
      <c r="F95" s="75" t="n">
        <v>46168</v>
      </c>
      <c r="G95" s="59" t="inlineStr">
        <is>
          <t>SHMILY COMERCIO DE ARTIGOS DO VESTUARIO</t>
        </is>
      </c>
      <c r="H95" s="59" t="n">
        <v>1222431</v>
      </c>
      <c r="I95" s="59" t="n">
        <v>1</v>
      </c>
      <c r="J95" s="59" t="inlineStr">
        <is>
          <t>AM</t>
        </is>
      </c>
      <c r="K95" s="126" t="n">
        <v>1124</v>
      </c>
    </row>
    <row r="96" ht="15" customHeight="1" s="60">
      <c r="A96" s="59" t="n">
        <v>1</v>
      </c>
      <c r="B96" s="59" t="n">
        <v>3515</v>
      </c>
      <c r="C96" s="59" t="inlineStr">
        <is>
          <t>3</t>
        </is>
      </c>
      <c r="D96" s="59" t="inlineStr">
        <is>
          <t>37225449000168</t>
        </is>
      </c>
      <c r="E96" s="75" t="n">
        <v>46181</v>
      </c>
      <c r="F96" s="75" t="n">
        <v>46181</v>
      </c>
      <c r="G96" s="59" t="inlineStr">
        <is>
          <t>VOVO DIZA COMERCIO VAREJISTA DE HORTALICAS LTDA</t>
        </is>
      </c>
      <c r="H96" s="59" t="n">
        <v>1230677</v>
      </c>
      <c r="I96" s="59" t="n">
        <v>1</v>
      </c>
      <c r="J96" s="59" t="inlineStr">
        <is>
          <t>AM</t>
        </is>
      </c>
      <c r="K96" s="126" t="n">
        <v>105</v>
      </c>
      <c r="N96" s="93" t="inlineStr">
        <is>
          <t>Resumo por Mes</t>
        </is>
      </c>
    </row>
    <row r="97" ht="15" customHeight="1" s="60">
      <c r="A97" s="59" t="n">
        <v>1</v>
      </c>
      <c r="B97" s="59" t="n">
        <v>1005</v>
      </c>
      <c r="C97" s="59" t="inlineStr">
        <is>
          <t>1</t>
        </is>
      </c>
      <c r="D97" s="59" t="inlineStr">
        <is>
          <t>05155905000154</t>
        </is>
      </c>
      <c r="E97" s="75" t="n">
        <v>46181</v>
      </c>
      <c r="F97" s="75" t="n">
        <v>46168</v>
      </c>
      <c r="G97" s="59" t="inlineStr">
        <is>
          <t>XF 10 LOJA DE VARIEDADES LTDA</t>
        </is>
      </c>
      <c r="H97" s="59" t="n">
        <v>1222777</v>
      </c>
      <c r="I97" s="59" t="n">
        <v>1</v>
      </c>
      <c r="J97" s="59" t="inlineStr">
        <is>
          <t>AM</t>
        </is>
      </c>
      <c r="K97" s="126" t="n">
        <v>415.75</v>
      </c>
      <c r="N97" s="125" t="inlineStr">
        <is>
          <t>Mes</t>
        </is>
      </c>
      <c r="O97" s="125" t="inlineStr">
        <is>
          <t>Total do Mes</t>
        </is>
      </c>
    </row>
    <row r="98" ht="15" customHeight="1" s="60">
      <c r="A98" s="59" t="n">
        <v>1</v>
      </c>
      <c r="B98" s="59" t="n">
        <v>492</v>
      </c>
      <c r="C98" s="59" t="inlineStr">
        <is>
          <t>1</t>
        </is>
      </c>
      <c r="D98" s="59" t="inlineStr">
        <is>
          <t>47496330000183</t>
        </is>
      </c>
      <c r="E98" s="75" t="n">
        <v>46182</v>
      </c>
      <c r="F98" s="75" t="n">
        <v>46181</v>
      </c>
      <c r="G98" s="59" t="inlineStr">
        <is>
          <t>ADICSO FABIAN GONZALEZ MONTILLA 70302186</t>
        </is>
      </c>
      <c r="H98" s="59" t="n">
        <v>1226930</v>
      </c>
      <c r="I98" s="59" t="n">
        <v>1</v>
      </c>
      <c r="J98" s="59" t="inlineStr">
        <is>
          <t>AM</t>
        </is>
      </c>
      <c r="K98" s="126" t="n">
        <v>828</v>
      </c>
      <c r="N98" s="59" t="inlineStr">
        <is>
          <t>Jun/2026</t>
        </is>
      </c>
      <c r="O98" s="126">
        <f>SUMIFS($K:$K,$E:$E,"&gt;="&amp;DATE(2026,6,1),$E:$E,"&lt;="&amp;DATE(2026,6,30))</f>
        <v/>
      </c>
    </row>
    <row r="99" ht="15" customHeight="1" s="60">
      <c r="A99" s="59" t="n">
        <v>1</v>
      </c>
      <c r="B99" s="59" t="n">
        <v>269857</v>
      </c>
      <c r="C99" s="59" t="inlineStr">
        <is>
          <t>1</t>
        </is>
      </c>
      <c r="D99" s="59" t="inlineStr">
        <is>
          <t>84526284000144</t>
        </is>
      </c>
      <c r="E99" s="75" t="n">
        <v>46182</v>
      </c>
      <c r="F99" s="75" t="n">
        <v>46174</v>
      </c>
      <c r="G99" s="59" t="inlineStr">
        <is>
          <t>AMAZONIA INDUSTRIA E COMERCIO DE POLPAS</t>
        </is>
      </c>
      <c r="H99" s="59" t="n">
        <v>1226943</v>
      </c>
      <c r="I99" s="59" t="n">
        <v>1</v>
      </c>
      <c r="J99" s="59" t="inlineStr">
        <is>
          <t>AM</t>
        </is>
      </c>
      <c r="K99" s="126" t="n">
        <v>528</v>
      </c>
      <c r="N99" s="59" t="inlineStr">
        <is>
          <t>Jul/2026</t>
        </is>
      </c>
      <c r="O99" s="126">
        <f>SUMIFS($K:$K,$E:$E,"&gt;="&amp;DATE(2026,7,1),$E:$E,"&lt;="&amp;DATE(2026,7,31))</f>
        <v/>
      </c>
    </row>
    <row r="100" ht="15" customHeight="1" s="60">
      <c r="A100" s="59" t="n">
        <v>1</v>
      </c>
      <c r="B100" s="59" t="n">
        <v>76652</v>
      </c>
      <c r="C100" s="59" t="inlineStr">
        <is>
          <t>1</t>
        </is>
      </c>
      <c r="D100" s="59" t="inlineStr">
        <is>
          <t>27360554000156</t>
        </is>
      </c>
      <c r="E100" s="75" t="n">
        <v>46182</v>
      </c>
      <c r="F100" s="75" t="n">
        <v>46171</v>
      </c>
      <c r="G100" s="59" t="inlineStr">
        <is>
          <t>AMERICANA DISTRIBUIDORA DE BEBIDAS E MERCADORIAS LTDA</t>
        </is>
      </c>
      <c r="H100" s="59" t="n">
        <v>1227598</v>
      </c>
      <c r="I100" s="59" t="n">
        <v>1</v>
      </c>
      <c r="J100" s="59" t="inlineStr">
        <is>
          <t>AM</t>
        </is>
      </c>
      <c r="K100" s="126" t="n">
        <v>1143.6</v>
      </c>
      <c r="N100" s="59" t="inlineStr">
        <is>
          <t>Ago/2026</t>
        </is>
      </c>
      <c r="O100" s="126">
        <f>SUMIFS($K:$K,$E:$E,"&gt;="&amp;DATE(2026,8,1),$E:$E,"&lt;="&amp;DATE(2026,8,31))</f>
        <v/>
      </c>
    </row>
    <row r="101" ht="15" customHeight="1" s="60">
      <c r="A101" s="59" t="n">
        <v>1</v>
      </c>
      <c r="B101" s="59" t="n">
        <v>1149037</v>
      </c>
      <c r="C101" s="59" t="inlineStr">
        <is>
          <t>7</t>
        </is>
      </c>
      <c r="D101" s="59" t="inlineStr">
        <is>
          <t>34590315000158</t>
        </is>
      </c>
      <c r="E101" s="75" t="n">
        <v>46182</v>
      </c>
      <c r="F101" s="75" t="n">
        <v>46175</v>
      </c>
      <c r="G101" s="59" t="inlineStr">
        <is>
          <t>BRASIL NORTE BEBIDAS S/A</t>
        </is>
      </c>
      <c r="H101" s="59" t="n">
        <v>1228090</v>
      </c>
      <c r="I101" s="59" t="n">
        <v>1</v>
      </c>
      <c r="J101" s="59" t="inlineStr">
        <is>
          <t>AM</t>
        </is>
      </c>
      <c r="K101" s="126" t="n">
        <v>4071.75</v>
      </c>
      <c r="N101" s="127" t="inlineStr">
        <is>
          <t>TOTAL</t>
        </is>
      </c>
      <c r="O101" s="128">
        <f>SUM(O98:O100)</f>
        <v/>
      </c>
    </row>
    <row r="102" ht="15" customHeight="1" s="60">
      <c r="A102" s="59" t="n">
        <v>1</v>
      </c>
      <c r="B102" s="59" t="n">
        <v>1863100</v>
      </c>
      <c r="C102" s="59" t="inlineStr">
        <is>
          <t>5</t>
        </is>
      </c>
      <c r="D102" s="59" t="inlineStr">
        <is>
          <t>34590315000158</t>
        </is>
      </c>
      <c r="E102" s="75" t="n">
        <v>46182</v>
      </c>
      <c r="F102" s="75" t="n">
        <v>46175</v>
      </c>
      <c r="G102" s="59" t="inlineStr">
        <is>
          <t>BRASIL NORTE BEBIDAS S/A</t>
        </is>
      </c>
      <c r="H102" s="59" t="n">
        <v>1227988</v>
      </c>
      <c r="I102" s="59" t="n">
        <v>1</v>
      </c>
      <c r="J102" s="59" t="inlineStr">
        <is>
          <t>AM</t>
        </is>
      </c>
      <c r="K102" s="126" t="n">
        <v>4273.47</v>
      </c>
    </row>
    <row r="103" ht="15" customHeight="1" s="60">
      <c r="A103" s="59" t="n">
        <v>1</v>
      </c>
      <c r="B103" s="59" t="n">
        <v>14649</v>
      </c>
      <c r="C103" s="59" t="inlineStr">
        <is>
          <t>1</t>
        </is>
      </c>
      <c r="D103" s="59" t="inlineStr">
        <is>
          <t>09531992000158</t>
        </is>
      </c>
      <c r="E103" s="75" t="n">
        <v>46182</v>
      </c>
      <c r="F103" s="75" t="n">
        <v>46182</v>
      </c>
      <c r="G103" s="59" t="inlineStr">
        <is>
          <t>COMERCIO E TRANSPORTE BRANDAO LTDA</t>
        </is>
      </c>
      <c r="H103" s="59" t="n">
        <v>1227699</v>
      </c>
      <c r="I103" s="59" t="n">
        <v>1</v>
      </c>
      <c r="J103" s="59" t="inlineStr">
        <is>
          <t>AM</t>
        </is>
      </c>
      <c r="K103" s="126" t="n">
        <v>760</v>
      </c>
    </row>
    <row r="104" ht="15" customHeight="1" s="60">
      <c r="A104" s="59" t="n">
        <v>1</v>
      </c>
      <c r="B104" s="59" t="n">
        <v>195679</v>
      </c>
      <c r="C104" s="59" t="inlineStr">
        <is>
          <t>1</t>
        </is>
      </c>
      <c r="D104" s="59" t="inlineStr">
        <is>
          <t>04916172000160</t>
        </is>
      </c>
      <c r="E104" s="75" t="n">
        <v>46182</v>
      </c>
      <c r="F104" s="75" t="n">
        <v>46178</v>
      </c>
      <c r="G104" s="59" t="inlineStr">
        <is>
          <t>DA FRUTA DISTRIBUIDORA LTDA</t>
        </is>
      </c>
      <c r="H104" s="59" t="n">
        <v>1227461</v>
      </c>
      <c r="I104" s="59" t="n">
        <v>1</v>
      </c>
      <c r="J104" s="59" t="inlineStr">
        <is>
          <t>AM</t>
        </is>
      </c>
      <c r="K104" s="126" t="n">
        <v>632.9400000000001</v>
      </c>
    </row>
    <row r="105" ht="15" customHeight="1" s="60">
      <c r="A105" s="59" t="n">
        <v>1</v>
      </c>
      <c r="B105" s="59" t="n">
        <v>8026</v>
      </c>
      <c r="C105" s="59" t="inlineStr">
        <is>
          <t>1</t>
        </is>
      </c>
      <c r="D105" s="59" t="inlineStr">
        <is>
          <t>44302603000113</t>
        </is>
      </c>
      <c r="E105" s="75" t="n">
        <v>46182</v>
      </c>
      <c r="F105" s="75" t="n">
        <v>46181</v>
      </c>
      <c r="G105" s="59" t="inlineStr">
        <is>
          <t>EDMARA COMERCIO DE HIGIENE PESSOAL LTDA</t>
        </is>
      </c>
      <c r="H105" s="59" t="n">
        <v>1228326</v>
      </c>
      <c r="I105" s="59" t="n">
        <v>3</v>
      </c>
      <c r="J105" s="59" t="inlineStr">
        <is>
          <t>AM</t>
        </is>
      </c>
      <c r="K105" s="126" t="n">
        <v>575</v>
      </c>
    </row>
    <row r="106" ht="15" customHeight="1" s="60">
      <c r="A106" s="59" t="n">
        <v>1</v>
      </c>
      <c r="B106" s="59" t="n">
        <v>2290278</v>
      </c>
      <c r="C106" s="59" t="inlineStr">
        <is>
          <t>1</t>
        </is>
      </c>
      <c r="D106" s="59" t="inlineStr">
        <is>
          <t>05402904001562</t>
        </is>
      </c>
      <c r="E106" s="75" t="n">
        <v>46182</v>
      </c>
      <c r="F106" s="75" t="n">
        <v>46176</v>
      </c>
      <c r="G106" s="59" t="inlineStr">
        <is>
          <t>EMPRESA BRASILEIRA DE DISTRIBUICAO LTDA</t>
        </is>
      </c>
      <c r="H106" s="59" t="n">
        <v>1227467</v>
      </c>
      <c r="I106" s="59" t="n">
        <v>1</v>
      </c>
      <c r="J106" s="59" t="inlineStr">
        <is>
          <t>AM</t>
        </is>
      </c>
      <c r="K106" s="126" t="n">
        <v>1303.9</v>
      </c>
    </row>
    <row r="107" ht="15" customHeight="1" s="60">
      <c r="A107" s="59" t="n">
        <v>1</v>
      </c>
      <c r="B107" s="59" t="n">
        <v>50992</v>
      </c>
      <c r="C107" s="59" t="inlineStr">
        <is>
          <t>1</t>
        </is>
      </c>
      <c r="D107" s="59" t="inlineStr">
        <is>
          <t>05778252000755</t>
        </is>
      </c>
      <c r="E107" s="75" t="n">
        <v>46182</v>
      </c>
      <c r="F107" s="75" t="n">
        <v>46178</v>
      </c>
      <c r="G107" s="59" t="inlineStr">
        <is>
          <t>FEMAR IND E COM DE BEBIDAS LTDA</t>
        </is>
      </c>
      <c r="H107" s="59" t="n">
        <v>1227621</v>
      </c>
      <c r="I107" s="59" t="n">
        <v>1</v>
      </c>
      <c r="J107" s="59" t="inlineStr">
        <is>
          <t>AM</t>
        </is>
      </c>
      <c r="K107" s="126" t="n">
        <v>400.99</v>
      </c>
    </row>
    <row r="108" ht="15" customHeight="1" s="60">
      <c r="A108" s="59" t="n">
        <v>1</v>
      </c>
      <c r="B108" s="59" t="n">
        <v>308378</v>
      </c>
      <c r="C108" s="59" t="inlineStr">
        <is>
          <t>1</t>
        </is>
      </c>
      <c r="D108" s="59" t="inlineStr">
        <is>
          <t>06257367000333</t>
        </is>
      </c>
      <c r="E108" s="75" t="n">
        <v>46182</v>
      </c>
      <c r="F108" s="75" t="n">
        <v>46176</v>
      </c>
      <c r="G108" s="59" t="inlineStr">
        <is>
          <t>FENNIX BRASIL DISTRIBUIDORA DE PRODUTOS</t>
        </is>
      </c>
      <c r="H108" s="59" t="n">
        <v>1227561</v>
      </c>
      <c r="I108" s="59" t="n">
        <v>1</v>
      </c>
      <c r="J108" s="59" t="inlineStr">
        <is>
          <t>AM</t>
        </is>
      </c>
      <c r="K108" s="126" t="n">
        <v>2824.12</v>
      </c>
    </row>
    <row r="109" ht="15" customHeight="1" s="60">
      <c r="A109" s="59" t="n">
        <v>1</v>
      </c>
      <c r="B109" s="59" t="n">
        <v>222921</v>
      </c>
      <c r="C109" s="59" t="inlineStr">
        <is>
          <t>2</t>
        </is>
      </c>
      <c r="D109" s="59" t="inlineStr">
        <is>
          <t>05646631000104</t>
        </is>
      </c>
      <c r="E109" s="75" t="n">
        <v>46182</v>
      </c>
      <c r="F109" s="75" t="n">
        <v>46181</v>
      </c>
      <c r="G109" s="59" t="inlineStr">
        <is>
          <t>FRUTAL INDUSTRIA E COMERCIO LTDA</t>
        </is>
      </c>
      <c r="H109" s="59" t="n">
        <v>1228179</v>
      </c>
      <c r="I109" s="59" t="n">
        <v>1</v>
      </c>
      <c r="J109" s="59" t="inlineStr">
        <is>
          <t>AM</t>
        </is>
      </c>
      <c r="K109" s="126" t="n">
        <v>922.9</v>
      </c>
    </row>
    <row r="110" ht="15" customHeight="1" s="60">
      <c r="A110" s="59" t="n">
        <v>1</v>
      </c>
      <c r="B110" s="59" t="n">
        <v>20167</v>
      </c>
      <c r="C110" s="59" t="inlineStr">
        <is>
          <t>4</t>
        </is>
      </c>
      <c r="D110" s="59" t="inlineStr">
        <is>
          <t>48302595000166</t>
        </is>
      </c>
      <c r="E110" s="75" t="n">
        <v>46182</v>
      </c>
      <c r="F110" s="75" t="n">
        <v>46176</v>
      </c>
      <c r="G110" s="59" t="inlineStr">
        <is>
          <t>FUNNY PET DISTRIBUIDORA DE ALIMENTOS PAR</t>
        </is>
      </c>
      <c r="H110" s="59" t="n">
        <v>1227398</v>
      </c>
      <c r="I110" s="59" t="n">
        <v>1</v>
      </c>
      <c r="J110" s="59" t="inlineStr">
        <is>
          <t>AM</t>
        </is>
      </c>
      <c r="K110" s="126" t="n">
        <v>18087</v>
      </c>
    </row>
    <row r="111" ht="15" customHeight="1" s="60">
      <c r="A111" s="59" t="n">
        <v>1</v>
      </c>
      <c r="B111" s="59" t="n">
        <v>385264</v>
      </c>
      <c r="C111" s="59" t="inlineStr">
        <is>
          <t>1</t>
        </is>
      </c>
      <c r="D111" s="59" t="inlineStr">
        <is>
          <t>14141553000179</t>
        </is>
      </c>
      <c r="E111" s="75" t="n">
        <v>46182</v>
      </c>
      <c r="F111" s="75" t="n">
        <v>46176</v>
      </c>
      <c r="G111" s="59" t="inlineStr">
        <is>
          <t>J G COMERCIO DE PRODUTOS ALIMENTICIOS LTDA</t>
        </is>
      </c>
      <c r="H111" s="59" t="n">
        <v>1228300</v>
      </c>
      <c r="I111" s="59" t="n">
        <v>1</v>
      </c>
      <c r="J111" s="59" t="inlineStr">
        <is>
          <t>AM</t>
        </is>
      </c>
      <c r="K111" s="126" t="n">
        <v>5332.3</v>
      </c>
    </row>
    <row r="112" ht="15" customHeight="1" s="60">
      <c r="A112" s="59" t="n">
        <v>1</v>
      </c>
      <c r="B112" s="59" t="n">
        <v>215</v>
      </c>
      <c r="C112" s="59" t="inlineStr">
        <is>
          <t>1</t>
        </is>
      </c>
      <c r="D112" s="59" t="inlineStr">
        <is>
          <t>43750457000126</t>
        </is>
      </c>
      <c r="E112" s="75" t="n">
        <v>46182</v>
      </c>
      <c r="F112" s="75" t="n">
        <v>46182</v>
      </c>
      <c r="G112" s="59" t="inlineStr">
        <is>
          <t>JACKSON ROCHA NUNES</t>
        </is>
      </c>
      <c r="H112" s="59" t="n">
        <v>1231618</v>
      </c>
      <c r="I112" s="59" t="n">
        <v>1</v>
      </c>
      <c r="J112" s="59" t="inlineStr">
        <is>
          <t>AM</t>
        </is>
      </c>
      <c r="K112" s="126" t="n">
        <v>750</v>
      </c>
    </row>
    <row r="113" ht="15" customHeight="1" s="60">
      <c r="A113" s="59" t="n">
        <v>1</v>
      </c>
      <c r="B113" s="59" t="n">
        <v>5962</v>
      </c>
      <c r="C113" s="59" t="inlineStr">
        <is>
          <t>2</t>
        </is>
      </c>
      <c r="D113" s="59" t="inlineStr">
        <is>
          <t>08649356000243</t>
        </is>
      </c>
      <c r="E113" s="75" t="n">
        <v>46182</v>
      </c>
      <c r="F113" s="75" t="n">
        <v>46182</v>
      </c>
      <c r="G113" s="59" t="inlineStr">
        <is>
          <t>MANOEL TEXEIRA DE SOUZA RESTAURANTE</t>
        </is>
      </c>
      <c r="H113" s="59" t="n">
        <v>1230733</v>
      </c>
      <c r="I113" s="59" t="n">
        <v>1</v>
      </c>
      <c r="J113" s="59" t="inlineStr">
        <is>
          <t>AM</t>
        </is>
      </c>
      <c r="K113" s="126" t="n">
        <v>300</v>
      </c>
    </row>
    <row r="114" ht="15" customHeight="1" s="60">
      <c r="A114" s="59" t="n">
        <v>1</v>
      </c>
      <c r="B114" s="59" t="n">
        <v>14426</v>
      </c>
      <c r="C114" s="59" t="inlineStr">
        <is>
          <t>1</t>
        </is>
      </c>
      <c r="D114" s="59" t="inlineStr">
        <is>
          <t>03784729000194</t>
        </is>
      </c>
      <c r="E114" s="75" t="n">
        <v>46182</v>
      </c>
      <c r="F114" s="75" t="n">
        <v>46181</v>
      </c>
      <c r="G114" s="59" t="inlineStr">
        <is>
          <t>MAXFRI DISTRIUIDORA LTDA</t>
        </is>
      </c>
      <c r="H114" s="59" t="n">
        <v>1227207</v>
      </c>
      <c r="I114" s="59" t="n">
        <v>1</v>
      </c>
      <c r="J114" s="59" t="inlineStr">
        <is>
          <t>AM</t>
        </is>
      </c>
      <c r="K114" s="126" t="n">
        <v>2371.2</v>
      </c>
    </row>
    <row r="115" ht="15" customHeight="1" s="60">
      <c r="A115" s="59" t="n">
        <v>1</v>
      </c>
      <c r="B115" s="59" t="n">
        <v>14436</v>
      </c>
      <c r="C115" s="59" t="inlineStr">
        <is>
          <t>1</t>
        </is>
      </c>
      <c r="D115" s="59" t="inlineStr">
        <is>
          <t>03784729000194</t>
        </is>
      </c>
      <c r="E115" s="75" t="n">
        <v>46182</v>
      </c>
      <c r="F115" s="75" t="n">
        <v>46182</v>
      </c>
      <c r="G115" s="59" t="inlineStr">
        <is>
          <t>MAXFRI DISTRIUIDORA LTDA</t>
        </is>
      </c>
      <c r="H115" s="59" t="n">
        <v>1227270</v>
      </c>
      <c r="I115" s="59" t="n">
        <v>1</v>
      </c>
      <c r="J115" s="59" t="inlineStr">
        <is>
          <t>AM</t>
        </is>
      </c>
      <c r="K115" s="126" t="n">
        <v>6787.8</v>
      </c>
    </row>
    <row r="116" ht="15" customHeight="1" s="60">
      <c r="A116" s="59" t="n">
        <v>1</v>
      </c>
      <c r="B116" s="59" t="n">
        <v>40822</v>
      </c>
      <c r="C116" s="59" t="inlineStr">
        <is>
          <t>1</t>
        </is>
      </c>
      <c r="D116" s="59" t="inlineStr">
        <is>
          <t>51130661000172</t>
        </is>
      </c>
      <c r="E116" s="75" t="n">
        <v>46182</v>
      </c>
      <c r="F116" s="75" t="n">
        <v>46181</v>
      </c>
      <c r="G116" s="59" t="inlineStr">
        <is>
          <t>NORTELAC DISTRIBUIDORA DE FRIOS LTDA</t>
        </is>
      </c>
      <c r="H116" s="59" t="n">
        <v>1228195</v>
      </c>
      <c r="I116" s="59" t="n">
        <v>1</v>
      </c>
      <c r="J116" s="59" t="inlineStr">
        <is>
          <t>AM</t>
        </is>
      </c>
      <c r="K116" s="126" t="n">
        <v>1380</v>
      </c>
    </row>
    <row r="117" ht="15" customHeight="1" s="60">
      <c r="A117" s="59" t="n">
        <v>1</v>
      </c>
      <c r="B117" s="59" t="n">
        <v>3669</v>
      </c>
      <c r="C117" s="59" t="inlineStr">
        <is>
          <t>1</t>
        </is>
      </c>
      <c r="D117" s="59" t="inlineStr">
        <is>
          <t>14459228000159</t>
        </is>
      </c>
      <c r="E117" s="75" t="n">
        <v>46182</v>
      </c>
      <c r="F117" s="75" t="n">
        <v>46178</v>
      </c>
      <c r="G117" s="59" t="inlineStr">
        <is>
          <t>NOVA FRIOS COMERCIO ATACADISTA DE LATICINIOS LTDA</t>
        </is>
      </c>
      <c r="H117" s="59" t="n">
        <v>1226935</v>
      </c>
      <c r="I117" s="59" t="n">
        <v>1</v>
      </c>
      <c r="J117" s="59" t="inlineStr">
        <is>
          <t>AM</t>
        </is>
      </c>
      <c r="K117" s="126" t="n">
        <v>276.6</v>
      </c>
    </row>
    <row r="118" ht="15" customHeight="1" s="60">
      <c r="A118" s="59" t="n">
        <v>1</v>
      </c>
      <c r="B118" s="59" t="n">
        <v>3701</v>
      </c>
      <c r="C118" s="59" t="inlineStr">
        <is>
          <t>1</t>
        </is>
      </c>
      <c r="D118" s="59" t="inlineStr">
        <is>
          <t>14459228000159</t>
        </is>
      </c>
      <c r="E118" s="75" t="n">
        <v>46182</v>
      </c>
      <c r="F118" s="75" t="n">
        <v>46181</v>
      </c>
      <c r="G118" s="59" t="inlineStr">
        <is>
          <t>NOVA FRIOS COMERCIO ATACADISTA DE LATICINIOS LTDA</t>
        </is>
      </c>
      <c r="H118" s="59" t="n">
        <v>1228368</v>
      </c>
      <c r="I118" s="59" t="n">
        <v>1</v>
      </c>
      <c r="J118" s="59" t="inlineStr">
        <is>
          <t>AM</t>
        </is>
      </c>
      <c r="K118" s="126" t="n">
        <v>283.6</v>
      </c>
    </row>
    <row r="119" ht="15" customHeight="1" s="60">
      <c r="A119" s="59" t="n">
        <v>1</v>
      </c>
      <c r="B119" s="59" t="n">
        <v>7726</v>
      </c>
      <c r="C119" s="59" t="inlineStr">
        <is>
          <t>1</t>
        </is>
      </c>
      <c r="D119" s="59" t="inlineStr">
        <is>
          <t>40567884000185</t>
        </is>
      </c>
      <c r="E119" s="75" t="n">
        <v>46182</v>
      </c>
      <c r="F119" s="75" t="n">
        <v>46180</v>
      </c>
      <c r="G119" s="59" t="inlineStr">
        <is>
          <t>NSB COMERCIO ATACADISTA E VAREJISTA DE P</t>
        </is>
      </c>
      <c r="H119" s="59" t="n">
        <v>1228251</v>
      </c>
      <c r="I119" s="59" t="n">
        <v>1</v>
      </c>
      <c r="J119" s="59" t="inlineStr">
        <is>
          <t>AM</t>
        </is>
      </c>
      <c r="K119" s="126" t="n">
        <v>863.4</v>
      </c>
    </row>
    <row r="120" ht="15" customHeight="1" s="60">
      <c r="A120" s="59" t="n">
        <v>1</v>
      </c>
      <c r="B120" s="59" t="n">
        <v>37663</v>
      </c>
      <c r="C120" s="59" t="inlineStr">
        <is>
          <t>5</t>
        </is>
      </c>
      <c r="D120" s="59" t="inlineStr">
        <is>
          <t>03439223000148</t>
        </is>
      </c>
      <c r="E120" s="75" t="n">
        <v>46182</v>
      </c>
      <c r="F120" s="75" t="n">
        <v>46178</v>
      </c>
      <c r="G120" s="59" t="inlineStr">
        <is>
          <t>NT INDUSTRIA E COMERCIO DE PANIFICACAO L</t>
        </is>
      </c>
      <c r="H120" s="59" t="n">
        <v>1227453</v>
      </c>
      <c r="I120" s="59" t="n">
        <v>1</v>
      </c>
      <c r="J120" s="59" t="inlineStr">
        <is>
          <t>AM</t>
        </is>
      </c>
      <c r="K120" s="126" t="n">
        <v>3462.45</v>
      </c>
    </row>
    <row r="121" ht="15" customHeight="1" s="60">
      <c r="A121" s="59" t="n">
        <v>1</v>
      </c>
      <c r="B121" s="59" t="n">
        <v>655</v>
      </c>
      <c r="C121" s="59" t="inlineStr">
        <is>
          <t>2</t>
        </is>
      </c>
      <c r="D121" s="59" t="inlineStr">
        <is>
          <t>35729236000148</t>
        </is>
      </c>
      <c r="E121" s="75" t="n">
        <v>46182</v>
      </c>
      <c r="F121" s="75" t="n">
        <v>46181</v>
      </c>
      <c r="G121" s="59" t="inlineStr">
        <is>
          <t>PANIFICADORA E CONFEITARIA REAL MADRI LTDA</t>
        </is>
      </c>
      <c r="H121" s="59" t="n">
        <v>1228359</v>
      </c>
      <c r="I121" s="59" t="n">
        <v>1</v>
      </c>
      <c r="J121" s="59" t="inlineStr">
        <is>
          <t>AM</t>
        </is>
      </c>
      <c r="K121" s="126" t="n">
        <v>447.1</v>
      </c>
    </row>
    <row r="122" ht="15" customHeight="1" s="60">
      <c r="A122" s="59" t="n">
        <v>1</v>
      </c>
      <c r="B122" s="59" t="n">
        <v>1312</v>
      </c>
      <c r="C122" s="59" t="inlineStr">
        <is>
          <t>1</t>
        </is>
      </c>
      <c r="D122" s="59" t="inlineStr">
        <is>
          <t>36480282000119</t>
        </is>
      </c>
      <c r="E122" s="75" t="n">
        <v>46182</v>
      </c>
      <c r="F122" s="75" t="n">
        <v>46182</v>
      </c>
      <c r="G122" s="59" t="inlineStr">
        <is>
          <t>RENATO DE O AZEVEDO E CIA LTDA - EPP</t>
        </is>
      </c>
      <c r="H122" s="59" t="n">
        <v>1227566</v>
      </c>
      <c r="I122" s="59" t="n">
        <v>2</v>
      </c>
      <c r="J122" s="59" t="inlineStr">
        <is>
          <t>AM</t>
        </is>
      </c>
      <c r="K122" s="126" t="n">
        <v>2130</v>
      </c>
    </row>
    <row r="123" ht="15" customHeight="1" s="60">
      <c r="A123" s="59" t="n">
        <v>1</v>
      </c>
      <c r="B123" s="59" t="n">
        <v>1414</v>
      </c>
      <c r="C123" s="59" t="inlineStr">
        <is>
          <t>1</t>
        </is>
      </c>
      <c r="D123" s="59" t="inlineStr">
        <is>
          <t>36480282000119</t>
        </is>
      </c>
      <c r="E123" s="75" t="n">
        <v>46182</v>
      </c>
      <c r="F123" s="75" t="n">
        <v>46182</v>
      </c>
      <c r="G123" s="59" t="inlineStr">
        <is>
          <t>RENATO DE O AZEVEDO E CIA LTDA - EPP</t>
        </is>
      </c>
      <c r="H123" s="59" t="n">
        <v>1228026</v>
      </c>
      <c r="I123" s="59" t="n">
        <v>2</v>
      </c>
      <c r="J123" s="59" t="inlineStr">
        <is>
          <t>AM</t>
        </is>
      </c>
      <c r="K123" s="126" t="n">
        <v>2608.29</v>
      </c>
    </row>
    <row r="124" ht="15" customHeight="1" s="60">
      <c r="A124" s="59" t="n">
        <v>1</v>
      </c>
      <c r="B124" s="59" t="n">
        <v>5110</v>
      </c>
      <c r="C124" s="59" t="inlineStr">
        <is>
          <t>1</t>
        </is>
      </c>
      <c r="D124" s="59" t="inlineStr">
        <is>
          <t>36480282000119</t>
        </is>
      </c>
      <c r="E124" s="75" t="n">
        <v>46182</v>
      </c>
      <c r="F124" s="75" t="n">
        <v>46182</v>
      </c>
      <c r="G124" s="59" t="inlineStr">
        <is>
          <t>RENATO DE O AZEVEDO E CIA LTDA - EPP</t>
        </is>
      </c>
      <c r="H124" s="59" t="n">
        <v>1227584</v>
      </c>
      <c r="I124" s="59" t="n">
        <v>6</v>
      </c>
      <c r="J124" s="59" t="inlineStr">
        <is>
          <t>AM</t>
        </is>
      </c>
      <c r="K124" s="126" t="n">
        <v>2130</v>
      </c>
    </row>
    <row r="125" ht="15" customHeight="1" s="60">
      <c r="A125" s="59" t="n">
        <v>1</v>
      </c>
      <c r="B125" s="59" t="n">
        <v>5111</v>
      </c>
      <c r="C125" s="59" t="inlineStr">
        <is>
          <t>1</t>
        </is>
      </c>
      <c r="D125" s="59" t="inlineStr">
        <is>
          <t>36480282000119</t>
        </is>
      </c>
      <c r="E125" s="75" t="n">
        <v>46182</v>
      </c>
      <c r="F125" s="75" t="n">
        <v>46182</v>
      </c>
      <c r="G125" s="59" t="inlineStr">
        <is>
          <t>RENATO DE O AZEVEDO E CIA LTDA - EPP</t>
        </is>
      </c>
      <c r="H125" s="59" t="n">
        <v>1228045</v>
      </c>
      <c r="I125" s="59" t="n">
        <v>6</v>
      </c>
      <c r="J125" s="59" t="inlineStr">
        <is>
          <t>AM</t>
        </is>
      </c>
      <c r="K125" s="126" t="n">
        <v>2608.29</v>
      </c>
    </row>
    <row r="126" ht="15" customHeight="1" s="60">
      <c r="A126" s="59" t="n">
        <v>1</v>
      </c>
      <c r="B126" s="59" t="n">
        <v>30943</v>
      </c>
      <c r="C126" s="59" t="inlineStr">
        <is>
          <t>1</t>
        </is>
      </c>
      <c r="D126" s="59" t="inlineStr">
        <is>
          <t>30652116000176</t>
        </is>
      </c>
      <c r="E126" s="75" t="n">
        <v>46182</v>
      </c>
      <c r="F126" s="75" t="n">
        <v>46179</v>
      </c>
      <c r="G126" s="59" t="inlineStr">
        <is>
          <t>SILVA E SANTOS FRIGORIFICO LTDA</t>
        </is>
      </c>
      <c r="H126" s="59" t="n">
        <v>1227145</v>
      </c>
      <c r="I126" s="59" t="n">
        <v>1</v>
      </c>
      <c r="J126" s="59" t="inlineStr">
        <is>
          <t>AM</t>
        </is>
      </c>
      <c r="K126" s="126" t="n">
        <v>4032.5</v>
      </c>
    </row>
    <row r="127" ht="15" customHeight="1" s="60">
      <c r="A127" s="59" t="n">
        <v>1</v>
      </c>
      <c r="B127" s="59" t="n">
        <v>562604</v>
      </c>
      <c r="C127" s="59" t="inlineStr">
        <is>
          <t>13</t>
        </is>
      </c>
      <c r="D127" s="59" t="inlineStr">
        <is>
          <t>33009911007222</t>
        </is>
      </c>
      <c r="E127" s="75" t="n">
        <v>46182</v>
      </c>
      <c r="F127" s="75" t="n">
        <v>46176</v>
      </c>
      <c r="G127" s="59" t="inlineStr">
        <is>
          <t>SOUZA CRUZ LTDA.</t>
        </is>
      </c>
      <c r="H127" s="59" t="n">
        <v>1226844</v>
      </c>
      <c r="I127" s="59" t="n">
        <v>1</v>
      </c>
      <c r="J127" s="59" t="inlineStr">
        <is>
          <t>AM</t>
        </is>
      </c>
      <c r="K127" s="126" t="n">
        <v>13209.86</v>
      </c>
    </row>
    <row r="128" ht="15" customHeight="1" s="60">
      <c r="A128" s="59" t="n">
        <v>1</v>
      </c>
      <c r="B128" s="59" t="n">
        <v>14998</v>
      </c>
      <c r="C128" s="59" t="inlineStr">
        <is>
          <t>1</t>
        </is>
      </c>
      <c r="D128" s="59" t="inlineStr">
        <is>
          <t>01215382000133</t>
        </is>
      </c>
      <c r="E128" s="75" t="n">
        <v>46182</v>
      </c>
      <c r="F128" s="75" t="n">
        <v>46181</v>
      </c>
      <c r="G128" s="59" t="inlineStr">
        <is>
          <t>T. M. L. DA SILVA LTDA</t>
        </is>
      </c>
      <c r="H128" s="59" t="n">
        <v>1228126</v>
      </c>
      <c r="I128" s="59" t="n">
        <v>1</v>
      </c>
      <c r="J128" s="59" t="inlineStr">
        <is>
          <t>AM</t>
        </is>
      </c>
      <c r="K128" s="126" t="n">
        <v>563.85</v>
      </c>
    </row>
    <row r="129" ht="15" customHeight="1" s="60">
      <c r="A129" s="59" t="n">
        <v>1</v>
      </c>
      <c r="B129" s="59" t="n">
        <v>296</v>
      </c>
      <c r="C129" s="59" t="inlineStr">
        <is>
          <t>1</t>
        </is>
      </c>
      <c r="D129" s="59" t="inlineStr">
        <is>
          <t>34787423000115</t>
        </is>
      </c>
      <c r="E129" s="75" t="n">
        <v>46183</v>
      </c>
      <c r="F129" s="75" t="n">
        <v>46182</v>
      </c>
      <c r="G129" s="59" t="inlineStr">
        <is>
          <t>ADRIANO FEITOSA OLIVEIRA LTDA</t>
        </is>
      </c>
      <c r="H129" s="59" t="n">
        <v>1231130</v>
      </c>
      <c r="I129" s="59" t="n">
        <v>1</v>
      </c>
      <c r="J129" s="59" t="inlineStr">
        <is>
          <t>AM</t>
        </is>
      </c>
      <c r="K129" s="126" t="n">
        <v>2213.39</v>
      </c>
    </row>
    <row r="130" ht="15" customHeight="1" s="60">
      <c r="A130" s="59" t="n">
        <v>1</v>
      </c>
      <c r="B130" s="59" t="n">
        <v>1026088</v>
      </c>
      <c r="C130" s="59" t="inlineStr">
        <is>
          <t>1</t>
        </is>
      </c>
      <c r="D130" s="59" t="inlineStr">
        <is>
          <t>34579060000122</t>
        </is>
      </c>
      <c r="E130" s="75" t="n">
        <v>46183</v>
      </c>
      <c r="F130" s="75" t="n">
        <v>46181</v>
      </c>
      <c r="G130" s="59" t="inlineStr">
        <is>
          <t>BROTHERS  INDUSTRIA DE ALIMENTOS LTDA</t>
        </is>
      </c>
      <c r="H130" s="59" t="n">
        <v>1230690</v>
      </c>
      <c r="I130" s="59" t="n">
        <v>1</v>
      </c>
      <c r="J130" s="59" t="inlineStr">
        <is>
          <t>AM</t>
        </is>
      </c>
      <c r="K130" s="126" t="n">
        <v>644.15</v>
      </c>
    </row>
    <row r="131" ht="15" customHeight="1" s="60">
      <c r="A131" s="59" t="n">
        <v>1</v>
      </c>
      <c r="B131" s="59" t="n">
        <v>697</v>
      </c>
      <c r="C131" s="59" t="inlineStr">
        <is>
          <t>1</t>
        </is>
      </c>
      <c r="D131" s="59" t="inlineStr">
        <is>
          <t>29916176000170</t>
        </is>
      </c>
      <c r="E131" s="75" t="n">
        <v>46183</v>
      </c>
      <c r="F131" s="75" t="n">
        <v>46134</v>
      </c>
      <c r="G131" s="59" t="inlineStr">
        <is>
          <t>DINÂMICA SOLUÇÕES EM SUPRIMENTOS E GESTÃ</t>
        </is>
      </c>
      <c r="H131" s="59" t="n">
        <v>1231040</v>
      </c>
      <c r="I131" s="59" t="n">
        <v>11</v>
      </c>
      <c r="J131" s="59" t="inlineStr">
        <is>
          <t>AM</t>
        </is>
      </c>
      <c r="K131" s="126" t="n">
        <v>676</v>
      </c>
    </row>
    <row r="132" ht="15" customHeight="1" s="60">
      <c r="A132" s="59" t="n">
        <v>1</v>
      </c>
      <c r="B132" s="59" t="n">
        <v>278802</v>
      </c>
      <c r="C132" s="59" t="inlineStr">
        <is>
          <t>1</t>
        </is>
      </c>
      <c r="D132" s="59" t="inlineStr">
        <is>
          <t>84502145000261</t>
        </is>
      </c>
      <c r="E132" s="75" t="n">
        <v>46183</v>
      </c>
      <c r="F132" s="75" t="n">
        <v>46181</v>
      </c>
      <c r="G132" s="59" t="inlineStr">
        <is>
          <t>DISPPAN DISTRIBUIDORA DE PRODUTOS PARA PANIFICACAO LTDA</t>
        </is>
      </c>
      <c r="H132" s="59" t="n">
        <v>1231571</v>
      </c>
      <c r="I132" s="59" t="n">
        <v>3</v>
      </c>
      <c r="J132" s="59" t="inlineStr">
        <is>
          <t>AM</t>
        </is>
      </c>
      <c r="K132" s="126" t="n">
        <v>948.1</v>
      </c>
    </row>
    <row r="133" ht="15" customHeight="1" s="60">
      <c r="A133" s="59" t="n">
        <v>1</v>
      </c>
      <c r="B133" s="59" t="n">
        <v>1062</v>
      </c>
      <c r="C133" s="59" t="inlineStr">
        <is>
          <t>1</t>
        </is>
      </c>
      <c r="D133" s="59" t="inlineStr">
        <is>
          <t>03690587000104</t>
        </is>
      </c>
      <c r="E133" s="75" t="n">
        <v>46183</v>
      </c>
      <c r="F133" s="75" t="n">
        <v>46178</v>
      </c>
      <c r="G133" s="59" t="inlineStr">
        <is>
          <t>IMPERIO A W COMERCIO DE BEBIDAS LTDA</t>
        </is>
      </c>
      <c r="H133" s="59" t="n">
        <v>1230974</v>
      </c>
      <c r="I133" s="59" t="n">
        <v>11</v>
      </c>
      <c r="J133" s="59" t="inlineStr">
        <is>
          <t>AM</t>
        </is>
      </c>
      <c r="K133" s="126" t="n">
        <v>500</v>
      </c>
    </row>
    <row r="134" ht="15" customHeight="1" s="60">
      <c r="A134" s="59" t="n">
        <v>1</v>
      </c>
      <c r="B134" s="59" t="n">
        <v>3339</v>
      </c>
      <c r="C134" s="59" t="inlineStr">
        <is>
          <t>1</t>
        </is>
      </c>
      <c r="D134" s="59" t="inlineStr">
        <is>
          <t>59566132000128</t>
        </is>
      </c>
      <c r="E134" s="75" t="n">
        <v>46183</v>
      </c>
      <c r="F134" s="75" t="n">
        <v>46182</v>
      </c>
      <c r="G134" s="59" t="inlineStr">
        <is>
          <t>JAB COMERCIO DE PRODUTOS ALIMENTICIOS LT</t>
        </is>
      </c>
      <c r="H134" s="59" t="n">
        <v>1230731</v>
      </c>
      <c r="I134" s="59" t="n">
        <v>1</v>
      </c>
      <c r="J134" s="59" t="inlineStr">
        <is>
          <t>AM</t>
        </is>
      </c>
      <c r="K134" s="126" t="n">
        <v>260</v>
      </c>
    </row>
    <row r="135" ht="15" customHeight="1" s="60">
      <c r="A135" s="59" t="n">
        <v>1</v>
      </c>
      <c r="B135" s="59" t="n">
        <v>37950</v>
      </c>
      <c r="C135" s="59" t="inlineStr">
        <is>
          <t>5</t>
        </is>
      </c>
      <c r="D135" s="59" t="inlineStr">
        <is>
          <t>03439223000148</t>
        </is>
      </c>
      <c r="E135" s="75" t="n">
        <v>46183</v>
      </c>
      <c r="F135" s="75" t="n">
        <v>46182</v>
      </c>
      <c r="G135" s="59" t="inlineStr">
        <is>
          <t>NT INDUSTRIA E COMERCIO DE PANIFICACAO L</t>
        </is>
      </c>
      <c r="H135" s="59" t="n">
        <v>1230698</v>
      </c>
      <c r="I135" s="59" t="n">
        <v>1</v>
      </c>
      <c r="J135" s="59" t="inlineStr">
        <is>
          <t>AM</t>
        </is>
      </c>
      <c r="K135" s="126" t="n">
        <v>5799.6</v>
      </c>
    </row>
    <row r="136" ht="15" customHeight="1" s="60">
      <c r="A136" s="59" t="n">
        <v>1</v>
      </c>
      <c r="B136" s="59" t="n">
        <v>658</v>
      </c>
      <c r="C136" s="59" t="inlineStr">
        <is>
          <t>2</t>
        </is>
      </c>
      <c r="D136" s="59" t="inlineStr">
        <is>
          <t>35729236000148</t>
        </is>
      </c>
      <c r="E136" s="75" t="n">
        <v>46183</v>
      </c>
      <c r="F136" s="75" t="n">
        <v>46182</v>
      </c>
      <c r="G136" s="59" t="inlineStr">
        <is>
          <t>PANIFICADORA E CONFEITARIA REAL MADRI LTDA</t>
        </is>
      </c>
      <c r="H136" s="59" t="n">
        <v>1230722</v>
      </c>
      <c r="I136" s="59" t="n">
        <v>1</v>
      </c>
      <c r="J136" s="59" t="inlineStr">
        <is>
          <t>AM</t>
        </is>
      </c>
      <c r="K136" s="126" t="n">
        <v>472.05</v>
      </c>
    </row>
    <row r="137" ht="15" customHeight="1" s="60">
      <c r="A137" s="59" t="n">
        <v>1</v>
      </c>
      <c r="B137" s="59" t="n">
        <v>5112</v>
      </c>
      <c r="C137" s="59" t="inlineStr">
        <is>
          <t>1</t>
        </is>
      </c>
      <c r="D137" s="59" t="inlineStr">
        <is>
          <t>36480282000119</t>
        </is>
      </c>
      <c r="E137" s="75" t="n">
        <v>46183</v>
      </c>
      <c r="F137" s="75" t="n">
        <v>46183</v>
      </c>
      <c r="G137" s="59" t="inlineStr">
        <is>
          <t>RENATO DE O AZEVEDO E CIA LTDA - EPP</t>
        </is>
      </c>
      <c r="H137" s="59" t="n">
        <v>1232087</v>
      </c>
      <c r="I137" s="59" t="n">
        <v>6</v>
      </c>
      <c r="J137" s="59" t="inlineStr">
        <is>
          <t>AM</t>
        </is>
      </c>
      <c r="K137" s="126" t="n">
        <v>279</v>
      </c>
    </row>
    <row r="138" ht="15" customHeight="1" s="60">
      <c r="A138" s="59" t="n">
        <v>1</v>
      </c>
      <c r="B138" s="59" t="n">
        <v>11231</v>
      </c>
      <c r="C138" s="59" t="inlineStr">
        <is>
          <t>1</t>
        </is>
      </c>
      <c r="D138" s="59" t="inlineStr">
        <is>
          <t>36480282000119</t>
        </is>
      </c>
      <c r="E138" s="75" t="n">
        <v>46183</v>
      </c>
      <c r="F138" s="75" t="n">
        <v>46183</v>
      </c>
      <c r="G138" s="59" t="inlineStr">
        <is>
          <t>RENATO DE O AZEVEDO E CIA LTDA - EPP</t>
        </is>
      </c>
      <c r="H138" s="59" t="n">
        <v>1232021</v>
      </c>
      <c r="I138" s="59" t="n">
        <v>2</v>
      </c>
      <c r="J138" s="59" t="inlineStr">
        <is>
          <t>AM</t>
        </is>
      </c>
      <c r="K138" s="126" t="n">
        <v>279</v>
      </c>
    </row>
    <row r="139" ht="15" customHeight="1" s="60">
      <c r="A139" s="59" t="n">
        <v>1</v>
      </c>
      <c r="B139" s="59" t="n">
        <v>657246</v>
      </c>
      <c r="C139" s="59" t="inlineStr">
        <is>
          <t>1</t>
        </is>
      </c>
      <c r="D139" s="59" t="inlineStr">
        <is>
          <t>84117159000180</t>
        </is>
      </c>
      <c r="E139" s="75" t="n">
        <v>46183</v>
      </c>
      <c r="F139" s="75" t="n">
        <v>46178</v>
      </c>
      <c r="G139" s="59" t="inlineStr">
        <is>
          <t>RISADINHA LTDA</t>
        </is>
      </c>
      <c r="H139" s="59" t="n">
        <v>1230768</v>
      </c>
      <c r="I139" s="59" t="n">
        <v>1</v>
      </c>
      <c r="J139" s="59" t="inlineStr">
        <is>
          <t>AM</t>
        </is>
      </c>
      <c r="K139" s="126" t="n">
        <v>3510.8</v>
      </c>
    </row>
    <row r="140" ht="15" customHeight="1" s="60">
      <c r="A140" s="59" t="n">
        <v>1</v>
      </c>
      <c r="B140" s="59" t="n">
        <v>207140</v>
      </c>
      <c r="C140" s="59" t="inlineStr">
        <is>
          <t>1</t>
        </is>
      </c>
      <c r="D140" s="59" t="inlineStr">
        <is>
          <t>03586320000163</t>
        </is>
      </c>
      <c r="E140" s="75" t="n">
        <v>46183</v>
      </c>
      <c r="F140" s="75" t="n">
        <v>46181</v>
      </c>
      <c r="G140" s="59" t="inlineStr">
        <is>
          <t>ROCHA E PAIVA LTDA</t>
        </is>
      </c>
      <c r="H140" s="59" t="n">
        <v>1231622</v>
      </c>
      <c r="I140" s="59" t="n">
        <v>3</v>
      </c>
      <c r="J140" s="59" t="inlineStr">
        <is>
          <t>AM</t>
        </is>
      </c>
      <c r="K140" s="126" t="n">
        <v>1244.92</v>
      </c>
    </row>
    <row r="141" ht="15" customHeight="1" s="60">
      <c r="A141" s="59" t="n">
        <v>1</v>
      </c>
      <c r="B141" s="59" t="n">
        <v>3245</v>
      </c>
      <c r="C141" s="59" t="inlineStr">
        <is>
          <t>1</t>
        </is>
      </c>
      <c r="D141" s="59" t="inlineStr">
        <is>
          <t>30844737000151</t>
        </is>
      </c>
      <c r="E141" s="75" t="n">
        <v>46183</v>
      </c>
      <c r="F141" s="75" t="n">
        <v>46181</v>
      </c>
      <c r="G141" s="59" t="inlineStr">
        <is>
          <t>TRIPLASTIK COMERCIAL</t>
        </is>
      </c>
      <c r="H141" s="59" t="n">
        <v>1231605</v>
      </c>
      <c r="I141" s="59" t="n">
        <v>3</v>
      </c>
      <c r="J141" s="59" t="inlineStr">
        <is>
          <t>AM</t>
        </is>
      </c>
      <c r="K141" s="126" t="n">
        <v>1524.18</v>
      </c>
    </row>
    <row r="142" ht="15" customHeight="1" s="60">
      <c r="A142" s="59" t="n">
        <v>1</v>
      </c>
      <c r="B142" s="59" t="n">
        <v>10060</v>
      </c>
      <c r="C142" s="59" t="inlineStr">
        <is>
          <t>2</t>
        </is>
      </c>
      <c r="D142" s="59" t="inlineStr">
        <is>
          <t>36296113000123</t>
        </is>
      </c>
      <c r="E142" s="75" t="n">
        <v>46183</v>
      </c>
      <c r="F142" s="75" t="n">
        <v>46181</v>
      </c>
      <c r="G142" s="59" t="inlineStr">
        <is>
          <t>VITAPAN COMERCIO VAREJISTA DE PRODUTOS ALIMENTICIOS LTDA</t>
        </is>
      </c>
      <c r="H142" s="59" t="n">
        <v>1230747</v>
      </c>
      <c r="I142" s="59" t="n">
        <v>1</v>
      </c>
      <c r="J142" s="59" t="inlineStr">
        <is>
          <t>AM</t>
        </is>
      </c>
      <c r="K142" s="126" t="n">
        <v>1566</v>
      </c>
    </row>
    <row r="143" ht="15" customHeight="1" s="60">
      <c r="A143" s="59" t="n">
        <v>1</v>
      </c>
      <c r="B143" s="59" t="n">
        <v>877771</v>
      </c>
      <c r="C143" s="59" t="inlineStr">
        <is>
          <t>1</t>
        </is>
      </c>
      <c r="D143" s="59" t="inlineStr">
        <is>
          <t>04724476000126</t>
        </is>
      </c>
      <c r="E143" s="75" t="n">
        <v>46184</v>
      </c>
      <c r="F143" s="75" t="n">
        <v>46183</v>
      </c>
      <c r="G143" s="59" t="inlineStr">
        <is>
          <t>ADRIANA DISTRIBUIDORA DE PRODUTOS ALIMEN</t>
        </is>
      </c>
      <c r="H143" s="59" t="n">
        <v>1236079</v>
      </c>
      <c r="I143" s="59" t="n">
        <v>1</v>
      </c>
      <c r="J143" s="59" t="inlineStr">
        <is>
          <t>AM</t>
        </is>
      </c>
      <c r="K143" s="126" t="n">
        <v>456.25</v>
      </c>
    </row>
    <row r="144" ht="15" customHeight="1" s="60">
      <c r="A144" s="59" t="n">
        <v>1</v>
      </c>
      <c r="B144" s="59" t="n">
        <v>877772</v>
      </c>
      <c r="C144" s="59" t="inlineStr">
        <is>
          <t>1</t>
        </is>
      </c>
      <c r="D144" s="59" t="inlineStr">
        <is>
          <t>04724476000126</t>
        </is>
      </c>
      <c r="E144" s="75" t="n">
        <v>46184</v>
      </c>
      <c r="F144" s="75" t="n">
        <v>46183</v>
      </c>
      <c r="G144" s="59" t="inlineStr">
        <is>
          <t>ADRIANA DISTRIBUIDORA DE PRODUTOS ALIMEN</t>
        </is>
      </c>
      <c r="H144" s="59" t="n">
        <v>1236106</v>
      </c>
      <c r="I144" s="59" t="n">
        <v>1</v>
      </c>
      <c r="J144" s="59" t="inlineStr">
        <is>
          <t>AM</t>
        </is>
      </c>
      <c r="K144" s="126" t="n">
        <v>1128.21</v>
      </c>
    </row>
    <row r="145" ht="15" customHeight="1" s="60">
      <c r="A145" s="59" t="n">
        <v>1</v>
      </c>
      <c r="B145" s="59" t="n">
        <v>5484</v>
      </c>
      <c r="C145" s="59" t="inlineStr">
        <is>
          <t>1</t>
        </is>
      </c>
      <c r="D145" s="59" t="inlineStr">
        <is>
          <t>12246531000652</t>
        </is>
      </c>
      <c r="E145" s="75" t="n">
        <v>46184</v>
      </c>
      <c r="F145" s="75" t="n">
        <v>46153</v>
      </c>
      <c r="G145" s="59" t="inlineStr">
        <is>
          <t>BF COMERCIO DE EQUIP. E SUP DE INFO LTDA</t>
        </is>
      </c>
      <c r="H145" s="59" t="n">
        <v>1236489</v>
      </c>
      <c r="I145" s="59" t="n">
        <v>11</v>
      </c>
      <c r="J145" s="59" t="inlineStr">
        <is>
          <t>AM</t>
        </is>
      </c>
      <c r="K145" s="126" t="n">
        <v>480.49</v>
      </c>
    </row>
    <row r="146" ht="15" customHeight="1" s="60">
      <c r="A146" s="59" t="n">
        <v>1</v>
      </c>
      <c r="B146" s="59" t="n">
        <v>5536</v>
      </c>
      <c r="C146" s="59" t="inlineStr">
        <is>
          <t>1</t>
        </is>
      </c>
      <c r="D146" s="59" t="inlineStr">
        <is>
          <t>12246531000652</t>
        </is>
      </c>
      <c r="E146" s="75" t="n">
        <v>46184</v>
      </c>
      <c r="F146" s="75" t="n">
        <v>46182</v>
      </c>
      <c r="G146" s="59" t="inlineStr">
        <is>
          <t>BF COMERCIO DE EQUIP. E SUP DE INFO LTDA</t>
        </is>
      </c>
      <c r="H146" s="59" t="n">
        <v>1236571</v>
      </c>
      <c r="I146" s="59" t="n">
        <v>11</v>
      </c>
      <c r="J146" s="59" t="inlineStr">
        <is>
          <t>AM</t>
        </is>
      </c>
      <c r="K146" s="126" t="n">
        <v>315.78</v>
      </c>
    </row>
    <row r="147" ht="15" customHeight="1" s="60">
      <c r="A147" s="59" t="n">
        <v>1</v>
      </c>
      <c r="B147" s="59" t="n">
        <v>843140</v>
      </c>
      <c r="C147" s="59" t="inlineStr">
        <is>
          <t>1</t>
        </is>
      </c>
      <c r="D147" s="59" t="inlineStr">
        <is>
          <t>14189432000105</t>
        </is>
      </c>
      <c r="E147" s="75" t="n">
        <v>46184</v>
      </c>
      <c r="F147" s="75" t="n">
        <v>46183</v>
      </c>
      <c r="G147" s="59" t="inlineStr">
        <is>
          <t>CB COMERCIO E DISTRIBUIDORA DE ALIMENTOS</t>
        </is>
      </c>
      <c r="H147" s="59" t="n">
        <v>1236408</v>
      </c>
      <c r="I147" s="59" t="n">
        <v>1</v>
      </c>
      <c r="J147" s="59" t="inlineStr">
        <is>
          <t>AM</t>
        </is>
      </c>
      <c r="K147" s="126" t="n">
        <v>440.54</v>
      </c>
    </row>
    <row r="148" ht="15" customHeight="1" s="60">
      <c r="A148" s="59" t="n">
        <v>1</v>
      </c>
      <c r="B148" s="59" t="n">
        <v>1670627</v>
      </c>
      <c r="C148" s="59" t="inlineStr">
        <is>
          <t>1</t>
        </is>
      </c>
      <c r="D148" s="59" t="inlineStr">
        <is>
          <t>02796653000154</t>
        </is>
      </c>
      <c r="E148" s="75" t="n">
        <v>46184</v>
      </c>
      <c r="F148" s="75" t="n">
        <v>46182</v>
      </c>
      <c r="G148" s="59" t="inlineStr">
        <is>
          <t>DISTRIBUIDORA LOPES LTDA</t>
        </is>
      </c>
      <c r="H148" s="59" t="n">
        <v>1235782</v>
      </c>
      <c r="I148" s="59" t="n">
        <v>1</v>
      </c>
      <c r="J148" s="59" t="inlineStr">
        <is>
          <t>AM</t>
        </is>
      </c>
      <c r="K148" s="126" t="n">
        <v>818.1</v>
      </c>
    </row>
    <row r="149" ht="15" customHeight="1" s="60">
      <c r="A149" s="59" t="n">
        <v>1</v>
      </c>
      <c r="B149" s="59" t="n">
        <v>9271</v>
      </c>
      <c r="C149" s="59" t="inlineStr">
        <is>
          <t>1</t>
        </is>
      </c>
      <c r="D149" s="59" t="inlineStr">
        <is>
          <t>11170108000149</t>
        </is>
      </c>
      <c r="E149" s="75" t="n">
        <v>46184</v>
      </c>
      <c r="F149" s="75" t="n">
        <v>46182</v>
      </c>
      <c r="G149" s="59" t="inlineStr">
        <is>
          <t>E. D. SENA &amp; CIA LTDA</t>
        </is>
      </c>
      <c r="H149" s="59" t="n">
        <v>1235655</v>
      </c>
      <c r="I149" s="59" t="n">
        <v>1</v>
      </c>
      <c r="J149" s="59" t="inlineStr">
        <is>
          <t>AM</t>
        </is>
      </c>
      <c r="K149" s="126" t="n">
        <v>543</v>
      </c>
    </row>
    <row r="150" ht="15" customHeight="1" s="60">
      <c r="A150" s="59" t="n">
        <v>1</v>
      </c>
      <c r="B150" s="59" t="n">
        <v>2291498</v>
      </c>
      <c r="C150" s="59" t="inlineStr">
        <is>
          <t>1</t>
        </is>
      </c>
      <c r="D150" s="59" t="inlineStr">
        <is>
          <t>05402904001562</t>
        </is>
      </c>
      <c r="E150" s="75" t="n">
        <v>46184</v>
      </c>
      <c r="F150" s="75" t="n">
        <v>46183</v>
      </c>
      <c r="G150" s="59" t="inlineStr">
        <is>
          <t>EMPRESA BRASILEIRA DE DISTRIBUICAO LTDA</t>
        </is>
      </c>
      <c r="H150" s="59" t="n">
        <v>1235909</v>
      </c>
      <c r="I150" s="59" t="n">
        <v>1</v>
      </c>
      <c r="J150" s="59" t="inlineStr">
        <is>
          <t>AM</t>
        </is>
      </c>
      <c r="K150" s="126" t="n">
        <v>2358.31</v>
      </c>
    </row>
    <row r="151" ht="15" customHeight="1" s="60">
      <c r="A151" s="59" t="n">
        <v>1</v>
      </c>
      <c r="B151" s="59" t="n">
        <v>530744</v>
      </c>
      <c r="C151" s="59" t="inlineStr">
        <is>
          <t>1</t>
        </is>
      </c>
      <c r="D151" s="59" t="inlineStr">
        <is>
          <t>39536783000168</t>
        </is>
      </c>
      <c r="E151" s="75" t="n">
        <v>46184</v>
      </c>
      <c r="F151" s="75" t="n">
        <v>46126</v>
      </c>
      <c r="G151" s="59" t="inlineStr">
        <is>
          <t>INTLINK SERVICOS DIGITAIS LTDA</t>
        </is>
      </c>
      <c r="H151" s="59" t="n">
        <v>1235447</v>
      </c>
      <c r="I151" s="59" t="n">
        <v>39</v>
      </c>
      <c r="J151" s="59" t="inlineStr">
        <is>
          <t>AM</t>
        </is>
      </c>
      <c r="K151" s="126" t="n">
        <v>39.6</v>
      </c>
    </row>
    <row r="152" ht="15" customHeight="1" s="60">
      <c r="A152" s="59" t="n">
        <v>1</v>
      </c>
      <c r="B152" s="59" t="n">
        <v>413874</v>
      </c>
      <c r="C152" s="59" t="inlineStr">
        <is>
          <t>3</t>
        </is>
      </c>
      <c r="D152" s="59" t="inlineStr">
        <is>
          <t>81611931005006</t>
        </is>
      </c>
      <c r="E152" s="75" t="n">
        <v>46184</v>
      </c>
      <c r="F152" s="75" t="n">
        <v>46182</v>
      </c>
      <c r="G152" s="59" t="inlineStr">
        <is>
          <t>OESA COMERCIO E REPRESENTACOES S/A</t>
        </is>
      </c>
      <c r="H152" s="59" t="n">
        <v>1235524</v>
      </c>
      <c r="I152" s="59" t="n">
        <v>1</v>
      </c>
      <c r="J152" s="59" t="inlineStr">
        <is>
          <t>AM</t>
        </is>
      </c>
      <c r="K152" s="126" t="n">
        <v>2356.28</v>
      </c>
    </row>
    <row r="153" ht="15" customHeight="1" s="60">
      <c r="A153" s="59" t="n">
        <v>1</v>
      </c>
      <c r="B153" s="59" t="n">
        <v>6597</v>
      </c>
      <c r="C153" s="59" t="inlineStr">
        <is>
          <t>2</t>
        </is>
      </c>
      <c r="D153" s="59" t="inlineStr">
        <is>
          <t>35661752000188</t>
        </is>
      </c>
      <c r="E153" s="75" t="n">
        <v>46184</v>
      </c>
      <c r="F153" s="75" t="n">
        <v>46181</v>
      </c>
      <c r="G153" s="59" t="inlineStr">
        <is>
          <t>SMV COMERCIO DE PRODUTOS ALIMENTICIOS LT</t>
        </is>
      </c>
      <c r="H153" s="59" t="n">
        <v>1235862</v>
      </c>
      <c r="I153" s="59" t="n">
        <v>1</v>
      </c>
      <c r="J153" s="59" t="inlineStr">
        <is>
          <t>AM</t>
        </is>
      </c>
      <c r="K153" s="126" t="n">
        <v>1050.13</v>
      </c>
    </row>
    <row r="154" ht="15" customHeight="1" s="60">
      <c r="A154" s="59" t="n">
        <v>1</v>
      </c>
      <c r="B154" s="59" t="n">
        <v>1529878</v>
      </c>
      <c r="C154" s="59" t="inlineStr">
        <is>
          <t>1</t>
        </is>
      </c>
      <c r="D154" s="59" t="inlineStr">
        <is>
          <t>84089358000122</t>
        </is>
      </c>
      <c r="E154" s="75" t="n">
        <v>46184</v>
      </c>
      <c r="F154" s="75" t="n">
        <v>46183</v>
      </c>
      <c r="G154" s="59" t="inlineStr">
        <is>
          <t>SV INSTALACOES LTDA</t>
        </is>
      </c>
      <c r="H154" s="59" t="n">
        <v>1236530</v>
      </c>
      <c r="I154" s="59" t="n">
        <v>11</v>
      </c>
      <c r="J154" s="59" t="inlineStr">
        <is>
          <t>AM</t>
        </is>
      </c>
      <c r="K154" s="126" t="n">
        <v>348.21</v>
      </c>
    </row>
    <row r="155" ht="15" customHeight="1" s="60">
      <c r="A155" s="59" t="n">
        <v>1</v>
      </c>
      <c r="B155" s="59" t="n">
        <v>346214</v>
      </c>
      <c r="C155" s="59" t="inlineStr">
        <is>
          <t>2</t>
        </is>
      </c>
      <c r="D155" s="59" t="inlineStr">
        <is>
          <t>63310411003461</t>
        </is>
      </c>
      <c r="E155" s="75" t="n">
        <v>46184</v>
      </c>
      <c r="F155" s="75" t="n">
        <v>46182</v>
      </c>
      <c r="G155" s="59" t="inlineStr">
        <is>
          <t>TRES CORACOES ALIMENTOS S.A.</t>
        </is>
      </c>
      <c r="H155" s="59" t="n">
        <v>1236138</v>
      </c>
      <c r="I155" s="59" t="n">
        <v>1</v>
      </c>
      <c r="J155" s="59" t="inlineStr">
        <is>
          <t>AM</t>
        </is>
      </c>
      <c r="K155" s="126" t="n">
        <v>3600</v>
      </c>
    </row>
    <row r="156" ht="15" customHeight="1" s="60">
      <c r="A156" s="59" t="n">
        <v>1</v>
      </c>
      <c r="B156" s="59" t="n">
        <v>3538</v>
      </c>
      <c r="C156" s="59" t="inlineStr">
        <is>
          <t>3</t>
        </is>
      </c>
      <c r="D156" s="59" t="inlineStr">
        <is>
          <t>37225449000168</t>
        </is>
      </c>
      <c r="E156" s="75" t="n">
        <v>46184</v>
      </c>
      <c r="F156" s="75" t="n">
        <v>46184</v>
      </c>
      <c r="G156" s="59" t="inlineStr">
        <is>
          <t>VOVO DIZA COMERCIO VAREJISTA DE HORTALICAS LTDA</t>
        </is>
      </c>
      <c r="H156" s="59" t="n">
        <v>1261327</v>
      </c>
      <c r="I156" s="59" t="n">
        <v>1</v>
      </c>
      <c r="J156" s="59" t="inlineStr">
        <is>
          <t>AM</t>
        </is>
      </c>
      <c r="K156" s="126" t="n">
        <v>105</v>
      </c>
    </row>
    <row r="157" ht="15" customHeight="1" s="60">
      <c r="A157" s="59" t="n">
        <v>1</v>
      </c>
      <c r="B157" s="59" t="n">
        <v>307</v>
      </c>
      <c r="C157" s="59" t="inlineStr">
        <is>
          <t>1</t>
        </is>
      </c>
      <c r="D157" s="59" t="inlineStr">
        <is>
          <t>63502353000100</t>
        </is>
      </c>
      <c r="E157" s="75" t="n">
        <v>46185</v>
      </c>
      <c r="F157" s="75" t="n">
        <v>46185</v>
      </c>
      <c r="G157" s="59" t="inlineStr">
        <is>
          <t>63.502.353 JOAO WYLLAMI NASCIMENTO DOS SANTOS</t>
        </is>
      </c>
      <c r="H157" s="59" t="n">
        <v>1261004</v>
      </c>
      <c r="I157" s="59" t="n">
        <v>1</v>
      </c>
      <c r="J157" s="59" t="inlineStr">
        <is>
          <t>AM</t>
        </is>
      </c>
      <c r="K157" s="126" t="n">
        <v>381</v>
      </c>
    </row>
    <row r="158" ht="15" customHeight="1" s="60">
      <c r="A158" s="59" t="n">
        <v>1</v>
      </c>
      <c r="B158" s="59" t="n">
        <v>14671</v>
      </c>
      <c r="C158" s="59" t="inlineStr">
        <is>
          <t>1</t>
        </is>
      </c>
      <c r="D158" s="59" t="inlineStr">
        <is>
          <t>09531992000158</t>
        </is>
      </c>
      <c r="E158" s="75" t="n">
        <v>46185</v>
      </c>
      <c r="F158" s="75" t="n">
        <v>46185</v>
      </c>
      <c r="G158" s="59" t="inlineStr">
        <is>
          <t>COMERCIO E TRANSPORTE BRANDAO LTDA</t>
        </is>
      </c>
      <c r="H158" s="59" t="n">
        <v>1241271</v>
      </c>
      <c r="I158" s="59" t="n">
        <v>1</v>
      </c>
      <c r="J158" s="59" t="inlineStr">
        <is>
          <t>AM</t>
        </is>
      </c>
      <c r="K158" s="126" t="n">
        <v>840</v>
      </c>
    </row>
    <row r="159" ht="15" customHeight="1" s="60">
      <c r="A159" s="59" t="n">
        <v>1</v>
      </c>
      <c r="B159" s="59" t="n">
        <v>5974</v>
      </c>
      <c r="C159" s="59" t="inlineStr">
        <is>
          <t>2</t>
        </is>
      </c>
      <c r="D159" s="59" t="inlineStr">
        <is>
          <t>08649356000243</t>
        </is>
      </c>
      <c r="E159" s="75" t="n">
        <v>46185</v>
      </c>
      <c r="F159" s="75" t="n">
        <v>46185</v>
      </c>
      <c r="G159" s="59" t="inlineStr">
        <is>
          <t>MANOEL TEXEIRA DE SOUZA RESTAURANTE</t>
        </is>
      </c>
      <c r="H159" s="59" t="n">
        <v>1260938</v>
      </c>
      <c r="I159" s="59" t="n">
        <v>1</v>
      </c>
      <c r="J159" s="59" t="inlineStr">
        <is>
          <t>AM</t>
        </is>
      </c>
      <c r="K159" s="126" t="n">
        <v>420</v>
      </c>
    </row>
    <row r="160" ht="15" customHeight="1" s="60">
      <c r="A160" s="59" t="n">
        <v>1</v>
      </c>
      <c r="B160" s="59" t="n">
        <v>1706</v>
      </c>
      <c r="C160" s="59" t="inlineStr">
        <is>
          <t>1</t>
        </is>
      </c>
      <c r="D160" s="59" t="inlineStr">
        <is>
          <t>36480282000119</t>
        </is>
      </c>
      <c r="E160" s="75" t="n">
        <v>46185</v>
      </c>
      <c r="F160" s="75" t="n">
        <v>46185</v>
      </c>
      <c r="G160" s="59" t="inlineStr">
        <is>
          <t>RENATO DE O AZEVEDO E CIA LTDA - EPP</t>
        </is>
      </c>
      <c r="H160" s="59" t="n">
        <v>1361212</v>
      </c>
      <c r="I160" s="59" t="n">
        <v>2</v>
      </c>
      <c r="J160" s="59" t="inlineStr">
        <is>
          <t>AM</t>
        </is>
      </c>
      <c r="K160" s="126" t="n">
        <v>280</v>
      </c>
    </row>
    <row r="161" ht="15" customHeight="1" s="60">
      <c r="A161" s="59" t="n">
        <v>1</v>
      </c>
      <c r="B161" s="59" t="n">
        <v>5113</v>
      </c>
      <c r="C161" s="59" t="inlineStr">
        <is>
          <t>1</t>
        </is>
      </c>
      <c r="D161" s="59" t="inlineStr">
        <is>
          <t>36480282000119</t>
        </is>
      </c>
      <c r="E161" s="75" t="n">
        <v>46185</v>
      </c>
      <c r="F161" s="75" t="n">
        <v>46185</v>
      </c>
      <c r="G161" s="59" t="inlineStr">
        <is>
          <t>RENATO DE O AZEVEDO E CIA LTDA - EPP</t>
        </is>
      </c>
      <c r="H161" s="59" t="n">
        <v>1241243</v>
      </c>
      <c r="I161" s="59" t="n">
        <v>6</v>
      </c>
      <c r="J161" s="59" t="inlineStr">
        <is>
          <t>AM</t>
        </is>
      </c>
      <c r="K161" s="126" t="n">
        <v>2963</v>
      </c>
    </row>
    <row r="162" ht="15" customHeight="1" s="60">
      <c r="A162" s="59" t="n">
        <v>1</v>
      </c>
      <c r="B162" s="59" t="n">
        <v>5114</v>
      </c>
      <c r="C162" s="59" t="inlineStr">
        <is>
          <t>1</t>
        </is>
      </c>
      <c r="D162" s="59" t="inlineStr">
        <is>
          <t>36480282000119</t>
        </is>
      </c>
      <c r="E162" s="75" t="n">
        <v>46185</v>
      </c>
      <c r="F162" s="75" t="n">
        <v>46185</v>
      </c>
      <c r="G162" s="59" t="inlineStr">
        <is>
          <t>RENATO DE O AZEVEDO E CIA LTDA - EPP</t>
        </is>
      </c>
      <c r="H162" s="59" t="n">
        <v>1241422</v>
      </c>
      <c r="I162" s="59" t="n">
        <v>6</v>
      </c>
      <c r="J162" s="59" t="inlineStr">
        <is>
          <t>AM</t>
        </is>
      </c>
      <c r="K162" s="126" t="n">
        <v>2966</v>
      </c>
    </row>
    <row r="163" ht="15" customHeight="1" s="60">
      <c r="A163" s="59" t="n">
        <v>1</v>
      </c>
      <c r="B163" s="59" t="n">
        <v>12122</v>
      </c>
      <c r="C163" s="59" t="inlineStr">
        <is>
          <t>1</t>
        </is>
      </c>
      <c r="D163" s="59" t="inlineStr">
        <is>
          <t>36480282000119</t>
        </is>
      </c>
      <c r="E163" s="75" t="n">
        <v>46185</v>
      </c>
      <c r="F163" s="75" t="n">
        <v>46185</v>
      </c>
      <c r="G163" s="59" t="inlineStr">
        <is>
          <t>RENATO DE O AZEVEDO E CIA LTDA - EPP</t>
        </is>
      </c>
      <c r="H163" s="59" t="n">
        <v>1241226</v>
      </c>
      <c r="I163" s="59" t="n">
        <v>2</v>
      </c>
      <c r="J163" s="59" t="inlineStr">
        <is>
          <t>AM</t>
        </is>
      </c>
      <c r="K163" s="126" t="n">
        <v>2963</v>
      </c>
    </row>
    <row r="164" ht="15" customHeight="1" s="60">
      <c r="A164" s="59" t="n">
        <v>1</v>
      </c>
      <c r="B164" s="59" t="n">
        <v>12123</v>
      </c>
      <c r="C164" s="59" t="inlineStr">
        <is>
          <t>1</t>
        </is>
      </c>
      <c r="D164" s="59" t="inlineStr">
        <is>
          <t>36480282000119</t>
        </is>
      </c>
      <c r="E164" s="75" t="n">
        <v>46185</v>
      </c>
      <c r="F164" s="75" t="n">
        <v>46185</v>
      </c>
      <c r="G164" s="59" t="inlineStr">
        <is>
          <t>RENATO DE O AZEVEDO E CIA LTDA - EPP</t>
        </is>
      </c>
      <c r="H164" s="59" t="n">
        <v>1241400</v>
      </c>
      <c r="I164" s="59" t="n">
        <v>2</v>
      </c>
      <c r="J164" s="59" t="inlineStr">
        <is>
          <t>AM</t>
        </is>
      </c>
      <c r="K164" s="126" t="n">
        <v>2966</v>
      </c>
    </row>
    <row r="165" ht="15" customHeight="1" s="60">
      <c r="A165" s="59" t="n">
        <v>1</v>
      </c>
      <c r="B165" s="59" t="n">
        <v>495</v>
      </c>
      <c r="C165" s="59" t="inlineStr">
        <is>
          <t>1</t>
        </is>
      </c>
      <c r="D165" s="59" t="inlineStr">
        <is>
          <t>47496330000183</t>
        </is>
      </c>
      <c r="E165" s="75" t="n">
        <v>46186</v>
      </c>
      <c r="F165" s="75" t="n">
        <v>46185</v>
      </c>
      <c r="G165" s="59" t="inlineStr">
        <is>
          <t>ADICSO FABIAN GONZALEZ MONTILLA 70302186</t>
        </is>
      </c>
      <c r="H165" s="59" t="n">
        <v>1243938</v>
      </c>
      <c r="I165" s="59" t="n">
        <v>1</v>
      </c>
      <c r="J165" s="59" t="inlineStr">
        <is>
          <t>AM</t>
        </is>
      </c>
      <c r="K165" s="126" t="n">
        <v>960</v>
      </c>
    </row>
    <row r="166" ht="15" customHeight="1" s="60">
      <c r="A166" s="59" t="n">
        <v>1</v>
      </c>
      <c r="B166" s="59" t="n">
        <v>11250</v>
      </c>
      <c r="C166" s="59" t="inlineStr">
        <is>
          <t>2</t>
        </is>
      </c>
      <c r="D166" s="59" t="inlineStr">
        <is>
          <t>40810324000100</t>
        </is>
      </c>
      <c r="E166" s="75" t="n">
        <v>46186</v>
      </c>
      <c r="F166" s="75" t="n">
        <v>46184</v>
      </c>
      <c r="G166" s="59" t="inlineStr">
        <is>
          <t>C. R. PARENTE ABREU</t>
        </is>
      </c>
      <c r="H166" s="59" t="n">
        <v>1243964</v>
      </c>
      <c r="I166" s="59" t="n">
        <v>1</v>
      </c>
      <c r="J166" s="59" t="inlineStr">
        <is>
          <t>AM</t>
        </is>
      </c>
      <c r="K166" s="126" t="n">
        <v>1132.38</v>
      </c>
    </row>
    <row r="167" ht="15" customHeight="1" s="60">
      <c r="A167" s="59" t="n">
        <v>1</v>
      </c>
      <c r="B167" s="59" t="n">
        <v>276</v>
      </c>
      <c r="C167" s="59" t="inlineStr">
        <is>
          <t>2</t>
        </is>
      </c>
      <c r="D167" s="59" t="inlineStr">
        <is>
          <t>20380110000133</t>
        </is>
      </c>
      <c r="E167" s="75" t="n">
        <v>46186</v>
      </c>
      <c r="F167" s="75" t="n">
        <v>46186</v>
      </c>
      <c r="G167" s="59" t="inlineStr">
        <is>
          <t>GELO DANGELO FABRICACAO DE GELO LTDA</t>
        </is>
      </c>
      <c r="H167" s="59" t="n">
        <v>1261036</v>
      </c>
      <c r="I167" s="59" t="n">
        <v>1</v>
      </c>
      <c r="J167" s="59" t="inlineStr">
        <is>
          <t>AM</t>
        </is>
      </c>
      <c r="K167" s="126" t="n">
        <v>416.5</v>
      </c>
    </row>
    <row r="168" ht="15" customHeight="1" s="60">
      <c r="A168" s="59" t="n">
        <v>1</v>
      </c>
      <c r="B168" s="59" t="n">
        <v>5978</v>
      </c>
      <c r="C168" s="59" t="inlineStr">
        <is>
          <t>2</t>
        </is>
      </c>
      <c r="D168" s="59" t="inlineStr">
        <is>
          <t>08649356000243</t>
        </is>
      </c>
      <c r="E168" s="75" t="n">
        <v>46186</v>
      </c>
      <c r="F168" s="75" t="n">
        <v>46186</v>
      </c>
      <c r="G168" s="59" t="inlineStr">
        <is>
          <t>MANOEL TEXEIRA DE SOUZA RESTAURANTE</t>
        </is>
      </c>
      <c r="H168" s="59" t="n">
        <v>1260984</v>
      </c>
      <c r="I168" s="59" t="n">
        <v>1</v>
      </c>
      <c r="J168" s="59" t="inlineStr">
        <is>
          <t>AM</t>
        </is>
      </c>
      <c r="K168" s="126" t="n">
        <v>360</v>
      </c>
    </row>
    <row r="169" ht="15" customHeight="1" s="60">
      <c r="A169" s="59" t="n">
        <v>1</v>
      </c>
      <c r="B169" s="59" t="n">
        <v>5115</v>
      </c>
      <c r="C169" s="59" t="inlineStr">
        <is>
          <t>1</t>
        </is>
      </c>
      <c r="D169" s="59" t="inlineStr">
        <is>
          <t>36480282000119</t>
        </is>
      </c>
      <c r="E169" s="75" t="n">
        <v>46186</v>
      </c>
      <c r="F169" s="75" t="n">
        <v>46186</v>
      </c>
      <c r="G169" s="59" t="inlineStr">
        <is>
          <t>RENATO DE O AZEVEDO E CIA LTDA - EPP</t>
        </is>
      </c>
      <c r="H169" s="59" t="n">
        <v>1244611</v>
      </c>
      <c r="I169" s="59" t="n">
        <v>6</v>
      </c>
      <c r="J169" s="59" t="inlineStr">
        <is>
          <t>AM</t>
        </is>
      </c>
      <c r="K169" s="126" t="n">
        <v>1100</v>
      </c>
    </row>
    <row r="170" ht="15" customHeight="1" s="60">
      <c r="A170" s="59" t="n">
        <v>1</v>
      </c>
      <c r="B170" s="59" t="n">
        <v>123123</v>
      </c>
      <c r="C170" s="59" t="inlineStr">
        <is>
          <t>1</t>
        </is>
      </c>
      <c r="D170" s="59" t="inlineStr">
        <is>
          <t>36480282000119</t>
        </is>
      </c>
      <c r="E170" s="75" t="n">
        <v>46186</v>
      </c>
      <c r="F170" s="75" t="n">
        <v>46186</v>
      </c>
      <c r="G170" s="59" t="inlineStr">
        <is>
          <t>RENATO DE O AZEVEDO E CIA LTDA - EPP</t>
        </is>
      </c>
      <c r="H170" s="59" t="n">
        <v>1244557</v>
      </c>
      <c r="I170" s="59" t="n">
        <v>2</v>
      </c>
      <c r="J170" s="59" t="inlineStr">
        <is>
          <t>AM</t>
        </is>
      </c>
      <c r="K170" s="126" t="n">
        <v>1100</v>
      </c>
    </row>
    <row r="171" ht="15" customHeight="1" s="60">
      <c r="A171" s="59" t="n">
        <v>1</v>
      </c>
      <c r="B171" s="59" t="n">
        <v>31021</v>
      </c>
      <c r="C171" s="59" t="inlineStr">
        <is>
          <t>1</t>
        </is>
      </c>
      <c r="D171" s="59" t="inlineStr">
        <is>
          <t>30652116000176</t>
        </is>
      </c>
      <c r="E171" s="75" t="n">
        <v>46186</v>
      </c>
      <c r="F171" s="75" t="n">
        <v>46183</v>
      </c>
      <c r="G171" s="59" t="inlineStr">
        <is>
          <t>SILVA E SANTOS FRIGORIFICO LTDA</t>
        </is>
      </c>
      <c r="H171" s="59" t="n">
        <v>1245200</v>
      </c>
      <c r="I171" s="59" t="n">
        <v>1</v>
      </c>
      <c r="J171" s="59" t="inlineStr">
        <is>
          <t>AM</t>
        </is>
      </c>
      <c r="K171" s="126" t="n">
        <v>3715</v>
      </c>
    </row>
    <row r="172" ht="15" customHeight="1" s="60">
      <c r="A172" s="59" t="n">
        <v>1</v>
      </c>
      <c r="B172" s="59" t="n">
        <v>3555</v>
      </c>
      <c r="C172" s="59" t="inlineStr">
        <is>
          <t>3</t>
        </is>
      </c>
      <c r="D172" s="59" t="inlineStr">
        <is>
          <t>37225449000168</t>
        </is>
      </c>
      <c r="E172" s="75" t="n">
        <v>46186</v>
      </c>
      <c r="F172" s="75" t="n">
        <v>46186</v>
      </c>
      <c r="G172" s="59" t="inlineStr">
        <is>
          <t>VOVO DIZA COMERCIO VAREJISTA DE HORTALICAS LTDA</t>
        </is>
      </c>
      <c r="H172" s="59" t="n">
        <v>1261307</v>
      </c>
      <c r="I172" s="59" t="n">
        <v>1</v>
      </c>
      <c r="J172" s="59" t="inlineStr">
        <is>
          <t>AM</t>
        </is>
      </c>
      <c r="K172" s="126" t="n">
        <v>87.5</v>
      </c>
    </row>
    <row r="173" ht="15" customHeight="1" s="60">
      <c r="A173" s="59" t="n">
        <v>1</v>
      </c>
      <c r="B173" s="59" t="n">
        <v>298</v>
      </c>
      <c r="C173" s="59" t="inlineStr">
        <is>
          <t>1</t>
        </is>
      </c>
      <c r="D173" s="59" t="inlineStr">
        <is>
          <t>34787423000115</t>
        </is>
      </c>
      <c r="E173" s="75" t="n">
        <v>46188</v>
      </c>
      <c r="F173" s="75" t="n">
        <v>46185</v>
      </c>
      <c r="G173" s="59" t="inlineStr">
        <is>
          <t>ADRIANO FEITOSA OLIVEIRA LTDA</t>
        </is>
      </c>
      <c r="H173" s="59" t="n">
        <v>1254822</v>
      </c>
      <c r="I173" s="59" t="n">
        <v>1</v>
      </c>
      <c r="J173" s="59" t="inlineStr">
        <is>
          <t>AM</t>
        </is>
      </c>
      <c r="K173" s="126" t="n">
        <v>2660</v>
      </c>
    </row>
    <row r="174" ht="15" customHeight="1" s="60">
      <c r="A174" s="59" t="n">
        <v>1</v>
      </c>
      <c r="B174" s="59" t="n">
        <v>1888443</v>
      </c>
      <c r="C174" s="59" t="inlineStr">
        <is>
          <t>1</t>
        </is>
      </c>
      <c r="D174" s="59" t="inlineStr">
        <is>
          <t>75315333011909</t>
        </is>
      </c>
      <c r="E174" s="75" t="n">
        <v>46188</v>
      </c>
      <c r="F174" s="75" t="n">
        <v>46178</v>
      </c>
      <c r="G174" s="59" t="inlineStr">
        <is>
          <t>ATACADAO S.A.</t>
        </is>
      </c>
      <c r="H174" s="59" t="n">
        <v>1255926</v>
      </c>
      <c r="I174" s="59" t="n">
        <v>1</v>
      </c>
      <c r="J174" s="59" t="inlineStr">
        <is>
          <t>AM</t>
        </is>
      </c>
      <c r="K174" s="126" t="n">
        <v>1599.9</v>
      </c>
    </row>
    <row r="175" ht="15" customHeight="1" s="60">
      <c r="A175" s="59" t="n">
        <v>1</v>
      </c>
      <c r="B175" s="59" t="n">
        <v>1890180</v>
      </c>
      <c r="C175" s="59" t="inlineStr">
        <is>
          <t>1</t>
        </is>
      </c>
      <c r="D175" s="59" t="inlineStr">
        <is>
          <t>75315333011909</t>
        </is>
      </c>
      <c r="E175" s="75" t="n">
        <v>46188</v>
      </c>
      <c r="F175" s="75" t="n">
        <v>46183</v>
      </c>
      <c r="G175" s="59" t="inlineStr">
        <is>
          <t>ATACADAO S.A.</t>
        </is>
      </c>
      <c r="H175" s="59" t="n">
        <v>1255986</v>
      </c>
      <c r="I175" s="59" t="n">
        <v>1</v>
      </c>
      <c r="J175" s="59" t="inlineStr">
        <is>
          <t>AM</t>
        </is>
      </c>
      <c r="K175" s="126" t="n">
        <v>1823.14</v>
      </c>
    </row>
    <row r="176" ht="15" customHeight="1" s="60">
      <c r="A176" s="59" t="n">
        <v>1</v>
      </c>
      <c r="B176" s="59" t="n">
        <v>1890181</v>
      </c>
      <c r="C176" s="59" t="inlineStr">
        <is>
          <t>1</t>
        </is>
      </c>
      <c r="D176" s="59" t="inlineStr">
        <is>
          <t>75315333011909</t>
        </is>
      </c>
      <c r="E176" s="75" t="n">
        <v>46188</v>
      </c>
      <c r="F176" s="75" t="n">
        <v>46183</v>
      </c>
      <c r="G176" s="59" t="inlineStr">
        <is>
          <t>ATACADAO S.A.</t>
        </is>
      </c>
      <c r="H176" s="59" t="n">
        <v>1255915</v>
      </c>
      <c r="I176" s="59" t="n">
        <v>1</v>
      </c>
      <c r="J176" s="59" t="inlineStr">
        <is>
          <t>AM</t>
        </is>
      </c>
      <c r="K176" s="126" t="n">
        <v>1759.06</v>
      </c>
    </row>
    <row r="177" ht="15" customHeight="1" s="60">
      <c r="A177" s="59" t="n">
        <v>1</v>
      </c>
      <c r="B177" s="59" t="n">
        <v>1890669</v>
      </c>
      <c r="C177" s="59" t="inlineStr">
        <is>
          <t>1</t>
        </is>
      </c>
      <c r="D177" s="59" t="inlineStr">
        <is>
          <t>75315333011909</t>
        </is>
      </c>
      <c r="E177" s="75" t="n">
        <v>46188</v>
      </c>
      <c r="F177" s="75" t="n">
        <v>46184</v>
      </c>
      <c r="G177" s="59" t="inlineStr">
        <is>
          <t>ATACADAO S.A.</t>
        </is>
      </c>
      <c r="H177" s="59" t="n">
        <v>1256554</v>
      </c>
      <c r="I177" s="59" t="n">
        <v>1</v>
      </c>
      <c r="J177" s="59" t="inlineStr">
        <is>
          <t>AM</t>
        </is>
      </c>
      <c r="K177" s="126" t="n">
        <v>1837.5</v>
      </c>
    </row>
    <row r="178" ht="15" customHeight="1" s="60">
      <c r="A178" s="59" t="n">
        <v>1</v>
      </c>
      <c r="B178" s="59" t="n">
        <v>1891097</v>
      </c>
      <c r="C178" s="59" t="inlineStr">
        <is>
          <t>1</t>
        </is>
      </c>
      <c r="D178" s="59" t="inlineStr">
        <is>
          <t>75315333011909</t>
        </is>
      </c>
      <c r="E178" s="75" t="n">
        <v>46188</v>
      </c>
      <c r="F178" s="75" t="n">
        <v>46185</v>
      </c>
      <c r="G178" s="59" t="inlineStr">
        <is>
          <t>ATACADAO S.A.</t>
        </is>
      </c>
      <c r="H178" s="59" t="n">
        <v>1256797</v>
      </c>
      <c r="I178" s="59" t="n">
        <v>1</v>
      </c>
      <c r="J178" s="59" t="inlineStr">
        <is>
          <t>AM</t>
        </is>
      </c>
      <c r="K178" s="126" t="n">
        <v>954.39</v>
      </c>
    </row>
    <row r="179" ht="15" customHeight="1" s="60">
      <c r="A179" s="59" t="n">
        <v>1</v>
      </c>
      <c r="B179" s="59" t="n">
        <v>11267</v>
      </c>
      <c r="C179" s="59" t="inlineStr">
        <is>
          <t>2</t>
        </is>
      </c>
      <c r="D179" s="59" t="inlineStr">
        <is>
          <t>40810324000100</t>
        </is>
      </c>
      <c r="E179" s="75" t="n">
        <v>46188</v>
      </c>
      <c r="F179" s="75" t="n">
        <v>46188</v>
      </c>
      <c r="G179" s="59" t="inlineStr">
        <is>
          <t>C. R. PARENTE ABREU</t>
        </is>
      </c>
      <c r="H179" s="59" t="n">
        <v>1255457</v>
      </c>
      <c r="I179" s="59" t="n">
        <v>1</v>
      </c>
      <c r="J179" s="59" t="inlineStr">
        <is>
          <t>AM</t>
        </is>
      </c>
      <c r="K179" s="126" t="n">
        <v>793.92</v>
      </c>
    </row>
    <row r="180" ht="15" customHeight="1" s="60">
      <c r="A180" s="59" t="n">
        <v>1</v>
      </c>
      <c r="B180" s="59" t="n">
        <v>171508</v>
      </c>
      <c r="C180" s="59" t="inlineStr">
        <is>
          <t>1</t>
        </is>
      </c>
      <c r="D180" s="59" t="inlineStr">
        <is>
          <t>10418161000153</t>
        </is>
      </c>
      <c r="E180" s="75" t="n">
        <v>46188</v>
      </c>
      <c r="F180" s="75" t="n">
        <v>46186</v>
      </c>
      <c r="G180" s="59" t="inlineStr">
        <is>
          <t>COMERCIO DE FRIOS MANAUS LTDA</t>
        </is>
      </c>
      <c r="H180" s="59" t="n">
        <v>1257667</v>
      </c>
      <c r="I180" s="59" t="n">
        <v>1</v>
      </c>
      <c r="J180" s="59" t="inlineStr">
        <is>
          <t>AM</t>
        </is>
      </c>
      <c r="K180" s="126" t="n">
        <v>9050.799999999999</v>
      </c>
    </row>
    <row r="181" ht="15" customHeight="1" s="60">
      <c r="A181" s="59" t="n">
        <v>1</v>
      </c>
      <c r="B181" s="59" t="n">
        <v>852034</v>
      </c>
      <c r="C181" s="59" t="inlineStr">
        <is>
          <t>38</t>
        </is>
      </c>
      <c r="D181" s="59" t="inlineStr">
        <is>
          <t>56228356010013</t>
        </is>
      </c>
      <c r="E181" s="75" t="n">
        <v>46188</v>
      </c>
      <c r="F181" s="75" t="n">
        <v>46183</v>
      </c>
      <c r="G181" s="59" t="inlineStr">
        <is>
          <t>CRBS S/A</t>
        </is>
      </c>
      <c r="H181" s="59" t="n">
        <v>1255298</v>
      </c>
      <c r="I181" s="59" t="n">
        <v>1</v>
      </c>
      <c r="J181" s="59" t="inlineStr">
        <is>
          <t>AM</t>
        </is>
      </c>
      <c r="K181" s="126" t="n">
        <v>4127.77</v>
      </c>
    </row>
    <row r="182" ht="15" customHeight="1" s="60">
      <c r="A182" s="59" t="n">
        <v>1</v>
      </c>
      <c r="B182" s="59" t="n">
        <v>854458</v>
      </c>
      <c r="C182" s="59" t="inlineStr">
        <is>
          <t>38</t>
        </is>
      </c>
      <c r="D182" s="59" t="inlineStr">
        <is>
          <t>56228356010013</t>
        </is>
      </c>
      <c r="E182" s="75" t="n">
        <v>46188</v>
      </c>
      <c r="F182" s="75" t="n">
        <v>46184</v>
      </c>
      <c r="G182" s="59" t="inlineStr">
        <is>
          <t>CRBS S/A</t>
        </is>
      </c>
      <c r="H182" s="59" t="n">
        <v>1255420</v>
      </c>
      <c r="I182" s="59" t="n">
        <v>1</v>
      </c>
      <c r="J182" s="59" t="inlineStr">
        <is>
          <t>AM</t>
        </is>
      </c>
      <c r="K182" s="126" t="n">
        <v>1232.67</v>
      </c>
    </row>
    <row r="183" ht="15" customHeight="1" s="60">
      <c r="A183" s="59" t="n">
        <v>1</v>
      </c>
      <c r="B183" s="59" t="n">
        <v>401</v>
      </c>
      <c r="C183" s="59" t="inlineStr">
        <is>
          <t>2</t>
        </is>
      </c>
      <c r="D183" s="59" t="inlineStr">
        <is>
          <t>40233745000115</t>
        </is>
      </c>
      <c r="E183" s="75" t="n">
        <v>46188</v>
      </c>
      <c r="F183" s="75" t="n">
        <v>46188</v>
      </c>
      <c r="G183" s="59" t="inlineStr">
        <is>
          <t>D N COMERCIO ATACADISTA DE EMBALAGENS E</t>
        </is>
      </c>
      <c r="H183" s="59" t="n">
        <v>1261046</v>
      </c>
      <c r="I183" s="59" t="n">
        <v>1</v>
      </c>
      <c r="J183" s="59" t="inlineStr">
        <is>
          <t>AM</t>
        </is>
      </c>
      <c r="K183" s="126" t="n">
        <v>180</v>
      </c>
    </row>
    <row r="184" ht="15" customHeight="1" s="60">
      <c r="A184" s="59" t="n">
        <v>1</v>
      </c>
      <c r="B184" s="59" t="n">
        <v>1672665</v>
      </c>
      <c r="C184" s="59" t="inlineStr">
        <is>
          <t>1</t>
        </is>
      </c>
      <c r="D184" s="59" t="inlineStr">
        <is>
          <t>02796653000154</t>
        </is>
      </c>
      <c r="E184" s="75" t="n">
        <v>46188</v>
      </c>
      <c r="F184" s="75" t="n">
        <v>46185</v>
      </c>
      <c r="G184" s="59" t="inlineStr">
        <is>
          <t>DISTRIBUIDORA LOPES LTDA</t>
        </is>
      </c>
      <c r="H184" s="59" t="n">
        <v>1256599</v>
      </c>
      <c r="I184" s="59" t="n">
        <v>1</v>
      </c>
      <c r="J184" s="59" t="inlineStr">
        <is>
          <t>AM</t>
        </is>
      </c>
      <c r="K184" s="126" t="n">
        <v>1935.14</v>
      </c>
    </row>
    <row r="185" ht="15" customHeight="1" s="60">
      <c r="A185" s="59" t="n">
        <v>1</v>
      </c>
      <c r="B185" s="59" t="n">
        <v>3201285</v>
      </c>
      <c r="C185" s="59" t="inlineStr">
        <is>
          <t>1</t>
        </is>
      </c>
      <c r="D185" s="59" t="inlineStr">
        <is>
          <t>84466424000136</t>
        </is>
      </c>
      <c r="E185" s="75" t="n">
        <v>46188</v>
      </c>
      <c r="F185" s="75" t="n">
        <v>46183</v>
      </c>
      <c r="G185" s="59" t="inlineStr">
        <is>
          <t>DUNORTE DISTRIBUIDORA DE PRODUTOS DE CONSUMO LTDA</t>
        </is>
      </c>
      <c r="H185" s="59" t="n">
        <v>1256327</v>
      </c>
      <c r="I185" s="59" t="n">
        <v>1</v>
      </c>
      <c r="J185" s="59" t="inlineStr">
        <is>
          <t>AM</t>
        </is>
      </c>
      <c r="K185" s="126" t="n">
        <v>538.38</v>
      </c>
    </row>
    <row r="186" ht="15" customHeight="1" s="60">
      <c r="A186" s="59" t="n">
        <v>1</v>
      </c>
      <c r="B186" s="59" t="n">
        <v>1629621</v>
      </c>
      <c r="C186" s="59" t="inlineStr">
        <is>
          <t>890</t>
        </is>
      </c>
      <c r="D186" s="59" t="inlineStr">
        <is>
          <t>02532915340</t>
        </is>
      </c>
      <c r="E186" s="75" t="n">
        <v>46188</v>
      </c>
      <c r="F186" s="75" t="n">
        <v>46183</v>
      </c>
      <c r="G186" s="59" t="inlineStr">
        <is>
          <t>EDSON AGUIAR DE SOUZA</t>
        </is>
      </c>
      <c r="H186" s="59" t="n">
        <v>1255899</v>
      </c>
      <c r="I186" s="59" t="n">
        <v>1</v>
      </c>
      <c r="J186" s="59" t="inlineStr">
        <is>
          <t>AM</t>
        </is>
      </c>
      <c r="K186" s="126" t="n">
        <v>330</v>
      </c>
    </row>
    <row r="187" ht="15" customHeight="1" s="60">
      <c r="A187" s="59" t="n">
        <v>1</v>
      </c>
      <c r="B187" s="59" t="n">
        <v>1629632</v>
      </c>
      <c r="C187" s="59" t="inlineStr">
        <is>
          <t>890</t>
        </is>
      </c>
      <c r="D187" s="59" t="inlineStr">
        <is>
          <t>02532915340</t>
        </is>
      </c>
      <c r="E187" s="75" t="n">
        <v>46188</v>
      </c>
      <c r="F187" s="75" t="n">
        <v>46183</v>
      </c>
      <c r="G187" s="59" t="inlineStr">
        <is>
          <t>EDSON AGUIAR DE SOUZA</t>
        </is>
      </c>
      <c r="H187" s="59" t="n">
        <v>1255919</v>
      </c>
      <c r="I187" s="59" t="n">
        <v>1</v>
      </c>
      <c r="J187" s="59" t="inlineStr">
        <is>
          <t>AM</t>
        </is>
      </c>
      <c r="K187" s="126" t="n">
        <v>90</v>
      </c>
    </row>
    <row r="188" ht="15" customHeight="1" s="60">
      <c r="A188" s="59" t="n">
        <v>1</v>
      </c>
      <c r="B188" s="59" t="n">
        <v>1629645</v>
      </c>
      <c r="C188" s="59" t="inlineStr">
        <is>
          <t>890</t>
        </is>
      </c>
      <c r="D188" s="59" t="inlineStr">
        <is>
          <t>02532915340</t>
        </is>
      </c>
      <c r="E188" s="75" t="n">
        <v>46188</v>
      </c>
      <c r="F188" s="75" t="n">
        <v>46183</v>
      </c>
      <c r="G188" s="59" t="inlineStr">
        <is>
          <t>EDSON AGUIAR DE SOUZA</t>
        </is>
      </c>
      <c r="H188" s="59" t="n">
        <v>1255948</v>
      </c>
      <c r="I188" s="59" t="n">
        <v>1</v>
      </c>
      <c r="J188" s="59" t="inlineStr">
        <is>
          <t>AM</t>
        </is>
      </c>
      <c r="K188" s="126" t="n">
        <v>300</v>
      </c>
    </row>
    <row r="189" ht="15" customHeight="1" s="60">
      <c r="A189" s="59" t="n">
        <v>1</v>
      </c>
      <c r="B189" s="59" t="n">
        <v>1629661</v>
      </c>
      <c r="C189" s="59" t="inlineStr">
        <is>
          <t>890</t>
        </is>
      </c>
      <c r="D189" s="59" t="inlineStr">
        <is>
          <t>02532915340</t>
        </is>
      </c>
      <c r="E189" s="75" t="n">
        <v>46188</v>
      </c>
      <c r="F189" s="75" t="n">
        <v>46183</v>
      </c>
      <c r="G189" s="59" t="inlineStr">
        <is>
          <t>EDSON AGUIAR DE SOUZA</t>
        </is>
      </c>
      <c r="H189" s="59" t="n">
        <v>1256309</v>
      </c>
      <c r="I189" s="59" t="n">
        <v>1</v>
      </c>
      <c r="J189" s="59" t="inlineStr">
        <is>
          <t>AM</t>
        </is>
      </c>
      <c r="K189" s="126" t="n">
        <v>174</v>
      </c>
    </row>
    <row r="190" ht="15" customHeight="1" s="60">
      <c r="A190" s="59" t="n">
        <v>1</v>
      </c>
      <c r="B190" s="59" t="n">
        <v>1629707</v>
      </c>
      <c r="C190" s="59" t="inlineStr">
        <is>
          <t>890</t>
        </is>
      </c>
      <c r="D190" s="59" t="inlineStr">
        <is>
          <t>02532915340</t>
        </is>
      </c>
      <c r="E190" s="75" t="n">
        <v>46188</v>
      </c>
      <c r="F190" s="75" t="n">
        <v>46183</v>
      </c>
      <c r="G190" s="59" t="inlineStr">
        <is>
          <t>EDSON AGUIAR DE SOUZA</t>
        </is>
      </c>
      <c r="H190" s="59" t="n">
        <v>1256329</v>
      </c>
      <c r="I190" s="59" t="n">
        <v>1</v>
      </c>
      <c r="J190" s="59" t="inlineStr">
        <is>
          <t>AM</t>
        </is>
      </c>
      <c r="K190" s="126" t="n">
        <v>180</v>
      </c>
    </row>
    <row r="191" ht="15" customHeight="1" s="60">
      <c r="A191" s="59" t="n">
        <v>1</v>
      </c>
      <c r="B191" s="59" t="n">
        <v>1632012</v>
      </c>
      <c r="C191" s="59" t="inlineStr">
        <is>
          <t>890</t>
        </is>
      </c>
      <c r="D191" s="59" t="inlineStr">
        <is>
          <t>02532915340</t>
        </is>
      </c>
      <c r="E191" s="75" t="n">
        <v>46188</v>
      </c>
      <c r="F191" s="75" t="n">
        <v>46188</v>
      </c>
      <c r="G191" s="59" t="inlineStr">
        <is>
          <t>EDSON AGUIAR DE SOUZA</t>
        </is>
      </c>
      <c r="H191" s="59" t="n">
        <v>1260483</v>
      </c>
      <c r="I191" s="59" t="n">
        <v>1</v>
      </c>
      <c r="J191" s="59" t="inlineStr">
        <is>
          <t>AM</t>
        </is>
      </c>
      <c r="K191" s="126" t="n">
        <v>189</v>
      </c>
    </row>
    <row r="192" ht="15" customHeight="1" s="60">
      <c r="A192" s="59" t="n">
        <v>1</v>
      </c>
      <c r="B192" s="59" t="n">
        <v>1632018</v>
      </c>
      <c r="C192" s="59" t="inlineStr">
        <is>
          <t>890</t>
        </is>
      </c>
      <c r="D192" s="59" t="inlineStr">
        <is>
          <t>02532915340</t>
        </is>
      </c>
      <c r="E192" s="75" t="n">
        <v>46188</v>
      </c>
      <c r="F192" s="75" t="n">
        <v>46188</v>
      </c>
      <c r="G192" s="59" t="inlineStr">
        <is>
          <t>EDSON AGUIAR DE SOUZA</t>
        </is>
      </c>
      <c r="H192" s="59" t="n">
        <v>1260456</v>
      </c>
      <c r="I192" s="59" t="n">
        <v>1</v>
      </c>
      <c r="J192" s="59" t="inlineStr">
        <is>
          <t>AM</t>
        </is>
      </c>
      <c r="K192" s="126" t="n">
        <v>174</v>
      </c>
    </row>
    <row r="193" ht="15" customHeight="1" s="60">
      <c r="A193" s="59" t="n">
        <v>1</v>
      </c>
      <c r="B193" s="59" t="n">
        <v>1632114</v>
      </c>
      <c r="C193" s="59" t="inlineStr">
        <is>
          <t>890</t>
        </is>
      </c>
      <c r="D193" s="59" t="inlineStr">
        <is>
          <t>02532915340</t>
        </is>
      </c>
      <c r="E193" s="75" t="n">
        <v>46188</v>
      </c>
      <c r="F193" s="75" t="n">
        <v>46188</v>
      </c>
      <c r="G193" s="59" t="inlineStr">
        <is>
          <t>EDSON AGUIAR DE SOUZA</t>
        </is>
      </c>
      <c r="H193" s="59" t="n">
        <v>1260370</v>
      </c>
      <c r="I193" s="59" t="n">
        <v>1</v>
      </c>
      <c r="J193" s="59" t="inlineStr">
        <is>
          <t>AM</t>
        </is>
      </c>
      <c r="K193" s="126" t="n">
        <v>270</v>
      </c>
    </row>
    <row r="194" ht="15" customHeight="1" s="60">
      <c r="A194" s="59" t="n">
        <v>1</v>
      </c>
      <c r="B194" s="59" t="n">
        <v>394903</v>
      </c>
      <c r="C194" s="59" t="inlineStr">
        <is>
          <t>1</t>
        </is>
      </c>
      <c r="D194" s="59" t="inlineStr">
        <is>
          <t>06257367000171</t>
        </is>
      </c>
      <c r="E194" s="75" t="n">
        <v>46188</v>
      </c>
      <c r="F194" s="75" t="n">
        <v>46184</v>
      </c>
      <c r="G194" s="59" t="inlineStr">
        <is>
          <t>FENNIX BRASIL DISTRIBUIDORA DE PRODUTOS</t>
        </is>
      </c>
      <c r="H194" s="59" t="n">
        <v>1256543</v>
      </c>
      <c r="I194" s="59" t="n">
        <v>1</v>
      </c>
      <c r="J194" s="59" t="inlineStr">
        <is>
          <t>AM</t>
        </is>
      </c>
      <c r="K194" s="126" t="n">
        <v>579.26</v>
      </c>
    </row>
    <row r="195" ht="15" customHeight="1" s="60">
      <c r="A195" s="59" t="n">
        <v>1</v>
      </c>
      <c r="B195" s="59" t="n">
        <v>280</v>
      </c>
      <c r="C195" s="59" t="inlineStr">
        <is>
          <t>2</t>
        </is>
      </c>
      <c r="D195" s="59" t="inlineStr">
        <is>
          <t>20380110000133</t>
        </is>
      </c>
      <c r="E195" s="75" t="n">
        <v>46188</v>
      </c>
      <c r="F195" s="75" t="n">
        <v>46188</v>
      </c>
      <c r="G195" s="59" t="inlineStr">
        <is>
          <t>GELO DANGELO FABRICACAO DE GELO LTDA</t>
        </is>
      </c>
      <c r="H195" s="59" t="n">
        <v>1260992</v>
      </c>
      <c r="I195" s="59" t="n">
        <v>1</v>
      </c>
      <c r="J195" s="59" t="inlineStr">
        <is>
          <t>AM</t>
        </is>
      </c>
      <c r="K195" s="126" t="n">
        <v>544</v>
      </c>
    </row>
    <row r="196" ht="15" customHeight="1" s="60">
      <c r="A196" s="59" t="n">
        <v>1</v>
      </c>
      <c r="B196" s="59" t="n">
        <v>2521</v>
      </c>
      <c r="C196" s="59" t="inlineStr">
        <is>
          <t>1</t>
        </is>
      </c>
      <c r="D196" s="59" t="inlineStr">
        <is>
          <t>10583405000153</t>
        </is>
      </c>
      <c r="E196" s="75" t="n">
        <v>46188</v>
      </c>
      <c r="F196" s="75" t="n">
        <v>46185</v>
      </c>
      <c r="G196" s="59" t="inlineStr">
        <is>
          <t>J. S. MOREIRA ALVES LTDA</t>
        </is>
      </c>
      <c r="H196" s="59" t="n">
        <v>1255192</v>
      </c>
      <c r="I196" s="59" t="n">
        <v>1</v>
      </c>
      <c r="J196" s="59" t="inlineStr">
        <is>
          <t>AM</t>
        </is>
      </c>
      <c r="K196" s="126" t="n">
        <v>665</v>
      </c>
    </row>
    <row r="197" ht="15" customHeight="1" s="60">
      <c r="A197" s="59" t="n">
        <v>1</v>
      </c>
      <c r="B197" s="59" t="n">
        <v>30919</v>
      </c>
      <c r="C197" s="59" t="inlineStr">
        <is>
          <t>1</t>
        </is>
      </c>
      <c r="D197" s="59" t="inlineStr">
        <is>
          <t>30996759000137</t>
        </is>
      </c>
      <c r="E197" s="75" t="n">
        <v>46188</v>
      </c>
      <c r="F197" s="75" t="n">
        <v>46184</v>
      </c>
      <c r="G197" s="59" t="inlineStr">
        <is>
          <t>LIMA E BARANDA COMERCIO DE PRODUTOS REGI</t>
        </is>
      </c>
      <c r="H197" s="59" t="n">
        <v>1256636</v>
      </c>
      <c r="I197" s="59" t="n">
        <v>1</v>
      </c>
      <c r="J197" s="59" t="inlineStr">
        <is>
          <t>AM</t>
        </is>
      </c>
      <c r="K197" s="126" t="n">
        <v>493.5</v>
      </c>
    </row>
    <row r="198" ht="15" customHeight="1" s="60">
      <c r="A198" s="59" t="n">
        <v>1</v>
      </c>
      <c r="B198" s="59" t="n">
        <v>1366480</v>
      </c>
      <c r="C198" s="59" t="inlineStr">
        <is>
          <t>1</t>
        </is>
      </c>
      <c r="D198" s="59" t="inlineStr">
        <is>
          <t>02887227000207</t>
        </is>
      </c>
      <c r="E198" s="75" t="n">
        <v>46188</v>
      </c>
      <c r="F198" s="75" t="n">
        <v>46182</v>
      </c>
      <c r="G198" s="59" t="inlineStr">
        <is>
          <t>MARE DISTRIBUIDORA DE BEBIDAS E DE PRODU</t>
        </is>
      </c>
      <c r="H198" s="59" t="n">
        <v>1255515</v>
      </c>
      <c r="I198" s="59" t="n">
        <v>1</v>
      </c>
      <c r="J198" s="59" t="inlineStr">
        <is>
          <t>AM</t>
        </is>
      </c>
      <c r="K198" s="126" t="n">
        <v>954</v>
      </c>
    </row>
    <row r="199" ht="15" customHeight="1" s="60">
      <c r="A199" s="59" t="n">
        <v>1</v>
      </c>
      <c r="B199" s="59" t="n">
        <v>1367200</v>
      </c>
      <c r="C199" s="59" t="inlineStr">
        <is>
          <t>1</t>
        </is>
      </c>
      <c r="D199" s="59" t="inlineStr">
        <is>
          <t>02887227000207</t>
        </is>
      </c>
      <c r="E199" s="75" t="n">
        <v>46188</v>
      </c>
      <c r="F199" s="75" t="n">
        <v>46182</v>
      </c>
      <c r="G199" s="59" t="inlineStr">
        <is>
          <t>MARE DISTRIBUIDORA DE BEBIDAS E DE PRODU</t>
        </is>
      </c>
      <c r="H199" s="59" t="n">
        <v>1255563</v>
      </c>
      <c r="I199" s="59" t="n">
        <v>1</v>
      </c>
      <c r="J199" s="59" t="inlineStr">
        <is>
          <t>AM</t>
        </is>
      </c>
      <c r="K199" s="126" t="n">
        <v>2200.3</v>
      </c>
    </row>
    <row r="200" ht="15" customHeight="1" s="60">
      <c r="A200" s="59" t="n">
        <v>1</v>
      </c>
      <c r="B200" s="59" t="n">
        <v>14472</v>
      </c>
      <c r="C200" s="59" t="inlineStr">
        <is>
          <t>1</t>
        </is>
      </c>
      <c r="D200" s="59" t="inlineStr">
        <is>
          <t>03784729000194</t>
        </is>
      </c>
      <c r="E200" s="75" t="n">
        <v>46188</v>
      </c>
      <c r="F200" s="75" t="n">
        <v>46185</v>
      </c>
      <c r="G200" s="59" t="inlineStr">
        <is>
          <t>MAXFRI DISTRIUIDORA LTDA</t>
        </is>
      </c>
      <c r="H200" s="59" t="n">
        <v>1257059</v>
      </c>
      <c r="I200" s="59" t="n">
        <v>1</v>
      </c>
      <c r="J200" s="59" t="inlineStr">
        <is>
          <t>AM</t>
        </is>
      </c>
      <c r="K200" s="126" t="n">
        <v>5744.5</v>
      </c>
    </row>
    <row r="201" ht="15" customHeight="1" s="60">
      <c r="A201" s="59" t="n">
        <v>1</v>
      </c>
      <c r="B201" s="59" t="n">
        <v>727418</v>
      </c>
      <c r="C201" s="59" t="inlineStr">
        <is>
          <t>0</t>
        </is>
      </c>
      <c r="D201" s="59" t="inlineStr">
        <is>
          <t>08038545000107</t>
        </is>
      </c>
      <c r="E201" s="75" t="n">
        <v>46188</v>
      </c>
      <c r="F201" s="75" t="n">
        <v>46183</v>
      </c>
      <c r="G201" s="59" t="inlineStr">
        <is>
          <t>NATUREZA COMERCIO DE DESCARTAVEIS LTDA</t>
        </is>
      </c>
      <c r="H201" s="59" t="n">
        <v>1256293</v>
      </c>
      <c r="I201" s="59" t="n">
        <v>1</v>
      </c>
      <c r="J201" s="59" t="inlineStr">
        <is>
          <t>AM</t>
        </is>
      </c>
      <c r="K201" s="126" t="n">
        <v>2355.19</v>
      </c>
    </row>
    <row r="202" ht="15" customHeight="1" s="60">
      <c r="A202" s="59" t="n">
        <v>1</v>
      </c>
      <c r="B202" s="59" t="n">
        <v>3756</v>
      </c>
      <c r="C202" s="59" t="inlineStr">
        <is>
          <t>1</t>
        </is>
      </c>
      <c r="D202" s="59" t="inlineStr">
        <is>
          <t>14459228000159</t>
        </is>
      </c>
      <c r="E202" s="75" t="n">
        <v>46188</v>
      </c>
      <c r="F202" s="75" t="n">
        <v>46185</v>
      </c>
      <c r="G202" s="59" t="inlineStr">
        <is>
          <t>NOVA FRIOS COMERCIO ATACADISTA DE LATICINIOS LTDA</t>
        </is>
      </c>
      <c r="H202" s="59" t="n">
        <v>1254875</v>
      </c>
      <c r="I202" s="59" t="n">
        <v>1</v>
      </c>
      <c r="J202" s="59" t="inlineStr">
        <is>
          <t>AM</t>
        </is>
      </c>
      <c r="K202" s="126" t="n">
        <v>290</v>
      </c>
    </row>
    <row r="203" ht="15" customHeight="1" s="60">
      <c r="A203" s="59" t="n">
        <v>1</v>
      </c>
      <c r="B203" s="59" t="n">
        <v>38246</v>
      </c>
      <c r="C203" s="59" t="inlineStr">
        <is>
          <t>5</t>
        </is>
      </c>
      <c r="D203" s="59" t="inlineStr">
        <is>
          <t>03439223000148</t>
        </is>
      </c>
      <c r="E203" s="75" t="n">
        <v>46188</v>
      </c>
      <c r="F203" s="75" t="n">
        <v>46185</v>
      </c>
      <c r="G203" s="59" t="inlineStr">
        <is>
          <t>NT INDUSTRIA E COMERCIO DE PANIFICACAO L</t>
        </is>
      </c>
      <c r="H203" s="59" t="n">
        <v>1255467</v>
      </c>
      <c r="I203" s="59" t="n">
        <v>1</v>
      </c>
      <c r="J203" s="59" t="inlineStr">
        <is>
          <t>AM</t>
        </is>
      </c>
      <c r="K203" s="126" t="n">
        <v>5589.49</v>
      </c>
    </row>
    <row r="204" ht="15" customHeight="1" s="60">
      <c r="A204" s="59" t="n">
        <v>1</v>
      </c>
      <c r="B204" s="59" t="n">
        <v>1236075</v>
      </c>
      <c r="C204" s="59" t="inlineStr">
        <is>
          <t>1</t>
        </is>
      </c>
      <c r="D204" s="59" t="inlineStr">
        <is>
          <t>02805138000193</t>
        </is>
      </c>
      <c r="E204" s="75" t="n">
        <v>46188</v>
      </c>
      <c r="F204" s="75" t="n">
        <v>46184</v>
      </c>
      <c r="G204" s="59" t="inlineStr">
        <is>
          <t>OCIDENTAL COMERCIO DE FRIOS LTDA</t>
        </is>
      </c>
      <c r="H204" s="59" t="n">
        <v>1256368</v>
      </c>
      <c r="I204" s="59" t="n">
        <v>1</v>
      </c>
      <c r="J204" s="59" t="inlineStr">
        <is>
          <t>AM</t>
        </is>
      </c>
      <c r="K204" s="126" t="n">
        <v>998.52</v>
      </c>
    </row>
    <row r="205" ht="15" customHeight="1" s="60">
      <c r="A205" s="59" t="n">
        <v>1</v>
      </c>
      <c r="B205" s="59" t="n">
        <v>660</v>
      </c>
      <c r="C205" s="59" t="inlineStr">
        <is>
          <t>2</t>
        </is>
      </c>
      <c r="D205" s="59" t="inlineStr">
        <is>
          <t>35729236000148</t>
        </is>
      </c>
      <c r="E205" s="75" t="n">
        <v>46188</v>
      </c>
      <c r="F205" s="75" t="n">
        <v>46183</v>
      </c>
      <c r="G205" s="59" t="inlineStr">
        <is>
          <t>PANIFICADORA E CONFEITARIA REAL MADRI LTDA</t>
        </is>
      </c>
      <c r="H205" s="59" t="n">
        <v>1254895</v>
      </c>
      <c r="I205" s="59" t="n">
        <v>1</v>
      </c>
      <c r="J205" s="59" t="inlineStr">
        <is>
          <t>AM</t>
        </is>
      </c>
      <c r="K205" s="126" t="n">
        <v>1400</v>
      </c>
    </row>
    <row r="206" ht="15" customHeight="1" s="60">
      <c r="A206" s="59" t="n">
        <v>1</v>
      </c>
      <c r="B206" s="59" t="n">
        <v>663</v>
      </c>
      <c r="C206" s="59" t="inlineStr">
        <is>
          <t>2</t>
        </is>
      </c>
      <c r="D206" s="59" t="inlineStr">
        <is>
          <t>35729236000148</t>
        </is>
      </c>
      <c r="E206" s="75" t="n">
        <v>46188</v>
      </c>
      <c r="F206" s="75" t="n">
        <v>46185</v>
      </c>
      <c r="G206" s="59" t="inlineStr">
        <is>
          <t>PANIFICADORA E CONFEITARIA REAL MADRI LTDA</t>
        </is>
      </c>
      <c r="H206" s="59" t="n">
        <v>1254937</v>
      </c>
      <c r="I206" s="59" t="n">
        <v>1</v>
      </c>
      <c r="J206" s="59" t="inlineStr">
        <is>
          <t>AM</t>
        </is>
      </c>
      <c r="K206" s="126" t="n">
        <v>851.65</v>
      </c>
    </row>
    <row r="207" ht="15" customHeight="1" s="60">
      <c r="A207" s="59" t="n">
        <v>1</v>
      </c>
      <c r="B207" s="59" t="n">
        <v>193354</v>
      </c>
      <c r="C207" s="59" t="inlineStr">
        <is>
          <t>3</t>
        </is>
      </c>
      <c r="D207" s="59" t="inlineStr">
        <is>
          <t>11094287000344</t>
        </is>
      </c>
      <c r="E207" s="75" t="n">
        <v>46188</v>
      </c>
      <c r="F207" s="75" t="n">
        <v>46183</v>
      </c>
      <c r="G207" s="59" t="inlineStr">
        <is>
          <t>PIARARA COMERCIO, IMPORTACAO E EXPORTACAO LTDA</t>
        </is>
      </c>
      <c r="H207" s="59" t="n">
        <v>1256691</v>
      </c>
      <c r="I207" s="59" t="n">
        <v>1</v>
      </c>
      <c r="J207" s="59" t="inlineStr">
        <is>
          <t>AM</t>
        </is>
      </c>
      <c r="K207" s="126" t="n">
        <v>1116.28</v>
      </c>
    </row>
    <row r="208" ht="15" customHeight="1" s="60">
      <c r="A208" s="59" t="n">
        <v>1</v>
      </c>
      <c r="B208" s="59" t="n">
        <v>581434</v>
      </c>
      <c r="C208" s="59" t="inlineStr">
        <is>
          <t>6</t>
        </is>
      </c>
      <c r="D208" s="59" t="inlineStr">
        <is>
          <t>06990011000304</t>
        </is>
      </c>
      <c r="E208" s="75" t="n">
        <v>46188</v>
      </c>
      <c r="F208" s="75" t="n">
        <v>46183</v>
      </c>
      <c r="G208" s="59" t="inlineStr">
        <is>
          <t>REAL BEBIDAS DA AMAZONIA LTDA</t>
        </is>
      </c>
      <c r="H208" s="59" t="n">
        <v>1256431</v>
      </c>
      <c r="I208" s="59" t="n">
        <v>1</v>
      </c>
      <c r="J208" s="59" t="inlineStr">
        <is>
          <t>AM</t>
        </is>
      </c>
      <c r="K208" s="126" t="n">
        <v>829</v>
      </c>
    </row>
    <row r="209" ht="15" customHeight="1" s="60">
      <c r="A209" s="59" t="n">
        <v>1</v>
      </c>
      <c r="B209" s="59" t="n">
        <v>3395</v>
      </c>
      <c r="C209" s="59" t="inlineStr">
        <is>
          <t>1</t>
        </is>
      </c>
      <c r="D209" s="59" t="inlineStr">
        <is>
          <t>10288430000104</t>
        </is>
      </c>
      <c r="E209" s="75" t="n">
        <v>46188</v>
      </c>
      <c r="F209" s="75" t="n">
        <v>46185</v>
      </c>
      <c r="G209" s="59" t="inlineStr">
        <is>
          <t>SAO JOSE COMERCIO DE LATICINIOS E FRIOS</t>
        </is>
      </c>
      <c r="H209" s="59" t="n">
        <v>1255280</v>
      </c>
      <c r="I209" s="59" t="n">
        <v>1</v>
      </c>
      <c r="J209" s="59" t="inlineStr">
        <is>
          <t>AM</t>
        </is>
      </c>
      <c r="K209" s="126" t="n">
        <v>1548.5</v>
      </c>
    </row>
    <row r="210" ht="15" customHeight="1" s="60">
      <c r="A210" s="59" t="n">
        <v>1</v>
      </c>
      <c r="B210" s="59" t="n">
        <v>3396</v>
      </c>
      <c r="C210" s="59" t="inlineStr">
        <is>
          <t>1</t>
        </is>
      </c>
      <c r="D210" s="59" t="inlineStr">
        <is>
          <t>10288430000104</t>
        </is>
      </c>
      <c r="E210" s="75" t="n">
        <v>46188</v>
      </c>
      <c r="F210" s="75" t="n">
        <v>46185</v>
      </c>
      <c r="G210" s="59" t="inlineStr">
        <is>
          <t>SAO JOSE COMERCIO DE LATICINIOS E FRIOS</t>
        </is>
      </c>
      <c r="H210" s="59" t="n">
        <v>1255264</v>
      </c>
      <c r="I210" s="59" t="n">
        <v>3</v>
      </c>
      <c r="J210" s="59" t="inlineStr">
        <is>
          <t>AM</t>
        </is>
      </c>
      <c r="K210" s="126" t="n">
        <v>448.5</v>
      </c>
    </row>
    <row r="211" ht="15" customHeight="1" s="60">
      <c r="A211" s="59" t="n">
        <v>1</v>
      </c>
      <c r="B211" s="59" t="n">
        <v>31049</v>
      </c>
      <c r="C211" s="59" t="inlineStr">
        <is>
          <t>1</t>
        </is>
      </c>
      <c r="D211" s="59" t="inlineStr">
        <is>
          <t>30652116000176</t>
        </is>
      </c>
      <c r="E211" s="75" t="n">
        <v>46188</v>
      </c>
      <c r="F211" s="75" t="n">
        <v>46184</v>
      </c>
      <c r="G211" s="59" t="inlineStr">
        <is>
          <t>SILVA E SANTOS FRIGORIFICO LTDA</t>
        </is>
      </c>
      <c r="H211" s="59" t="n">
        <v>1256963</v>
      </c>
      <c r="I211" s="59" t="n">
        <v>1</v>
      </c>
      <c r="J211" s="59" t="inlineStr">
        <is>
          <t>AM</t>
        </is>
      </c>
      <c r="K211" s="126" t="n">
        <v>3542.5</v>
      </c>
    </row>
    <row r="212" ht="15" customHeight="1" s="60">
      <c r="A212" s="59" t="n">
        <v>1</v>
      </c>
      <c r="B212" s="59" t="n">
        <v>563233</v>
      </c>
      <c r="C212" s="59" t="inlineStr">
        <is>
          <t>13</t>
        </is>
      </c>
      <c r="D212" s="59" t="inlineStr">
        <is>
          <t>33009911007222</t>
        </is>
      </c>
      <c r="E212" s="75" t="n">
        <v>46188</v>
      </c>
      <c r="F212" s="75" t="n">
        <v>46183</v>
      </c>
      <c r="G212" s="59" t="inlineStr">
        <is>
          <t>SOUZA CRUZ LTDA.</t>
        </is>
      </c>
      <c r="H212" s="59" t="n">
        <v>1256489</v>
      </c>
      <c r="I212" s="59" t="n">
        <v>1</v>
      </c>
      <c r="J212" s="59" t="inlineStr">
        <is>
          <t>AM</t>
        </is>
      </c>
      <c r="K212" s="126" t="n">
        <v>10037.14</v>
      </c>
    </row>
    <row r="213" ht="15" customHeight="1" s="60">
      <c r="A213" s="59" t="n">
        <v>1</v>
      </c>
      <c r="B213" s="59" t="n">
        <v>10085</v>
      </c>
      <c r="C213" s="59" t="inlineStr">
        <is>
          <t>2</t>
        </is>
      </c>
      <c r="D213" s="59" t="inlineStr">
        <is>
          <t>36296113000123</t>
        </is>
      </c>
      <c r="E213" s="75" t="n">
        <v>46188</v>
      </c>
      <c r="F213" s="75" t="n">
        <v>46184</v>
      </c>
      <c r="G213" s="59" t="inlineStr">
        <is>
          <t>VITAPAN COMERCIO VAREJISTA DE PRODUTOS ALIMENTICIOS LTDA</t>
        </is>
      </c>
      <c r="H213" s="59" t="n">
        <v>1255236</v>
      </c>
      <c r="I213" s="59" t="n">
        <v>1</v>
      </c>
      <c r="J213" s="59" t="inlineStr">
        <is>
          <t>AM</t>
        </is>
      </c>
      <c r="K213" s="126" t="n">
        <v>1458</v>
      </c>
    </row>
    <row r="214" ht="15" customHeight="1" s="60">
      <c r="A214" s="59" t="n">
        <v>1</v>
      </c>
      <c r="B214" s="59" t="n">
        <v>2720</v>
      </c>
      <c r="C214" s="59" t="inlineStr">
        <is>
          <t>1</t>
        </is>
      </c>
      <c r="D214" s="59" t="inlineStr">
        <is>
          <t>19606588000150</t>
        </is>
      </c>
      <c r="E214" s="75" t="n">
        <v>46189</v>
      </c>
      <c r="F214" s="75" t="n">
        <v>46188</v>
      </c>
      <c r="G214" s="59" t="inlineStr">
        <is>
          <t>A K LIMA DE ANDRADE</t>
        </is>
      </c>
      <c r="H214" s="59" t="n">
        <v>1261480</v>
      </c>
      <c r="I214" s="59" t="n">
        <v>1</v>
      </c>
      <c r="J214" s="59" t="inlineStr">
        <is>
          <t>AM</t>
        </is>
      </c>
      <c r="K214" s="126" t="n">
        <v>434.5</v>
      </c>
    </row>
    <row r="215" ht="15" customHeight="1" s="60">
      <c r="A215" s="59" t="n">
        <v>1</v>
      </c>
      <c r="B215" s="59" t="n">
        <v>500</v>
      </c>
      <c r="C215" s="59" t="inlineStr">
        <is>
          <t>1</t>
        </is>
      </c>
      <c r="D215" s="59" t="inlineStr">
        <is>
          <t>47496330000183</t>
        </is>
      </c>
      <c r="E215" s="75" t="n">
        <v>46189</v>
      </c>
      <c r="F215" s="75" t="n">
        <v>46188</v>
      </c>
      <c r="G215" s="59" t="inlineStr">
        <is>
          <t>ADICSO FABIAN GONZALEZ MONTILLA 70302186</t>
        </is>
      </c>
      <c r="H215" s="59" t="n">
        <v>1261737</v>
      </c>
      <c r="I215" s="59" t="n">
        <v>1</v>
      </c>
      <c r="J215" s="59" t="inlineStr">
        <is>
          <t>AM</t>
        </is>
      </c>
      <c r="K215" s="126" t="n">
        <v>540</v>
      </c>
    </row>
    <row r="216" ht="15" customHeight="1" s="60">
      <c r="A216" s="59" t="n">
        <v>1</v>
      </c>
      <c r="B216" s="59" t="n">
        <v>878848</v>
      </c>
      <c r="C216" s="59" t="inlineStr">
        <is>
          <t>1</t>
        </is>
      </c>
      <c r="D216" s="59" t="inlineStr">
        <is>
          <t>04724476000126</t>
        </is>
      </c>
      <c r="E216" s="75" t="n">
        <v>46189</v>
      </c>
      <c r="F216" s="75" t="n">
        <v>46188</v>
      </c>
      <c r="G216" s="59" t="inlineStr">
        <is>
          <t>ADRIANA DISTRIBUIDORA DE PRODUTOS ALIMEN</t>
        </is>
      </c>
      <c r="H216" s="59" t="n">
        <v>1262158</v>
      </c>
      <c r="I216" s="59" t="n">
        <v>1</v>
      </c>
      <c r="J216" s="59" t="inlineStr">
        <is>
          <t>AM</t>
        </is>
      </c>
      <c r="K216" s="126" t="n">
        <v>4208.65</v>
      </c>
    </row>
    <row r="217" ht="15" customHeight="1" s="60">
      <c r="A217" s="59" t="n">
        <v>1</v>
      </c>
      <c r="B217" s="59" t="n">
        <v>160841</v>
      </c>
      <c r="C217" s="59" t="inlineStr">
        <is>
          <t>1</t>
        </is>
      </c>
      <c r="D217" s="59" t="inlineStr">
        <is>
          <t>03673826000100</t>
        </is>
      </c>
      <c r="E217" s="75" t="n">
        <v>46189</v>
      </c>
      <c r="F217" s="75" t="n">
        <v>46185</v>
      </c>
      <c r="G217" s="59" t="inlineStr">
        <is>
          <t>AGM COMERCIO E DISTRIBUIDORA DE MATERIAS DE PERFUMARIA E LIMPEZA LTDA</t>
        </is>
      </c>
      <c r="H217" s="59" t="n">
        <v>1262147</v>
      </c>
      <c r="I217" s="59" t="n">
        <v>1</v>
      </c>
      <c r="J217" s="59" t="inlineStr">
        <is>
          <t>AM</t>
        </is>
      </c>
      <c r="K217" s="126" t="n">
        <v>465.5</v>
      </c>
    </row>
    <row r="218" ht="15" customHeight="1" s="60">
      <c r="A218" s="59" t="n">
        <v>1</v>
      </c>
      <c r="B218" s="59" t="n">
        <v>77381</v>
      </c>
      <c r="C218" s="59" t="inlineStr">
        <is>
          <t>1</t>
        </is>
      </c>
      <c r="D218" s="59" t="inlineStr">
        <is>
          <t>27360554000156</t>
        </is>
      </c>
      <c r="E218" s="75" t="n">
        <v>46189</v>
      </c>
      <c r="F218" s="75" t="n">
        <v>46185</v>
      </c>
      <c r="G218" s="59" t="inlineStr">
        <is>
          <t>AMERICANA DISTRIBUIDORA DE BEBIDAS E MERCADORIAS LTDA</t>
        </is>
      </c>
      <c r="H218" s="59" t="n">
        <v>1261009</v>
      </c>
      <c r="I218" s="59" t="n">
        <v>1</v>
      </c>
      <c r="J218" s="59" t="inlineStr">
        <is>
          <t>AM</t>
        </is>
      </c>
      <c r="K218" s="126" t="n">
        <v>2275.2</v>
      </c>
    </row>
    <row r="219" ht="15" customHeight="1" s="60">
      <c r="A219" s="59" t="n">
        <v>1</v>
      </c>
      <c r="B219" s="59" t="n">
        <v>20900</v>
      </c>
      <c r="C219" s="59" t="inlineStr">
        <is>
          <t>1</t>
        </is>
      </c>
      <c r="D219" s="59" t="inlineStr">
        <is>
          <t>28686395000147</t>
        </is>
      </c>
      <c r="E219" s="75" t="n">
        <v>46189</v>
      </c>
      <c r="F219" s="75" t="n">
        <v>46189</v>
      </c>
      <c r="G219" s="59" t="inlineStr">
        <is>
          <t>BF COMERCIO DE ALIMENTOS REPRESENTACAO L</t>
        </is>
      </c>
      <c r="H219" s="59" t="n">
        <v>1261759</v>
      </c>
      <c r="I219" s="59" t="n">
        <v>1</v>
      </c>
      <c r="J219" s="59" t="inlineStr">
        <is>
          <t>AM</t>
        </is>
      </c>
      <c r="K219" s="126" t="n">
        <v>2301.99</v>
      </c>
    </row>
    <row r="220" ht="15" customHeight="1" s="60">
      <c r="A220" s="59" t="n">
        <v>1</v>
      </c>
      <c r="B220" s="59" t="n">
        <v>1595987</v>
      </c>
      <c r="C220" s="59" t="inlineStr">
        <is>
          <t>1</t>
        </is>
      </c>
      <c r="D220" s="59" t="inlineStr">
        <is>
          <t>01838723026193</t>
        </is>
      </c>
      <c r="E220" s="75" t="n">
        <v>46189</v>
      </c>
      <c r="F220" s="75" t="n">
        <v>46185</v>
      </c>
      <c r="G220" s="59" t="inlineStr">
        <is>
          <t>BRF S A</t>
        </is>
      </c>
      <c r="H220" s="59" t="n">
        <v>1260864</v>
      </c>
      <c r="I220" s="59" t="n">
        <v>1</v>
      </c>
      <c r="J220" s="59" t="inlineStr">
        <is>
          <t>AM</t>
        </is>
      </c>
      <c r="K220" s="126" t="n">
        <v>11884.12</v>
      </c>
    </row>
    <row r="221" ht="15" customHeight="1" s="60">
      <c r="A221" s="59" t="n">
        <v>1</v>
      </c>
      <c r="B221" s="59" t="n">
        <v>171572</v>
      </c>
      <c r="C221" s="59" t="inlineStr">
        <is>
          <t>1</t>
        </is>
      </c>
      <c r="D221" s="59" t="inlineStr">
        <is>
          <t>10418161000153</t>
        </is>
      </c>
      <c r="E221" s="75" t="n">
        <v>46189</v>
      </c>
      <c r="F221" s="75" t="n">
        <v>46188</v>
      </c>
      <c r="G221" s="59" t="inlineStr">
        <is>
          <t>COMERCIO DE FRIOS MANAUS LTDA</t>
        </is>
      </c>
      <c r="H221" s="59" t="n">
        <v>1261851</v>
      </c>
      <c r="I221" s="59" t="n">
        <v>1</v>
      </c>
      <c r="J221" s="59" t="inlineStr">
        <is>
          <t>AM</t>
        </is>
      </c>
      <c r="K221" s="126" t="n">
        <v>5792</v>
      </c>
    </row>
    <row r="222" ht="15" customHeight="1" s="60">
      <c r="A222" s="59" t="n">
        <v>1</v>
      </c>
      <c r="B222" s="59" t="n">
        <v>171594</v>
      </c>
      <c r="C222" s="59" t="inlineStr">
        <is>
          <t>1</t>
        </is>
      </c>
      <c r="D222" s="59" t="inlineStr">
        <is>
          <t>10418161000153</t>
        </is>
      </c>
      <c r="E222" s="75" t="n">
        <v>46189</v>
      </c>
      <c r="F222" s="75" t="n">
        <v>46189</v>
      </c>
      <c r="G222" s="59" t="inlineStr">
        <is>
          <t>COMERCIO DE FRIOS MANAUS LTDA</t>
        </is>
      </c>
      <c r="H222" s="59" t="n">
        <v>1261946</v>
      </c>
      <c r="I222" s="59" t="n">
        <v>1</v>
      </c>
      <c r="J222" s="59" t="inlineStr">
        <is>
          <t>AM</t>
        </is>
      </c>
      <c r="K222" s="126" t="n">
        <v>5975.8</v>
      </c>
    </row>
    <row r="223" ht="15" customHeight="1" s="60">
      <c r="A223" s="59" t="n">
        <v>1</v>
      </c>
      <c r="B223" s="59" t="n">
        <v>14692</v>
      </c>
      <c r="C223" s="59" t="inlineStr">
        <is>
          <t>1</t>
        </is>
      </c>
      <c r="D223" s="59" t="inlineStr">
        <is>
          <t>09531992000158</t>
        </is>
      </c>
      <c r="E223" s="75" t="n">
        <v>46189</v>
      </c>
      <c r="F223" s="75" t="n">
        <v>46189</v>
      </c>
      <c r="G223" s="59" t="inlineStr">
        <is>
          <t>COMERCIO E TRANSPORTE BRANDAO LTDA</t>
        </is>
      </c>
      <c r="H223" s="59" t="n">
        <v>1261482</v>
      </c>
      <c r="I223" s="59" t="n">
        <v>1</v>
      </c>
      <c r="J223" s="59" t="inlineStr">
        <is>
          <t>AM</t>
        </is>
      </c>
      <c r="K223" s="126" t="n">
        <v>880</v>
      </c>
    </row>
    <row r="224" ht="15" customHeight="1" s="60">
      <c r="A224" s="59" t="n">
        <v>1</v>
      </c>
      <c r="B224" s="59" t="n">
        <v>8075</v>
      </c>
      <c r="C224" s="59" t="inlineStr">
        <is>
          <t>1</t>
        </is>
      </c>
      <c r="D224" s="59" t="inlineStr">
        <is>
          <t>44302603000113</t>
        </is>
      </c>
      <c r="E224" s="75" t="n">
        <v>46189</v>
      </c>
      <c r="F224" s="75" t="n">
        <v>46184</v>
      </c>
      <c r="G224" s="59" t="inlineStr">
        <is>
          <t>EDMARA COMERCIO DE HIGIENE PESSOAL LTDA</t>
        </is>
      </c>
      <c r="H224" s="59" t="n">
        <v>1261641</v>
      </c>
      <c r="I224" s="59" t="n">
        <v>1</v>
      </c>
      <c r="J224" s="59" t="inlineStr">
        <is>
          <t>AM</t>
        </is>
      </c>
      <c r="K224" s="126" t="n">
        <v>2019.09</v>
      </c>
    </row>
    <row r="225" ht="15" customHeight="1" s="60">
      <c r="A225" s="59" t="n">
        <v>1</v>
      </c>
      <c r="B225" s="59" t="n">
        <v>387396</v>
      </c>
      <c r="C225" s="59" t="inlineStr">
        <is>
          <t>1</t>
        </is>
      </c>
      <c r="D225" s="59" t="inlineStr">
        <is>
          <t>14141553000179</t>
        </is>
      </c>
      <c r="E225" s="75" t="n">
        <v>46189</v>
      </c>
      <c r="F225" s="75" t="n">
        <v>46188</v>
      </c>
      <c r="G225" s="59" t="inlineStr">
        <is>
          <t>J G COMERCIO DE PRODUTOS ALIMENTICIOS LTDA</t>
        </is>
      </c>
      <c r="H225" s="59" t="n">
        <v>1262226</v>
      </c>
      <c r="I225" s="59" t="n">
        <v>1</v>
      </c>
      <c r="J225" s="59" t="inlineStr">
        <is>
          <t>AM</t>
        </is>
      </c>
      <c r="K225" s="126" t="n">
        <v>3323.25</v>
      </c>
    </row>
    <row r="226" ht="15" customHeight="1" s="60">
      <c r="A226" s="59" t="n">
        <v>1</v>
      </c>
      <c r="B226" s="59" t="n">
        <v>1231</v>
      </c>
      <c r="C226" s="59" t="inlineStr">
        <is>
          <t>1</t>
        </is>
      </c>
      <c r="D226" s="59" t="inlineStr">
        <is>
          <t>36480282000119</t>
        </is>
      </c>
      <c r="E226" s="75" t="n">
        <v>46189</v>
      </c>
      <c r="F226" s="75" t="n">
        <v>46189</v>
      </c>
      <c r="G226" s="59" t="inlineStr">
        <is>
          <t>RENATO DE O AZEVEDO E CIA LTDA - EPP</t>
        </is>
      </c>
      <c r="H226" s="59" t="n">
        <v>1262418</v>
      </c>
      <c r="I226" s="59" t="n">
        <v>2</v>
      </c>
      <c r="J226" s="59" t="inlineStr">
        <is>
          <t>AM</t>
        </is>
      </c>
      <c r="K226" s="126" t="n">
        <v>1800</v>
      </c>
    </row>
    <row r="227" ht="15" customHeight="1" s="60">
      <c r="A227" s="59" t="n">
        <v>1</v>
      </c>
      <c r="B227" s="59" t="n">
        <v>5132</v>
      </c>
      <c r="C227" s="59" t="inlineStr">
        <is>
          <t>1</t>
        </is>
      </c>
      <c r="D227" s="59" t="inlineStr">
        <is>
          <t>36480282000119</t>
        </is>
      </c>
      <c r="E227" s="75" t="n">
        <v>46189</v>
      </c>
      <c r="F227" s="75" t="n">
        <v>46189</v>
      </c>
      <c r="G227" s="59" t="inlineStr">
        <is>
          <t>RENATO DE O AZEVEDO E CIA LTDA - EPP</t>
        </is>
      </c>
      <c r="H227" s="59" t="n">
        <v>1260608</v>
      </c>
      <c r="I227" s="59" t="n">
        <v>6</v>
      </c>
      <c r="J227" s="59" t="inlineStr">
        <is>
          <t>AM</t>
        </is>
      </c>
      <c r="K227" s="126" t="n">
        <v>600</v>
      </c>
    </row>
    <row r="228" ht="15" customHeight="1" s="60">
      <c r="A228" s="59" t="n">
        <v>1</v>
      </c>
      <c r="B228" s="59" t="n">
        <v>5133</v>
      </c>
      <c r="C228" s="59" t="inlineStr">
        <is>
          <t>1</t>
        </is>
      </c>
      <c r="D228" s="59" t="inlineStr">
        <is>
          <t>36480282000119</t>
        </is>
      </c>
      <c r="E228" s="75" t="n">
        <v>46189</v>
      </c>
      <c r="F228" s="75" t="n">
        <v>46189</v>
      </c>
      <c r="G228" s="59" t="inlineStr">
        <is>
          <t>RENATO DE O AZEVEDO E CIA LTDA - EPP</t>
        </is>
      </c>
      <c r="H228" s="59" t="n">
        <v>1261388</v>
      </c>
      <c r="I228" s="59" t="n">
        <v>6</v>
      </c>
      <c r="J228" s="59" t="inlineStr">
        <is>
          <t>AM</t>
        </is>
      </c>
      <c r="K228" s="126" t="n">
        <v>1446</v>
      </c>
    </row>
    <row r="229" ht="15" customHeight="1" s="60">
      <c r="A229" s="59" t="n">
        <v>1</v>
      </c>
      <c r="B229" s="59" t="n">
        <v>5134</v>
      </c>
      <c r="C229" s="59" t="inlineStr">
        <is>
          <t>1</t>
        </is>
      </c>
      <c r="D229" s="59" t="inlineStr">
        <is>
          <t>36480282000119</t>
        </is>
      </c>
      <c r="E229" s="75" t="n">
        <v>46189</v>
      </c>
      <c r="F229" s="75" t="n">
        <v>46189</v>
      </c>
      <c r="G229" s="59" t="inlineStr">
        <is>
          <t>RENATO DE O AZEVEDO E CIA LTDA - EPP</t>
        </is>
      </c>
      <c r="H229" s="59" t="n">
        <v>1261694</v>
      </c>
      <c r="I229" s="59" t="n">
        <v>6</v>
      </c>
      <c r="J229" s="59" t="inlineStr">
        <is>
          <t>AM</t>
        </is>
      </c>
      <c r="K229" s="126" t="n">
        <v>3238.73</v>
      </c>
    </row>
    <row r="230" ht="15" customHeight="1" s="60">
      <c r="A230" s="59" t="n">
        <v>1</v>
      </c>
      <c r="B230" s="59" t="n">
        <v>5143</v>
      </c>
      <c r="C230" s="59" t="inlineStr">
        <is>
          <t>1</t>
        </is>
      </c>
      <c r="D230" s="59" t="inlineStr">
        <is>
          <t>36480282000119</t>
        </is>
      </c>
      <c r="E230" s="75" t="n">
        <v>46189</v>
      </c>
      <c r="F230" s="75" t="n">
        <v>46189</v>
      </c>
      <c r="G230" s="59" t="inlineStr">
        <is>
          <t>RENATO DE O AZEVEDO E CIA LTDA - EPP</t>
        </is>
      </c>
      <c r="H230" s="59" t="n">
        <v>1262590</v>
      </c>
      <c r="I230" s="59" t="n">
        <v>6</v>
      </c>
      <c r="J230" s="59" t="inlineStr">
        <is>
          <t>AM</t>
        </is>
      </c>
      <c r="K230" s="126" t="n">
        <v>1800</v>
      </c>
    </row>
    <row r="231" ht="15" customHeight="1" s="60">
      <c r="A231" s="59" t="n">
        <v>1</v>
      </c>
      <c r="B231" s="59" t="n">
        <v>111222</v>
      </c>
      <c r="C231" s="59" t="inlineStr">
        <is>
          <t>1</t>
        </is>
      </c>
      <c r="D231" s="59" t="inlineStr">
        <is>
          <t>36480282000119</t>
        </is>
      </c>
      <c r="E231" s="75" t="n">
        <v>46189</v>
      </c>
      <c r="F231" s="75" t="n">
        <v>46189</v>
      </c>
      <c r="G231" s="59" t="inlineStr">
        <is>
          <t>RENATO DE O AZEVEDO E CIA LTDA - EPP</t>
        </is>
      </c>
      <c r="H231" s="59" t="n">
        <v>1260580</v>
      </c>
      <c r="I231" s="59" t="n">
        <v>2</v>
      </c>
      <c r="J231" s="59" t="inlineStr">
        <is>
          <t>AM</t>
        </is>
      </c>
      <c r="K231" s="126" t="n">
        <v>600</v>
      </c>
    </row>
    <row r="232" ht="15" customHeight="1" s="60">
      <c r="A232" s="59" t="n">
        <v>1</v>
      </c>
      <c r="B232" s="59" t="n">
        <v>121212</v>
      </c>
      <c r="C232" s="59" t="inlineStr">
        <is>
          <t>1</t>
        </is>
      </c>
      <c r="D232" s="59" t="inlineStr">
        <is>
          <t>36480282000119</t>
        </is>
      </c>
      <c r="E232" s="75" t="n">
        <v>46189</v>
      </c>
      <c r="F232" s="75" t="n">
        <v>46189</v>
      </c>
      <c r="G232" s="59" t="inlineStr">
        <is>
          <t>RENATO DE O AZEVEDO E CIA LTDA - EPP</t>
        </is>
      </c>
      <c r="H232" s="59" t="n">
        <v>1261373</v>
      </c>
      <c r="I232" s="59" t="n">
        <v>2</v>
      </c>
      <c r="J232" s="59" t="inlineStr">
        <is>
          <t>AM</t>
        </is>
      </c>
      <c r="K232" s="126" t="n">
        <v>1446</v>
      </c>
    </row>
    <row r="233" ht="15" customHeight="1" s="60">
      <c r="A233" s="59" t="n">
        <v>1</v>
      </c>
      <c r="B233" s="59" t="n">
        <v>121312</v>
      </c>
      <c r="C233" s="59" t="inlineStr">
        <is>
          <t>1</t>
        </is>
      </c>
      <c r="D233" s="59" t="inlineStr">
        <is>
          <t>36480282000119</t>
        </is>
      </c>
      <c r="E233" s="75" t="n">
        <v>46189</v>
      </c>
      <c r="F233" s="75" t="n">
        <v>46189</v>
      </c>
      <c r="G233" s="59" t="inlineStr">
        <is>
          <t>RENATO DE O AZEVEDO E CIA LTDA - EPP</t>
        </is>
      </c>
      <c r="H233" s="59" t="n">
        <v>1261668</v>
      </c>
      <c r="I233" s="59" t="n">
        <v>2</v>
      </c>
      <c r="J233" s="59" t="inlineStr">
        <is>
          <t>AM</t>
        </is>
      </c>
      <c r="K233" s="126" t="n">
        <v>3238.73</v>
      </c>
    </row>
    <row r="234" ht="15" customHeight="1" s="60">
      <c r="A234" s="59" t="n">
        <v>1</v>
      </c>
      <c r="B234" s="59" t="n">
        <v>1957890</v>
      </c>
      <c r="C234" s="59" t="inlineStr">
        <is>
          <t>1</t>
        </is>
      </c>
      <c r="D234" s="59" t="inlineStr">
        <is>
          <t>04429478000192</t>
        </is>
      </c>
      <c r="E234" s="75" t="n">
        <v>46189</v>
      </c>
      <c r="F234" s="75" t="n">
        <v>46184</v>
      </c>
      <c r="G234" s="59" t="inlineStr">
        <is>
          <t>SB COMERCIO LTDA</t>
        </is>
      </c>
      <c r="H234" s="59" t="n">
        <v>1261364</v>
      </c>
      <c r="I234" s="59" t="n">
        <v>1</v>
      </c>
      <c r="J234" s="59" t="inlineStr">
        <is>
          <t>AM</t>
        </is>
      </c>
      <c r="K234" s="126" t="n">
        <v>19688.91</v>
      </c>
    </row>
    <row r="235" ht="15" customHeight="1" s="60">
      <c r="A235" s="59" t="n">
        <v>1</v>
      </c>
      <c r="B235" s="59" t="n">
        <v>574740</v>
      </c>
      <c r="C235" s="59" t="inlineStr">
        <is>
          <t>1</t>
        </is>
      </c>
      <c r="D235" s="59" t="inlineStr">
        <is>
          <t>05498763000128</t>
        </is>
      </c>
      <c r="E235" s="75" t="n">
        <v>46189</v>
      </c>
      <c r="F235" s="75" t="n">
        <v>46182</v>
      </c>
      <c r="G235" s="59" t="inlineStr">
        <is>
          <t>TAPAJOS COM DE PERFUMARIA COSMETICOS E G</t>
        </is>
      </c>
      <c r="H235" s="59" t="n">
        <v>1260807</v>
      </c>
      <c r="I235" s="59" t="n">
        <v>1</v>
      </c>
      <c r="J235" s="59" t="inlineStr">
        <is>
          <t>AM</t>
        </is>
      </c>
      <c r="K235" s="126" t="n">
        <v>372.96</v>
      </c>
    </row>
    <row r="236" ht="15" customHeight="1" s="60">
      <c r="A236" s="59" t="n">
        <v>1</v>
      </c>
      <c r="B236" s="59" t="n">
        <v>58</v>
      </c>
      <c r="C236" s="59" t="inlineStr">
        <is>
          <t>1</t>
        </is>
      </c>
      <c r="D236" s="59" t="inlineStr">
        <is>
          <t>64225624000190</t>
        </is>
      </c>
      <c r="E236" s="75" t="n">
        <v>46190</v>
      </c>
      <c r="F236" s="75" t="n">
        <v>46190</v>
      </c>
      <c r="G236" s="59" t="inlineStr">
        <is>
          <t>64.225.624 ROBERTO REIS AROUCHE</t>
        </is>
      </c>
      <c r="H236" s="59" t="n">
        <v>1266127</v>
      </c>
      <c r="I236" s="59" t="n">
        <v>1</v>
      </c>
      <c r="J236" s="59" t="inlineStr">
        <is>
          <t>AM</t>
        </is>
      </c>
      <c r="K236" s="126" t="n">
        <v>144</v>
      </c>
    </row>
    <row r="237" ht="15" customHeight="1" s="60">
      <c r="A237" s="59" t="n">
        <v>1</v>
      </c>
      <c r="B237" s="59" t="n">
        <v>1027236</v>
      </c>
      <c r="C237" s="59" t="inlineStr">
        <is>
          <t>1</t>
        </is>
      </c>
      <c r="D237" s="59" t="inlineStr">
        <is>
          <t>34579060000122</t>
        </is>
      </c>
      <c r="E237" s="75" t="n">
        <v>46190</v>
      </c>
      <c r="F237" s="75" t="n">
        <v>46188</v>
      </c>
      <c r="G237" s="59" t="inlineStr">
        <is>
          <t>BROTHERS  INDUSTRIA DE ALIMENTOS LTDA</t>
        </is>
      </c>
      <c r="H237" s="59" t="n">
        <v>1266376</v>
      </c>
      <c r="I237" s="59" t="n">
        <v>1</v>
      </c>
      <c r="J237" s="59" t="inlineStr">
        <is>
          <t>AM</t>
        </is>
      </c>
      <c r="K237" s="126" t="n">
        <v>516.15</v>
      </c>
    </row>
    <row r="238" ht="15" customHeight="1" s="60">
      <c r="A238" s="59" t="n">
        <v>1</v>
      </c>
      <c r="B238" s="59" t="n">
        <v>674269</v>
      </c>
      <c r="C238" s="59" t="inlineStr">
        <is>
          <t>1</t>
        </is>
      </c>
      <c r="D238" s="59" t="inlineStr">
        <is>
          <t>84520444000148</t>
        </is>
      </c>
      <c r="E238" s="75" t="n">
        <v>46190</v>
      </c>
      <c r="F238" s="75" t="n">
        <v>46189</v>
      </c>
      <c r="G238" s="59" t="inlineStr">
        <is>
          <t>DISTRIBUIDORA FARIAS LTDA.</t>
        </is>
      </c>
      <c r="H238" s="59" t="n">
        <v>1265272</v>
      </c>
      <c r="I238" s="59" t="n">
        <v>1</v>
      </c>
      <c r="J238" s="59" t="inlineStr">
        <is>
          <t>AM</t>
        </is>
      </c>
      <c r="K238" s="126" t="n">
        <v>555.9299999999999</v>
      </c>
    </row>
    <row r="239" ht="15" customHeight="1" s="60">
      <c r="A239" s="59" t="n">
        <v>1</v>
      </c>
      <c r="B239" s="59" t="n">
        <v>646127</v>
      </c>
      <c r="C239" s="59" t="inlineStr">
        <is>
          <t>1</t>
        </is>
      </c>
      <c r="D239" s="59" t="inlineStr">
        <is>
          <t>84511351000157</t>
        </is>
      </c>
      <c r="E239" s="75" t="n">
        <v>46190</v>
      </c>
      <c r="F239" s="75" t="n">
        <v>46188</v>
      </c>
      <c r="G239" s="59" t="inlineStr">
        <is>
          <t>DURAES DISTRIBUIDORA DE ESTIVAS LTDA</t>
        </is>
      </c>
      <c r="H239" s="59" t="n">
        <v>1265809</v>
      </c>
      <c r="I239" s="59" t="n">
        <v>1</v>
      </c>
      <c r="J239" s="59" t="inlineStr">
        <is>
          <t>AM</t>
        </is>
      </c>
      <c r="K239" s="126" t="n">
        <v>865.4</v>
      </c>
    </row>
    <row r="240" ht="15" customHeight="1" s="60">
      <c r="A240" s="59" t="n">
        <v>1</v>
      </c>
      <c r="B240" s="59" t="n">
        <v>1633522</v>
      </c>
      <c r="C240" s="59" t="inlineStr">
        <is>
          <t>890</t>
        </is>
      </c>
      <c r="D240" s="59" t="inlineStr">
        <is>
          <t>02532915340</t>
        </is>
      </c>
      <c r="E240" s="75" t="n">
        <v>46190</v>
      </c>
      <c r="F240" s="75" t="n">
        <v>46190</v>
      </c>
      <c r="G240" s="59" t="inlineStr">
        <is>
          <t>EDSON AGUIAR DE SOUZA</t>
        </is>
      </c>
      <c r="H240" s="59" t="n">
        <v>1309593</v>
      </c>
      <c r="I240" s="59" t="n">
        <v>1</v>
      </c>
      <c r="J240" s="59" t="inlineStr">
        <is>
          <t>AM</t>
        </is>
      </c>
      <c r="K240" s="126" t="n">
        <v>276</v>
      </c>
    </row>
    <row r="241" ht="15" customHeight="1" s="60">
      <c r="A241" s="59" t="n">
        <v>1</v>
      </c>
      <c r="B241" s="59" t="n">
        <v>51879</v>
      </c>
      <c r="C241" s="59" t="inlineStr">
        <is>
          <t>1</t>
        </is>
      </c>
      <c r="D241" s="59" t="inlineStr">
        <is>
          <t>05778252000755</t>
        </is>
      </c>
      <c r="E241" s="75" t="n">
        <v>46190</v>
      </c>
      <c r="F241" s="75" t="n">
        <v>46190</v>
      </c>
      <c r="G241" s="59" t="inlineStr">
        <is>
          <t>FEMAR IND E COM DE BEBIDAS LTDA</t>
        </is>
      </c>
      <c r="H241" s="59" t="n">
        <v>1265903</v>
      </c>
      <c r="I241" s="59" t="n">
        <v>1</v>
      </c>
      <c r="J241" s="59" t="inlineStr">
        <is>
          <t>AM</t>
        </is>
      </c>
      <c r="K241" s="126" t="n">
        <v>636.67</v>
      </c>
    </row>
    <row r="242" ht="15" customHeight="1" s="60">
      <c r="A242" s="59" t="n">
        <v>1</v>
      </c>
      <c r="B242" s="59" t="n">
        <v>304651</v>
      </c>
      <c r="C242" s="59" t="inlineStr">
        <is>
          <t>1</t>
        </is>
      </c>
      <c r="D242" s="59" t="inlineStr">
        <is>
          <t>07391948000164</t>
        </is>
      </c>
      <c r="E242" s="75" t="n">
        <v>46190</v>
      </c>
      <c r="F242" s="75" t="n">
        <v>46188</v>
      </c>
      <c r="G242" s="59" t="inlineStr">
        <is>
          <t>L S M COMERCIO DE ALIMENTOS E NAVEGACAO</t>
        </is>
      </c>
      <c r="H242" s="59" t="n">
        <v>1264669</v>
      </c>
      <c r="I242" s="59" t="n">
        <v>1</v>
      </c>
      <c r="J242" s="59" t="inlineStr">
        <is>
          <t>AM</t>
        </is>
      </c>
      <c r="K242" s="126" t="n">
        <v>1747.4</v>
      </c>
    </row>
    <row r="243" ht="15" customHeight="1" s="60">
      <c r="A243" s="59" t="n">
        <v>1</v>
      </c>
      <c r="B243" s="59" t="n">
        <v>304776</v>
      </c>
      <c r="C243" s="59" t="inlineStr">
        <is>
          <t>1</t>
        </is>
      </c>
      <c r="D243" s="59" t="inlineStr">
        <is>
          <t>07391948000164</t>
        </is>
      </c>
      <c r="E243" s="75" t="n">
        <v>46190</v>
      </c>
      <c r="F243" s="75" t="n">
        <v>46189</v>
      </c>
      <c r="G243" s="59" t="inlineStr">
        <is>
          <t>L S M COMERCIO DE ALIMENTOS E NAVEGACAO</t>
        </is>
      </c>
      <c r="H243" s="59" t="n">
        <v>1265932</v>
      </c>
      <c r="I243" s="59" t="n">
        <v>1</v>
      </c>
      <c r="J243" s="59" t="inlineStr">
        <is>
          <t>AM</t>
        </is>
      </c>
      <c r="K243" s="126" t="n">
        <v>4704.3</v>
      </c>
    </row>
    <row r="244" ht="15" customHeight="1" s="60">
      <c r="A244" s="59" t="n">
        <v>1</v>
      </c>
      <c r="B244" s="59" t="n">
        <v>304778</v>
      </c>
      <c r="C244" s="59" t="inlineStr">
        <is>
          <t>1</t>
        </is>
      </c>
      <c r="D244" s="59" t="inlineStr">
        <is>
          <t>07391948000164</t>
        </is>
      </c>
      <c r="E244" s="75" t="n">
        <v>46190</v>
      </c>
      <c r="F244" s="75" t="n">
        <v>46189</v>
      </c>
      <c r="G244" s="59" t="inlineStr">
        <is>
          <t>L S M COMERCIO DE ALIMENTOS E NAVEGACAO</t>
        </is>
      </c>
      <c r="H244" s="59" t="n">
        <v>1265996</v>
      </c>
      <c r="I244" s="59" t="n">
        <v>1</v>
      </c>
      <c r="J244" s="59" t="inlineStr">
        <is>
          <t>AM</t>
        </is>
      </c>
      <c r="K244" s="126" t="n">
        <v>751</v>
      </c>
    </row>
    <row r="245" ht="15" customHeight="1" s="60">
      <c r="A245" s="59" t="n">
        <v>1</v>
      </c>
      <c r="B245" s="59" t="n">
        <v>33133</v>
      </c>
      <c r="C245" s="59" t="inlineStr">
        <is>
          <t>1</t>
        </is>
      </c>
      <c r="D245" s="59" t="inlineStr">
        <is>
          <t>52309068000150</t>
        </is>
      </c>
      <c r="E245" s="75" t="n">
        <v>46190</v>
      </c>
      <c r="F245" s="75" t="n">
        <v>46183</v>
      </c>
      <c r="G245" s="59" t="inlineStr">
        <is>
          <t>L. J. DA SILVA LTDA</t>
        </is>
      </c>
      <c r="H245" s="59" t="n">
        <v>1265083</v>
      </c>
      <c r="I245" s="59" t="n">
        <v>1</v>
      </c>
      <c r="J245" s="59" t="inlineStr">
        <is>
          <t>AM</t>
        </is>
      </c>
      <c r="K245" s="126" t="n">
        <v>4235.33</v>
      </c>
    </row>
    <row r="246" ht="15" customHeight="1" s="60">
      <c r="A246" s="59" t="n">
        <v>1</v>
      </c>
      <c r="B246" s="59" t="n">
        <v>1414636</v>
      </c>
      <c r="C246" s="59" t="inlineStr">
        <is>
          <t>1</t>
        </is>
      </c>
      <c r="D246" s="59" t="inlineStr">
        <is>
          <t>60409075045334</t>
        </is>
      </c>
      <c r="E246" s="75" t="n">
        <v>46190</v>
      </c>
      <c r="F246" s="75" t="n">
        <v>46183</v>
      </c>
      <c r="G246" s="59" t="inlineStr">
        <is>
          <t>NESTLÉ BRASIL LTDA.</t>
        </is>
      </c>
      <c r="H246" s="59" t="n">
        <v>1265196</v>
      </c>
      <c r="I246" s="59" t="n">
        <v>1</v>
      </c>
      <c r="J246" s="59" t="inlineStr">
        <is>
          <t>AM</t>
        </is>
      </c>
      <c r="K246" s="126" t="n">
        <v>4109.6</v>
      </c>
    </row>
    <row r="247" ht="15" customHeight="1" s="60">
      <c r="A247" s="59" t="n">
        <v>1</v>
      </c>
      <c r="B247" s="59" t="n">
        <v>3784</v>
      </c>
      <c r="C247" s="59" t="inlineStr">
        <is>
          <t>1</t>
        </is>
      </c>
      <c r="D247" s="59" t="inlineStr">
        <is>
          <t>14459228000159</t>
        </is>
      </c>
      <c r="E247" s="75" t="n">
        <v>46190</v>
      </c>
      <c r="F247" s="75" t="n">
        <v>46188</v>
      </c>
      <c r="G247" s="59" t="inlineStr">
        <is>
          <t>NOVA FRIOS COMERCIO ATACADISTA DE LATICINIOS LTDA</t>
        </is>
      </c>
      <c r="H247" s="59" t="n">
        <v>1264922</v>
      </c>
      <c r="I247" s="59" t="n">
        <v>1</v>
      </c>
      <c r="J247" s="59" t="inlineStr">
        <is>
          <t>AM</t>
        </is>
      </c>
      <c r="K247" s="126" t="n">
        <v>213</v>
      </c>
    </row>
    <row r="248" ht="15" customHeight="1" s="60">
      <c r="A248" s="59" t="n">
        <v>1</v>
      </c>
      <c r="B248" s="59" t="n">
        <v>38498</v>
      </c>
      <c r="C248" s="59" t="inlineStr">
        <is>
          <t>5</t>
        </is>
      </c>
      <c r="D248" s="59" t="inlineStr">
        <is>
          <t>03439223000148</t>
        </is>
      </c>
      <c r="E248" s="75" t="n">
        <v>46190</v>
      </c>
      <c r="F248" s="75" t="n">
        <v>46188</v>
      </c>
      <c r="G248" s="59" t="inlineStr">
        <is>
          <t>NT INDUSTRIA E COMERCIO DE PANIFICACAO L</t>
        </is>
      </c>
      <c r="H248" s="59" t="n">
        <v>1266149</v>
      </c>
      <c r="I248" s="59" t="n">
        <v>1</v>
      </c>
      <c r="J248" s="59" t="inlineStr">
        <is>
          <t>AM</t>
        </is>
      </c>
      <c r="K248" s="126" t="n">
        <v>338.58</v>
      </c>
    </row>
    <row r="249" ht="15" customHeight="1" s="60">
      <c r="A249" s="59" t="n">
        <v>1</v>
      </c>
      <c r="B249" s="59" t="n">
        <v>38499</v>
      </c>
      <c r="C249" s="59" t="inlineStr">
        <is>
          <t>5</t>
        </is>
      </c>
      <c r="D249" s="59" t="inlineStr">
        <is>
          <t>03439223000148</t>
        </is>
      </c>
      <c r="E249" s="75" t="n">
        <v>46190</v>
      </c>
      <c r="F249" s="75" t="n">
        <v>46188</v>
      </c>
      <c r="G249" s="59" t="inlineStr">
        <is>
          <t>NT INDUSTRIA E COMERCIO DE PANIFICACAO L</t>
        </is>
      </c>
      <c r="H249" s="59" t="n">
        <v>1266142</v>
      </c>
      <c r="I249" s="59" t="n">
        <v>1</v>
      </c>
      <c r="J249" s="59" t="inlineStr">
        <is>
          <t>AM</t>
        </is>
      </c>
      <c r="K249" s="126" t="n">
        <v>3756.4</v>
      </c>
    </row>
    <row r="250" ht="15" customHeight="1" s="60">
      <c r="A250" s="59" t="n">
        <v>1</v>
      </c>
      <c r="B250" s="59" t="n">
        <v>1774</v>
      </c>
      <c r="C250" s="59" t="inlineStr">
        <is>
          <t>3</t>
        </is>
      </c>
      <c r="D250" s="59" t="inlineStr">
        <is>
          <t>20934191000176</t>
        </is>
      </c>
      <c r="E250" s="75" t="n">
        <v>46190</v>
      </c>
      <c r="F250" s="75" t="n">
        <v>46189</v>
      </c>
      <c r="G250" s="59" t="inlineStr">
        <is>
          <t>ORIENTE COM. ATACADISTA E REPRES. LTDA</t>
        </is>
      </c>
      <c r="H250" s="59" t="n">
        <v>1265754</v>
      </c>
      <c r="I250" s="59" t="n">
        <v>1</v>
      </c>
      <c r="J250" s="59" t="inlineStr">
        <is>
          <t>AM</t>
        </is>
      </c>
      <c r="K250" s="126" t="n">
        <v>2287.2</v>
      </c>
    </row>
    <row r="251" ht="15" customHeight="1" s="60">
      <c r="A251" s="59" t="n">
        <v>1</v>
      </c>
      <c r="B251" s="59" t="n">
        <v>661</v>
      </c>
      <c r="C251" s="59" t="inlineStr">
        <is>
          <t>2</t>
        </is>
      </c>
      <c r="D251" s="59" t="inlineStr">
        <is>
          <t>35729236000148</t>
        </is>
      </c>
      <c r="E251" s="75" t="n">
        <v>46190</v>
      </c>
      <c r="F251" s="75" t="n">
        <v>46185</v>
      </c>
      <c r="G251" s="59" t="inlineStr">
        <is>
          <t>PANIFICADORA E CONFEITARIA REAL MADRI LTDA</t>
        </is>
      </c>
      <c r="H251" s="59" t="n">
        <v>1266173</v>
      </c>
      <c r="I251" s="59" t="n">
        <v>1</v>
      </c>
      <c r="J251" s="59" t="inlineStr">
        <is>
          <t>AM</t>
        </is>
      </c>
      <c r="K251" s="126" t="n">
        <v>750</v>
      </c>
    </row>
    <row r="252" ht="15" customHeight="1" s="60">
      <c r="A252" s="59" t="n">
        <v>1</v>
      </c>
      <c r="B252" s="59" t="n">
        <v>665</v>
      </c>
      <c r="C252" s="59" t="inlineStr">
        <is>
          <t>2</t>
        </is>
      </c>
      <c r="D252" s="59" t="inlineStr">
        <is>
          <t>35729236000148</t>
        </is>
      </c>
      <c r="E252" s="75" t="n">
        <v>46190</v>
      </c>
      <c r="F252" s="75" t="n">
        <v>46188</v>
      </c>
      <c r="G252" s="59" t="inlineStr">
        <is>
          <t>PANIFICADORA E CONFEITARIA REAL MADRI LTDA</t>
        </is>
      </c>
      <c r="H252" s="59" t="n">
        <v>1266346</v>
      </c>
      <c r="I252" s="59" t="n">
        <v>1</v>
      </c>
      <c r="J252" s="59" t="inlineStr">
        <is>
          <t>AM</t>
        </is>
      </c>
      <c r="K252" s="126" t="n">
        <v>319.63</v>
      </c>
    </row>
    <row r="253" ht="15" customHeight="1" s="60">
      <c r="A253" s="59" t="n">
        <v>1</v>
      </c>
      <c r="B253" s="59" t="n">
        <v>667</v>
      </c>
      <c r="C253" s="59" t="inlineStr">
        <is>
          <t>2</t>
        </is>
      </c>
      <c r="D253" s="59" t="inlineStr">
        <is>
          <t>35729236000148</t>
        </is>
      </c>
      <c r="E253" s="75" t="n">
        <v>46190</v>
      </c>
      <c r="F253" s="75" t="n">
        <v>46188</v>
      </c>
      <c r="G253" s="59" t="inlineStr">
        <is>
          <t>PANIFICADORA E CONFEITARIA REAL MADRI LTDA</t>
        </is>
      </c>
      <c r="H253" s="59" t="n">
        <v>1266166</v>
      </c>
      <c r="I253" s="59" t="n">
        <v>1</v>
      </c>
      <c r="J253" s="59" t="inlineStr">
        <is>
          <t>AM</t>
        </is>
      </c>
      <c r="K253" s="126" t="n">
        <v>1400</v>
      </c>
    </row>
    <row r="254" ht="15" customHeight="1" s="60">
      <c r="A254" s="59" t="n">
        <v>1</v>
      </c>
      <c r="B254" s="59" t="n">
        <v>193491</v>
      </c>
      <c r="C254" s="59" t="inlineStr">
        <is>
          <t>3</t>
        </is>
      </c>
      <c r="D254" s="59" t="inlineStr">
        <is>
          <t>11094287000344</t>
        </is>
      </c>
      <c r="E254" s="75" t="n">
        <v>46190</v>
      </c>
      <c r="F254" s="75" t="n">
        <v>46189</v>
      </c>
      <c r="G254" s="59" t="inlineStr">
        <is>
          <t>PIARARA COMERCIO, IMPORTACAO E EXPORTACAO LTDA</t>
        </is>
      </c>
      <c r="H254" s="59" t="n">
        <v>1265872</v>
      </c>
      <c r="I254" s="59" t="n">
        <v>1</v>
      </c>
      <c r="J254" s="59" t="inlineStr">
        <is>
          <t>AM</t>
        </is>
      </c>
      <c r="K254" s="126" t="n">
        <v>1706.76</v>
      </c>
    </row>
    <row r="255" ht="15" customHeight="1" s="60">
      <c r="A255" s="59" t="n">
        <v>1</v>
      </c>
      <c r="B255" s="59" t="n">
        <v>116</v>
      </c>
      <c r="C255" s="59" t="inlineStr">
        <is>
          <t>1</t>
        </is>
      </c>
      <c r="D255" s="59" t="inlineStr">
        <is>
          <t>36480282000119</t>
        </is>
      </c>
      <c r="E255" s="75" t="n">
        <v>46190</v>
      </c>
      <c r="F255" s="75" t="n">
        <v>46190</v>
      </c>
      <c r="G255" s="59" t="inlineStr">
        <is>
          <t>RENATO DE O AZEVEDO E CIA LTDA - EPP</t>
        </is>
      </c>
      <c r="H255" s="59" t="n">
        <v>1265444</v>
      </c>
      <c r="I255" s="59" t="n">
        <v>2</v>
      </c>
      <c r="J255" s="59" t="inlineStr">
        <is>
          <t>AM</t>
        </is>
      </c>
      <c r="K255" s="126" t="n">
        <v>260</v>
      </c>
    </row>
    <row r="256" ht="15" customHeight="1" s="60">
      <c r="A256" s="59" t="n">
        <v>1</v>
      </c>
      <c r="B256" s="59" t="n">
        <v>136</v>
      </c>
      <c r="C256" s="59" t="inlineStr">
        <is>
          <t>1</t>
        </is>
      </c>
      <c r="D256" s="59" t="inlineStr">
        <is>
          <t>36480282000119</t>
        </is>
      </c>
      <c r="E256" s="75" t="n">
        <v>46190</v>
      </c>
      <c r="F256" s="75" t="n">
        <v>46190</v>
      </c>
      <c r="G256" s="59" t="inlineStr">
        <is>
          <t>RENATO DE O AZEVEDO E CIA LTDA - EPP</t>
        </is>
      </c>
      <c r="H256" s="59" t="n">
        <v>1264998</v>
      </c>
      <c r="I256" s="59" t="n">
        <v>2</v>
      </c>
      <c r="J256" s="59" t="inlineStr">
        <is>
          <t>AM</t>
        </is>
      </c>
      <c r="K256" s="126" t="n">
        <v>221</v>
      </c>
    </row>
    <row r="257" ht="15" customHeight="1" s="60">
      <c r="A257" s="59" t="n">
        <v>1</v>
      </c>
      <c r="B257" s="59" t="n">
        <v>146</v>
      </c>
      <c r="C257" s="59" t="inlineStr">
        <is>
          <t>1</t>
        </is>
      </c>
      <c r="D257" s="59" t="inlineStr">
        <is>
          <t>36480282000119</t>
        </is>
      </c>
      <c r="E257" s="75" t="n">
        <v>46190</v>
      </c>
      <c r="F257" s="75" t="n">
        <v>46190</v>
      </c>
      <c r="G257" s="59" t="inlineStr">
        <is>
          <t>RENATO DE O AZEVEDO E CIA LTDA - EPP</t>
        </is>
      </c>
      <c r="H257" s="59" t="n">
        <v>1265181</v>
      </c>
      <c r="I257" s="59" t="n">
        <v>2</v>
      </c>
      <c r="J257" s="59" t="inlineStr">
        <is>
          <t>AM</t>
        </is>
      </c>
      <c r="K257" s="126" t="n">
        <v>325</v>
      </c>
    </row>
    <row r="258" ht="15" customHeight="1" s="60">
      <c r="A258" s="59" t="n">
        <v>1</v>
      </c>
      <c r="B258" s="59" t="n">
        <v>166</v>
      </c>
      <c r="C258" s="59" t="inlineStr">
        <is>
          <t>1</t>
        </is>
      </c>
      <c r="D258" s="59" t="inlineStr">
        <is>
          <t>36480282000119</t>
        </is>
      </c>
      <c r="E258" s="75" t="n">
        <v>46190</v>
      </c>
      <c r="F258" s="75" t="n">
        <v>46190</v>
      </c>
      <c r="G258" s="59" t="inlineStr">
        <is>
          <t>RENATO DE O AZEVEDO E CIA LTDA - EPP</t>
        </is>
      </c>
      <c r="H258" s="59" t="n">
        <v>1265292</v>
      </c>
      <c r="I258" s="59" t="n">
        <v>2</v>
      </c>
      <c r="J258" s="59" t="inlineStr">
        <is>
          <t>AM</t>
        </is>
      </c>
      <c r="K258" s="126" t="n">
        <v>390</v>
      </c>
    </row>
    <row r="259" ht="15" customHeight="1" s="60">
      <c r="A259" s="59" t="n">
        <v>1</v>
      </c>
      <c r="B259" s="59" t="n">
        <v>186</v>
      </c>
      <c r="C259" s="59" t="inlineStr">
        <is>
          <t>1</t>
        </is>
      </c>
      <c r="D259" s="59" t="inlineStr">
        <is>
          <t>36480282000119</t>
        </is>
      </c>
      <c r="E259" s="75" t="n">
        <v>46190</v>
      </c>
      <c r="F259" s="75" t="n">
        <v>46190</v>
      </c>
      <c r="G259" s="59" t="inlineStr">
        <is>
          <t>RENATO DE O AZEVEDO E CIA LTDA - EPP</t>
        </is>
      </c>
      <c r="H259" s="59" t="n">
        <v>1265334</v>
      </c>
      <c r="I259" s="59" t="n">
        <v>2</v>
      </c>
      <c r="J259" s="59" t="inlineStr">
        <is>
          <t>AM</t>
        </is>
      </c>
      <c r="K259" s="126" t="n">
        <v>260</v>
      </c>
    </row>
    <row r="260" ht="15" customHeight="1" s="60">
      <c r="A260" s="59" t="n">
        <v>1</v>
      </c>
      <c r="B260" s="59" t="n">
        <v>196</v>
      </c>
      <c r="C260" s="59" t="inlineStr">
        <is>
          <t>1</t>
        </is>
      </c>
      <c r="D260" s="59" t="inlineStr">
        <is>
          <t>36480282000119</t>
        </is>
      </c>
      <c r="E260" s="75" t="n">
        <v>46190</v>
      </c>
      <c r="F260" s="75" t="n">
        <v>46190</v>
      </c>
      <c r="G260" s="59" t="inlineStr">
        <is>
          <t>RENATO DE O AZEVEDO E CIA LTDA - EPP</t>
        </is>
      </c>
      <c r="H260" s="59" t="n">
        <v>1265379</v>
      </c>
      <c r="I260" s="59" t="n">
        <v>2</v>
      </c>
      <c r="J260" s="59" t="inlineStr">
        <is>
          <t>AM</t>
        </is>
      </c>
      <c r="K260" s="126" t="n">
        <v>260</v>
      </c>
    </row>
    <row r="261" ht="15" customHeight="1" s="60">
      <c r="A261" s="59" t="n">
        <v>1</v>
      </c>
      <c r="B261" s="59" t="n">
        <v>1306</v>
      </c>
      <c r="C261" s="59" t="inlineStr">
        <is>
          <t>1</t>
        </is>
      </c>
      <c r="D261" s="59" t="inlineStr">
        <is>
          <t>36480282000119</t>
        </is>
      </c>
      <c r="E261" s="75" t="n">
        <v>46190</v>
      </c>
      <c r="F261" s="75" t="n">
        <v>46190</v>
      </c>
      <c r="G261" s="59" t="inlineStr">
        <is>
          <t>RENATO DE O AZEVEDO E CIA LTDA - EPP</t>
        </is>
      </c>
      <c r="H261" s="59" t="n">
        <v>1265759</v>
      </c>
      <c r="I261" s="59" t="n">
        <v>2</v>
      </c>
      <c r="J261" s="59" t="inlineStr">
        <is>
          <t>AM</t>
        </is>
      </c>
      <c r="K261" s="126" t="n">
        <v>325</v>
      </c>
    </row>
    <row r="262" ht="15" customHeight="1" s="60">
      <c r="A262" s="59" t="n">
        <v>1</v>
      </c>
      <c r="B262" s="59" t="n">
        <v>5144</v>
      </c>
      <c r="C262" s="59" t="inlineStr">
        <is>
          <t>1</t>
        </is>
      </c>
      <c r="D262" s="59" t="inlineStr">
        <is>
          <t>36480282000119</t>
        </is>
      </c>
      <c r="E262" s="75" t="n">
        <v>46190</v>
      </c>
      <c r="F262" s="75" t="n">
        <v>46190</v>
      </c>
      <c r="G262" s="59" t="inlineStr">
        <is>
          <t>RENATO DE O AZEVEDO E CIA LTDA - EPP</t>
        </is>
      </c>
      <c r="H262" s="59" t="n">
        <v>1265003</v>
      </c>
      <c r="I262" s="59" t="n">
        <v>6</v>
      </c>
      <c r="J262" s="59" t="inlineStr">
        <is>
          <t>AM</t>
        </is>
      </c>
      <c r="K262" s="126" t="n">
        <v>221</v>
      </c>
    </row>
    <row r="263" ht="15" customHeight="1" s="60">
      <c r="A263" s="59" t="n">
        <v>1</v>
      </c>
      <c r="B263" s="59" t="n">
        <v>5145</v>
      </c>
      <c r="C263" s="59" t="inlineStr">
        <is>
          <t>1</t>
        </is>
      </c>
      <c r="D263" s="59" t="inlineStr">
        <is>
          <t>36480282000119</t>
        </is>
      </c>
      <c r="E263" s="75" t="n">
        <v>46190</v>
      </c>
      <c r="F263" s="75" t="n">
        <v>46190</v>
      </c>
      <c r="G263" s="59" t="inlineStr">
        <is>
          <t>RENATO DE O AZEVEDO E CIA LTDA - EPP</t>
        </is>
      </c>
      <c r="H263" s="59" t="n">
        <v>1265184</v>
      </c>
      <c r="I263" s="59" t="n">
        <v>6</v>
      </c>
      <c r="J263" s="59" t="inlineStr">
        <is>
          <t>AM</t>
        </is>
      </c>
      <c r="K263" s="126" t="n">
        <v>325</v>
      </c>
    </row>
    <row r="264" ht="15" customHeight="1" s="60">
      <c r="A264" s="59" t="n">
        <v>1</v>
      </c>
      <c r="B264" s="59" t="n">
        <v>5146</v>
      </c>
      <c r="C264" s="59" t="inlineStr">
        <is>
          <t>1</t>
        </is>
      </c>
      <c r="D264" s="59" t="inlineStr">
        <is>
          <t>36480282000119</t>
        </is>
      </c>
      <c r="E264" s="75" t="n">
        <v>46190</v>
      </c>
      <c r="F264" s="75" t="n">
        <v>46190</v>
      </c>
      <c r="G264" s="59" t="inlineStr">
        <is>
          <t>RENATO DE O AZEVEDO E CIA LTDA - EPP</t>
        </is>
      </c>
      <c r="H264" s="59" t="n">
        <v>1265303</v>
      </c>
      <c r="I264" s="59" t="n">
        <v>6</v>
      </c>
      <c r="J264" s="59" t="inlineStr">
        <is>
          <t>AM</t>
        </is>
      </c>
      <c r="K264" s="126" t="n">
        <v>390</v>
      </c>
    </row>
    <row r="265" ht="15" customHeight="1" s="60">
      <c r="A265" s="59" t="n">
        <v>1</v>
      </c>
      <c r="B265" s="59" t="n">
        <v>5147</v>
      </c>
      <c r="C265" s="59" t="inlineStr">
        <is>
          <t>1</t>
        </is>
      </c>
      <c r="D265" s="59" t="inlineStr">
        <is>
          <t>36480282000119</t>
        </is>
      </c>
      <c r="E265" s="75" t="n">
        <v>46190</v>
      </c>
      <c r="F265" s="75" t="n">
        <v>46190</v>
      </c>
      <c r="G265" s="59" t="inlineStr">
        <is>
          <t>RENATO DE O AZEVEDO E CIA LTDA - EPP</t>
        </is>
      </c>
      <c r="H265" s="59" t="n">
        <v>1265341</v>
      </c>
      <c r="I265" s="59" t="n">
        <v>6</v>
      </c>
      <c r="J265" s="59" t="inlineStr">
        <is>
          <t>AM</t>
        </is>
      </c>
      <c r="K265" s="126" t="n">
        <v>260</v>
      </c>
    </row>
    <row r="266" ht="15" customHeight="1" s="60">
      <c r="A266" s="59" t="n">
        <v>1</v>
      </c>
      <c r="B266" s="59" t="n">
        <v>5148</v>
      </c>
      <c r="C266" s="59" t="inlineStr">
        <is>
          <t>1</t>
        </is>
      </c>
      <c r="D266" s="59" t="inlineStr">
        <is>
          <t>36480282000119</t>
        </is>
      </c>
      <c r="E266" s="75" t="n">
        <v>46190</v>
      </c>
      <c r="F266" s="75" t="n">
        <v>46190</v>
      </c>
      <c r="G266" s="59" t="inlineStr">
        <is>
          <t>RENATO DE O AZEVEDO E CIA LTDA - EPP</t>
        </is>
      </c>
      <c r="H266" s="59" t="n">
        <v>1265382</v>
      </c>
      <c r="I266" s="59" t="n">
        <v>6</v>
      </c>
      <c r="J266" s="59" t="inlineStr">
        <is>
          <t>AM</t>
        </is>
      </c>
      <c r="K266" s="126" t="n">
        <v>260</v>
      </c>
    </row>
    <row r="267" ht="15" customHeight="1" s="60">
      <c r="A267" s="59" t="n">
        <v>1</v>
      </c>
      <c r="B267" s="59" t="n">
        <v>5149</v>
      </c>
      <c r="C267" s="59" t="inlineStr">
        <is>
          <t>1</t>
        </is>
      </c>
      <c r="D267" s="59" t="inlineStr">
        <is>
          <t>36480282000119</t>
        </is>
      </c>
      <c r="E267" s="75" t="n">
        <v>46190</v>
      </c>
      <c r="F267" s="75" t="n">
        <v>46190</v>
      </c>
      <c r="G267" s="59" t="inlineStr">
        <is>
          <t>RENATO DE O AZEVEDO E CIA LTDA - EPP</t>
        </is>
      </c>
      <c r="H267" s="59" t="n">
        <v>1265457</v>
      </c>
      <c r="I267" s="59" t="n">
        <v>6</v>
      </c>
      <c r="J267" s="59" t="inlineStr">
        <is>
          <t>AM</t>
        </is>
      </c>
      <c r="K267" s="126" t="n">
        <v>260</v>
      </c>
    </row>
    <row r="268" ht="15" customHeight="1" s="60">
      <c r="A268" s="59" t="n">
        <v>1</v>
      </c>
      <c r="B268" s="59" t="n">
        <v>5150</v>
      </c>
      <c r="C268" s="59" t="inlineStr">
        <is>
          <t>1</t>
        </is>
      </c>
      <c r="D268" s="59" t="inlineStr">
        <is>
          <t>36480282000119</t>
        </is>
      </c>
      <c r="E268" s="75" t="n">
        <v>46190</v>
      </c>
      <c r="F268" s="75" t="n">
        <v>46190</v>
      </c>
      <c r="G268" s="59" t="inlineStr">
        <is>
          <t>RENATO DE O AZEVEDO E CIA LTDA - EPP</t>
        </is>
      </c>
      <c r="H268" s="59" t="n">
        <v>1265764</v>
      </c>
      <c r="I268" s="59" t="n">
        <v>6</v>
      </c>
      <c r="J268" s="59" t="inlineStr">
        <is>
          <t>AM</t>
        </is>
      </c>
      <c r="K268" s="126" t="n">
        <v>325</v>
      </c>
    </row>
    <row r="269" ht="15" customHeight="1" s="60">
      <c r="A269" s="59" t="n">
        <v>1</v>
      </c>
      <c r="B269" s="59" t="n">
        <v>5151</v>
      </c>
      <c r="C269" s="59" t="inlineStr">
        <is>
          <t>1</t>
        </is>
      </c>
      <c r="D269" s="59" t="inlineStr">
        <is>
          <t>36480282000119</t>
        </is>
      </c>
      <c r="E269" s="75" t="n">
        <v>46190</v>
      </c>
      <c r="F269" s="75" t="n">
        <v>46190</v>
      </c>
      <c r="G269" s="59" t="inlineStr">
        <is>
          <t>RENATO DE O AZEVEDO E CIA LTDA - EPP</t>
        </is>
      </c>
      <c r="H269" s="59" t="n">
        <v>1265892</v>
      </c>
      <c r="I269" s="59" t="n">
        <v>6</v>
      </c>
      <c r="J269" s="59" t="inlineStr">
        <is>
          <t>AM</t>
        </is>
      </c>
      <c r="K269" s="126" t="n">
        <v>350</v>
      </c>
    </row>
    <row r="270" ht="15" customHeight="1" s="60">
      <c r="A270" s="59" t="n">
        <v>1</v>
      </c>
      <c r="B270" s="59" t="n">
        <v>16626</v>
      </c>
      <c r="C270" s="59" t="inlineStr">
        <is>
          <t>1</t>
        </is>
      </c>
      <c r="D270" s="59" t="inlineStr">
        <is>
          <t>36480282000119</t>
        </is>
      </c>
      <c r="E270" s="75" t="n">
        <v>46190</v>
      </c>
      <c r="F270" s="75" t="n">
        <v>46190</v>
      </c>
      <c r="G270" s="59" t="inlineStr">
        <is>
          <t>RENATO DE O AZEVEDO E CIA LTDA - EPP</t>
        </is>
      </c>
      <c r="H270" s="59" t="n">
        <v>1265890</v>
      </c>
      <c r="I270" s="59" t="n">
        <v>2</v>
      </c>
      <c r="J270" s="59" t="inlineStr">
        <is>
          <t>AM</t>
        </is>
      </c>
      <c r="K270" s="126" t="n">
        <v>350</v>
      </c>
    </row>
    <row r="271" ht="15" customHeight="1" s="60">
      <c r="A271" s="59" t="n">
        <v>1</v>
      </c>
      <c r="B271" s="59" t="n">
        <v>11722</v>
      </c>
      <c r="C271" s="59" t="inlineStr">
        <is>
          <t>3</t>
        </is>
      </c>
      <c r="D271" s="59" t="inlineStr">
        <is>
          <t>26227385000118</t>
        </is>
      </c>
      <c r="E271" s="75" t="n">
        <v>46190</v>
      </c>
      <c r="F271" s="75" t="n">
        <v>46185</v>
      </c>
      <c r="G271" s="59" t="inlineStr">
        <is>
          <t>VICTORIA COMERCIO INTERNACIONAL DE ALIME</t>
        </is>
      </c>
      <c r="H271" s="59" t="n">
        <v>1265535</v>
      </c>
      <c r="I271" s="59" t="n">
        <v>1</v>
      </c>
      <c r="J271" s="59" t="inlineStr">
        <is>
          <t>AM</t>
        </is>
      </c>
      <c r="K271" s="126" t="n">
        <v>1284.3</v>
      </c>
    </row>
    <row r="272" ht="15" customHeight="1" s="60">
      <c r="A272" s="59" t="n">
        <v>1</v>
      </c>
      <c r="B272" s="59" t="n">
        <v>3582</v>
      </c>
      <c r="C272" s="59" t="inlineStr">
        <is>
          <t>3</t>
        </is>
      </c>
      <c r="D272" s="59" t="inlineStr">
        <is>
          <t>37225449000168</t>
        </is>
      </c>
      <c r="E272" s="75" t="n">
        <v>46190</v>
      </c>
      <c r="F272" s="75" t="n">
        <v>46190</v>
      </c>
      <c r="G272" s="59" t="inlineStr">
        <is>
          <t>VOVO DIZA COMERCIO VAREJISTA DE HORTALICAS LTDA</t>
        </is>
      </c>
      <c r="H272" s="59" t="n">
        <v>1309173</v>
      </c>
      <c r="I272" s="59" t="n">
        <v>1</v>
      </c>
      <c r="J272" s="59" t="inlineStr">
        <is>
          <t>AM</t>
        </is>
      </c>
      <c r="K272" s="126" t="n">
        <v>90</v>
      </c>
    </row>
    <row r="273" ht="15" customHeight="1" s="60">
      <c r="A273" s="59" t="n">
        <v>1</v>
      </c>
      <c r="B273" s="59" t="n">
        <v>302</v>
      </c>
      <c r="C273" s="59" t="inlineStr">
        <is>
          <t>1</t>
        </is>
      </c>
      <c r="D273" s="59" t="inlineStr">
        <is>
          <t>34787423000115</t>
        </is>
      </c>
      <c r="E273" s="75" t="n">
        <v>46191</v>
      </c>
      <c r="F273" s="75" t="n">
        <v>46190</v>
      </c>
      <c r="G273" s="59" t="inlineStr">
        <is>
          <t>ADRIANO FEITOSA OLIVEIRA LTDA</t>
        </is>
      </c>
      <c r="H273" s="59" t="n">
        <v>1270154</v>
      </c>
      <c r="I273" s="59" t="n">
        <v>1</v>
      </c>
      <c r="J273" s="59" t="inlineStr">
        <is>
          <t>AM</t>
        </is>
      </c>
      <c r="K273" s="126" t="n">
        <v>1850</v>
      </c>
    </row>
    <row r="274" ht="15" customHeight="1" s="60">
      <c r="A274" s="59" t="n">
        <v>1</v>
      </c>
      <c r="B274" s="59" t="n">
        <v>1026816</v>
      </c>
      <c r="C274" s="59" t="inlineStr">
        <is>
          <t>1</t>
        </is>
      </c>
      <c r="D274" s="59" t="inlineStr">
        <is>
          <t>34579060000122</t>
        </is>
      </c>
      <c r="E274" s="75" t="n">
        <v>46191</v>
      </c>
      <c r="F274" s="75" t="n">
        <v>46184</v>
      </c>
      <c r="G274" s="59" t="inlineStr">
        <is>
          <t>BROTHERS  INDUSTRIA DE ALIMENTOS LTDA</t>
        </is>
      </c>
      <c r="H274" s="59" t="n">
        <v>1269474</v>
      </c>
      <c r="I274" s="59" t="n">
        <v>1</v>
      </c>
      <c r="J274" s="59" t="inlineStr">
        <is>
          <t>AM</t>
        </is>
      </c>
      <c r="K274" s="126" t="n">
        <v>726.08</v>
      </c>
    </row>
    <row r="275" ht="15" customHeight="1" s="60">
      <c r="A275" s="59" t="n">
        <v>1</v>
      </c>
      <c r="B275" s="59" t="n">
        <v>844855</v>
      </c>
      <c r="C275" s="59" t="inlineStr">
        <is>
          <t>1</t>
        </is>
      </c>
      <c r="D275" s="59" t="inlineStr">
        <is>
          <t>14189432000105</t>
        </is>
      </c>
      <c r="E275" s="75" t="n">
        <v>46191</v>
      </c>
      <c r="F275" s="75" t="n">
        <v>46189</v>
      </c>
      <c r="G275" s="59" t="inlineStr">
        <is>
          <t>CB COMERCIO E DISTRIBUIDORA DE ALIMENTOS</t>
        </is>
      </c>
      <c r="H275" s="59" t="n">
        <v>1268785</v>
      </c>
      <c r="I275" s="59" t="n">
        <v>1</v>
      </c>
      <c r="J275" s="59" t="inlineStr">
        <is>
          <t>AM</t>
        </is>
      </c>
      <c r="K275" s="126" t="n">
        <v>2955.88</v>
      </c>
    </row>
    <row r="276" ht="15" customHeight="1" s="60">
      <c r="A276" s="59" t="n">
        <v>1</v>
      </c>
      <c r="B276" s="59" t="n">
        <v>1673539</v>
      </c>
      <c r="C276" s="59" t="inlineStr">
        <is>
          <t>1</t>
        </is>
      </c>
      <c r="D276" s="59" t="inlineStr">
        <is>
          <t>02796653000154</t>
        </is>
      </c>
      <c r="E276" s="75" t="n">
        <v>46191</v>
      </c>
      <c r="F276" s="75" t="n">
        <v>46188</v>
      </c>
      <c r="G276" s="59" t="inlineStr">
        <is>
          <t>DISTRIBUIDORA LOPES LTDA</t>
        </is>
      </c>
      <c r="H276" s="59" t="n">
        <v>1269669</v>
      </c>
      <c r="I276" s="59" t="n">
        <v>1</v>
      </c>
      <c r="J276" s="59" t="inlineStr">
        <is>
          <t>AM</t>
        </is>
      </c>
      <c r="K276" s="126" t="n">
        <v>2094</v>
      </c>
    </row>
    <row r="277" ht="15" customHeight="1" s="60">
      <c r="A277" s="59" t="n">
        <v>1</v>
      </c>
      <c r="B277" s="59" t="n">
        <v>1675757</v>
      </c>
      <c r="C277" s="59" t="inlineStr">
        <is>
          <t>1</t>
        </is>
      </c>
      <c r="D277" s="59" t="inlineStr">
        <is>
          <t>02796653000154</t>
        </is>
      </c>
      <c r="E277" s="75" t="n">
        <v>46191</v>
      </c>
      <c r="F277" s="75" t="n">
        <v>46190</v>
      </c>
      <c r="G277" s="59" t="inlineStr">
        <is>
          <t>DISTRIBUIDORA LOPES LTDA</t>
        </is>
      </c>
      <c r="H277" s="59" t="n">
        <v>1269204</v>
      </c>
      <c r="I277" s="59" t="n">
        <v>1</v>
      </c>
      <c r="J277" s="59" t="inlineStr">
        <is>
          <t>AM</t>
        </is>
      </c>
      <c r="K277" s="126" t="n">
        <v>2631.29</v>
      </c>
    </row>
    <row r="278" ht="15" customHeight="1" s="60">
      <c r="A278" s="59" t="n">
        <v>1</v>
      </c>
      <c r="B278" s="59" t="n">
        <v>3203774</v>
      </c>
      <c r="C278" s="59" t="inlineStr">
        <is>
          <t>1</t>
        </is>
      </c>
      <c r="D278" s="59" t="inlineStr">
        <is>
          <t>84466424000136</t>
        </is>
      </c>
      <c r="E278" s="75" t="n">
        <v>46191</v>
      </c>
      <c r="F278" s="75" t="n">
        <v>46189</v>
      </c>
      <c r="G278" s="59" t="inlineStr">
        <is>
          <t>DUNORTE DISTRIBUIDORA DE PRODUTOS DE CONSUMO LTDA</t>
        </is>
      </c>
      <c r="H278" s="59" t="n">
        <v>1269420</v>
      </c>
      <c r="I278" s="59" t="n">
        <v>1</v>
      </c>
      <c r="J278" s="59" t="inlineStr">
        <is>
          <t>AM</t>
        </is>
      </c>
      <c r="K278" s="126" t="n">
        <v>2337.67</v>
      </c>
    </row>
    <row r="279" ht="15" customHeight="1" s="60">
      <c r="A279" s="59" t="n">
        <v>1</v>
      </c>
      <c r="B279" s="59" t="n">
        <v>3203775</v>
      </c>
      <c r="C279" s="59" t="inlineStr">
        <is>
          <t>1</t>
        </is>
      </c>
      <c r="D279" s="59" t="inlineStr">
        <is>
          <t>84466424000136</t>
        </is>
      </c>
      <c r="E279" s="75" t="n">
        <v>46191</v>
      </c>
      <c r="F279" s="75" t="n">
        <v>46189</v>
      </c>
      <c r="G279" s="59" t="inlineStr">
        <is>
          <t>DUNORTE DISTRIBUIDORA DE PRODUTOS DE CONSUMO LTDA</t>
        </is>
      </c>
      <c r="H279" s="59" t="n">
        <v>1269778</v>
      </c>
      <c r="I279" s="59" t="n">
        <v>1</v>
      </c>
      <c r="J279" s="59" t="inlineStr">
        <is>
          <t>AM</t>
        </is>
      </c>
      <c r="K279" s="126" t="n">
        <v>2341.88</v>
      </c>
    </row>
    <row r="280" ht="15" customHeight="1" s="60">
      <c r="A280" s="59" t="n">
        <v>1</v>
      </c>
      <c r="B280" s="59" t="n">
        <v>3203776</v>
      </c>
      <c r="C280" s="59" t="inlineStr">
        <is>
          <t>1</t>
        </is>
      </c>
      <c r="D280" s="59" t="inlineStr">
        <is>
          <t>84466424000136</t>
        </is>
      </c>
      <c r="E280" s="75" t="n">
        <v>46191</v>
      </c>
      <c r="F280" s="75" t="n">
        <v>46189</v>
      </c>
      <c r="G280" s="59" t="inlineStr">
        <is>
          <t>DUNORTE DISTRIBUIDORA DE PRODUTOS DE CONSUMO LTDA</t>
        </is>
      </c>
      <c r="H280" s="59" t="n">
        <v>1269369</v>
      </c>
      <c r="I280" s="59" t="n">
        <v>1</v>
      </c>
      <c r="J280" s="59" t="inlineStr">
        <is>
          <t>AM</t>
        </is>
      </c>
      <c r="K280" s="126" t="n">
        <v>208.8</v>
      </c>
    </row>
    <row r="281" ht="15" customHeight="1" s="60">
      <c r="A281" s="59" t="n">
        <v>1</v>
      </c>
      <c r="B281" s="59" t="n">
        <v>309639</v>
      </c>
      <c r="C281" s="59" t="inlineStr">
        <is>
          <t>1</t>
        </is>
      </c>
      <c r="D281" s="59" t="inlineStr">
        <is>
          <t>06257367000333</t>
        </is>
      </c>
      <c r="E281" s="75" t="n">
        <v>46191</v>
      </c>
      <c r="F281" s="75" t="n">
        <v>46189</v>
      </c>
      <c r="G281" s="59" t="inlineStr">
        <is>
          <t>FENNIX BRASIL DISTRIBUIDORA DE PRODUTOS</t>
        </is>
      </c>
      <c r="H281" s="59" t="n">
        <v>1269874</v>
      </c>
      <c r="I281" s="59" t="n">
        <v>1</v>
      </c>
      <c r="J281" s="59" t="inlineStr">
        <is>
          <t>AM</t>
        </is>
      </c>
      <c r="K281" s="126" t="n">
        <v>1439.82</v>
      </c>
    </row>
    <row r="282" ht="15" customHeight="1" s="60">
      <c r="A282" s="59" t="n">
        <v>1</v>
      </c>
      <c r="B282" s="59" t="n">
        <v>223520</v>
      </c>
      <c r="C282" s="59" t="inlineStr">
        <is>
          <t>2</t>
        </is>
      </c>
      <c r="D282" s="59" t="inlineStr">
        <is>
          <t>05646631000104</t>
        </is>
      </c>
      <c r="E282" s="75" t="n">
        <v>46191</v>
      </c>
      <c r="F282" s="75" t="n">
        <v>46188</v>
      </c>
      <c r="G282" s="59" t="inlineStr">
        <is>
          <t>FRUTAL INDUSTRIA E COMERCIO LTDA</t>
        </is>
      </c>
      <c r="H282" s="59" t="n">
        <v>1269936</v>
      </c>
      <c r="I282" s="59" t="n">
        <v>1</v>
      </c>
      <c r="J282" s="59" t="inlineStr">
        <is>
          <t>AM</t>
        </is>
      </c>
      <c r="K282" s="126" t="n">
        <v>590.84</v>
      </c>
    </row>
    <row r="283" ht="15" customHeight="1" s="60">
      <c r="A283" s="59" t="n">
        <v>1</v>
      </c>
      <c r="B283" s="59" t="n">
        <v>954</v>
      </c>
      <c r="C283" s="59" t="inlineStr">
        <is>
          <t>1</t>
        </is>
      </c>
      <c r="D283" s="59" t="inlineStr">
        <is>
          <t>23643531000106</t>
        </is>
      </c>
      <c r="E283" s="75" t="n">
        <v>46191</v>
      </c>
      <c r="F283" s="75" t="n">
        <v>46188</v>
      </c>
      <c r="G283" s="59" t="inlineStr">
        <is>
          <t>J. R. L. NASCIMENTO PANIFICADORA</t>
        </is>
      </c>
      <c r="H283" s="59" t="n">
        <v>1269922</v>
      </c>
      <c r="I283" s="59" t="n">
        <v>1</v>
      </c>
      <c r="J283" s="59" t="inlineStr">
        <is>
          <t>AM</t>
        </is>
      </c>
      <c r="K283" s="126" t="n">
        <v>990</v>
      </c>
    </row>
    <row r="284" ht="15" customHeight="1" s="60">
      <c r="A284" s="59" t="n">
        <v>1</v>
      </c>
      <c r="B284" s="59" t="n">
        <v>3394</v>
      </c>
      <c r="C284" s="59" t="inlineStr">
        <is>
          <t>1</t>
        </is>
      </c>
      <c r="D284" s="59" t="inlineStr">
        <is>
          <t>59566132000128</t>
        </is>
      </c>
      <c r="E284" s="75" t="n">
        <v>46191</v>
      </c>
      <c r="F284" s="75" t="n">
        <v>46190</v>
      </c>
      <c r="G284" s="59" t="inlineStr">
        <is>
          <t>JAB COMERCIO DE PRODUTOS ALIMENTICIOS LT</t>
        </is>
      </c>
      <c r="H284" s="59" t="n">
        <v>1269857</v>
      </c>
      <c r="I284" s="59" t="n">
        <v>1</v>
      </c>
      <c r="J284" s="59" t="inlineStr">
        <is>
          <t>AM</t>
        </is>
      </c>
      <c r="K284" s="126" t="n">
        <v>310</v>
      </c>
    </row>
    <row r="285" ht="15" customHeight="1" s="60">
      <c r="A285" s="59" t="n">
        <v>1</v>
      </c>
      <c r="B285" s="59" t="n">
        <v>1372912</v>
      </c>
      <c r="C285" s="59" t="inlineStr">
        <is>
          <t>1</t>
        </is>
      </c>
      <c r="D285" s="59" t="inlineStr">
        <is>
          <t>02887227000207</t>
        </is>
      </c>
      <c r="E285" s="75" t="n">
        <v>46191</v>
      </c>
      <c r="F285" s="75" t="n">
        <v>46189</v>
      </c>
      <c r="G285" s="59" t="inlineStr">
        <is>
          <t>MARE DISTRIBUIDORA DE BEBIDAS E DE PRODU</t>
        </is>
      </c>
      <c r="H285" s="59" t="n">
        <v>1270189</v>
      </c>
      <c r="I285" s="59" t="n">
        <v>1</v>
      </c>
      <c r="J285" s="59" t="inlineStr">
        <is>
          <t>AM</t>
        </is>
      </c>
      <c r="K285" s="126" t="n">
        <v>778.4</v>
      </c>
    </row>
    <row r="286" ht="15" customHeight="1" s="60">
      <c r="A286" s="59" t="n">
        <v>1</v>
      </c>
      <c r="B286" s="59" t="n">
        <v>1414215</v>
      </c>
      <c r="C286" s="59" t="inlineStr">
        <is>
          <t>1</t>
        </is>
      </c>
      <c r="D286" s="59" t="inlineStr">
        <is>
          <t>60409075045334</t>
        </is>
      </c>
      <c r="E286" s="75" t="n">
        <v>46191</v>
      </c>
      <c r="F286" s="75" t="n">
        <v>46182</v>
      </c>
      <c r="G286" s="59" t="inlineStr">
        <is>
          <t>NESTLÉ BRASIL LTDA.</t>
        </is>
      </c>
      <c r="H286" s="59" t="n">
        <v>1269942</v>
      </c>
      <c r="I286" s="59" t="n">
        <v>1</v>
      </c>
      <c r="J286" s="59" t="inlineStr">
        <is>
          <t>AM</t>
        </is>
      </c>
      <c r="K286" s="126" t="n">
        <v>414.93</v>
      </c>
    </row>
    <row r="287" ht="15" customHeight="1" s="60">
      <c r="A287" s="59" t="n">
        <v>1</v>
      </c>
      <c r="B287" s="59" t="n">
        <v>1414432</v>
      </c>
      <c r="C287" s="59" t="inlineStr">
        <is>
          <t>1</t>
        </is>
      </c>
      <c r="D287" s="59" t="inlineStr">
        <is>
          <t>60409075045334</t>
        </is>
      </c>
      <c r="E287" s="75" t="n">
        <v>46191</v>
      </c>
      <c r="F287" s="75" t="n">
        <v>46182</v>
      </c>
      <c r="G287" s="59" t="inlineStr">
        <is>
          <t>NESTLÉ BRASIL LTDA.</t>
        </is>
      </c>
      <c r="H287" s="59" t="n">
        <v>1269964</v>
      </c>
      <c r="I287" s="59" t="n">
        <v>1</v>
      </c>
      <c r="J287" s="59" t="inlineStr">
        <is>
          <t>AM</t>
        </is>
      </c>
      <c r="K287" s="126" t="n">
        <v>1685.95</v>
      </c>
    </row>
    <row r="288" ht="15" customHeight="1" s="60">
      <c r="A288" s="59" t="n">
        <v>1</v>
      </c>
      <c r="B288" s="59" t="n">
        <v>1414551</v>
      </c>
      <c r="C288" s="59" t="inlineStr">
        <is>
          <t>1</t>
        </is>
      </c>
      <c r="D288" s="59" t="inlineStr">
        <is>
          <t>60409075045334</t>
        </is>
      </c>
      <c r="E288" s="75" t="n">
        <v>46191</v>
      </c>
      <c r="F288" s="75" t="n">
        <v>46182</v>
      </c>
      <c r="G288" s="59" t="inlineStr">
        <is>
          <t>NESTLÉ BRASIL LTDA.</t>
        </is>
      </c>
      <c r="H288" s="59" t="n">
        <v>1269997</v>
      </c>
      <c r="I288" s="59" t="n">
        <v>1</v>
      </c>
      <c r="J288" s="59" t="inlineStr">
        <is>
          <t>AM</t>
        </is>
      </c>
      <c r="K288" s="126" t="n">
        <v>1464.55</v>
      </c>
    </row>
    <row r="289" ht="15" customHeight="1" s="60">
      <c r="A289" s="59" t="n">
        <v>1</v>
      </c>
      <c r="B289" s="59" t="n">
        <v>15024</v>
      </c>
      <c r="C289" s="59" t="inlineStr">
        <is>
          <t>1</t>
        </is>
      </c>
      <c r="D289" s="59" t="inlineStr">
        <is>
          <t>01215382000133</t>
        </is>
      </c>
      <c r="E289" s="75" t="n">
        <v>46191</v>
      </c>
      <c r="F289" s="75" t="n">
        <v>46188</v>
      </c>
      <c r="G289" s="59" t="inlineStr">
        <is>
          <t>T. M. L. DA SILVA LTDA</t>
        </is>
      </c>
      <c r="H289" s="59" t="n">
        <v>1269931</v>
      </c>
      <c r="I289" s="59" t="n">
        <v>1</v>
      </c>
      <c r="J289" s="59" t="inlineStr">
        <is>
          <t>AM</t>
        </is>
      </c>
      <c r="K289" s="126" t="n">
        <v>614.59</v>
      </c>
    </row>
    <row r="290" ht="15" customHeight="1" s="60">
      <c r="A290" s="59" t="n">
        <v>1</v>
      </c>
      <c r="B290" s="59" t="n">
        <v>3450</v>
      </c>
      <c r="C290" s="59" t="inlineStr">
        <is>
          <t>1</t>
        </is>
      </c>
      <c r="D290" s="59" t="inlineStr">
        <is>
          <t>60214639000100</t>
        </is>
      </c>
      <c r="E290" s="75" t="n">
        <v>46191</v>
      </c>
      <c r="F290" s="75" t="n">
        <v>46188</v>
      </c>
      <c r="G290" s="59" t="inlineStr">
        <is>
          <t>TRIPLASTIK ATAKADO</t>
        </is>
      </c>
      <c r="H290" s="59" t="n">
        <v>1269918</v>
      </c>
      <c r="I290" s="59" t="n">
        <v>3</v>
      </c>
      <c r="J290" s="59" t="inlineStr">
        <is>
          <t>AM</t>
        </is>
      </c>
      <c r="K290" s="126" t="n">
        <v>2317.1</v>
      </c>
    </row>
    <row r="291" ht="15" customHeight="1" s="60">
      <c r="A291" s="59" t="n">
        <v>1</v>
      </c>
      <c r="B291" s="59" t="n">
        <v>10108</v>
      </c>
      <c r="C291" s="59" t="inlineStr">
        <is>
          <t>2</t>
        </is>
      </c>
      <c r="D291" s="59" t="inlineStr">
        <is>
          <t>36296113000123</t>
        </is>
      </c>
      <c r="E291" s="75" t="n">
        <v>46191</v>
      </c>
      <c r="F291" s="75" t="n">
        <v>46188</v>
      </c>
      <c r="G291" s="59" t="inlineStr">
        <is>
          <t>VITAPAN COMERCIO VAREJISTA DE PRODUTOS ALIMENTICIOS LTDA</t>
        </is>
      </c>
      <c r="H291" s="59" t="n">
        <v>1269852</v>
      </c>
      <c r="I291" s="59" t="n">
        <v>1</v>
      </c>
      <c r="J291" s="59" t="inlineStr">
        <is>
          <t>AM</t>
        </is>
      </c>
      <c r="K291" s="126" t="n">
        <v>864</v>
      </c>
    </row>
    <row r="292" ht="15" customHeight="1" s="60">
      <c r="A292" s="59" t="n">
        <v>1</v>
      </c>
      <c r="B292" s="59" t="n">
        <v>314</v>
      </c>
      <c r="C292" s="59" t="inlineStr">
        <is>
          <t>1</t>
        </is>
      </c>
      <c r="D292" s="59" t="inlineStr">
        <is>
          <t>63502353000100</t>
        </is>
      </c>
      <c r="E292" s="75" t="n">
        <v>46192</v>
      </c>
      <c r="F292" s="75" t="n">
        <v>46192</v>
      </c>
      <c r="G292" s="59" t="inlineStr">
        <is>
          <t>63.502.353 JOAO WYLLAMI NASCIMENTO DOS SANTOS</t>
        </is>
      </c>
      <c r="H292" s="59" t="n">
        <v>1309128</v>
      </c>
      <c r="I292" s="59" t="n">
        <v>1</v>
      </c>
      <c r="J292" s="59" t="inlineStr">
        <is>
          <t>AM</t>
        </is>
      </c>
      <c r="K292" s="126" t="n">
        <v>837</v>
      </c>
    </row>
    <row r="293" ht="15" customHeight="1" s="60">
      <c r="A293" s="59" t="n">
        <v>1</v>
      </c>
      <c r="B293" s="59" t="n">
        <v>1168004</v>
      </c>
      <c r="C293" s="59" t="inlineStr">
        <is>
          <t>7</t>
        </is>
      </c>
      <c r="D293" s="59" t="inlineStr">
        <is>
          <t>34590315000158</t>
        </is>
      </c>
      <c r="E293" s="75" t="n">
        <v>46192</v>
      </c>
      <c r="F293" s="75" t="n">
        <v>46190</v>
      </c>
      <c r="G293" s="59" t="inlineStr">
        <is>
          <t>BRASIL NORTE BEBIDAS S/A</t>
        </is>
      </c>
      <c r="H293" s="59" t="n">
        <v>1272899</v>
      </c>
      <c r="I293" s="59" t="n">
        <v>1</v>
      </c>
      <c r="J293" s="59" t="inlineStr">
        <is>
          <t>AM</t>
        </is>
      </c>
      <c r="K293" s="126" t="n">
        <v>818.11</v>
      </c>
    </row>
    <row r="294" ht="15" customHeight="1" s="60">
      <c r="A294" s="59" t="n">
        <v>1</v>
      </c>
      <c r="B294" s="59" t="n">
        <v>1879436</v>
      </c>
      <c r="C294" s="59" t="inlineStr">
        <is>
          <t>5</t>
        </is>
      </c>
      <c r="D294" s="59" t="inlineStr">
        <is>
          <t>34590315000158</t>
        </is>
      </c>
      <c r="E294" s="75" t="n">
        <v>46192</v>
      </c>
      <c r="F294" s="75" t="n">
        <v>46184</v>
      </c>
      <c r="G294" s="59" t="inlineStr">
        <is>
          <t>BRASIL NORTE BEBIDAS S/A</t>
        </is>
      </c>
      <c r="H294" s="59" t="n">
        <v>1272650</v>
      </c>
      <c r="I294" s="59" t="n">
        <v>1</v>
      </c>
      <c r="J294" s="59" t="inlineStr">
        <is>
          <t>AM</t>
        </is>
      </c>
      <c r="K294" s="126" t="n">
        <v>5794.4</v>
      </c>
    </row>
    <row r="295" ht="15" customHeight="1" s="60">
      <c r="A295" s="59" t="n">
        <v>1</v>
      </c>
      <c r="B295" s="59" t="n">
        <v>1597184</v>
      </c>
      <c r="C295" s="59" t="inlineStr">
        <is>
          <t>1</t>
        </is>
      </c>
      <c r="D295" s="59" t="inlineStr">
        <is>
          <t>01838723026193</t>
        </is>
      </c>
      <c r="E295" s="75" t="n">
        <v>46192</v>
      </c>
      <c r="F295" s="75" t="n">
        <v>46189</v>
      </c>
      <c r="G295" s="59" t="inlineStr">
        <is>
          <t>BRF S A</t>
        </is>
      </c>
      <c r="H295" s="59" t="n">
        <v>1272759</v>
      </c>
      <c r="I295" s="59" t="n">
        <v>1</v>
      </c>
      <c r="J295" s="59" t="inlineStr">
        <is>
          <t>AM</t>
        </is>
      </c>
      <c r="K295" s="126" t="n">
        <v>1214.53</v>
      </c>
    </row>
    <row r="296" ht="15" customHeight="1" s="60">
      <c r="A296" s="59" t="n">
        <v>1</v>
      </c>
      <c r="B296" s="59" t="n">
        <v>11292</v>
      </c>
      <c r="C296" s="59" t="inlineStr">
        <is>
          <t>2</t>
        </is>
      </c>
      <c r="D296" s="59" t="inlineStr">
        <is>
          <t>40810324000100</t>
        </is>
      </c>
      <c r="E296" s="75" t="n">
        <v>46192</v>
      </c>
      <c r="F296" s="75" t="n">
        <v>46192</v>
      </c>
      <c r="G296" s="59" t="inlineStr">
        <is>
          <t>C. R. PARENTE ABREU</t>
        </is>
      </c>
      <c r="H296" s="59" t="n">
        <v>1274116</v>
      </c>
      <c r="I296" s="59" t="n">
        <v>1</v>
      </c>
      <c r="J296" s="59" t="inlineStr">
        <is>
          <t>AM</t>
        </is>
      </c>
      <c r="K296" s="126" t="n">
        <v>1033.92</v>
      </c>
    </row>
    <row r="297" ht="15" customHeight="1" s="60">
      <c r="A297" s="59" t="n">
        <v>1</v>
      </c>
      <c r="B297" s="59" t="n">
        <v>14713</v>
      </c>
      <c r="C297" s="59" t="inlineStr">
        <is>
          <t>1</t>
        </is>
      </c>
      <c r="D297" s="59" t="inlineStr">
        <is>
          <t>09531992000158</t>
        </is>
      </c>
      <c r="E297" s="75" t="n">
        <v>46192</v>
      </c>
      <c r="F297" s="75" t="n">
        <v>46192</v>
      </c>
      <c r="G297" s="59" t="inlineStr">
        <is>
          <t>COMERCIO E TRANSPORTE BRANDAO LTDA</t>
        </is>
      </c>
      <c r="H297" s="59" t="n">
        <v>1274036</v>
      </c>
      <c r="I297" s="59" t="n">
        <v>1</v>
      </c>
      <c r="J297" s="59" t="inlineStr">
        <is>
          <t>AM</t>
        </is>
      </c>
      <c r="K297" s="126" t="n">
        <v>870</v>
      </c>
    </row>
    <row r="298" ht="15" customHeight="1" s="60">
      <c r="A298" s="59" t="n">
        <v>1</v>
      </c>
      <c r="B298" s="59" t="n">
        <v>863939</v>
      </c>
      <c r="C298" s="59" t="inlineStr">
        <is>
          <t>38</t>
        </is>
      </c>
      <c r="D298" s="59" t="inlineStr">
        <is>
          <t>56228356010013</t>
        </is>
      </c>
      <c r="E298" s="75" t="n">
        <v>46192</v>
      </c>
      <c r="F298" s="75" t="n">
        <v>46190</v>
      </c>
      <c r="G298" s="59" t="inlineStr">
        <is>
          <t>CRBS S/A</t>
        </is>
      </c>
      <c r="H298" s="59" t="n">
        <v>1273522</v>
      </c>
      <c r="I298" s="59" t="n">
        <v>1</v>
      </c>
      <c r="J298" s="59" t="inlineStr">
        <is>
          <t>AM</t>
        </is>
      </c>
      <c r="K298" s="126" t="n">
        <v>4714.12</v>
      </c>
    </row>
    <row r="299" ht="15" customHeight="1" s="60">
      <c r="A299" s="59" t="n">
        <v>1</v>
      </c>
      <c r="B299" s="59" t="n">
        <v>2494</v>
      </c>
      <c r="C299" s="59" t="inlineStr">
        <is>
          <t>1</t>
        </is>
      </c>
      <c r="D299" s="59" t="inlineStr">
        <is>
          <t>63443798000166</t>
        </is>
      </c>
      <c r="E299" s="75" t="n">
        <v>46192</v>
      </c>
      <c r="F299" s="75" t="n">
        <v>46191</v>
      </c>
      <c r="G299" s="59" t="inlineStr">
        <is>
          <t>FORTVET DISTRIBUIDORA LTDA</t>
        </is>
      </c>
      <c r="H299" s="59" t="n">
        <v>1273218</v>
      </c>
      <c r="I299" s="59" t="n">
        <v>1</v>
      </c>
      <c r="J299" s="59" t="inlineStr">
        <is>
          <t>AM</t>
        </is>
      </c>
      <c r="K299" s="126" t="n">
        <v>2197.6</v>
      </c>
    </row>
    <row r="300" ht="15" customHeight="1" s="60">
      <c r="A300" s="59" t="n">
        <v>1</v>
      </c>
      <c r="B300" s="59" t="n">
        <v>20352</v>
      </c>
      <c r="C300" s="59" t="inlineStr">
        <is>
          <t>4</t>
        </is>
      </c>
      <c r="D300" s="59" t="inlineStr">
        <is>
          <t>48302595000166</t>
        </is>
      </c>
      <c r="E300" s="75" t="n">
        <v>46192</v>
      </c>
      <c r="F300" s="75" t="n">
        <v>46184</v>
      </c>
      <c r="G300" s="59" t="inlineStr">
        <is>
          <t>FUNNY PET DISTRIBUIDORA DE ALIMENTOS PAR</t>
        </is>
      </c>
      <c r="H300" s="59" t="n">
        <v>1272947</v>
      </c>
      <c r="I300" s="59" t="n">
        <v>1</v>
      </c>
      <c r="J300" s="59" t="inlineStr">
        <is>
          <t>AM</t>
        </is>
      </c>
      <c r="K300" s="126" t="n">
        <v>3789.9</v>
      </c>
    </row>
    <row r="301" ht="15" customHeight="1" s="60">
      <c r="A301" s="59" t="n">
        <v>1</v>
      </c>
      <c r="B301" s="59" t="n">
        <v>20459</v>
      </c>
      <c r="C301" s="59" t="inlineStr">
        <is>
          <t>4</t>
        </is>
      </c>
      <c r="D301" s="59" t="inlineStr">
        <is>
          <t>48302595000166</t>
        </is>
      </c>
      <c r="E301" s="75" t="n">
        <v>46192</v>
      </c>
      <c r="F301" s="75" t="n">
        <v>46185</v>
      </c>
      <c r="G301" s="59" t="inlineStr">
        <is>
          <t>FUNNY PET DISTRIBUIDORA DE ALIMENTOS PAR</t>
        </is>
      </c>
      <c r="H301" s="59" t="n">
        <v>1273631</v>
      </c>
      <c r="I301" s="59" t="n">
        <v>1</v>
      </c>
      <c r="J301" s="59" t="inlineStr">
        <is>
          <t>AM</t>
        </is>
      </c>
      <c r="K301" s="126" t="n">
        <v>1725.68</v>
      </c>
    </row>
    <row r="302" ht="15" customHeight="1" s="60">
      <c r="A302" s="59" t="n">
        <v>1</v>
      </c>
      <c r="B302" s="59" t="n">
        <v>20498</v>
      </c>
      <c r="C302" s="59" t="inlineStr">
        <is>
          <t>4</t>
        </is>
      </c>
      <c r="D302" s="59" t="inlineStr">
        <is>
          <t>48302595000166</t>
        </is>
      </c>
      <c r="E302" s="75" t="n">
        <v>46192</v>
      </c>
      <c r="F302" s="75" t="n">
        <v>46186</v>
      </c>
      <c r="G302" s="59" t="inlineStr">
        <is>
          <t>FUNNY PET DISTRIBUIDORA DE ALIMENTOS PAR</t>
        </is>
      </c>
      <c r="H302" s="59" t="n">
        <v>1273051</v>
      </c>
      <c r="I302" s="59" t="n">
        <v>1</v>
      </c>
      <c r="J302" s="59" t="inlineStr">
        <is>
          <t>AM</t>
        </is>
      </c>
      <c r="K302" s="126" t="n">
        <v>25281.2</v>
      </c>
    </row>
    <row r="303" ht="15" customHeight="1" s="60">
      <c r="A303" s="59" t="n">
        <v>1</v>
      </c>
      <c r="B303" s="59" t="n">
        <v>298</v>
      </c>
      <c r="C303" s="59" t="inlineStr">
        <is>
          <t>2</t>
        </is>
      </c>
      <c r="D303" s="59" t="inlineStr">
        <is>
          <t>20380110000133</t>
        </is>
      </c>
      <c r="E303" s="75" t="n">
        <v>46192</v>
      </c>
      <c r="F303" s="75" t="n">
        <v>46192</v>
      </c>
      <c r="G303" s="59" t="inlineStr">
        <is>
          <t>GELO DANGELO FABRICACAO DE GELO LTDA</t>
        </is>
      </c>
      <c r="H303" s="59" t="n">
        <v>1309020</v>
      </c>
      <c r="I303" s="59" t="n">
        <v>1</v>
      </c>
      <c r="J303" s="59" t="inlineStr">
        <is>
          <t>AM</t>
        </is>
      </c>
      <c r="K303" s="126" t="n">
        <v>494</v>
      </c>
    </row>
    <row r="304" ht="15" customHeight="1" s="60">
      <c r="A304" s="59" t="n">
        <v>1</v>
      </c>
      <c r="B304" s="59" t="n">
        <v>132832</v>
      </c>
      <c r="C304" s="59" t="inlineStr">
        <is>
          <t>1</t>
        </is>
      </c>
      <c r="D304" s="59" t="inlineStr">
        <is>
          <t>09454483000179</t>
        </is>
      </c>
      <c r="E304" s="75" t="n">
        <v>46192</v>
      </c>
      <c r="F304" s="75" t="n">
        <v>46189</v>
      </c>
      <c r="G304" s="59" t="inlineStr">
        <is>
          <t>H.V.M. XAVIER ALIMENTOS</t>
        </is>
      </c>
      <c r="H304" s="59" t="n">
        <v>1272612</v>
      </c>
      <c r="I304" s="59" t="n">
        <v>1</v>
      </c>
      <c r="J304" s="59" t="inlineStr">
        <is>
          <t>AM</t>
        </is>
      </c>
      <c r="K304" s="126" t="n">
        <v>421.2</v>
      </c>
    </row>
    <row r="305" ht="15" customHeight="1" s="60">
      <c r="A305" s="59" t="n">
        <v>1</v>
      </c>
      <c r="B305" s="59" t="n">
        <v>16062</v>
      </c>
      <c r="C305" s="59" t="inlineStr">
        <is>
          <t>1</t>
        </is>
      </c>
      <c r="D305" s="59" t="inlineStr">
        <is>
          <t>40259359000100</t>
        </is>
      </c>
      <c r="E305" s="75" t="n">
        <v>46192</v>
      </c>
      <c r="F305" s="75" t="n">
        <v>46189</v>
      </c>
      <c r="G305" s="59" t="inlineStr">
        <is>
          <t>LELE FABRICACAO DE MASSAS LTDA</t>
        </is>
      </c>
      <c r="H305" s="59" t="n">
        <v>1272440</v>
      </c>
      <c r="I305" s="59" t="n">
        <v>1</v>
      </c>
      <c r="J305" s="59" t="inlineStr">
        <is>
          <t>AM</t>
        </is>
      </c>
      <c r="K305" s="126" t="n">
        <v>480</v>
      </c>
    </row>
    <row r="306" ht="15" customHeight="1" s="60">
      <c r="A306" s="59" t="n">
        <v>1</v>
      </c>
      <c r="B306" s="59" t="n">
        <v>14506</v>
      </c>
      <c r="C306" s="59" t="inlineStr">
        <is>
          <t>1</t>
        </is>
      </c>
      <c r="D306" s="59" t="inlineStr">
        <is>
          <t>03784729000194</t>
        </is>
      </c>
      <c r="E306" s="75" t="n">
        <v>46192</v>
      </c>
      <c r="F306" s="75" t="n">
        <v>46191</v>
      </c>
      <c r="G306" s="59" t="inlineStr">
        <is>
          <t>MAXFRI DISTRIUIDORA LTDA</t>
        </is>
      </c>
      <c r="H306" s="59" t="n">
        <v>1274336</v>
      </c>
      <c r="I306" s="59" t="n">
        <v>1</v>
      </c>
      <c r="J306" s="59" t="inlineStr">
        <is>
          <t>AM</t>
        </is>
      </c>
      <c r="K306" s="126" t="n">
        <v>7700.86</v>
      </c>
    </row>
    <row r="307" ht="15" customHeight="1" s="60">
      <c r="A307" s="59" t="n">
        <v>1</v>
      </c>
      <c r="B307" s="59" t="n">
        <v>14516</v>
      </c>
      <c r="C307" s="59" t="inlineStr">
        <is>
          <t>1</t>
        </is>
      </c>
      <c r="D307" s="59" t="inlineStr">
        <is>
          <t>03784729000194</t>
        </is>
      </c>
      <c r="E307" s="75" t="n">
        <v>46192</v>
      </c>
      <c r="F307" s="75" t="n">
        <v>46192</v>
      </c>
      <c r="G307" s="59" t="inlineStr">
        <is>
          <t>MAXFRI DISTRIUIDORA LTDA</t>
        </is>
      </c>
      <c r="H307" s="59" t="n">
        <v>1274505</v>
      </c>
      <c r="I307" s="59" t="n">
        <v>1</v>
      </c>
      <c r="J307" s="59" t="inlineStr">
        <is>
          <t>AM</t>
        </is>
      </c>
      <c r="K307" s="126" t="n">
        <v>9768.9</v>
      </c>
    </row>
    <row r="308" ht="15" customHeight="1" s="60">
      <c r="A308" s="59" t="n">
        <v>1</v>
      </c>
      <c r="B308" s="59" t="n">
        <v>729269</v>
      </c>
      <c r="C308" s="59" t="inlineStr">
        <is>
          <t>0</t>
        </is>
      </c>
      <c r="D308" s="59" t="inlineStr">
        <is>
          <t>08038545000107</t>
        </is>
      </c>
      <c r="E308" s="75" t="n">
        <v>46192</v>
      </c>
      <c r="F308" s="75" t="n">
        <v>46189</v>
      </c>
      <c r="G308" s="59" t="inlineStr">
        <is>
          <t>NATUREZA COMERCIO DE DESCARTAVEIS LTDA</t>
        </is>
      </c>
      <c r="H308" s="59" t="n">
        <v>1272881</v>
      </c>
      <c r="I308" s="59" t="n">
        <v>1</v>
      </c>
      <c r="J308" s="59" t="inlineStr">
        <is>
          <t>AM</t>
        </is>
      </c>
      <c r="K308" s="126" t="n">
        <v>1346</v>
      </c>
    </row>
    <row r="309" ht="15" customHeight="1" s="60">
      <c r="A309" s="59" t="n">
        <v>1</v>
      </c>
      <c r="B309" s="59" t="n">
        <v>729270</v>
      </c>
      <c r="C309" s="59" t="inlineStr">
        <is>
          <t>0</t>
        </is>
      </c>
      <c r="D309" s="59" t="inlineStr">
        <is>
          <t>08038545000107</t>
        </is>
      </c>
      <c r="E309" s="75" t="n">
        <v>46192</v>
      </c>
      <c r="F309" s="75" t="n">
        <v>46189</v>
      </c>
      <c r="G309" s="59" t="inlineStr">
        <is>
          <t>NATUREZA COMERCIO DE DESCARTAVEIS LTDA</t>
        </is>
      </c>
      <c r="H309" s="59" t="n">
        <v>1272813</v>
      </c>
      <c r="I309" s="59" t="n">
        <v>3</v>
      </c>
      <c r="J309" s="59" t="inlineStr">
        <is>
          <t>AM</t>
        </is>
      </c>
      <c r="K309" s="126" t="n">
        <v>314.67</v>
      </c>
    </row>
    <row r="310" ht="15" customHeight="1" s="60">
      <c r="A310" s="59" t="n">
        <v>1</v>
      </c>
      <c r="B310" s="59" t="n">
        <v>668</v>
      </c>
      <c r="C310" s="59" t="inlineStr">
        <is>
          <t>2</t>
        </is>
      </c>
      <c r="D310" s="59" t="inlineStr">
        <is>
          <t>35729236000148</t>
        </is>
      </c>
      <c r="E310" s="75" t="n">
        <v>46192</v>
      </c>
      <c r="F310" s="75" t="n">
        <v>46189</v>
      </c>
      <c r="G310" s="59" t="inlineStr">
        <is>
          <t>PANIFICADORA E CONFEITARIA REAL MADRI LTDA</t>
        </is>
      </c>
      <c r="H310" s="59" t="n">
        <v>1272620</v>
      </c>
      <c r="I310" s="59" t="n">
        <v>1</v>
      </c>
      <c r="J310" s="59" t="inlineStr">
        <is>
          <t>AM</t>
        </is>
      </c>
      <c r="K310" s="126" t="n">
        <v>362</v>
      </c>
    </row>
    <row r="311" ht="15" customHeight="1" s="60">
      <c r="A311" s="59" t="n">
        <v>1</v>
      </c>
      <c r="B311" s="59" t="n">
        <v>1962</v>
      </c>
      <c r="C311" s="59" t="inlineStr">
        <is>
          <t>1</t>
        </is>
      </c>
      <c r="D311" s="59" t="inlineStr">
        <is>
          <t>36480282000119</t>
        </is>
      </c>
      <c r="E311" s="75" t="n">
        <v>46192</v>
      </c>
      <c r="F311" s="75" t="n">
        <v>46192</v>
      </c>
      <c r="G311" s="59" t="inlineStr">
        <is>
          <t>RENATO DE O AZEVEDO E CIA LTDA - EPP</t>
        </is>
      </c>
      <c r="H311" s="59" t="n">
        <v>1273963</v>
      </c>
      <c r="I311" s="59" t="n">
        <v>2</v>
      </c>
      <c r="J311" s="59" t="inlineStr">
        <is>
          <t>AM</t>
        </is>
      </c>
      <c r="K311" s="126" t="n">
        <v>3182</v>
      </c>
    </row>
    <row r="312" ht="15" customHeight="1" s="60">
      <c r="A312" s="59" t="n">
        <v>1</v>
      </c>
      <c r="B312" s="59" t="n">
        <v>1966</v>
      </c>
      <c r="C312" s="59" t="inlineStr">
        <is>
          <t>1</t>
        </is>
      </c>
      <c r="D312" s="59" t="inlineStr">
        <is>
          <t>36480282000119</t>
        </is>
      </c>
      <c r="E312" s="75" t="n">
        <v>46192</v>
      </c>
      <c r="F312" s="75" t="n">
        <v>46192</v>
      </c>
      <c r="G312" s="59" t="inlineStr">
        <is>
          <t>RENATO DE O AZEVEDO E CIA LTDA - EPP</t>
        </is>
      </c>
      <c r="H312" s="59" t="n">
        <v>1273809</v>
      </c>
      <c r="I312" s="59" t="n">
        <v>2</v>
      </c>
      <c r="J312" s="59" t="inlineStr">
        <is>
          <t>AM</t>
        </is>
      </c>
      <c r="K312" s="126" t="n">
        <v>3499.95</v>
      </c>
    </row>
    <row r="313" ht="15" customHeight="1" s="60">
      <c r="A313" s="59" t="n">
        <v>1</v>
      </c>
      <c r="B313" s="59" t="n">
        <v>5152</v>
      </c>
      <c r="C313" s="59" t="inlineStr">
        <is>
          <t>1</t>
        </is>
      </c>
      <c r="D313" s="59" t="inlineStr">
        <is>
          <t>36480282000119</t>
        </is>
      </c>
      <c r="E313" s="75" t="n">
        <v>46192</v>
      </c>
      <c r="F313" s="75" t="n">
        <v>46192</v>
      </c>
      <c r="G313" s="59" t="inlineStr">
        <is>
          <t>RENATO DE O AZEVEDO E CIA LTDA - EPP</t>
        </is>
      </c>
      <c r="H313" s="59" t="n">
        <v>1273837</v>
      </c>
      <c r="I313" s="59" t="n">
        <v>6</v>
      </c>
      <c r="J313" s="59" t="inlineStr">
        <is>
          <t>AM</t>
        </is>
      </c>
      <c r="K313" s="126" t="n">
        <v>3499.95</v>
      </c>
    </row>
    <row r="314" ht="15" customHeight="1" s="60">
      <c r="A314" s="59" t="n">
        <v>1</v>
      </c>
      <c r="B314" s="59" t="n">
        <v>5153</v>
      </c>
      <c r="C314" s="59" t="inlineStr">
        <is>
          <t>1</t>
        </is>
      </c>
      <c r="D314" s="59" t="inlineStr">
        <is>
          <t>36480282000119</t>
        </is>
      </c>
      <c r="E314" s="75" t="n">
        <v>46192</v>
      </c>
      <c r="F314" s="75" t="n">
        <v>46192</v>
      </c>
      <c r="G314" s="59" t="inlineStr">
        <is>
          <t>RENATO DE O AZEVEDO E CIA LTDA - EPP</t>
        </is>
      </c>
      <c r="H314" s="59" t="n">
        <v>1273979</v>
      </c>
      <c r="I314" s="59" t="n">
        <v>6</v>
      </c>
      <c r="J314" s="59" t="inlineStr">
        <is>
          <t>AM</t>
        </is>
      </c>
      <c r="K314" s="126" t="n">
        <v>3182</v>
      </c>
    </row>
    <row r="315" ht="15" customHeight="1" s="60">
      <c r="A315" s="59" t="n">
        <v>1</v>
      </c>
      <c r="B315" s="59" t="n">
        <v>250257</v>
      </c>
      <c r="C315" s="59" t="inlineStr">
        <is>
          <t>1</t>
        </is>
      </c>
      <c r="D315" s="59" t="inlineStr">
        <is>
          <t>05761306000184</t>
        </is>
      </c>
      <c r="E315" s="75" t="n">
        <v>46192</v>
      </c>
      <c r="F315" s="75" t="n">
        <v>46190</v>
      </c>
      <c r="G315" s="59" t="inlineStr">
        <is>
          <t>SABIA COMERCIO DE COSMETICOS LTDA</t>
        </is>
      </c>
      <c r="H315" s="59" t="n">
        <v>1273162</v>
      </c>
      <c r="I315" s="59" t="n">
        <v>1</v>
      </c>
      <c r="J315" s="59" t="inlineStr">
        <is>
          <t>AM</t>
        </is>
      </c>
      <c r="K315" s="126" t="n">
        <v>954.78</v>
      </c>
    </row>
    <row r="316" ht="15" customHeight="1" s="60">
      <c r="A316" s="59" t="n">
        <v>1</v>
      </c>
      <c r="B316" s="59" t="n">
        <v>3413</v>
      </c>
      <c r="C316" s="59" t="inlineStr">
        <is>
          <t>1</t>
        </is>
      </c>
      <c r="D316" s="59" t="inlineStr">
        <is>
          <t>10288430000104</t>
        </is>
      </c>
      <c r="E316" s="75" t="n">
        <v>46192</v>
      </c>
      <c r="F316" s="75" t="n">
        <v>46189</v>
      </c>
      <c r="G316" s="59" t="inlineStr">
        <is>
          <t>SAO JOSE COMERCIO DE LATICINIOS E FRIOS</t>
        </is>
      </c>
      <c r="H316" s="59" t="n">
        <v>1272643</v>
      </c>
      <c r="I316" s="59" t="n">
        <v>1</v>
      </c>
      <c r="J316" s="59" t="inlineStr">
        <is>
          <t>AM</t>
        </is>
      </c>
      <c r="K316" s="126" t="n">
        <v>1444</v>
      </c>
    </row>
    <row r="317" ht="15" customHeight="1" s="60">
      <c r="A317" s="59" t="n">
        <v>1</v>
      </c>
      <c r="B317" s="59" t="n">
        <v>462083</v>
      </c>
      <c r="C317" s="59" t="inlineStr">
        <is>
          <t>1</t>
        </is>
      </c>
      <c r="D317" s="59" t="inlineStr">
        <is>
          <t>22704425000386</t>
        </is>
      </c>
      <c r="E317" s="75" t="n">
        <v>46193</v>
      </c>
      <c r="F317" s="75" t="n">
        <v>46188</v>
      </c>
      <c r="G317" s="59" t="inlineStr">
        <is>
          <t>ADF DISTRIBUIDORA DE BEBIDAS LTDA</t>
        </is>
      </c>
      <c r="H317" s="59" t="n">
        <v>1279942</v>
      </c>
      <c r="I317" s="59" t="n">
        <v>1</v>
      </c>
      <c r="J317" s="59" t="inlineStr">
        <is>
          <t>AM</t>
        </is>
      </c>
      <c r="K317" s="126" t="n">
        <v>521.36</v>
      </c>
    </row>
    <row r="318" ht="15" customHeight="1" s="60">
      <c r="A318" s="59" t="n">
        <v>1</v>
      </c>
      <c r="B318" s="59" t="n">
        <v>503</v>
      </c>
      <c r="C318" s="59" t="inlineStr">
        <is>
          <t>1</t>
        </is>
      </c>
      <c r="D318" s="59" t="inlineStr">
        <is>
          <t>47496330000183</t>
        </is>
      </c>
      <c r="E318" s="75" t="n">
        <v>46193</v>
      </c>
      <c r="F318" s="75" t="n">
        <v>46192</v>
      </c>
      <c r="G318" s="59" t="inlineStr">
        <is>
          <t>ADICSO FABIAN GONZALEZ MONTILLA 70302186</t>
        </is>
      </c>
      <c r="H318" s="59" t="n">
        <v>1279904</v>
      </c>
      <c r="I318" s="59" t="n">
        <v>1</v>
      </c>
      <c r="J318" s="59" t="inlineStr">
        <is>
          <t>AM</t>
        </is>
      </c>
      <c r="K318" s="126" t="n">
        <v>900</v>
      </c>
    </row>
    <row r="319" ht="15" customHeight="1" s="60">
      <c r="A319" s="59" t="n">
        <v>1</v>
      </c>
      <c r="B319" s="59" t="n">
        <v>674930</v>
      </c>
      <c r="C319" s="59" t="inlineStr">
        <is>
          <t>1</t>
        </is>
      </c>
      <c r="D319" s="59" t="inlineStr">
        <is>
          <t>84520444000148</t>
        </is>
      </c>
      <c r="E319" s="75" t="n">
        <v>46193</v>
      </c>
      <c r="F319" s="75" t="n">
        <v>46190</v>
      </c>
      <c r="G319" s="59" t="inlineStr">
        <is>
          <t>DISTRIBUIDORA FARIAS LTDA.</t>
        </is>
      </c>
      <c r="H319" s="59" t="n">
        <v>1280728</v>
      </c>
      <c r="I319" s="59" t="n">
        <v>1</v>
      </c>
      <c r="J319" s="59" t="inlineStr">
        <is>
          <t>AM</t>
        </is>
      </c>
      <c r="K319" s="126" t="n">
        <v>1435.27</v>
      </c>
    </row>
    <row r="320" ht="15" customHeight="1" s="60">
      <c r="A320" s="59" t="n">
        <v>1</v>
      </c>
      <c r="B320" s="59" t="n">
        <v>1677170</v>
      </c>
      <c r="C320" s="59" t="inlineStr">
        <is>
          <t>1</t>
        </is>
      </c>
      <c r="D320" s="59" t="inlineStr">
        <is>
          <t>02796653000154</t>
        </is>
      </c>
      <c r="E320" s="75" t="n">
        <v>46193</v>
      </c>
      <c r="F320" s="75" t="n">
        <v>46192</v>
      </c>
      <c r="G320" s="59" t="inlineStr">
        <is>
          <t>DISTRIBUIDORA LOPES LTDA</t>
        </is>
      </c>
      <c r="H320" s="59" t="n">
        <v>1279794</v>
      </c>
      <c r="I320" s="59" t="n">
        <v>1</v>
      </c>
      <c r="J320" s="59" t="inlineStr">
        <is>
          <t>AM</t>
        </is>
      </c>
      <c r="K320" s="126" t="n">
        <v>3377.32</v>
      </c>
    </row>
    <row r="321" ht="15" customHeight="1" s="60">
      <c r="A321" s="59" t="n">
        <v>1</v>
      </c>
      <c r="B321" s="59" t="n">
        <v>3204500</v>
      </c>
      <c r="C321" s="59" t="inlineStr">
        <is>
          <t>1</t>
        </is>
      </c>
      <c r="D321" s="59" t="inlineStr">
        <is>
          <t>84466424000136</t>
        </is>
      </c>
      <c r="E321" s="75" t="n">
        <v>46193</v>
      </c>
      <c r="F321" s="75" t="n">
        <v>46190</v>
      </c>
      <c r="G321" s="59" t="inlineStr">
        <is>
          <t>DUNORTE DISTRIBUIDORA DE PRODUTOS DE CONSUMO LTDA</t>
        </is>
      </c>
      <c r="H321" s="59" t="n">
        <v>1280604</v>
      </c>
      <c r="I321" s="59" t="n">
        <v>1</v>
      </c>
      <c r="J321" s="59" t="inlineStr">
        <is>
          <t>AM</t>
        </is>
      </c>
      <c r="K321" s="126" t="n">
        <v>654.48</v>
      </c>
    </row>
    <row r="322" ht="15" customHeight="1" s="60">
      <c r="A322" s="59" t="n">
        <v>1</v>
      </c>
      <c r="B322" s="59" t="n">
        <v>3204501</v>
      </c>
      <c r="C322" s="59" t="inlineStr">
        <is>
          <t>1</t>
        </is>
      </c>
      <c r="D322" s="59" t="inlineStr">
        <is>
          <t>84466424000136</t>
        </is>
      </c>
      <c r="E322" s="75" t="n">
        <v>46193</v>
      </c>
      <c r="F322" s="75" t="n">
        <v>46190</v>
      </c>
      <c r="G322" s="59" t="inlineStr">
        <is>
          <t>DUNORTE DISTRIBUIDORA DE PRODUTOS DE CONSUMO LTDA</t>
        </is>
      </c>
      <c r="H322" s="59" t="n">
        <v>1280589</v>
      </c>
      <c r="I322" s="59" t="n">
        <v>1</v>
      </c>
      <c r="J322" s="59" t="inlineStr">
        <is>
          <t>AM</t>
        </is>
      </c>
      <c r="K322" s="126" t="n">
        <v>301.14</v>
      </c>
    </row>
    <row r="323" ht="15" customHeight="1" s="60">
      <c r="A323" s="59" t="n">
        <v>1</v>
      </c>
      <c r="B323" s="59" t="n">
        <v>111495</v>
      </c>
      <c r="C323" s="59" t="inlineStr">
        <is>
          <t>1</t>
        </is>
      </c>
      <c r="D323" s="59" t="inlineStr">
        <is>
          <t>01872060000167</t>
        </is>
      </c>
      <c r="E323" s="75" t="n">
        <v>46193</v>
      </c>
      <c r="F323" s="75" t="n">
        <v>46190</v>
      </c>
      <c r="G323" s="59" t="inlineStr">
        <is>
          <t>INDUSTRIA E COM. DE ALIMENTOS MORAES LTD</t>
        </is>
      </c>
      <c r="H323" s="59" t="n">
        <v>1279554</v>
      </c>
      <c r="I323" s="59" t="n">
        <v>1</v>
      </c>
      <c r="J323" s="59" t="inlineStr">
        <is>
          <t>AM</t>
        </is>
      </c>
      <c r="K323" s="126" t="n">
        <v>440</v>
      </c>
    </row>
    <row r="324" ht="15" customHeight="1" s="60">
      <c r="A324" s="59" t="n">
        <v>1</v>
      </c>
      <c r="B324" s="59" t="n">
        <v>293860</v>
      </c>
      <c r="C324" s="59" t="inlineStr">
        <is>
          <t>1</t>
        </is>
      </c>
      <c r="D324" s="59" t="inlineStr">
        <is>
          <t>08338297000101</t>
        </is>
      </c>
      <c r="E324" s="75" t="n">
        <v>46193</v>
      </c>
      <c r="F324" s="75" t="n">
        <v>46190</v>
      </c>
      <c r="G324" s="59" t="inlineStr">
        <is>
          <t>IRMÃOS LIMA  ATACADO  DE ALIMENTOS LTDA</t>
        </is>
      </c>
      <c r="H324" s="59" t="n">
        <v>1280916</v>
      </c>
      <c r="I324" s="59" t="n">
        <v>1</v>
      </c>
      <c r="J324" s="59" t="inlineStr">
        <is>
          <t>AM</t>
        </is>
      </c>
      <c r="K324" s="126" t="n">
        <v>3750.33</v>
      </c>
    </row>
    <row r="325" ht="15" customHeight="1" s="60">
      <c r="A325" s="59" t="n">
        <v>1</v>
      </c>
      <c r="B325" s="59" t="n">
        <v>156812</v>
      </c>
      <c r="C325" s="59" t="inlineStr">
        <is>
          <t>4</t>
        </is>
      </c>
      <c r="D325" s="59" t="inlineStr">
        <is>
          <t>05424338000275</t>
        </is>
      </c>
      <c r="E325" s="75" t="n">
        <v>46193</v>
      </c>
      <c r="F325" s="75" t="n">
        <v>46190</v>
      </c>
      <c r="G325" s="59" t="inlineStr">
        <is>
          <t>J. A. F. DE LIMA</t>
        </is>
      </c>
      <c r="H325" s="59" t="n">
        <v>1279613</v>
      </c>
      <c r="I325" s="59" t="n">
        <v>69</v>
      </c>
      <c r="J325" s="59" t="inlineStr">
        <is>
          <t>AM</t>
        </is>
      </c>
      <c r="K325" s="126" t="n">
        <v>431.8</v>
      </c>
    </row>
    <row r="326" ht="15" customHeight="1" s="60">
      <c r="A326" s="59" t="n">
        <v>1</v>
      </c>
      <c r="B326" s="59" t="n">
        <v>2554</v>
      </c>
      <c r="C326" s="59" t="inlineStr">
        <is>
          <t>1</t>
        </is>
      </c>
      <c r="D326" s="59" t="inlineStr">
        <is>
          <t>10583405000153</t>
        </is>
      </c>
      <c r="E326" s="75" t="n">
        <v>46193</v>
      </c>
      <c r="F326" s="75" t="n">
        <v>46192</v>
      </c>
      <c r="G326" s="59" t="inlineStr">
        <is>
          <t>J. S. MOREIRA ALVES LTDA</t>
        </is>
      </c>
      <c r="H326" s="59" t="n">
        <v>1280685</v>
      </c>
      <c r="I326" s="59" t="n">
        <v>1</v>
      </c>
      <c r="J326" s="59" t="inlineStr">
        <is>
          <t>AM</t>
        </is>
      </c>
      <c r="K326" s="126" t="n">
        <v>812.5</v>
      </c>
    </row>
    <row r="327" ht="15" customHeight="1" s="60">
      <c r="A327" s="59" t="n">
        <v>1</v>
      </c>
      <c r="B327" s="59" t="n">
        <v>3405</v>
      </c>
      <c r="C327" s="59" t="inlineStr">
        <is>
          <t>1</t>
        </is>
      </c>
      <c r="D327" s="59" t="inlineStr">
        <is>
          <t>59566132000128</t>
        </is>
      </c>
      <c r="E327" s="75" t="n">
        <v>46193</v>
      </c>
      <c r="F327" s="75" t="n">
        <v>46192</v>
      </c>
      <c r="G327" s="59" t="inlineStr">
        <is>
          <t>JAB COMERCIO DE PRODUTOS ALIMENTICIOS LT</t>
        </is>
      </c>
      <c r="H327" s="59" t="n">
        <v>1279751</v>
      </c>
      <c r="I327" s="59" t="n">
        <v>1</v>
      </c>
      <c r="J327" s="59" t="inlineStr">
        <is>
          <t>AM</t>
        </is>
      </c>
      <c r="K327" s="126" t="n">
        <v>320</v>
      </c>
    </row>
    <row r="328" ht="15" customHeight="1" s="60">
      <c r="A328" s="59" t="n">
        <v>1</v>
      </c>
      <c r="B328" s="59" t="n">
        <v>1238549</v>
      </c>
      <c r="C328" s="59" t="inlineStr">
        <is>
          <t>1</t>
        </is>
      </c>
      <c r="D328" s="59" t="inlineStr">
        <is>
          <t>02805138000193</t>
        </is>
      </c>
      <c r="E328" s="75" t="n">
        <v>46193</v>
      </c>
      <c r="F328" s="75" t="n">
        <v>46191</v>
      </c>
      <c r="G328" s="59" t="inlineStr">
        <is>
          <t>OCIDENTAL COMERCIO DE FRIOS LTDA</t>
        </is>
      </c>
      <c r="H328" s="59" t="n">
        <v>1278879</v>
      </c>
      <c r="I328" s="59" t="n">
        <v>1</v>
      </c>
      <c r="J328" s="59" t="inlineStr">
        <is>
          <t>AM</t>
        </is>
      </c>
      <c r="K328" s="126" t="n">
        <v>1113.5</v>
      </c>
    </row>
    <row r="329" ht="15" customHeight="1" s="60">
      <c r="A329" s="59" t="n">
        <v>1</v>
      </c>
      <c r="B329" s="59" t="n">
        <v>670</v>
      </c>
      <c r="C329" s="59" t="inlineStr">
        <is>
          <t>2</t>
        </is>
      </c>
      <c r="D329" s="59" t="inlineStr">
        <is>
          <t>35729236000148</t>
        </is>
      </c>
      <c r="E329" s="75" t="n">
        <v>46193</v>
      </c>
      <c r="F329" s="75" t="n">
        <v>46190</v>
      </c>
      <c r="G329" s="59" t="inlineStr">
        <is>
          <t>PANIFICADORA E CONFEITARIA REAL MADRI LTDA</t>
        </is>
      </c>
      <c r="H329" s="59" t="n">
        <v>1279917</v>
      </c>
      <c r="I329" s="59" t="n">
        <v>1</v>
      </c>
      <c r="J329" s="59" t="inlineStr">
        <is>
          <t>AM</t>
        </is>
      </c>
      <c r="K329" s="126" t="n">
        <v>384.5</v>
      </c>
    </row>
    <row r="330" ht="15" customHeight="1" s="60">
      <c r="A330" s="59" t="n">
        <v>1</v>
      </c>
      <c r="B330" s="59" t="n">
        <v>575595</v>
      </c>
      <c r="C330" s="59" t="inlineStr">
        <is>
          <t>1</t>
        </is>
      </c>
      <c r="D330" s="59" t="inlineStr">
        <is>
          <t>05498763000128</t>
        </is>
      </c>
      <c r="E330" s="75" t="n">
        <v>46193</v>
      </c>
      <c r="F330" s="75" t="n">
        <v>46189</v>
      </c>
      <c r="G330" s="59" t="inlineStr">
        <is>
          <t>TAPAJOS COM DE PERFUMARIA COSMETICOS E G</t>
        </is>
      </c>
      <c r="H330" s="59" t="n">
        <v>1279710</v>
      </c>
      <c r="I330" s="59" t="n">
        <v>1</v>
      </c>
      <c r="J330" s="59" t="inlineStr">
        <is>
          <t>AM</t>
        </is>
      </c>
      <c r="K330" s="126" t="n">
        <v>628.5599999999999</v>
      </c>
    </row>
    <row r="331" ht="15" customHeight="1" s="60">
      <c r="A331" s="59" t="n">
        <v>1</v>
      </c>
      <c r="B331" s="59" t="n">
        <v>6</v>
      </c>
      <c r="C331" s="59" t="inlineStr">
        <is>
          <t>1</t>
        </is>
      </c>
      <c r="D331" s="59" t="inlineStr">
        <is>
          <t>66356670000153</t>
        </is>
      </c>
      <c r="E331" s="75" t="n">
        <v>46195</v>
      </c>
      <c r="F331" s="75" t="n">
        <v>46195</v>
      </c>
      <c r="G331" s="59" t="inlineStr">
        <is>
          <t>66.356.670 FRANCISCO CARLOS FERNANDES COSTA</t>
        </is>
      </c>
      <c r="H331" s="59" t="n">
        <v>1309532</v>
      </c>
      <c r="I331" s="59" t="n">
        <v>1</v>
      </c>
      <c r="J331" s="59" t="inlineStr">
        <is>
          <t>AM</t>
        </is>
      </c>
      <c r="K331" s="126" t="n">
        <v>280</v>
      </c>
    </row>
    <row r="332" ht="15" customHeight="1" s="60">
      <c r="A332" s="59" t="n">
        <v>1</v>
      </c>
      <c r="B332" s="59" t="n">
        <v>7</v>
      </c>
      <c r="C332" s="59" t="inlineStr">
        <is>
          <t>1</t>
        </is>
      </c>
      <c r="D332" s="59" t="inlineStr">
        <is>
          <t>66356670000153</t>
        </is>
      </c>
      <c r="E332" s="75" t="n">
        <v>46195</v>
      </c>
      <c r="F332" s="75" t="n">
        <v>46195</v>
      </c>
      <c r="G332" s="59" t="inlineStr">
        <is>
          <t>66.356.670 FRANCISCO CARLOS FERNANDES COSTA</t>
        </is>
      </c>
      <c r="H332" s="59" t="n">
        <v>1309449</v>
      </c>
      <c r="I332" s="59" t="n">
        <v>1</v>
      </c>
      <c r="J332" s="59" t="inlineStr">
        <is>
          <t>AM</t>
        </is>
      </c>
      <c r="K332" s="126" t="n">
        <v>340</v>
      </c>
    </row>
    <row r="333" ht="15" customHeight="1" s="60">
      <c r="A333" s="59" t="n">
        <v>1</v>
      </c>
      <c r="B333" s="59" t="n">
        <v>8</v>
      </c>
      <c r="C333" s="59" t="inlineStr">
        <is>
          <t>1</t>
        </is>
      </c>
      <c r="D333" s="59" t="inlineStr">
        <is>
          <t>66356670000153</t>
        </is>
      </c>
      <c r="E333" s="75" t="n">
        <v>46195</v>
      </c>
      <c r="F333" s="75" t="n">
        <v>46195</v>
      </c>
      <c r="G333" s="59" t="inlineStr">
        <is>
          <t>66.356.670 FRANCISCO CARLOS FERNANDES COSTA</t>
        </is>
      </c>
      <c r="H333" s="59" t="n">
        <v>1309398</v>
      </c>
      <c r="I333" s="59" t="n">
        <v>1</v>
      </c>
      <c r="J333" s="59" t="inlineStr">
        <is>
          <t>AM</t>
        </is>
      </c>
      <c r="K333" s="126" t="n">
        <v>640</v>
      </c>
    </row>
    <row r="334" ht="15" customHeight="1" s="60">
      <c r="A334" s="59" t="n">
        <v>1</v>
      </c>
      <c r="B334" s="59" t="n">
        <v>9</v>
      </c>
      <c r="C334" s="59" t="inlineStr">
        <is>
          <t>1</t>
        </is>
      </c>
      <c r="D334" s="59" t="inlineStr">
        <is>
          <t>66356670000153</t>
        </is>
      </c>
      <c r="E334" s="75" t="n">
        <v>46195</v>
      </c>
      <c r="F334" s="75" t="n">
        <v>46195</v>
      </c>
      <c r="G334" s="59" t="inlineStr">
        <is>
          <t>66.356.670 FRANCISCO CARLOS FERNANDES COSTA</t>
        </is>
      </c>
      <c r="H334" s="59" t="n">
        <v>1309360</v>
      </c>
      <c r="I334" s="59" t="n">
        <v>1</v>
      </c>
      <c r="J334" s="59" t="inlineStr">
        <is>
          <t>AM</t>
        </is>
      </c>
      <c r="K334" s="126" t="n">
        <v>240</v>
      </c>
    </row>
    <row r="335" ht="15" customHeight="1" s="60">
      <c r="A335" s="59" t="n">
        <v>1</v>
      </c>
      <c r="B335" s="59" t="n">
        <v>880067</v>
      </c>
      <c r="C335" s="59" t="inlineStr">
        <is>
          <t>1</t>
        </is>
      </c>
      <c r="D335" s="59" t="inlineStr">
        <is>
          <t>04724476000126</t>
        </is>
      </c>
      <c r="E335" s="75" t="n">
        <v>46195</v>
      </c>
      <c r="F335" s="75" t="n">
        <v>46191</v>
      </c>
      <c r="G335" s="59" t="inlineStr">
        <is>
          <t>ADRIANA DISTRIBUIDORA DE PRODUTOS ALIMEN</t>
        </is>
      </c>
      <c r="H335" s="59" t="n">
        <v>1289564</v>
      </c>
      <c r="I335" s="59" t="n">
        <v>1</v>
      </c>
      <c r="J335" s="59" t="inlineStr">
        <is>
          <t>AM</t>
        </is>
      </c>
      <c r="K335" s="126" t="n">
        <v>1044</v>
      </c>
    </row>
    <row r="336" ht="15" customHeight="1" s="60">
      <c r="A336" s="59" t="n">
        <v>1</v>
      </c>
      <c r="B336" s="59" t="n">
        <v>270492</v>
      </c>
      <c r="C336" s="59" t="inlineStr">
        <is>
          <t>1</t>
        </is>
      </c>
      <c r="D336" s="59" t="inlineStr">
        <is>
          <t>84526284000144</t>
        </is>
      </c>
      <c r="E336" s="75" t="n">
        <v>46195</v>
      </c>
      <c r="F336" s="75" t="n">
        <v>46193</v>
      </c>
      <c r="G336" s="59" t="inlineStr">
        <is>
          <t>AMAZONIA INDUSTRIA E COMERCIO DE POLPAS</t>
        </is>
      </c>
      <c r="H336" s="59" t="n">
        <v>1291357</v>
      </c>
      <c r="I336" s="59" t="n">
        <v>1</v>
      </c>
      <c r="J336" s="59" t="inlineStr">
        <is>
          <t>AM</t>
        </is>
      </c>
      <c r="K336" s="126" t="n">
        <v>812</v>
      </c>
    </row>
    <row r="337" ht="15" customHeight="1" s="60">
      <c r="A337" s="59" t="n">
        <v>1</v>
      </c>
      <c r="B337" s="59" t="n">
        <v>1894396</v>
      </c>
      <c r="C337" s="59" t="inlineStr">
        <is>
          <t>1</t>
        </is>
      </c>
      <c r="D337" s="59" t="inlineStr">
        <is>
          <t>75315333011909</t>
        </is>
      </c>
      <c r="E337" s="75" t="n">
        <v>46195</v>
      </c>
      <c r="F337" s="75" t="n">
        <v>46193</v>
      </c>
      <c r="G337" s="59" t="inlineStr">
        <is>
          <t>ATACADAO S.A.</t>
        </is>
      </c>
      <c r="H337" s="59" t="n">
        <v>1291486</v>
      </c>
      <c r="I337" s="59" t="n">
        <v>1</v>
      </c>
      <c r="J337" s="59" t="inlineStr">
        <is>
          <t>AM</t>
        </is>
      </c>
      <c r="K337" s="126" t="n">
        <v>979.98</v>
      </c>
    </row>
    <row r="338" ht="15" customHeight="1" s="60">
      <c r="A338" s="59" t="n">
        <v>1</v>
      </c>
      <c r="B338" s="59" t="n">
        <v>1894397</v>
      </c>
      <c r="C338" s="59" t="inlineStr">
        <is>
          <t>1</t>
        </is>
      </c>
      <c r="D338" s="59" t="inlineStr">
        <is>
          <t>75315333011909</t>
        </is>
      </c>
      <c r="E338" s="75" t="n">
        <v>46195</v>
      </c>
      <c r="F338" s="75" t="n">
        <v>46193</v>
      </c>
      <c r="G338" s="59" t="inlineStr">
        <is>
          <t>ATACADAO S.A.</t>
        </is>
      </c>
      <c r="H338" s="59" t="n">
        <v>1291426</v>
      </c>
      <c r="I338" s="59" t="n">
        <v>1</v>
      </c>
      <c r="J338" s="59" t="inlineStr">
        <is>
          <t>AM</t>
        </is>
      </c>
      <c r="K338" s="126" t="n">
        <v>1035</v>
      </c>
    </row>
    <row r="339" ht="15" customHeight="1" s="60">
      <c r="A339" s="59" t="n">
        <v>1</v>
      </c>
      <c r="B339" s="59" t="n">
        <v>18761</v>
      </c>
      <c r="C339" s="59" t="inlineStr">
        <is>
          <t>4</t>
        </is>
      </c>
      <c r="D339" s="59" t="inlineStr">
        <is>
          <t>14539474000463</t>
        </is>
      </c>
      <c r="E339" s="75" t="n">
        <v>46195</v>
      </c>
      <c r="F339" s="75" t="n">
        <v>46192</v>
      </c>
      <c r="G339" s="59" t="inlineStr">
        <is>
          <t>BRAGA TABACARIA EIRELI ME</t>
        </is>
      </c>
      <c r="H339" s="59" t="n">
        <v>1289622</v>
      </c>
      <c r="I339" s="59" t="n">
        <v>1</v>
      </c>
      <c r="J339" s="59" t="inlineStr">
        <is>
          <t>AM</t>
        </is>
      </c>
      <c r="K339" s="126" t="n">
        <v>1401.6</v>
      </c>
    </row>
    <row r="340" ht="15" customHeight="1" s="60">
      <c r="A340" s="59" t="n">
        <v>1</v>
      </c>
      <c r="B340" s="59" t="n">
        <v>1598074</v>
      </c>
      <c r="C340" s="59" t="inlineStr">
        <is>
          <t>1</t>
        </is>
      </c>
      <c r="D340" s="59" t="inlineStr">
        <is>
          <t>01838723026193</t>
        </is>
      </c>
      <c r="E340" s="75" t="n">
        <v>46195</v>
      </c>
      <c r="F340" s="75" t="n">
        <v>46191</v>
      </c>
      <c r="G340" s="59" t="inlineStr">
        <is>
          <t>BRF S A</t>
        </is>
      </c>
      <c r="H340" s="59" t="n">
        <v>1290054</v>
      </c>
      <c r="I340" s="59" t="n">
        <v>1</v>
      </c>
      <c r="J340" s="59" t="inlineStr">
        <is>
          <t>AM</t>
        </is>
      </c>
      <c r="K340" s="126" t="n">
        <v>4206</v>
      </c>
    </row>
    <row r="341" ht="15" customHeight="1" s="60">
      <c r="A341" s="59" t="n">
        <v>1</v>
      </c>
      <c r="B341" s="59" t="n">
        <v>1598766</v>
      </c>
      <c r="C341" s="59" t="inlineStr">
        <is>
          <t>1</t>
        </is>
      </c>
      <c r="D341" s="59" t="inlineStr">
        <is>
          <t>01838723026193</t>
        </is>
      </c>
      <c r="E341" s="75" t="n">
        <v>46195</v>
      </c>
      <c r="F341" s="75" t="n">
        <v>46192</v>
      </c>
      <c r="G341" s="59" t="inlineStr">
        <is>
          <t>BRF S A</t>
        </is>
      </c>
      <c r="H341" s="59" t="n">
        <v>1290083</v>
      </c>
      <c r="I341" s="59" t="n">
        <v>1</v>
      </c>
      <c r="J341" s="59" t="inlineStr">
        <is>
          <t>AM</t>
        </is>
      </c>
      <c r="K341" s="126" t="n">
        <v>7626.92</v>
      </c>
    </row>
    <row r="342" ht="15" customHeight="1" s="60">
      <c r="A342" s="59" t="n">
        <v>1</v>
      </c>
      <c r="B342" s="59" t="n">
        <v>11298</v>
      </c>
      <c r="C342" s="59" t="inlineStr">
        <is>
          <t>2</t>
        </is>
      </c>
      <c r="D342" s="59" t="inlineStr">
        <is>
          <t>40810324000100</t>
        </is>
      </c>
      <c r="E342" s="75" t="n">
        <v>46195</v>
      </c>
      <c r="F342" s="75" t="n">
        <v>46195</v>
      </c>
      <c r="G342" s="59" t="inlineStr">
        <is>
          <t>C. R. PARENTE ABREU</t>
        </is>
      </c>
      <c r="H342" s="59" t="n">
        <v>1289995</v>
      </c>
      <c r="I342" s="59" t="n">
        <v>1</v>
      </c>
      <c r="J342" s="59" t="inlineStr">
        <is>
          <t>AM</t>
        </is>
      </c>
      <c r="K342" s="126" t="n">
        <v>729.6</v>
      </c>
    </row>
    <row r="343" ht="15" customHeight="1" s="60">
      <c r="A343" s="59" t="n">
        <v>1</v>
      </c>
      <c r="B343" s="59" t="n">
        <v>253</v>
      </c>
      <c r="C343" s="59" t="inlineStr">
        <is>
          <t>1</t>
        </is>
      </c>
      <c r="D343" s="59" t="inlineStr">
        <is>
          <t>66667506000167</t>
        </is>
      </c>
      <c r="E343" s="75" t="n">
        <v>46195</v>
      </c>
      <c r="F343" s="75" t="n">
        <v>46190</v>
      </c>
      <c r="G343" s="59" t="inlineStr">
        <is>
          <t>COARI DISTRIBUIDORA DE BEBIDAS LTDA</t>
        </is>
      </c>
      <c r="H343" s="59" t="n">
        <v>1291255</v>
      </c>
      <c r="I343" s="59" t="n">
        <v>1</v>
      </c>
      <c r="J343" s="59" t="inlineStr">
        <is>
          <t>AM</t>
        </is>
      </c>
      <c r="K343" s="126" t="n">
        <v>498.13</v>
      </c>
    </row>
    <row r="344" ht="15" customHeight="1" s="60">
      <c r="A344" s="59" t="n">
        <v>1</v>
      </c>
      <c r="B344" s="59" t="n">
        <v>402</v>
      </c>
      <c r="C344" s="59" t="inlineStr">
        <is>
          <t>3</t>
        </is>
      </c>
      <c r="D344" s="59" t="inlineStr">
        <is>
          <t>40233745000115</t>
        </is>
      </c>
      <c r="E344" s="75" t="n">
        <v>46195</v>
      </c>
      <c r="F344" s="75" t="n">
        <v>46192</v>
      </c>
      <c r="G344" s="59" t="inlineStr">
        <is>
          <t>D N COMERCIO ATACADISTA DE EMBALAGENS E</t>
        </is>
      </c>
      <c r="H344" s="59" t="n">
        <v>1289245</v>
      </c>
      <c r="I344" s="59" t="n">
        <v>1</v>
      </c>
      <c r="J344" s="59" t="inlineStr">
        <is>
          <t>AM</t>
        </is>
      </c>
      <c r="K344" s="126" t="n">
        <v>2485</v>
      </c>
    </row>
    <row r="345" ht="15" customHeight="1" s="60">
      <c r="A345" s="59" t="n">
        <v>1</v>
      </c>
      <c r="B345" s="59" t="n">
        <v>195984</v>
      </c>
      <c r="C345" s="59" t="inlineStr">
        <is>
          <t>1</t>
        </is>
      </c>
      <c r="D345" s="59" t="inlineStr">
        <is>
          <t>04916172000160</t>
        </is>
      </c>
      <c r="E345" s="75" t="n">
        <v>46195</v>
      </c>
      <c r="F345" s="75" t="n">
        <v>46191</v>
      </c>
      <c r="G345" s="59" t="inlineStr">
        <is>
          <t>DA FRUTA DISTRIBUIDORA LTDA</t>
        </is>
      </c>
      <c r="H345" s="59" t="n">
        <v>1290025</v>
      </c>
      <c r="I345" s="59" t="n">
        <v>1</v>
      </c>
      <c r="J345" s="59" t="inlineStr">
        <is>
          <t>AM</t>
        </is>
      </c>
      <c r="K345" s="126" t="n">
        <v>830.88</v>
      </c>
    </row>
    <row r="346" ht="15" customHeight="1" s="60">
      <c r="A346" s="59" t="n">
        <v>1</v>
      </c>
      <c r="B346" s="59" t="n">
        <v>1324</v>
      </c>
      <c r="C346" s="59" t="inlineStr">
        <is>
          <t>1</t>
        </is>
      </c>
      <c r="D346" s="59" t="inlineStr">
        <is>
          <t>20051932000170</t>
        </is>
      </c>
      <c r="E346" s="75" t="n">
        <v>46195</v>
      </c>
      <c r="F346" s="75" t="n">
        <v>46195</v>
      </c>
      <c r="G346" s="59" t="inlineStr">
        <is>
          <t>ESDRAS COMERCIO DE MATERIAIS ELETRICOS E</t>
        </is>
      </c>
      <c r="H346" s="59" t="n">
        <v>1289646</v>
      </c>
      <c r="I346" s="59" t="n">
        <v>1</v>
      </c>
      <c r="J346" s="59" t="inlineStr">
        <is>
          <t>AM</t>
        </is>
      </c>
      <c r="K346" s="126" t="n">
        <v>280</v>
      </c>
    </row>
    <row r="347" ht="15" customHeight="1" s="60">
      <c r="A347" s="59" t="n">
        <v>1</v>
      </c>
      <c r="B347" s="59" t="n">
        <v>30443</v>
      </c>
      <c r="C347" s="59" t="inlineStr">
        <is>
          <t>6</t>
        </is>
      </c>
      <c r="D347" s="59" t="inlineStr">
        <is>
          <t>11958002000104</t>
        </is>
      </c>
      <c r="E347" s="75" t="n">
        <v>46195</v>
      </c>
      <c r="F347" s="75" t="n">
        <v>46191</v>
      </c>
      <c r="G347" s="59" t="inlineStr">
        <is>
          <t>FALCAO INDUSTRIA DE ALIMENTOS LTDA</t>
        </is>
      </c>
      <c r="H347" s="59" t="n">
        <v>1289499</v>
      </c>
      <c r="I347" s="59" t="n">
        <v>11</v>
      </c>
      <c r="J347" s="59" t="inlineStr">
        <is>
          <t>AM</t>
        </is>
      </c>
      <c r="K347" s="126" t="n">
        <v>6132.98</v>
      </c>
    </row>
    <row r="348" ht="15" customHeight="1" s="60">
      <c r="A348" s="59" t="n">
        <v>1</v>
      </c>
      <c r="B348" s="59" t="n">
        <v>141086</v>
      </c>
      <c r="C348" s="59" t="inlineStr">
        <is>
          <t>1</t>
        </is>
      </c>
      <c r="D348" s="59" t="inlineStr">
        <is>
          <t>04259133000138</t>
        </is>
      </c>
      <c r="E348" s="75" t="n">
        <v>46195</v>
      </c>
      <c r="F348" s="75" t="n">
        <v>46192</v>
      </c>
      <c r="G348" s="59" t="inlineStr">
        <is>
          <t>FORT COMERCIO DE BEBIDA LTDA</t>
        </is>
      </c>
      <c r="H348" s="59" t="n">
        <v>1289665</v>
      </c>
      <c r="I348" s="59" t="n">
        <v>1</v>
      </c>
      <c r="J348" s="59" t="inlineStr">
        <is>
          <t>AM</t>
        </is>
      </c>
      <c r="K348" s="126" t="n">
        <v>953.9</v>
      </c>
    </row>
    <row r="349" ht="15" customHeight="1" s="60">
      <c r="A349" s="59" t="n">
        <v>1</v>
      </c>
      <c r="B349" s="59" t="n">
        <v>305</v>
      </c>
      <c r="C349" s="59" t="inlineStr">
        <is>
          <t>2</t>
        </is>
      </c>
      <c r="D349" s="59" t="inlineStr">
        <is>
          <t>20380110000133</t>
        </is>
      </c>
      <c r="E349" s="75" t="n">
        <v>46195</v>
      </c>
      <c r="F349" s="75" t="n">
        <v>46195</v>
      </c>
      <c r="G349" s="59" t="inlineStr">
        <is>
          <t>GELO DANGELO FABRICACAO DE GELO LTDA</t>
        </is>
      </c>
      <c r="H349" s="59" t="n">
        <v>1309027</v>
      </c>
      <c r="I349" s="59" t="n">
        <v>1</v>
      </c>
      <c r="J349" s="59" t="inlineStr">
        <is>
          <t>AM</t>
        </is>
      </c>
      <c r="K349" s="126" t="n">
        <v>405.5</v>
      </c>
    </row>
    <row r="350" ht="15" customHeight="1" s="60">
      <c r="A350" s="59" t="n">
        <v>1</v>
      </c>
      <c r="B350" s="59" t="n">
        <v>5675</v>
      </c>
      <c r="C350" s="59" t="inlineStr">
        <is>
          <t>1</t>
        </is>
      </c>
      <c r="D350" s="59" t="inlineStr">
        <is>
          <t>13854487000111</t>
        </is>
      </c>
      <c r="E350" s="75" t="n">
        <v>46195</v>
      </c>
      <c r="F350" s="75" t="n">
        <v>46191</v>
      </c>
      <c r="G350" s="59" t="inlineStr">
        <is>
          <t>HILTONMAR LIMA DO NASCIMENTO</t>
        </is>
      </c>
      <c r="H350" s="59" t="n">
        <v>1289506</v>
      </c>
      <c r="I350" s="59" t="n">
        <v>1</v>
      </c>
      <c r="J350" s="59" t="inlineStr">
        <is>
          <t>AM</t>
        </is>
      </c>
      <c r="K350" s="126" t="n">
        <v>567.3</v>
      </c>
    </row>
    <row r="351" ht="15" customHeight="1" s="60">
      <c r="A351" s="59" t="n">
        <v>1</v>
      </c>
      <c r="B351" s="59" t="n">
        <v>1693</v>
      </c>
      <c r="C351" s="59" t="inlineStr">
        <is>
          <t>1</t>
        </is>
      </c>
      <c r="D351" s="59" t="inlineStr">
        <is>
          <t>34413660000116</t>
        </is>
      </c>
      <c r="E351" s="75" t="n">
        <v>46195</v>
      </c>
      <c r="F351" s="75" t="n">
        <v>46191</v>
      </c>
      <c r="G351" s="59" t="inlineStr">
        <is>
          <t>KAROLINY RODRIGUES SOUZA VENANCIO 915783</t>
        </is>
      </c>
      <c r="H351" s="59" t="n">
        <v>1289427</v>
      </c>
      <c r="I351" s="59" t="n">
        <v>1</v>
      </c>
      <c r="J351" s="59" t="inlineStr">
        <is>
          <t>AM</t>
        </is>
      </c>
      <c r="K351" s="126" t="n">
        <v>450</v>
      </c>
    </row>
    <row r="352" ht="15" customHeight="1" s="60">
      <c r="A352" s="59" t="n">
        <v>1</v>
      </c>
      <c r="B352" s="59" t="n">
        <v>31034</v>
      </c>
      <c r="C352" s="59" t="inlineStr">
        <is>
          <t>1</t>
        </is>
      </c>
      <c r="D352" s="59" t="inlineStr">
        <is>
          <t>30996759000137</t>
        </is>
      </c>
      <c r="E352" s="75" t="n">
        <v>46195</v>
      </c>
      <c r="F352" s="75" t="n">
        <v>46191</v>
      </c>
      <c r="G352" s="59" t="inlineStr">
        <is>
          <t>LIMA E BARANDA COMERCIO DE PRODUTOS REGI</t>
        </is>
      </c>
      <c r="H352" s="59" t="n">
        <v>1289632</v>
      </c>
      <c r="I352" s="59" t="n">
        <v>1</v>
      </c>
      <c r="J352" s="59" t="inlineStr">
        <is>
          <t>AM</t>
        </is>
      </c>
      <c r="K352" s="126" t="n">
        <v>233.5</v>
      </c>
    </row>
    <row r="353" ht="15" customHeight="1" s="60">
      <c r="A353" s="59" t="n">
        <v>1</v>
      </c>
      <c r="B353" s="59" t="n">
        <v>14526</v>
      </c>
      <c r="C353" s="59" t="inlineStr">
        <is>
          <t>1</t>
        </is>
      </c>
      <c r="D353" s="59" t="inlineStr">
        <is>
          <t>03784729000194</t>
        </is>
      </c>
      <c r="E353" s="75" t="n">
        <v>46195</v>
      </c>
      <c r="F353" s="75" t="n">
        <v>46193</v>
      </c>
      <c r="G353" s="59" t="inlineStr">
        <is>
          <t>MAXFRI DISTRIUIDORA LTDA</t>
        </is>
      </c>
      <c r="H353" s="59" t="n">
        <v>1289204</v>
      </c>
      <c r="I353" s="59" t="n">
        <v>1</v>
      </c>
      <c r="J353" s="59" t="inlineStr">
        <is>
          <t>AM</t>
        </is>
      </c>
      <c r="K353" s="126" t="n">
        <v>8271.059999999999</v>
      </c>
    </row>
    <row r="354" ht="15" customHeight="1" s="60">
      <c r="A354" s="59" t="n">
        <v>1</v>
      </c>
      <c r="B354" s="59" t="n">
        <v>3830</v>
      </c>
      <c r="C354" s="59" t="inlineStr">
        <is>
          <t>1</t>
        </is>
      </c>
      <c r="D354" s="59" t="inlineStr">
        <is>
          <t>14459228000159</t>
        </is>
      </c>
      <c r="E354" s="75" t="n">
        <v>46195</v>
      </c>
      <c r="F354" s="75" t="n">
        <v>46192</v>
      </c>
      <c r="G354" s="59" t="inlineStr">
        <is>
          <t>NOVA FRIOS COMERCIO ATACADISTA DE LATICINIOS LTDA</t>
        </is>
      </c>
      <c r="H354" s="59" t="n">
        <v>1289688</v>
      </c>
      <c r="I354" s="59" t="n">
        <v>1</v>
      </c>
      <c r="J354" s="59" t="inlineStr">
        <is>
          <t>AM</t>
        </is>
      </c>
      <c r="K354" s="126" t="n">
        <v>226.4</v>
      </c>
    </row>
    <row r="355" ht="15" customHeight="1" s="60">
      <c r="A355" s="59" t="n">
        <v>1</v>
      </c>
      <c r="B355" s="59" t="n">
        <v>1238958</v>
      </c>
      <c r="C355" s="59" t="inlineStr">
        <is>
          <t>1</t>
        </is>
      </c>
      <c r="D355" s="59" t="inlineStr">
        <is>
          <t>02805138000193</t>
        </is>
      </c>
      <c r="E355" s="75" t="n">
        <v>46195</v>
      </c>
      <c r="F355" s="75" t="n">
        <v>46192</v>
      </c>
      <c r="G355" s="59" t="inlineStr">
        <is>
          <t>OCIDENTAL COMERCIO DE FRIOS LTDA</t>
        </is>
      </c>
      <c r="H355" s="59" t="n">
        <v>1289301</v>
      </c>
      <c r="I355" s="59" t="n">
        <v>1</v>
      </c>
      <c r="J355" s="59" t="inlineStr">
        <is>
          <t>AM</t>
        </is>
      </c>
      <c r="K355" s="126" t="n">
        <v>6817.76</v>
      </c>
    </row>
    <row r="356" ht="15" customHeight="1" s="60">
      <c r="A356" s="59" t="n">
        <v>1</v>
      </c>
      <c r="B356" s="59" t="n">
        <v>34212</v>
      </c>
      <c r="C356" s="59" t="inlineStr">
        <is>
          <t>3</t>
        </is>
      </c>
      <c r="D356" s="59" t="inlineStr">
        <is>
          <t>34857865000190</t>
        </is>
      </c>
      <c r="E356" s="75" t="n">
        <v>46195</v>
      </c>
      <c r="F356" s="75" t="n">
        <v>46190</v>
      </c>
      <c r="G356" s="59" t="inlineStr">
        <is>
          <t>OPPORTUNITY ALIMENTOS PARA ANIMAIS LTDA</t>
        </is>
      </c>
      <c r="H356" s="59" t="n">
        <v>1291292</v>
      </c>
      <c r="I356" s="59" t="n">
        <v>1</v>
      </c>
      <c r="J356" s="59" t="inlineStr">
        <is>
          <t>AM</t>
        </is>
      </c>
      <c r="K356" s="126" t="n">
        <v>5925</v>
      </c>
    </row>
    <row r="357" ht="15" customHeight="1" s="60">
      <c r="A357" s="59" t="n">
        <v>1</v>
      </c>
      <c r="B357" s="59" t="n">
        <v>671</v>
      </c>
      <c r="C357" s="59" t="inlineStr">
        <is>
          <t>2</t>
        </is>
      </c>
      <c r="D357" s="59" t="inlineStr">
        <is>
          <t>35729236000148</t>
        </is>
      </c>
      <c r="E357" s="75" t="n">
        <v>46195</v>
      </c>
      <c r="F357" s="75" t="n">
        <v>46191</v>
      </c>
      <c r="G357" s="59" t="inlineStr">
        <is>
          <t>PANIFICADORA E CONFEITARIA REAL MADRI LTDA</t>
        </is>
      </c>
      <c r="H357" s="59" t="n">
        <v>1289255</v>
      </c>
      <c r="I357" s="59" t="n">
        <v>1</v>
      </c>
      <c r="J357" s="59" t="inlineStr">
        <is>
          <t>AM</t>
        </is>
      </c>
      <c r="K357" s="126" t="n">
        <v>750</v>
      </c>
    </row>
    <row r="358" ht="15" customHeight="1" s="60">
      <c r="A358" s="59" t="n">
        <v>1</v>
      </c>
      <c r="B358" s="59" t="n">
        <v>673</v>
      </c>
      <c r="C358" s="59" t="inlineStr">
        <is>
          <t>2</t>
        </is>
      </c>
      <c r="D358" s="59" t="inlineStr">
        <is>
          <t>35729236000148</t>
        </is>
      </c>
      <c r="E358" s="75" t="n">
        <v>46195</v>
      </c>
      <c r="F358" s="75" t="n">
        <v>46192</v>
      </c>
      <c r="G358" s="59" t="inlineStr">
        <is>
          <t>PANIFICADORA E CONFEITARIA REAL MADRI LTDA</t>
        </is>
      </c>
      <c r="H358" s="59" t="n">
        <v>1289269</v>
      </c>
      <c r="I358" s="59" t="n">
        <v>1</v>
      </c>
      <c r="J358" s="59" t="inlineStr">
        <is>
          <t>AM</t>
        </is>
      </c>
      <c r="K358" s="126" t="n">
        <v>991.55</v>
      </c>
    </row>
    <row r="359" ht="15" customHeight="1" s="60">
      <c r="A359" s="59" t="n">
        <v>1</v>
      </c>
      <c r="B359" s="59" t="n">
        <v>5168</v>
      </c>
      <c r="C359" s="59" t="inlineStr">
        <is>
          <t>1</t>
        </is>
      </c>
      <c r="D359" s="59" t="inlineStr">
        <is>
          <t>36480282000119</t>
        </is>
      </c>
      <c r="E359" s="75" t="n">
        <v>46195</v>
      </c>
      <c r="F359" s="75" t="n">
        <v>46195</v>
      </c>
      <c r="G359" s="59" t="inlineStr">
        <is>
          <t>RENATO DE O AZEVEDO E CIA LTDA - EPP</t>
        </is>
      </c>
      <c r="H359" s="59" t="n">
        <v>1290725</v>
      </c>
      <c r="I359" s="59" t="n">
        <v>6</v>
      </c>
      <c r="J359" s="59" t="inlineStr">
        <is>
          <t>AM</t>
        </is>
      </c>
      <c r="K359" s="126" t="n">
        <v>360</v>
      </c>
    </row>
    <row r="360" ht="15" customHeight="1" s="60">
      <c r="A360" s="59" t="n">
        <v>1</v>
      </c>
      <c r="B360" s="59" t="n">
        <v>9626</v>
      </c>
      <c r="C360" s="59" t="inlineStr">
        <is>
          <t>1</t>
        </is>
      </c>
      <c r="D360" s="59" t="inlineStr">
        <is>
          <t>36480282000119</t>
        </is>
      </c>
      <c r="E360" s="75" t="n">
        <v>46195</v>
      </c>
      <c r="F360" s="75" t="n">
        <v>46195</v>
      </c>
      <c r="G360" s="59" t="inlineStr">
        <is>
          <t>RENATO DE O AZEVEDO E CIA LTDA - EPP</t>
        </is>
      </c>
      <c r="H360" s="59" t="n">
        <v>1290682</v>
      </c>
      <c r="I360" s="59" t="n">
        <v>2</v>
      </c>
      <c r="J360" s="59" t="inlineStr">
        <is>
          <t>AM</t>
        </is>
      </c>
      <c r="K360" s="126" t="n">
        <v>360</v>
      </c>
    </row>
    <row r="361" ht="15" customHeight="1" s="60">
      <c r="A361" s="59" t="n">
        <v>1</v>
      </c>
      <c r="B361" s="59" t="n">
        <v>3441</v>
      </c>
      <c r="C361" s="59" t="inlineStr">
        <is>
          <t>1</t>
        </is>
      </c>
      <c r="D361" s="59" t="inlineStr">
        <is>
          <t>10288430000104</t>
        </is>
      </c>
      <c r="E361" s="75" t="n">
        <v>46195</v>
      </c>
      <c r="F361" s="75" t="n">
        <v>46192</v>
      </c>
      <c r="G361" s="59" t="inlineStr">
        <is>
          <t>SAO JOSE COMERCIO DE LATICINIOS E FRIOS</t>
        </is>
      </c>
      <c r="H361" s="59" t="n">
        <v>1289607</v>
      </c>
      <c r="I361" s="59" t="n">
        <v>3</v>
      </c>
      <c r="J361" s="59" t="inlineStr">
        <is>
          <t>AM</t>
        </is>
      </c>
      <c r="K361" s="126" t="n">
        <v>717.5</v>
      </c>
    </row>
    <row r="362" ht="15" customHeight="1" s="60">
      <c r="A362" s="59" t="n">
        <v>1</v>
      </c>
      <c r="B362" s="59" t="n">
        <v>3442</v>
      </c>
      <c r="C362" s="59" t="inlineStr">
        <is>
          <t>1</t>
        </is>
      </c>
      <c r="D362" s="59" t="inlineStr">
        <is>
          <t>10288430000104</t>
        </is>
      </c>
      <c r="E362" s="75" t="n">
        <v>46195</v>
      </c>
      <c r="F362" s="75" t="n">
        <v>46192</v>
      </c>
      <c r="G362" s="59" t="inlineStr">
        <is>
          <t>SAO JOSE COMERCIO DE LATICINIOS E FRIOS</t>
        </is>
      </c>
      <c r="H362" s="59" t="n">
        <v>1289612</v>
      </c>
      <c r="I362" s="59" t="n">
        <v>1</v>
      </c>
      <c r="J362" s="59" t="inlineStr">
        <is>
          <t>AM</t>
        </is>
      </c>
      <c r="K362" s="126" t="n">
        <v>1709</v>
      </c>
    </row>
    <row r="363" ht="15" customHeight="1" s="60">
      <c r="A363" s="59" t="n">
        <v>1</v>
      </c>
      <c r="B363" s="59" t="n">
        <v>31244</v>
      </c>
      <c r="C363" s="59" t="inlineStr">
        <is>
          <t>1</t>
        </is>
      </c>
      <c r="D363" s="59" t="inlineStr">
        <is>
          <t>30652116000176</t>
        </is>
      </c>
      <c r="E363" s="75" t="n">
        <v>46195</v>
      </c>
      <c r="F363" s="75" t="n">
        <v>46193</v>
      </c>
      <c r="G363" s="59" t="inlineStr">
        <is>
          <t>SILVA E SANTOS FRIGORIFICO LTDA</t>
        </is>
      </c>
      <c r="H363" s="59" t="n">
        <v>1289125</v>
      </c>
      <c r="I363" s="59" t="n">
        <v>1</v>
      </c>
      <c r="J363" s="59" t="inlineStr">
        <is>
          <t>AM</t>
        </is>
      </c>
      <c r="K363" s="126" t="n">
        <v>1840</v>
      </c>
    </row>
    <row r="364" ht="15" customHeight="1" s="60">
      <c r="A364" s="59" t="n">
        <v>1</v>
      </c>
      <c r="B364" s="59" t="n">
        <v>31245</v>
      </c>
      <c r="C364" s="59" t="inlineStr">
        <is>
          <t>1</t>
        </is>
      </c>
      <c r="D364" s="59" t="inlineStr">
        <is>
          <t>30652116000176</t>
        </is>
      </c>
      <c r="E364" s="75" t="n">
        <v>46195</v>
      </c>
      <c r="F364" s="75" t="n">
        <v>46193</v>
      </c>
      <c r="G364" s="59" t="inlineStr">
        <is>
          <t>SILVA E SANTOS FRIGORIFICO LTDA</t>
        </is>
      </c>
      <c r="H364" s="59" t="n">
        <v>1289188</v>
      </c>
      <c r="I364" s="59" t="n">
        <v>1</v>
      </c>
      <c r="J364" s="59" t="inlineStr">
        <is>
          <t>AM</t>
        </is>
      </c>
      <c r="K364" s="126" t="n">
        <v>3337.5</v>
      </c>
    </row>
    <row r="365" ht="15" customHeight="1" s="60">
      <c r="A365" s="59" t="n">
        <v>1</v>
      </c>
      <c r="B365" s="59" t="n">
        <v>10610</v>
      </c>
      <c r="C365" s="59" t="inlineStr">
        <is>
          <t>1</t>
        </is>
      </c>
      <c r="D365" s="59" t="inlineStr">
        <is>
          <t>37994707000170</t>
        </is>
      </c>
      <c r="E365" s="75" t="n">
        <v>46195</v>
      </c>
      <c r="F365" s="75" t="n">
        <v>46191</v>
      </c>
      <c r="G365" s="59" t="inlineStr">
        <is>
          <t>T A DE MATTOS COMIM EIRELI</t>
        </is>
      </c>
      <c r="H365" s="59" t="n">
        <v>1289278</v>
      </c>
      <c r="I365" s="59" t="n">
        <v>1</v>
      </c>
      <c r="J365" s="59" t="inlineStr">
        <is>
          <t>AM</t>
        </is>
      </c>
      <c r="K365" s="126" t="n">
        <v>228</v>
      </c>
    </row>
    <row r="366" ht="15" customHeight="1" s="60">
      <c r="A366" s="59" t="n">
        <v>1</v>
      </c>
      <c r="B366" s="59" t="n">
        <v>15045</v>
      </c>
      <c r="C366" s="59" t="inlineStr">
        <is>
          <t>1</t>
        </is>
      </c>
      <c r="D366" s="59" t="inlineStr">
        <is>
          <t>01215382000133</t>
        </is>
      </c>
      <c r="E366" s="75" t="n">
        <v>46195</v>
      </c>
      <c r="F366" s="75" t="n">
        <v>46195</v>
      </c>
      <c r="G366" s="59" t="inlineStr">
        <is>
          <t>T. M. L. DA SILVA LTDA</t>
        </is>
      </c>
      <c r="H366" s="59" t="n">
        <v>1291379</v>
      </c>
      <c r="I366" s="59" t="n">
        <v>1</v>
      </c>
      <c r="J366" s="59" t="inlineStr">
        <is>
          <t>AM</t>
        </is>
      </c>
      <c r="K366" s="126" t="n">
        <v>642.79</v>
      </c>
    </row>
    <row r="367" ht="15" customHeight="1" s="60">
      <c r="A367" s="59" t="n">
        <v>1</v>
      </c>
      <c r="B367" s="59" t="n">
        <v>10134</v>
      </c>
      <c r="C367" s="59" t="inlineStr">
        <is>
          <t>2</t>
        </is>
      </c>
      <c r="D367" s="59" t="inlineStr">
        <is>
          <t>36296113000123</t>
        </is>
      </c>
      <c r="E367" s="75" t="n">
        <v>46195</v>
      </c>
      <c r="F367" s="75" t="n">
        <v>46191</v>
      </c>
      <c r="G367" s="59" t="inlineStr">
        <is>
          <t>VITAPAN COMERCIO VAREJISTA DE PRODUTOS ALIMENTICIOS LTDA</t>
        </is>
      </c>
      <c r="H367" s="59" t="n">
        <v>1289273</v>
      </c>
      <c r="I367" s="59" t="n">
        <v>1</v>
      </c>
      <c r="J367" s="59" t="inlineStr">
        <is>
          <t>AM</t>
        </is>
      </c>
      <c r="K367" s="126" t="n">
        <v>1134</v>
      </c>
    </row>
    <row r="368" ht="15" customHeight="1" s="60">
      <c r="A368" s="59" t="n">
        <v>1</v>
      </c>
      <c r="B368" s="59" t="n">
        <v>3630</v>
      </c>
      <c r="C368" s="59" t="inlineStr">
        <is>
          <t>3</t>
        </is>
      </c>
      <c r="D368" s="59" t="inlineStr">
        <is>
          <t>37225449000168</t>
        </is>
      </c>
      <c r="E368" s="75" t="n">
        <v>46195</v>
      </c>
      <c r="F368" s="75" t="n">
        <v>46195</v>
      </c>
      <c r="G368" s="59" t="inlineStr">
        <is>
          <t>VOVO DIZA COMERCIO VAREJISTA DE HORTALICAS LTDA</t>
        </is>
      </c>
      <c r="H368" s="59" t="n">
        <v>1309210</v>
      </c>
      <c r="I368" s="59" t="n">
        <v>1</v>
      </c>
      <c r="J368" s="59" t="inlineStr">
        <is>
          <t>AM</t>
        </is>
      </c>
      <c r="K368" s="126" t="n">
        <v>135</v>
      </c>
    </row>
    <row r="369" ht="15" customHeight="1" s="60">
      <c r="A369" s="59" t="n">
        <v>1</v>
      </c>
      <c r="B369" s="59" t="n">
        <v>32</v>
      </c>
      <c r="C369" s="59" t="inlineStr">
        <is>
          <t>1</t>
        </is>
      </c>
      <c r="D369" s="59" t="inlineStr">
        <is>
          <t>66356670000153</t>
        </is>
      </c>
      <c r="E369" s="75" t="n">
        <v>46196</v>
      </c>
      <c r="F369" s="75" t="n">
        <v>46196</v>
      </c>
      <c r="G369" s="59" t="inlineStr">
        <is>
          <t>66.356.670 FRANCISCO CARLOS FERNANDES COSTA</t>
        </is>
      </c>
      <c r="H369" s="59" t="n">
        <v>1309564</v>
      </c>
      <c r="I369" s="59" t="n">
        <v>1</v>
      </c>
      <c r="J369" s="59" t="inlineStr">
        <is>
          <t>AM</t>
        </is>
      </c>
      <c r="K369" s="126" t="n">
        <v>240</v>
      </c>
    </row>
    <row r="370" ht="15" customHeight="1" s="60">
      <c r="A370" s="59" t="n">
        <v>1</v>
      </c>
      <c r="B370" s="59" t="n">
        <v>1892632</v>
      </c>
      <c r="C370" s="59" t="inlineStr">
        <is>
          <t>1</t>
        </is>
      </c>
      <c r="D370" s="59" t="inlineStr">
        <is>
          <t>75315333011909</t>
        </is>
      </c>
      <c r="E370" s="75" t="n">
        <v>46196</v>
      </c>
      <c r="F370" s="75" t="n">
        <v>46190</v>
      </c>
      <c r="G370" s="59" t="inlineStr">
        <is>
          <t>ATACADAO S.A.</t>
        </is>
      </c>
      <c r="H370" s="59" t="n">
        <v>1295752</v>
      </c>
      <c r="I370" s="59" t="n">
        <v>1</v>
      </c>
      <c r="J370" s="59" t="inlineStr">
        <is>
          <t>AM</t>
        </is>
      </c>
      <c r="K370" s="126" t="n">
        <v>757</v>
      </c>
    </row>
    <row r="371" ht="15" customHeight="1" s="60">
      <c r="A371" s="59" t="n">
        <v>1</v>
      </c>
      <c r="B371" s="59" t="n">
        <v>1894398</v>
      </c>
      <c r="C371" s="59" t="inlineStr">
        <is>
          <t>1</t>
        </is>
      </c>
      <c r="D371" s="59" t="inlineStr">
        <is>
          <t>75315333011909</t>
        </is>
      </c>
      <c r="E371" s="75" t="n">
        <v>46196</v>
      </c>
      <c r="F371" s="75" t="n">
        <v>46193</v>
      </c>
      <c r="G371" s="59" t="inlineStr">
        <is>
          <t>ATACADAO S.A.</t>
        </is>
      </c>
      <c r="H371" s="59" t="n">
        <v>1296353</v>
      </c>
      <c r="I371" s="59" t="n">
        <v>1</v>
      </c>
      <c r="J371" s="59" t="inlineStr">
        <is>
          <t>AM</t>
        </is>
      </c>
      <c r="K371" s="126" t="n">
        <v>977.5</v>
      </c>
    </row>
    <row r="372" ht="15" customHeight="1" s="60">
      <c r="A372" s="59" t="n">
        <v>1</v>
      </c>
      <c r="B372" s="59" t="n">
        <v>1170325</v>
      </c>
      <c r="C372" s="59" t="inlineStr">
        <is>
          <t>7</t>
        </is>
      </c>
      <c r="D372" s="59" t="inlineStr">
        <is>
          <t>34590315000158</t>
        </is>
      </c>
      <c r="E372" s="75" t="n">
        <v>46196</v>
      </c>
      <c r="F372" s="75" t="n">
        <v>46191</v>
      </c>
      <c r="G372" s="59" t="inlineStr">
        <is>
          <t>BRASIL NORTE BEBIDAS S/A</t>
        </is>
      </c>
      <c r="H372" s="59" t="n">
        <v>1295867</v>
      </c>
      <c r="I372" s="59" t="n">
        <v>1</v>
      </c>
      <c r="J372" s="59" t="inlineStr">
        <is>
          <t>AM</t>
        </is>
      </c>
      <c r="K372" s="126" t="n">
        <v>3032.35</v>
      </c>
    </row>
    <row r="373" ht="15" customHeight="1" s="60">
      <c r="A373" s="59" t="n">
        <v>1</v>
      </c>
      <c r="B373" s="59" t="n">
        <v>1170695</v>
      </c>
      <c r="C373" s="59" t="inlineStr">
        <is>
          <t>7</t>
        </is>
      </c>
      <c r="D373" s="59" t="inlineStr">
        <is>
          <t>34590315000158</t>
        </is>
      </c>
      <c r="E373" s="75" t="n">
        <v>46196</v>
      </c>
      <c r="F373" s="75" t="n">
        <v>46192</v>
      </c>
      <c r="G373" s="59" t="inlineStr">
        <is>
          <t>BRASIL NORTE BEBIDAS S/A</t>
        </is>
      </c>
      <c r="H373" s="59" t="n">
        <v>1295709</v>
      </c>
      <c r="I373" s="59" t="n">
        <v>1</v>
      </c>
      <c r="J373" s="59" t="inlineStr">
        <is>
          <t>AM</t>
        </is>
      </c>
      <c r="K373" s="126" t="n">
        <v>930.12</v>
      </c>
    </row>
    <row r="374" ht="15" customHeight="1" s="60">
      <c r="A374" s="59" t="n">
        <v>1</v>
      </c>
      <c r="B374" s="59" t="n">
        <v>1892110</v>
      </c>
      <c r="C374" s="59" t="inlineStr">
        <is>
          <t>5</t>
        </is>
      </c>
      <c r="D374" s="59" t="inlineStr">
        <is>
          <t>34590315000158</t>
        </is>
      </c>
      <c r="E374" s="75" t="n">
        <v>46196</v>
      </c>
      <c r="F374" s="75" t="n">
        <v>46191</v>
      </c>
      <c r="G374" s="59" t="inlineStr">
        <is>
          <t>BRASIL NORTE BEBIDAS S/A</t>
        </is>
      </c>
      <c r="H374" s="59" t="n">
        <v>1296332</v>
      </c>
      <c r="I374" s="59" t="n">
        <v>1</v>
      </c>
      <c r="J374" s="59" t="inlineStr">
        <is>
          <t>AM</t>
        </is>
      </c>
      <c r="K374" s="126" t="n">
        <v>6040.63</v>
      </c>
    </row>
    <row r="375" ht="15" customHeight="1" s="60">
      <c r="A375" s="59" t="n">
        <v>1</v>
      </c>
      <c r="B375" s="59" t="n">
        <v>14736</v>
      </c>
      <c r="C375" s="59" t="inlineStr">
        <is>
          <t>1</t>
        </is>
      </c>
      <c r="D375" s="59" t="inlineStr">
        <is>
          <t>09531992000158</t>
        </is>
      </c>
      <c r="E375" s="75" t="n">
        <v>46196</v>
      </c>
      <c r="F375" s="75" t="n">
        <v>46196</v>
      </c>
      <c r="G375" s="59" t="inlineStr">
        <is>
          <t>COMERCIO E TRANSPORTE BRANDAO LTDA</t>
        </is>
      </c>
      <c r="H375" s="59" t="n">
        <v>1295750</v>
      </c>
      <c r="I375" s="59" t="n">
        <v>1</v>
      </c>
      <c r="J375" s="59" t="inlineStr">
        <is>
          <t>AM</t>
        </is>
      </c>
      <c r="K375" s="126" t="n">
        <v>390</v>
      </c>
    </row>
    <row r="376" ht="15" customHeight="1" s="60">
      <c r="A376" s="59" t="n">
        <v>1</v>
      </c>
      <c r="B376" s="59" t="n">
        <v>646739</v>
      </c>
      <c r="C376" s="59" t="inlineStr">
        <is>
          <t>1</t>
        </is>
      </c>
      <c r="D376" s="59" t="inlineStr">
        <is>
          <t>84511351000157</t>
        </is>
      </c>
      <c r="E376" s="75" t="n">
        <v>46196</v>
      </c>
      <c r="F376" s="75" t="n">
        <v>46193</v>
      </c>
      <c r="G376" s="59" t="inlineStr">
        <is>
          <t>DURAES DISTRIBUIDORA DE ESTIVAS LTDA</t>
        </is>
      </c>
      <c r="H376" s="59" t="n">
        <v>1296431</v>
      </c>
      <c r="I376" s="59" t="n">
        <v>1</v>
      </c>
      <c r="J376" s="59" t="inlineStr">
        <is>
          <t>AM</t>
        </is>
      </c>
      <c r="K376" s="126" t="n">
        <v>924.1799999999999</v>
      </c>
    </row>
    <row r="377" ht="15" customHeight="1" s="60">
      <c r="A377" s="59" t="n">
        <v>1</v>
      </c>
      <c r="B377" s="59" t="n">
        <v>646740</v>
      </c>
      <c r="C377" s="59" t="inlineStr">
        <is>
          <t>1</t>
        </is>
      </c>
      <c r="D377" s="59" t="inlineStr">
        <is>
          <t>84511351000157</t>
        </is>
      </c>
      <c r="E377" s="75" t="n">
        <v>46196</v>
      </c>
      <c r="F377" s="75" t="n">
        <v>46193</v>
      </c>
      <c r="G377" s="59" t="inlineStr">
        <is>
          <t>DURAES DISTRIBUIDORA DE ESTIVAS LTDA</t>
        </is>
      </c>
      <c r="H377" s="59" t="n">
        <v>1296447</v>
      </c>
      <c r="I377" s="59" t="n">
        <v>1</v>
      </c>
      <c r="J377" s="59" t="inlineStr">
        <is>
          <t>AM</t>
        </is>
      </c>
      <c r="K377" s="126" t="n">
        <v>211.68</v>
      </c>
    </row>
    <row r="378" ht="15" customHeight="1" s="60">
      <c r="A378" s="59" t="n">
        <v>1</v>
      </c>
      <c r="B378" s="59" t="n">
        <v>156818</v>
      </c>
      <c r="C378" s="59" t="inlineStr">
        <is>
          <t>4</t>
        </is>
      </c>
      <c r="D378" s="59" t="inlineStr">
        <is>
          <t>05424338000275</t>
        </is>
      </c>
      <c r="E378" s="75" t="n">
        <v>46196</v>
      </c>
      <c r="F378" s="75" t="n">
        <v>46190</v>
      </c>
      <c r="G378" s="59" t="inlineStr">
        <is>
          <t>J. A. F. DE LIMA</t>
        </is>
      </c>
      <c r="H378" s="59" t="n">
        <v>1293794</v>
      </c>
      <c r="I378" s="59" t="n">
        <v>1</v>
      </c>
      <c r="J378" s="59" t="inlineStr">
        <is>
          <t>AM</t>
        </is>
      </c>
      <c r="K378" s="126" t="n">
        <v>875.5599999999999</v>
      </c>
    </row>
    <row r="379" ht="15" customHeight="1" s="60">
      <c r="A379" s="59" t="n">
        <v>1</v>
      </c>
      <c r="B379" s="59" t="n">
        <v>1375586</v>
      </c>
      <c r="C379" s="59" t="inlineStr">
        <is>
          <t>1</t>
        </is>
      </c>
      <c r="D379" s="59" t="inlineStr">
        <is>
          <t>02887227000207</t>
        </is>
      </c>
      <c r="E379" s="75" t="n">
        <v>46196</v>
      </c>
      <c r="F379" s="75" t="n">
        <v>46192</v>
      </c>
      <c r="G379" s="59" t="inlineStr">
        <is>
          <t>MARE DISTRIBUIDORA DE BEBIDAS E DE PRODU</t>
        </is>
      </c>
      <c r="H379" s="59" t="n">
        <v>1293719</v>
      </c>
      <c r="I379" s="59" t="n">
        <v>1</v>
      </c>
      <c r="J379" s="59" t="inlineStr">
        <is>
          <t>AM</t>
        </is>
      </c>
      <c r="K379" s="126" t="n">
        <v>1232.85</v>
      </c>
    </row>
    <row r="380" ht="15" customHeight="1" s="60">
      <c r="A380" s="59" t="n">
        <v>1</v>
      </c>
      <c r="B380" s="59" t="n">
        <v>1773396</v>
      </c>
      <c r="C380" s="59" t="inlineStr">
        <is>
          <t>0</t>
        </is>
      </c>
      <c r="D380" s="59" t="inlineStr">
        <is>
          <t>43214055001774</t>
        </is>
      </c>
      <c r="E380" s="75" t="n">
        <v>46196</v>
      </c>
      <c r="F380" s="75" t="n">
        <v>46190</v>
      </c>
      <c r="G380" s="59" t="inlineStr">
        <is>
          <t>MARTINS COM SERV DISTR SA</t>
        </is>
      </c>
      <c r="H380" s="59" t="n">
        <v>1294735</v>
      </c>
      <c r="I380" s="59" t="n">
        <v>11</v>
      </c>
      <c r="J380" s="59" t="inlineStr">
        <is>
          <t>AM</t>
        </is>
      </c>
      <c r="K380" s="126" t="n">
        <v>3011.85</v>
      </c>
    </row>
    <row r="381" ht="15" customHeight="1" s="60">
      <c r="A381" s="59" t="n">
        <v>1</v>
      </c>
      <c r="B381" s="59" t="n">
        <v>1773397</v>
      </c>
      <c r="C381" s="59" t="inlineStr">
        <is>
          <t>0</t>
        </is>
      </c>
      <c r="D381" s="59" t="inlineStr">
        <is>
          <t>43214055001774</t>
        </is>
      </c>
      <c r="E381" s="75" t="n">
        <v>46196</v>
      </c>
      <c r="F381" s="75" t="n">
        <v>46190</v>
      </c>
      <c r="G381" s="59" t="inlineStr">
        <is>
          <t>MARTINS COM SERV DISTR SA</t>
        </is>
      </c>
      <c r="H381" s="59" t="n">
        <v>1294954</v>
      </c>
      <c r="I381" s="59" t="n">
        <v>11</v>
      </c>
      <c r="J381" s="59" t="inlineStr">
        <is>
          <t>AM</t>
        </is>
      </c>
      <c r="K381" s="126" t="n">
        <v>6654</v>
      </c>
    </row>
    <row r="382" ht="15" customHeight="1" s="60">
      <c r="A382" s="59" t="n">
        <v>1</v>
      </c>
      <c r="B382" s="59" t="n">
        <v>419583</v>
      </c>
      <c r="C382" s="59" t="inlineStr">
        <is>
          <t>3</t>
        </is>
      </c>
      <c r="D382" s="59" t="inlineStr">
        <is>
          <t>81611931005006</t>
        </is>
      </c>
      <c r="E382" s="75" t="n">
        <v>46196</v>
      </c>
      <c r="F382" s="75" t="n">
        <v>46192</v>
      </c>
      <c r="G382" s="59" t="inlineStr">
        <is>
          <t>OESA COMERCIO E REPRESENTACOES S/A</t>
        </is>
      </c>
      <c r="H382" s="59" t="n">
        <v>1294118</v>
      </c>
      <c r="I382" s="59" t="n">
        <v>1</v>
      </c>
      <c r="J382" s="59" t="inlineStr">
        <is>
          <t>AM</t>
        </is>
      </c>
      <c r="K382" s="126" t="n">
        <v>4052.99</v>
      </c>
    </row>
    <row r="383" ht="15" customHeight="1" s="60">
      <c r="A383" s="59" t="n">
        <v>1</v>
      </c>
      <c r="B383" s="59" t="n">
        <v>419611</v>
      </c>
      <c r="C383" s="59" t="inlineStr">
        <is>
          <t>3</t>
        </is>
      </c>
      <c r="D383" s="59" t="inlineStr">
        <is>
          <t>81611931005006</t>
        </is>
      </c>
      <c r="E383" s="75" t="n">
        <v>46196</v>
      </c>
      <c r="F383" s="75" t="n">
        <v>46192</v>
      </c>
      <c r="G383" s="59" t="inlineStr">
        <is>
          <t>OESA COMERCIO E REPRESENTACOES S/A</t>
        </is>
      </c>
      <c r="H383" s="59" t="n">
        <v>1294268</v>
      </c>
      <c r="I383" s="59" t="n">
        <v>1</v>
      </c>
      <c r="J383" s="59" t="inlineStr">
        <is>
          <t>AM</t>
        </is>
      </c>
      <c r="K383" s="126" t="n">
        <v>1805.4</v>
      </c>
    </row>
    <row r="384" ht="15" customHeight="1" s="60">
      <c r="A384" s="59" t="n">
        <v>1</v>
      </c>
      <c r="B384" s="59" t="n">
        <v>236</v>
      </c>
      <c r="C384" s="59" t="inlineStr">
        <is>
          <t>1</t>
        </is>
      </c>
      <c r="D384" s="59" t="inlineStr">
        <is>
          <t>36480282000119</t>
        </is>
      </c>
      <c r="E384" s="75" t="n">
        <v>46196</v>
      </c>
      <c r="F384" s="75" t="n">
        <v>46196</v>
      </c>
      <c r="G384" s="59" t="inlineStr">
        <is>
          <t>RENATO DE O AZEVEDO E CIA LTDA - EPP</t>
        </is>
      </c>
      <c r="H384" s="59" t="n">
        <v>1295507</v>
      </c>
      <c r="I384" s="59" t="n">
        <v>2</v>
      </c>
      <c r="J384" s="59" t="inlineStr">
        <is>
          <t>AM</t>
        </is>
      </c>
      <c r="K384" s="126" t="n">
        <v>2460</v>
      </c>
    </row>
    <row r="385" ht="15" customHeight="1" s="60">
      <c r="A385" s="59" t="n">
        <v>1</v>
      </c>
      <c r="B385" s="59" t="n">
        <v>2306</v>
      </c>
      <c r="C385" s="59" t="inlineStr">
        <is>
          <t>1</t>
        </is>
      </c>
      <c r="D385" s="59" t="inlineStr">
        <is>
          <t>36480282000119</t>
        </is>
      </c>
      <c r="E385" s="75" t="n">
        <v>46196</v>
      </c>
      <c r="F385" s="75" t="n">
        <v>46196</v>
      </c>
      <c r="G385" s="59" t="inlineStr">
        <is>
          <t>RENATO DE O AZEVEDO E CIA LTDA - EPP</t>
        </is>
      </c>
      <c r="H385" s="59" t="n">
        <v>1295636</v>
      </c>
      <c r="I385" s="59" t="n">
        <v>2</v>
      </c>
      <c r="J385" s="59" t="inlineStr">
        <is>
          <t>AM</t>
        </is>
      </c>
      <c r="K385" s="126" t="n">
        <v>1323</v>
      </c>
    </row>
    <row r="386" ht="15" customHeight="1" s="60">
      <c r="A386" s="59" t="n">
        <v>1</v>
      </c>
      <c r="B386" s="59" t="n">
        <v>5169</v>
      </c>
      <c r="C386" s="59" t="inlineStr">
        <is>
          <t>1</t>
        </is>
      </c>
      <c r="D386" s="59" t="inlineStr">
        <is>
          <t>36480282000119</t>
        </is>
      </c>
      <c r="E386" s="75" t="n">
        <v>46196</v>
      </c>
      <c r="F386" s="75" t="n">
        <v>46196</v>
      </c>
      <c r="G386" s="59" t="inlineStr">
        <is>
          <t>RENATO DE O AZEVEDO E CIA LTDA - EPP</t>
        </is>
      </c>
      <c r="H386" s="59" t="n">
        <v>1295521</v>
      </c>
      <c r="I386" s="59" t="n">
        <v>6</v>
      </c>
      <c r="J386" s="59" t="inlineStr">
        <is>
          <t>AM</t>
        </is>
      </c>
      <c r="K386" s="126" t="n">
        <v>2460</v>
      </c>
    </row>
    <row r="387" ht="15" customHeight="1" s="60">
      <c r="A387" s="59" t="n">
        <v>1</v>
      </c>
      <c r="B387" s="59" t="n">
        <v>5170</v>
      </c>
      <c r="C387" s="59" t="inlineStr">
        <is>
          <t>1</t>
        </is>
      </c>
      <c r="D387" s="59" t="inlineStr">
        <is>
          <t>36480282000119</t>
        </is>
      </c>
      <c r="E387" s="75" t="n">
        <v>46196</v>
      </c>
      <c r="F387" s="75" t="n">
        <v>46196</v>
      </c>
      <c r="G387" s="59" t="inlineStr">
        <is>
          <t>RENATO DE O AZEVEDO E CIA LTDA - EPP</t>
        </is>
      </c>
      <c r="H387" s="59" t="n">
        <v>1295699</v>
      </c>
      <c r="I387" s="59" t="n">
        <v>6</v>
      </c>
      <c r="J387" s="59" t="inlineStr">
        <is>
          <t>AM</t>
        </is>
      </c>
      <c r="K387" s="126" t="n">
        <v>1323</v>
      </c>
    </row>
    <row r="388" ht="15" customHeight="1" s="60">
      <c r="A388" s="59" t="n">
        <v>1</v>
      </c>
      <c r="B388" s="59" t="n">
        <v>564351</v>
      </c>
      <c r="C388" s="59" t="inlineStr">
        <is>
          <t>13</t>
        </is>
      </c>
      <c r="D388" s="59" t="inlineStr">
        <is>
          <t>33009911007222</t>
        </is>
      </c>
      <c r="E388" s="75" t="n">
        <v>46196</v>
      </c>
      <c r="F388" s="75" t="n">
        <v>46191</v>
      </c>
      <c r="G388" s="59" t="inlineStr">
        <is>
          <t>SOUZA CRUZ LTDA.</t>
        </is>
      </c>
      <c r="H388" s="59" t="n">
        <v>1293782</v>
      </c>
      <c r="I388" s="59" t="n">
        <v>1</v>
      </c>
      <c r="J388" s="59" t="inlineStr">
        <is>
          <t>AM</t>
        </is>
      </c>
      <c r="K388" s="126" t="n">
        <v>16154.47</v>
      </c>
    </row>
    <row r="389" ht="15" customHeight="1" s="60">
      <c r="A389" s="59" t="n">
        <v>1</v>
      </c>
      <c r="B389" s="59" t="n">
        <v>11908</v>
      </c>
      <c r="C389" s="59" t="inlineStr">
        <is>
          <t>3</t>
        </is>
      </c>
      <c r="D389" s="59" t="inlineStr">
        <is>
          <t>26227385000118</t>
        </is>
      </c>
      <c r="E389" s="75" t="n">
        <v>46196</v>
      </c>
      <c r="F389" s="75" t="n">
        <v>46191</v>
      </c>
      <c r="G389" s="59" t="inlineStr">
        <is>
          <t>VICTORIA COMERCIO INTERNACIONAL DE ALIME</t>
        </is>
      </c>
      <c r="H389" s="59" t="n">
        <v>1293749</v>
      </c>
      <c r="I389" s="59" t="n">
        <v>1</v>
      </c>
      <c r="J389" s="59" t="inlineStr">
        <is>
          <t>AM</t>
        </is>
      </c>
      <c r="K389" s="126" t="n">
        <v>990.89</v>
      </c>
    </row>
    <row r="390" ht="15" customHeight="1" s="60">
      <c r="A390" s="59" t="n">
        <v>1</v>
      </c>
      <c r="B390" s="59" t="n">
        <v>35</v>
      </c>
      <c r="C390" s="59" t="inlineStr">
        <is>
          <t>1</t>
        </is>
      </c>
      <c r="D390" s="59" t="inlineStr">
        <is>
          <t>66356670000153</t>
        </is>
      </c>
      <c r="E390" s="75" t="n">
        <v>46197</v>
      </c>
      <c r="F390" s="75" t="n">
        <v>46197</v>
      </c>
      <c r="G390" s="59" t="inlineStr">
        <is>
          <t>66.356.670 FRANCISCO CARLOS FERNANDES COSTA</t>
        </is>
      </c>
      <c r="H390" s="59" t="n">
        <v>1309308</v>
      </c>
      <c r="I390" s="59" t="n">
        <v>1</v>
      </c>
      <c r="J390" s="59" t="inlineStr">
        <is>
          <t>AM</t>
        </is>
      </c>
      <c r="K390" s="126" t="n">
        <v>320</v>
      </c>
    </row>
    <row r="391" ht="15" customHeight="1" s="60">
      <c r="A391" s="59" t="n">
        <v>1</v>
      </c>
      <c r="B391" s="59" t="n">
        <v>508</v>
      </c>
      <c r="C391" s="59" t="inlineStr">
        <is>
          <t>1</t>
        </is>
      </c>
      <c r="D391" s="59" t="inlineStr">
        <is>
          <t>47496330000183</t>
        </is>
      </c>
      <c r="E391" s="75" t="n">
        <v>46197</v>
      </c>
      <c r="F391" s="75" t="n">
        <v>46195</v>
      </c>
      <c r="G391" s="59" t="inlineStr">
        <is>
          <t>ADICSO FABIAN GONZALEZ MONTILLA 70302186</t>
        </is>
      </c>
      <c r="H391" s="59" t="n">
        <v>1299594</v>
      </c>
      <c r="I391" s="59" t="n">
        <v>1</v>
      </c>
      <c r="J391" s="59" t="inlineStr">
        <is>
          <t>AM</t>
        </is>
      </c>
      <c r="K391" s="126" t="n">
        <v>660</v>
      </c>
    </row>
    <row r="392" ht="15" customHeight="1" s="60">
      <c r="A392" s="59" t="n">
        <v>1</v>
      </c>
      <c r="B392" s="59" t="n">
        <v>880066</v>
      </c>
      <c r="C392" s="59" t="inlineStr">
        <is>
          <t>1</t>
        </is>
      </c>
      <c r="D392" s="59" t="inlineStr">
        <is>
          <t>04724476000126</t>
        </is>
      </c>
      <c r="E392" s="75" t="n">
        <v>46197</v>
      </c>
      <c r="F392" s="75" t="n">
        <v>46191</v>
      </c>
      <c r="G392" s="59" t="inlineStr">
        <is>
          <t>ADRIANA DISTRIBUIDORA DE PRODUTOS ALIMEN</t>
        </is>
      </c>
      <c r="H392" s="59" t="n">
        <v>1299933</v>
      </c>
      <c r="I392" s="59" t="n">
        <v>1</v>
      </c>
      <c r="J392" s="59" t="inlineStr">
        <is>
          <t>AM</t>
        </is>
      </c>
      <c r="K392" s="126" t="n">
        <v>1028.46</v>
      </c>
    </row>
    <row r="393" ht="15" customHeight="1" s="60">
      <c r="A393" s="59" t="n">
        <v>1</v>
      </c>
      <c r="B393" s="59" t="n">
        <v>312</v>
      </c>
      <c r="C393" s="59" t="inlineStr">
        <is>
          <t>1</t>
        </is>
      </c>
      <c r="D393" s="59" t="inlineStr">
        <is>
          <t>34787423000115</t>
        </is>
      </c>
      <c r="E393" s="75" t="n">
        <v>46197</v>
      </c>
      <c r="F393" s="75" t="n">
        <v>46193</v>
      </c>
      <c r="G393" s="59" t="inlineStr">
        <is>
          <t>ADRIANO FEITOSA OLIVEIRA LTDA</t>
        </is>
      </c>
      <c r="H393" s="59" t="n">
        <v>1300675</v>
      </c>
      <c r="I393" s="59" t="n">
        <v>1</v>
      </c>
      <c r="J393" s="59" t="inlineStr">
        <is>
          <t>AM</t>
        </is>
      </c>
      <c r="K393" s="126" t="n">
        <v>2945</v>
      </c>
    </row>
    <row r="394" ht="15" customHeight="1" s="60">
      <c r="A394" s="59" t="n">
        <v>1</v>
      </c>
      <c r="B394" s="59" t="n">
        <v>178</v>
      </c>
      <c r="C394" s="59" t="inlineStr">
        <is>
          <t>1</t>
        </is>
      </c>
      <c r="D394" s="59" t="inlineStr">
        <is>
          <t>32367397000140</t>
        </is>
      </c>
      <c r="E394" s="75" t="n">
        <v>46197</v>
      </c>
      <c r="F394" s="75" t="n">
        <v>46196</v>
      </c>
      <c r="G394" s="59" t="inlineStr">
        <is>
          <t>CACAU NORTE DISTRIBUIDORA DE PRODUTOS ALIMENTICIOS LTDA</t>
        </is>
      </c>
      <c r="H394" s="59" t="n">
        <v>1300300</v>
      </c>
      <c r="I394" s="59" t="n">
        <v>1</v>
      </c>
      <c r="J394" s="59" t="inlineStr">
        <is>
          <t>AM</t>
        </is>
      </c>
      <c r="K394" s="126" t="n">
        <v>369.3</v>
      </c>
    </row>
    <row r="395" ht="15" customHeight="1" s="60">
      <c r="A395" s="59" t="n">
        <v>1</v>
      </c>
      <c r="B395" s="59" t="n">
        <v>256</v>
      </c>
      <c r="C395" s="59" t="inlineStr">
        <is>
          <t>1</t>
        </is>
      </c>
      <c r="D395" s="59" t="inlineStr">
        <is>
          <t>03056467000141</t>
        </is>
      </c>
      <c r="E395" s="75" t="n">
        <v>46197</v>
      </c>
      <c r="F395" s="75" t="n">
        <v>46197</v>
      </c>
      <c r="G395" s="59" t="inlineStr">
        <is>
          <t>D DE J SANTOS LTDA</t>
        </is>
      </c>
      <c r="H395" s="59" t="n">
        <v>1299496</v>
      </c>
      <c r="I395" s="59" t="n">
        <v>1</v>
      </c>
      <c r="J395" s="59" t="inlineStr">
        <is>
          <t>AM</t>
        </is>
      </c>
      <c r="K395" s="126" t="n">
        <v>1335</v>
      </c>
    </row>
    <row r="396" ht="15" customHeight="1" s="60">
      <c r="A396" s="59" t="n">
        <v>1</v>
      </c>
      <c r="B396" s="59" t="n">
        <v>1679265</v>
      </c>
      <c r="C396" s="59" t="inlineStr">
        <is>
          <t>1</t>
        </is>
      </c>
      <c r="D396" s="59" t="inlineStr">
        <is>
          <t>02796653000154</t>
        </is>
      </c>
      <c r="E396" s="75" t="n">
        <v>46197</v>
      </c>
      <c r="F396" s="75" t="n">
        <v>46196</v>
      </c>
      <c r="G396" s="59" t="inlineStr">
        <is>
          <t>DISTRIBUIDORA LOPES LTDA</t>
        </is>
      </c>
      <c r="H396" s="59" t="n">
        <v>1299186</v>
      </c>
      <c r="I396" s="59" t="n">
        <v>1</v>
      </c>
      <c r="J396" s="59" t="inlineStr">
        <is>
          <t>AM</t>
        </is>
      </c>
      <c r="K396" s="126" t="n">
        <v>2196</v>
      </c>
    </row>
    <row r="397" ht="15" customHeight="1" s="60">
      <c r="A397" s="59" t="n">
        <v>1</v>
      </c>
      <c r="B397" s="59" t="n">
        <v>1679646</v>
      </c>
      <c r="C397" s="59" t="inlineStr">
        <is>
          <t>1</t>
        </is>
      </c>
      <c r="D397" s="59" t="inlineStr">
        <is>
          <t>02796653000154</t>
        </is>
      </c>
      <c r="E397" s="75" t="n">
        <v>46197</v>
      </c>
      <c r="F397" s="75" t="n">
        <v>46196</v>
      </c>
      <c r="G397" s="59" t="inlineStr">
        <is>
          <t>DISTRIBUIDORA LOPES LTDA</t>
        </is>
      </c>
      <c r="H397" s="59" t="n">
        <v>1300337</v>
      </c>
      <c r="I397" s="59" t="n">
        <v>1</v>
      </c>
      <c r="J397" s="59" t="inlineStr">
        <is>
          <t>AM</t>
        </is>
      </c>
      <c r="K397" s="126" t="n">
        <v>2544.82</v>
      </c>
    </row>
    <row r="398" ht="15" customHeight="1" s="60">
      <c r="A398" s="59" t="n">
        <v>1</v>
      </c>
      <c r="B398" s="59" t="n">
        <v>1680082</v>
      </c>
      <c r="C398" s="59" t="inlineStr">
        <is>
          <t>1</t>
        </is>
      </c>
      <c r="D398" s="59" t="inlineStr">
        <is>
          <t>02796653000154</t>
        </is>
      </c>
      <c r="E398" s="75" t="n">
        <v>46197</v>
      </c>
      <c r="F398" s="75" t="n">
        <v>46197</v>
      </c>
      <c r="G398" s="59" t="inlineStr">
        <is>
          <t>DISTRIBUIDORA LOPES LTDA</t>
        </is>
      </c>
      <c r="H398" s="59" t="n">
        <v>1299280</v>
      </c>
      <c r="I398" s="59" t="n">
        <v>1</v>
      </c>
      <c r="J398" s="59" t="inlineStr">
        <is>
          <t>AM</t>
        </is>
      </c>
      <c r="K398" s="126" t="n">
        <v>2683.04</v>
      </c>
    </row>
    <row r="399" ht="15" customHeight="1" s="60">
      <c r="A399" s="59" t="n">
        <v>1</v>
      </c>
      <c r="B399" s="59" t="n">
        <v>1775151</v>
      </c>
      <c r="C399" s="59" t="inlineStr">
        <is>
          <t>0</t>
        </is>
      </c>
      <c r="D399" s="59" t="inlineStr">
        <is>
          <t>43214055001774</t>
        </is>
      </c>
      <c r="E399" s="75" t="n">
        <v>46197</v>
      </c>
      <c r="F399" s="75" t="n">
        <v>46196</v>
      </c>
      <c r="G399" s="59" t="inlineStr">
        <is>
          <t>MARTINS COM SERV DISTR SA</t>
        </is>
      </c>
      <c r="H399" s="59" t="n">
        <v>1300570</v>
      </c>
      <c r="I399" s="59" t="n">
        <v>11</v>
      </c>
      <c r="J399" s="59" t="inlineStr">
        <is>
          <t>AM</t>
        </is>
      </c>
      <c r="K399" s="126" t="n">
        <v>58.76</v>
      </c>
    </row>
    <row r="400" ht="15" customHeight="1" s="60">
      <c r="A400" s="59" t="n">
        <v>1</v>
      </c>
      <c r="B400" s="59" t="n">
        <v>1775152</v>
      </c>
      <c r="C400" s="59" t="inlineStr">
        <is>
          <t>0</t>
        </is>
      </c>
      <c r="D400" s="59" t="inlineStr">
        <is>
          <t>43214055001774</t>
        </is>
      </c>
      <c r="E400" s="75" t="n">
        <v>46197</v>
      </c>
      <c r="F400" s="75" t="n">
        <v>46196</v>
      </c>
      <c r="G400" s="59" t="inlineStr">
        <is>
          <t>MARTINS COM SERV DISTR SA</t>
        </is>
      </c>
      <c r="H400" s="59" t="n">
        <v>1300552</v>
      </c>
      <c r="I400" s="59" t="n">
        <v>11</v>
      </c>
      <c r="J400" s="59" t="inlineStr">
        <is>
          <t>AM</t>
        </is>
      </c>
      <c r="K400" s="126" t="n">
        <v>829.92</v>
      </c>
    </row>
    <row r="401" ht="15" customHeight="1" s="60">
      <c r="A401" s="59" t="n">
        <v>1</v>
      </c>
      <c r="B401" s="59" t="n">
        <v>5171</v>
      </c>
      <c r="C401" s="59" t="inlineStr">
        <is>
          <t>1</t>
        </is>
      </c>
      <c r="D401" s="59" t="inlineStr">
        <is>
          <t>36480282000119</t>
        </is>
      </c>
      <c r="E401" s="75" t="n">
        <v>46197</v>
      </c>
      <c r="F401" s="75" t="n">
        <v>46197</v>
      </c>
      <c r="G401" s="59" t="inlineStr">
        <is>
          <t>RENATO DE O AZEVEDO E CIA LTDA - EPP</t>
        </is>
      </c>
      <c r="H401" s="59" t="n">
        <v>1299886</v>
      </c>
      <c r="I401" s="59" t="n">
        <v>6</v>
      </c>
      <c r="J401" s="59" t="inlineStr">
        <is>
          <t>AM</t>
        </is>
      </c>
      <c r="K401" s="126" t="n">
        <v>1380</v>
      </c>
    </row>
    <row r="402" ht="15" customHeight="1" s="60">
      <c r="A402" s="59" t="n">
        <v>1</v>
      </c>
      <c r="B402" s="59" t="n">
        <v>200626</v>
      </c>
      <c r="C402" s="59" t="inlineStr">
        <is>
          <t>1</t>
        </is>
      </c>
      <c r="D402" s="59" t="inlineStr">
        <is>
          <t>36480282000119</t>
        </is>
      </c>
      <c r="E402" s="75" t="n">
        <v>46197</v>
      </c>
      <c r="F402" s="75" t="n">
        <v>46197</v>
      </c>
      <c r="G402" s="59" t="inlineStr">
        <is>
          <t>RENATO DE O AZEVEDO E CIA LTDA - EPP</t>
        </is>
      </c>
      <c r="H402" s="59" t="n">
        <v>1299854</v>
      </c>
      <c r="I402" s="59" t="n">
        <v>2</v>
      </c>
      <c r="J402" s="59" t="inlineStr">
        <is>
          <t>AM</t>
        </is>
      </c>
      <c r="K402" s="126" t="n">
        <v>1380</v>
      </c>
    </row>
    <row r="403" ht="15" customHeight="1" s="60">
      <c r="A403" s="59" t="n">
        <v>1</v>
      </c>
      <c r="B403" s="59" t="n">
        <v>31278</v>
      </c>
      <c r="C403" s="59" t="inlineStr">
        <is>
          <t>1</t>
        </is>
      </c>
      <c r="D403" s="59" t="inlineStr">
        <is>
          <t>30652116000176</t>
        </is>
      </c>
      <c r="E403" s="75" t="n">
        <v>46197</v>
      </c>
      <c r="F403" s="75" t="n">
        <v>46195</v>
      </c>
      <c r="G403" s="59" t="inlineStr">
        <is>
          <t>SILVA E SANTOS FRIGORIFICO LTDA</t>
        </is>
      </c>
      <c r="H403" s="59" t="n">
        <v>1300713</v>
      </c>
      <c r="I403" s="59" t="n">
        <v>1</v>
      </c>
      <c r="J403" s="59" t="inlineStr">
        <is>
          <t>AM</t>
        </is>
      </c>
      <c r="K403" s="126" t="n">
        <v>1278.8</v>
      </c>
    </row>
    <row r="404" ht="15" customHeight="1" s="60">
      <c r="A404" s="59" t="n">
        <v>1</v>
      </c>
      <c r="B404" s="59" t="n">
        <v>31315</v>
      </c>
      <c r="C404" s="59" t="inlineStr">
        <is>
          <t>1</t>
        </is>
      </c>
      <c r="D404" s="59" t="inlineStr">
        <is>
          <t>30652116000176</t>
        </is>
      </c>
      <c r="E404" s="75" t="n">
        <v>46197</v>
      </c>
      <c r="F404" s="75" t="n">
        <v>46196</v>
      </c>
      <c r="G404" s="59" t="inlineStr">
        <is>
          <t>SILVA E SANTOS FRIGORIFICO LTDA</t>
        </is>
      </c>
      <c r="H404" s="59" t="n">
        <v>1300974</v>
      </c>
      <c r="I404" s="59" t="n">
        <v>1</v>
      </c>
      <c r="J404" s="59" t="inlineStr">
        <is>
          <t>AM</t>
        </is>
      </c>
      <c r="K404" s="126" t="n">
        <v>3075</v>
      </c>
    </row>
    <row r="405" ht="15" customHeight="1" s="60">
      <c r="A405" s="59" t="n">
        <v>1</v>
      </c>
      <c r="B405" s="59" t="n">
        <v>50625</v>
      </c>
      <c r="C405" s="59" t="inlineStr">
        <is>
          <t>2</t>
        </is>
      </c>
      <c r="D405" s="59" t="inlineStr">
        <is>
          <t>53960161000193</t>
        </is>
      </c>
      <c r="E405" s="75" t="n">
        <v>46197</v>
      </c>
      <c r="F405" s="75" t="n">
        <v>46196</v>
      </c>
      <c r="G405" s="59" t="inlineStr">
        <is>
          <t>VIA CERTA IMPORTACAO E DISTRIBUICAO DE A</t>
        </is>
      </c>
      <c r="H405" s="59" t="n">
        <v>1300387</v>
      </c>
      <c r="I405" s="59" t="n">
        <v>1</v>
      </c>
      <c r="J405" s="59" t="inlineStr">
        <is>
          <t>AM</t>
        </is>
      </c>
      <c r="K405" s="126" t="n">
        <v>318.32</v>
      </c>
    </row>
    <row r="406" ht="15" customHeight="1" s="60">
      <c r="A406" s="59" t="n">
        <v>1</v>
      </c>
      <c r="B406" s="59" t="n">
        <v>41693</v>
      </c>
      <c r="C406" s="59" t="inlineStr">
        <is>
          <t>6</t>
        </is>
      </c>
      <c r="D406" s="59" t="inlineStr">
        <is>
          <t>04356697000199</t>
        </is>
      </c>
      <c r="E406" s="75" t="n">
        <v>46197</v>
      </c>
      <c r="F406" s="75" t="n">
        <v>46196</v>
      </c>
      <c r="G406" s="59" t="inlineStr">
        <is>
          <t>VIA CERTA INDUSTRIA E COMERCIO DE SANEANTES LTDA</t>
        </is>
      </c>
      <c r="H406" s="59" t="n">
        <v>1300399</v>
      </c>
      <c r="I406" s="59" t="n">
        <v>1</v>
      </c>
      <c r="J406" s="59" t="inlineStr">
        <is>
          <t>AM</t>
        </is>
      </c>
      <c r="K406" s="126" t="n">
        <v>411.24</v>
      </c>
    </row>
    <row r="407" ht="15" customHeight="1" s="60">
      <c r="A407" s="59" t="n">
        <v>1</v>
      </c>
      <c r="B407" s="59" t="n">
        <v>47</v>
      </c>
      <c r="C407" s="59" t="inlineStr">
        <is>
          <t>1</t>
        </is>
      </c>
      <c r="D407" s="59" t="inlineStr">
        <is>
          <t>66356670000153</t>
        </is>
      </c>
      <c r="E407" s="75" t="n">
        <v>46198</v>
      </c>
      <c r="F407" s="75" t="n">
        <v>46198</v>
      </c>
      <c r="G407" s="59" t="inlineStr">
        <is>
          <t>66.356.670 FRANCISCO CARLOS FERNANDES COSTA</t>
        </is>
      </c>
      <c r="H407" s="59" t="n">
        <v>1312804</v>
      </c>
      <c r="I407" s="59" t="n">
        <v>1</v>
      </c>
      <c r="J407" s="59" t="inlineStr">
        <is>
          <t>AM</t>
        </is>
      </c>
      <c r="K407" s="126" t="n">
        <v>640</v>
      </c>
    </row>
    <row r="408" ht="15" customHeight="1" s="60">
      <c r="A408" s="59" t="n">
        <v>1</v>
      </c>
      <c r="B408" s="59" t="n">
        <v>28698</v>
      </c>
      <c r="C408" s="59" t="inlineStr">
        <is>
          <t>1</t>
        </is>
      </c>
      <c r="D408" s="59" t="inlineStr">
        <is>
          <t>26323839000154</t>
        </is>
      </c>
      <c r="E408" s="75" t="n">
        <v>46198</v>
      </c>
      <c r="F408" s="75" t="n">
        <v>46197</v>
      </c>
      <c r="G408" s="59" t="inlineStr">
        <is>
          <t>AMAZON BEEF COMERCIO DE CARNES EIRELI -</t>
        </is>
      </c>
      <c r="H408" s="59" t="n">
        <v>1306051</v>
      </c>
      <c r="I408" s="59" t="n">
        <v>1</v>
      </c>
      <c r="J408" s="59" t="inlineStr">
        <is>
          <t>AM</t>
        </is>
      </c>
      <c r="K408" s="126" t="n">
        <v>1274.23</v>
      </c>
    </row>
    <row r="409" ht="15" customHeight="1" s="60">
      <c r="A409" s="59" t="n">
        <v>1</v>
      </c>
      <c r="B409" s="59" t="n">
        <v>1892633</v>
      </c>
      <c r="C409" s="59" t="inlineStr">
        <is>
          <t>1</t>
        </is>
      </c>
      <c r="D409" s="59" t="inlineStr">
        <is>
          <t>75315333011909</t>
        </is>
      </c>
      <c r="E409" s="75" t="n">
        <v>46198</v>
      </c>
      <c r="F409" s="75" t="n">
        <v>46190</v>
      </c>
      <c r="G409" s="59" t="inlineStr">
        <is>
          <t>ATACADAO S.A.</t>
        </is>
      </c>
      <c r="H409" s="59" t="n">
        <v>1305258</v>
      </c>
      <c r="I409" s="59" t="n">
        <v>1</v>
      </c>
      <c r="J409" s="59" t="inlineStr">
        <is>
          <t>AM</t>
        </is>
      </c>
      <c r="K409" s="126" t="n">
        <v>752.3099999999999</v>
      </c>
    </row>
    <row r="410" ht="15" customHeight="1" s="60">
      <c r="A410" s="59" t="n">
        <v>1</v>
      </c>
      <c r="B410" s="59" t="n">
        <v>1895761</v>
      </c>
      <c r="C410" s="59" t="inlineStr">
        <is>
          <t>1</t>
        </is>
      </c>
      <c r="D410" s="59" t="inlineStr">
        <is>
          <t>75315333011909</t>
        </is>
      </c>
      <c r="E410" s="75" t="n">
        <v>46198</v>
      </c>
      <c r="F410" s="75" t="n">
        <v>46197</v>
      </c>
      <c r="G410" s="59" t="inlineStr">
        <is>
          <t>ATACADAO S.A.</t>
        </is>
      </c>
      <c r="H410" s="59" t="n">
        <v>1305665</v>
      </c>
      <c r="I410" s="59" t="n">
        <v>1</v>
      </c>
      <c r="J410" s="59" t="inlineStr">
        <is>
          <t>AM</t>
        </is>
      </c>
      <c r="K410" s="126" t="n">
        <v>1584.38</v>
      </c>
    </row>
    <row r="411" ht="15" customHeight="1" s="60">
      <c r="A411" s="59" t="n">
        <v>1</v>
      </c>
      <c r="B411" s="59" t="n">
        <v>1895762</v>
      </c>
      <c r="C411" s="59" t="inlineStr">
        <is>
          <t>1</t>
        </is>
      </c>
      <c r="D411" s="59" t="inlineStr">
        <is>
          <t>75315333011909</t>
        </is>
      </c>
      <c r="E411" s="75" t="n">
        <v>46198</v>
      </c>
      <c r="F411" s="75" t="n">
        <v>46197</v>
      </c>
      <c r="G411" s="59" t="inlineStr">
        <is>
          <t>ATACADAO S.A.</t>
        </is>
      </c>
      <c r="H411" s="59" t="n">
        <v>1305288</v>
      </c>
      <c r="I411" s="59" t="n">
        <v>1</v>
      </c>
      <c r="J411" s="59" t="inlineStr">
        <is>
          <t>AM</t>
        </is>
      </c>
      <c r="K411" s="126" t="n">
        <v>1686.85</v>
      </c>
    </row>
    <row r="412" ht="15" customHeight="1" s="60">
      <c r="A412" s="59" t="n">
        <v>1</v>
      </c>
      <c r="B412" s="59" t="n">
        <v>1895763</v>
      </c>
      <c r="C412" s="59" t="inlineStr">
        <is>
          <t>1</t>
        </is>
      </c>
      <c r="D412" s="59" t="inlineStr">
        <is>
          <t>75315333011909</t>
        </is>
      </c>
      <c r="E412" s="75" t="n">
        <v>46198</v>
      </c>
      <c r="F412" s="75" t="n">
        <v>46197</v>
      </c>
      <c r="G412" s="59" t="inlineStr">
        <is>
          <t>ATACADAO S.A.</t>
        </is>
      </c>
      <c r="H412" s="59" t="n">
        <v>1305340</v>
      </c>
      <c r="I412" s="59" t="n">
        <v>1</v>
      </c>
      <c r="J412" s="59" t="inlineStr">
        <is>
          <t>AM</t>
        </is>
      </c>
      <c r="K412" s="126" t="n">
        <v>1367.5</v>
      </c>
    </row>
    <row r="413" ht="15" customHeight="1" s="60">
      <c r="A413" s="59" t="n">
        <v>1</v>
      </c>
      <c r="B413" s="59" t="n">
        <v>1895808</v>
      </c>
      <c r="C413" s="59" t="inlineStr">
        <is>
          <t>1</t>
        </is>
      </c>
      <c r="D413" s="59" t="inlineStr">
        <is>
          <t>75315333011909</t>
        </is>
      </c>
      <c r="E413" s="75" t="n">
        <v>46198</v>
      </c>
      <c r="F413" s="75" t="n">
        <v>46197</v>
      </c>
      <c r="G413" s="59" t="inlineStr">
        <is>
          <t>ATACADAO S.A.</t>
        </is>
      </c>
      <c r="H413" s="59" t="n">
        <v>1305728</v>
      </c>
      <c r="I413" s="59" t="n">
        <v>1</v>
      </c>
      <c r="J413" s="59" t="inlineStr">
        <is>
          <t>AM</t>
        </is>
      </c>
      <c r="K413" s="126" t="n">
        <v>516.92</v>
      </c>
    </row>
    <row r="414" ht="15" customHeight="1" s="60">
      <c r="A414" s="59" t="n">
        <v>1</v>
      </c>
      <c r="B414" s="59" t="n">
        <v>1895809</v>
      </c>
      <c r="C414" s="59" t="inlineStr">
        <is>
          <t>1</t>
        </is>
      </c>
      <c r="D414" s="59" t="inlineStr">
        <is>
          <t>75315333011909</t>
        </is>
      </c>
      <c r="E414" s="75" t="n">
        <v>46198</v>
      </c>
      <c r="F414" s="75" t="n">
        <v>46197</v>
      </c>
      <c r="G414" s="59" t="inlineStr">
        <is>
          <t>ATACADAO S.A.</t>
        </is>
      </c>
      <c r="H414" s="59" t="n">
        <v>1305735</v>
      </c>
      <c r="I414" s="59" t="n">
        <v>1</v>
      </c>
      <c r="J414" s="59" t="inlineStr">
        <is>
          <t>AM</t>
        </is>
      </c>
      <c r="K414" s="126" t="n">
        <v>519.51</v>
      </c>
    </row>
    <row r="415" ht="15" customHeight="1" s="60">
      <c r="A415" s="59" t="n">
        <v>1</v>
      </c>
      <c r="B415" s="59" t="n">
        <v>1895810</v>
      </c>
      <c r="C415" s="59" t="inlineStr">
        <is>
          <t>1</t>
        </is>
      </c>
      <c r="D415" s="59" t="inlineStr">
        <is>
          <t>75315333011909</t>
        </is>
      </c>
      <c r="E415" s="75" t="n">
        <v>46198</v>
      </c>
      <c r="F415" s="75" t="n">
        <v>46197</v>
      </c>
      <c r="G415" s="59" t="inlineStr">
        <is>
          <t>ATACADAO S.A.</t>
        </is>
      </c>
      <c r="H415" s="59" t="n">
        <v>1305753</v>
      </c>
      <c r="I415" s="59" t="n">
        <v>1</v>
      </c>
      <c r="J415" s="59" t="inlineStr">
        <is>
          <t>AM</t>
        </is>
      </c>
      <c r="K415" s="126" t="n">
        <v>495.45</v>
      </c>
    </row>
    <row r="416" ht="15" customHeight="1" s="60">
      <c r="A416" s="59" t="n">
        <v>1</v>
      </c>
      <c r="B416" s="59" t="n">
        <v>172090</v>
      </c>
      <c r="C416" s="59" t="inlineStr">
        <is>
          <t>1</t>
        </is>
      </c>
      <c r="D416" s="59" t="inlineStr">
        <is>
          <t>10418161000153</t>
        </is>
      </c>
      <c r="E416" s="75" t="n">
        <v>46198</v>
      </c>
      <c r="F416" s="75" t="n">
        <v>46197</v>
      </c>
      <c r="G416" s="59" t="inlineStr">
        <is>
          <t>COMERCIO DE FRIOS MANAUS LTDA</t>
        </is>
      </c>
      <c r="H416" s="59" t="n">
        <v>1306185</v>
      </c>
      <c r="I416" s="59" t="n">
        <v>1</v>
      </c>
      <c r="J416" s="59" t="inlineStr">
        <is>
          <t>AM</t>
        </is>
      </c>
      <c r="K416" s="126" t="n">
        <v>5951.8</v>
      </c>
    </row>
    <row r="417" ht="15" customHeight="1" s="60">
      <c r="A417" s="59" t="n">
        <v>1</v>
      </c>
      <c r="B417" s="59" t="n">
        <v>311084</v>
      </c>
      <c r="C417" s="59" t="inlineStr">
        <is>
          <t>1</t>
        </is>
      </c>
      <c r="D417" s="59" t="inlineStr">
        <is>
          <t>06257367000333</t>
        </is>
      </c>
      <c r="E417" s="75" t="n">
        <v>46198</v>
      </c>
      <c r="F417" s="75" t="n">
        <v>46197</v>
      </c>
      <c r="G417" s="59" t="inlineStr">
        <is>
          <t>FENNIX BRASIL DISTRIBUIDORA DE PRODUTOS</t>
        </is>
      </c>
      <c r="H417" s="59" t="n">
        <v>1305846</v>
      </c>
      <c r="I417" s="59" t="n">
        <v>1</v>
      </c>
      <c r="J417" s="59" t="inlineStr">
        <is>
          <t>AM</t>
        </is>
      </c>
      <c r="K417" s="126" t="n">
        <v>6138.54</v>
      </c>
    </row>
    <row r="418" ht="15" customHeight="1" s="60">
      <c r="A418" s="59" t="n">
        <v>1</v>
      </c>
      <c r="B418" s="59" t="n">
        <v>318</v>
      </c>
      <c r="C418" s="59" t="inlineStr">
        <is>
          <t>2</t>
        </is>
      </c>
      <c r="D418" s="59" t="inlineStr">
        <is>
          <t>20380110000133</t>
        </is>
      </c>
      <c r="E418" s="75" t="n">
        <v>46198</v>
      </c>
      <c r="F418" s="75" t="n">
        <v>46198</v>
      </c>
      <c r="G418" s="59" t="inlineStr">
        <is>
          <t>GELO DANGELO FABRICACAO DE GELO LTDA</t>
        </is>
      </c>
      <c r="H418" s="59" t="n">
        <v>1308996</v>
      </c>
      <c r="I418" s="59" t="n">
        <v>1</v>
      </c>
      <c r="J418" s="59" t="inlineStr">
        <is>
          <t>AM</t>
        </is>
      </c>
      <c r="K418" s="126" t="n">
        <v>416.5</v>
      </c>
    </row>
    <row r="419" ht="15" customHeight="1" s="60">
      <c r="A419" s="59" t="n">
        <v>1</v>
      </c>
      <c r="B419" s="59" t="n">
        <v>388860</v>
      </c>
      <c r="C419" s="59" t="inlineStr">
        <is>
          <t>1</t>
        </is>
      </c>
      <c r="D419" s="59" t="inlineStr">
        <is>
          <t>14141553000179</t>
        </is>
      </c>
      <c r="E419" s="75" t="n">
        <v>46198</v>
      </c>
      <c r="F419" s="75" t="n">
        <v>46196</v>
      </c>
      <c r="G419" s="59" t="inlineStr">
        <is>
          <t>J G COMERCIO DE PRODUTOS ALIMENTICIOS LTDA</t>
        </is>
      </c>
      <c r="H419" s="59" t="n">
        <v>1304557</v>
      </c>
      <c r="I419" s="59" t="n">
        <v>1</v>
      </c>
      <c r="J419" s="59" t="inlineStr">
        <is>
          <t>AM</t>
        </is>
      </c>
      <c r="K419" s="126" t="n">
        <v>3849.83</v>
      </c>
    </row>
    <row r="420" ht="15" customHeight="1" s="60">
      <c r="A420" s="59" t="n">
        <v>1</v>
      </c>
      <c r="B420" s="59" t="n">
        <v>1020</v>
      </c>
      <c r="C420" s="59" t="inlineStr">
        <is>
          <t>1</t>
        </is>
      </c>
      <c r="D420" s="59" t="inlineStr">
        <is>
          <t>36390319000118</t>
        </is>
      </c>
      <c r="E420" s="75" t="n">
        <v>46198</v>
      </c>
      <c r="F420" s="75" t="n">
        <v>46198</v>
      </c>
      <c r="G420" s="59" t="inlineStr">
        <is>
          <t>MELISSA COMERCIO E DISTRIBUIDORA DE GAS</t>
        </is>
      </c>
      <c r="H420" s="59" t="n">
        <v>1309245</v>
      </c>
      <c r="I420" s="59" t="n">
        <v>1</v>
      </c>
      <c r="J420" s="59" t="inlineStr">
        <is>
          <t>AM</t>
        </is>
      </c>
      <c r="K420" s="126" t="n">
        <v>180</v>
      </c>
    </row>
    <row r="421" ht="15" customHeight="1" s="60">
      <c r="A421" s="59" t="n">
        <v>1</v>
      </c>
      <c r="B421" s="59" t="n">
        <v>576439</v>
      </c>
      <c r="C421" s="59" t="inlineStr">
        <is>
          <t>1</t>
        </is>
      </c>
      <c r="D421" s="59" t="inlineStr">
        <is>
          <t>05498763000128</t>
        </is>
      </c>
      <c r="E421" s="75" t="n">
        <v>46198</v>
      </c>
      <c r="F421" s="75" t="n">
        <v>46192</v>
      </c>
      <c r="G421" s="59" t="inlineStr">
        <is>
          <t>TAPAJOS COM DE PERFUMARIA COSMETICOS E G</t>
        </is>
      </c>
      <c r="H421" s="59" t="n">
        <v>1304959</v>
      </c>
      <c r="I421" s="59" t="n">
        <v>1</v>
      </c>
      <c r="J421" s="59" t="inlineStr">
        <is>
          <t>AM</t>
        </is>
      </c>
      <c r="K421" s="126" t="n">
        <v>2994.82</v>
      </c>
    </row>
    <row r="422" ht="15" customHeight="1" s="60">
      <c r="A422" s="59" t="n">
        <v>1</v>
      </c>
      <c r="B422" s="59" t="n">
        <v>3650</v>
      </c>
      <c r="C422" s="59" t="inlineStr">
        <is>
          <t>3</t>
        </is>
      </c>
      <c r="D422" s="59" t="inlineStr">
        <is>
          <t>37225449000168</t>
        </is>
      </c>
      <c r="E422" s="75" t="n">
        <v>46198</v>
      </c>
      <c r="F422" s="75" t="n">
        <v>46198</v>
      </c>
      <c r="G422" s="59" t="inlineStr">
        <is>
          <t>VOVO DIZA COMERCIO VAREJISTA DE HORTALICAS LTDA</t>
        </is>
      </c>
      <c r="H422" s="59" t="n">
        <v>1309149</v>
      </c>
      <c r="I422" s="59" t="n">
        <v>1</v>
      </c>
      <c r="J422" s="59" t="inlineStr">
        <is>
          <t>AM</t>
        </is>
      </c>
      <c r="K422" s="126" t="n">
        <v>135</v>
      </c>
    </row>
    <row r="423" ht="15" customHeight="1" s="60">
      <c r="A423" s="59" t="n">
        <v>1</v>
      </c>
      <c r="B423" s="59" t="n">
        <v>326</v>
      </c>
      <c r="C423" s="59" t="inlineStr">
        <is>
          <t>1</t>
        </is>
      </c>
      <c r="D423" s="59" t="inlineStr">
        <is>
          <t>63502353000100</t>
        </is>
      </c>
      <c r="E423" s="75" t="n">
        <v>46199</v>
      </c>
      <c r="F423" s="75" t="n">
        <v>46199</v>
      </c>
      <c r="G423" s="59" t="inlineStr">
        <is>
          <t>63.502.353 JOAO WYLLAMI NASCIMENTO DOS SANTOS</t>
        </is>
      </c>
      <c r="H423" s="59" t="n">
        <v>1309767</v>
      </c>
      <c r="I423" s="59" t="n">
        <v>1</v>
      </c>
      <c r="J423" s="59" t="inlineStr">
        <is>
          <t>AM</t>
        </is>
      </c>
      <c r="K423" s="126" t="n">
        <v>850</v>
      </c>
    </row>
    <row r="424" ht="15" customHeight="1" s="60">
      <c r="A424" s="59" t="n">
        <v>1</v>
      </c>
      <c r="B424" s="59" t="n">
        <v>317</v>
      </c>
      <c r="C424" s="59" t="inlineStr">
        <is>
          <t>1</t>
        </is>
      </c>
      <c r="D424" s="59" t="inlineStr">
        <is>
          <t>34787423000115</t>
        </is>
      </c>
      <c r="E424" s="75" t="n">
        <v>46199</v>
      </c>
      <c r="F424" s="75" t="n">
        <v>46198</v>
      </c>
      <c r="G424" s="59" t="inlineStr">
        <is>
          <t>ADRIANO FEITOSA OLIVEIRA LTDA</t>
        </is>
      </c>
      <c r="H424" s="59" t="n">
        <v>1309485</v>
      </c>
      <c r="I424" s="59" t="n">
        <v>1</v>
      </c>
      <c r="J424" s="59" t="inlineStr">
        <is>
          <t>AM</t>
        </is>
      </c>
      <c r="K424" s="126" t="n">
        <v>899.95</v>
      </c>
    </row>
    <row r="425" ht="15" customHeight="1" s="60">
      <c r="A425" s="59" t="n">
        <v>1</v>
      </c>
      <c r="B425" s="59" t="n">
        <v>1174709</v>
      </c>
      <c r="C425" s="59" t="inlineStr">
        <is>
          <t>7</t>
        </is>
      </c>
      <c r="D425" s="59" t="inlineStr">
        <is>
          <t>34590315000158</t>
        </is>
      </c>
      <c r="E425" s="75" t="n">
        <v>46199</v>
      </c>
      <c r="F425" s="75" t="n">
        <v>46196</v>
      </c>
      <c r="G425" s="59" t="inlineStr">
        <is>
          <t>BRASIL NORTE BEBIDAS S/A</t>
        </is>
      </c>
      <c r="H425" s="59" t="n">
        <v>1309451</v>
      </c>
      <c r="I425" s="59" t="n">
        <v>1</v>
      </c>
      <c r="J425" s="59" t="inlineStr">
        <is>
          <t>AM</t>
        </is>
      </c>
      <c r="K425" s="126" t="n">
        <v>257.85</v>
      </c>
    </row>
    <row r="426" ht="15" customHeight="1" s="60">
      <c r="A426" s="59" t="n">
        <v>1</v>
      </c>
      <c r="B426" s="59" t="n">
        <v>1174710</v>
      </c>
      <c r="C426" s="59" t="inlineStr">
        <is>
          <t>7</t>
        </is>
      </c>
      <c r="D426" s="59" t="inlineStr">
        <is>
          <t>34590315000158</t>
        </is>
      </c>
      <c r="E426" s="75" t="n">
        <v>46199</v>
      </c>
      <c r="F426" s="75" t="n">
        <v>46196</v>
      </c>
      <c r="G426" s="59" t="inlineStr">
        <is>
          <t>BRASIL NORTE BEBIDAS S/A</t>
        </is>
      </c>
      <c r="H426" s="59" t="n">
        <v>1309446</v>
      </c>
      <c r="I426" s="59" t="n">
        <v>1</v>
      </c>
      <c r="J426" s="59" t="inlineStr">
        <is>
          <t>AM</t>
        </is>
      </c>
      <c r="K426" s="126" t="n">
        <v>994.33</v>
      </c>
    </row>
    <row r="427" ht="15" customHeight="1" s="60">
      <c r="A427" s="59" t="n">
        <v>1</v>
      </c>
      <c r="B427" s="59" t="n">
        <v>1175957</v>
      </c>
      <c r="C427" s="59" t="inlineStr">
        <is>
          <t>7</t>
        </is>
      </c>
      <c r="D427" s="59" t="inlineStr">
        <is>
          <t>34590315000158</t>
        </is>
      </c>
      <c r="E427" s="75" t="n">
        <v>46199</v>
      </c>
      <c r="F427" s="75" t="n">
        <v>46196</v>
      </c>
      <c r="G427" s="59" t="inlineStr">
        <is>
          <t>BRASIL NORTE BEBIDAS S/A</t>
        </is>
      </c>
      <c r="H427" s="59" t="n">
        <v>1309396</v>
      </c>
      <c r="I427" s="59" t="n">
        <v>1</v>
      </c>
      <c r="J427" s="59" t="inlineStr">
        <is>
          <t>AM</t>
        </is>
      </c>
      <c r="K427" s="126" t="n">
        <v>1219.53</v>
      </c>
    </row>
    <row r="428" ht="15" customHeight="1" s="60">
      <c r="A428" s="59" t="n">
        <v>1</v>
      </c>
      <c r="B428" s="59" t="n">
        <v>1899789</v>
      </c>
      <c r="C428" s="59" t="inlineStr">
        <is>
          <t>5</t>
        </is>
      </c>
      <c r="D428" s="59" t="inlineStr">
        <is>
          <t>34590315000158</t>
        </is>
      </c>
      <c r="E428" s="75" t="n">
        <v>46199</v>
      </c>
      <c r="F428" s="75" t="n">
        <v>46196</v>
      </c>
      <c r="G428" s="59" t="inlineStr">
        <is>
          <t>BRASIL NORTE BEBIDAS S/A</t>
        </is>
      </c>
      <c r="H428" s="59" t="n">
        <v>1309384</v>
      </c>
      <c r="I428" s="59" t="n">
        <v>1</v>
      </c>
      <c r="J428" s="59" t="inlineStr">
        <is>
          <t>AM</t>
        </is>
      </c>
      <c r="K428" s="126" t="n">
        <v>7646.07</v>
      </c>
    </row>
    <row r="429" ht="15" customHeight="1" s="60">
      <c r="A429" s="59" t="n">
        <v>1</v>
      </c>
      <c r="B429" s="59" t="n">
        <v>1600670</v>
      </c>
      <c r="C429" s="59" t="inlineStr">
        <is>
          <t>1</t>
        </is>
      </c>
      <c r="D429" s="59" t="inlineStr">
        <is>
          <t>01838723026193</t>
        </is>
      </c>
      <c r="E429" s="75" t="n">
        <v>46199</v>
      </c>
      <c r="F429" s="75" t="n">
        <v>46199</v>
      </c>
      <c r="G429" s="59" t="inlineStr">
        <is>
          <t>BRF S A</t>
        </is>
      </c>
      <c r="H429" s="59" t="n">
        <v>1309293</v>
      </c>
      <c r="I429" s="59" t="n">
        <v>1</v>
      </c>
      <c r="J429" s="59" t="inlineStr">
        <is>
          <t>AM</t>
        </is>
      </c>
      <c r="K429" s="126" t="n">
        <v>13428.08</v>
      </c>
    </row>
    <row r="430" ht="15" customHeight="1" s="60">
      <c r="A430" s="59" t="n">
        <v>1</v>
      </c>
      <c r="B430" s="59" t="n">
        <v>1028313</v>
      </c>
      <c r="C430" s="59" t="inlineStr">
        <is>
          <t>1</t>
        </is>
      </c>
      <c r="D430" s="59" t="inlineStr">
        <is>
          <t>34579060000122</t>
        </is>
      </c>
      <c r="E430" s="75" t="n">
        <v>46199</v>
      </c>
      <c r="F430" s="75" t="n">
        <v>46195</v>
      </c>
      <c r="G430" s="59" t="inlineStr">
        <is>
          <t>BROTHERS  INDUSTRIA DE ALIMENTOS LTDA</t>
        </is>
      </c>
      <c r="H430" s="59" t="n">
        <v>1308875</v>
      </c>
      <c r="I430" s="59" t="n">
        <v>1</v>
      </c>
      <c r="J430" s="59" t="inlineStr">
        <is>
          <t>AM</t>
        </is>
      </c>
      <c r="K430" s="126" t="n">
        <v>675.17</v>
      </c>
    </row>
    <row r="431" ht="15" customHeight="1" s="60">
      <c r="A431" s="59" t="n">
        <v>1</v>
      </c>
      <c r="B431" s="59" t="n">
        <v>1029068</v>
      </c>
      <c r="C431" s="59" t="inlineStr">
        <is>
          <t>1</t>
        </is>
      </c>
      <c r="D431" s="59" t="inlineStr">
        <is>
          <t>34579060000122</t>
        </is>
      </c>
      <c r="E431" s="75" t="n">
        <v>46199</v>
      </c>
      <c r="F431" s="75" t="n">
        <v>46198</v>
      </c>
      <c r="G431" s="59" t="inlineStr">
        <is>
          <t>BROTHERS  INDUSTRIA DE ALIMENTOS LTDA</t>
        </is>
      </c>
      <c r="H431" s="59" t="n">
        <v>1309270</v>
      </c>
      <c r="I431" s="59" t="n">
        <v>1</v>
      </c>
      <c r="J431" s="59" t="inlineStr">
        <is>
          <t>AM</t>
        </is>
      </c>
      <c r="K431" s="126" t="n">
        <v>1016.96</v>
      </c>
    </row>
    <row r="432" ht="15" customHeight="1" s="60">
      <c r="A432" s="59" t="n">
        <v>1</v>
      </c>
      <c r="B432" s="59" t="n">
        <v>11315</v>
      </c>
      <c r="C432" s="59" t="inlineStr">
        <is>
          <t>2</t>
        </is>
      </c>
      <c r="D432" s="59" t="inlineStr">
        <is>
          <t>40810324000100</t>
        </is>
      </c>
      <c r="E432" s="75" t="n">
        <v>46199</v>
      </c>
      <c r="F432" s="75" t="n">
        <v>46198</v>
      </c>
      <c r="G432" s="59" t="inlineStr">
        <is>
          <t>C. R. PARENTE ABREU</t>
        </is>
      </c>
      <c r="H432" s="59" t="n">
        <v>1308813</v>
      </c>
      <c r="I432" s="59" t="n">
        <v>1</v>
      </c>
      <c r="J432" s="59" t="inlineStr">
        <is>
          <t>AM</t>
        </is>
      </c>
      <c r="K432" s="126" t="n">
        <v>919.1900000000001</v>
      </c>
    </row>
    <row r="433" ht="15" customHeight="1" s="60">
      <c r="A433" s="59" t="n">
        <v>1</v>
      </c>
      <c r="B433" s="59" t="n">
        <v>172132</v>
      </c>
      <c r="C433" s="59" t="inlineStr">
        <is>
          <t>1</t>
        </is>
      </c>
      <c r="D433" s="59" t="inlineStr">
        <is>
          <t>10418161000153</t>
        </is>
      </c>
      <c r="E433" s="75" t="n">
        <v>46199</v>
      </c>
      <c r="F433" s="75" t="n">
        <v>46198</v>
      </c>
      <c r="G433" s="59" t="inlineStr">
        <is>
          <t>COMERCIO DE FRIOS MANAUS LTDA</t>
        </is>
      </c>
      <c r="H433" s="59" t="n">
        <v>1309867</v>
      </c>
      <c r="I433" s="59" t="n">
        <v>1</v>
      </c>
      <c r="J433" s="59" t="inlineStr">
        <is>
          <t>AM</t>
        </is>
      </c>
      <c r="K433" s="126" t="n">
        <v>5174.8</v>
      </c>
    </row>
    <row r="434" ht="15" customHeight="1" s="60">
      <c r="A434" s="59" t="n">
        <v>1</v>
      </c>
      <c r="B434" s="59" t="n">
        <v>14752</v>
      </c>
      <c r="C434" s="59" t="inlineStr">
        <is>
          <t>1</t>
        </is>
      </c>
      <c r="D434" s="59" t="inlineStr">
        <is>
          <t>09531992000158</t>
        </is>
      </c>
      <c r="E434" s="75" t="n">
        <v>46199</v>
      </c>
      <c r="F434" s="75" t="n">
        <v>46199</v>
      </c>
      <c r="G434" s="59" t="inlineStr">
        <is>
          <t>COMERCIO E TRANSPORTE BRANDAO LTDA</t>
        </is>
      </c>
      <c r="H434" s="59" t="n">
        <v>1310365</v>
      </c>
      <c r="I434" s="59" t="n">
        <v>1</v>
      </c>
      <c r="J434" s="59" t="inlineStr">
        <is>
          <t>AM</t>
        </is>
      </c>
      <c r="K434" s="126" t="n">
        <v>1000</v>
      </c>
    </row>
    <row r="435" ht="15" customHeight="1" s="60">
      <c r="A435" s="59" t="n">
        <v>1</v>
      </c>
      <c r="B435" s="59" t="n">
        <v>875362</v>
      </c>
      <c r="C435" s="59" t="inlineStr">
        <is>
          <t>38</t>
        </is>
      </c>
      <c r="D435" s="59" t="inlineStr">
        <is>
          <t>56228356010013</t>
        </is>
      </c>
      <c r="E435" s="75" t="n">
        <v>46199</v>
      </c>
      <c r="F435" s="75" t="n">
        <v>46197</v>
      </c>
      <c r="G435" s="59" t="inlineStr">
        <is>
          <t>CRBS S/A</t>
        </is>
      </c>
      <c r="H435" s="59" t="n">
        <v>1309533</v>
      </c>
      <c r="I435" s="59" t="n">
        <v>1</v>
      </c>
      <c r="J435" s="59" t="inlineStr">
        <is>
          <t>AM</t>
        </is>
      </c>
      <c r="K435" s="126" t="n">
        <v>5629.46</v>
      </c>
    </row>
    <row r="436" ht="15" customHeight="1" s="60">
      <c r="A436" s="59" t="n">
        <v>1</v>
      </c>
      <c r="B436" s="59" t="n">
        <v>875363</v>
      </c>
      <c r="C436" s="59" t="inlineStr">
        <is>
          <t>38</t>
        </is>
      </c>
      <c r="D436" s="59" t="inlineStr">
        <is>
          <t>56228356010013</t>
        </is>
      </c>
      <c r="E436" s="75" t="n">
        <v>46199</v>
      </c>
      <c r="F436" s="75" t="n">
        <v>46197</v>
      </c>
      <c r="G436" s="59" t="inlineStr">
        <is>
          <t>CRBS S/A</t>
        </is>
      </c>
      <c r="H436" s="59" t="n">
        <v>1309771</v>
      </c>
      <c r="I436" s="59" t="n">
        <v>1</v>
      </c>
      <c r="J436" s="59" t="inlineStr">
        <is>
          <t>AM</t>
        </is>
      </c>
      <c r="K436" s="126" t="n">
        <v>325.67</v>
      </c>
    </row>
    <row r="437" ht="15" customHeight="1" s="60">
      <c r="A437" s="59" t="n">
        <v>1</v>
      </c>
      <c r="B437" s="59" t="n">
        <v>875364</v>
      </c>
      <c r="C437" s="59" t="inlineStr">
        <is>
          <t>38</t>
        </is>
      </c>
      <c r="D437" s="59" t="inlineStr">
        <is>
          <t>56228356010013</t>
        </is>
      </c>
      <c r="E437" s="75" t="n">
        <v>46199</v>
      </c>
      <c r="F437" s="75" t="n">
        <v>46197</v>
      </c>
      <c r="G437" s="59" t="inlineStr">
        <is>
          <t>CRBS S/A</t>
        </is>
      </c>
      <c r="H437" s="59" t="n">
        <v>1309766</v>
      </c>
      <c r="I437" s="59" t="n">
        <v>1</v>
      </c>
      <c r="J437" s="59" t="inlineStr">
        <is>
          <t>AM</t>
        </is>
      </c>
      <c r="K437" s="126" t="n">
        <v>830.14</v>
      </c>
    </row>
    <row r="438" ht="15" customHeight="1" s="60">
      <c r="A438" s="59" t="n">
        <v>1</v>
      </c>
      <c r="B438" s="59" t="n">
        <v>1681442</v>
      </c>
      <c r="C438" s="59" t="inlineStr">
        <is>
          <t>1</t>
        </is>
      </c>
      <c r="D438" s="59" t="inlineStr">
        <is>
          <t>02796653000154</t>
        </is>
      </c>
      <c r="E438" s="75" t="n">
        <v>46199</v>
      </c>
      <c r="F438" s="75" t="n">
        <v>46198</v>
      </c>
      <c r="G438" s="59" t="inlineStr">
        <is>
          <t>DISTRIBUIDORA LOPES LTDA</t>
        </is>
      </c>
      <c r="H438" s="59" t="n">
        <v>1309156</v>
      </c>
      <c r="I438" s="59" t="n">
        <v>1</v>
      </c>
      <c r="J438" s="59" t="inlineStr">
        <is>
          <t>AM</t>
        </is>
      </c>
      <c r="K438" s="126" t="n">
        <v>600</v>
      </c>
    </row>
    <row r="439" ht="15" customHeight="1" s="60">
      <c r="A439" s="59" t="n">
        <v>1</v>
      </c>
      <c r="B439" s="59" t="n">
        <v>1638578</v>
      </c>
      <c r="C439" s="59" t="inlineStr">
        <is>
          <t>890</t>
        </is>
      </c>
      <c r="D439" s="59" t="inlineStr">
        <is>
          <t>02532915340</t>
        </is>
      </c>
      <c r="E439" s="75" t="n">
        <v>46199</v>
      </c>
      <c r="F439" s="75" t="n">
        <v>46199</v>
      </c>
      <c r="G439" s="59" t="inlineStr">
        <is>
          <t>EDSON AGUIAR DE SOUZA</t>
        </is>
      </c>
      <c r="H439" s="59" t="n">
        <v>1312961</v>
      </c>
      <c r="I439" s="59" t="n">
        <v>1</v>
      </c>
      <c r="J439" s="59" t="inlineStr">
        <is>
          <t>AM</t>
        </is>
      </c>
      <c r="K439" s="126" t="n">
        <v>174</v>
      </c>
    </row>
    <row r="440" ht="15" customHeight="1" s="60">
      <c r="A440" s="59" t="n">
        <v>1</v>
      </c>
      <c r="B440" s="59" t="n">
        <v>1638582</v>
      </c>
      <c r="C440" s="59" t="inlineStr">
        <is>
          <t>890</t>
        </is>
      </c>
      <c r="D440" s="59" t="inlineStr">
        <is>
          <t>02532915340</t>
        </is>
      </c>
      <c r="E440" s="75" t="n">
        <v>46199</v>
      </c>
      <c r="F440" s="75" t="n">
        <v>46199</v>
      </c>
      <c r="G440" s="59" t="inlineStr">
        <is>
          <t>EDSON AGUIAR DE SOUZA</t>
        </is>
      </c>
      <c r="H440" s="59" t="n">
        <v>1312944</v>
      </c>
      <c r="I440" s="59" t="n">
        <v>1</v>
      </c>
      <c r="J440" s="59" t="inlineStr">
        <is>
          <t>AM</t>
        </is>
      </c>
      <c r="K440" s="126" t="n">
        <v>246</v>
      </c>
    </row>
    <row r="441" ht="15" customHeight="1" s="60">
      <c r="A441" s="59" t="n">
        <v>1</v>
      </c>
      <c r="B441" s="59" t="n">
        <v>1638586</v>
      </c>
      <c r="C441" s="59" t="inlineStr">
        <is>
          <t>890</t>
        </is>
      </c>
      <c r="D441" s="59" t="inlineStr">
        <is>
          <t>02532915340</t>
        </is>
      </c>
      <c r="E441" s="75" t="n">
        <v>46199</v>
      </c>
      <c r="F441" s="75" t="n">
        <v>46199</v>
      </c>
      <c r="G441" s="59" t="inlineStr">
        <is>
          <t>EDSON AGUIAR DE SOUZA</t>
        </is>
      </c>
      <c r="H441" s="59" t="n">
        <v>1312884</v>
      </c>
      <c r="I441" s="59" t="n">
        <v>1</v>
      </c>
      <c r="J441" s="59" t="inlineStr">
        <is>
          <t>AM</t>
        </is>
      </c>
      <c r="K441" s="126" t="n">
        <v>189</v>
      </c>
    </row>
    <row r="442" ht="15" customHeight="1" s="60">
      <c r="A442" s="59" t="n">
        <v>1</v>
      </c>
      <c r="B442" s="59" t="n">
        <v>1638595</v>
      </c>
      <c r="C442" s="59" t="inlineStr">
        <is>
          <t>890</t>
        </is>
      </c>
      <c r="D442" s="59" t="inlineStr">
        <is>
          <t>02532915340</t>
        </is>
      </c>
      <c r="E442" s="75" t="n">
        <v>46199</v>
      </c>
      <c r="F442" s="75" t="n">
        <v>46199</v>
      </c>
      <c r="G442" s="59" t="inlineStr">
        <is>
          <t>EDSON AGUIAR DE SOUZA</t>
        </is>
      </c>
      <c r="H442" s="59" t="n">
        <v>1312842</v>
      </c>
      <c r="I442" s="59" t="n">
        <v>1</v>
      </c>
      <c r="J442" s="59" t="inlineStr">
        <is>
          <t>AM</t>
        </is>
      </c>
      <c r="K442" s="126" t="n">
        <v>180</v>
      </c>
    </row>
    <row r="443" ht="15" customHeight="1" s="60">
      <c r="A443" s="59" t="n">
        <v>1</v>
      </c>
      <c r="B443" s="59" t="n">
        <v>831615</v>
      </c>
      <c r="C443" s="59" t="inlineStr">
        <is>
          <t>920</t>
        </is>
      </c>
      <c r="D443" s="59" t="inlineStr">
        <is>
          <t>02558483234</t>
        </is>
      </c>
      <c r="E443" s="75" t="n">
        <v>46199</v>
      </c>
      <c r="F443" s="75" t="n">
        <v>46197</v>
      </c>
      <c r="G443" s="59" t="inlineStr">
        <is>
          <t>ELIAS MARTINS DA SILVA</t>
        </is>
      </c>
      <c r="H443" s="59" t="n">
        <v>1309969</v>
      </c>
      <c r="I443" s="59" t="n">
        <v>1</v>
      </c>
      <c r="J443" s="59" t="inlineStr">
        <is>
          <t>AM</t>
        </is>
      </c>
      <c r="K443" s="126" t="n">
        <v>1292</v>
      </c>
    </row>
    <row r="444" ht="15" customHeight="1" s="60">
      <c r="A444" s="59" t="n">
        <v>1</v>
      </c>
      <c r="B444" s="59" t="n">
        <v>2295786</v>
      </c>
      <c r="C444" s="59" t="inlineStr">
        <is>
          <t>1</t>
        </is>
      </c>
      <c r="D444" s="59" t="inlineStr">
        <is>
          <t>05402904001562</t>
        </is>
      </c>
      <c r="E444" s="75" t="n">
        <v>46199</v>
      </c>
      <c r="F444" s="75" t="n">
        <v>46198</v>
      </c>
      <c r="G444" s="59" t="inlineStr">
        <is>
          <t>EMPRESA BRASILEIRA DE DISTRIBUICAO LTDA</t>
        </is>
      </c>
      <c r="H444" s="59" t="n">
        <v>1309121</v>
      </c>
      <c r="I444" s="59" t="n">
        <v>1</v>
      </c>
      <c r="J444" s="59" t="inlineStr">
        <is>
          <t>AM</t>
        </is>
      </c>
      <c r="K444" s="126" t="n">
        <v>1646.34</v>
      </c>
    </row>
    <row r="445" ht="15" customHeight="1" s="60">
      <c r="A445" s="59" t="n">
        <v>1</v>
      </c>
      <c r="B445" s="59" t="n">
        <v>224078</v>
      </c>
      <c r="C445" s="59" t="inlineStr">
        <is>
          <t>2</t>
        </is>
      </c>
      <c r="D445" s="59" t="inlineStr">
        <is>
          <t>05646631000104</t>
        </is>
      </c>
      <c r="E445" s="75" t="n">
        <v>46199</v>
      </c>
      <c r="F445" s="75" t="n">
        <v>46195</v>
      </c>
      <c r="G445" s="59" t="inlineStr">
        <is>
          <t>FRUTAL INDUSTRIA E COMERCIO LTDA</t>
        </is>
      </c>
      <c r="H445" s="59" t="n">
        <v>1309005</v>
      </c>
      <c r="I445" s="59" t="n">
        <v>1</v>
      </c>
      <c r="J445" s="59" t="inlineStr">
        <is>
          <t>AM</t>
        </is>
      </c>
      <c r="K445" s="126" t="n">
        <v>1167.14</v>
      </c>
    </row>
    <row r="446" ht="15" customHeight="1" s="60">
      <c r="A446" s="59" t="n">
        <v>1</v>
      </c>
      <c r="B446" s="59" t="n">
        <v>224467</v>
      </c>
      <c r="C446" s="59" t="inlineStr">
        <is>
          <t>2</t>
        </is>
      </c>
      <c r="D446" s="59" t="inlineStr">
        <is>
          <t>05646631000104</t>
        </is>
      </c>
      <c r="E446" s="75" t="n">
        <v>46199</v>
      </c>
      <c r="F446" s="75" t="n">
        <v>46198</v>
      </c>
      <c r="G446" s="59" t="inlineStr">
        <is>
          <t>FRUTAL INDUSTRIA E COMERCIO LTDA</t>
        </is>
      </c>
      <c r="H446" s="59" t="n">
        <v>1309015</v>
      </c>
      <c r="I446" s="59" t="n">
        <v>1</v>
      </c>
      <c r="J446" s="59" t="inlineStr">
        <is>
          <t>AM</t>
        </is>
      </c>
      <c r="K446" s="126" t="n">
        <v>238.41</v>
      </c>
    </row>
    <row r="447" ht="15" customHeight="1" s="60">
      <c r="A447" s="59" t="n">
        <v>1</v>
      </c>
      <c r="B447" s="59" t="n">
        <v>3422</v>
      </c>
      <c r="C447" s="59" t="inlineStr">
        <is>
          <t>1</t>
        </is>
      </c>
      <c r="D447" s="59" t="inlineStr">
        <is>
          <t>59566132000128</t>
        </is>
      </c>
      <c r="E447" s="75" t="n">
        <v>46199</v>
      </c>
      <c r="F447" s="75" t="n">
        <v>46196</v>
      </c>
      <c r="G447" s="59" t="inlineStr">
        <is>
          <t>JAB COMERCIO DE PRODUTOS ALIMENTICIOS LT</t>
        </is>
      </c>
      <c r="H447" s="59" t="n">
        <v>1308855</v>
      </c>
      <c r="I447" s="59" t="n">
        <v>1</v>
      </c>
      <c r="J447" s="59" t="inlineStr">
        <is>
          <t>AM</t>
        </is>
      </c>
      <c r="K447" s="126" t="n">
        <v>405</v>
      </c>
    </row>
    <row r="448" ht="15" customHeight="1" s="60">
      <c r="A448" s="59" t="n">
        <v>1</v>
      </c>
      <c r="B448" s="59" t="n">
        <v>16177</v>
      </c>
      <c r="C448" s="59" t="inlineStr">
        <is>
          <t>1</t>
        </is>
      </c>
      <c r="D448" s="59" t="inlineStr">
        <is>
          <t>40259359000100</t>
        </is>
      </c>
      <c r="E448" s="75" t="n">
        <v>46199</v>
      </c>
      <c r="F448" s="75" t="n">
        <v>46195</v>
      </c>
      <c r="G448" s="59" t="inlineStr">
        <is>
          <t>LELE FABRICACAO DE MASSAS LTDA</t>
        </is>
      </c>
      <c r="H448" s="59" t="n">
        <v>1308931</v>
      </c>
      <c r="I448" s="59" t="n">
        <v>1</v>
      </c>
      <c r="J448" s="59" t="inlineStr">
        <is>
          <t>AM</t>
        </is>
      </c>
      <c r="K448" s="126" t="n">
        <v>240</v>
      </c>
    </row>
    <row r="449" ht="15" customHeight="1" s="60">
      <c r="A449" s="59" t="n">
        <v>1</v>
      </c>
      <c r="B449" s="59" t="n">
        <v>508</v>
      </c>
      <c r="C449" s="59" t="inlineStr">
        <is>
          <t>1</t>
        </is>
      </c>
      <c r="D449" s="59" t="inlineStr">
        <is>
          <t>42564964000102</t>
        </is>
      </c>
      <c r="E449" s="75" t="n">
        <v>46199</v>
      </c>
      <c r="F449" s="75" t="n">
        <v>46199</v>
      </c>
      <c r="G449" s="59" t="inlineStr">
        <is>
          <t>LOURIVAL ALMEIDA DA SILVA 17128784845</t>
        </is>
      </c>
      <c r="H449" s="59" t="n">
        <v>1312820</v>
      </c>
      <c r="I449" s="59" t="n">
        <v>1</v>
      </c>
      <c r="J449" s="59" t="inlineStr">
        <is>
          <t>AM</t>
        </is>
      </c>
      <c r="K449" s="126" t="n">
        <v>160.32</v>
      </c>
    </row>
    <row r="450" ht="15" customHeight="1" s="60">
      <c r="A450" s="59" t="n">
        <v>1</v>
      </c>
      <c r="B450" s="59" t="n">
        <v>14562</v>
      </c>
      <c r="C450" s="59" t="inlineStr">
        <is>
          <t>1</t>
        </is>
      </c>
      <c r="D450" s="59" t="inlineStr">
        <is>
          <t>03784729000194</t>
        </is>
      </c>
      <c r="E450" s="75" t="n">
        <v>46199</v>
      </c>
      <c r="F450" s="75" t="n">
        <v>46199</v>
      </c>
      <c r="G450" s="59" t="inlineStr">
        <is>
          <t>MAXFRI DISTRIUIDORA LTDA</t>
        </is>
      </c>
      <c r="H450" s="59" t="n">
        <v>1310018</v>
      </c>
      <c r="I450" s="59" t="n">
        <v>1</v>
      </c>
      <c r="J450" s="59" t="inlineStr">
        <is>
          <t>AM</t>
        </is>
      </c>
      <c r="K450" s="126" t="n">
        <v>6075.66</v>
      </c>
    </row>
    <row r="451" ht="15" customHeight="1" s="60">
      <c r="A451" s="59" t="n">
        <v>1</v>
      </c>
      <c r="B451" s="59" t="n">
        <v>731754</v>
      </c>
      <c r="C451" s="59" t="inlineStr">
        <is>
          <t>0</t>
        </is>
      </c>
      <c r="D451" s="59" t="inlineStr">
        <is>
          <t>08038545000107</t>
        </is>
      </c>
      <c r="E451" s="75" t="n">
        <v>46199</v>
      </c>
      <c r="F451" s="75" t="n">
        <v>46196</v>
      </c>
      <c r="G451" s="59" t="inlineStr">
        <is>
          <t>NATUREZA COMERCIO DE DESCARTAVEIS LTDA</t>
        </is>
      </c>
      <c r="H451" s="59" t="n">
        <v>1310257</v>
      </c>
      <c r="I451" s="59" t="n">
        <v>1</v>
      </c>
      <c r="J451" s="59" t="inlineStr">
        <is>
          <t>AM</t>
        </is>
      </c>
      <c r="K451" s="126" t="n">
        <v>206.31</v>
      </c>
    </row>
    <row r="452" ht="15" customHeight="1" s="60">
      <c r="A452" s="59" t="n">
        <v>1</v>
      </c>
      <c r="B452" s="59" t="n">
        <v>42233</v>
      </c>
      <c r="C452" s="59" t="inlineStr">
        <is>
          <t>1</t>
        </is>
      </c>
      <c r="D452" s="59" t="inlineStr">
        <is>
          <t>51130661000172</t>
        </is>
      </c>
      <c r="E452" s="75" t="n">
        <v>46199</v>
      </c>
      <c r="F452" s="75" t="n">
        <v>46198</v>
      </c>
      <c r="G452" s="59" t="inlineStr">
        <is>
          <t>NORTELAC DISTRIBUIDORA DE FRIOS LTDA</t>
        </is>
      </c>
      <c r="H452" s="59" t="n">
        <v>1309009</v>
      </c>
      <c r="I452" s="59" t="n">
        <v>1</v>
      </c>
      <c r="J452" s="59" t="inlineStr">
        <is>
          <t>AM</t>
        </is>
      </c>
      <c r="K452" s="126" t="n">
        <v>1380</v>
      </c>
    </row>
    <row r="453" ht="15" customHeight="1" s="60">
      <c r="A453" s="59" t="n">
        <v>1</v>
      </c>
      <c r="B453" s="59" t="n">
        <v>3863</v>
      </c>
      <c r="C453" s="59" t="inlineStr">
        <is>
          <t>1</t>
        </is>
      </c>
      <c r="D453" s="59" t="inlineStr">
        <is>
          <t>14459228000159</t>
        </is>
      </c>
      <c r="E453" s="75" t="n">
        <v>46199</v>
      </c>
      <c r="F453" s="75" t="n">
        <v>46196</v>
      </c>
      <c r="G453" s="59" t="inlineStr">
        <is>
          <t>NOVA FRIOS COMERCIO ATACADISTA DE LATICINIOS LTDA</t>
        </is>
      </c>
      <c r="H453" s="59" t="n">
        <v>1308839</v>
      </c>
      <c r="I453" s="59" t="n">
        <v>1</v>
      </c>
      <c r="J453" s="59" t="inlineStr">
        <is>
          <t>AM</t>
        </is>
      </c>
      <c r="K453" s="126" t="n">
        <v>241.6</v>
      </c>
    </row>
    <row r="454" ht="15" customHeight="1" s="60">
      <c r="A454" s="59" t="n">
        <v>1</v>
      </c>
      <c r="B454" s="59" t="n">
        <v>38858</v>
      </c>
      <c r="C454" s="59" t="inlineStr">
        <is>
          <t>5</t>
        </is>
      </c>
      <c r="D454" s="59" t="inlineStr">
        <is>
          <t>03439223000148</t>
        </is>
      </c>
      <c r="E454" s="75" t="n">
        <v>46199</v>
      </c>
      <c r="F454" s="75" t="n">
        <v>46191</v>
      </c>
      <c r="G454" s="59" t="inlineStr">
        <is>
          <t>NT INDUSTRIA E COMERCIO DE PANIFICACAO L</t>
        </is>
      </c>
      <c r="H454" s="59" t="n">
        <v>1308963</v>
      </c>
      <c r="I454" s="59" t="n">
        <v>1</v>
      </c>
      <c r="J454" s="59" t="inlineStr">
        <is>
          <t>AM</t>
        </is>
      </c>
      <c r="K454" s="126" t="n">
        <v>5651.65</v>
      </c>
    </row>
    <row r="455" ht="15" customHeight="1" s="60">
      <c r="A455" s="59" t="n">
        <v>1</v>
      </c>
      <c r="B455" s="59" t="n">
        <v>39200</v>
      </c>
      <c r="C455" s="59" t="inlineStr">
        <is>
          <t>5</t>
        </is>
      </c>
      <c r="D455" s="59" t="inlineStr">
        <is>
          <t>03439223000148</t>
        </is>
      </c>
      <c r="E455" s="75" t="n">
        <v>46199</v>
      </c>
      <c r="F455" s="75" t="n">
        <v>46196</v>
      </c>
      <c r="G455" s="59" t="inlineStr">
        <is>
          <t>NT INDUSTRIA E COMERCIO DE PANIFICACAO L</t>
        </is>
      </c>
      <c r="H455" s="59" t="n">
        <v>1308995</v>
      </c>
      <c r="I455" s="59" t="n">
        <v>1</v>
      </c>
      <c r="J455" s="59" t="inlineStr">
        <is>
          <t>AM</t>
        </is>
      </c>
      <c r="K455" s="126" t="n">
        <v>4267.21</v>
      </c>
    </row>
    <row r="456" ht="15" customHeight="1" s="60">
      <c r="A456" s="59" t="n">
        <v>1</v>
      </c>
      <c r="B456" s="59" t="n">
        <v>675</v>
      </c>
      <c r="C456" s="59" t="inlineStr">
        <is>
          <t>2</t>
        </is>
      </c>
      <c r="D456" s="59" t="inlineStr">
        <is>
          <t>35729236000148</t>
        </is>
      </c>
      <c r="E456" s="75" t="n">
        <v>46199</v>
      </c>
      <c r="F456" s="75" t="n">
        <v>46195</v>
      </c>
      <c r="G456" s="59" t="inlineStr">
        <is>
          <t>PANIFICADORA E CONFEITARIA REAL MADRI LTDA</t>
        </is>
      </c>
      <c r="H456" s="59" t="n">
        <v>1308891</v>
      </c>
      <c r="I456" s="59" t="n">
        <v>1</v>
      </c>
      <c r="J456" s="59" t="inlineStr">
        <is>
          <t>AM</t>
        </is>
      </c>
      <c r="K456" s="126" t="n">
        <v>1400</v>
      </c>
    </row>
    <row r="457" ht="15" customHeight="1" s="60">
      <c r="A457" s="59" t="n">
        <v>1</v>
      </c>
      <c r="B457" s="59" t="n">
        <v>680</v>
      </c>
      <c r="C457" s="59" t="inlineStr">
        <is>
          <t>2</t>
        </is>
      </c>
      <c r="D457" s="59" t="inlineStr">
        <is>
          <t>35729236000148</t>
        </is>
      </c>
      <c r="E457" s="75" t="n">
        <v>46199</v>
      </c>
      <c r="F457" s="75" t="n">
        <v>46196</v>
      </c>
      <c r="G457" s="59" t="inlineStr">
        <is>
          <t>PANIFICADORA E CONFEITARIA REAL MADRI LTDA</t>
        </is>
      </c>
      <c r="H457" s="59" t="n">
        <v>1308921</v>
      </c>
      <c r="I457" s="59" t="n">
        <v>1</v>
      </c>
      <c r="J457" s="59" t="inlineStr">
        <is>
          <t>AM</t>
        </is>
      </c>
      <c r="K457" s="126" t="n">
        <v>304.75</v>
      </c>
    </row>
    <row r="458" ht="15" customHeight="1" s="60">
      <c r="A458" s="59" t="n">
        <v>1</v>
      </c>
      <c r="B458" s="59" t="n">
        <v>683</v>
      </c>
      <c r="C458" s="59" t="inlineStr">
        <is>
          <t>2</t>
        </is>
      </c>
      <c r="D458" s="59" t="inlineStr">
        <is>
          <t>35729236000148</t>
        </is>
      </c>
      <c r="E458" s="75" t="n">
        <v>46199</v>
      </c>
      <c r="F458" s="75" t="n">
        <v>46198</v>
      </c>
      <c r="G458" s="59" t="inlineStr">
        <is>
          <t>PANIFICADORA E CONFEITARIA REAL MADRI LTDA</t>
        </is>
      </c>
      <c r="H458" s="59" t="n">
        <v>1308928</v>
      </c>
      <c r="I458" s="59" t="n">
        <v>1</v>
      </c>
      <c r="J458" s="59" t="inlineStr">
        <is>
          <t>AM</t>
        </is>
      </c>
      <c r="K458" s="126" t="n">
        <v>357.1</v>
      </c>
    </row>
    <row r="459" ht="15" customHeight="1" s="60">
      <c r="A459" s="59" t="n">
        <v>1</v>
      </c>
      <c r="B459" s="59" t="n">
        <v>193797</v>
      </c>
      <c r="C459" s="59" t="inlineStr">
        <is>
          <t>3</t>
        </is>
      </c>
      <c r="D459" s="59" t="inlineStr">
        <is>
          <t>11094287000344</t>
        </is>
      </c>
      <c r="E459" s="75" t="n">
        <v>46199</v>
      </c>
      <c r="F459" s="75" t="n">
        <v>46197</v>
      </c>
      <c r="G459" s="59" t="inlineStr">
        <is>
          <t>PIARARA COMERCIO, IMPORTACAO E EXPORTACAO LTDA</t>
        </is>
      </c>
      <c r="H459" s="59" t="n">
        <v>1310224</v>
      </c>
      <c r="I459" s="59" t="n">
        <v>1</v>
      </c>
      <c r="J459" s="59" t="inlineStr">
        <is>
          <t>AM</t>
        </is>
      </c>
      <c r="K459" s="126" t="n">
        <v>3073.61</v>
      </c>
    </row>
    <row r="460" ht="15" customHeight="1" s="60">
      <c r="A460" s="59" t="n">
        <v>1</v>
      </c>
      <c r="B460" s="59" t="n">
        <v>2626</v>
      </c>
      <c r="C460" s="59" t="inlineStr">
        <is>
          <t>1</t>
        </is>
      </c>
      <c r="D460" s="59" t="inlineStr">
        <is>
          <t>36480282000119</t>
        </is>
      </c>
      <c r="E460" s="75" t="n">
        <v>46199</v>
      </c>
      <c r="F460" s="75" t="n">
        <v>46199</v>
      </c>
      <c r="G460" s="59" t="inlineStr">
        <is>
          <t>RENATO DE O AZEVEDO E CIA LTDA - EPP</t>
        </is>
      </c>
      <c r="H460" s="59" t="n">
        <v>1310010</v>
      </c>
      <c r="I460" s="59" t="n">
        <v>2</v>
      </c>
      <c r="J460" s="59" t="inlineStr">
        <is>
          <t>AM</t>
        </is>
      </c>
      <c r="K460" s="126" t="n">
        <v>4132.55</v>
      </c>
    </row>
    <row r="461" ht="15" customHeight="1" s="60">
      <c r="A461" s="59" t="n">
        <v>1</v>
      </c>
      <c r="B461" s="59" t="n">
        <v>5184</v>
      </c>
      <c r="C461" s="59" t="inlineStr">
        <is>
          <t>1</t>
        </is>
      </c>
      <c r="D461" s="59" t="inlineStr">
        <is>
          <t>36480282000119</t>
        </is>
      </c>
      <c r="E461" s="75" t="n">
        <v>46199</v>
      </c>
      <c r="F461" s="75" t="n">
        <v>46199</v>
      </c>
      <c r="G461" s="59" t="inlineStr">
        <is>
          <t>RENATO DE O AZEVEDO E CIA LTDA - EPP</t>
        </is>
      </c>
      <c r="H461" s="59" t="n">
        <v>1309570</v>
      </c>
      <c r="I461" s="59" t="n">
        <v>6</v>
      </c>
      <c r="J461" s="59" t="inlineStr">
        <is>
          <t>AM</t>
        </is>
      </c>
      <c r="K461" s="126" t="n">
        <v>1250</v>
      </c>
    </row>
    <row r="462" ht="15" customHeight="1" s="60">
      <c r="A462" s="59" t="n">
        <v>1</v>
      </c>
      <c r="B462" s="59" t="n">
        <v>5191</v>
      </c>
      <c r="C462" s="59" t="inlineStr">
        <is>
          <t>1</t>
        </is>
      </c>
      <c r="D462" s="59" t="inlineStr">
        <is>
          <t>36480282000119</t>
        </is>
      </c>
      <c r="E462" s="75" t="n">
        <v>46199</v>
      </c>
      <c r="F462" s="75" t="n">
        <v>46199</v>
      </c>
      <c r="G462" s="59" t="inlineStr">
        <is>
          <t>RENATO DE O AZEVEDO E CIA LTDA - EPP</t>
        </is>
      </c>
      <c r="H462" s="59" t="n">
        <v>1310034</v>
      </c>
      <c r="I462" s="59" t="n">
        <v>6</v>
      </c>
      <c r="J462" s="59" t="inlineStr">
        <is>
          <t>AM</t>
        </is>
      </c>
      <c r="K462" s="126" t="n">
        <v>4132.55</v>
      </c>
    </row>
    <row r="463" ht="15" customHeight="1" s="60">
      <c r="A463" s="59" t="n">
        <v>1</v>
      </c>
      <c r="B463" s="59" t="n">
        <v>5196</v>
      </c>
      <c r="C463" s="59" t="inlineStr">
        <is>
          <t>1</t>
        </is>
      </c>
      <c r="D463" s="59" t="inlineStr">
        <is>
          <t>36480282000119</t>
        </is>
      </c>
      <c r="E463" s="75" t="n">
        <v>46199</v>
      </c>
      <c r="F463" s="75" t="n">
        <v>46199</v>
      </c>
      <c r="G463" s="59" t="inlineStr">
        <is>
          <t>RENATO DE O AZEVEDO E CIA LTDA - EPP</t>
        </is>
      </c>
      <c r="H463" s="59" t="n">
        <v>1310202</v>
      </c>
      <c r="I463" s="59" t="n">
        <v>6</v>
      </c>
      <c r="J463" s="59" t="inlineStr">
        <is>
          <t>AM</t>
        </is>
      </c>
      <c r="K463" s="126" t="n">
        <v>2596</v>
      </c>
    </row>
    <row r="464" ht="15" customHeight="1" s="60">
      <c r="A464" s="59" t="n">
        <v>1</v>
      </c>
      <c r="B464" s="59" t="n">
        <v>26261</v>
      </c>
      <c r="C464" s="59" t="inlineStr">
        <is>
          <t>1</t>
        </is>
      </c>
      <c r="D464" s="59" t="inlineStr">
        <is>
          <t>36480282000119</t>
        </is>
      </c>
      <c r="E464" s="75" t="n">
        <v>46199</v>
      </c>
      <c r="F464" s="75" t="n">
        <v>46199</v>
      </c>
      <c r="G464" s="59" t="inlineStr">
        <is>
          <t>RENATO DE O AZEVEDO E CIA LTDA - EPP</t>
        </is>
      </c>
      <c r="H464" s="59" t="n">
        <v>1310189</v>
      </c>
      <c r="I464" s="59" t="n">
        <v>2</v>
      </c>
      <c r="J464" s="59" t="inlineStr">
        <is>
          <t>AM</t>
        </is>
      </c>
      <c r="K464" s="126" t="n">
        <v>2596</v>
      </c>
    </row>
    <row r="465" ht="15" customHeight="1" s="60">
      <c r="A465" s="59" t="n">
        <v>1</v>
      </c>
      <c r="B465" s="59" t="n">
        <v>230626</v>
      </c>
      <c r="C465" s="59" t="inlineStr">
        <is>
          <t>1</t>
        </is>
      </c>
      <c r="D465" s="59" t="inlineStr">
        <is>
          <t>36480282000119</t>
        </is>
      </c>
      <c r="E465" s="75" t="n">
        <v>46199</v>
      </c>
      <c r="F465" s="75" t="n">
        <v>46199</v>
      </c>
      <c r="G465" s="59" t="inlineStr">
        <is>
          <t>RENATO DE O AZEVEDO E CIA LTDA - EPP</t>
        </is>
      </c>
      <c r="H465" s="59" t="n">
        <v>1309565</v>
      </c>
      <c r="I465" s="59" t="n">
        <v>2</v>
      </c>
      <c r="J465" s="59" t="inlineStr">
        <is>
          <t>AM</t>
        </is>
      </c>
      <c r="K465" s="126" t="n">
        <v>1250</v>
      </c>
    </row>
    <row r="466" ht="15" customHeight="1" s="60">
      <c r="A466" s="59" t="n">
        <v>1</v>
      </c>
      <c r="B466" s="59" t="n">
        <v>348726</v>
      </c>
      <c r="C466" s="59" t="inlineStr">
        <is>
          <t>2</t>
        </is>
      </c>
      <c r="D466" s="59" t="inlineStr">
        <is>
          <t>63310411003461</t>
        </is>
      </c>
      <c r="E466" s="75" t="n">
        <v>46199</v>
      </c>
      <c r="F466" s="75" t="n">
        <v>46196</v>
      </c>
      <c r="G466" s="59" t="inlineStr">
        <is>
          <t>TRES CORACOES ALIMENTOS S.A.</t>
        </is>
      </c>
      <c r="H466" s="59" t="n">
        <v>1310155</v>
      </c>
      <c r="I466" s="59" t="n">
        <v>1</v>
      </c>
      <c r="J466" s="59" t="inlineStr">
        <is>
          <t>AM</t>
        </is>
      </c>
      <c r="K466" s="126" t="n">
        <v>901.9400000000001</v>
      </c>
    </row>
    <row r="467" ht="15" customHeight="1" s="60">
      <c r="A467" s="59" t="n">
        <v>1</v>
      </c>
      <c r="B467" s="59" t="n">
        <v>10158</v>
      </c>
      <c r="C467" s="59" t="inlineStr">
        <is>
          <t>2</t>
        </is>
      </c>
      <c r="D467" s="59" t="inlineStr">
        <is>
          <t>36296113000123</t>
        </is>
      </c>
      <c r="E467" s="75" t="n">
        <v>46199</v>
      </c>
      <c r="F467" s="75" t="n">
        <v>46195</v>
      </c>
      <c r="G467" s="59" t="inlineStr">
        <is>
          <t>VITAPAN COMERCIO VAREJISTA DE PRODUTOS ALIMENTICIOS LTDA</t>
        </is>
      </c>
      <c r="H467" s="59" t="n">
        <v>1308949</v>
      </c>
      <c r="I467" s="59" t="n">
        <v>1</v>
      </c>
      <c r="J467" s="59" t="inlineStr">
        <is>
          <t>AM</t>
        </is>
      </c>
      <c r="K467" s="126" t="n">
        <v>1026</v>
      </c>
    </row>
    <row r="468" ht="15" customHeight="1" s="60">
      <c r="A468" s="59" t="n">
        <v>1</v>
      </c>
      <c r="B468" s="59" t="n">
        <v>3668</v>
      </c>
      <c r="C468" s="59" t="inlineStr">
        <is>
          <t>3</t>
        </is>
      </c>
      <c r="D468" s="59" t="inlineStr">
        <is>
          <t>37225449000168</t>
        </is>
      </c>
      <c r="E468" s="75" t="n">
        <v>46199</v>
      </c>
      <c r="F468" s="75" t="n">
        <v>46199</v>
      </c>
      <c r="G468" s="59" t="inlineStr">
        <is>
          <t>VOVO DIZA COMERCIO VAREJISTA DE HORTALICAS LTDA</t>
        </is>
      </c>
      <c r="H468" s="59" t="n">
        <v>1309780</v>
      </c>
      <c r="I468" s="59" t="n">
        <v>1</v>
      </c>
      <c r="J468" s="59" t="inlineStr">
        <is>
          <t>AM</t>
        </is>
      </c>
      <c r="K468" s="126" t="n">
        <v>90</v>
      </c>
    </row>
    <row r="469" ht="15" customHeight="1" s="60">
      <c r="A469" s="59" t="n">
        <v>1</v>
      </c>
      <c r="B469" s="59" t="n">
        <v>18891</v>
      </c>
      <c r="C469" s="59" t="inlineStr">
        <is>
          <t>4</t>
        </is>
      </c>
      <c r="D469" s="59" t="inlineStr">
        <is>
          <t>14539474000463</t>
        </is>
      </c>
      <c r="E469" s="75" t="n">
        <v>46200</v>
      </c>
      <c r="F469" s="75" t="n">
        <v>46199</v>
      </c>
      <c r="G469" s="59" t="inlineStr">
        <is>
          <t>BRAGA TABACARIA EIRELI ME</t>
        </is>
      </c>
      <c r="H469" s="59" t="n">
        <v>1312829</v>
      </c>
      <c r="I469" s="59" t="n">
        <v>1</v>
      </c>
      <c r="J469" s="59" t="inlineStr">
        <is>
          <t>AM</t>
        </is>
      </c>
      <c r="K469" s="126" t="n">
        <v>998</v>
      </c>
    </row>
    <row r="470" ht="15" customHeight="1" s="60">
      <c r="A470" s="59" t="n">
        <v>1</v>
      </c>
      <c r="B470" s="59" t="n">
        <v>1638591</v>
      </c>
      <c r="C470" s="59" t="inlineStr">
        <is>
          <t>890</t>
        </is>
      </c>
      <c r="D470" s="59" t="inlineStr">
        <is>
          <t>02532915340</t>
        </is>
      </c>
      <c r="E470" s="75" t="n">
        <v>46200</v>
      </c>
      <c r="F470" s="75" t="n">
        <v>46199</v>
      </c>
      <c r="G470" s="59" t="inlineStr">
        <is>
          <t>EDSON AGUIAR DE SOUZA</t>
        </is>
      </c>
      <c r="H470" s="59" t="n">
        <v>1312862</v>
      </c>
      <c r="I470" s="59" t="n">
        <v>1</v>
      </c>
      <c r="J470" s="59" t="inlineStr">
        <is>
          <t>AM</t>
        </is>
      </c>
      <c r="K470" s="126" t="n">
        <v>276</v>
      </c>
    </row>
    <row r="471" ht="15" customHeight="1" s="60">
      <c r="A471" s="59" t="n">
        <v>1</v>
      </c>
      <c r="B471" s="59" t="n">
        <v>1638981</v>
      </c>
      <c r="C471" s="59" t="inlineStr">
        <is>
          <t>890</t>
        </is>
      </c>
      <c r="D471" s="59" t="inlineStr">
        <is>
          <t>02532915340</t>
        </is>
      </c>
      <c r="E471" s="75" t="n">
        <v>46200</v>
      </c>
      <c r="F471" s="75" t="n">
        <v>46200</v>
      </c>
      <c r="G471" s="59" t="inlineStr">
        <is>
          <t>EDSON AGUIAR DE SOUZA</t>
        </is>
      </c>
      <c r="H471" s="59" t="n">
        <v>1321915</v>
      </c>
      <c r="I471" s="59" t="n">
        <v>1</v>
      </c>
      <c r="J471" s="59" t="inlineStr">
        <is>
          <t>AM</t>
        </is>
      </c>
      <c r="K471" s="126" t="n">
        <v>300</v>
      </c>
    </row>
    <row r="472" ht="15" customHeight="1" s="60">
      <c r="A472" s="59" t="n">
        <v>1</v>
      </c>
      <c r="B472" s="59" t="n">
        <v>325</v>
      </c>
      <c r="C472" s="59" t="inlineStr">
        <is>
          <t>2</t>
        </is>
      </c>
      <c r="D472" s="59" t="inlineStr">
        <is>
          <t>20380110000133</t>
        </is>
      </c>
      <c r="E472" s="75" t="n">
        <v>46200</v>
      </c>
      <c r="F472" s="75" t="n">
        <v>46200</v>
      </c>
      <c r="G472" s="59" t="inlineStr">
        <is>
          <t>GELO DANGELO FABRICACAO DE GELO LTDA</t>
        </is>
      </c>
      <c r="H472" s="59" t="n">
        <v>1313023</v>
      </c>
      <c r="I472" s="59" t="n">
        <v>1</v>
      </c>
      <c r="J472" s="59" t="inlineStr">
        <is>
          <t>AM</t>
        </is>
      </c>
      <c r="K472" s="126" t="n">
        <v>380</v>
      </c>
    </row>
    <row r="473" ht="15" customHeight="1" s="60">
      <c r="A473" s="59" t="n">
        <v>1</v>
      </c>
      <c r="B473" s="59" t="n">
        <v>5716</v>
      </c>
      <c r="C473" s="59" t="inlineStr">
        <is>
          <t>1</t>
        </is>
      </c>
      <c r="D473" s="59" t="inlineStr">
        <is>
          <t>13854487000111</t>
        </is>
      </c>
      <c r="E473" s="75" t="n">
        <v>46200</v>
      </c>
      <c r="F473" s="75" t="n">
        <v>46199</v>
      </c>
      <c r="G473" s="59" t="inlineStr">
        <is>
          <t>HILTONMAR LIMA DO NASCIMENTO</t>
        </is>
      </c>
      <c r="H473" s="59" t="n">
        <v>1313860</v>
      </c>
      <c r="I473" s="59" t="n">
        <v>1</v>
      </c>
      <c r="J473" s="59" t="inlineStr">
        <is>
          <t>AM</t>
        </is>
      </c>
      <c r="K473" s="126" t="n">
        <v>1427.3</v>
      </c>
    </row>
    <row r="474" ht="15" customHeight="1" s="60">
      <c r="A474" s="59" t="n">
        <v>1</v>
      </c>
      <c r="B474" s="59" t="n">
        <v>3442</v>
      </c>
      <c r="C474" s="59" t="inlineStr">
        <is>
          <t>1</t>
        </is>
      </c>
      <c r="D474" s="59" t="inlineStr">
        <is>
          <t>59566132000128</t>
        </is>
      </c>
      <c r="E474" s="75" t="n">
        <v>46200</v>
      </c>
      <c r="F474" s="75" t="n">
        <v>46199</v>
      </c>
      <c r="G474" s="59" t="inlineStr">
        <is>
          <t>JAB COMERCIO DE PRODUTOS ALIMENTICIOS LT</t>
        </is>
      </c>
      <c r="H474" s="59" t="n">
        <v>1313451</v>
      </c>
      <c r="I474" s="59" t="n">
        <v>1</v>
      </c>
      <c r="J474" s="59" t="inlineStr">
        <is>
          <t>AM</t>
        </is>
      </c>
      <c r="K474" s="126" t="n">
        <v>399</v>
      </c>
    </row>
    <row r="475" ht="15" customHeight="1" s="60">
      <c r="A475" s="59" t="n">
        <v>1</v>
      </c>
      <c r="B475" s="59" t="n">
        <v>225</v>
      </c>
      <c r="C475" s="59" t="inlineStr">
        <is>
          <t>1</t>
        </is>
      </c>
      <c r="D475" s="59" t="inlineStr">
        <is>
          <t>43750457000126</t>
        </is>
      </c>
      <c r="E475" s="75" t="n">
        <v>46200</v>
      </c>
      <c r="F475" s="75" t="n">
        <v>46200</v>
      </c>
      <c r="G475" s="59" t="inlineStr">
        <is>
          <t>JACKSON ROCHA NUNES</t>
        </is>
      </c>
      <c r="H475" s="59" t="n">
        <v>1360419</v>
      </c>
      <c r="I475" s="59" t="n">
        <v>1</v>
      </c>
      <c r="J475" s="59" t="inlineStr">
        <is>
          <t>AM</t>
        </is>
      </c>
      <c r="K475" s="126" t="n">
        <v>750</v>
      </c>
    </row>
    <row r="476" ht="15" customHeight="1" s="60">
      <c r="A476" s="59" t="n">
        <v>1</v>
      </c>
      <c r="B476" s="59" t="n">
        <v>2033</v>
      </c>
      <c r="C476" s="59" t="inlineStr">
        <is>
          <t>3</t>
        </is>
      </c>
      <c r="D476" s="59" t="inlineStr">
        <is>
          <t>20934191000176</t>
        </is>
      </c>
      <c r="E476" s="75" t="n">
        <v>46200</v>
      </c>
      <c r="F476" s="75" t="n">
        <v>46199</v>
      </c>
      <c r="G476" s="59" t="inlineStr">
        <is>
          <t>ORIENTE COM. ATACADISTA E REPRES. LTDA</t>
        </is>
      </c>
      <c r="H476" s="59" t="n">
        <v>1312870</v>
      </c>
      <c r="I476" s="59" t="n">
        <v>1</v>
      </c>
      <c r="J476" s="59" t="inlineStr">
        <is>
          <t>AM</t>
        </is>
      </c>
      <c r="K476" s="126" t="n">
        <v>2263.5</v>
      </c>
    </row>
    <row r="477" ht="15" customHeight="1" s="60">
      <c r="A477" s="59" t="n">
        <v>1</v>
      </c>
      <c r="B477" s="59" t="n">
        <v>681</v>
      </c>
      <c r="C477" s="59" t="inlineStr">
        <is>
          <t>2</t>
        </is>
      </c>
      <c r="D477" s="59" t="inlineStr">
        <is>
          <t>35729236000148</t>
        </is>
      </c>
      <c r="E477" s="75" t="n">
        <v>46200</v>
      </c>
      <c r="F477" s="75" t="n">
        <v>46198</v>
      </c>
      <c r="G477" s="59" t="inlineStr">
        <is>
          <t>PANIFICADORA E CONFEITARIA REAL MADRI LTDA</t>
        </is>
      </c>
      <c r="H477" s="59" t="n">
        <v>1312476</v>
      </c>
      <c r="I477" s="59" t="n">
        <v>1</v>
      </c>
      <c r="J477" s="59" t="inlineStr">
        <is>
          <t>AM</t>
        </is>
      </c>
      <c r="K477" s="126" t="n">
        <v>825</v>
      </c>
    </row>
    <row r="478" ht="15" customHeight="1" s="60">
      <c r="A478" s="59" t="n">
        <v>1</v>
      </c>
      <c r="B478" s="59" t="n">
        <v>684</v>
      </c>
      <c r="C478" s="59" t="inlineStr">
        <is>
          <t>2</t>
        </is>
      </c>
      <c r="D478" s="59" t="inlineStr">
        <is>
          <t>35729236000148</t>
        </is>
      </c>
      <c r="E478" s="75" t="n">
        <v>46200</v>
      </c>
      <c r="F478" s="75" t="n">
        <v>46199</v>
      </c>
      <c r="G478" s="59" t="inlineStr">
        <is>
          <t>PANIFICADORA E CONFEITARIA REAL MADRI LTDA</t>
        </is>
      </c>
      <c r="H478" s="59" t="n">
        <v>1313440</v>
      </c>
      <c r="I478" s="59" t="n">
        <v>1</v>
      </c>
      <c r="J478" s="59" t="inlineStr">
        <is>
          <t>AM</t>
        </is>
      </c>
      <c r="K478" s="126" t="n">
        <v>876.6</v>
      </c>
    </row>
    <row r="479" ht="15" customHeight="1" s="60">
      <c r="A479" s="59" t="n">
        <v>1</v>
      </c>
      <c r="B479" s="59" t="n">
        <v>590548</v>
      </c>
      <c r="C479" s="59" t="inlineStr">
        <is>
          <t>6</t>
        </is>
      </c>
      <c r="D479" s="59" t="inlineStr">
        <is>
          <t>06990011000304</t>
        </is>
      </c>
      <c r="E479" s="75" t="n">
        <v>46200</v>
      </c>
      <c r="F479" s="75" t="n">
        <v>46197</v>
      </c>
      <c r="G479" s="59" t="inlineStr">
        <is>
          <t>REAL BEBIDAS DA AMAZONIA LTDA</t>
        </is>
      </c>
      <c r="H479" s="59" t="n">
        <v>1313525</v>
      </c>
      <c r="I479" s="59" t="n">
        <v>1</v>
      </c>
      <c r="J479" s="59" t="inlineStr">
        <is>
          <t>AM</t>
        </is>
      </c>
      <c r="K479" s="126" t="n">
        <v>718</v>
      </c>
    </row>
    <row r="480" ht="15" customHeight="1" s="60">
      <c r="A480" s="59" t="n">
        <v>1</v>
      </c>
      <c r="B480" s="59" t="n">
        <v>565012</v>
      </c>
      <c r="C480" s="59" t="inlineStr">
        <is>
          <t>13</t>
        </is>
      </c>
      <c r="D480" s="59" t="inlineStr">
        <is>
          <t>33009911007222</t>
        </is>
      </c>
      <c r="E480" s="75" t="n">
        <v>46200</v>
      </c>
      <c r="F480" s="75" t="n">
        <v>46197</v>
      </c>
      <c r="G480" s="59" t="inlineStr">
        <is>
          <t>SOUZA CRUZ LTDA.</t>
        </is>
      </c>
      <c r="H480" s="59" t="n">
        <v>1312788</v>
      </c>
      <c r="I480" s="59" t="n">
        <v>1</v>
      </c>
      <c r="J480" s="59" t="inlineStr">
        <is>
          <t>AM</t>
        </is>
      </c>
      <c r="K480" s="126" t="n">
        <v>10459.23</v>
      </c>
    </row>
    <row r="481" ht="15" customHeight="1" s="60">
      <c r="A481" s="59" t="n">
        <v>1</v>
      </c>
      <c r="B481" s="59" t="n">
        <v>10182</v>
      </c>
      <c r="C481" s="59" t="inlineStr">
        <is>
          <t>2</t>
        </is>
      </c>
      <c r="D481" s="59" t="inlineStr">
        <is>
          <t>36296113000123</t>
        </is>
      </c>
      <c r="E481" s="75" t="n">
        <v>46200</v>
      </c>
      <c r="F481" s="75" t="n">
        <v>46198</v>
      </c>
      <c r="G481" s="59" t="inlineStr">
        <is>
          <t>VITAPAN COMERCIO VAREJISTA DE PRODUTOS ALIMENTICIOS LTDA</t>
        </is>
      </c>
      <c r="H481" s="59" t="n">
        <v>1313459</v>
      </c>
      <c r="I481" s="59" t="n">
        <v>1</v>
      </c>
      <c r="J481" s="59" t="inlineStr">
        <is>
          <t>AM</t>
        </is>
      </c>
      <c r="K481" s="126" t="n">
        <v>1125</v>
      </c>
    </row>
    <row r="482" ht="15" customHeight="1" s="60">
      <c r="A482" s="59" t="n">
        <v>1</v>
      </c>
      <c r="B482" s="59" t="n">
        <v>3680</v>
      </c>
      <c r="C482" s="59" t="inlineStr">
        <is>
          <t>3</t>
        </is>
      </c>
      <c r="D482" s="59" t="inlineStr">
        <is>
          <t>37225449000168</t>
        </is>
      </c>
      <c r="E482" s="75" t="n">
        <v>46200</v>
      </c>
      <c r="F482" s="75" t="n">
        <v>46200</v>
      </c>
      <c r="G482" s="59" t="inlineStr">
        <is>
          <t>VOVO DIZA COMERCIO VAREJISTA DE HORTALICAS LTDA</t>
        </is>
      </c>
      <c r="H482" s="59" t="n">
        <v>1313009</v>
      </c>
      <c r="I482" s="59" t="n">
        <v>1</v>
      </c>
      <c r="J482" s="59" t="inlineStr">
        <is>
          <t>AM</t>
        </is>
      </c>
      <c r="K482" s="126" t="n">
        <v>200</v>
      </c>
    </row>
    <row r="483" ht="15" customHeight="1" s="60">
      <c r="A483" s="59" t="n">
        <v>1</v>
      </c>
      <c r="B483" s="59" t="n">
        <v>511</v>
      </c>
      <c r="C483" s="59" t="inlineStr">
        <is>
          <t>1</t>
        </is>
      </c>
      <c r="D483" s="59" t="inlineStr">
        <is>
          <t>47496330000183</t>
        </is>
      </c>
      <c r="E483" s="75" t="n">
        <v>46202</v>
      </c>
      <c r="F483" s="75" t="n">
        <v>46199</v>
      </c>
      <c r="G483" s="59" t="inlineStr">
        <is>
          <t>ADICSO FABIAN GONZALEZ MONTILLA 70302186</t>
        </is>
      </c>
      <c r="H483" s="59" t="n">
        <v>1321719</v>
      </c>
      <c r="I483" s="59" t="n">
        <v>1</v>
      </c>
      <c r="J483" s="59" t="inlineStr">
        <is>
          <t>AM</t>
        </is>
      </c>
      <c r="K483" s="126" t="n">
        <v>960</v>
      </c>
    </row>
    <row r="484" ht="15" customHeight="1" s="60">
      <c r="A484" s="59" t="n">
        <v>1</v>
      </c>
      <c r="B484" s="59" t="n">
        <v>882141</v>
      </c>
      <c r="C484" s="59" t="inlineStr">
        <is>
          <t>1</t>
        </is>
      </c>
      <c r="D484" s="59" t="inlineStr">
        <is>
          <t>04724476000126</t>
        </is>
      </c>
      <c r="E484" s="75" t="n">
        <v>46202</v>
      </c>
      <c r="F484" s="75" t="n">
        <v>46199</v>
      </c>
      <c r="G484" s="59" t="inlineStr">
        <is>
          <t>ADRIANA DISTRIBUIDORA DE PRODUTOS ALIMEN</t>
        </is>
      </c>
      <c r="H484" s="59" t="n">
        <v>1323112</v>
      </c>
      <c r="I484" s="59" t="n">
        <v>1</v>
      </c>
      <c r="J484" s="59" t="inlineStr">
        <is>
          <t>AM</t>
        </is>
      </c>
      <c r="K484" s="126" t="n">
        <v>3980.8</v>
      </c>
    </row>
    <row r="485" ht="15" customHeight="1" s="60">
      <c r="A485" s="59" t="n">
        <v>1</v>
      </c>
      <c r="B485" s="59" t="n">
        <v>187</v>
      </c>
      <c r="C485" s="59" t="inlineStr">
        <is>
          <t>1</t>
        </is>
      </c>
      <c r="D485" s="59" t="inlineStr">
        <is>
          <t>62918707000139</t>
        </is>
      </c>
      <c r="E485" s="75" t="n">
        <v>46202</v>
      </c>
      <c r="F485" s="75" t="n">
        <v>46196</v>
      </c>
      <c r="G485" s="59" t="inlineStr">
        <is>
          <t>AUGUSTA E BOMFIM LTDA</t>
        </is>
      </c>
      <c r="H485" s="59" t="n">
        <v>1322427</v>
      </c>
      <c r="I485" s="59" t="n">
        <v>3</v>
      </c>
      <c r="J485" s="59" t="inlineStr">
        <is>
          <t>AM</t>
        </is>
      </c>
      <c r="K485" s="126" t="n">
        <v>2450</v>
      </c>
    </row>
    <row r="486" ht="15" customHeight="1" s="60">
      <c r="A486" s="59" t="n">
        <v>1</v>
      </c>
      <c r="B486" s="59" t="n">
        <v>11328</v>
      </c>
      <c r="C486" s="59" t="inlineStr">
        <is>
          <t>2</t>
        </is>
      </c>
      <c r="D486" s="59" t="inlineStr">
        <is>
          <t>40810324000100</t>
        </is>
      </c>
      <c r="E486" s="75" t="n">
        <v>46202</v>
      </c>
      <c r="F486" s="75" t="n">
        <v>46202</v>
      </c>
      <c r="G486" s="59" t="inlineStr">
        <is>
          <t>C. R. PARENTE ABREU</t>
        </is>
      </c>
      <c r="H486" s="59" t="n">
        <v>1321750</v>
      </c>
      <c r="I486" s="59" t="n">
        <v>1</v>
      </c>
      <c r="J486" s="59" t="inlineStr">
        <is>
          <t>AM</t>
        </is>
      </c>
      <c r="K486" s="126" t="n">
        <v>1054.83</v>
      </c>
    </row>
    <row r="487" ht="15" customHeight="1" s="60">
      <c r="A487" s="59" t="n">
        <v>1</v>
      </c>
      <c r="B487" s="59" t="n">
        <v>8210</v>
      </c>
      <c r="C487" s="59" t="inlineStr">
        <is>
          <t>1</t>
        </is>
      </c>
      <c r="D487" s="59" t="inlineStr">
        <is>
          <t>44302603000113</t>
        </is>
      </c>
      <c r="E487" s="75" t="n">
        <v>46202</v>
      </c>
      <c r="F487" s="75" t="n">
        <v>46199</v>
      </c>
      <c r="G487" s="59" t="inlineStr">
        <is>
          <t>EDMARA COMERCIO DE HIGIENE PESSOAL LTDA</t>
        </is>
      </c>
      <c r="H487" s="59" t="n">
        <v>1322709</v>
      </c>
      <c r="I487" s="59" t="n">
        <v>3</v>
      </c>
      <c r="J487" s="59" t="inlineStr">
        <is>
          <t>AM</t>
        </is>
      </c>
      <c r="K487" s="126" t="n">
        <v>550</v>
      </c>
    </row>
    <row r="488" ht="15" customHeight="1" s="60">
      <c r="A488" s="59" t="n">
        <v>1</v>
      </c>
      <c r="B488" s="59" t="n">
        <v>1639492</v>
      </c>
      <c r="C488" s="59" t="inlineStr">
        <is>
          <t>890</t>
        </is>
      </c>
      <c r="D488" s="59" t="inlineStr">
        <is>
          <t>02532915340</t>
        </is>
      </c>
      <c r="E488" s="75" t="n">
        <v>46202</v>
      </c>
      <c r="F488" s="75" t="n">
        <v>46202</v>
      </c>
      <c r="G488" s="59" t="inlineStr">
        <is>
          <t>EDSON AGUIAR DE SOUZA</t>
        </is>
      </c>
      <c r="H488" s="59" t="n">
        <v>1325564</v>
      </c>
      <c r="I488" s="59" t="n">
        <v>1</v>
      </c>
      <c r="J488" s="59" t="inlineStr">
        <is>
          <t>AM</t>
        </is>
      </c>
      <c r="K488" s="126" t="n">
        <v>180</v>
      </c>
    </row>
    <row r="489" ht="15" customHeight="1" s="60">
      <c r="A489" s="59" t="n">
        <v>1</v>
      </c>
      <c r="B489" s="59" t="n">
        <v>328</v>
      </c>
      <c r="C489" s="59" t="inlineStr">
        <is>
          <t>2</t>
        </is>
      </c>
      <c r="D489" s="59" t="inlineStr">
        <is>
          <t>20380110000133</t>
        </is>
      </c>
      <c r="E489" s="75" t="n">
        <v>46202</v>
      </c>
      <c r="F489" s="75" t="n">
        <v>46202</v>
      </c>
      <c r="G489" s="59" t="inlineStr">
        <is>
          <t>GELO DANGELO FABRICACAO DE GELO LTDA</t>
        </is>
      </c>
      <c r="H489" s="59" t="n">
        <v>1360396</v>
      </c>
      <c r="I489" s="59" t="n">
        <v>1</v>
      </c>
      <c r="J489" s="59" t="inlineStr">
        <is>
          <t>AM</t>
        </is>
      </c>
      <c r="K489" s="126" t="n">
        <v>398</v>
      </c>
    </row>
    <row r="490" ht="15" customHeight="1" s="60">
      <c r="A490" s="59" t="n">
        <v>1</v>
      </c>
      <c r="B490" s="59" t="n">
        <v>28355</v>
      </c>
      <c r="C490" s="59" t="inlineStr">
        <is>
          <t>500</t>
        </is>
      </c>
      <c r="D490" s="59" t="inlineStr">
        <is>
          <t>08038545001332</t>
        </is>
      </c>
      <c r="E490" s="75" t="n">
        <v>46202</v>
      </c>
      <c r="F490" s="75" t="n">
        <v>46196</v>
      </c>
      <c r="G490" s="59" t="inlineStr">
        <is>
          <t>NATUREZA COMERCIO DE DESCARTAVEIS LTDA</t>
        </is>
      </c>
      <c r="H490" s="59" t="n">
        <v>1322976</v>
      </c>
      <c r="I490" s="59" t="n">
        <v>1</v>
      </c>
      <c r="J490" s="59" t="inlineStr">
        <is>
          <t>AM</t>
        </is>
      </c>
      <c r="K490" s="126" t="n">
        <v>346.8</v>
      </c>
    </row>
    <row r="491" ht="15" customHeight="1" s="60">
      <c r="A491" s="59" t="n">
        <v>1</v>
      </c>
      <c r="B491" s="59" t="n">
        <v>731751</v>
      </c>
      <c r="C491" s="59" t="inlineStr">
        <is>
          <t>0</t>
        </is>
      </c>
      <c r="D491" s="59" t="inlineStr">
        <is>
          <t>08038545000107</t>
        </is>
      </c>
      <c r="E491" s="75" t="n">
        <v>46202</v>
      </c>
      <c r="F491" s="75" t="n">
        <v>46196</v>
      </c>
      <c r="G491" s="59" t="inlineStr">
        <is>
          <t>NATUREZA COMERCIO DE DESCARTAVEIS LTDA</t>
        </is>
      </c>
      <c r="H491" s="59" t="n">
        <v>1322877</v>
      </c>
      <c r="I491" s="59" t="n">
        <v>3</v>
      </c>
      <c r="J491" s="59" t="inlineStr">
        <is>
          <t>AM</t>
        </is>
      </c>
      <c r="K491" s="126" t="n">
        <v>1958.51</v>
      </c>
    </row>
    <row r="492" ht="15" customHeight="1" s="60">
      <c r="A492" s="59" t="n">
        <v>1</v>
      </c>
      <c r="B492" s="59" t="n">
        <v>1420457</v>
      </c>
      <c r="C492" s="59" t="inlineStr">
        <is>
          <t>1</t>
        </is>
      </c>
      <c r="D492" s="59" t="inlineStr">
        <is>
          <t>60409075045334</t>
        </is>
      </c>
      <c r="E492" s="75" t="n">
        <v>46202</v>
      </c>
      <c r="F492" s="75" t="n">
        <v>46197</v>
      </c>
      <c r="G492" s="59" t="inlineStr">
        <is>
          <t>NESTLÉ BRASIL LTDA.</t>
        </is>
      </c>
      <c r="H492" s="59" t="n">
        <v>1324513</v>
      </c>
      <c r="I492" s="59" t="n">
        <v>1</v>
      </c>
      <c r="J492" s="59" t="inlineStr">
        <is>
          <t>AM</t>
        </is>
      </c>
      <c r="K492" s="126" t="n">
        <v>1345.38</v>
      </c>
    </row>
    <row r="493" ht="15" customHeight="1" s="60">
      <c r="A493" s="59" t="n">
        <v>1</v>
      </c>
      <c r="B493" s="59" t="n">
        <v>1420957</v>
      </c>
      <c r="C493" s="59" t="inlineStr">
        <is>
          <t>1</t>
        </is>
      </c>
      <c r="D493" s="59" t="inlineStr">
        <is>
          <t>60409075045334</t>
        </is>
      </c>
      <c r="E493" s="75" t="n">
        <v>46202</v>
      </c>
      <c r="F493" s="75" t="n">
        <v>46198</v>
      </c>
      <c r="G493" s="59" t="inlineStr">
        <is>
          <t>NESTLÉ BRASIL LTDA.</t>
        </is>
      </c>
      <c r="H493" s="59" t="n">
        <v>1324820</v>
      </c>
      <c r="I493" s="59" t="n">
        <v>1</v>
      </c>
      <c r="J493" s="59" t="inlineStr">
        <is>
          <t>AM</t>
        </is>
      </c>
      <c r="K493" s="126" t="n">
        <v>1493.87</v>
      </c>
    </row>
    <row r="494" ht="15" customHeight="1" s="60">
      <c r="A494" s="59" t="n">
        <v>1</v>
      </c>
      <c r="B494" s="59" t="n">
        <v>3901</v>
      </c>
      <c r="C494" s="59" t="inlineStr">
        <is>
          <t>1</t>
        </is>
      </c>
      <c r="D494" s="59" t="inlineStr">
        <is>
          <t>14459228000159</t>
        </is>
      </c>
      <c r="E494" s="75" t="n">
        <v>46202</v>
      </c>
      <c r="F494" s="75" t="n">
        <v>46199</v>
      </c>
      <c r="G494" s="59" t="inlineStr">
        <is>
          <t>NOVA FRIOS COMERCIO ATACADISTA DE LATICINIOS LTDA</t>
        </is>
      </c>
      <c r="H494" s="59" t="n">
        <v>1321792</v>
      </c>
      <c r="I494" s="59" t="n">
        <v>1</v>
      </c>
      <c r="J494" s="59" t="inlineStr">
        <is>
          <t>AM</t>
        </is>
      </c>
      <c r="K494" s="126" t="n">
        <v>226.4</v>
      </c>
    </row>
    <row r="495" ht="15" customHeight="1" s="60">
      <c r="A495" s="59" t="n">
        <v>1</v>
      </c>
      <c r="B495" s="59" t="n">
        <v>39625</v>
      </c>
      <c r="C495" s="59" t="inlineStr">
        <is>
          <t>5</t>
        </is>
      </c>
      <c r="D495" s="59" t="inlineStr">
        <is>
          <t>03439223000148</t>
        </is>
      </c>
      <c r="E495" s="75" t="n">
        <v>46202</v>
      </c>
      <c r="F495" s="75" t="n">
        <v>46199</v>
      </c>
      <c r="G495" s="59" t="inlineStr">
        <is>
          <t>NT INDUSTRIA E COMERCIO DE PANIFICACAO L</t>
        </is>
      </c>
      <c r="H495" s="59" t="n">
        <v>1322353</v>
      </c>
      <c r="I495" s="59" t="n">
        <v>1</v>
      </c>
      <c r="J495" s="59" t="inlineStr">
        <is>
          <t>AM</t>
        </is>
      </c>
      <c r="K495" s="126" t="n">
        <v>4396.37</v>
      </c>
    </row>
    <row r="496" ht="15" customHeight="1" s="60">
      <c r="A496" s="59" t="n">
        <v>1</v>
      </c>
      <c r="B496" s="59" t="n">
        <v>1240896</v>
      </c>
      <c r="C496" s="59" t="inlineStr">
        <is>
          <t>1</t>
        </is>
      </c>
      <c r="D496" s="59" t="inlineStr">
        <is>
          <t>02805138000193</t>
        </is>
      </c>
      <c r="E496" s="75" t="n">
        <v>46202</v>
      </c>
      <c r="F496" s="75" t="n">
        <v>46198</v>
      </c>
      <c r="G496" s="59" t="inlineStr">
        <is>
          <t>OCIDENTAL COMERCIO DE FRIOS LTDA</t>
        </is>
      </c>
      <c r="H496" s="59" t="n">
        <v>1325622</v>
      </c>
      <c r="I496" s="59" t="n">
        <v>1</v>
      </c>
      <c r="J496" s="59" t="inlineStr">
        <is>
          <t>AM</t>
        </is>
      </c>
      <c r="K496" s="126" t="n">
        <v>1967.55</v>
      </c>
    </row>
    <row r="497" ht="15" customHeight="1" s="60">
      <c r="A497" s="59" t="n">
        <v>1</v>
      </c>
      <c r="B497" s="59" t="n">
        <v>1241434</v>
      </c>
      <c r="C497" s="59" t="inlineStr">
        <is>
          <t>1</t>
        </is>
      </c>
      <c r="D497" s="59" t="inlineStr">
        <is>
          <t>02805138000193</t>
        </is>
      </c>
      <c r="E497" s="75" t="n">
        <v>46202</v>
      </c>
      <c r="F497" s="75" t="n">
        <v>46199</v>
      </c>
      <c r="G497" s="59" t="inlineStr">
        <is>
          <t>OCIDENTAL COMERCIO DE FRIOS LTDA</t>
        </is>
      </c>
      <c r="H497" s="59" t="n">
        <v>1322290</v>
      </c>
      <c r="I497" s="59" t="n">
        <v>1</v>
      </c>
      <c r="J497" s="59" t="inlineStr">
        <is>
          <t>AM</t>
        </is>
      </c>
      <c r="K497" s="126" t="n">
        <v>1613.16</v>
      </c>
    </row>
    <row r="498" ht="15" customHeight="1" s="60">
      <c r="A498" s="59" t="n">
        <v>1</v>
      </c>
      <c r="B498" s="59" t="n">
        <v>2053</v>
      </c>
      <c r="C498" s="59" t="inlineStr">
        <is>
          <t>3</t>
        </is>
      </c>
      <c r="D498" s="59" t="inlineStr">
        <is>
          <t>20934191000176</t>
        </is>
      </c>
      <c r="E498" s="75" t="n">
        <v>46202</v>
      </c>
      <c r="F498" s="75" t="n">
        <v>46200</v>
      </c>
      <c r="G498" s="59" t="inlineStr">
        <is>
          <t>ORIENTE COM. ATACADISTA E REPRES. LTDA</t>
        </is>
      </c>
      <c r="H498" s="59" t="n">
        <v>1323701</v>
      </c>
      <c r="I498" s="59" t="n">
        <v>1</v>
      </c>
      <c r="J498" s="59" t="inlineStr">
        <is>
          <t>AM</t>
        </is>
      </c>
      <c r="K498" s="126" t="n">
        <v>1379</v>
      </c>
    </row>
    <row r="499" ht="15" customHeight="1" s="60">
      <c r="A499" s="59" t="n">
        <v>1</v>
      </c>
      <c r="B499" s="59" t="n">
        <v>660505</v>
      </c>
      <c r="C499" s="59" t="inlineStr">
        <is>
          <t>1</t>
        </is>
      </c>
      <c r="D499" s="59" t="inlineStr">
        <is>
          <t>84117159000180</t>
        </is>
      </c>
      <c r="E499" s="75" t="n">
        <v>46202</v>
      </c>
      <c r="F499" s="75" t="n">
        <v>46197</v>
      </c>
      <c r="G499" s="59" t="inlineStr">
        <is>
          <t>RISADINHA LTDA</t>
        </is>
      </c>
      <c r="H499" s="59" t="n">
        <v>1322405</v>
      </c>
      <c r="I499" s="59" t="n">
        <v>1</v>
      </c>
      <c r="J499" s="59" t="inlineStr">
        <is>
          <t>AM</t>
        </is>
      </c>
      <c r="K499" s="126" t="n">
        <v>1320</v>
      </c>
    </row>
    <row r="500" ht="15" customHeight="1" s="60">
      <c r="A500" s="59" t="n">
        <v>1</v>
      </c>
      <c r="B500" s="59" t="n">
        <v>3370</v>
      </c>
      <c r="C500" s="59" t="inlineStr">
        <is>
          <t>1</t>
        </is>
      </c>
      <c r="D500" s="59" t="inlineStr">
        <is>
          <t>30844737000151</t>
        </is>
      </c>
      <c r="E500" s="75" t="n">
        <v>46202</v>
      </c>
      <c r="F500" s="75" t="n">
        <v>46195</v>
      </c>
      <c r="G500" s="59" t="inlineStr">
        <is>
          <t>TRIPLASTIK COMERCIAL</t>
        </is>
      </c>
      <c r="H500" s="59" t="n">
        <v>1323014</v>
      </c>
      <c r="I500" s="59" t="n">
        <v>3</v>
      </c>
      <c r="J500" s="59" t="inlineStr">
        <is>
          <t>AM</t>
        </is>
      </c>
      <c r="K500" s="126" t="n">
        <v>1580.8</v>
      </c>
    </row>
    <row r="501" ht="15" customHeight="1" s="60">
      <c r="A501" s="59" t="n">
        <v>1</v>
      </c>
      <c r="B501" s="59" t="n">
        <v>516</v>
      </c>
      <c r="C501" s="59" t="inlineStr">
        <is>
          <t>1</t>
        </is>
      </c>
      <c r="D501" s="59" t="inlineStr">
        <is>
          <t>47496330000183</t>
        </is>
      </c>
      <c r="E501" s="75" t="n">
        <v>46203</v>
      </c>
      <c r="F501" s="75" t="n">
        <v>46202</v>
      </c>
      <c r="G501" s="59" t="inlineStr">
        <is>
          <t>ADICSO FABIAN GONZALEZ MONTILLA 70302186</t>
        </is>
      </c>
      <c r="H501" s="59" t="n">
        <v>1330506</v>
      </c>
      <c r="I501" s="59" t="n">
        <v>1</v>
      </c>
      <c r="J501" s="59" t="inlineStr">
        <is>
          <t>AM</t>
        </is>
      </c>
      <c r="K501" s="126" t="n">
        <v>720</v>
      </c>
    </row>
    <row r="502" ht="15" customHeight="1" s="60">
      <c r="A502" s="59" t="n">
        <v>1</v>
      </c>
      <c r="B502" s="59" t="n">
        <v>1029524</v>
      </c>
      <c r="C502" s="59" t="inlineStr">
        <is>
          <t>1</t>
        </is>
      </c>
      <c r="D502" s="59" t="inlineStr">
        <is>
          <t>34579060000122</t>
        </is>
      </c>
      <c r="E502" s="75" t="n">
        <v>46203</v>
      </c>
      <c r="F502" s="75" t="n">
        <v>46202</v>
      </c>
      <c r="G502" s="59" t="inlineStr">
        <is>
          <t>BROTHERS  INDUSTRIA DE ALIMENTOS LTDA</t>
        </is>
      </c>
      <c r="H502" s="59" t="n">
        <v>1331216</v>
      </c>
      <c r="I502" s="59" t="n">
        <v>1</v>
      </c>
      <c r="J502" s="59" t="inlineStr">
        <is>
          <t>AM</t>
        </is>
      </c>
      <c r="K502" s="126" t="n">
        <v>769.1799999999999</v>
      </c>
    </row>
    <row r="503" ht="15" customHeight="1" s="60">
      <c r="A503" s="59" t="n">
        <v>1</v>
      </c>
      <c r="B503" s="59" t="n">
        <v>14765</v>
      </c>
      <c r="C503" s="59" t="inlineStr">
        <is>
          <t>1</t>
        </is>
      </c>
      <c r="D503" s="59" t="inlineStr">
        <is>
          <t>09531992000158</t>
        </is>
      </c>
      <c r="E503" s="75" t="n">
        <v>46203</v>
      </c>
      <c r="F503" s="75" t="n">
        <v>46203</v>
      </c>
      <c r="G503" s="59" t="inlineStr">
        <is>
          <t>COMERCIO E TRANSPORTE BRANDAO LTDA</t>
        </is>
      </c>
      <c r="H503" s="59" t="n">
        <v>1330809</v>
      </c>
      <c r="I503" s="59" t="n">
        <v>1</v>
      </c>
      <c r="J503" s="59" t="inlineStr">
        <is>
          <t>AM</t>
        </is>
      </c>
      <c r="K503" s="126" t="n">
        <v>760</v>
      </c>
    </row>
    <row r="504" ht="15" customHeight="1" s="60">
      <c r="A504" s="59" t="n">
        <v>1</v>
      </c>
      <c r="B504" s="59" t="n">
        <v>8208</v>
      </c>
      <c r="C504" s="59" t="inlineStr">
        <is>
          <t>1</t>
        </is>
      </c>
      <c r="D504" s="59" t="inlineStr">
        <is>
          <t>44302603000113</t>
        </is>
      </c>
      <c r="E504" s="75" t="n">
        <v>46203</v>
      </c>
      <c r="F504" s="75" t="n">
        <v>46199</v>
      </c>
      <c r="G504" s="59" t="inlineStr">
        <is>
          <t>EDMARA COMERCIO DE HIGIENE PESSOAL LTDA</t>
        </is>
      </c>
      <c r="H504" s="59" t="n">
        <v>1330337</v>
      </c>
      <c r="I504" s="59" t="n">
        <v>1</v>
      </c>
      <c r="J504" s="59" t="inlineStr">
        <is>
          <t>AM</t>
        </is>
      </c>
      <c r="K504" s="126" t="n">
        <v>1580.66</v>
      </c>
    </row>
    <row r="505" ht="15" customHeight="1" s="60">
      <c r="A505" s="59" t="n">
        <v>1</v>
      </c>
      <c r="B505" s="59" t="n">
        <v>2524</v>
      </c>
      <c r="C505" s="59" t="inlineStr">
        <is>
          <t>1</t>
        </is>
      </c>
      <c r="D505" s="59" t="inlineStr">
        <is>
          <t>63443798000166</t>
        </is>
      </c>
      <c r="E505" s="75" t="n">
        <v>46203</v>
      </c>
      <c r="F505" s="75" t="n">
        <v>46195</v>
      </c>
      <c r="G505" s="59" t="inlineStr">
        <is>
          <t>FORTVET DISTRIBUIDORA LTDA</t>
        </is>
      </c>
      <c r="H505" s="59" t="n">
        <v>1329937</v>
      </c>
      <c r="I505" s="59" t="n">
        <v>1</v>
      </c>
      <c r="J505" s="59" t="inlineStr">
        <is>
          <t>AM</t>
        </is>
      </c>
      <c r="K505" s="126" t="n">
        <v>1991.44</v>
      </c>
    </row>
    <row r="506" ht="15" customHeight="1" s="60">
      <c r="A506" s="59" t="n">
        <v>1</v>
      </c>
      <c r="B506" s="59" t="n">
        <v>3456</v>
      </c>
      <c r="C506" s="59" t="inlineStr">
        <is>
          <t>1</t>
        </is>
      </c>
      <c r="D506" s="59" t="inlineStr">
        <is>
          <t>59566132000128</t>
        </is>
      </c>
      <c r="E506" s="75" t="n">
        <v>46203</v>
      </c>
      <c r="F506" s="75" t="n">
        <v>46203</v>
      </c>
      <c r="G506" s="59" t="inlineStr">
        <is>
          <t>JAB COMERCIO DE PRODUTOS ALIMENTICIOS LT</t>
        </is>
      </c>
      <c r="H506" s="59" t="n">
        <v>1331234</v>
      </c>
      <c r="I506" s="59" t="n">
        <v>1</v>
      </c>
      <c r="J506" s="59" t="inlineStr">
        <is>
          <t>AM</t>
        </is>
      </c>
      <c r="K506" s="126" t="n">
        <v>368</v>
      </c>
    </row>
    <row r="507" ht="15" customHeight="1" s="60">
      <c r="A507" s="59" t="n">
        <v>1</v>
      </c>
      <c r="B507" s="59" t="n">
        <v>14571</v>
      </c>
      <c r="C507" s="59" t="inlineStr">
        <is>
          <t>1</t>
        </is>
      </c>
      <c r="D507" s="59" t="inlineStr">
        <is>
          <t>03784729000194</t>
        </is>
      </c>
      <c r="E507" s="75" t="n">
        <v>46203</v>
      </c>
      <c r="F507" s="75" t="n">
        <v>46200</v>
      </c>
      <c r="G507" s="59" t="inlineStr">
        <is>
          <t>MAXFRI DISTRIUIDORA LTDA</t>
        </is>
      </c>
      <c r="H507" s="59" t="n">
        <v>1329338</v>
      </c>
      <c r="I507" s="59" t="n">
        <v>1</v>
      </c>
      <c r="J507" s="59" t="inlineStr">
        <is>
          <t>AM</t>
        </is>
      </c>
      <c r="K507" s="126" t="n">
        <v>9942.139999999999</v>
      </c>
    </row>
    <row r="508" ht="15" customHeight="1" s="60">
      <c r="A508" s="59" t="n">
        <v>1</v>
      </c>
      <c r="B508" s="59" t="n">
        <v>14579</v>
      </c>
      <c r="C508" s="59" t="inlineStr">
        <is>
          <t>1</t>
        </is>
      </c>
      <c r="D508" s="59" t="inlineStr">
        <is>
          <t>03784729000194</t>
        </is>
      </c>
      <c r="E508" s="75" t="n">
        <v>46203</v>
      </c>
      <c r="F508" s="75" t="n">
        <v>46202</v>
      </c>
      <c r="G508" s="59" t="inlineStr">
        <is>
          <t>MAXFRI DISTRIUIDORA LTDA</t>
        </is>
      </c>
      <c r="H508" s="59" t="n">
        <v>1329501</v>
      </c>
      <c r="I508" s="59" t="n">
        <v>1</v>
      </c>
      <c r="J508" s="59" t="inlineStr">
        <is>
          <t>AM</t>
        </is>
      </c>
      <c r="K508" s="126" t="n">
        <v>6251</v>
      </c>
    </row>
    <row r="509" ht="15" customHeight="1" s="60">
      <c r="A509" s="59" t="n">
        <v>1</v>
      </c>
      <c r="B509" s="59" t="n">
        <v>14587</v>
      </c>
      <c r="C509" s="59" t="inlineStr">
        <is>
          <t>1</t>
        </is>
      </c>
      <c r="D509" s="59" t="inlineStr">
        <is>
          <t>03784729000194</t>
        </is>
      </c>
      <c r="E509" s="75" t="n">
        <v>46203</v>
      </c>
      <c r="F509" s="75" t="n">
        <v>46203</v>
      </c>
      <c r="G509" s="59" t="inlineStr">
        <is>
          <t>MAXFRI DISTRIUIDORA LTDA</t>
        </is>
      </c>
      <c r="H509" s="59" t="n">
        <v>1330590</v>
      </c>
      <c r="I509" s="59" t="n">
        <v>1</v>
      </c>
      <c r="J509" s="59" t="inlineStr">
        <is>
          <t>AM</t>
        </is>
      </c>
      <c r="K509" s="126" t="n">
        <v>3046.54</v>
      </c>
    </row>
    <row r="510" ht="15" customHeight="1" s="60">
      <c r="A510" s="59" t="n">
        <v>1</v>
      </c>
      <c r="B510" s="59" t="n">
        <v>34300</v>
      </c>
      <c r="C510" s="59" t="inlineStr">
        <is>
          <t>3</t>
        </is>
      </c>
      <c r="D510" s="59" t="inlineStr">
        <is>
          <t>34857865000190</t>
        </is>
      </c>
      <c r="E510" s="75" t="n">
        <v>46203</v>
      </c>
      <c r="F510" s="75" t="n">
        <v>46198</v>
      </c>
      <c r="G510" s="59" t="inlineStr">
        <is>
          <t>OPPORTUNITY ALIMENTOS PARA ANIMAIS LTDA</t>
        </is>
      </c>
      <c r="H510" s="59" t="n">
        <v>1330475</v>
      </c>
      <c r="I510" s="59" t="n">
        <v>1</v>
      </c>
      <c r="J510" s="59" t="inlineStr">
        <is>
          <t>AM</t>
        </is>
      </c>
      <c r="K510" s="126" t="n">
        <v>13510.4</v>
      </c>
    </row>
    <row r="511" ht="15" customHeight="1" s="60">
      <c r="A511" s="59" t="n">
        <v>1</v>
      </c>
      <c r="B511" s="59" t="n">
        <v>687</v>
      </c>
      <c r="C511" s="59" t="inlineStr">
        <is>
          <t>2</t>
        </is>
      </c>
      <c r="D511" s="59" t="inlineStr">
        <is>
          <t>35729236000148</t>
        </is>
      </c>
      <c r="E511" s="75" t="n">
        <v>46203</v>
      </c>
      <c r="F511" s="75" t="n">
        <v>46202</v>
      </c>
      <c r="G511" s="59" t="inlineStr">
        <is>
          <t>PANIFICADORA E CONFEITARIA REAL MADRI LTDA</t>
        </is>
      </c>
      <c r="H511" s="59" t="n">
        <v>1331254</v>
      </c>
      <c r="I511" s="59" t="n">
        <v>1</v>
      </c>
      <c r="J511" s="59" t="inlineStr">
        <is>
          <t>AM</t>
        </is>
      </c>
      <c r="K511" s="126" t="n">
        <v>1400</v>
      </c>
    </row>
    <row r="512" ht="15" customHeight="1" s="60">
      <c r="A512" s="59" t="n">
        <v>1</v>
      </c>
      <c r="B512" s="59" t="n">
        <v>1806</v>
      </c>
      <c r="C512" s="59" t="inlineStr">
        <is>
          <t>1</t>
        </is>
      </c>
      <c r="D512" s="59" t="inlineStr">
        <is>
          <t>36480282000119</t>
        </is>
      </c>
      <c r="E512" s="75" t="n">
        <v>46203</v>
      </c>
      <c r="F512" s="75" t="n">
        <v>46203</v>
      </c>
      <c r="G512" s="59" t="inlineStr">
        <is>
          <t>RENATO DE O AZEVEDO E CIA LTDA - EPP</t>
        </is>
      </c>
      <c r="H512" s="59" t="n">
        <v>1329356</v>
      </c>
      <c r="I512" s="59" t="n">
        <v>2</v>
      </c>
      <c r="J512" s="59" t="inlineStr">
        <is>
          <t>AM</t>
        </is>
      </c>
      <c r="K512" s="126" t="n">
        <v>280</v>
      </c>
    </row>
    <row r="513" ht="15" customHeight="1" s="60">
      <c r="A513" s="59" t="n">
        <v>1</v>
      </c>
      <c r="B513" s="59" t="n">
        <v>1906</v>
      </c>
      <c r="C513" s="59" t="inlineStr">
        <is>
          <t>1</t>
        </is>
      </c>
      <c r="D513" s="59" t="inlineStr">
        <is>
          <t>36480282000119</t>
        </is>
      </c>
      <c r="E513" s="75" t="n">
        <v>46203</v>
      </c>
      <c r="F513" s="75" t="n">
        <v>46203</v>
      </c>
      <c r="G513" s="59" t="inlineStr">
        <is>
          <t>RENATO DE O AZEVEDO E CIA LTDA - EPP</t>
        </is>
      </c>
      <c r="H513" s="59" t="n">
        <v>1329842</v>
      </c>
      <c r="I513" s="59" t="n">
        <v>2</v>
      </c>
      <c r="J513" s="59" t="inlineStr">
        <is>
          <t>AM</t>
        </is>
      </c>
      <c r="K513" s="126" t="n">
        <v>266</v>
      </c>
    </row>
    <row r="514" ht="15" customHeight="1" s="60">
      <c r="A514" s="59" t="n">
        <v>1</v>
      </c>
      <c r="B514" s="59" t="n">
        <v>2006</v>
      </c>
      <c r="C514" s="59" t="inlineStr">
        <is>
          <t>1</t>
        </is>
      </c>
      <c r="D514" s="59" t="inlineStr">
        <is>
          <t>36480282000119</t>
        </is>
      </c>
      <c r="E514" s="75" t="n">
        <v>46203</v>
      </c>
      <c r="F514" s="75" t="n">
        <v>46203</v>
      </c>
      <c r="G514" s="59" t="inlineStr">
        <is>
          <t>RENATO DE O AZEVEDO E CIA LTDA - EPP</t>
        </is>
      </c>
      <c r="H514" s="59" t="n">
        <v>1330286</v>
      </c>
      <c r="I514" s="59" t="n">
        <v>2</v>
      </c>
      <c r="J514" s="59" t="inlineStr">
        <is>
          <t>AM</t>
        </is>
      </c>
      <c r="K514" s="126" t="n">
        <v>420</v>
      </c>
    </row>
    <row r="515" ht="15" customHeight="1" s="60">
      <c r="A515" s="59" t="n">
        <v>1</v>
      </c>
      <c r="B515" s="59" t="n">
        <v>3006</v>
      </c>
      <c r="C515" s="59" t="inlineStr">
        <is>
          <t>1</t>
        </is>
      </c>
      <c r="D515" s="59" t="inlineStr">
        <is>
          <t>36480282000119</t>
        </is>
      </c>
      <c r="E515" s="75" t="n">
        <v>46203</v>
      </c>
      <c r="F515" s="75" t="n">
        <v>46203</v>
      </c>
      <c r="G515" s="59" t="inlineStr">
        <is>
          <t>RENATO DE O AZEVEDO E CIA LTDA - EPP</t>
        </is>
      </c>
      <c r="H515" s="59" t="n">
        <v>1330547</v>
      </c>
      <c r="I515" s="59" t="n">
        <v>2</v>
      </c>
      <c r="J515" s="59" t="inlineStr">
        <is>
          <t>AM</t>
        </is>
      </c>
      <c r="K515" s="126" t="n">
        <v>2907.29</v>
      </c>
    </row>
    <row r="516" ht="15" customHeight="1" s="60">
      <c r="A516" s="59" t="n">
        <v>1</v>
      </c>
      <c r="B516" s="59" t="n">
        <v>5204</v>
      </c>
      <c r="C516" s="59" t="inlineStr">
        <is>
          <t>1</t>
        </is>
      </c>
      <c r="D516" s="59" t="inlineStr">
        <is>
          <t>36480282000119</t>
        </is>
      </c>
      <c r="E516" s="75" t="n">
        <v>46203</v>
      </c>
      <c r="F516" s="75" t="n">
        <v>46203</v>
      </c>
      <c r="G516" s="59" t="inlineStr">
        <is>
          <t>RENATO DE O AZEVEDO E CIA LTDA - EPP</t>
        </is>
      </c>
      <c r="H516" s="59" t="n">
        <v>1329372</v>
      </c>
      <c r="I516" s="59" t="n">
        <v>6</v>
      </c>
      <c r="J516" s="59" t="inlineStr">
        <is>
          <t>AM</t>
        </is>
      </c>
      <c r="K516" s="126" t="n">
        <v>280</v>
      </c>
    </row>
    <row r="517" ht="15" customHeight="1" s="60">
      <c r="A517" s="59" t="n">
        <v>1</v>
      </c>
      <c r="B517" s="59" t="n">
        <v>5213</v>
      </c>
      <c r="C517" s="59" t="inlineStr">
        <is>
          <t>1</t>
        </is>
      </c>
      <c r="D517" s="59" t="inlineStr">
        <is>
          <t>36480282000119</t>
        </is>
      </c>
      <c r="E517" s="75" t="n">
        <v>46203</v>
      </c>
      <c r="F517" s="75" t="n">
        <v>46203</v>
      </c>
      <c r="G517" s="59" t="inlineStr">
        <is>
          <t>RENATO DE O AZEVEDO E CIA LTDA - EPP</t>
        </is>
      </c>
      <c r="H517" s="59" t="n">
        <v>1329846</v>
      </c>
      <c r="I517" s="59" t="n">
        <v>6</v>
      </c>
      <c r="J517" s="59" t="inlineStr">
        <is>
          <t>AM</t>
        </is>
      </c>
      <c r="K517" s="126" t="n">
        <v>266</v>
      </c>
    </row>
    <row r="518" ht="15" customHeight="1" s="60">
      <c r="A518" s="59" t="n">
        <v>1</v>
      </c>
      <c r="B518" s="59" t="n">
        <v>5215</v>
      </c>
      <c r="C518" s="59" t="inlineStr">
        <is>
          <t>1</t>
        </is>
      </c>
      <c r="D518" s="59" t="inlineStr">
        <is>
          <t>36480282000119</t>
        </is>
      </c>
      <c r="E518" s="75" t="n">
        <v>46203</v>
      </c>
      <c r="F518" s="75" t="n">
        <v>46203</v>
      </c>
      <c r="G518" s="59" t="inlineStr">
        <is>
          <t>RENATO DE O AZEVEDO E CIA LTDA - EPP</t>
        </is>
      </c>
      <c r="H518" s="59" t="n">
        <v>1330289</v>
      </c>
      <c r="I518" s="59" t="n">
        <v>6</v>
      </c>
      <c r="J518" s="59" t="inlineStr">
        <is>
          <t>AM</t>
        </is>
      </c>
      <c r="K518" s="126" t="n">
        <v>420</v>
      </c>
    </row>
    <row r="519" ht="15" customHeight="1" s="60">
      <c r="A519" s="59" t="n">
        <v>1</v>
      </c>
      <c r="B519" s="59" t="n">
        <v>5219</v>
      </c>
      <c r="C519" s="59" t="inlineStr">
        <is>
          <t>1</t>
        </is>
      </c>
      <c r="D519" s="59" t="inlineStr">
        <is>
          <t>36480282000119</t>
        </is>
      </c>
      <c r="E519" s="75" t="n">
        <v>46203</v>
      </c>
      <c r="F519" s="75" t="n">
        <v>46203</v>
      </c>
      <c r="G519" s="59" t="inlineStr">
        <is>
          <t>RENATO DE O AZEVEDO E CIA LTDA - EPP</t>
        </is>
      </c>
      <c r="H519" s="59" t="n">
        <v>1330575</v>
      </c>
      <c r="I519" s="59" t="n">
        <v>6</v>
      </c>
      <c r="J519" s="59" t="inlineStr">
        <is>
          <t>AM</t>
        </is>
      </c>
      <c r="K519" s="126" t="n">
        <v>2907.29</v>
      </c>
    </row>
    <row r="520" ht="15" customHeight="1" s="60">
      <c r="A520" s="59" t="n">
        <v>1</v>
      </c>
      <c r="B520" s="59" t="n">
        <v>5222</v>
      </c>
      <c r="C520" s="59" t="inlineStr">
        <is>
          <t>1</t>
        </is>
      </c>
      <c r="D520" s="59" t="inlineStr">
        <is>
          <t>36480282000119</t>
        </is>
      </c>
      <c r="E520" s="75" t="n">
        <v>46203</v>
      </c>
      <c r="F520" s="75" t="n">
        <v>46203</v>
      </c>
      <c r="G520" s="59" t="inlineStr">
        <is>
          <t>RENATO DE O AZEVEDO E CIA LTDA - EPP</t>
        </is>
      </c>
      <c r="H520" s="59" t="n">
        <v>1330729</v>
      </c>
      <c r="I520" s="59" t="n">
        <v>6</v>
      </c>
      <c r="J520" s="59" t="inlineStr">
        <is>
          <t>AM</t>
        </is>
      </c>
      <c r="K520" s="126" t="n">
        <v>1701</v>
      </c>
    </row>
    <row r="521" ht="15" customHeight="1" s="60">
      <c r="A521" s="59" t="n">
        <v>1</v>
      </c>
      <c r="B521" s="59" t="n">
        <v>30061</v>
      </c>
      <c r="C521" s="59" t="inlineStr">
        <is>
          <t>1</t>
        </is>
      </c>
      <c r="D521" s="59" t="inlineStr">
        <is>
          <t>36480282000119</t>
        </is>
      </c>
      <c r="E521" s="75" t="n">
        <v>46203</v>
      </c>
      <c r="F521" s="75" t="n">
        <v>46203</v>
      </c>
      <c r="G521" s="59" t="inlineStr">
        <is>
          <t>RENATO DE O AZEVEDO E CIA LTDA - EPP</t>
        </is>
      </c>
      <c r="H521" s="59" t="n">
        <v>1330722</v>
      </c>
      <c r="I521" s="59" t="n">
        <v>2</v>
      </c>
      <c r="J521" s="59" t="inlineStr">
        <is>
          <t>AM</t>
        </is>
      </c>
      <c r="K521" s="126" t="n">
        <v>1701</v>
      </c>
    </row>
    <row r="522" ht="15" customHeight="1" s="60">
      <c r="A522" s="59" t="n">
        <v>1</v>
      </c>
      <c r="B522" s="59" t="n">
        <v>15072</v>
      </c>
      <c r="C522" s="59" t="inlineStr">
        <is>
          <t>1</t>
        </is>
      </c>
      <c r="D522" s="59" t="inlineStr">
        <is>
          <t>01215382000133</t>
        </is>
      </c>
      <c r="E522" s="75" t="n">
        <v>46203</v>
      </c>
      <c r="F522" s="75" t="n">
        <v>46203</v>
      </c>
      <c r="G522" s="59" t="inlineStr">
        <is>
          <t>T. M. L. DA SILVA LTDA</t>
        </is>
      </c>
      <c r="H522" s="59" t="n">
        <v>1331169</v>
      </c>
      <c r="I522" s="59" t="n">
        <v>1</v>
      </c>
      <c r="J522" s="59" t="inlineStr">
        <is>
          <t>AM</t>
        </is>
      </c>
      <c r="K522" s="126" t="n">
        <v>531.52</v>
      </c>
    </row>
    <row r="523" ht="15" customHeight="1" s="60">
      <c r="A523" s="59" t="n">
        <v>1</v>
      </c>
      <c r="B523" s="59" t="n">
        <v>3700</v>
      </c>
      <c r="C523" s="59" t="inlineStr">
        <is>
          <t>3</t>
        </is>
      </c>
      <c r="D523" s="59" t="inlineStr">
        <is>
          <t>37225449000168</t>
        </is>
      </c>
      <c r="E523" s="75" t="n">
        <v>46203</v>
      </c>
      <c r="F523" s="75" t="n">
        <v>46203</v>
      </c>
      <c r="G523" s="59" t="inlineStr">
        <is>
          <t>VOVO DIZA COMERCIO VAREJISTA DE HORTALICAS LTDA</t>
        </is>
      </c>
      <c r="H523" s="59" t="n">
        <v>1331159</v>
      </c>
      <c r="I523" s="59" t="n">
        <v>1</v>
      </c>
      <c r="J523" s="59" t="inlineStr">
        <is>
          <t>AM</t>
        </is>
      </c>
      <c r="K523" s="126" t="n">
        <v>120</v>
      </c>
    </row>
    <row r="524" ht="15" customHeight="1" s="60">
      <c r="A524" s="59" t="n">
        <v>1</v>
      </c>
      <c r="B524" s="59" t="n">
        <v>1897392</v>
      </c>
      <c r="C524" s="59" t="inlineStr">
        <is>
          <t>1</t>
        </is>
      </c>
      <c r="D524" s="59" t="inlineStr">
        <is>
          <t>75315333011909</t>
        </is>
      </c>
      <c r="E524" s="75" t="n">
        <v>46204</v>
      </c>
      <c r="F524" s="75" t="n">
        <v>46199</v>
      </c>
      <c r="G524" s="59" t="inlineStr">
        <is>
          <t>ATACADAO S.A.</t>
        </is>
      </c>
      <c r="H524" s="59" t="n">
        <v>1334033</v>
      </c>
      <c r="I524" s="59" t="n">
        <v>1</v>
      </c>
      <c r="J524" s="59" t="inlineStr">
        <is>
          <t>AM</t>
        </is>
      </c>
      <c r="K524" s="126" t="n">
        <v>499.5</v>
      </c>
    </row>
    <row r="525" ht="15" customHeight="1" s="60">
      <c r="A525" s="59" t="n">
        <v>1</v>
      </c>
      <c r="B525" s="59" t="n">
        <v>1179702</v>
      </c>
      <c r="C525" s="59" t="inlineStr">
        <is>
          <t>7</t>
        </is>
      </c>
      <c r="D525" s="59" t="inlineStr">
        <is>
          <t>34590315000158</t>
        </is>
      </c>
      <c r="E525" s="75" t="n">
        <v>46204</v>
      </c>
      <c r="F525" s="75" t="n">
        <v>46198</v>
      </c>
      <c r="G525" s="59" t="inlineStr">
        <is>
          <t>BRASIL NORTE BEBIDAS S/A</t>
        </is>
      </c>
      <c r="H525" s="59" t="n">
        <v>1334185</v>
      </c>
      <c r="I525" s="59" t="n">
        <v>1</v>
      </c>
      <c r="J525" s="59" t="inlineStr">
        <is>
          <t>AM</t>
        </is>
      </c>
      <c r="K525" s="126" t="n">
        <v>2217.35</v>
      </c>
    </row>
    <row r="526" ht="15" customHeight="1" s="60">
      <c r="A526" s="59" t="n">
        <v>1</v>
      </c>
      <c r="B526" s="59" t="n">
        <v>1905191</v>
      </c>
      <c r="C526" s="59" t="inlineStr">
        <is>
          <t>5</t>
        </is>
      </c>
      <c r="D526" s="59" t="inlineStr">
        <is>
          <t>34590315000158</t>
        </is>
      </c>
      <c r="E526" s="75" t="n">
        <v>46204</v>
      </c>
      <c r="F526" s="75" t="n">
        <v>46198</v>
      </c>
      <c r="G526" s="59" t="inlineStr">
        <is>
          <t>BRASIL NORTE BEBIDAS S/A</t>
        </is>
      </c>
      <c r="H526" s="59" t="n">
        <v>1334190</v>
      </c>
      <c r="I526" s="59" t="n">
        <v>1</v>
      </c>
      <c r="J526" s="59" t="inlineStr">
        <is>
          <t>AM</t>
        </is>
      </c>
      <c r="K526" s="126" t="n">
        <v>2834.04</v>
      </c>
    </row>
    <row r="527" ht="15" customHeight="1" s="60">
      <c r="A527" s="59" t="n">
        <v>1</v>
      </c>
      <c r="B527" s="59" t="n">
        <v>172452</v>
      </c>
      <c r="C527" s="59" t="inlineStr">
        <is>
          <t>1</t>
        </is>
      </c>
      <c r="D527" s="59" t="inlineStr">
        <is>
          <t>10418161000153</t>
        </is>
      </c>
      <c r="E527" s="75" t="n">
        <v>46204</v>
      </c>
      <c r="F527" s="75" t="n">
        <v>46204</v>
      </c>
      <c r="G527" s="59" t="inlineStr">
        <is>
          <t>COMERCIO DE FRIOS MANAUS LTDA</t>
        </is>
      </c>
      <c r="H527" s="59" t="n">
        <v>1335893</v>
      </c>
      <c r="I527" s="59" t="n">
        <v>1</v>
      </c>
      <c r="J527" s="59" t="inlineStr">
        <is>
          <t>AM</t>
        </is>
      </c>
      <c r="K527" s="126" t="n">
        <v>5250</v>
      </c>
    </row>
    <row r="528" ht="15" customHeight="1" s="60">
      <c r="A528" s="59" t="n">
        <v>1</v>
      </c>
      <c r="B528" s="59" t="n">
        <v>280092</v>
      </c>
      <c r="C528" s="59" t="inlineStr">
        <is>
          <t>1</t>
        </is>
      </c>
      <c r="D528" s="59" t="inlineStr">
        <is>
          <t>84502145000261</t>
        </is>
      </c>
      <c r="E528" s="75" t="n">
        <v>46204</v>
      </c>
      <c r="F528" s="75" t="n">
        <v>46202</v>
      </c>
      <c r="G528" s="59" t="inlineStr">
        <is>
          <t>DISPPAN DISTRIBUIDORA DE PRODUTOS PARA PANIFICACAO LTDA</t>
        </is>
      </c>
      <c r="H528" s="59" t="n">
        <v>1334239</v>
      </c>
      <c r="I528" s="59" t="n">
        <v>3</v>
      </c>
      <c r="J528" s="59" t="inlineStr">
        <is>
          <t>AM</t>
        </is>
      </c>
      <c r="K528" s="126" t="n">
        <v>577.7</v>
      </c>
    </row>
    <row r="529" ht="15" customHeight="1" s="60">
      <c r="A529" s="59" t="n">
        <v>1</v>
      </c>
      <c r="B529" s="59" t="n">
        <v>1685064</v>
      </c>
      <c r="C529" s="59" t="inlineStr">
        <is>
          <t>1</t>
        </is>
      </c>
      <c r="D529" s="59" t="inlineStr">
        <is>
          <t>02796653000154</t>
        </is>
      </c>
      <c r="E529" s="75" t="n">
        <v>46204</v>
      </c>
      <c r="F529" s="75" t="n">
        <v>46203</v>
      </c>
      <c r="G529" s="59" t="inlineStr">
        <is>
          <t>DISTRIBUIDORA LOPES LTDA</t>
        </is>
      </c>
      <c r="H529" s="59" t="n">
        <v>1334447</v>
      </c>
      <c r="I529" s="59" t="n">
        <v>1</v>
      </c>
      <c r="J529" s="59" t="inlineStr">
        <is>
          <t>AM</t>
        </is>
      </c>
      <c r="K529" s="126" t="n">
        <v>2214.86</v>
      </c>
    </row>
    <row r="530" ht="15" customHeight="1" s="60">
      <c r="A530" s="59" t="n">
        <v>1</v>
      </c>
      <c r="B530" s="59" t="n">
        <v>1685233</v>
      </c>
      <c r="C530" s="59" t="inlineStr">
        <is>
          <t>1</t>
        </is>
      </c>
      <c r="D530" s="59" t="inlineStr">
        <is>
          <t>02796653000154</t>
        </is>
      </c>
      <c r="E530" s="75" t="n">
        <v>46204</v>
      </c>
      <c r="F530" s="75" t="n">
        <v>46203</v>
      </c>
      <c r="G530" s="59" t="inlineStr">
        <is>
          <t>DISTRIBUIDORA LOPES LTDA</t>
        </is>
      </c>
      <c r="H530" s="59" t="n">
        <v>1334069</v>
      </c>
      <c r="I530" s="59" t="n">
        <v>1</v>
      </c>
      <c r="J530" s="59" t="inlineStr">
        <is>
          <t>AM</t>
        </is>
      </c>
      <c r="K530" s="126" t="n">
        <v>3840</v>
      </c>
    </row>
    <row r="531" ht="15" customHeight="1" s="60">
      <c r="A531" s="59" t="n">
        <v>1</v>
      </c>
      <c r="B531" s="59" t="n">
        <v>224614</v>
      </c>
      <c r="C531" s="59" t="inlineStr">
        <is>
          <t>2</t>
        </is>
      </c>
      <c r="D531" s="59" t="inlineStr">
        <is>
          <t>05646631000104</t>
        </is>
      </c>
      <c r="E531" s="75" t="n">
        <v>46204</v>
      </c>
      <c r="F531" s="75" t="n">
        <v>46202</v>
      </c>
      <c r="G531" s="59" t="inlineStr">
        <is>
          <t>FRUTAL INDUSTRIA E COMERCIO LTDA</t>
        </is>
      </c>
      <c r="H531" s="59" t="n">
        <v>1334025</v>
      </c>
      <c r="I531" s="59" t="n">
        <v>1</v>
      </c>
      <c r="J531" s="59" t="inlineStr">
        <is>
          <t>AM</t>
        </is>
      </c>
      <c r="K531" s="126" t="n">
        <v>462.99</v>
      </c>
    </row>
    <row r="532" ht="15" customHeight="1" s="60">
      <c r="A532" s="59" t="n">
        <v>1</v>
      </c>
      <c r="B532" s="59" t="n">
        <v>306058</v>
      </c>
      <c r="C532" s="59" t="inlineStr">
        <is>
          <t>1</t>
        </is>
      </c>
      <c r="D532" s="59" t="inlineStr">
        <is>
          <t>07391948000164</t>
        </is>
      </c>
      <c r="E532" s="75" t="n">
        <v>46204</v>
      </c>
      <c r="F532" s="75" t="n">
        <v>46202</v>
      </c>
      <c r="G532" s="59" t="inlineStr">
        <is>
          <t>L S M COMERCIO DE ALIMENTOS E NAVEGACAO</t>
        </is>
      </c>
      <c r="H532" s="59" t="n">
        <v>1334706</v>
      </c>
      <c r="I532" s="59" t="n">
        <v>1</v>
      </c>
      <c r="J532" s="59" t="inlineStr">
        <is>
          <t>AM</t>
        </is>
      </c>
      <c r="K532" s="126" t="n">
        <v>4841.8</v>
      </c>
    </row>
    <row r="533" ht="15" customHeight="1" s="60">
      <c r="A533" s="59" t="n">
        <v>1</v>
      </c>
      <c r="B533" s="59" t="n">
        <v>39854</v>
      </c>
      <c r="C533" s="59" t="inlineStr">
        <is>
          <t>5</t>
        </is>
      </c>
      <c r="D533" s="59" t="inlineStr">
        <is>
          <t>03439223000148</t>
        </is>
      </c>
      <c r="E533" s="75" t="n">
        <v>46204</v>
      </c>
      <c r="F533" s="75" t="n">
        <v>46203</v>
      </c>
      <c r="G533" s="59" t="inlineStr">
        <is>
          <t>NT INDUSTRIA E COMERCIO DE PANIFICACAO L</t>
        </is>
      </c>
      <c r="H533" s="59" t="n">
        <v>1333931</v>
      </c>
      <c r="I533" s="59" t="n">
        <v>1</v>
      </c>
      <c r="J533" s="59" t="inlineStr">
        <is>
          <t>AM</t>
        </is>
      </c>
      <c r="K533" s="126" t="n">
        <v>4298.22</v>
      </c>
    </row>
    <row r="534" ht="15" customHeight="1" s="60">
      <c r="A534" s="59" t="n">
        <v>1</v>
      </c>
      <c r="B534" s="59" t="n">
        <v>423615</v>
      </c>
      <c r="C534" s="59" t="inlineStr">
        <is>
          <t>3</t>
        </is>
      </c>
      <c r="D534" s="59" t="inlineStr">
        <is>
          <t>81611931005006</t>
        </is>
      </c>
      <c r="E534" s="75" t="n">
        <v>46204</v>
      </c>
      <c r="F534" s="75" t="n">
        <v>46200</v>
      </c>
      <c r="G534" s="59" t="inlineStr">
        <is>
          <t>OESA COMERCIO E REPRESENTACOES S/A</t>
        </is>
      </c>
      <c r="H534" s="59" t="n">
        <v>1335361</v>
      </c>
      <c r="I534" s="59" t="n">
        <v>1</v>
      </c>
      <c r="J534" s="59" t="inlineStr">
        <is>
          <t>AM</t>
        </is>
      </c>
      <c r="K534" s="126" t="n">
        <v>3361.81</v>
      </c>
    </row>
    <row r="535" ht="15" customHeight="1" s="60">
      <c r="A535" s="59" t="n">
        <v>1</v>
      </c>
      <c r="B535" s="59" t="n">
        <v>686</v>
      </c>
      <c r="C535" s="59" t="inlineStr">
        <is>
          <t>2</t>
        </is>
      </c>
      <c r="D535" s="59" t="inlineStr">
        <is>
          <t>35729236000148</t>
        </is>
      </c>
      <c r="E535" s="75" t="n">
        <v>46204</v>
      </c>
      <c r="F535" s="75" t="n">
        <v>46202</v>
      </c>
      <c r="G535" s="59" t="inlineStr">
        <is>
          <t>PANIFICADORA E CONFEITARIA REAL MADRI LTDA</t>
        </is>
      </c>
      <c r="H535" s="59" t="n">
        <v>1333858</v>
      </c>
      <c r="I535" s="59" t="n">
        <v>1</v>
      </c>
      <c r="J535" s="59" t="inlineStr">
        <is>
          <t>AM</t>
        </is>
      </c>
      <c r="K535" s="126" t="n">
        <v>202.5</v>
      </c>
    </row>
    <row r="536" ht="15" customHeight="1" s="60">
      <c r="A536" s="59" t="n">
        <v>1</v>
      </c>
      <c r="B536" s="59" t="n">
        <v>11002</v>
      </c>
      <c r="C536" s="59" t="inlineStr">
        <is>
          <t>1</t>
        </is>
      </c>
      <c r="D536" s="59" t="inlineStr">
        <is>
          <t>39250213002665</t>
        </is>
      </c>
      <c r="E536" s="75" t="n">
        <v>46204</v>
      </c>
      <c r="F536" s="75" t="n">
        <v>46203</v>
      </c>
      <c r="G536" s="59" t="inlineStr">
        <is>
          <t>PRIME PET DISTRIBUIDORA LTDA</t>
        </is>
      </c>
      <c r="H536" s="59" t="n">
        <v>1335231</v>
      </c>
      <c r="I536" s="59" t="n">
        <v>1</v>
      </c>
      <c r="J536" s="59" t="inlineStr">
        <is>
          <t>AM</t>
        </is>
      </c>
      <c r="K536" s="126" t="n">
        <v>12946.74</v>
      </c>
    </row>
    <row r="537" ht="15" customHeight="1" s="60">
      <c r="A537" s="59" t="n">
        <v>1</v>
      </c>
      <c r="B537" s="59" t="n">
        <v>3505</v>
      </c>
      <c r="C537" s="59" t="inlineStr">
        <is>
          <t>1</t>
        </is>
      </c>
      <c r="D537" s="59" t="inlineStr">
        <is>
          <t>10288430000104</t>
        </is>
      </c>
      <c r="E537" s="75" t="n">
        <v>46204</v>
      </c>
      <c r="F537" s="75" t="n">
        <v>46202</v>
      </c>
      <c r="G537" s="59" t="inlineStr">
        <is>
          <t>SAO JOSE COMERCIO DE LATICINIOS E FRIOS</t>
        </is>
      </c>
      <c r="H537" s="59" t="n">
        <v>1333866</v>
      </c>
      <c r="I537" s="59" t="n">
        <v>1</v>
      </c>
      <c r="J537" s="59" t="inlineStr">
        <is>
          <t>AM</t>
        </is>
      </c>
      <c r="K537" s="126" t="n">
        <v>899</v>
      </c>
    </row>
    <row r="538" ht="15" customHeight="1" s="60">
      <c r="A538" s="59" t="n">
        <v>1</v>
      </c>
      <c r="B538" s="59" t="n">
        <v>31488</v>
      </c>
      <c r="C538" s="59" t="inlineStr">
        <is>
          <t>1</t>
        </is>
      </c>
      <c r="D538" s="59" t="inlineStr">
        <is>
          <t>30652116000176</t>
        </is>
      </c>
      <c r="E538" s="75" t="n">
        <v>46204</v>
      </c>
      <c r="F538" s="75" t="n">
        <v>46203</v>
      </c>
      <c r="G538" s="59" t="inlineStr">
        <is>
          <t>SILVA E SANTOS FRIGORIFICO LTDA</t>
        </is>
      </c>
      <c r="H538" s="59" t="n">
        <v>1335621</v>
      </c>
      <c r="I538" s="59" t="n">
        <v>1</v>
      </c>
      <c r="J538" s="59" t="inlineStr">
        <is>
          <t>AM</t>
        </is>
      </c>
      <c r="K538" s="126" t="n">
        <v>3080</v>
      </c>
    </row>
    <row r="539" ht="15" customHeight="1" s="60">
      <c r="A539" s="59" t="n">
        <v>1</v>
      </c>
      <c r="B539" s="59" t="n">
        <v>31489</v>
      </c>
      <c r="C539" s="59" t="inlineStr">
        <is>
          <t>1</t>
        </is>
      </c>
      <c r="D539" s="59" t="inlineStr">
        <is>
          <t>30652116000176</t>
        </is>
      </c>
      <c r="E539" s="75" t="n">
        <v>46204</v>
      </c>
      <c r="F539" s="75" t="n">
        <v>46203</v>
      </c>
      <c r="G539" s="59" t="inlineStr">
        <is>
          <t>SILVA E SANTOS FRIGORIFICO LTDA</t>
        </is>
      </c>
      <c r="H539" s="59" t="n">
        <v>1335562</v>
      </c>
      <c r="I539" s="59" t="n">
        <v>1</v>
      </c>
      <c r="J539" s="59" t="inlineStr">
        <is>
          <t>AM</t>
        </is>
      </c>
      <c r="K539" s="126" t="n">
        <v>1840</v>
      </c>
    </row>
    <row r="540" ht="15" customHeight="1" s="60">
      <c r="A540" s="59" t="n">
        <v>1</v>
      </c>
      <c r="B540" s="59" t="n">
        <v>3479</v>
      </c>
      <c r="C540" s="59" t="inlineStr">
        <is>
          <t>1</t>
        </is>
      </c>
      <c r="D540" s="59" t="inlineStr">
        <is>
          <t>30844737000151</t>
        </is>
      </c>
      <c r="E540" s="75" t="n">
        <v>46204</v>
      </c>
      <c r="F540" s="75" t="n">
        <v>46202</v>
      </c>
      <c r="G540" s="59" t="inlineStr">
        <is>
          <t>TRIPLASTIK COMERCIAL</t>
        </is>
      </c>
      <c r="H540" s="59" t="n">
        <v>1334301</v>
      </c>
      <c r="I540" s="59" t="n">
        <v>3</v>
      </c>
      <c r="J540" s="59" t="inlineStr">
        <is>
          <t>AM</t>
        </is>
      </c>
      <c r="K540" s="126" t="n">
        <v>870.53</v>
      </c>
    </row>
    <row r="541" ht="15" customHeight="1" s="60">
      <c r="A541" s="59" t="n">
        <v>1</v>
      </c>
      <c r="B541" s="59" t="n">
        <v>12051</v>
      </c>
      <c r="C541" s="59" t="inlineStr">
        <is>
          <t>3</t>
        </is>
      </c>
      <c r="D541" s="59" t="inlineStr">
        <is>
          <t>26227385000118</t>
        </is>
      </c>
      <c r="E541" s="75" t="n">
        <v>46204</v>
      </c>
      <c r="F541" s="75" t="n">
        <v>46199</v>
      </c>
      <c r="G541" s="59" t="inlineStr">
        <is>
          <t>VICTORIA COMERCIO INTERNACIONAL DE ALIME</t>
        </is>
      </c>
      <c r="H541" s="59" t="n">
        <v>1334569</v>
      </c>
      <c r="I541" s="59" t="n">
        <v>1</v>
      </c>
      <c r="J541" s="59" t="inlineStr">
        <is>
          <t>AM</t>
        </is>
      </c>
      <c r="K541" s="126" t="n">
        <v>1393.33</v>
      </c>
    </row>
    <row r="542" ht="15" customHeight="1" s="60">
      <c r="A542" s="59" t="n">
        <v>1</v>
      </c>
      <c r="B542" s="59" t="n">
        <v>10212</v>
      </c>
      <c r="C542" s="59" t="inlineStr">
        <is>
          <t>2</t>
        </is>
      </c>
      <c r="D542" s="59" t="inlineStr">
        <is>
          <t>36296113000123</t>
        </is>
      </c>
      <c r="E542" s="75" t="n">
        <v>46204</v>
      </c>
      <c r="F542" s="75" t="n">
        <v>46202</v>
      </c>
      <c r="G542" s="59" t="inlineStr">
        <is>
          <t>VITAPAN COMERCIO VAREJISTA DE PRODUTOS ALIMENTICIOS LTDA</t>
        </is>
      </c>
      <c r="H542" s="59" t="n">
        <v>1333888</v>
      </c>
      <c r="I542" s="59" t="n">
        <v>1</v>
      </c>
      <c r="J542" s="59" t="inlineStr">
        <is>
          <t>AM</t>
        </is>
      </c>
      <c r="K542" s="126" t="n">
        <v>1188</v>
      </c>
    </row>
    <row r="543" ht="15" customHeight="1" s="60">
      <c r="A543" s="59" t="n">
        <v>1</v>
      </c>
      <c r="B543" s="59" t="n">
        <v>7084</v>
      </c>
      <c r="C543" s="59" t="inlineStr">
        <is>
          <t>1</t>
        </is>
      </c>
      <c r="D543" s="59" t="inlineStr">
        <is>
          <t>21309526000128</t>
        </is>
      </c>
      <c r="E543" s="75" t="n">
        <v>46205</v>
      </c>
      <c r="F543" s="75" t="n">
        <v>46204</v>
      </c>
      <c r="G543" s="59" t="inlineStr">
        <is>
          <t>A L DE ALMEIDA NETO MINIMERCADOS-ME</t>
        </is>
      </c>
      <c r="H543" s="59" t="n">
        <v>1370258</v>
      </c>
      <c r="I543" s="59" t="n">
        <v>1</v>
      </c>
      <c r="J543" s="59" t="inlineStr">
        <is>
          <t>AM</t>
        </is>
      </c>
      <c r="K543" s="126" t="n">
        <v>205</v>
      </c>
    </row>
    <row r="544" ht="15" customHeight="1" s="60">
      <c r="A544" s="59" t="n">
        <v>1</v>
      </c>
      <c r="B544" s="59" t="n">
        <v>1657</v>
      </c>
      <c r="C544" s="59" t="inlineStr">
        <is>
          <t>1</t>
        </is>
      </c>
      <c r="D544" s="59" t="inlineStr">
        <is>
          <t>49601616000107</t>
        </is>
      </c>
      <c r="E544" s="75" t="n">
        <v>46205</v>
      </c>
      <c r="F544" s="75" t="n">
        <v>46204</v>
      </c>
      <c r="G544" s="59" t="inlineStr">
        <is>
          <t>A5 COMERCIO DE EQUIPAMENTOS LTDA</t>
        </is>
      </c>
      <c r="H544" s="59" t="n">
        <v>1339593</v>
      </c>
      <c r="I544" s="59" t="n">
        <v>35</v>
      </c>
      <c r="J544" s="59" t="inlineStr">
        <is>
          <t>AM</t>
        </is>
      </c>
      <c r="K544" s="126" t="n">
        <v>2080</v>
      </c>
    </row>
    <row r="545" ht="15" customHeight="1" s="60">
      <c r="A545" s="59" t="n">
        <v>1</v>
      </c>
      <c r="B545" s="59" t="n">
        <v>320</v>
      </c>
      <c r="C545" s="59" t="inlineStr">
        <is>
          <t>1</t>
        </is>
      </c>
      <c r="D545" s="59" t="inlineStr">
        <is>
          <t>34787423000115</t>
        </is>
      </c>
      <c r="E545" s="75" t="n">
        <v>46205</v>
      </c>
      <c r="F545" s="75" t="n">
        <v>46204</v>
      </c>
      <c r="G545" s="59" t="inlineStr">
        <is>
          <t>ADRIANO FEITOSA OLIVEIRA LTDA</t>
        </is>
      </c>
      <c r="H545" s="59" t="n">
        <v>1340368</v>
      </c>
      <c r="I545" s="59" t="n">
        <v>1</v>
      </c>
      <c r="J545" s="59" t="inlineStr">
        <is>
          <t>AM</t>
        </is>
      </c>
      <c r="K545" s="126" t="n">
        <v>4139.57</v>
      </c>
    </row>
    <row r="546" ht="15" customHeight="1" s="60">
      <c r="A546" s="59" t="n">
        <v>1</v>
      </c>
      <c r="B546" s="59" t="n">
        <v>20994</v>
      </c>
      <c r="C546" s="59" t="inlineStr">
        <is>
          <t>1</t>
        </is>
      </c>
      <c r="D546" s="59" t="inlineStr">
        <is>
          <t>28686395000147</t>
        </is>
      </c>
      <c r="E546" s="75" t="n">
        <v>46205</v>
      </c>
      <c r="F546" s="75" t="n">
        <v>46205</v>
      </c>
      <c r="G546" s="59" t="inlineStr">
        <is>
          <t>BF COMERCIO DE ALIMENTOS REPRESENTACAO L</t>
        </is>
      </c>
      <c r="H546" s="59" t="n">
        <v>1341594</v>
      </c>
      <c r="I546" s="59" t="n">
        <v>1</v>
      </c>
      <c r="J546" s="59" t="inlineStr">
        <is>
          <t>AM</t>
        </is>
      </c>
      <c r="K546" s="126" t="n">
        <v>1317.6</v>
      </c>
    </row>
    <row r="547" ht="15" customHeight="1" s="60">
      <c r="A547" s="59" t="n">
        <v>1</v>
      </c>
      <c r="B547" s="59" t="n">
        <v>396010</v>
      </c>
      <c r="C547" s="59" t="inlineStr">
        <is>
          <t>1</t>
        </is>
      </c>
      <c r="D547" s="59" t="inlineStr">
        <is>
          <t>06257367000171</t>
        </is>
      </c>
      <c r="E547" s="75" t="n">
        <v>46205</v>
      </c>
      <c r="F547" s="75" t="n">
        <v>46204</v>
      </c>
      <c r="G547" s="59" t="inlineStr">
        <is>
          <t>FENNIX BRASIL DISTRIBUIDORA DE PRODUTOS</t>
        </is>
      </c>
      <c r="H547" s="59" t="n">
        <v>1341509</v>
      </c>
      <c r="I547" s="59" t="n">
        <v>1</v>
      </c>
      <c r="J547" s="59" t="inlineStr">
        <is>
          <t>AM</t>
        </is>
      </c>
      <c r="K547" s="126" t="n">
        <v>915.36</v>
      </c>
    </row>
    <row r="548" ht="15" customHeight="1" s="60">
      <c r="A548" s="59" t="n">
        <v>1</v>
      </c>
      <c r="B548" s="59" t="n">
        <v>6022</v>
      </c>
      <c r="C548" s="59" t="inlineStr">
        <is>
          <t>1</t>
        </is>
      </c>
      <c r="D548" s="59" t="inlineStr">
        <is>
          <t>11456577000129</t>
        </is>
      </c>
      <c r="E548" s="75" t="n">
        <v>46205</v>
      </c>
      <c r="F548" s="75" t="n">
        <v>46199</v>
      </c>
      <c r="G548" s="59" t="inlineStr">
        <is>
          <t>GLG COMERCIO E INDUSTRIA DO VESTUARIO LTDA</t>
        </is>
      </c>
      <c r="H548" s="59" t="n">
        <v>1339375</v>
      </c>
      <c r="I548" s="59" t="n">
        <v>39</v>
      </c>
      <c r="J548" s="59" t="inlineStr">
        <is>
          <t>AM</t>
        </is>
      </c>
      <c r="K548" s="126" t="n">
        <v>480</v>
      </c>
    </row>
    <row r="549" ht="15" customHeight="1" s="60">
      <c r="A549" s="59" t="n">
        <v>1</v>
      </c>
      <c r="B549" s="59" t="n">
        <v>105747</v>
      </c>
      <c r="C549" s="59" t="inlineStr">
        <is>
          <t>3</t>
        </is>
      </c>
      <c r="D549" s="59" t="inlineStr">
        <is>
          <t>15001549000178</t>
        </is>
      </c>
      <c r="E549" s="75" t="n">
        <v>46205</v>
      </c>
      <c r="F549" s="75" t="n">
        <v>46190</v>
      </c>
      <c r="G549" s="59" t="inlineStr">
        <is>
          <t>LOJA DO REI COMERCIO DE MATERIAL DE CONS</t>
        </is>
      </c>
      <c r="H549" s="59" t="n">
        <v>1339427</v>
      </c>
      <c r="I549" s="59" t="n">
        <v>39</v>
      </c>
      <c r="J549" s="59" t="inlineStr">
        <is>
          <t>AM</t>
        </is>
      </c>
      <c r="K549" s="126" t="n">
        <v>93.31999999999999</v>
      </c>
    </row>
    <row r="550" ht="15" customHeight="1" s="60">
      <c r="A550" s="59" t="n">
        <v>1</v>
      </c>
      <c r="B550" s="59" t="n">
        <v>496957</v>
      </c>
      <c r="C550" s="59" t="inlineStr">
        <is>
          <t>1</t>
        </is>
      </c>
      <c r="D550" s="59" t="inlineStr">
        <is>
          <t>01520248000227</t>
        </is>
      </c>
      <c r="E550" s="75" t="n">
        <v>46205</v>
      </c>
      <c r="F550" s="75" t="n">
        <v>46190</v>
      </c>
      <c r="G550" s="59" t="inlineStr">
        <is>
          <t>MARQUES &amp; MELO LTDA - FILIAL</t>
        </is>
      </c>
      <c r="H550" s="59" t="n">
        <v>1341229</v>
      </c>
      <c r="I550" s="59" t="n">
        <v>1</v>
      </c>
      <c r="J550" s="59" t="inlineStr">
        <is>
          <t>AM</t>
        </is>
      </c>
      <c r="K550" s="126" t="n">
        <v>1012.57</v>
      </c>
    </row>
    <row r="551" ht="15" customHeight="1" s="60">
      <c r="A551" s="59" t="n">
        <v>1</v>
      </c>
      <c r="B551" s="59" t="n">
        <v>1423352</v>
      </c>
      <c r="C551" s="59" t="inlineStr">
        <is>
          <t>1</t>
        </is>
      </c>
      <c r="D551" s="59" t="inlineStr">
        <is>
          <t>60409075045334</t>
        </is>
      </c>
      <c r="E551" s="75" t="n">
        <v>46205</v>
      </c>
      <c r="F551" s="75" t="n">
        <v>46203</v>
      </c>
      <c r="G551" s="59" t="inlineStr">
        <is>
          <t>NESTLÉ BRASIL LTDA.</t>
        </is>
      </c>
      <c r="H551" s="59" t="n">
        <v>1340832</v>
      </c>
      <c r="I551" s="59" t="n">
        <v>1</v>
      </c>
      <c r="J551" s="59" t="inlineStr">
        <is>
          <t>AM</t>
        </is>
      </c>
      <c r="K551" s="126" t="n">
        <v>1733.25</v>
      </c>
    </row>
    <row r="552" ht="15" customHeight="1" s="60">
      <c r="A552" s="59" t="n">
        <v>1</v>
      </c>
      <c r="B552" s="59" t="n">
        <v>1423353</v>
      </c>
      <c r="C552" s="59" t="inlineStr">
        <is>
          <t>1</t>
        </is>
      </c>
      <c r="D552" s="59" t="inlineStr">
        <is>
          <t>60409075045334</t>
        </is>
      </c>
      <c r="E552" s="75" t="n">
        <v>46205</v>
      </c>
      <c r="F552" s="75" t="n">
        <v>46203</v>
      </c>
      <c r="G552" s="59" t="inlineStr">
        <is>
          <t>NESTLÉ BRASIL LTDA.</t>
        </is>
      </c>
      <c r="H552" s="59" t="n">
        <v>1340751</v>
      </c>
      <c r="I552" s="59" t="n">
        <v>1</v>
      </c>
      <c r="J552" s="59" t="inlineStr">
        <is>
          <t>AM</t>
        </is>
      </c>
      <c r="K552" s="126" t="n">
        <v>494.27</v>
      </c>
    </row>
    <row r="553" ht="15" customHeight="1" s="60">
      <c r="A553" s="59" t="n">
        <v>1</v>
      </c>
      <c r="B553" s="59" t="n">
        <v>101974</v>
      </c>
      <c r="C553" s="59" t="inlineStr">
        <is>
          <t>1</t>
        </is>
      </c>
      <c r="D553" s="59" t="inlineStr">
        <is>
          <t>02162818000136</t>
        </is>
      </c>
      <c r="E553" s="75" t="n">
        <v>46205</v>
      </c>
      <c r="F553" s="75" t="n">
        <v>46203</v>
      </c>
      <c r="G553" s="59" t="inlineStr">
        <is>
          <t>NEXUS DISTRIBUIDORA</t>
        </is>
      </c>
      <c r="H553" s="59" t="n">
        <v>1340626</v>
      </c>
      <c r="I553" s="59" t="n">
        <v>1</v>
      </c>
      <c r="J553" s="59" t="inlineStr">
        <is>
          <t>AM</t>
        </is>
      </c>
      <c r="K553" s="126" t="n">
        <v>584.73</v>
      </c>
    </row>
    <row r="554" ht="15" customHeight="1" s="60">
      <c r="A554" s="59" t="n">
        <v>1</v>
      </c>
      <c r="B554" s="59" t="n">
        <v>3942</v>
      </c>
      <c r="C554" s="59" t="inlineStr">
        <is>
          <t>1</t>
        </is>
      </c>
      <c r="D554" s="59" t="inlineStr">
        <is>
          <t>14459228000159</t>
        </is>
      </c>
      <c r="E554" s="75" t="n">
        <v>46205</v>
      </c>
      <c r="F554" s="75" t="n">
        <v>46204</v>
      </c>
      <c r="G554" s="59" t="inlineStr">
        <is>
          <t>NOVA FRIOS COMERCIO ATACADISTA DE LATICINIOS LTDA</t>
        </is>
      </c>
      <c r="H554" s="59" t="n">
        <v>1340407</v>
      </c>
      <c r="I554" s="59" t="n">
        <v>1</v>
      </c>
      <c r="J554" s="59" t="inlineStr">
        <is>
          <t>AM</t>
        </is>
      </c>
      <c r="K554" s="126" t="n">
        <v>251.5</v>
      </c>
    </row>
    <row r="555" ht="15" customHeight="1" s="60">
      <c r="A555" s="59" t="n">
        <v>1</v>
      </c>
      <c r="B555" s="59" t="n">
        <v>1243403</v>
      </c>
      <c r="C555" s="59" t="inlineStr">
        <is>
          <t>1</t>
        </is>
      </c>
      <c r="D555" s="59" t="inlineStr">
        <is>
          <t>02805138000193</t>
        </is>
      </c>
      <c r="E555" s="75" t="n">
        <v>46205</v>
      </c>
      <c r="F555" s="75" t="n">
        <v>46205</v>
      </c>
      <c r="G555" s="59" t="inlineStr">
        <is>
          <t>OCIDENTAL COMERCIO DE FRIOS LTDA</t>
        </is>
      </c>
      <c r="H555" s="59" t="n">
        <v>1340464</v>
      </c>
      <c r="I555" s="59" t="n">
        <v>1</v>
      </c>
      <c r="J555" s="59" t="inlineStr">
        <is>
          <t>AM</t>
        </is>
      </c>
      <c r="K555" s="126" t="n">
        <v>1944.61</v>
      </c>
    </row>
    <row r="556" ht="15" customHeight="1" s="60">
      <c r="A556" s="59" t="n">
        <v>1</v>
      </c>
      <c r="B556" s="59" t="n">
        <v>2206</v>
      </c>
      <c r="C556" s="59" t="inlineStr">
        <is>
          <t>1</t>
        </is>
      </c>
      <c r="D556" s="59" t="inlineStr">
        <is>
          <t>36480282000119</t>
        </is>
      </c>
      <c r="E556" s="75" t="n">
        <v>46205</v>
      </c>
      <c r="F556" s="75" t="n">
        <v>46205</v>
      </c>
      <c r="G556" s="59" t="inlineStr">
        <is>
          <t>RENATO DE O AZEVEDO E CIA LTDA - EPP</t>
        </is>
      </c>
      <c r="H556" s="59" t="n">
        <v>1339660</v>
      </c>
      <c r="I556" s="59" t="n">
        <v>2</v>
      </c>
      <c r="J556" s="59" t="inlineStr">
        <is>
          <t>AM</t>
        </is>
      </c>
      <c r="K556" s="126" t="n">
        <v>210</v>
      </c>
    </row>
    <row r="557" ht="15" customHeight="1" s="60">
      <c r="A557" s="59" t="n">
        <v>1</v>
      </c>
      <c r="B557" s="59" t="n">
        <v>5235</v>
      </c>
      <c r="C557" s="59" t="inlineStr">
        <is>
          <t>1</t>
        </is>
      </c>
      <c r="D557" s="59" t="inlineStr">
        <is>
          <t>36480282000119</t>
        </is>
      </c>
      <c r="E557" s="75" t="n">
        <v>46205</v>
      </c>
      <c r="F557" s="75" t="n">
        <v>46205</v>
      </c>
      <c r="G557" s="59" t="inlineStr">
        <is>
          <t>RENATO DE O AZEVEDO E CIA LTDA - EPP</t>
        </is>
      </c>
      <c r="H557" s="59" t="n">
        <v>1339663</v>
      </c>
      <c r="I557" s="59" t="n">
        <v>6</v>
      </c>
      <c r="J557" s="59" t="inlineStr">
        <is>
          <t>AM</t>
        </is>
      </c>
      <c r="K557" s="126" t="n">
        <v>210</v>
      </c>
    </row>
    <row r="558" ht="15" customHeight="1" s="60">
      <c r="A558" s="59" t="n">
        <v>1</v>
      </c>
      <c r="B558" s="59" t="n">
        <v>5236</v>
      </c>
      <c r="C558" s="59" t="inlineStr">
        <is>
          <t>1</t>
        </is>
      </c>
      <c r="D558" s="59" t="inlineStr">
        <is>
          <t>36480282000119</t>
        </is>
      </c>
      <c r="E558" s="75" t="n">
        <v>46205</v>
      </c>
      <c r="F558" s="75" t="n">
        <v>46205</v>
      </c>
      <c r="G558" s="59" t="inlineStr">
        <is>
          <t>RENATO DE O AZEVEDO E CIA LTDA - EPP</t>
        </is>
      </c>
      <c r="H558" s="59" t="n">
        <v>1339711</v>
      </c>
      <c r="I558" s="59" t="n">
        <v>6</v>
      </c>
      <c r="J558" s="59" t="inlineStr">
        <is>
          <t>AM</t>
        </is>
      </c>
      <c r="K558" s="126" t="n">
        <v>600</v>
      </c>
    </row>
    <row r="559" ht="15" customHeight="1" s="60">
      <c r="A559" s="59" t="n">
        <v>1</v>
      </c>
      <c r="B559" s="59" t="n">
        <v>5237</v>
      </c>
      <c r="C559" s="59" t="inlineStr">
        <is>
          <t>1</t>
        </is>
      </c>
      <c r="D559" s="59" t="inlineStr">
        <is>
          <t>36480282000119</t>
        </is>
      </c>
      <c r="E559" s="75" t="n">
        <v>46205</v>
      </c>
      <c r="F559" s="75" t="n">
        <v>46205</v>
      </c>
      <c r="G559" s="59" t="inlineStr">
        <is>
          <t>RENATO DE O AZEVEDO E CIA LTDA - EPP</t>
        </is>
      </c>
      <c r="H559" s="59" t="n">
        <v>1340357</v>
      </c>
      <c r="I559" s="59" t="n">
        <v>6</v>
      </c>
      <c r="J559" s="59" t="inlineStr">
        <is>
          <t>AM</t>
        </is>
      </c>
      <c r="K559" s="126" t="n">
        <v>280</v>
      </c>
    </row>
    <row r="560" ht="15" customHeight="1" s="60">
      <c r="A560" s="59" t="n">
        <v>1</v>
      </c>
      <c r="B560" s="59" t="n">
        <v>20726</v>
      </c>
      <c r="C560" s="59" t="inlineStr">
        <is>
          <t>1</t>
        </is>
      </c>
      <c r="D560" s="59" t="inlineStr">
        <is>
          <t>36480282000119</t>
        </is>
      </c>
      <c r="E560" s="75" t="n">
        <v>46205</v>
      </c>
      <c r="F560" s="75" t="n">
        <v>46205</v>
      </c>
      <c r="G560" s="59" t="inlineStr">
        <is>
          <t>RENATO DE O AZEVEDO E CIA LTDA - EPP</t>
        </is>
      </c>
      <c r="H560" s="59" t="n">
        <v>1339700</v>
      </c>
      <c r="I560" s="59" t="n">
        <v>2</v>
      </c>
      <c r="J560" s="59" t="inlineStr">
        <is>
          <t>AM</t>
        </is>
      </c>
      <c r="K560" s="126" t="n">
        <v>600</v>
      </c>
    </row>
    <row r="561" ht="15" customHeight="1" s="60">
      <c r="A561" s="59" t="n">
        <v>1</v>
      </c>
      <c r="B561" s="59" t="n">
        <v>23061</v>
      </c>
      <c r="C561" s="59" t="inlineStr">
        <is>
          <t>1</t>
        </is>
      </c>
      <c r="D561" s="59" t="inlineStr">
        <is>
          <t>36480282000119</t>
        </is>
      </c>
      <c r="E561" s="75" t="n">
        <v>46205</v>
      </c>
      <c r="F561" s="75" t="n">
        <v>46205</v>
      </c>
      <c r="G561" s="59" t="inlineStr">
        <is>
          <t>RENATO DE O AZEVEDO E CIA LTDA - EPP</t>
        </is>
      </c>
      <c r="H561" s="59" t="n">
        <v>1340348</v>
      </c>
      <c r="I561" s="59" t="n">
        <v>2</v>
      </c>
      <c r="J561" s="59" t="inlineStr">
        <is>
          <t>AM</t>
        </is>
      </c>
      <c r="K561" s="126" t="n">
        <v>280</v>
      </c>
    </row>
    <row r="562" ht="15" customHeight="1" s="60">
      <c r="A562" s="59" t="n">
        <v>1</v>
      </c>
      <c r="B562" s="59" t="n">
        <v>336</v>
      </c>
      <c r="C562" s="59" t="inlineStr">
        <is>
          <t>1</t>
        </is>
      </c>
      <c r="D562" s="59" t="inlineStr">
        <is>
          <t>63502353000100</t>
        </is>
      </c>
      <c r="E562" s="75" t="n">
        <v>46206</v>
      </c>
      <c r="F562" s="75" t="n">
        <v>46206</v>
      </c>
      <c r="G562" s="59" t="inlineStr">
        <is>
          <t>63.502.353 JOAO WYLLAMI NASCIMENTO DOS SANTOS</t>
        </is>
      </c>
      <c r="H562" s="59" t="n">
        <v>1370315</v>
      </c>
      <c r="I562" s="59" t="n">
        <v>1</v>
      </c>
      <c r="J562" s="59" t="inlineStr">
        <is>
          <t>AM</t>
        </is>
      </c>
      <c r="K562" s="126" t="n">
        <v>665</v>
      </c>
    </row>
    <row r="563" ht="15" customHeight="1" s="60">
      <c r="A563" s="59" t="n">
        <v>1</v>
      </c>
      <c r="B563" s="59" t="n">
        <v>321</v>
      </c>
      <c r="C563" s="59" t="inlineStr">
        <is>
          <t>1</t>
        </is>
      </c>
      <c r="D563" s="59" t="inlineStr">
        <is>
          <t>34787423000115</t>
        </is>
      </c>
      <c r="E563" s="75" t="n">
        <v>46206</v>
      </c>
      <c r="F563" s="75" t="n">
        <v>46206</v>
      </c>
      <c r="G563" s="59" t="inlineStr">
        <is>
          <t>ADRIANO FEITOSA OLIVEIRA LTDA</t>
        </is>
      </c>
      <c r="H563" s="59" t="n">
        <v>1345994</v>
      </c>
      <c r="I563" s="59" t="n">
        <v>1</v>
      </c>
      <c r="J563" s="59" t="inlineStr">
        <is>
          <t>AM</t>
        </is>
      </c>
      <c r="K563" s="126" t="n">
        <v>899.95</v>
      </c>
    </row>
    <row r="564" ht="15" customHeight="1" s="60">
      <c r="A564" s="59" t="n">
        <v>1</v>
      </c>
      <c r="B564" s="59" t="n">
        <v>203761</v>
      </c>
      <c r="C564" s="59" t="inlineStr">
        <is>
          <t>2</t>
        </is>
      </c>
      <c r="D564" s="59" t="inlineStr">
        <is>
          <t>04190350000119</t>
        </is>
      </c>
      <c r="E564" s="75" t="n">
        <v>46206</v>
      </c>
      <c r="F564" s="75" t="n">
        <v>46204</v>
      </c>
      <c r="G564" s="59" t="inlineStr">
        <is>
          <t>AMAZON MILK IND. E COMERCIO LTDA</t>
        </is>
      </c>
      <c r="H564" s="59" t="n">
        <v>1344279</v>
      </c>
      <c r="I564" s="59" t="n">
        <v>1</v>
      </c>
      <c r="J564" s="59" t="inlineStr">
        <is>
          <t>AM</t>
        </is>
      </c>
      <c r="K564" s="126" t="n">
        <v>1438.2</v>
      </c>
    </row>
    <row r="565" ht="15" customHeight="1" s="60">
      <c r="A565" s="59" t="n">
        <v>1</v>
      </c>
      <c r="B565" s="59" t="n">
        <v>203762</v>
      </c>
      <c r="C565" s="59" t="inlineStr">
        <is>
          <t>2</t>
        </is>
      </c>
      <c r="D565" s="59" t="inlineStr">
        <is>
          <t>04190350000119</t>
        </is>
      </c>
      <c r="E565" s="75" t="n">
        <v>46206</v>
      </c>
      <c r="F565" s="75" t="n">
        <v>46204</v>
      </c>
      <c r="G565" s="59" t="inlineStr">
        <is>
          <t>AMAZON MILK IND. E COMERCIO LTDA</t>
        </is>
      </c>
      <c r="H565" s="59" t="n">
        <v>1344526</v>
      </c>
      <c r="I565" s="59" t="n">
        <v>1</v>
      </c>
      <c r="J565" s="59" t="inlineStr">
        <is>
          <t>AM</t>
        </is>
      </c>
      <c r="K565" s="126" t="n">
        <v>1896.53</v>
      </c>
    </row>
    <row r="566" ht="15" customHeight="1" s="60">
      <c r="A566" s="59" t="n">
        <v>1</v>
      </c>
      <c r="B566" s="59" t="n">
        <v>11352</v>
      </c>
      <c r="C566" s="59" t="inlineStr">
        <is>
          <t>2</t>
        </is>
      </c>
      <c r="D566" s="59" t="inlineStr">
        <is>
          <t>40810324000100</t>
        </is>
      </c>
      <c r="E566" s="75" t="n">
        <v>46206</v>
      </c>
      <c r="F566" s="75" t="n">
        <v>46205</v>
      </c>
      <c r="G566" s="59" t="inlineStr">
        <is>
          <t>C. R. PARENTE ABREU</t>
        </is>
      </c>
      <c r="H566" s="59" t="n">
        <v>1346045</v>
      </c>
      <c r="I566" s="59" t="n">
        <v>1</v>
      </c>
      <c r="J566" s="59" t="inlineStr">
        <is>
          <t>AM</t>
        </is>
      </c>
      <c r="K566" s="126" t="n">
        <v>813.86</v>
      </c>
    </row>
    <row r="567" ht="15" customHeight="1" s="60">
      <c r="A567" s="59" t="n">
        <v>1</v>
      </c>
      <c r="B567" s="59" t="n">
        <v>172527</v>
      </c>
      <c r="C567" s="59" t="inlineStr">
        <is>
          <t>1</t>
        </is>
      </c>
      <c r="D567" s="59" t="inlineStr">
        <is>
          <t>10418161000153</t>
        </is>
      </c>
      <c r="E567" s="75" t="n">
        <v>46206</v>
      </c>
      <c r="F567" s="75" t="n">
        <v>46205</v>
      </c>
      <c r="G567" s="59" t="inlineStr">
        <is>
          <t>COMERCIO DE FRIOS MANAUS LTDA</t>
        </is>
      </c>
      <c r="H567" s="59" t="n">
        <v>1345749</v>
      </c>
      <c r="I567" s="59" t="n">
        <v>1</v>
      </c>
      <c r="J567" s="59" t="inlineStr">
        <is>
          <t>AM</t>
        </is>
      </c>
      <c r="K567" s="126" t="n">
        <v>5723.8</v>
      </c>
    </row>
    <row r="568" ht="15" customHeight="1" s="60">
      <c r="A568" s="59" t="n">
        <v>1</v>
      </c>
      <c r="B568" s="59" t="n">
        <v>14791</v>
      </c>
      <c r="C568" s="59" t="inlineStr">
        <is>
          <t>1</t>
        </is>
      </c>
      <c r="D568" s="59" t="inlineStr">
        <is>
          <t>09531992000158</t>
        </is>
      </c>
      <c r="E568" s="75" t="n">
        <v>46206</v>
      </c>
      <c r="F568" s="75" t="n">
        <v>46206</v>
      </c>
      <c r="G568" s="59" t="inlineStr">
        <is>
          <t>COMERCIO E TRANSPORTE BRANDAO LTDA</t>
        </is>
      </c>
      <c r="H568" s="59" t="n">
        <v>1345556</v>
      </c>
      <c r="I568" s="59" t="n">
        <v>1</v>
      </c>
      <c r="J568" s="59" t="inlineStr">
        <is>
          <t>AM</t>
        </is>
      </c>
      <c r="K568" s="126" t="n">
        <v>890</v>
      </c>
    </row>
    <row r="569" ht="15" customHeight="1" s="60">
      <c r="A569" s="59" t="n">
        <v>1</v>
      </c>
      <c r="B569" s="59" t="n">
        <v>1686012</v>
      </c>
      <c r="C569" s="59" t="inlineStr">
        <is>
          <t>1</t>
        </is>
      </c>
      <c r="D569" s="59" t="inlineStr">
        <is>
          <t>02796653000154</t>
        </is>
      </c>
      <c r="E569" s="75" t="n">
        <v>46206</v>
      </c>
      <c r="F569" s="75" t="n">
        <v>46206</v>
      </c>
      <c r="G569" s="59" t="inlineStr">
        <is>
          <t>DISTRIBUIDORA LOPES LTDA</t>
        </is>
      </c>
      <c r="H569" s="59" t="n">
        <v>1344441</v>
      </c>
      <c r="I569" s="59" t="n">
        <v>1</v>
      </c>
      <c r="J569" s="59" t="inlineStr">
        <is>
          <t>AM</t>
        </is>
      </c>
      <c r="K569" s="126" t="n">
        <v>3479.9</v>
      </c>
    </row>
    <row r="570" ht="15" customHeight="1" s="60">
      <c r="A570" s="59" t="n">
        <v>1</v>
      </c>
      <c r="B570" s="59" t="n">
        <v>340</v>
      </c>
      <c r="C570" s="59" t="inlineStr">
        <is>
          <t>2</t>
        </is>
      </c>
      <c r="D570" s="59" t="inlineStr">
        <is>
          <t>20380110000133</t>
        </is>
      </c>
      <c r="E570" s="75" t="n">
        <v>46206</v>
      </c>
      <c r="F570" s="75" t="n">
        <v>46206</v>
      </c>
      <c r="G570" s="59" t="inlineStr">
        <is>
          <t>GELO DANGELO FABRICACAO DE GELO LTDA</t>
        </is>
      </c>
      <c r="H570" s="59" t="n">
        <v>1370269</v>
      </c>
      <c r="I570" s="59" t="n">
        <v>1</v>
      </c>
      <c r="J570" s="59" t="inlineStr">
        <is>
          <t>AM</t>
        </is>
      </c>
      <c r="K570" s="126" t="n">
        <v>518</v>
      </c>
    </row>
    <row r="571" ht="15" customHeight="1" s="60">
      <c r="A571" s="59" t="n">
        <v>1</v>
      </c>
      <c r="B571" s="59" t="n">
        <v>1037</v>
      </c>
      <c r="C571" s="59" t="inlineStr">
        <is>
          <t>1</t>
        </is>
      </c>
      <c r="D571" s="59" t="inlineStr">
        <is>
          <t>23643531000106</t>
        </is>
      </c>
      <c r="E571" s="75" t="n">
        <v>46206</v>
      </c>
      <c r="F571" s="75" t="n">
        <v>46205</v>
      </c>
      <c r="G571" s="59" t="inlineStr">
        <is>
          <t>J. R. L. NASCIMENTO PANIFICADORA</t>
        </is>
      </c>
      <c r="H571" s="59" t="n">
        <v>1343917</v>
      </c>
      <c r="I571" s="59" t="n">
        <v>1</v>
      </c>
      <c r="J571" s="59" t="inlineStr">
        <is>
          <t>AM</t>
        </is>
      </c>
      <c r="K571" s="126" t="n">
        <v>990</v>
      </c>
    </row>
    <row r="572" ht="15" customHeight="1" s="60">
      <c r="A572" s="59" t="n">
        <v>1</v>
      </c>
      <c r="B572" s="59" t="n">
        <v>3469</v>
      </c>
      <c r="C572" s="59" t="inlineStr">
        <is>
          <t>1</t>
        </is>
      </c>
      <c r="D572" s="59" t="inlineStr">
        <is>
          <t>59566132000128</t>
        </is>
      </c>
      <c r="E572" s="75" t="n">
        <v>46206</v>
      </c>
      <c r="F572" s="75" t="n">
        <v>46205</v>
      </c>
      <c r="G572" s="59" t="inlineStr">
        <is>
          <t>JAB COMERCIO DE PRODUTOS ALIMENTICIOS LT</t>
        </is>
      </c>
      <c r="H572" s="59" t="n">
        <v>1346072</v>
      </c>
      <c r="I572" s="59" t="n">
        <v>1</v>
      </c>
      <c r="J572" s="59" t="inlineStr">
        <is>
          <t>AM</t>
        </is>
      </c>
      <c r="K572" s="126" t="n">
        <v>405</v>
      </c>
    </row>
    <row r="573" ht="15" customHeight="1" s="60">
      <c r="A573" s="59" t="n">
        <v>1</v>
      </c>
      <c r="B573" s="59" t="n">
        <v>31254</v>
      </c>
      <c r="C573" s="59" t="inlineStr">
        <is>
          <t>1</t>
        </is>
      </c>
      <c r="D573" s="59" t="inlineStr">
        <is>
          <t>30996759000137</t>
        </is>
      </c>
      <c r="E573" s="75" t="n">
        <v>46206</v>
      </c>
      <c r="F573" s="75" t="n">
        <v>46205</v>
      </c>
      <c r="G573" s="59" t="inlineStr">
        <is>
          <t>LIMA E BARANDA COMERCIO DE PRODUTOS REGI</t>
        </is>
      </c>
      <c r="H573" s="59" t="n">
        <v>1346095</v>
      </c>
      <c r="I573" s="59" t="n">
        <v>1</v>
      </c>
      <c r="J573" s="59" t="inlineStr">
        <is>
          <t>AM</t>
        </is>
      </c>
      <c r="K573" s="126" t="n">
        <v>493.5</v>
      </c>
    </row>
    <row r="574" ht="15" customHeight="1" s="60">
      <c r="A574" s="59" t="n">
        <v>1</v>
      </c>
      <c r="B574" s="59" t="n">
        <v>499471</v>
      </c>
      <c r="C574" s="59" t="inlineStr">
        <is>
          <t>1</t>
        </is>
      </c>
      <c r="D574" s="59" t="inlineStr">
        <is>
          <t>01520248000227</t>
        </is>
      </c>
      <c r="E574" s="75" t="n">
        <v>46206</v>
      </c>
      <c r="F574" s="75" t="n">
        <v>46203</v>
      </c>
      <c r="G574" s="59" t="inlineStr">
        <is>
          <t>MARQUES &amp; MELO LTDA - FILIAL</t>
        </is>
      </c>
      <c r="H574" s="59" t="n">
        <v>1344964</v>
      </c>
      <c r="I574" s="59" t="n">
        <v>1</v>
      </c>
      <c r="J574" s="59" t="inlineStr">
        <is>
          <t>AM</t>
        </is>
      </c>
      <c r="K574" s="126" t="n">
        <v>395.5</v>
      </c>
    </row>
    <row r="575" ht="15" customHeight="1" s="60">
      <c r="A575" s="59" t="n">
        <v>1</v>
      </c>
      <c r="B575" s="59" t="n">
        <v>14614</v>
      </c>
      <c r="C575" s="59" t="inlineStr">
        <is>
          <t>1</t>
        </is>
      </c>
      <c r="D575" s="59" t="inlineStr">
        <is>
          <t>03784729000194</t>
        </is>
      </c>
      <c r="E575" s="75" t="n">
        <v>46206</v>
      </c>
      <c r="F575" s="75" t="n">
        <v>46206</v>
      </c>
      <c r="G575" s="59" t="inlineStr">
        <is>
          <t>MAXFRI DISTRIUIDORA LTDA</t>
        </is>
      </c>
      <c r="H575" s="59" t="n">
        <v>1345941</v>
      </c>
      <c r="I575" s="59" t="n">
        <v>1</v>
      </c>
      <c r="J575" s="59" t="inlineStr">
        <is>
          <t>AM</t>
        </is>
      </c>
      <c r="K575" s="126" t="n">
        <v>6374.28</v>
      </c>
    </row>
    <row r="576" ht="15" customHeight="1" s="60">
      <c r="A576" s="59" t="n">
        <v>1</v>
      </c>
      <c r="B576" s="59" t="n">
        <v>689</v>
      </c>
      <c r="C576" s="59" t="inlineStr">
        <is>
          <t>2</t>
        </is>
      </c>
      <c r="D576" s="59" t="inlineStr">
        <is>
          <t>35729236000148</t>
        </is>
      </c>
      <c r="E576" s="75" t="n">
        <v>46206</v>
      </c>
      <c r="F576" s="75" t="n">
        <v>46203</v>
      </c>
      <c r="G576" s="59" t="inlineStr">
        <is>
          <t>PANIFICADORA E CONFEITARIA REAL MADRI LTDA</t>
        </is>
      </c>
      <c r="H576" s="59" t="n">
        <v>1343556</v>
      </c>
      <c r="I576" s="59" t="n">
        <v>1</v>
      </c>
      <c r="J576" s="59" t="inlineStr">
        <is>
          <t>AM</t>
        </is>
      </c>
      <c r="K576" s="126" t="n">
        <v>359.55</v>
      </c>
    </row>
    <row r="577" ht="15" customHeight="1" s="60">
      <c r="A577" s="59" t="n">
        <v>1</v>
      </c>
      <c r="B577" s="59" t="n">
        <v>692</v>
      </c>
      <c r="C577" s="59" t="inlineStr">
        <is>
          <t>2</t>
        </is>
      </c>
      <c r="D577" s="59" t="inlineStr">
        <is>
          <t>35729236000148</t>
        </is>
      </c>
      <c r="E577" s="75" t="n">
        <v>46206</v>
      </c>
      <c r="F577" s="75" t="n">
        <v>46205</v>
      </c>
      <c r="G577" s="59" t="inlineStr">
        <is>
          <t>PANIFICADORA E CONFEITARIA REAL MADRI LTDA</t>
        </is>
      </c>
      <c r="H577" s="59" t="n">
        <v>1343884</v>
      </c>
      <c r="I577" s="59" t="n">
        <v>1</v>
      </c>
      <c r="J577" s="59" t="inlineStr">
        <is>
          <t>AM</t>
        </is>
      </c>
      <c r="K577" s="126" t="n">
        <v>307.2</v>
      </c>
    </row>
    <row r="578" ht="15" customHeight="1" s="60">
      <c r="A578" s="59" t="n">
        <v>1</v>
      </c>
      <c r="B578" s="59" t="n">
        <v>694</v>
      </c>
      <c r="C578" s="59" t="inlineStr">
        <is>
          <t>2</t>
        </is>
      </c>
      <c r="D578" s="59" t="inlineStr">
        <is>
          <t>35729236000148</t>
        </is>
      </c>
      <c r="E578" s="75" t="n">
        <v>46206</v>
      </c>
      <c r="F578" s="75" t="n">
        <v>46205</v>
      </c>
      <c r="G578" s="59" t="inlineStr">
        <is>
          <t>PANIFICADORA E CONFEITARIA REAL MADRI LTDA</t>
        </is>
      </c>
      <c r="H578" s="59" t="n">
        <v>1343853</v>
      </c>
      <c r="I578" s="59" t="n">
        <v>1</v>
      </c>
      <c r="J578" s="59" t="inlineStr">
        <is>
          <t>AM</t>
        </is>
      </c>
      <c r="K578" s="126" t="n">
        <v>980</v>
      </c>
    </row>
    <row r="579" ht="15" customHeight="1" s="60">
      <c r="A579" s="59" t="n">
        <v>1</v>
      </c>
      <c r="B579" s="59" t="n">
        <v>695</v>
      </c>
      <c r="C579" s="59" t="inlineStr">
        <is>
          <t>2</t>
        </is>
      </c>
      <c r="D579" s="59" t="inlineStr">
        <is>
          <t>35729236000148</t>
        </is>
      </c>
      <c r="E579" s="75" t="n">
        <v>46206</v>
      </c>
      <c r="F579" s="75" t="n">
        <v>46205</v>
      </c>
      <c r="G579" s="59" t="inlineStr">
        <is>
          <t>PANIFICADORA E CONFEITARIA REAL MADRI LTDA</t>
        </is>
      </c>
      <c r="H579" s="59" t="n">
        <v>1343872</v>
      </c>
      <c r="I579" s="59" t="n">
        <v>1</v>
      </c>
      <c r="J579" s="59" t="inlineStr">
        <is>
          <t>AM</t>
        </is>
      </c>
      <c r="K579" s="126" t="n">
        <v>99.90000000000001</v>
      </c>
    </row>
    <row r="580" ht="15" customHeight="1" s="60">
      <c r="A580" s="59" t="n">
        <v>1</v>
      </c>
      <c r="B580" s="59" t="n">
        <v>2406</v>
      </c>
      <c r="C580" s="59" t="inlineStr">
        <is>
          <t>1</t>
        </is>
      </c>
      <c r="D580" s="59" t="inlineStr">
        <is>
          <t>36480282000119</t>
        </is>
      </c>
      <c r="E580" s="75" t="n">
        <v>46206</v>
      </c>
      <c r="F580" s="75" t="n">
        <v>46206</v>
      </c>
      <c r="G580" s="59" t="inlineStr">
        <is>
          <t>RENATO DE O AZEVEDO E CIA LTDA - EPP</t>
        </is>
      </c>
      <c r="H580" s="59" t="n">
        <v>1345323</v>
      </c>
      <c r="I580" s="59" t="n">
        <v>2</v>
      </c>
      <c r="J580" s="59" t="inlineStr">
        <is>
          <t>AM</t>
        </is>
      </c>
      <c r="K580" s="126" t="n">
        <v>400</v>
      </c>
    </row>
    <row r="581" ht="15" customHeight="1" s="60">
      <c r="A581" s="59" t="n">
        <v>1</v>
      </c>
      <c r="B581" s="59" t="n">
        <v>3072</v>
      </c>
      <c r="C581" s="59" t="inlineStr">
        <is>
          <t>1</t>
        </is>
      </c>
      <c r="D581" s="59" t="inlineStr">
        <is>
          <t>36480282000119</t>
        </is>
      </c>
      <c r="E581" s="75" t="n">
        <v>46206</v>
      </c>
      <c r="F581" s="75" t="n">
        <v>46206</v>
      </c>
      <c r="G581" s="59" t="inlineStr">
        <is>
          <t>RENATO DE O AZEVEDO E CIA LTDA - EPP</t>
        </is>
      </c>
      <c r="H581" s="59" t="n">
        <v>1345211</v>
      </c>
      <c r="I581" s="59" t="n">
        <v>2</v>
      </c>
      <c r="J581" s="59" t="inlineStr">
        <is>
          <t>AM</t>
        </is>
      </c>
      <c r="K581" s="126" t="n">
        <v>2905</v>
      </c>
    </row>
    <row r="582" ht="15" customHeight="1" s="60">
      <c r="A582" s="59" t="n">
        <v>1</v>
      </c>
      <c r="B582" s="59" t="n">
        <v>3726</v>
      </c>
      <c r="C582" s="59" t="inlineStr">
        <is>
          <t>1</t>
        </is>
      </c>
      <c r="D582" s="59" t="inlineStr">
        <is>
          <t>36480282000119</t>
        </is>
      </c>
      <c r="E582" s="75" t="n">
        <v>46206</v>
      </c>
      <c r="F582" s="75" t="n">
        <v>46206</v>
      </c>
      <c r="G582" s="59" t="inlineStr">
        <is>
          <t>RENATO DE O AZEVEDO E CIA LTDA - EPP</t>
        </is>
      </c>
      <c r="H582" s="59" t="n">
        <v>1345523</v>
      </c>
      <c r="I582" s="59" t="n">
        <v>2</v>
      </c>
      <c r="J582" s="59" t="inlineStr">
        <is>
          <t>AM</t>
        </is>
      </c>
      <c r="K582" s="126" t="n">
        <v>3621</v>
      </c>
    </row>
    <row r="583" ht="15" customHeight="1" s="60">
      <c r="A583" s="59" t="n">
        <v>1</v>
      </c>
      <c r="B583" s="59" t="n">
        <v>5238</v>
      </c>
      <c r="C583" s="59" t="inlineStr">
        <is>
          <t>1</t>
        </is>
      </c>
      <c r="D583" s="59" t="inlineStr">
        <is>
          <t>36480282000119</t>
        </is>
      </c>
      <c r="E583" s="75" t="n">
        <v>46206</v>
      </c>
      <c r="F583" s="75" t="n">
        <v>46206</v>
      </c>
      <c r="G583" s="59" t="inlineStr">
        <is>
          <t>RENATO DE O AZEVEDO E CIA LTDA - EPP</t>
        </is>
      </c>
      <c r="H583" s="59" t="n">
        <v>1345214</v>
      </c>
      <c r="I583" s="59" t="n">
        <v>6</v>
      </c>
      <c r="J583" s="59" t="inlineStr">
        <is>
          <t>AM</t>
        </is>
      </c>
      <c r="K583" s="126" t="n">
        <v>2905</v>
      </c>
    </row>
    <row r="584" ht="15" customHeight="1" s="60">
      <c r="A584" s="59" t="n">
        <v>1</v>
      </c>
      <c r="B584" s="59" t="n">
        <v>5239</v>
      </c>
      <c r="C584" s="59" t="inlineStr">
        <is>
          <t>1</t>
        </is>
      </c>
      <c r="D584" s="59" t="inlineStr">
        <is>
          <t>36480282000119</t>
        </is>
      </c>
      <c r="E584" s="75" t="n">
        <v>46206</v>
      </c>
      <c r="F584" s="75" t="n">
        <v>46206</v>
      </c>
      <c r="G584" s="59" t="inlineStr">
        <is>
          <t>RENATO DE O AZEVEDO E CIA LTDA - EPP</t>
        </is>
      </c>
      <c r="H584" s="59" t="n">
        <v>1345330</v>
      </c>
      <c r="I584" s="59" t="n">
        <v>6</v>
      </c>
      <c r="J584" s="59" t="inlineStr">
        <is>
          <t>AM</t>
        </is>
      </c>
      <c r="K584" s="126" t="n">
        <v>400</v>
      </c>
    </row>
    <row r="585" ht="15" customHeight="1" s="60">
      <c r="A585" s="59" t="n">
        <v>1</v>
      </c>
      <c r="B585" s="59" t="n">
        <v>5240</v>
      </c>
      <c r="C585" s="59" t="inlineStr">
        <is>
          <t>1</t>
        </is>
      </c>
      <c r="D585" s="59" t="inlineStr">
        <is>
          <t>36480282000119</t>
        </is>
      </c>
      <c r="E585" s="75" t="n">
        <v>46206</v>
      </c>
      <c r="F585" s="75" t="n">
        <v>46206</v>
      </c>
      <c r="G585" s="59" t="inlineStr">
        <is>
          <t>RENATO DE O AZEVEDO E CIA LTDA - EPP</t>
        </is>
      </c>
      <c r="H585" s="59" t="n">
        <v>1345531</v>
      </c>
      <c r="I585" s="59" t="n">
        <v>6</v>
      </c>
      <c r="J585" s="59" t="inlineStr">
        <is>
          <t>AM</t>
        </is>
      </c>
      <c r="K585" s="126" t="n">
        <v>3621</v>
      </c>
    </row>
    <row r="586" ht="15" customHeight="1" s="60">
      <c r="A586" s="59" t="n">
        <v>1</v>
      </c>
      <c r="B586" s="59" t="n">
        <v>5249</v>
      </c>
      <c r="C586" s="59" t="inlineStr">
        <is>
          <t>1</t>
        </is>
      </c>
      <c r="D586" s="59" t="inlineStr">
        <is>
          <t>36480282000119</t>
        </is>
      </c>
      <c r="E586" s="75" t="n">
        <v>46206</v>
      </c>
      <c r="F586" s="75" t="n">
        <v>46206</v>
      </c>
      <c r="G586" s="59" t="inlineStr">
        <is>
          <t>RENATO DE O AZEVEDO E CIA LTDA - EPP</t>
        </is>
      </c>
      <c r="H586" s="59" t="n">
        <v>1346016</v>
      </c>
      <c r="I586" s="59" t="n">
        <v>6</v>
      </c>
      <c r="J586" s="59" t="inlineStr">
        <is>
          <t>AM</t>
        </is>
      </c>
      <c r="K586" s="126" t="n">
        <v>350</v>
      </c>
    </row>
    <row r="587" ht="15" customHeight="1" s="60">
      <c r="A587" s="59" t="n">
        <v>1</v>
      </c>
      <c r="B587" s="59" t="n">
        <v>24016</v>
      </c>
      <c r="C587" s="59" t="inlineStr">
        <is>
          <t>1</t>
        </is>
      </c>
      <c r="D587" s="59" t="inlineStr">
        <is>
          <t>36480282000119</t>
        </is>
      </c>
      <c r="E587" s="75" t="n">
        <v>46206</v>
      </c>
      <c r="F587" s="75" t="n">
        <v>46206</v>
      </c>
      <c r="G587" s="59" t="inlineStr">
        <is>
          <t>RENATO DE O AZEVEDO E CIA LTDA - EPP</t>
        </is>
      </c>
      <c r="H587" s="59" t="n">
        <v>1346008</v>
      </c>
      <c r="I587" s="59" t="n">
        <v>2</v>
      </c>
      <c r="J587" s="59" t="inlineStr">
        <is>
          <t>AM</t>
        </is>
      </c>
      <c r="K587" s="126" t="n">
        <v>350</v>
      </c>
    </row>
    <row r="588" ht="15" customHeight="1" s="60">
      <c r="A588" s="59" t="n">
        <v>1</v>
      </c>
      <c r="B588" s="59" t="n">
        <v>10653</v>
      </c>
      <c r="C588" s="59" t="inlineStr">
        <is>
          <t>1</t>
        </is>
      </c>
      <c r="D588" s="59" t="inlineStr">
        <is>
          <t>37994707000170</t>
        </is>
      </c>
      <c r="E588" s="75" t="n">
        <v>46206</v>
      </c>
      <c r="F588" s="75" t="n">
        <v>46205</v>
      </c>
      <c r="G588" s="59" t="inlineStr">
        <is>
          <t>T A DE MATTOS COMIM EIRELI</t>
        </is>
      </c>
      <c r="H588" s="59" t="n">
        <v>1343984</v>
      </c>
      <c r="I588" s="59" t="n">
        <v>1</v>
      </c>
      <c r="J588" s="59" t="inlineStr">
        <is>
          <t>AM</t>
        </is>
      </c>
      <c r="K588" s="126" t="n">
        <v>228</v>
      </c>
    </row>
    <row r="589" ht="15" customHeight="1" s="60">
      <c r="A589" s="59" t="n">
        <v>1</v>
      </c>
      <c r="B589" s="59" t="n">
        <v>519</v>
      </c>
      <c r="C589" s="59" t="inlineStr">
        <is>
          <t>1</t>
        </is>
      </c>
      <c r="D589" s="59" t="inlineStr">
        <is>
          <t>47496330000183</t>
        </is>
      </c>
      <c r="E589" s="75" t="n">
        <v>46207</v>
      </c>
      <c r="F589" s="75" t="n">
        <v>46206</v>
      </c>
      <c r="G589" s="59" t="inlineStr">
        <is>
          <t>ADICSO FABIAN GONZALEZ MONTILLA 70302186</t>
        </is>
      </c>
      <c r="H589" s="59" t="n">
        <v>1348664</v>
      </c>
      <c r="I589" s="59" t="n">
        <v>1</v>
      </c>
      <c r="J589" s="59" t="inlineStr">
        <is>
          <t>AM</t>
        </is>
      </c>
      <c r="K589" s="126" t="n">
        <v>936</v>
      </c>
    </row>
    <row r="590" ht="15" customHeight="1" s="60">
      <c r="A590" s="59" t="n">
        <v>1</v>
      </c>
      <c r="B590" s="59" t="n">
        <v>19022</v>
      </c>
      <c r="C590" s="59" t="inlineStr">
        <is>
          <t>4</t>
        </is>
      </c>
      <c r="D590" s="59" t="inlineStr">
        <is>
          <t>14539474000463</t>
        </is>
      </c>
      <c r="E590" s="75" t="n">
        <v>46207</v>
      </c>
      <c r="F590" s="75" t="n">
        <v>46206</v>
      </c>
      <c r="G590" s="59" t="inlineStr">
        <is>
          <t>BRAGA TABACARIA EIRELI ME</t>
        </is>
      </c>
      <c r="H590" s="59" t="n">
        <v>1348708</v>
      </c>
      <c r="I590" s="59" t="n">
        <v>1</v>
      </c>
      <c r="J590" s="59" t="inlineStr">
        <is>
          <t>AM</t>
        </is>
      </c>
      <c r="K590" s="126" t="n">
        <v>1785</v>
      </c>
    </row>
    <row r="591" ht="15" customHeight="1" s="60">
      <c r="A591" s="59" t="n">
        <v>1</v>
      </c>
      <c r="B591" s="59" t="n">
        <v>1182811</v>
      </c>
      <c r="C591" s="59" t="inlineStr">
        <is>
          <t>7</t>
        </is>
      </c>
      <c r="D591" s="59" t="inlineStr">
        <is>
          <t>34590315000158</t>
        </is>
      </c>
      <c r="E591" s="75" t="n">
        <v>46207</v>
      </c>
      <c r="F591" s="75" t="n">
        <v>46203</v>
      </c>
      <c r="G591" s="59" t="inlineStr">
        <is>
          <t>BRASIL NORTE BEBIDAS S/A</t>
        </is>
      </c>
      <c r="H591" s="59" t="n">
        <v>1348564</v>
      </c>
      <c r="I591" s="59" t="n">
        <v>1</v>
      </c>
      <c r="J591" s="59" t="inlineStr">
        <is>
          <t>AM</t>
        </is>
      </c>
      <c r="K591" s="126" t="n">
        <v>330.81</v>
      </c>
    </row>
    <row r="592" ht="15" customHeight="1" s="60">
      <c r="A592" s="59" t="n">
        <v>1</v>
      </c>
      <c r="B592" s="59" t="n">
        <v>1184135</v>
      </c>
      <c r="C592" s="59" t="inlineStr">
        <is>
          <t>7</t>
        </is>
      </c>
      <c r="D592" s="59" t="inlineStr">
        <is>
          <t>34590315000158</t>
        </is>
      </c>
      <c r="E592" s="75" t="n">
        <v>46207</v>
      </c>
      <c r="F592" s="75" t="n">
        <v>46203</v>
      </c>
      <c r="G592" s="59" t="inlineStr">
        <is>
          <t>BRASIL NORTE BEBIDAS S/A</t>
        </is>
      </c>
      <c r="H592" s="59" t="n">
        <v>1348586</v>
      </c>
      <c r="I592" s="59" t="n">
        <v>1</v>
      </c>
      <c r="J592" s="59" t="inlineStr">
        <is>
          <t>AM</t>
        </is>
      </c>
      <c r="K592" s="126" t="n">
        <v>3237</v>
      </c>
    </row>
    <row r="593" ht="15" customHeight="1" s="60">
      <c r="A593" s="59" t="n">
        <v>1</v>
      </c>
      <c r="B593" s="59" t="n">
        <v>1910367</v>
      </c>
      <c r="C593" s="59" t="inlineStr">
        <is>
          <t>5</t>
        </is>
      </c>
      <c r="D593" s="59" t="inlineStr">
        <is>
          <t>34590315000158</t>
        </is>
      </c>
      <c r="E593" s="75" t="n">
        <v>46207</v>
      </c>
      <c r="F593" s="75" t="n">
        <v>46203</v>
      </c>
      <c r="G593" s="59" t="inlineStr">
        <is>
          <t>BRASIL NORTE BEBIDAS S/A</t>
        </is>
      </c>
      <c r="H593" s="59" t="n">
        <v>1348536</v>
      </c>
      <c r="I593" s="59" t="n">
        <v>1</v>
      </c>
      <c r="J593" s="59" t="inlineStr">
        <is>
          <t>AM</t>
        </is>
      </c>
      <c r="K593" s="126" t="n">
        <v>56.96</v>
      </c>
    </row>
    <row r="594" ht="15" customHeight="1" s="60">
      <c r="A594" s="59" t="n">
        <v>1</v>
      </c>
      <c r="B594" s="59" t="n">
        <v>1910815</v>
      </c>
      <c r="C594" s="59" t="inlineStr">
        <is>
          <t>5</t>
        </is>
      </c>
      <c r="D594" s="59" t="inlineStr">
        <is>
          <t>34590315000158</t>
        </is>
      </c>
      <c r="E594" s="75" t="n">
        <v>46207</v>
      </c>
      <c r="F594" s="75" t="n">
        <v>46203</v>
      </c>
      <c r="G594" s="59" t="inlineStr">
        <is>
          <t>BRASIL NORTE BEBIDAS S/A</t>
        </is>
      </c>
      <c r="H594" s="59" t="n">
        <v>1348607</v>
      </c>
      <c r="I594" s="59" t="n">
        <v>1</v>
      </c>
      <c r="J594" s="59" t="inlineStr">
        <is>
          <t>AM</t>
        </is>
      </c>
      <c r="K594" s="126" t="n">
        <v>6181.16</v>
      </c>
    </row>
    <row r="595" ht="15" customHeight="1" s="60">
      <c r="A595" s="59" t="n">
        <v>1</v>
      </c>
      <c r="B595" s="59" t="n">
        <v>1603506</v>
      </c>
      <c r="C595" s="59" t="inlineStr">
        <is>
          <t>1</t>
        </is>
      </c>
      <c r="D595" s="59" t="inlineStr">
        <is>
          <t>01838723026193</t>
        </is>
      </c>
      <c r="E595" s="75" t="n">
        <v>46207</v>
      </c>
      <c r="F595" s="75" t="n">
        <v>46206</v>
      </c>
      <c r="G595" s="59" t="inlineStr">
        <is>
          <t>BRF S A</t>
        </is>
      </c>
      <c r="H595" s="59" t="n">
        <v>1348480</v>
      </c>
      <c r="I595" s="59" t="n">
        <v>1</v>
      </c>
      <c r="J595" s="59" t="inlineStr">
        <is>
          <t>AM</t>
        </is>
      </c>
      <c r="K595" s="126" t="n">
        <v>4737.03</v>
      </c>
    </row>
    <row r="596" ht="15" customHeight="1" s="60">
      <c r="A596" s="59" t="n">
        <v>1</v>
      </c>
      <c r="B596" s="59" t="n">
        <v>1030056</v>
      </c>
      <c r="C596" s="59" t="inlineStr">
        <is>
          <t>1</t>
        </is>
      </c>
      <c r="D596" s="59" t="inlineStr">
        <is>
          <t>34579060000122</t>
        </is>
      </c>
      <c r="E596" s="75" t="n">
        <v>46207</v>
      </c>
      <c r="F596" s="75" t="n">
        <v>46205</v>
      </c>
      <c r="G596" s="59" t="inlineStr">
        <is>
          <t>BROTHERS  INDUSTRIA DE ALIMENTOS LTDA</t>
        </is>
      </c>
      <c r="H596" s="59" t="n">
        <v>1348430</v>
      </c>
      <c r="I596" s="59" t="n">
        <v>1</v>
      </c>
      <c r="J596" s="59" t="inlineStr">
        <is>
          <t>AM</t>
        </is>
      </c>
      <c r="K596" s="126" t="n">
        <v>640.3</v>
      </c>
    </row>
    <row r="597" ht="15" customHeight="1" s="60">
      <c r="A597" s="59" t="n">
        <v>1</v>
      </c>
      <c r="B597" s="59" t="n">
        <v>885204</v>
      </c>
      <c r="C597" s="59" t="inlineStr">
        <is>
          <t>38</t>
        </is>
      </c>
      <c r="D597" s="59" t="inlineStr">
        <is>
          <t>56228356010013</t>
        </is>
      </c>
      <c r="E597" s="75" t="n">
        <v>46207</v>
      </c>
      <c r="F597" s="75" t="n">
        <v>46203</v>
      </c>
      <c r="G597" s="59" t="inlineStr">
        <is>
          <t>CRBS S/A</t>
        </is>
      </c>
      <c r="H597" s="59" t="n">
        <v>1348619</v>
      </c>
      <c r="I597" s="59" t="n">
        <v>1</v>
      </c>
      <c r="J597" s="59" t="inlineStr">
        <is>
          <t>AM</t>
        </is>
      </c>
      <c r="K597" s="126" t="n">
        <v>713.41</v>
      </c>
    </row>
    <row r="598" ht="15" customHeight="1" s="60">
      <c r="A598" s="59" t="n">
        <v>1</v>
      </c>
      <c r="B598" s="59" t="n">
        <v>885205</v>
      </c>
      <c r="C598" s="59" t="inlineStr">
        <is>
          <t>38</t>
        </is>
      </c>
      <c r="D598" s="59" t="inlineStr">
        <is>
          <t>56228356010013</t>
        </is>
      </c>
      <c r="E598" s="75" t="n">
        <v>46207</v>
      </c>
      <c r="F598" s="75" t="n">
        <v>46203</v>
      </c>
      <c r="G598" s="59" t="inlineStr">
        <is>
          <t>CRBS S/A</t>
        </is>
      </c>
      <c r="H598" s="59" t="n">
        <v>1348630</v>
      </c>
      <c r="I598" s="59" t="n">
        <v>1</v>
      </c>
      <c r="J598" s="59" t="inlineStr">
        <is>
          <t>AM</t>
        </is>
      </c>
      <c r="K598" s="126" t="n">
        <v>772.86</v>
      </c>
    </row>
    <row r="599" ht="15" customHeight="1" s="60">
      <c r="A599" s="59" t="n">
        <v>1</v>
      </c>
      <c r="B599" s="59" t="n">
        <v>885206</v>
      </c>
      <c r="C599" s="59" t="inlineStr">
        <is>
          <t>38</t>
        </is>
      </c>
      <c r="D599" s="59" t="inlineStr">
        <is>
          <t>56228356010013</t>
        </is>
      </c>
      <c r="E599" s="75" t="n">
        <v>46207</v>
      </c>
      <c r="F599" s="75" t="n">
        <v>46203</v>
      </c>
      <c r="G599" s="59" t="inlineStr">
        <is>
          <t>CRBS S/A</t>
        </is>
      </c>
      <c r="H599" s="59" t="n">
        <v>1348651</v>
      </c>
      <c r="I599" s="59" t="n">
        <v>1</v>
      </c>
      <c r="J599" s="59" t="inlineStr">
        <is>
          <t>AM</t>
        </is>
      </c>
      <c r="K599" s="126" t="n">
        <v>7929.54</v>
      </c>
    </row>
    <row r="600" ht="15" customHeight="1" s="60">
      <c r="A600" s="59" t="n">
        <v>1</v>
      </c>
      <c r="B600" s="59" t="n">
        <v>3216011</v>
      </c>
      <c r="C600" s="59" t="inlineStr">
        <is>
          <t>1</t>
        </is>
      </c>
      <c r="D600" s="59" t="inlineStr">
        <is>
          <t>84466424000136</t>
        </is>
      </c>
      <c r="E600" s="75" t="n">
        <v>46207</v>
      </c>
      <c r="F600" s="75" t="n">
        <v>46205</v>
      </c>
      <c r="G600" s="59" t="inlineStr">
        <is>
          <t>DUNORTE DISTRIBUIDORA DE PRODUTOS DE CONSUMO LTDA</t>
        </is>
      </c>
      <c r="H600" s="59" t="n">
        <v>1348691</v>
      </c>
      <c r="I600" s="59" t="n">
        <v>3</v>
      </c>
      <c r="J600" s="59" t="inlineStr">
        <is>
          <t>AM</t>
        </is>
      </c>
      <c r="K600" s="126" t="n">
        <v>854.72</v>
      </c>
    </row>
    <row r="601" ht="15" customHeight="1" s="60">
      <c r="A601" s="59" t="n">
        <v>1</v>
      </c>
      <c r="B601" s="59" t="n">
        <v>390550</v>
      </c>
      <c r="C601" s="59" t="inlineStr">
        <is>
          <t>1</t>
        </is>
      </c>
      <c r="D601" s="59" t="inlineStr">
        <is>
          <t>14141553000179</t>
        </is>
      </c>
      <c r="E601" s="75" t="n">
        <v>46207</v>
      </c>
      <c r="F601" s="75" t="n">
        <v>46205</v>
      </c>
      <c r="G601" s="59" t="inlineStr">
        <is>
          <t>J G COMERCIO DE PRODUTOS ALIMENTICIOS LTDA</t>
        </is>
      </c>
      <c r="H601" s="59" t="n">
        <v>1348411</v>
      </c>
      <c r="I601" s="59" t="n">
        <v>1</v>
      </c>
      <c r="J601" s="59" t="inlineStr">
        <is>
          <t>AM</t>
        </is>
      </c>
      <c r="K601" s="126" t="n">
        <v>7021.92</v>
      </c>
    </row>
    <row r="602" ht="15" customHeight="1" s="60">
      <c r="A602" s="59" t="n">
        <v>1</v>
      </c>
      <c r="B602" s="59" t="n">
        <v>1385956</v>
      </c>
      <c r="C602" s="59" t="inlineStr">
        <is>
          <t>1</t>
        </is>
      </c>
      <c r="D602" s="59" t="inlineStr">
        <is>
          <t>02887227000207</t>
        </is>
      </c>
      <c r="E602" s="75" t="n">
        <v>46207</v>
      </c>
      <c r="F602" s="75" t="n">
        <v>46205</v>
      </c>
      <c r="G602" s="59" t="inlineStr">
        <is>
          <t>MARE DISTRIBUIDORA DE BEBIDAS E DE PRODU</t>
        </is>
      </c>
      <c r="H602" s="59" t="n">
        <v>1348878</v>
      </c>
      <c r="I602" s="59" t="n">
        <v>1</v>
      </c>
      <c r="J602" s="59" t="inlineStr">
        <is>
          <t>AM</t>
        </is>
      </c>
      <c r="K602" s="126" t="n">
        <v>3494.6</v>
      </c>
    </row>
    <row r="603" ht="15" customHeight="1" s="60">
      <c r="A603" s="59" t="n">
        <v>1</v>
      </c>
      <c r="B603" s="59" t="n">
        <v>734837</v>
      </c>
      <c r="C603" s="59" t="inlineStr">
        <is>
          <t>0</t>
        </is>
      </c>
      <c r="D603" s="59" t="inlineStr">
        <is>
          <t>08038545000107</t>
        </is>
      </c>
      <c r="E603" s="75" t="n">
        <v>46207</v>
      </c>
      <c r="F603" s="75" t="n">
        <v>46205</v>
      </c>
      <c r="G603" s="59" t="inlineStr">
        <is>
          <t>NATUREZA COMERCIO DE DESCARTAVEIS LTDA</t>
        </is>
      </c>
      <c r="H603" s="59" t="n">
        <v>1348465</v>
      </c>
      <c r="I603" s="59" t="n">
        <v>3</v>
      </c>
      <c r="J603" s="59" t="inlineStr">
        <is>
          <t>AM</t>
        </is>
      </c>
      <c r="K603" s="126" t="n">
        <v>345.1</v>
      </c>
    </row>
    <row r="604" ht="15" customHeight="1" s="60">
      <c r="A604" s="59" t="n">
        <v>1</v>
      </c>
      <c r="B604" s="59" t="n">
        <v>40130</v>
      </c>
      <c r="C604" s="59" t="inlineStr">
        <is>
          <t>5</t>
        </is>
      </c>
      <c r="D604" s="59" t="inlineStr">
        <is>
          <t>03439223000148</t>
        </is>
      </c>
      <c r="E604" s="75" t="n">
        <v>46207</v>
      </c>
      <c r="F604" s="75" t="n">
        <v>46206</v>
      </c>
      <c r="G604" s="59" t="inlineStr">
        <is>
          <t>NT INDUSTRIA E COMERCIO DE PANIFICACAO L</t>
        </is>
      </c>
      <c r="H604" s="59" t="n">
        <v>1348443</v>
      </c>
      <c r="I604" s="59" t="n">
        <v>1</v>
      </c>
      <c r="J604" s="59" t="inlineStr">
        <is>
          <t>AM</t>
        </is>
      </c>
      <c r="K604" s="126" t="n">
        <v>5344.86</v>
      </c>
    </row>
    <row r="605" ht="15" customHeight="1" s="60">
      <c r="A605" s="59" t="n">
        <v>1</v>
      </c>
      <c r="B605" s="59" t="n">
        <v>697</v>
      </c>
      <c r="C605" s="59" t="inlineStr">
        <is>
          <t>2</t>
        </is>
      </c>
      <c r="D605" s="59" t="inlineStr">
        <is>
          <t>35729236000148</t>
        </is>
      </c>
      <c r="E605" s="75" t="n">
        <v>46207</v>
      </c>
      <c r="F605" s="75" t="n">
        <v>46206</v>
      </c>
      <c r="G605" s="59" t="inlineStr">
        <is>
          <t>PANIFICADORA E CONFEITARIA REAL MADRI LTDA</t>
        </is>
      </c>
      <c r="H605" s="59" t="n">
        <v>1348846</v>
      </c>
      <c r="I605" s="59" t="n">
        <v>1</v>
      </c>
      <c r="J605" s="59" t="inlineStr">
        <is>
          <t>AM</t>
        </is>
      </c>
      <c r="K605" s="126" t="n">
        <v>849.2</v>
      </c>
    </row>
    <row r="606" ht="15" customHeight="1" s="60">
      <c r="A606" s="59" t="n">
        <v>1</v>
      </c>
      <c r="B606" s="59" t="n">
        <v>595147</v>
      </c>
      <c r="C606" s="59" t="inlineStr">
        <is>
          <t>6</t>
        </is>
      </c>
      <c r="D606" s="59" t="inlineStr">
        <is>
          <t>06990011000304</t>
        </is>
      </c>
      <c r="E606" s="75" t="n">
        <v>46207</v>
      </c>
      <c r="F606" s="75" t="n">
        <v>46204</v>
      </c>
      <c r="G606" s="59" t="inlineStr">
        <is>
          <t>REAL BEBIDAS DA AMAZONIA LTDA</t>
        </is>
      </c>
      <c r="H606" s="59" t="n">
        <v>1348502</v>
      </c>
      <c r="I606" s="59" t="n">
        <v>1</v>
      </c>
      <c r="J606" s="59" t="inlineStr">
        <is>
          <t>AM</t>
        </is>
      </c>
      <c r="K606" s="126" t="n">
        <v>900.5</v>
      </c>
    </row>
    <row r="607" ht="15" customHeight="1" s="60">
      <c r="A607" s="59" t="n">
        <v>1</v>
      </c>
      <c r="B607" s="59" t="n">
        <v>2506</v>
      </c>
      <c r="C607" s="59" t="inlineStr">
        <is>
          <t>1</t>
        </is>
      </c>
      <c r="D607" s="59" t="inlineStr">
        <is>
          <t>36480282000119</t>
        </is>
      </c>
      <c r="E607" s="75" t="n">
        <v>46207</v>
      </c>
      <c r="F607" s="75" t="n">
        <v>46207</v>
      </c>
      <c r="G607" s="59" t="inlineStr">
        <is>
          <t>RENATO DE O AZEVEDO E CIA LTDA - EPP</t>
        </is>
      </c>
      <c r="H607" s="59" t="n">
        <v>1348390</v>
      </c>
      <c r="I607" s="59" t="n">
        <v>2</v>
      </c>
      <c r="J607" s="59" t="inlineStr">
        <is>
          <t>AM</t>
        </is>
      </c>
      <c r="K607" s="126" t="n">
        <v>280</v>
      </c>
    </row>
    <row r="608" ht="15" customHeight="1" s="60">
      <c r="A608" s="59" t="n">
        <v>1</v>
      </c>
      <c r="B608" s="59" t="n">
        <v>5250</v>
      </c>
      <c r="C608" s="59" t="inlineStr">
        <is>
          <t>1</t>
        </is>
      </c>
      <c r="D608" s="59" t="inlineStr">
        <is>
          <t>36480282000119</t>
        </is>
      </c>
      <c r="E608" s="75" t="n">
        <v>46207</v>
      </c>
      <c r="F608" s="75" t="n">
        <v>46207</v>
      </c>
      <c r="G608" s="59" t="inlineStr">
        <is>
          <t>RENATO DE O AZEVEDO E CIA LTDA - EPP</t>
        </is>
      </c>
      <c r="H608" s="59" t="n">
        <v>1348399</v>
      </c>
      <c r="I608" s="59" t="n">
        <v>6</v>
      </c>
      <c r="J608" s="59" t="inlineStr">
        <is>
          <t>AM</t>
        </is>
      </c>
      <c r="K608" s="126" t="n">
        <v>280</v>
      </c>
    </row>
    <row r="609" ht="15" customHeight="1" s="60">
      <c r="A609" s="59" t="n">
        <v>1</v>
      </c>
      <c r="B609" s="59" t="n">
        <v>10235</v>
      </c>
      <c r="C609" s="59" t="inlineStr">
        <is>
          <t>2</t>
        </is>
      </c>
      <c r="D609" s="59" t="inlineStr">
        <is>
          <t>36296113000123</t>
        </is>
      </c>
      <c r="E609" s="75" t="n">
        <v>46207</v>
      </c>
      <c r="F609" s="75" t="n">
        <v>46205</v>
      </c>
      <c r="G609" s="59" t="inlineStr">
        <is>
          <t>VITAPAN COMERCIO VAREJISTA DE PRODUTOS ALIMENTICIOS LTDA</t>
        </is>
      </c>
      <c r="H609" s="59" t="n">
        <v>1348417</v>
      </c>
      <c r="I609" s="59" t="n">
        <v>1</v>
      </c>
      <c r="J609" s="59" t="inlineStr">
        <is>
          <t>AM</t>
        </is>
      </c>
      <c r="K609" s="126" t="n">
        <v>918</v>
      </c>
    </row>
    <row r="610" ht="15" customHeight="1" s="60">
      <c r="A610" s="59" t="n">
        <v>1</v>
      </c>
      <c r="B610" s="59" t="n">
        <v>3742</v>
      </c>
      <c r="C610" s="59" t="inlineStr">
        <is>
          <t>3</t>
        </is>
      </c>
      <c r="D610" s="59" t="inlineStr">
        <is>
          <t>37225449000168</t>
        </is>
      </c>
      <c r="E610" s="75" t="n">
        <v>46207</v>
      </c>
      <c r="F610" s="75" t="n">
        <v>46207</v>
      </c>
      <c r="G610" s="59" t="inlineStr">
        <is>
          <t>VOVO DIZA COMERCIO VAREJISTA DE HORTALICAS LTDA</t>
        </is>
      </c>
      <c r="H610" s="59" t="n">
        <v>1370367</v>
      </c>
      <c r="I610" s="59" t="n">
        <v>1</v>
      </c>
      <c r="J610" s="59" t="inlineStr">
        <is>
          <t>AM</t>
        </is>
      </c>
      <c r="K610" s="126" t="n">
        <v>88</v>
      </c>
    </row>
    <row r="611" ht="15" customHeight="1" s="60">
      <c r="A611" s="59" t="n">
        <v>1</v>
      </c>
      <c r="B611" s="59" t="n">
        <v>382</v>
      </c>
      <c r="C611" s="59" t="inlineStr">
        <is>
          <t>1</t>
        </is>
      </c>
      <c r="D611" s="59" t="inlineStr">
        <is>
          <t>06177766000637</t>
        </is>
      </c>
      <c r="E611" s="75" t="n">
        <v>46209</v>
      </c>
      <c r="F611" s="75" t="n">
        <v>46209</v>
      </c>
      <c r="G611" s="59" t="inlineStr">
        <is>
          <t>A M A DE LIMA INDUSTRIA E COMERCIO DE PRODUTOS ALIMENTICIOS LTDA</t>
        </is>
      </c>
      <c r="H611" s="59" t="n">
        <v>1361611</v>
      </c>
      <c r="I611" s="59" t="n">
        <v>1</v>
      </c>
      <c r="J611" s="59" t="inlineStr">
        <is>
          <t>AM</t>
        </is>
      </c>
      <c r="K611" s="126" t="n">
        <v>154.09</v>
      </c>
    </row>
    <row r="612" ht="15" customHeight="1" s="60">
      <c r="A612" s="59" t="n">
        <v>1</v>
      </c>
      <c r="B612" s="59" t="n">
        <v>11381</v>
      </c>
      <c r="C612" s="59" t="inlineStr">
        <is>
          <t>2</t>
        </is>
      </c>
      <c r="D612" s="59" t="inlineStr">
        <is>
          <t>40810324000100</t>
        </is>
      </c>
      <c r="E612" s="75" t="n">
        <v>46209</v>
      </c>
      <c r="F612" s="75" t="n">
        <v>46209</v>
      </c>
      <c r="G612" s="59" t="inlineStr">
        <is>
          <t>C. R. PARENTE ABREU</t>
        </is>
      </c>
      <c r="H612" s="59" t="n">
        <v>1360000</v>
      </c>
      <c r="I612" s="59" t="n">
        <v>1</v>
      </c>
      <c r="J612" s="59" t="inlineStr">
        <is>
          <t>AM</t>
        </is>
      </c>
      <c r="K612" s="126" t="n">
        <v>945.2</v>
      </c>
    </row>
    <row r="613" ht="15" customHeight="1" s="60">
      <c r="A613" s="59" t="n">
        <v>1</v>
      </c>
      <c r="B613" s="59" t="n">
        <v>172658</v>
      </c>
      <c r="C613" s="59" t="inlineStr">
        <is>
          <t>1</t>
        </is>
      </c>
      <c r="D613" s="59" t="inlineStr">
        <is>
          <t>10418161000153</t>
        </is>
      </c>
      <c r="E613" s="75" t="n">
        <v>46209</v>
      </c>
      <c r="F613" s="75" t="n">
        <v>46207</v>
      </c>
      <c r="G613" s="59" t="inlineStr">
        <is>
          <t>COMERCIO DE FRIOS MANAUS LTDA</t>
        </is>
      </c>
      <c r="H613" s="59" t="n">
        <v>1361249</v>
      </c>
      <c r="I613" s="59" t="n">
        <v>1</v>
      </c>
      <c r="J613" s="59" t="inlineStr">
        <is>
          <t>AM</t>
        </is>
      </c>
      <c r="K613" s="126" t="n">
        <v>5387.4</v>
      </c>
    </row>
    <row r="614" ht="15" customHeight="1" s="60">
      <c r="A614" s="59" t="n">
        <v>1</v>
      </c>
      <c r="B614" s="59" t="n">
        <v>707</v>
      </c>
      <c r="C614" s="59" t="inlineStr">
        <is>
          <t>1</t>
        </is>
      </c>
      <c r="D614" s="59" t="inlineStr">
        <is>
          <t>61963543000107</t>
        </is>
      </c>
      <c r="E614" s="75" t="n">
        <v>46209</v>
      </c>
      <c r="F614" s="75" t="n">
        <v>46208</v>
      </c>
      <c r="G614" s="59" t="inlineStr">
        <is>
          <t>E. SALES DO NASCIMENTO</t>
        </is>
      </c>
      <c r="H614" s="59" t="n">
        <v>1360452</v>
      </c>
      <c r="I614" s="59" t="n">
        <v>1</v>
      </c>
      <c r="J614" s="59" t="inlineStr">
        <is>
          <t>AM</t>
        </is>
      </c>
      <c r="K614" s="126" t="n">
        <v>1642.82</v>
      </c>
    </row>
    <row r="615" ht="15" customHeight="1" s="60">
      <c r="A615" s="59" t="n">
        <v>1</v>
      </c>
      <c r="B615" s="59" t="n">
        <v>346</v>
      </c>
      <c r="C615" s="59" t="inlineStr">
        <is>
          <t>2</t>
        </is>
      </c>
      <c r="D615" s="59" t="inlineStr">
        <is>
          <t>20380110000133</t>
        </is>
      </c>
      <c r="E615" s="75" t="n">
        <v>46209</v>
      </c>
      <c r="F615" s="75" t="n">
        <v>46209</v>
      </c>
      <c r="G615" s="59" t="inlineStr">
        <is>
          <t>GELO DANGELO FABRICACAO DE GELO LTDA</t>
        </is>
      </c>
      <c r="H615" s="59" t="n">
        <v>1370204</v>
      </c>
      <c r="I615" s="59" t="n">
        <v>1</v>
      </c>
      <c r="J615" s="59" t="inlineStr">
        <is>
          <t>AM</t>
        </is>
      </c>
      <c r="K615" s="126" t="n">
        <v>494</v>
      </c>
    </row>
    <row r="616" ht="15" customHeight="1" s="60">
      <c r="A616" s="59" t="n">
        <v>1</v>
      </c>
      <c r="B616" s="59" t="n">
        <v>1778370</v>
      </c>
      <c r="C616" s="59" t="inlineStr">
        <is>
          <t>0</t>
        </is>
      </c>
      <c r="D616" s="59" t="inlineStr">
        <is>
          <t>43214055001774</t>
        </is>
      </c>
      <c r="E616" s="75" t="n">
        <v>46209</v>
      </c>
      <c r="F616" s="75" t="n">
        <v>46203</v>
      </c>
      <c r="G616" s="59" t="inlineStr">
        <is>
          <t>MARTINS COM SERV DISTR SA</t>
        </is>
      </c>
      <c r="H616" s="59" t="n">
        <v>1360332</v>
      </c>
      <c r="I616" s="59" t="n">
        <v>11</v>
      </c>
      <c r="J616" s="59" t="inlineStr">
        <is>
          <t>AM</t>
        </is>
      </c>
      <c r="K616" s="126" t="n">
        <v>2465.97</v>
      </c>
    </row>
    <row r="617" ht="15" customHeight="1" s="60">
      <c r="A617" s="59" t="n">
        <v>1</v>
      </c>
      <c r="B617" s="59" t="n">
        <v>1778371</v>
      </c>
      <c r="C617" s="59" t="inlineStr">
        <is>
          <t>0</t>
        </is>
      </c>
      <c r="D617" s="59" t="inlineStr">
        <is>
          <t>43214055001774</t>
        </is>
      </c>
      <c r="E617" s="75" t="n">
        <v>46209</v>
      </c>
      <c r="F617" s="75" t="n">
        <v>46203</v>
      </c>
      <c r="G617" s="59" t="inlineStr">
        <is>
          <t>MARTINS COM SERV DISTR SA</t>
        </is>
      </c>
      <c r="H617" s="59" t="n">
        <v>1361048</v>
      </c>
      <c r="I617" s="59" t="n">
        <v>11</v>
      </c>
      <c r="J617" s="59" t="inlineStr">
        <is>
          <t>AM</t>
        </is>
      </c>
      <c r="K617" s="126" t="n">
        <v>7086.4</v>
      </c>
    </row>
    <row r="618" ht="15" customHeight="1" s="60">
      <c r="A618" s="59" t="n">
        <v>1</v>
      </c>
      <c r="B618" s="59" t="n">
        <v>1778372</v>
      </c>
      <c r="C618" s="59" t="inlineStr">
        <is>
          <t>0</t>
        </is>
      </c>
      <c r="D618" s="59" t="inlineStr">
        <is>
          <t>43214055001774</t>
        </is>
      </c>
      <c r="E618" s="75" t="n">
        <v>46209</v>
      </c>
      <c r="F618" s="75" t="n">
        <v>46203</v>
      </c>
      <c r="G618" s="59" t="inlineStr">
        <is>
          <t>MARTINS COM SERV DISTR SA</t>
        </is>
      </c>
      <c r="H618" s="59" t="n">
        <v>1361131</v>
      </c>
      <c r="I618" s="59" t="n">
        <v>11</v>
      </c>
      <c r="J618" s="59" t="inlineStr">
        <is>
          <t>AM</t>
        </is>
      </c>
      <c r="K618" s="126" t="n">
        <v>169.23</v>
      </c>
    </row>
    <row r="619" ht="15" customHeight="1" s="60">
      <c r="A619" s="59" t="n">
        <v>1</v>
      </c>
      <c r="B619" s="59" t="n">
        <v>14625</v>
      </c>
      <c r="C619" s="59" t="inlineStr">
        <is>
          <t>1</t>
        </is>
      </c>
      <c r="D619" s="59" t="inlineStr">
        <is>
          <t>03784729000194</t>
        </is>
      </c>
      <c r="E619" s="75" t="n">
        <v>46209</v>
      </c>
      <c r="F619" s="75" t="n">
        <v>46207</v>
      </c>
      <c r="G619" s="59" t="inlineStr">
        <is>
          <t>MAXFRI DISTRIUIDORA LTDA</t>
        </is>
      </c>
      <c r="H619" s="59" t="n">
        <v>1361386</v>
      </c>
      <c r="I619" s="59" t="n">
        <v>1</v>
      </c>
      <c r="J619" s="59" t="inlineStr">
        <is>
          <t>AM</t>
        </is>
      </c>
      <c r="K619" s="126" t="n">
        <v>5611.52</v>
      </c>
    </row>
    <row r="620" ht="15" customHeight="1" s="60">
      <c r="A620" s="59" t="n">
        <v>1</v>
      </c>
      <c r="B620" s="59" t="n">
        <v>1424401</v>
      </c>
      <c r="C620" s="59" t="inlineStr">
        <is>
          <t>1</t>
        </is>
      </c>
      <c r="D620" s="59" t="inlineStr">
        <is>
          <t>60409075045334</t>
        </is>
      </c>
      <c r="E620" s="75" t="n">
        <v>46209</v>
      </c>
      <c r="F620" s="75" t="n">
        <v>46206</v>
      </c>
      <c r="G620" s="59" t="inlineStr">
        <is>
          <t>NESTLÉ BRASIL LTDA.</t>
        </is>
      </c>
      <c r="H620" s="59" t="n">
        <v>1360393</v>
      </c>
      <c r="I620" s="59" t="n">
        <v>1</v>
      </c>
      <c r="J620" s="59" t="inlineStr">
        <is>
          <t>AM</t>
        </is>
      </c>
      <c r="K620" s="126" t="n">
        <v>2632.92</v>
      </c>
    </row>
    <row r="621" ht="15" customHeight="1" s="60">
      <c r="A621" s="59" t="n">
        <v>1</v>
      </c>
      <c r="B621" s="59" t="n">
        <v>107</v>
      </c>
      <c r="C621" s="59" t="inlineStr">
        <is>
          <t>1</t>
        </is>
      </c>
      <c r="D621" s="59" t="inlineStr">
        <is>
          <t>36480282000119</t>
        </is>
      </c>
      <c r="E621" s="75" t="n">
        <v>46209</v>
      </c>
      <c r="F621" s="75" t="n">
        <v>46209</v>
      </c>
      <c r="G621" s="59" t="inlineStr">
        <is>
          <t>RENATO DE O AZEVEDO E CIA LTDA - EPP</t>
        </is>
      </c>
      <c r="H621" s="59" t="n">
        <v>1362027</v>
      </c>
      <c r="I621" s="59" t="n">
        <v>2</v>
      </c>
      <c r="J621" s="59" t="inlineStr">
        <is>
          <t>AM</t>
        </is>
      </c>
      <c r="K621" s="126" t="n">
        <v>350</v>
      </c>
    </row>
    <row r="622" ht="15" customHeight="1" s="60">
      <c r="A622" s="59" t="n">
        <v>1</v>
      </c>
      <c r="B622" s="59" t="n">
        <v>207</v>
      </c>
      <c r="C622" s="59" t="inlineStr">
        <is>
          <t>1</t>
        </is>
      </c>
      <c r="D622" s="59" t="inlineStr">
        <is>
          <t>36480282000119</t>
        </is>
      </c>
      <c r="E622" s="75" t="n">
        <v>46209</v>
      </c>
      <c r="F622" s="75" t="n">
        <v>46209</v>
      </c>
      <c r="G622" s="59" t="inlineStr">
        <is>
          <t>RENATO DE O AZEVEDO E CIA LTDA - EPP</t>
        </is>
      </c>
      <c r="H622" s="59" t="n">
        <v>1362180</v>
      </c>
      <c r="I622" s="59" t="n">
        <v>2</v>
      </c>
      <c r="J622" s="59" t="inlineStr">
        <is>
          <t>AM</t>
        </is>
      </c>
      <c r="K622" s="126" t="n">
        <v>280</v>
      </c>
    </row>
    <row r="623" ht="15" customHeight="1" s="60">
      <c r="A623" s="59" t="n">
        <v>1</v>
      </c>
      <c r="B623" s="59" t="n">
        <v>307</v>
      </c>
      <c r="C623" s="59" t="inlineStr">
        <is>
          <t>1</t>
        </is>
      </c>
      <c r="D623" s="59" t="inlineStr">
        <is>
          <t>36480282000119</t>
        </is>
      </c>
      <c r="E623" s="75" t="n">
        <v>46209</v>
      </c>
      <c r="F623" s="75" t="n">
        <v>46209</v>
      </c>
      <c r="G623" s="59" t="inlineStr">
        <is>
          <t>RENATO DE O AZEVEDO E CIA LTDA - EPP</t>
        </is>
      </c>
      <c r="H623" s="59" t="n">
        <v>1362280</v>
      </c>
      <c r="I623" s="59" t="n">
        <v>2</v>
      </c>
      <c r="J623" s="59" t="inlineStr">
        <is>
          <t>AM</t>
        </is>
      </c>
      <c r="K623" s="126" t="n">
        <v>280</v>
      </c>
    </row>
    <row r="624" ht="15" customHeight="1" s="60">
      <c r="A624" s="59" t="n">
        <v>1</v>
      </c>
      <c r="B624" s="59" t="n">
        <v>1206</v>
      </c>
      <c r="C624" s="59" t="inlineStr">
        <is>
          <t>1</t>
        </is>
      </c>
      <c r="D624" s="59" t="inlineStr">
        <is>
          <t>36480282000119</t>
        </is>
      </c>
      <c r="E624" s="75" t="n">
        <v>46209</v>
      </c>
      <c r="F624" s="75" t="n">
        <v>46209</v>
      </c>
      <c r="G624" s="59" t="inlineStr">
        <is>
          <t>RENATO DE O AZEVEDO E CIA LTDA - EPP</t>
        </is>
      </c>
      <c r="H624" s="59" t="n">
        <v>1361133</v>
      </c>
      <c r="I624" s="59" t="n">
        <v>2</v>
      </c>
      <c r="J624" s="59" t="inlineStr">
        <is>
          <t>AM</t>
        </is>
      </c>
      <c r="K624" s="126" t="n">
        <v>260</v>
      </c>
    </row>
    <row r="625" ht="15" customHeight="1" s="60">
      <c r="A625" s="59" t="n">
        <v>1</v>
      </c>
      <c r="B625" s="59" t="n">
        <v>2706</v>
      </c>
      <c r="C625" s="59" t="inlineStr">
        <is>
          <t>1</t>
        </is>
      </c>
      <c r="D625" s="59" t="inlineStr">
        <is>
          <t>36480282000119</t>
        </is>
      </c>
      <c r="E625" s="75" t="n">
        <v>46209</v>
      </c>
      <c r="F625" s="75" t="n">
        <v>46209</v>
      </c>
      <c r="G625" s="59" t="inlineStr">
        <is>
          <t>RENATO DE O AZEVEDO E CIA LTDA - EPP</t>
        </is>
      </c>
      <c r="H625" s="59" t="n">
        <v>1361052</v>
      </c>
      <c r="I625" s="59" t="n">
        <v>2</v>
      </c>
      <c r="J625" s="59" t="inlineStr">
        <is>
          <t>AM</t>
        </is>
      </c>
      <c r="K625" s="126" t="n">
        <v>280</v>
      </c>
    </row>
    <row r="626" ht="15" customHeight="1" s="60">
      <c r="A626" s="59" t="n">
        <v>1</v>
      </c>
      <c r="B626" s="59" t="n">
        <v>2906</v>
      </c>
      <c r="C626" s="59" t="inlineStr">
        <is>
          <t>1</t>
        </is>
      </c>
      <c r="D626" s="59" t="inlineStr">
        <is>
          <t>36480282000119</t>
        </is>
      </c>
      <c r="E626" s="75" t="n">
        <v>46209</v>
      </c>
      <c r="F626" s="75" t="n">
        <v>46209</v>
      </c>
      <c r="G626" s="59" t="inlineStr">
        <is>
          <t>RENATO DE O AZEVEDO E CIA LTDA - EPP</t>
        </is>
      </c>
      <c r="H626" s="59" t="n">
        <v>1361011</v>
      </c>
      <c r="I626" s="59" t="n">
        <v>2</v>
      </c>
      <c r="J626" s="59" t="inlineStr">
        <is>
          <t>AM</t>
        </is>
      </c>
      <c r="K626" s="126" t="n">
        <v>350</v>
      </c>
    </row>
    <row r="627" ht="15" customHeight="1" s="60">
      <c r="A627" s="59" t="n">
        <v>1</v>
      </c>
      <c r="B627" s="59" t="n">
        <v>5251</v>
      </c>
      <c r="C627" s="59" t="inlineStr">
        <is>
          <t>1</t>
        </is>
      </c>
      <c r="D627" s="59" t="inlineStr">
        <is>
          <t>36480282000119</t>
        </is>
      </c>
      <c r="E627" s="75" t="n">
        <v>46209</v>
      </c>
      <c r="F627" s="75" t="n">
        <v>46209</v>
      </c>
      <c r="G627" s="59" t="inlineStr">
        <is>
          <t>RENATO DE O AZEVEDO E CIA LTDA - EPP</t>
        </is>
      </c>
      <c r="H627" s="59" t="n">
        <v>1360947</v>
      </c>
      <c r="I627" s="59" t="n">
        <v>6</v>
      </c>
      <c r="J627" s="59" t="inlineStr">
        <is>
          <t>AM</t>
        </is>
      </c>
      <c r="K627" s="126" t="n">
        <v>280</v>
      </c>
    </row>
    <row r="628" ht="15" customHeight="1" s="60">
      <c r="A628" s="59" t="n">
        <v>1</v>
      </c>
      <c r="B628" s="59" t="n">
        <v>5252</v>
      </c>
      <c r="C628" s="59" t="inlineStr">
        <is>
          <t>1</t>
        </is>
      </c>
      <c r="D628" s="59" t="inlineStr">
        <is>
          <t>36480282000119</t>
        </is>
      </c>
      <c r="E628" s="75" t="n">
        <v>46209</v>
      </c>
      <c r="F628" s="75" t="n">
        <v>46209</v>
      </c>
      <c r="G628" s="59" t="inlineStr">
        <is>
          <t>RENATO DE O AZEVEDO E CIA LTDA - EPP</t>
        </is>
      </c>
      <c r="H628" s="59" t="n">
        <v>1361016</v>
      </c>
      <c r="I628" s="59" t="n">
        <v>6</v>
      </c>
      <c r="J628" s="59" t="inlineStr">
        <is>
          <t>AM</t>
        </is>
      </c>
      <c r="K628" s="126" t="n">
        <v>350</v>
      </c>
    </row>
    <row r="629" ht="15" customHeight="1" s="60">
      <c r="A629" s="59" t="n">
        <v>1</v>
      </c>
      <c r="B629" s="59" t="n">
        <v>5253</v>
      </c>
      <c r="C629" s="59" t="inlineStr">
        <is>
          <t>1</t>
        </is>
      </c>
      <c r="D629" s="59" t="inlineStr">
        <is>
          <t>36480282000119</t>
        </is>
      </c>
      <c r="E629" s="75" t="n">
        <v>46209</v>
      </c>
      <c r="F629" s="75" t="n">
        <v>46209</v>
      </c>
      <c r="G629" s="59" t="inlineStr">
        <is>
          <t>RENATO DE O AZEVEDO E CIA LTDA - EPP</t>
        </is>
      </c>
      <c r="H629" s="59" t="n">
        <v>1361059</v>
      </c>
      <c r="I629" s="59" t="n">
        <v>6</v>
      </c>
      <c r="J629" s="59" t="inlineStr">
        <is>
          <t>AM</t>
        </is>
      </c>
      <c r="K629" s="126" t="n">
        <v>280</v>
      </c>
    </row>
    <row r="630" ht="15" customHeight="1" s="60">
      <c r="A630" s="59" t="n">
        <v>1</v>
      </c>
      <c r="B630" s="59" t="n">
        <v>5254</v>
      </c>
      <c r="C630" s="59" t="inlineStr">
        <is>
          <t>1</t>
        </is>
      </c>
      <c r="D630" s="59" t="inlineStr">
        <is>
          <t>36480282000119</t>
        </is>
      </c>
      <c r="E630" s="75" t="n">
        <v>46209</v>
      </c>
      <c r="F630" s="75" t="n">
        <v>46209</v>
      </c>
      <c r="G630" s="59" t="inlineStr">
        <is>
          <t>RENATO DE O AZEVEDO E CIA LTDA - EPP</t>
        </is>
      </c>
      <c r="H630" s="59" t="n">
        <v>1361148</v>
      </c>
      <c r="I630" s="59" t="n">
        <v>6</v>
      </c>
      <c r="J630" s="59" t="inlineStr">
        <is>
          <t>AM</t>
        </is>
      </c>
      <c r="K630" s="126" t="n">
        <v>260</v>
      </c>
    </row>
    <row r="631" ht="15" customHeight="1" s="60">
      <c r="A631" s="59" t="n">
        <v>1</v>
      </c>
      <c r="B631" s="59" t="n">
        <v>5255</v>
      </c>
      <c r="C631" s="59" t="inlineStr">
        <is>
          <t>1</t>
        </is>
      </c>
      <c r="D631" s="59" t="inlineStr">
        <is>
          <t>36480282000119</t>
        </is>
      </c>
      <c r="E631" s="75" t="n">
        <v>46209</v>
      </c>
      <c r="F631" s="75" t="n">
        <v>46209</v>
      </c>
      <c r="G631" s="59" t="inlineStr">
        <is>
          <t>RENATO DE O AZEVEDO E CIA LTDA - EPP</t>
        </is>
      </c>
      <c r="H631" s="59" t="n">
        <v>1361223</v>
      </c>
      <c r="I631" s="59" t="n">
        <v>6</v>
      </c>
      <c r="J631" s="59" t="inlineStr">
        <is>
          <t>AM</t>
        </is>
      </c>
      <c r="K631" s="126" t="n">
        <v>280</v>
      </c>
    </row>
    <row r="632" ht="15" customHeight="1" s="60">
      <c r="A632" s="59" t="n">
        <v>1</v>
      </c>
      <c r="B632" s="59" t="n">
        <v>5260</v>
      </c>
      <c r="C632" s="59" t="inlineStr">
        <is>
          <t>1</t>
        </is>
      </c>
      <c r="D632" s="59" t="inlineStr">
        <is>
          <t>36480282000119</t>
        </is>
      </c>
      <c r="E632" s="75" t="n">
        <v>46209</v>
      </c>
      <c r="F632" s="75" t="n">
        <v>46209</v>
      </c>
      <c r="G632" s="59" t="inlineStr">
        <is>
          <t>RENATO DE O AZEVEDO E CIA LTDA - EPP</t>
        </is>
      </c>
      <c r="H632" s="59" t="n">
        <v>1362077</v>
      </c>
      <c r="I632" s="59" t="n">
        <v>6</v>
      </c>
      <c r="J632" s="59" t="inlineStr">
        <is>
          <t>AM</t>
        </is>
      </c>
      <c r="K632" s="126" t="n">
        <v>350</v>
      </c>
    </row>
    <row r="633" ht="15" customHeight="1" s="60">
      <c r="A633" s="59" t="n">
        <v>1</v>
      </c>
      <c r="B633" s="59" t="n">
        <v>5261</v>
      </c>
      <c r="C633" s="59" t="inlineStr">
        <is>
          <t>1</t>
        </is>
      </c>
      <c r="D633" s="59" t="inlineStr">
        <is>
          <t>36480282000119</t>
        </is>
      </c>
      <c r="E633" s="75" t="n">
        <v>46209</v>
      </c>
      <c r="F633" s="75" t="n">
        <v>46209</v>
      </c>
      <c r="G633" s="59" t="inlineStr">
        <is>
          <t>RENATO DE O AZEVEDO E CIA LTDA - EPP</t>
        </is>
      </c>
      <c r="H633" s="59" t="n">
        <v>1362193</v>
      </c>
      <c r="I633" s="59" t="n">
        <v>6</v>
      </c>
      <c r="J633" s="59" t="inlineStr">
        <is>
          <t>AM</t>
        </is>
      </c>
      <c r="K633" s="126" t="n">
        <v>280</v>
      </c>
    </row>
    <row r="634" ht="15" customHeight="1" s="60">
      <c r="A634" s="59" t="n">
        <v>1</v>
      </c>
      <c r="B634" s="59" t="n">
        <v>5262</v>
      </c>
      <c r="C634" s="59" t="inlineStr">
        <is>
          <t>1</t>
        </is>
      </c>
      <c r="D634" s="59" t="inlineStr">
        <is>
          <t>36480282000119</t>
        </is>
      </c>
      <c r="E634" s="75" t="n">
        <v>46209</v>
      </c>
      <c r="F634" s="75" t="n">
        <v>46209</v>
      </c>
      <c r="G634" s="59" t="inlineStr">
        <is>
          <t>RENATO DE O AZEVEDO E CIA LTDA - EPP</t>
        </is>
      </c>
      <c r="H634" s="59" t="n">
        <v>1362292</v>
      </c>
      <c r="I634" s="59" t="n">
        <v>6</v>
      </c>
      <c r="J634" s="59" t="inlineStr">
        <is>
          <t>AM</t>
        </is>
      </c>
      <c r="K634" s="126" t="n">
        <v>280</v>
      </c>
    </row>
    <row r="635" ht="15" customHeight="1" s="60">
      <c r="A635" s="59" t="n">
        <v>1</v>
      </c>
      <c r="B635" s="59" t="n">
        <v>26061</v>
      </c>
      <c r="C635" s="59" t="inlineStr">
        <is>
          <t>1</t>
        </is>
      </c>
      <c r="D635" s="59" t="inlineStr">
        <is>
          <t>36480282000119</t>
        </is>
      </c>
      <c r="E635" s="75" t="n">
        <v>46209</v>
      </c>
      <c r="F635" s="75" t="n">
        <v>46209</v>
      </c>
      <c r="G635" s="59" t="inlineStr">
        <is>
          <t>RENATO DE O AZEVEDO E CIA LTDA - EPP</t>
        </is>
      </c>
      <c r="H635" s="59" t="n">
        <v>1360940</v>
      </c>
      <c r="I635" s="59" t="n">
        <v>2</v>
      </c>
      <c r="J635" s="59" t="inlineStr">
        <is>
          <t>AM</t>
        </is>
      </c>
      <c r="K635" s="126" t="n">
        <v>280</v>
      </c>
    </row>
    <row r="636" ht="15" customHeight="1" s="60">
      <c r="A636" s="59" t="n">
        <v>1</v>
      </c>
      <c r="B636" s="59" t="n">
        <v>15107</v>
      </c>
      <c r="C636" s="59" t="inlineStr">
        <is>
          <t>1</t>
        </is>
      </c>
      <c r="D636" s="59" t="inlineStr">
        <is>
          <t>01215382000133</t>
        </is>
      </c>
      <c r="E636" s="75" t="n">
        <v>46209</v>
      </c>
      <c r="F636" s="75" t="n">
        <v>46209</v>
      </c>
      <c r="G636" s="59" t="inlineStr">
        <is>
          <t>T. M. L. DA SILVA LTDA</t>
        </is>
      </c>
      <c r="H636" s="59" t="n">
        <v>1362011</v>
      </c>
      <c r="I636" s="59" t="n">
        <v>1</v>
      </c>
      <c r="J636" s="59" t="inlineStr">
        <is>
          <t>AM</t>
        </is>
      </c>
      <c r="K636" s="126" t="n">
        <v>627</v>
      </c>
    </row>
    <row r="637" ht="15" customHeight="1" s="60">
      <c r="A637" s="59" t="n">
        <v>1</v>
      </c>
      <c r="B637" s="59" t="n">
        <v>1847</v>
      </c>
      <c r="C637" s="59" t="inlineStr">
        <is>
          <t>1</t>
        </is>
      </c>
      <c r="D637" s="59" t="inlineStr">
        <is>
          <t>07363051000208</t>
        </is>
      </c>
      <c r="E637" s="75" t="n">
        <v>46210</v>
      </c>
      <c r="F637" s="75" t="n">
        <v>46193</v>
      </c>
      <c r="G637" s="59" t="inlineStr">
        <is>
          <t>A. CORREA JUNIOR</t>
        </is>
      </c>
      <c r="H637" s="59" t="n">
        <v>1364635</v>
      </c>
      <c r="I637" s="59" t="n">
        <v>11</v>
      </c>
      <c r="J637" s="59" t="inlineStr">
        <is>
          <t>AM</t>
        </is>
      </c>
      <c r="K637" s="126" t="n">
        <v>2462</v>
      </c>
    </row>
    <row r="638" ht="15" customHeight="1" s="60">
      <c r="A638" s="59" t="n">
        <v>1</v>
      </c>
      <c r="B638" s="59" t="n">
        <v>264</v>
      </c>
      <c r="C638" s="59" t="inlineStr">
        <is>
          <t>1</t>
        </is>
      </c>
      <c r="D638" s="59" t="inlineStr">
        <is>
          <t>28391938000107</t>
        </is>
      </c>
      <c r="E638" s="75" t="n">
        <v>46210</v>
      </c>
      <c r="F638" s="75" t="n">
        <v>46206</v>
      </c>
      <c r="G638" s="59" t="inlineStr">
        <is>
          <t>ALEXSANDRO BEZERRA DA SILVA</t>
        </is>
      </c>
      <c r="H638" s="59" t="n">
        <v>1366201</v>
      </c>
      <c r="I638" s="59" t="n">
        <v>1</v>
      </c>
      <c r="J638" s="59" t="inlineStr">
        <is>
          <t>AM</t>
        </is>
      </c>
      <c r="K638" s="126" t="n">
        <v>5624.37</v>
      </c>
    </row>
    <row r="639" ht="15" customHeight="1" s="60">
      <c r="A639" s="59" t="n">
        <v>1</v>
      </c>
      <c r="B639" s="59" t="n">
        <v>1030665</v>
      </c>
      <c r="C639" s="59" t="inlineStr">
        <is>
          <t>1</t>
        </is>
      </c>
      <c r="D639" s="59" t="inlineStr">
        <is>
          <t>34579060000122</t>
        </is>
      </c>
      <c r="E639" s="75" t="n">
        <v>46210</v>
      </c>
      <c r="F639" s="75" t="n">
        <v>46209</v>
      </c>
      <c r="G639" s="59" t="inlineStr">
        <is>
          <t>BROTHERS  INDUSTRIA DE ALIMENTOS LTDA</t>
        </is>
      </c>
      <c r="H639" s="59" t="n">
        <v>1366342</v>
      </c>
      <c r="I639" s="59" t="n">
        <v>1</v>
      </c>
      <c r="J639" s="59" t="inlineStr">
        <is>
          <t>AM</t>
        </is>
      </c>
      <c r="K639" s="126" t="n">
        <v>509.45</v>
      </c>
    </row>
    <row r="640" ht="15" customHeight="1" s="60">
      <c r="A640" s="59" t="n">
        <v>1</v>
      </c>
      <c r="B640" s="59" t="n">
        <v>14811</v>
      </c>
      <c r="C640" s="59" t="inlineStr">
        <is>
          <t>1</t>
        </is>
      </c>
      <c r="D640" s="59" t="inlineStr">
        <is>
          <t>09531992000158</t>
        </is>
      </c>
      <c r="E640" s="75" t="n">
        <v>46210</v>
      </c>
      <c r="F640" s="75" t="n">
        <v>46210</v>
      </c>
      <c r="G640" s="59" t="inlineStr">
        <is>
          <t>COMERCIO E TRANSPORTE BRANDAO LTDA</t>
        </is>
      </c>
      <c r="H640" s="59" t="n">
        <v>1365980</v>
      </c>
      <c r="I640" s="59" t="n">
        <v>1</v>
      </c>
      <c r="J640" s="59" t="inlineStr">
        <is>
          <t>AM</t>
        </is>
      </c>
      <c r="K640" s="126" t="n">
        <v>1250</v>
      </c>
    </row>
    <row r="641" ht="15" customHeight="1" s="60">
      <c r="A641" s="59" t="n">
        <v>1</v>
      </c>
      <c r="B641" s="59" t="n">
        <v>1686926</v>
      </c>
      <c r="C641" s="59" t="inlineStr">
        <is>
          <t>1</t>
        </is>
      </c>
      <c r="D641" s="59" t="inlineStr">
        <is>
          <t>02796653000154</t>
        </is>
      </c>
      <c r="E641" s="75" t="n">
        <v>46210</v>
      </c>
      <c r="F641" s="75" t="n">
        <v>46207</v>
      </c>
      <c r="G641" s="59" t="inlineStr">
        <is>
          <t>DISTRIBUIDORA LOPES LTDA</t>
        </is>
      </c>
      <c r="H641" s="59" t="n">
        <v>1366288</v>
      </c>
      <c r="I641" s="59" t="n">
        <v>1</v>
      </c>
      <c r="J641" s="59" t="inlineStr">
        <is>
          <t>AM</t>
        </is>
      </c>
      <c r="K641" s="126" t="n">
        <v>2652.75</v>
      </c>
    </row>
    <row r="642" ht="15" customHeight="1" s="60">
      <c r="A642" s="59" t="n">
        <v>1</v>
      </c>
      <c r="B642" s="59" t="n">
        <v>3502</v>
      </c>
      <c r="C642" s="59" t="inlineStr">
        <is>
          <t>1</t>
        </is>
      </c>
      <c r="D642" s="59" t="inlineStr">
        <is>
          <t>59566132000128</t>
        </is>
      </c>
      <c r="E642" s="75" t="n">
        <v>46210</v>
      </c>
      <c r="F642" s="75" t="n">
        <v>46210</v>
      </c>
      <c r="G642" s="59" t="inlineStr">
        <is>
          <t>JAB COMERCIO DE PRODUTOS ALIMENTICIOS LT</t>
        </is>
      </c>
      <c r="H642" s="59" t="n">
        <v>1366370</v>
      </c>
      <c r="I642" s="59" t="n">
        <v>1</v>
      </c>
      <c r="J642" s="59" t="inlineStr">
        <is>
          <t>AM</t>
        </is>
      </c>
      <c r="K642" s="126" t="n">
        <v>353</v>
      </c>
    </row>
    <row r="643" ht="15" customHeight="1" s="60">
      <c r="A643" s="59" t="n">
        <v>1</v>
      </c>
      <c r="B643" s="59" t="n">
        <v>34608</v>
      </c>
      <c r="C643" s="59" t="inlineStr">
        <is>
          <t>1</t>
        </is>
      </c>
      <c r="D643" s="59" t="inlineStr">
        <is>
          <t>52309068000150</t>
        </is>
      </c>
      <c r="E643" s="75" t="n">
        <v>46210</v>
      </c>
      <c r="F643" s="75" t="n">
        <v>46206</v>
      </c>
      <c r="G643" s="59" t="inlineStr">
        <is>
          <t>L. J. DA SILVA LTDA</t>
        </is>
      </c>
      <c r="H643" s="59" t="n">
        <v>1440523</v>
      </c>
      <c r="I643" s="59" t="n">
        <v>11</v>
      </c>
      <c r="J643" s="59" t="inlineStr">
        <is>
          <t>AM</t>
        </is>
      </c>
      <c r="K643" s="126" t="n">
        <v>5671.94</v>
      </c>
    </row>
    <row r="644" ht="15" customHeight="1" s="60">
      <c r="A644" s="59" t="n">
        <v>1</v>
      </c>
      <c r="B644" s="59" t="n">
        <v>14636</v>
      </c>
      <c r="C644" s="59" t="inlineStr">
        <is>
          <t>1</t>
        </is>
      </c>
      <c r="D644" s="59" t="inlineStr">
        <is>
          <t>03784729000194</t>
        </is>
      </c>
      <c r="E644" s="75" t="n">
        <v>46210</v>
      </c>
      <c r="F644" s="75" t="n">
        <v>46209</v>
      </c>
      <c r="G644" s="59" t="inlineStr">
        <is>
          <t>MAXFRI DISTRIUIDORA LTDA</t>
        </is>
      </c>
      <c r="H644" s="59" t="n">
        <v>1364552</v>
      </c>
      <c r="I644" s="59" t="n">
        <v>1</v>
      </c>
      <c r="J644" s="59" t="inlineStr">
        <is>
          <t>AM</t>
        </is>
      </c>
      <c r="K644" s="126" t="n">
        <v>1767.88</v>
      </c>
    </row>
    <row r="645" ht="15" customHeight="1" s="60">
      <c r="A645" s="59" t="n">
        <v>1</v>
      </c>
      <c r="B645" s="59" t="n">
        <v>14643</v>
      </c>
      <c r="C645" s="59" t="inlineStr">
        <is>
          <t>1</t>
        </is>
      </c>
      <c r="D645" s="59" t="inlineStr">
        <is>
          <t>03784729000194</t>
        </is>
      </c>
      <c r="E645" s="75" t="n">
        <v>46210</v>
      </c>
      <c r="F645" s="75" t="n">
        <v>46210</v>
      </c>
      <c r="G645" s="59" t="inlineStr">
        <is>
          <t>MAXFRI DISTRIUIDORA LTDA</t>
        </is>
      </c>
      <c r="H645" s="59" t="n">
        <v>1365606</v>
      </c>
      <c r="I645" s="59" t="n">
        <v>1</v>
      </c>
      <c r="J645" s="59" t="inlineStr">
        <is>
          <t>AM</t>
        </is>
      </c>
      <c r="K645" s="126" t="n">
        <v>1595.65</v>
      </c>
    </row>
    <row r="646" ht="15" customHeight="1" s="60">
      <c r="A646" s="59" t="n">
        <v>1</v>
      </c>
      <c r="B646" s="59" t="n">
        <v>7876</v>
      </c>
      <c r="C646" s="59" t="inlineStr">
        <is>
          <t>1</t>
        </is>
      </c>
      <c r="D646" s="59" t="inlineStr">
        <is>
          <t>40567884000185</t>
        </is>
      </c>
      <c r="E646" s="75" t="n">
        <v>46210</v>
      </c>
      <c r="F646" s="75" t="n">
        <v>46209</v>
      </c>
      <c r="G646" s="59" t="inlineStr">
        <is>
          <t>NSB COMERCIO ATACADISTA E VAREJISTA DE P</t>
        </is>
      </c>
      <c r="H646" s="59" t="n">
        <v>1366430</v>
      </c>
      <c r="I646" s="59" t="n">
        <v>1</v>
      </c>
      <c r="J646" s="59" t="inlineStr">
        <is>
          <t>AM</t>
        </is>
      </c>
      <c r="K646" s="126" t="n">
        <v>863.4</v>
      </c>
    </row>
    <row r="647" ht="15" customHeight="1" s="60">
      <c r="A647" s="59" t="n">
        <v>1</v>
      </c>
      <c r="B647" s="59" t="n">
        <v>40389</v>
      </c>
      <c r="C647" s="59" t="inlineStr">
        <is>
          <t>5</t>
        </is>
      </c>
      <c r="D647" s="59" t="inlineStr">
        <is>
          <t>03439223000148</t>
        </is>
      </c>
      <c r="E647" s="75" t="n">
        <v>46210</v>
      </c>
      <c r="F647" s="75" t="n">
        <v>46209</v>
      </c>
      <c r="G647" s="59" t="inlineStr">
        <is>
          <t>NT INDUSTRIA E COMERCIO DE PANIFICACAO L</t>
        </is>
      </c>
      <c r="H647" s="59" t="n">
        <v>1366284</v>
      </c>
      <c r="I647" s="59" t="n">
        <v>1</v>
      </c>
      <c r="J647" s="59" t="inlineStr">
        <is>
          <t>AM</t>
        </is>
      </c>
      <c r="K647" s="126" t="n">
        <v>2754.99</v>
      </c>
    </row>
    <row r="648" ht="15" customHeight="1" s="60">
      <c r="A648" s="59" t="n">
        <v>1</v>
      </c>
      <c r="B648" s="59" t="n">
        <v>699</v>
      </c>
      <c r="C648" s="59" t="inlineStr">
        <is>
          <t>2</t>
        </is>
      </c>
      <c r="D648" s="59" t="inlineStr">
        <is>
          <t>35729236000148</t>
        </is>
      </c>
      <c r="E648" s="75" t="n">
        <v>46210</v>
      </c>
      <c r="F648" s="75" t="n">
        <v>46209</v>
      </c>
      <c r="G648" s="59" t="inlineStr">
        <is>
          <t>PANIFICADORA E CONFEITARIA REAL MADRI LTDA</t>
        </is>
      </c>
      <c r="H648" s="59" t="n">
        <v>1364147</v>
      </c>
      <c r="I648" s="59" t="n">
        <v>1</v>
      </c>
      <c r="J648" s="59" t="inlineStr">
        <is>
          <t>AM</t>
        </is>
      </c>
      <c r="K648" s="126" t="n">
        <v>284.7</v>
      </c>
    </row>
    <row r="649" ht="15" customHeight="1" s="60">
      <c r="A649" s="59" t="n">
        <v>1</v>
      </c>
      <c r="B649" s="59" t="n">
        <v>700</v>
      </c>
      <c r="C649" s="59" t="inlineStr">
        <is>
          <t>2</t>
        </is>
      </c>
      <c r="D649" s="59" t="inlineStr">
        <is>
          <t>35729236000148</t>
        </is>
      </c>
      <c r="E649" s="75" t="n">
        <v>46210</v>
      </c>
      <c r="F649" s="75" t="n">
        <v>46209</v>
      </c>
      <c r="G649" s="59" t="inlineStr">
        <is>
          <t>PANIFICADORA E CONFEITARIA REAL MADRI LTDA</t>
        </is>
      </c>
      <c r="H649" s="59" t="n">
        <v>1364144</v>
      </c>
      <c r="I649" s="59" t="n">
        <v>1</v>
      </c>
      <c r="J649" s="59" t="inlineStr">
        <is>
          <t>AM</t>
        </is>
      </c>
      <c r="K649" s="126" t="n">
        <v>700</v>
      </c>
    </row>
    <row r="650" ht="15" customHeight="1" s="60">
      <c r="A650" s="59" t="n">
        <v>1</v>
      </c>
      <c r="B650" s="59" t="n">
        <v>3003</v>
      </c>
      <c r="C650" s="59" t="inlineStr">
        <is>
          <t>1</t>
        </is>
      </c>
      <c r="D650" s="59" t="inlineStr">
        <is>
          <t>01516878000147</t>
        </is>
      </c>
      <c r="E650" s="75" t="n">
        <v>46210</v>
      </c>
      <c r="F650" s="75" t="n">
        <v>46207</v>
      </c>
      <c r="G650" s="59" t="inlineStr">
        <is>
          <t>PRIMICIA DISTRIBUIDORA DE FRIOS LTDA</t>
        </is>
      </c>
      <c r="H650" s="59" t="n">
        <v>1364155</v>
      </c>
      <c r="I650" s="59" t="n">
        <v>1</v>
      </c>
      <c r="J650" s="59" t="inlineStr">
        <is>
          <t>AM</t>
        </is>
      </c>
      <c r="K650" s="126" t="n">
        <v>1328.5</v>
      </c>
    </row>
    <row r="651" ht="15" customHeight="1" s="60">
      <c r="A651" s="59" t="n">
        <v>1</v>
      </c>
      <c r="B651" s="59" t="n">
        <v>407</v>
      </c>
      <c r="C651" s="59" t="inlineStr">
        <is>
          <t>1</t>
        </is>
      </c>
      <c r="D651" s="59" t="inlineStr">
        <is>
          <t>36480282000119</t>
        </is>
      </c>
      <c r="E651" s="75" t="n">
        <v>46210</v>
      </c>
      <c r="F651" s="75" t="n">
        <v>46210</v>
      </c>
      <c r="G651" s="59" t="inlineStr">
        <is>
          <t>RENATO DE O AZEVEDO E CIA LTDA - EPP</t>
        </is>
      </c>
      <c r="H651" s="59" t="n">
        <v>1364550</v>
      </c>
      <c r="I651" s="59" t="n">
        <v>2</v>
      </c>
      <c r="J651" s="59" t="inlineStr">
        <is>
          <t>AM</t>
        </is>
      </c>
      <c r="K651" s="126" t="n">
        <v>420</v>
      </c>
    </row>
    <row r="652" ht="15" customHeight="1" s="60">
      <c r="A652" s="59" t="n">
        <v>1</v>
      </c>
      <c r="B652" s="59" t="n">
        <v>607</v>
      </c>
      <c r="C652" s="59" t="inlineStr">
        <is>
          <t>1</t>
        </is>
      </c>
      <c r="D652" s="59" t="inlineStr">
        <is>
          <t>36480282000119</t>
        </is>
      </c>
      <c r="E652" s="75" t="n">
        <v>46210</v>
      </c>
      <c r="F652" s="75" t="n">
        <v>46210</v>
      </c>
      <c r="G652" s="59" t="inlineStr">
        <is>
          <t>RENATO DE O AZEVEDO E CIA LTDA - EPP</t>
        </is>
      </c>
      <c r="H652" s="59" t="n">
        <v>1364628</v>
      </c>
      <c r="I652" s="59" t="n">
        <v>2</v>
      </c>
      <c r="J652" s="59" t="inlineStr">
        <is>
          <t>AM</t>
        </is>
      </c>
      <c r="K652" s="126" t="n">
        <v>280</v>
      </c>
    </row>
    <row r="653" ht="15" customHeight="1" s="60">
      <c r="A653" s="59" t="n">
        <v>1</v>
      </c>
      <c r="B653" s="59" t="n">
        <v>707</v>
      </c>
      <c r="C653" s="59" t="inlineStr">
        <is>
          <t>1</t>
        </is>
      </c>
      <c r="D653" s="59" t="inlineStr">
        <is>
          <t>36480282000119</t>
        </is>
      </c>
      <c r="E653" s="75" t="n">
        <v>46210</v>
      </c>
      <c r="F653" s="75" t="n">
        <v>46210</v>
      </c>
      <c r="G653" s="59" t="inlineStr">
        <is>
          <t>RENATO DE O AZEVEDO E CIA LTDA - EPP</t>
        </is>
      </c>
      <c r="H653" s="59" t="n">
        <v>1365592</v>
      </c>
      <c r="I653" s="59" t="n">
        <v>2</v>
      </c>
      <c r="J653" s="59" t="inlineStr">
        <is>
          <t>AM</t>
        </is>
      </c>
      <c r="K653" s="126" t="n">
        <v>2171.29</v>
      </c>
    </row>
    <row r="654" ht="15" customHeight="1" s="60">
      <c r="A654" s="59" t="n">
        <v>1</v>
      </c>
      <c r="B654" s="59" t="n">
        <v>5263</v>
      </c>
      <c r="C654" s="59" t="inlineStr">
        <is>
          <t>1</t>
        </is>
      </c>
      <c r="D654" s="59" t="inlineStr">
        <is>
          <t>36480282000119</t>
        </is>
      </c>
      <c r="E654" s="75" t="n">
        <v>46210</v>
      </c>
      <c r="F654" s="75" t="n">
        <v>46210</v>
      </c>
      <c r="G654" s="59" t="inlineStr">
        <is>
          <t>RENATO DE O AZEVEDO E CIA LTDA - EPP</t>
        </is>
      </c>
      <c r="H654" s="59" t="n">
        <v>1364558</v>
      </c>
      <c r="I654" s="59" t="n">
        <v>6</v>
      </c>
      <c r="J654" s="59" t="inlineStr">
        <is>
          <t>AM</t>
        </is>
      </c>
      <c r="K654" s="126" t="n">
        <v>420</v>
      </c>
    </row>
    <row r="655" ht="15" customHeight="1" s="60">
      <c r="A655" s="59" t="n">
        <v>1</v>
      </c>
      <c r="B655" s="59" t="n">
        <v>5266</v>
      </c>
      <c r="C655" s="59" t="inlineStr">
        <is>
          <t>1</t>
        </is>
      </c>
      <c r="D655" s="59" t="inlineStr">
        <is>
          <t>36480282000119</t>
        </is>
      </c>
      <c r="E655" s="75" t="n">
        <v>46210</v>
      </c>
      <c r="F655" s="75" t="n">
        <v>46210</v>
      </c>
      <c r="G655" s="59" t="inlineStr">
        <is>
          <t>RENATO DE O AZEVEDO E CIA LTDA - EPP</t>
        </is>
      </c>
      <c r="H655" s="59" t="n">
        <v>1364644</v>
      </c>
      <c r="I655" s="59" t="n">
        <v>6</v>
      </c>
      <c r="J655" s="59" t="inlineStr">
        <is>
          <t>AM</t>
        </is>
      </c>
      <c r="K655" s="126" t="n">
        <v>280</v>
      </c>
    </row>
    <row r="656" ht="15" customHeight="1" s="60">
      <c r="A656" s="59" t="n">
        <v>1</v>
      </c>
      <c r="B656" s="59" t="n">
        <v>5267</v>
      </c>
      <c r="C656" s="59" t="inlineStr">
        <is>
          <t>1</t>
        </is>
      </c>
      <c r="D656" s="59" t="inlineStr">
        <is>
          <t>36480282000119</t>
        </is>
      </c>
      <c r="E656" s="75" t="n">
        <v>46210</v>
      </c>
      <c r="F656" s="75" t="n">
        <v>46210</v>
      </c>
      <c r="G656" s="59" t="inlineStr">
        <is>
          <t>RENATO DE O AZEVEDO E CIA LTDA - EPP</t>
        </is>
      </c>
      <c r="H656" s="59" t="n">
        <v>1365603</v>
      </c>
      <c r="I656" s="59" t="n">
        <v>6</v>
      </c>
      <c r="J656" s="59" t="inlineStr">
        <is>
          <t>AM</t>
        </is>
      </c>
      <c r="K656" s="126" t="n">
        <v>2171.29</v>
      </c>
    </row>
    <row r="657" ht="15" customHeight="1" s="60">
      <c r="A657" s="59" t="n">
        <v>1</v>
      </c>
      <c r="B657" s="59" t="n">
        <v>5268</v>
      </c>
      <c r="C657" s="59" t="inlineStr">
        <is>
          <t>1</t>
        </is>
      </c>
      <c r="D657" s="59" t="inlineStr">
        <is>
          <t>36480282000119</t>
        </is>
      </c>
      <c r="E657" s="75" t="n">
        <v>46210</v>
      </c>
      <c r="F657" s="75" t="n">
        <v>46210</v>
      </c>
      <c r="G657" s="59" t="inlineStr">
        <is>
          <t>RENATO DE O AZEVEDO E CIA LTDA - EPP</t>
        </is>
      </c>
      <c r="H657" s="59" t="n">
        <v>1365711</v>
      </c>
      <c r="I657" s="59" t="n">
        <v>6</v>
      </c>
      <c r="J657" s="59" t="inlineStr">
        <is>
          <t>AM</t>
        </is>
      </c>
      <c r="K657" s="126" t="n">
        <v>1118</v>
      </c>
    </row>
    <row r="658" ht="15" customHeight="1" s="60">
      <c r="A658" s="59" t="n">
        <v>1</v>
      </c>
      <c r="B658" s="59" t="n">
        <v>70726</v>
      </c>
      <c r="C658" s="59" t="inlineStr">
        <is>
          <t>1</t>
        </is>
      </c>
      <c r="D658" s="59" t="inlineStr">
        <is>
          <t>36480282000119</t>
        </is>
      </c>
      <c r="E658" s="75" t="n">
        <v>46210</v>
      </c>
      <c r="F658" s="75" t="n">
        <v>46210</v>
      </c>
      <c r="G658" s="59" t="inlineStr">
        <is>
          <t>RENATO DE O AZEVEDO E CIA LTDA - EPP</t>
        </is>
      </c>
      <c r="H658" s="59" t="n">
        <v>1365704</v>
      </c>
      <c r="I658" s="59" t="n">
        <v>2</v>
      </c>
      <c r="J658" s="59" t="inlineStr">
        <is>
          <t>AM</t>
        </is>
      </c>
      <c r="K658" s="126" t="n">
        <v>1118</v>
      </c>
    </row>
    <row r="659" ht="15" customHeight="1" s="60">
      <c r="A659" s="59" t="n">
        <v>1</v>
      </c>
      <c r="B659" s="59" t="n">
        <v>3552</v>
      </c>
      <c r="C659" s="59" t="inlineStr">
        <is>
          <t>1</t>
        </is>
      </c>
      <c r="D659" s="59" t="inlineStr">
        <is>
          <t>10288430000104</t>
        </is>
      </c>
      <c r="E659" s="75" t="n">
        <v>46210</v>
      </c>
      <c r="F659" s="75" t="n">
        <v>46206</v>
      </c>
      <c r="G659" s="59" t="inlineStr">
        <is>
          <t>SAO JOSE COMERCIO DE LATICINIOS E FRIOS</t>
        </is>
      </c>
      <c r="H659" s="59" t="n">
        <v>1364168</v>
      </c>
      <c r="I659" s="59" t="n">
        <v>1</v>
      </c>
      <c r="J659" s="59" t="inlineStr">
        <is>
          <t>AM</t>
        </is>
      </c>
      <c r="K659" s="126" t="n">
        <v>3168</v>
      </c>
    </row>
    <row r="660" ht="15" customHeight="1" s="60">
      <c r="A660" s="59" t="n">
        <v>1</v>
      </c>
      <c r="B660" s="59" t="n">
        <v>3553</v>
      </c>
      <c r="C660" s="59" t="inlineStr">
        <is>
          <t>1</t>
        </is>
      </c>
      <c r="D660" s="59" t="inlineStr">
        <is>
          <t>10288430000104</t>
        </is>
      </c>
      <c r="E660" s="75" t="n">
        <v>46210</v>
      </c>
      <c r="F660" s="75" t="n">
        <v>46206</v>
      </c>
      <c r="G660" s="59" t="inlineStr">
        <is>
          <t>SAO JOSE COMERCIO DE LATICINIOS E FRIOS</t>
        </is>
      </c>
      <c r="H660" s="59" t="n">
        <v>1364180</v>
      </c>
      <c r="I660" s="59" t="n">
        <v>3</v>
      </c>
      <c r="J660" s="59" t="inlineStr">
        <is>
          <t>AM</t>
        </is>
      </c>
      <c r="K660" s="126" t="n">
        <v>448.5</v>
      </c>
    </row>
    <row r="661" ht="15" customHeight="1" s="60">
      <c r="A661" s="59" t="n">
        <v>1</v>
      </c>
      <c r="B661" s="59" t="n">
        <v>3614</v>
      </c>
      <c r="C661" s="59" t="inlineStr">
        <is>
          <t>1</t>
        </is>
      </c>
      <c r="D661" s="59" t="inlineStr">
        <is>
          <t>30844737000151</t>
        </is>
      </c>
      <c r="E661" s="75" t="n">
        <v>46210</v>
      </c>
      <c r="F661" s="75" t="n">
        <v>46209</v>
      </c>
      <c r="G661" s="59" t="inlineStr">
        <is>
          <t>TRIPLASTIK COMERCIAL</t>
        </is>
      </c>
      <c r="H661" s="59" t="n">
        <v>1366273</v>
      </c>
      <c r="I661" s="59" t="n">
        <v>3</v>
      </c>
      <c r="J661" s="59" t="inlineStr">
        <is>
          <t>AM</t>
        </is>
      </c>
      <c r="K661" s="126" t="n">
        <v>1208.4</v>
      </c>
    </row>
    <row r="662" ht="15" customHeight="1" s="60">
      <c r="A662" s="59" t="n">
        <v>1</v>
      </c>
      <c r="B662" s="59" t="n">
        <v>10259</v>
      </c>
      <c r="C662" s="59" t="inlineStr">
        <is>
          <t>2</t>
        </is>
      </c>
      <c r="D662" s="59" t="inlineStr">
        <is>
          <t>36296113000123</t>
        </is>
      </c>
      <c r="E662" s="75" t="n">
        <v>46210</v>
      </c>
      <c r="F662" s="75" t="n">
        <v>46209</v>
      </c>
      <c r="G662" s="59" t="inlineStr">
        <is>
          <t>VITAPAN COMERCIO VAREJISTA DE PRODUTOS ALIMENTICIOS LTDA</t>
        </is>
      </c>
      <c r="H662" s="59" t="n">
        <v>1366378</v>
      </c>
      <c r="I662" s="59" t="n">
        <v>1</v>
      </c>
      <c r="J662" s="59" t="inlineStr">
        <is>
          <t>AM</t>
        </is>
      </c>
      <c r="K662" s="126" t="n">
        <v>540</v>
      </c>
    </row>
    <row r="663" ht="15" customHeight="1" s="60">
      <c r="A663" s="59" t="n">
        <v>1</v>
      </c>
      <c r="B663" s="59" t="n">
        <v>523</v>
      </c>
      <c r="C663" s="59" t="inlineStr">
        <is>
          <t>1</t>
        </is>
      </c>
      <c r="D663" s="59" t="inlineStr">
        <is>
          <t>47496330000183</t>
        </is>
      </c>
      <c r="E663" s="75" t="n">
        <v>46211</v>
      </c>
      <c r="F663" s="75" t="n">
        <v>46209</v>
      </c>
      <c r="G663" s="59" t="inlineStr">
        <is>
          <t>ADICSO FABIAN GONZALEZ MONTILLA 70302186</t>
        </is>
      </c>
      <c r="H663" s="59" t="n">
        <v>1370408</v>
      </c>
      <c r="I663" s="59" t="n">
        <v>1</v>
      </c>
      <c r="J663" s="59" t="inlineStr">
        <is>
          <t>AM</t>
        </is>
      </c>
      <c r="K663" s="126" t="n">
        <v>588</v>
      </c>
    </row>
    <row r="664" ht="15" customHeight="1" s="60">
      <c r="A664" s="59" t="n">
        <v>1</v>
      </c>
      <c r="B664" s="59" t="n">
        <v>1190625</v>
      </c>
      <c r="C664" s="59" t="inlineStr">
        <is>
          <t>7</t>
        </is>
      </c>
      <c r="D664" s="59" t="inlineStr">
        <is>
          <t>34590315000158</t>
        </is>
      </c>
      <c r="E664" s="75" t="n">
        <v>46211</v>
      </c>
      <c r="F664" s="75" t="n">
        <v>46209</v>
      </c>
      <c r="G664" s="59" t="inlineStr">
        <is>
          <t>BRASIL NORTE BEBIDAS S/A</t>
        </is>
      </c>
      <c r="H664" s="59" t="n">
        <v>1369139</v>
      </c>
      <c r="I664" s="59" t="n">
        <v>1</v>
      </c>
      <c r="J664" s="59" t="inlineStr">
        <is>
          <t>AM</t>
        </is>
      </c>
      <c r="K664" s="126" t="n">
        <v>89.81999999999999</v>
      </c>
    </row>
    <row r="665" ht="15" customHeight="1" s="60">
      <c r="A665" s="59" t="n">
        <v>1</v>
      </c>
      <c r="B665" s="59" t="n">
        <v>1191435</v>
      </c>
      <c r="C665" s="59" t="inlineStr">
        <is>
          <t>7</t>
        </is>
      </c>
      <c r="D665" s="59" t="inlineStr">
        <is>
          <t>34590315000158</t>
        </is>
      </c>
      <c r="E665" s="75" t="n">
        <v>46211</v>
      </c>
      <c r="F665" s="75" t="n">
        <v>46210</v>
      </c>
      <c r="G665" s="59" t="inlineStr">
        <is>
          <t>BRASIL NORTE BEBIDAS S/A</t>
        </is>
      </c>
      <c r="H665" s="59" t="n">
        <v>1369065</v>
      </c>
      <c r="I665" s="59" t="n">
        <v>1</v>
      </c>
      <c r="J665" s="59" t="inlineStr">
        <is>
          <t>AM</t>
        </is>
      </c>
      <c r="K665" s="126" t="n">
        <v>897.72</v>
      </c>
    </row>
    <row r="666" ht="15" customHeight="1" s="60">
      <c r="A666" s="59" t="n">
        <v>1</v>
      </c>
      <c r="B666" s="59" t="n">
        <v>1922435</v>
      </c>
      <c r="C666" s="59" t="inlineStr">
        <is>
          <t>5</t>
        </is>
      </c>
      <c r="D666" s="59" t="inlineStr">
        <is>
          <t>34590315000158</t>
        </is>
      </c>
      <c r="E666" s="75" t="n">
        <v>46211</v>
      </c>
      <c r="F666" s="75" t="n">
        <v>46210</v>
      </c>
      <c r="G666" s="59" t="inlineStr">
        <is>
          <t>BRASIL NORTE BEBIDAS S/A</t>
        </is>
      </c>
      <c r="H666" s="59" t="n">
        <v>1369074</v>
      </c>
      <c r="I666" s="59" t="n">
        <v>1</v>
      </c>
      <c r="J666" s="59" t="inlineStr">
        <is>
          <t>AM</t>
        </is>
      </c>
      <c r="K666" s="126" t="n">
        <v>1827.23</v>
      </c>
    </row>
    <row r="667" ht="15" customHeight="1" s="60">
      <c r="A667" s="59" t="n">
        <v>1</v>
      </c>
      <c r="B667" s="59" t="n">
        <v>1922459</v>
      </c>
      <c r="C667" s="59" t="inlineStr">
        <is>
          <t>5</t>
        </is>
      </c>
      <c r="D667" s="59" t="inlineStr">
        <is>
          <t>34590315000158</t>
        </is>
      </c>
      <c r="E667" s="75" t="n">
        <v>46211</v>
      </c>
      <c r="F667" s="75" t="n">
        <v>46210</v>
      </c>
      <c r="G667" s="59" t="inlineStr">
        <is>
          <t>BRASIL NORTE BEBIDAS S/A</t>
        </is>
      </c>
      <c r="H667" s="59" t="n">
        <v>1369102</v>
      </c>
      <c r="I667" s="59" t="n">
        <v>1</v>
      </c>
      <c r="J667" s="59" t="inlineStr">
        <is>
          <t>AM</t>
        </is>
      </c>
      <c r="K667" s="126" t="n">
        <v>365.08</v>
      </c>
    </row>
    <row r="668" ht="15" customHeight="1" s="60">
      <c r="A668" s="59" t="n">
        <v>1</v>
      </c>
      <c r="B668" s="59" t="n">
        <v>1604302</v>
      </c>
      <c r="C668" s="59" t="inlineStr">
        <is>
          <t>1</t>
        </is>
      </c>
      <c r="D668" s="59" t="inlineStr">
        <is>
          <t>01838723026193</t>
        </is>
      </c>
      <c r="E668" s="75" t="n">
        <v>46211</v>
      </c>
      <c r="F668" s="75" t="n">
        <v>46210</v>
      </c>
      <c r="G668" s="59" t="inlineStr">
        <is>
          <t>BRF S A</t>
        </is>
      </c>
      <c r="H668" s="59" t="n">
        <v>1368798</v>
      </c>
      <c r="I668" s="59" t="n">
        <v>1</v>
      </c>
      <c r="J668" s="59" t="inlineStr">
        <is>
          <t>AM</t>
        </is>
      </c>
      <c r="K668" s="126" t="n">
        <v>1300.46</v>
      </c>
    </row>
    <row r="669" ht="15" customHeight="1" s="60">
      <c r="A669" s="59" t="n">
        <v>1</v>
      </c>
      <c r="B669" s="59" t="n">
        <v>172856</v>
      </c>
      <c r="C669" s="59" t="inlineStr">
        <is>
          <t>1</t>
        </is>
      </c>
      <c r="D669" s="59" t="inlineStr">
        <is>
          <t>10418161000153</t>
        </is>
      </c>
      <c r="E669" s="75" t="n">
        <v>46211</v>
      </c>
      <c r="F669" s="75" t="n">
        <v>46211</v>
      </c>
      <c r="G669" s="59" t="inlineStr">
        <is>
          <t>COMERCIO DE FRIOS MANAUS LTDA</t>
        </is>
      </c>
      <c r="H669" s="59" t="n">
        <v>1370529</v>
      </c>
      <c r="I669" s="59" t="n">
        <v>1</v>
      </c>
      <c r="J669" s="59" t="inlineStr">
        <is>
          <t>AM</t>
        </is>
      </c>
      <c r="K669" s="126" t="n">
        <v>6394.2</v>
      </c>
    </row>
    <row r="670" ht="15" customHeight="1" s="60">
      <c r="A670" s="59" t="n">
        <v>1</v>
      </c>
      <c r="B670" s="59" t="n">
        <v>196429</v>
      </c>
      <c r="C670" s="59" t="inlineStr">
        <is>
          <t>1</t>
        </is>
      </c>
      <c r="D670" s="59" t="inlineStr">
        <is>
          <t>04916172000160</t>
        </is>
      </c>
      <c r="E670" s="75" t="n">
        <v>46211</v>
      </c>
      <c r="F670" s="75" t="n">
        <v>46210</v>
      </c>
      <c r="G670" s="59" t="inlineStr">
        <is>
          <t>DA FRUTA DISTRIBUIDORA LTDA</t>
        </is>
      </c>
      <c r="H670" s="59" t="n">
        <v>1369047</v>
      </c>
      <c r="I670" s="59" t="n">
        <v>1</v>
      </c>
      <c r="J670" s="59" t="inlineStr">
        <is>
          <t>AM</t>
        </is>
      </c>
      <c r="K670" s="126" t="n">
        <v>799.73</v>
      </c>
    </row>
    <row r="671" ht="15" customHeight="1" s="60">
      <c r="A671" s="59" t="n">
        <v>1</v>
      </c>
      <c r="B671" s="59" t="n">
        <v>3216535</v>
      </c>
      <c r="C671" s="59" t="inlineStr">
        <is>
          <t>1</t>
        </is>
      </c>
      <c r="D671" s="59" t="inlineStr">
        <is>
          <t>84466424000136</t>
        </is>
      </c>
      <c r="E671" s="75" t="n">
        <v>46211</v>
      </c>
      <c r="F671" s="75" t="n">
        <v>46210</v>
      </c>
      <c r="G671" s="59" t="inlineStr">
        <is>
          <t>DUNORTE DISTRIBUIDORA DE PRODUTOS DE CONSUMO LTDA</t>
        </is>
      </c>
      <c r="H671" s="59" t="n">
        <v>1370892</v>
      </c>
      <c r="I671" s="59" t="n">
        <v>1</v>
      </c>
      <c r="J671" s="59" t="inlineStr">
        <is>
          <t>AM</t>
        </is>
      </c>
      <c r="K671" s="126" t="n">
        <v>2406.33</v>
      </c>
    </row>
    <row r="672" ht="15" customHeight="1" s="60">
      <c r="A672" s="59" t="n">
        <v>1</v>
      </c>
      <c r="B672" s="59" t="n">
        <v>1644513</v>
      </c>
      <c r="C672" s="59" t="inlineStr">
        <is>
          <t>890</t>
        </is>
      </c>
      <c r="D672" s="59" t="inlineStr">
        <is>
          <t>02532915340</t>
        </is>
      </c>
      <c r="E672" s="75" t="n">
        <v>46211</v>
      </c>
      <c r="F672" s="75" t="n">
        <v>46211</v>
      </c>
      <c r="G672" s="59" t="inlineStr">
        <is>
          <t>EDSON AGUIAR DE SOUZA</t>
        </is>
      </c>
      <c r="H672" s="59" t="n">
        <v>1398444</v>
      </c>
      <c r="I672" s="59" t="n">
        <v>1</v>
      </c>
      <c r="J672" s="59" t="inlineStr">
        <is>
          <t>AM</t>
        </is>
      </c>
      <c r="K672" s="126" t="n">
        <v>261</v>
      </c>
    </row>
    <row r="673" ht="15" customHeight="1" s="60">
      <c r="A673" s="59" t="n">
        <v>1</v>
      </c>
      <c r="B673" s="59" t="n">
        <v>1644528</v>
      </c>
      <c r="C673" s="59" t="inlineStr">
        <is>
          <t>890</t>
        </is>
      </c>
      <c r="D673" s="59" t="inlineStr">
        <is>
          <t>02532915340</t>
        </is>
      </c>
      <c r="E673" s="75" t="n">
        <v>46211</v>
      </c>
      <c r="F673" s="75" t="n">
        <v>46211</v>
      </c>
      <c r="G673" s="59" t="inlineStr">
        <is>
          <t>EDSON AGUIAR DE SOUZA</t>
        </is>
      </c>
      <c r="H673" s="59" t="n">
        <v>1398528</v>
      </c>
      <c r="I673" s="59" t="n">
        <v>1</v>
      </c>
      <c r="J673" s="59" t="inlineStr">
        <is>
          <t>AM</t>
        </is>
      </c>
      <c r="K673" s="126" t="n">
        <v>210</v>
      </c>
    </row>
    <row r="674" ht="15" customHeight="1" s="60">
      <c r="A674" s="59" t="n">
        <v>1</v>
      </c>
      <c r="B674" s="59" t="n">
        <v>1644532</v>
      </c>
      <c r="C674" s="59" t="inlineStr">
        <is>
          <t>890</t>
        </is>
      </c>
      <c r="D674" s="59" t="inlineStr">
        <is>
          <t>02532915340</t>
        </is>
      </c>
      <c r="E674" s="75" t="n">
        <v>46211</v>
      </c>
      <c r="F674" s="75" t="n">
        <v>46211</v>
      </c>
      <c r="G674" s="59" t="inlineStr">
        <is>
          <t>EDSON AGUIAR DE SOUZA</t>
        </is>
      </c>
      <c r="H674" s="59" t="n">
        <v>1398464</v>
      </c>
      <c r="I674" s="59" t="n">
        <v>1</v>
      </c>
      <c r="J674" s="59" t="inlineStr">
        <is>
          <t>AM</t>
        </is>
      </c>
      <c r="K674" s="126" t="n">
        <v>315</v>
      </c>
    </row>
    <row r="675" ht="15" customHeight="1" s="60">
      <c r="A675" s="59" t="n">
        <v>1</v>
      </c>
      <c r="B675" s="59" t="n">
        <v>1644535</v>
      </c>
      <c r="C675" s="59" t="inlineStr">
        <is>
          <t>890</t>
        </is>
      </c>
      <c r="D675" s="59" t="inlineStr">
        <is>
          <t>02532915340</t>
        </is>
      </c>
      <c r="E675" s="75" t="n">
        <v>46211</v>
      </c>
      <c r="F675" s="75" t="n">
        <v>46211</v>
      </c>
      <c r="G675" s="59" t="inlineStr">
        <is>
          <t>EDSON AGUIAR DE SOUZA</t>
        </is>
      </c>
      <c r="H675" s="59" t="n">
        <v>1398549</v>
      </c>
      <c r="I675" s="59" t="n">
        <v>1</v>
      </c>
      <c r="J675" s="59" t="inlineStr">
        <is>
          <t>AM</t>
        </is>
      </c>
      <c r="K675" s="126" t="n">
        <v>210</v>
      </c>
    </row>
    <row r="676" ht="15" customHeight="1" s="60">
      <c r="A676" s="59" t="n">
        <v>1</v>
      </c>
      <c r="B676" s="59" t="n">
        <v>1644538</v>
      </c>
      <c r="C676" s="59" t="inlineStr">
        <is>
          <t>890</t>
        </is>
      </c>
      <c r="D676" s="59" t="inlineStr">
        <is>
          <t>02532915340</t>
        </is>
      </c>
      <c r="E676" s="75" t="n">
        <v>46211</v>
      </c>
      <c r="F676" s="75" t="n">
        <v>46211</v>
      </c>
      <c r="G676" s="59" t="inlineStr">
        <is>
          <t>EDSON AGUIAR DE SOUZA</t>
        </is>
      </c>
      <c r="H676" s="59" t="n">
        <v>1401380</v>
      </c>
      <c r="I676" s="59" t="n">
        <v>1</v>
      </c>
      <c r="J676" s="59" t="inlineStr">
        <is>
          <t>AM</t>
        </is>
      </c>
      <c r="K676" s="126" t="n">
        <v>246</v>
      </c>
    </row>
    <row r="677" ht="15" customHeight="1" s="60">
      <c r="A677" s="59" t="n">
        <v>1</v>
      </c>
      <c r="B677" s="59" t="n">
        <v>225390</v>
      </c>
      <c r="C677" s="59" t="inlineStr">
        <is>
          <t>2</t>
        </is>
      </c>
      <c r="D677" s="59" t="inlineStr">
        <is>
          <t>05646631000104</t>
        </is>
      </c>
      <c r="E677" s="75" t="n">
        <v>46211</v>
      </c>
      <c r="F677" s="75" t="n">
        <v>46210</v>
      </c>
      <c r="G677" s="59" t="inlineStr">
        <is>
          <t>FRUTAL INDUSTRIA E COMERCIO LTDA</t>
        </is>
      </c>
      <c r="H677" s="59" t="n">
        <v>1368814</v>
      </c>
      <c r="I677" s="59" t="n">
        <v>1</v>
      </c>
      <c r="J677" s="59" t="inlineStr">
        <is>
          <t>AM</t>
        </is>
      </c>
      <c r="K677" s="126" t="n">
        <v>943.83</v>
      </c>
    </row>
    <row r="678" ht="15" customHeight="1" s="60">
      <c r="A678" s="59" t="n">
        <v>1</v>
      </c>
      <c r="B678" s="59" t="n">
        <v>225391</v>
      </c>
      <c r="C678" s="59" t="inlineStr">
        <is>
          <t>2</t>
        </is>
      </c>
      <c r="D678" s="59" t="inlineStr">
        <is>
          <t>05646631000104</t>
        </is>
      </c>
      <c r="E678" s="75" t="n">
        <v>46211</v>
      </c>
      <c r="F678" s="75" t="n">
        <v>46210</v>
      </c>
      <c r="G678" s="59" t="inlineStr">
        <is>
          <t>FRUTAL INDUSTRIA E COMERCIO LTDA</t>
        </is>
      </c>
      <c r="H678" s="59" t="n">
        <v>1368818</v>
      </c>
      <c r="I678" s="59" t="n">
        <v>1</v>
      </c>
      <c r="J678" s="59" t="inlineStr">
        <is>
          <t>AM</t>
        </is>
      </c>
      <c r="K678" s="126" t="n">
        <v>178.4</v>
      </c>
    </row>
    <row r="679" ht="15" customHeight="1" s="60">
      <c r="A679" s="59" t="n">
        <v>1</v>
      </c>
      <c r="B679" s="59" t="n">
        <v>351</v>
      </c>
      <c r="C679" s="59" t="inlineStr">
        <is>
          <t>2</t>
        </is>
      </c>
      <c r="D679" s="59" t="inlineStr">
        <is>
          <t>20380110000133</t>
        </is>
      </c>
      <c r="E679" s="75" t="n">
        <v>46211</v>
      </c>
      <c r="F679" s="75" t="n">
        <v>46211</v>
      </c>
      <c r="G679" s="59" t="inlineStr">
        <is>
          <t>GELO DANGELO FABRICACAO DE GELO LTDA</t>
        </is>
      </c>
      <c r="H679" s="59" t="n">
        <v>1370233</v>
      </c>
      <c r="I679" s="59" t="n">
        <v>1</v>
      </c>
      <c r="J679" s="59" t="inlineStr">
        <is>
          <t>AM</t>
        </is>
      </c>
      <c r="K679" s="126" t="n">
        <v>402</v>
      </c>
    </row>
    <row r="680" ht="15" customHeight="1" s="60">
      <c r="A680" s="59" t="n">
        <v>1</v>
      </c>
      <c r="B680" s="59" t="n">
        <v>104122</v>
      </c>
      <c r="C680" s="59" t="inlineStr">
        <is>
          <t>4</t>
        </is>
      </c>
      <c r="D680" s="59" t="inlineStr">
        <is>
          <t>03759837000107</t>
        </is>
      </c>
      <c r="E680" s="75" t="n">
        <v>46211</v>
      </c>
      <c r="F680" s="75" t="n">
        <v>46210</v>
      </c>
      <c r="G680" s="59" t="inlineStr">
        <is>
          <t>INNOVAR DISTRIBUIDORA DE COSMETICOS E MEDICAMENTOS LTDA</t>
        </is>
      </c>
      <c r="H680" s="59" t="n">
        <v>1368773</v>
      </c>
      <c r="I680" s="59" t="n">
        <v>1</v>
      </c>
      <c r="J680" s="59" t="inlineStr">
        <is>
          <t>AM</t>
        </is>
      </c>
      <c r="K680" s="126" t="n">
        <v>698.4</v>
      </c>
    </row>
    <row r="681" ht="15" customHeight="1" s="60">
      <c r="A681" s="59" t="n">
        <v>1</v>
      </c>
      <c r="B681" s="59" t="n">
        <v>2602</v>
      </c>
      <c r="C681" s="59" t="inlineStr">
        <is>
          <t>1</t>
        </is>
      </c>
      <c r="D681" s="59" t="inlineStr">
        <is>
          <t>10583405000153</t>
        </is>
      </c>
      <c r="E681" s="75" t="n">
        <v>46211</v>
      </c>
      <c r="F681" s="75" t="n">
        <v>46205</v>
      </c>
      <c r="G681" s="59" t="inlineStr">
        <is>
          <t>J. S. MOREIRA ALVES LTDA</t>
        </is>
      </c>
      <c r="H681" s="59" t="n">
        <v>1369484</v>
      </c>
      <c r="I681" s="59" t="n">
        <v>1</v>
      </c>
      <c r="J681" s="59" t="inlineStr">
        <is>
          <t>AM</t>
        </is>
      </c>
      <c r="K681" s="126" t="n">
        <v>580.5</v>
      </c>
    </row>
    <row r="682" ht="15" customHeight="1" s="60">
      <c r="A682" s="59" t="n">
        <v>1</v>
      </c>
      <c r="B682" s="59" t="n">
        <v>514</v>
      </c>
      <c r="C682" s="59" t="inlineStr">
        <is>
          <t>1</t>
        </is>
      </c>
      <c r="D682" s="59" t="inlineStr">
        <is>
          <t>42564964000102</t>
        </is>
      </c>
      <c r="E682" s="75" t="n">
        <v>46211</v>
      </c>
      <c r="F682" s="75" t="n">
        <v>46211</v>
      </c>
      <c r="G682" s="59" t="inlineStr">
        <is>
          <t>LOURIVAL ALMEIDA DA SILVA 17128784845</t>
        </is>
      </c>
      <c r="H682" s="59" t="n">
        <v>1370242</v>
      </c>
      <c r="I682" s="59" t="n">
        <v>1</v>
      </c>
      <c r="J682" s="59" t="inlineStr">
        <is>
          <t>AM</t>
        </is>
      </c>
      <c r="K682" s="126" t="n">
        <v>160.32</v>
      </c>
    </row>
    <row r="683" ht="15" customHeight="1" s="60">
      <c r="A683" s="59" t="n">
        <v>1</v>
      </c>
      <c r="B683" s="59" t="n">
        <v>703</v>
      </c>
      <c r="C683" s="59" t="inlineStr">
        <is>
          <t>2</t>
        </is>
      </c>
      <c r="D683" s="59" t="inlineStr">
        <is>
          <t>35729236000148</t>
        </is>
      </c>
      <c r="E683" s="75" t="n">
        <v>46211</v>
      </c>
      <c r="F683" s="75" t="n">
        <v>46210</v>
      </c>
      <c r="G683" s="59" t="inlineStr">
        <is>
          <t>PANIFICADORA E CONFEITARIA REAL MADRI LTDA</t>
        </is>
      </c>
      <c r="H683" s="59" t="n">
        <v>1368782</v>
      </c>
      <c r="I683" s="59" t="n">
        <v>1</v>
      </c>
      <c r="J683" s="59" t="inlineStr">
        <is>
          <t>AM</t>
        </is>
      </c>
      <c r="K683" s="126" t="n">
        <v>372.25</v>
      </c>
    </row>
    <row r="684" ht="15" customHeight="1" s="60">
      <c r="A684" s="59" t="n">
        <v>1</v>
      </c>
      <c r="B684" s="59" t="n">
        <v>5275</v>
      </c>
      <c r="C684" s="59" t="inlineStr">
        <is>
          <t>1</t>
        </is>
      </c>
      <c r="D684" s="59" t="inlineStr">
        <is>
          <t>36480282000119</t>
        </is>
      </c>
      <c r="E684" s="75" t="n">
        <v>46211</v>
      </c>
      <c r="F684" s="75" t="n">
        <v>46211</v>
      </c>
      <c r="G684" s="59" t="inlineStr">
        <is>
          <t>RENATO DE O AZEVEDO E CIA LTDA - EPP</t>
        </is>
      </c>
      <c r="H684" s="59" t="n">
        <v>1369426</v>
      </c>
      <c r="I684" s="59" t="n">
        <v>6</v>
      </c>
      <c r="J684" s="59" t="inlineStr">
        <is>
          <t>AM</t>
        </is>
      </c>
      <c r="K684" s="126" t="n">
        <v>290</v>
      </c>
    </row>
    <row r="685" ht="15" customHeight="1" s="60">
      <c r="A685" s="59" t="n">
        <v>1</v>
      </c>
      <c r="B685" s="59" t="n">
        <v>5276</v>
      </c>
      <c r="C685" s="59" t="inlineStr">
        <is>
          <t>1</t>
        </is>
      </c>
      <c r="D685" s="59" t="inlineStr">
        <is>
          <t>36480282000119</t>
        </is>
      </c>
      <c r="E685" s="75" t="n">
        <v>46211</v>
      </c>
      <c r="F685" s="75" t="n">
        <v>46211</v>
      </c>
      <c r="G685" s="59" t="inlineStr">
        <is>
          <t>RENATO DE O AZEVEDO E CIA LTDA - EPP</t>
        </is>
      </c>
      <c r="H685" s="59" t="n">
        <v>1370221</v>
      </c>
      <c r="I685" s="59" t="n">
        <v>6</v>
      </c>
      <c r="J685" s="59" t="inlineStr">
        <is>
          <t>AM</t>
        </is>
      </c>
      <c r="K685" s="126" t="n">
        <v>1295</v>
      </c>
    </row>
    <row r="686" ht="15" customHeight="1" s="60">
      <c r="A686" s="59" t="n">
        <v>1</v>
      </c>
      <c r="B686" s="59" t="n">
        <v>31659</v>
      </c>
      <c r="C686" s="59" t="inlineStr">
        <is>
          <t>1</t>
        </is>
      </c>
      <c r="D686" s="59" t="inlineStr">
        <is>
          <t>30652116000176</t>
        </is>
      </c>
      <c r="E686" s="75" t="n">
        <v>46211</v>
      </c>
      <c r="F686" s="75" t="n">
        <v>46210</v>
      </c>
      <c r="G686" s="59" t="inlineStr">
        <is>
          <t>SILVA E SANTOS FRIGORIFICO LTDA</t>
        </is>
      </c>
      <c r="H686" s="59" t="n">
        <v>1369311</v>
      </c>
      <c r="I686" s="59" t="n">
        <v>1</v>
      </c>
      <c r="J686" s="59" t="inlineStr">
        <is>
          <t>AM</t>
        </is>
      </c>
      <c r="K686" s="126" t="n">
        <v>2880</v>
      </c>
    </row>
    <row r="687" ht="15" customHeight="1" s="60">
      <c r="A687" s="59" t="n">
        <v>1</v>
      </c>
      <c r="B687" s="59" t="n">
        <v>384</v>
      </c>
      <c r="C687" s="59" t="inlineStr">
        <is>
          <t>1</t>
        </is>
      </c>
      <c r="D687" s="59" t="inlineStr">
        <is>
          <t>06177766000637</t>
        </is>
      </c>
      <c r="E687" s="75" t="n">
        <v>46212</v>
      </c>
      <c r="F687" s="75" t="n">
        <v>46211</v>
      </c>
      <c r="G687" s="59" t="inlineStr">
        <is>
          <t>A M A DE LIMA INDUSTRIA E COMERCIO DE PRODUTOS ALIMENTICIOS LTDA</t>
        </is>
      </c>
      <c r="H687" s="59" t="n">
        <v>1373781</v>
      </c>
      <c r="I687" s="59" t="n">
        <v>1</v>
      </c>
      <c r="J687" s="59" t="inlineStr">
        <is>
          <t>AM</t>
        </is>
      </c>
      <c r="K687" s="126" t="n">
        <v>82.45999999999999</v>
      </c>
    </row>
    <row r="688" ht="15" customHeight="1" s="60">
      <c r="A688" s="59" t="n">
        <v>1</v>
      </c>
      <c r="B688" s="59" t="n">
        <v>330</v>
      </c>
      <c r="C688" s="59" t="inlineStr">
        <is>
          <t>1</t>
        </is>
      </c>
      <c r="D688" s="59" t="inlineStr">
        <is>
          <t>34787423000115</t>
        </is>
      </c>
      <c r="E688" s="75" t="n">
        <v>46212</v>
      </c>
      <c r="F688" s="75" t="n">
        <v>46211</v>
      </c>
      <c r="G688" s="59" t="inlineStr">
        <is>
          <t>ADRIANO FEITOSA OLIVEIRA LTDA</t>
        </is>
      </c>
      <c r="H688" s="59" t="n">
        <v>1373800</v>
      </c>
      <c r="I688" s="59" t="n">
        <v>1</v>
      </c>
      <c r="J688" s="59" t="inlineStr">
        <is>
          <t>AM</t>
        </is>
      </c>
      <c r="K688" s="126" t="n">
        <v>2745</v>
      </c>
    </row>
    <row r="689" ht="15" customHeight="1" s="60">
      <c r="A689" s="59" t="n">
        <v>1</v>
      </c>
      <c r="B689" s="59" t="n">
        <v>3299</v>
      </c>
      <c r="C689" s="59" t="inlineStr">
        <is>
          <t>1</t>
        </is>
      </c>
      <c r="D689" s="59" t="inlineStr">
        <is>
          <t>35856958000163</t>
        </is>
      </c>
      <c r="E689" s="75" t="n">
        <v>46212</v>
      </c>
      <c r="F689" s="75" t="n">
        <v>46208</v>
      </c>
      <c r="G689" s="59" t="inlineStr">
        <is>
          <t>AMAZONIA COMERCIO DE MASSAS LTDA</t>
        </is>
      </c>
      <c r="H689" s="59" t="n">
        <v>1374338</v>
      </c>
      <c r="I689" s="59" t="n">
        <v>11</v>
      </c>
      <c r="J689" s="59" t="inlineStr">
        <is>
          <t>AM</t>
        </is>
      </c>
      <c r="K689" s="126" t="n">
        <v>550</v>
      </c>
    </row>
    <row r="690" ht="15" customHeight="1" s="60">
      <c r="A690" s="59" t="n">
        <v>1</v>
      </c>
      <c r="B690" s="59" t="n">
        <v>271007</v>
      </c>
      <c r="C690" s="59" t="inlineStr">
        <is>
          <t>1</t>
        </is>
      </c>
      <c r="D690" s="59" t="inlineStr">
        <is>
          <t>84526284000144</t>
        </is>
      </c>
      <c r="E690" s="75" t="n">
        <v>46212</v>
      </c>
      <c r="F690" s="75" t="n">
        <v>46210</v>
      </c>
      <c r="G690" s="59" t="inlineStr">
        <is>
          <t>AMAZONIA INDUSTRIA E COMERCIO DE POLPAS</t>
        </is>
      </c>
      <c r="H690" s="59" t="n">
        <v>1374364</v>
      </c>
      <c r="I690" s="59" t="n">
        <v>11</v>
      </c>
      <c r="J690" s="59" t="inlineStr">
        <is>
          <t>AM</t>
        </is>
      </c>
      <c r="K690" s="126" t="n">
        <v>478</v>
      </c>
    </row>
    <row r="691" ht="15" customHeight="1" s="60">
      <c r="A691" s="59" t="n">
        <v>1</v>
      </c>
      <c r="B691" s="59" t="n">
        <v>681131</v>
      </c>
      <c r="C691" s="59" t="inlineStr">
        <is>
          <t>1</t>
        </is>
      </c>
      <c r="D691" s="59" t="inlineStr">
        <is>
          <t>84520444000148</t>
        </is>
      </c>
      <c r="E691" s="75" t="n">
        <v>46212</v>
      </c>
      <c r="F691" s="75" t="n">
        <v>46212</v>
      </c>
      <c r="G691" s="59" t="inlineStr">
        <is>
          <t>DISTRIBUIDORA FARIAS LTDA.</t>
        </is>
      </c>
      <c r="H691" s="59" t="n">
        <v>1375408</v>
      </c>
      <c r="I691" s="59" t="n">
        <v>11</v>
      </c>
      <c r="J691" s="59" t="inlineStr">
        <is>
          <t>AM</t>
        </is>
      </c>
      <c r="K691" s="126" t="n">
        <v>2613.38</v>
      </c>
    </row>
    <row r="692" ht="15" customHeight="1" s="60">
      <c r="A692" s="59" t="n">
        <v>1</v>
      </c>
      <c r="B692" s="59" t="n">
        <v>53383</v>
      </c>
      <c r="C692" s="59" t="inlineStr">
        <is>
          <t>1</t>
        </is>
      </c>
      <c r="D692" s="59" t="inlineStr">
        <is>
          <t>05778252000755</t>
        </is>
      </c>
      <c r="E692" s="75" t="n">
        <v>46212</v>
      </c>
      <c r="F692" s="75" t="n">
        <v>46211</v>
      </c>
      <c r="G692" s="59" t="inlineStr">
        <is>
          <t>FEMAR IND E COM DE BEBIDAS LTDA</t>
        </is>
      </c>
      <c r="H692" s="59" t="n">
        <v>1374163</v>
      </c>
      <c r="I692" s="59" t="n">
        <v>1</v>
      </c>
      <c r="J692" s="59" t="inlineStr">
        <is>
          <t>AM</t>
        </is>
      </c>
      <c r="K692" s="126" t="n">
        <v>990.72</v>
      </c>
    </row>
    <row r="693" ht="15" customHeight="1" s="60">
      <c r="A693" s="59" t="n">
        <v>1</v>
      </c>
      <c r="B693" s="59" t="n">
        <v>143091</v>
      </c>
      <c r="C693" s="59" t="inlineStr">
        <is>
          <t>1</t>
        </is>
      </c>
      <c r="D693" s="59" t="inlineStr">
        <is>
          <t>04259133000138</t>
        </is>
      </c>
      <c r="E693" s="75" t="n">
        <v>46212</v>
      </c>
      <c r="F693" s="75" t="n">
        <v>46210</v>
      </c>
      <c r="G693" s="59" t="inlineStr">
        <is>
          <t>FORT COMERCIO DE BEBIDA LTDA</t>
        </is>
      </c>
      <c r="H693" s="59" t="n">
        <v>1374622</v>
      </c>
      <c r="I693" s="59" t="n">
        <v>11</v>
      </c>
      <c r="J693" s="59" t="inlineStr">
        <is>
          <t>AM</t>
        </is>
      </c>
      <c r="K693" s="126" t="n">
        <v>770</v>
      </c>
    </row>
    <row r="694" ht="15" customHeight="1" s="60">
      <c r="A694" s="59" t="n">
        <v>1</v>
      </c>
      <c r="B694" s="59" t="n">
        <v>2737</v>
      </c>
      <c r="C694" s="59" t="inlineStr">
        <is>
          <t>1</t>
        </is>
      </c>
      <c r="D694" s="59" t="inlineStr">
        <is>
          <t>63443798000166</t>
        </is>
      </c>
      <c r="E694" s="75" t="n">
        <v>46212</v>
      </c>
      <c r="F694" s="75" t="n">
        <v>46211</v>
      </c>
      <c r="G694" s="59" t="inlineStr">
        <is>
          <t>FORTVET DISTRIBUIDORA LTDA</t>
        </is>
      </c>
      <c r="H694" s="59" t="n">
        <v>1374663</v>
      </c>
      <c r="I694" s="59" t="n">
        <v>11</v>
      </c>
      <c r="J694" s="59" t="inlineStr">
        <is>
          <t>AM</t>
        </is>
      </c>
      <c r="K694" s="126" t="n">
        <v>1054.6</v>
      </c>
    </row>
    <row r="695" ht="15" customHeight="1" s="60">
      <c r="A695" s="59" t="n">
        <v>1</v>
      </c>
      <c r="B695" s="59" t="n">
        <v>3999</v>
      </c>
      <c r="C695" s="59" t="inlineStr">
        <is>
          <t>1</t>
        </is>
      </c>
      <c r="D695" s="59" t="inlineStr">
        <is>
          <t>14459228000159</t>
        </is>
      </c>
      <c r="E695" s="75" t="n">
        <v>46212</v>
      </c>
      <c r="F695" s="75" t="n">
        <v>46210</v>
      </c>
      <c r="G695" s="59" t="inlineStr">
        <is>
          <t>NOVA FRIOS COMERCIO ATACADISTA DE LATICINIOS LTDA</t>
        </is>
      </c>
      <c r="H695" s="59" t="n">
        <v>1374270</v>
      </c>
      <c r="I695" s="59" t="n">
        <v>11</v>
      </c>
      <c r="J695" s="59" t="inlineStr">
        <is>
          <t>AM</t>
        </is>
      </c>
      <c r="K695" s="126" t="n">
        <v>241.6</v>
      </c>
    </row>
    <row r="696" ht="15" customHeight="1" s="60">
      <c r="A696" s="59" t="n">
        <v>1</v>
      </c>
      <c r="B696" s="59" t="n">
        <v>34611</v>
      </c>
      <c r="C696" s="59" t="inlineStr">
        <is>
          <t>3</t>
        </is>
      </c>
      <c r="D696" s="59" t="inlineStr">
        <is>
          <t>34857865000190</t>
        </is>
      </c>
      <c r="E696" s="75" t="n">
        <v>46212</v>
      </c>
      <c r="F696" s="75" t="n">
        <v>46211</v>
      </c>
      <c r="G696" s="59" t="inlineStr">
        <is>
          <t>OPPORTUNITY ALIMENTOS PARA ANIMAIS LTDA</t>
        </is>
      </c>
      <c r="H696" s="59" t="n">
        <v>1375343</v>
      </c>
      <c r="I696" s="59" t="n">
        <v>11</v>
      </c>
      <c r="J696" s="59" t="inlineStr">
        <is>
          <t>AM</t>
        </is>
      </c>
      <c r="K696" s="126" t="n">
        <v>1091.08</v>
      </c>
    </row>
    <row r="697" ht="15" customHeight="1" s="60">
      <c r="A697" s="59" t="n">
        <v>1</v>
      </c>
      <c r="B697" s="59" t="n">
        <v>706</v>
      </c>
      <c r="C697" s="59" t="inlineStr">
        <is>
          <t>2</t>
        </is>
      </c>
      <c r="D697" s="59" t="inlineStr">
        <is>
          <t>35729236000148</t>
        </is>
      </c>
      <c r="E697" s="75" t="n">
        <v>46212</v>
      </c>
      <c r="F697" s="75" t="n">
        <v>46211</v>
      </c>
      <c r="G697" s="59" t="inlineStr">
        <is>
          <t>PANIFICADORA E CONFEITARIA REAL MADRI LTDA</t>
        </is>
      </c>
      <c r="H697" s="59" t="n">
        <v>1374217</v>
      </c>
      <c r="I697" s="59" t="n">
        <v>11</v>
      </c>
      <c r="J697" s="59" t="inlineStr">
        <is>
          <t>AM</t>
        </is>
      </c>
      <c r="K697" s="126" t="n">
        <v>697.1</v>
      </c>
    </row>
    <row r="698" ht="15" customHeight="1" s="60">
      <c r="A698" s="59" t="n">
        <v>1</v>
      </c>
      <c r="B698" s="59" t="n">
        <v>31702</v>
      </c>
      <c r="C698" s="59" t="inlineStr">
        <is>
          <t>1</t>
        </is>
      </c>
      <c r="D698" s="59" t="inlineStr">
        <is>
          <t>30652116000176</t>
        </is>
      </c>
      <c r="E698" s="75" t="n">
        <v>46212</v>
      </c>
      <c r="F698" s="75" t="n">
        <v>46212</v>
      </c>
      <c r="G698" s="59" t="inlineStr">
        <is>
          <t>SILVA E SANTOS FRIGORIFICO LTDA</t>
        </is>
      </c>
      <c r="H698" s="59" t="n">
        <v>1374860</v>
      </c>
      <c r="I698" s="59" t="n">
        <v>11</v>
      </c>
      <c r="J698" s="59" t="inlineStr">
        <is>
          <t>AM</t>
        </is>
      </c>
      <c r="K698" s="126" t="n">
        <v>3130</v>
      </c>
    </row>
    <row r="699" ht="15" customHeight="1" s="60">
      <c r="A699" s="59" t="n">
        <v>1</v>
      </c>
      <c r="B699" s="59" t="n">
        <v>352</v>
      </c>
      <c r="C699" s="59" t="inlineStr">
        <is>
          <t>1</t>
        </is>
      </c>
      <c r="D699" s="59" t="inlineStr">
        <is>
          <t>63502353000100</t>
        </is>
      </c>
      <c r="E699" s="75" t="n">
        <v>46213</v>
      </c>
      <c r="F699" s="75" t="n">
        <v>46213</v>
      </c>
      <c r="G699" s="59" t="inlineStr">
        <is>
          <t>63.502.353 JOAO WYLLAMI NASCIMENTO DOS SANTOS</t>
        </is>
      </c>
      <c r="H699" s="59" t="n">
        <v>1381767</v>
      </c>
      <c r="I699" s="59" t="n">
        <v>1</v>
      </c>
      <c r="J699" s="59" t="inlineStr">
        <is>
          <t>AM</t>
        </is>
      </c>
      <c r="K699" s="126" t="n">
        <v>450</v>
      </c>
    </row>
    <row r="700" ht="15" customHeight="1" s="60">
      <c r="A700" s="59" t="n">
        <v>1</v>
      </c>
      <c r="B700" s="59" t="n">
        <v>271</v>
      </c>
      <c r="C700" s="59" t="inlineStr">
        <is>
          <t>1</t>
        </is>
      </c>
      <c r="D700" s="59" t="inlineStr">
        <is>
          <t>28391938000107</t>
        </is>
      </c>
      <c r="E700" s="75" t="n">
        <v>46213</v>
      </c>
      <c r="F700" s="75" t="n">
        <v>46213</v>
      </c>
      <c r="G700" s="59" t="inlineStr">
        <is>
          <t>ALEXSANDRO BEZERRA DA SILVA</t>
        </is>
      </c>
      <c r="H700" s="59" t="n">
        <v>1377386</v>
      </c>
      <c r="I700" s="59" t="n">
        <v>11</v>
      </c>
      <c r="J700" s="59" t="inlineStr">
        <is>
          <t>AM</t>
        </is>
      </c>
      <c r="K700" s="126" t="n">
        <v>3293.28</v>
      </c>
    </row>
    <row r="701" ht="15" customHeight="1" s="60">
      <c r="A701" s="59" t="n">
        <v>1</v>
      </c>
      <c r="B701" s="59" t="n">
        <v>19193</v>
      </c>
      <c r="C701" s="59" t="inlineStr">
        <is>
          <t>4</t>
        </is>
      </c>
      <c r="D701" s="59" t="inlineStr">
        <is>
          <t>14539474000463</t>
        </is>
      </c>
      <c r="E701" s="75" t="n">
        <v>46213</v>
      </c>
      <c r="F701" s="75" t="n">
        <v>46213</v>
      </c>
      <c r="G701" s="59" t="inlineStr">
        <is>
          <t>BRAGA TABACARIA EIRELI ME</t>
        </is>
      </c>
      <c r="H701" s="59" t="n">
        <v>1377446</v>
      </c>
      <c r="I701" s="59" t="n">
        <v>11</v>
      </c>
      <c r="J701" s="59" t="inlineStr">
        <is>
          <t>AM</t>
        </is>
      </c>
      <c r="K701" s="126" t="n">
        <v>462</v>
      </c>
    </row>
    <row r="702" ht="15" customHeight="1" s="60">
      <c r="A702" s="59" t="n">
        <v>1</v>
      </c>
      <c r="B702" s="59" t="n">
        <v>1031245</v>
      </c>
      <c r="C702" s="59" t="inlineStr">
        <is>
          <t>1</t>
        </is>
      </c>
      <c r="D702" s="59" t="inlineStr">
        <is>
          <t>34579060000122</t>
        </is>
      </c>
      <c r="E702" s="75" t="n">
        <v>46213</v>
      </c>
      <c r="F702" s="75" t="n">
        <v>46212</v>
      </c>
      <c r="G702" s="59" t="inlineStr">
        <is>
          <t>BROTHERS  INDUSTRIA DE ALIMENTOS LTDA</t>
        </is>
      </c>
      <c r="H702" s="59" t="n">
        <v>1376506</v>
      </c>
      <c r="I702" s="59" t="n">
        <v>11</v>
      </c>
      <c r="J702" s="59" t="inlineStr">
        <is>
          <t>AM</t>
        </is>
      </c>
      <c r="K702" s="126" t="n">
        <v>756.45</v>
      </c>
    </row>
    <row r="703" ht="15" customHeight="1" s="60">
      <c r="A703" s="59" t="n">
        <v>1</v>
      </c>
      <c r="B703" s="59" t="n">
        <v>11400</v>
      </c>
      <c r="C703" s="59" t="inlineStr">
        <is>
          <t>2</t>
        </is>
      </c>
      <c r="D703" s="59" t="inlineStr">
        <is>
          <t>40810324000100</t>
        </is>
      </c>
      <c r="E703" s="75" t="n">
        <v>46213</v>
      </c>
      <c r="F703" s="75" t="n">
        <v>46212</v>
      </c>
      <c r="G703" s="59" t="inlineStr">
        <is>
          <t>C. R. PARENTE ABREU</t>
        </is>
      </c>
      <c r="H703" s="59" t="n">
        <v>1376907</v>
      </c>
      <c r="I703" s="59" t="n">
        <v>11</v>
      </c>
      <c r="J703" s="59" t="inlineStr">
        <is>
          <t>AM</t>
        </is>
      </c>
      <c r="K703" s="126" t="n">
        <v>518.78</v>
      </c>
    </row>
    <row r="704" ht="15" customHeight="1" s="60">
      <c r="A704" s="59" t="n">
        <v>1</v>
      </c>
      <c r="B704" s="59" t="n">
        <v>464</v>
      </c>
      <c r="C704" s="59" t="inlineStr">
        <is>
          <t>1</t>
        </is>
      </c>
      <c r="D704" s="59" t="inlineStr">
        <is>
          <t>11922313000113</t>
        </is>
      </c>
      <c r="E704" s="75" t="n">
        <v>46213</v>
      </c>
      <c r="F704" s="75" t="n">
        <v>46209</v>
      </c>
      <c r="G704" s="59" t="inlineStr">
        <is>
          <t>CHERRYS SEMI JOIAS LTDA</t>
        </is>
      </c>
      <c r="H704" s="59" t="n">
        <v>1376961</v>
      </c>
      <c r="I704" s="59" t="n">
        <v>11</v>
      </c>
      <c r="J704" s="59" t="inlineStr">
        <is>
          <t>AM</t>
        </is>
      </c>
      <c r="K704" s="126" t="n">
        <v>465</v>
      </c>
    </row>
    <row r="705" ht="15" customHeight="1" s="60">
      <c r="A705" s="59" t="n">
        <v>1</v>
      </c>
      <c r="B705" s="59" t="n">
        <v>14834</v>
      </c>
      <c r="C705" s="59" t="inlineStr">
        <is>
          <t>1</t>
        </is>
      </c>
      <c r="D705" s="59" t="inlineStr">
        <is>
          <t>09531992000158</t>
        </is>
      </c>
      <c r="E705" s="75" t="n">
        <v>46213</v>
      </c>
      <c r="F705" s="75" t="n">
        <v>46213</v>
      </c>
      <c r="G705" s="59" t="inlineStr">
        <is>
          <t>COMERCIO E TRANSPORTE BRANDAO LTDA</t>
        </is>
      </c>
      <c r="H705" s="59" t="n">
        <v>1377301</v>
      </c>
      <c r="I705" s="59" t="n">
        <v>1</v>
      </c>
      <c r="J705" s="59" t="inlineStr">
        <is>
          <t>AM</t>
        </is>
      </c>
      <c r="K705" s="126" t="n">
        <v>1120</v>
      </c>
    </row>
    <row r="706" ht="15" customHeight="1" s="60">
      <c r="A706" s="59" t="n">
        <v>1</v>
      </c>
      <c r="B706" s="59" t="n">
        <v>1645598</v>
      </c>
      <c r="C706" s="59" t="inlineStr">
        <is>
          <t>890</t>
        </is>
      </c>
      <c r="D706" s="59" t="inlineStr">
        <is>
          <t>02532915340</t>
        </is>
      </c>
      <c r="E706" s="75" t="n">
        <v>46213</v>
      </c>
      <c r="F706" s="75" t="n">
        <v>46213</v>
      </c>
      <c r="G706" s="59" t="inlineStr">
        <is>
          <t>EDSON AGUIAR DE SOUZA</t>
        </is>
      </c>
      <c r="H706" s="59" t="n">
        <v>1401410</v>
      </c>
      <c r="I706" s="59" t="n">
        <v>1</v>
      </c>
      <c r="J706" s="59" t="inlineStr">
        <is>
          <t>AM</t>
        </is>
      </c>
      <c r="K706" s="126" t="n">
        <v>90</v>
      </c>
    </row>
    <row r="707" ht="15" customHeight="1" s="60">
      <c r="A707" s="59" t="n">
        <v>1</v>
      </c>
      <c r="B707" s="59" t="n">
        <v>312590</v>
      </c>
      <c r="C707" s="59" t="inlineStr">
        <is>
          <t>1</t>
        </is>
      </c>
      <c r="D707" s="59" t="inlineStr">
        <is>
          <t>06257367000333</t>
        </is>
      </c>
      <c r="E707" s="75" t="n">
        <v>46213</v>
      </c>
      <c r="F707" s="75" t="n">
        <v>46211</v>
      </c>
      <c r="G707" s="59" t="inlineStr">
        <is>
          <t>FENNIX BRASIL DISTRIBUIDORA DE PRODUTOS</t>
        </is>
      </c>
      <c r="H707" s="59" t="n">
        <v>1376631</v>
      </c>
      <c r="I707" s="59" t="n">
        <v>11</v>
      </c>
      <c r="J707" s="59" t="inlineStr">
        <is>
          <t>AM</t>
        </is>
      </c>
      <c r="K707" s="126" t="n">
        <v>4923.76</v>
      </c>
    </row>
    <row r="708" ht="15" customHeight="1" s="60">
      <c r="A708" s="59" t="n">
        <v>1</v>
      </c>
      <c r="B708" s="59" t="n">
        <v>1245715</v>
      </c>
      <c r="C708" s="59" t="inlineStr">
        <is>
          <t>1</t>
        </is>
      </c>
      <c r="D708" s="59" t="inlineStr">
        <is>
          <t>02805138000193</t>
        </is>
      </c>
      <c r="E708" s="75" t="n">
        <v>46213</v>
      </c>
      <c r="F708" s="75" t="n">
        <v>46212</v>
      </c>
      <c r="G708" s="59" t="inlineStr">
        <is>
          <t>OCIDENTAL COMERCIO DE FRIOS LTDA</t>
        </is>
      </c>
      <c r="H708" s="59" t="n">
        <v>1376993</v>
      </c>
      <c r="I708" s="59" t="n">
        <v>11</v>
      </c>
      <c r="J708" s="59" t="inlineStr">
        <is>
          <t>AM</t>
        </is>
      </c>
      <c r="K708" s="126" t="n">
        <v>1656.88</v>
      </c>
    </row>
    <row r="709" ht="15" customHeight="1" s="60">
      <c r="A709" s="59" t="n">
        <v>1</v>
      </c>
      <c r="B709" s="59" t="n">
        <v>5286</v>
      </c>
      <c r="C709" s="59" t="inlineStr">
        <is>
          <t>1</t>
        </is>
      </c>
      <c r="D709" s="59" t="inlineStr">
        <is>
          <t>36480282000119</t>
        </is>
      </c>
      <c r="E709" s="75" t="n">
        <v>46213</v>
      </c>
      <c r="F709" s="75" t="n">
        <v>46213</v>
      </c>
      <c r="G709" s="59" t="inlineStr">
        <is>
          <t>RENATO DE O AZEVEDO E CIA LTDA - EPP</t>
        </is>
      </c>
      <c r="H709" s="59" t="n">
        <v>1377147</v>
      </c>
      <c r="I709" s="59" t="n">
        <v>6</v>
      </c>
      <c r="J709" s="59" t="inlineStr">
        <is>
          <t>AM</t>
        </is>
      </c>
      <c r="K709" s="126" t="n">
        <v>1395</v>
      </c>
    </row>
    <row r="710" ht="15" customHeight="1" s="60">
      <c r="A710" s="59" t="n">
        <v>1</v>
      </c>
      <c r="B710" s="59" t="n">
        <v>5287</v>
      </c>
      <c r="C710" s="59" t="inlineStr">
        <is>
          <t>1</t>
        </is>
      </c>
      <c r="D710" s="59" t="inlineStr">
        <is>
          <t>36480282000119</t>
        </is>
      </c>
      <c r="E710" s="75" t="n">
        <v>46213</v>
      </c>
      <c r="F710" s="75" t="n">
        <v>46213</v>
      </c>
      <c r="G710" s="59" t="inlineStr">
        <is>
          <t>RENATO DE O AZEVEDO E CIA LTDA - EPP</t>
        </is>
      </c>
      <c r="H710" s="59" t="n">
        <v>1377251</v>
      </c>
      <c r="I710" s="59" t="n">
        <v>6</v>
      </c>
      <c r="J710" s="59" t="inlineStr">
        <is>
          <t>AM</t>
        </is>
      </c>
      <c r="K710" s="126" t="n">
        <v>2719</v>
      </c>
    </row>
    <row r="711" ht="15" customHeight="1" s="60">
      <c r="A711" s="59" t="n">
        <v>1</v>
      </c>
      <c r="B711" s="59" t="n">
        <v>5288</v>
      </c>
      <c r="C711" s="59" t="inlineStr">
        <is>
          <t>1</t>
        </is>
      </c>
      <c r="D711" s="59" t="inlineStr">
        <is>
          <t>36480282000119</t>
        </is>
      </c>
      <c r="E711" s="75" t="n">
        <v>46213</v>
      </c>
      <c r="F711" s="75" t="n">
        <v>46213</v>
      </c>
      <c r="G711" s="59" t="inlineStr">
        <is>
          <t>RENATO DE O AZEVEDO E CIA LTDA - EPP</t>
        </is>
      </c>
      <c r="H711" s="59" t="n">
        <v>1377401</v>
      </c>
      <c r="I711" s="59" t="n">
        <v>6</v>
      </c>
      <c r="J711" s="59" t="inlineStr">
        <is>
          <t>AM</t>
        </is>
      </c>
      <c r="K711" s="126" t="n">
        <v>3482.02</v>
      </c>
    </row>
    <row r="712" ht="15" customHeight="1" s="60">
      <c r="A712" s="59" t="n">
        <v>1</v>
      </c>
      <c r="B712" s="59" t="n">
        <v>566298</v>
      </c>
      <c r="C712" s="59" t="inlineStr">
        <is>
          <t>13</t>
        </is>
      </c>
      <c r="D712" s="59" t="inlineStr">
        <is>
          <t>33009911007222</t>
        </is>
      </c>
      <c r="E712" s="75" t="n">
        <v>46213</v>
      </c>
      <c r="F712" s="75" t="n">
        <v>46210</v>
      </c>
      <c r="G712" s="59" t="inlineStr">
        <is>
          <t>SOUZA CRUZ LTDA.</t>
        </is>
      </c>
      <c r="H712" s="59" t="n">
        <v>1376760</v>
      </c>
      <c r="I712" s="59" t="n">
        <v>11</v>
      </c>
      <c r="J712" s="59" t="inlineStr">
        <is>
          <t>AM</t>
        </is>
      </c>
      <c r="K712" s="126" t="n">
        <v>11755.79</v>
      </c>
    </row>
    <row r="713" ht="15" customHeight="1" s="60">
      <c r="A713" s="59" t="n">
        <v>1</v>
      </c>
      <c r="B713" s="59" t="n">
        <v>566543</v>
      </c>
      <c r="C713" s="59" t="inlineStr">
        <is>
          <t>13</t>
        </is>
      </c>
      <c r="D713" s="59" t="inlineStr">
        <is>
          <t>33009911007222</t>
        </is>
      </c>
      <c r="E713" s="75" t="n">
        <v>46213</v>
      </c>
      <c r="F713" s="75" t="n">
        <v>46211</v>
      </c>
      <c r="G713" s="59" t="inlineStr">
        <is>
          <t>SOUZA CRUZ LTDA.</t>
        </is>
      </c>
      <c r="H713" s="59" t="n">
        <v>1376883</v>
      </c>
      <c r="I713" s="59" t="n">
        <v>11</v>
      </c>
      <c r="J713" s="59" t="inlineStr">
        <is>
          <t>AM</t>
        </is>
      </c>
      <c r="K713" s="126" t="n">
        <v>282.34</v>
      </c>
    </row>
    <row r="714" ht="15" customHeight="1" s="60">
      <c r="A714" s="59" t="n">
        <v>1</v>
      </c>
      <c r="B714" s="59" t="n">
        <v>566688</v>
      </c>
      <c r="C714" s="59" t="inlineStr">
        <is>
          <t>13</t>
        </is>
      </c>
      <c r="D714" s="59" t="inlineStr">
        <is>
          <t>33009911007222</t>
        </is>
      </c>
      <c r="E714" s="75" t="n">
        <v>46213</v>
      </c>
      <c r="F714" s="75" t="n">
        <v>46211</v>
      </c>
      <c r="G714" s="59" t="inlineStr">
        <is>
          <t>SOUZA CRUZ LTDA.</t>
        </is>
      </c>
      <c r="H714" s="59" t="n">
        <v>1376856</v>
      </c>
      <c r="I714" s="59" t="n">
        <v>11</v>
      </c>
      <c r="J714" s="59" t="inlineStr">
        <is>
          <t>AM</t>
        </is>
      </c>
      <c r="K714" s="126" t="n">
        <v>13287.33</v>
      </c>
    </row>
    <row r="715" ht="15" customHeight="1" s="60">
      <c r="A715" s="59" t="n">
        <v>1</v>
      </c>
      <c r="B715" s="59" t="n">
        <v>10280</v>
      </c>
      <c r="C715" s="59" t="inlineStr">
        <is>
          <t>2</t>
        </is>
      </c>
      <c r="D715" s="59" t="inlineStr">
        <is>
          <t>36296113000123</t>
        </is>
      </c>
      <c r="E715" s="75" t="n">
        <v>46213</v>
      </c>
      <c r="F715" s="75" t="n">
        <v>46212</v>
      </c>
      <c r="G715" s="59" t="inlineStr">
        <is>
          <t>VITAPAN COMERCIO VAREJISTA DE PRODUTOS ALIMENTICIOS LTDA</t>
        </is>
      </c>
      <c r="H715" s="59" t="n">
        <v>1377327</v>
      </c>
      <c r="I715" s="59" t="n">
        <v>11</v>
      </c>
      <c r="J715" s="59" t="inlineStr">
        <is>
          <t>AM</t>
        </is>
      </c>
      <c r="K715" s="126" t="n">
        <v>540</v>
      </c>
    </row>
    <row r="716" ht="15" customHeight="1" s="60">
      <c r="A716" s="59" t="n">
        <v>1</v>
      </c>
      <c r="B716" s="59" t="n">
        <v>526</v>
      </c>
      <c r="C716" s="59" t="inlineStr">
        <is>
          <t>1</t>
        </is>
      </c>
      <c r="D716" s="59" t="inlineStr">
        <is>
          <t>47496330000183</t>
        </is>
      </c>
      <c r="E716" s="75" t="n">
        <v>46214</v>
      </c>
      <c r="F716" s="75" t="n">
        <v>46213</v>
      </c>
      <c r="G716" s="59" t="inlineStr">
        <is>
          <t>ADICSO FABIAN GONZALEZ MONTILLA 70302186</t>
        </is>
      </c>
      <c r="H716" s="59" t="n">
        <v>1381979</v>
      </c>
      <c r="I716" s="59" t="n">
        <v>11</v>
      </c>
      <c r="J716" s="59" t="inlineStr">
        <is>
          <t>AM</t>
        </is>
      </c>
      <c r="K716" s="126" t="n">
        <v>840</v>
      </c>
    </row>
    <row r="717" ht="15" customHeight="1" s="60">
      <c r="A717" s="59" t="n">
        <v>1</v>
      </c>
      <c r="B717" s="59" t="n">
        <v>1605894</v>
      </c>
      <c r="C717" s="59" t="inlineStr">
        <is>
          <t>1</t>
        </is>
      </c>
      <c r="D717" s="59" t="inlineStr">
        <is>
          <t>01838723026193</t>
        </is>
      </c>
      <c r="E717" s="75" t="n">
        <v>46214</v>
      </c>
      <c r="F717" s="75" t="n">
        <v>46213</v>
      </c>
      <c r="G717" s="59" t="inlineStr">
        <is>
          <t>BRF S A</t>
        </is>
      </c>
      <c r="H717" s="59" t="n">
        <v>1382557</v>
      </c>
      <c r="I717" s="59" t="n">
        <v>11</v>
      </c>
      <c r="J717" s="59" t="inlineStr">
        <is>
          <t>AM</t>
        </is>
      </c>
      <c r="K717" s="126" t="n">
        <v>6147.61</v>
      </c>
    </row>
    <row r="718" ht="15" customHeight="1" s="60">
      <c r="A718" s="59" t="n">
        <v>1</v>
      </c>
      <c r="B718" s="59" t="n">
        <v>8364</v>
      </c>
      <c r="C718" s="59" t="inlineStr">
        <is>
          <t>1</t>
        </is>
      </c>
      <c r="D718" s="59" t="inlineStr">
        <is>
          <t>44302603000113</t>
        </is>
      </c>
      <c r="E718" s="75" t="n">
        <v>46214</v>
      </c>
      <c r="F718" s="75" t="n">
        <v>46213</v>
      </c>
      <c r="G718" s="59" t="inlineStr">
        <is>
          <t>EDMARA COMERCIO DE HIGIENE PESSOAL LTDA</t>
        </is>
      </c>
      <c r="H718" s="59" t="n">
        <v>1381996</v>
      </c>
      <c r="I718" s="59" t="n">
        <v>11</v>
      </c>
      <c r="J718" s="59" t="inlineStr">
        <is>
          <t>AM</t>
        </is>
      </c>
      <c r="K718" s="126" t="n">
        <v>1571</v>
      </c>
    </row>
    <row r="719" ht="15" customHeight="1" s="60">
      <c r="A719" s="59" t="n">
        <v>1</v>
      </c>
      <c r="B719" s="59" t="n">
        <v>225770</v>
      </c>
      <c r="C719" s="59" t="inlineStr">
        <is>
          <t>2</t>
        </is>
      </c>
      <c r="D719" s="59" t="inlineStr">
        <is>
          <t>05646631000104</t>
        </is>
      </c>
      <c r="E719" s="75" t="n">
        <v>46214</v>
      </c>
      <c r="F719" s="75" t="n">
        <v>46213</v>
      </c>
      <c r="G719" s="59" t="inlineStr">
        <is>
          <t>FRUTAL INDUSTRIA E COMERCIO LTDA</t>
        </is>
      </c>
      <c r="H719" s="59" t="n">
        <v>1382323</v>
      </c>
      <c r="I719" s="59" t="n">
        <v>11</v>
      </c>
      <c r="J719" s="59" t="inlineStr">
        <is>
          <t>AM</t>
        </is>
      </c>
      <c r="K719" s="126" t="n">
        <v>460.18</v>
      </c>
    </row>
    <row r="720" ht="15" customHeight="1" s="60">
      <c r="A720" s="59" t="n">
        <v>1</v>
      </c>
      <c r="B720" s="59" t="n">
        <v>361</v>
      </c>
      <c r="C720" s="59" t="inlineStr">
        <is>
          <t>2</t>
        </is>
      </c>
      <c r="D720" s="59" t="inlineStr">
        <is>
          <t>20380110000133</t>
        </is>
      </c>
      <c r="E720" s="75" t="n">
        <v>46214</v>
      </c>
      <c r="F720" s="75" t="n">
        <v>46214</v>
      </c>
      <c r="G720" s="59" t="inlineStr">
        <is>
          <t>GELO DANGELO FABRICACAO DE GELO LTDA</t>
        </is>
      </c>
      <c r="H720" s="59" t="n">
        <v>1396627</v>
      </c>
      <c r="I720" s="59" t="n">
        <v>1</v>
      </c>
      <c r="J720" s="59" t="inlineStr">
        <is>
          <t>AM</t>
        </is>
      </c>
      <c r="K720" s="126" t="n">
        <v>405.5</v>
      </c>
    </row>
    <row r="721" ht="15" customHeight="1" s="60">
      <c r="A721" s="59" t="n">
        <v>1</v>
      </c>
      <c r="B721" s="59" t="n">
        <v>5787</v>
      </c>
      <c r="C721" s="59" t="inlineStr">
        <is>
          <t>1</t>
        </is>
      </c>
      <c r="D721" s="59" t="inlineStr">
        <is>
          <t>13854487000111</t>
        </is>
      </c>
      <c r="E721" s="75" t="n">
        <v>46214</v>
      </c>
      <c r="F721" s="75" t="n">
        <v>46213</v>
      </c>
      <c r="G721" s="59" t="inlineStr">
        <is>
          <t>HILTONMAR LIMA DO NASCIMENTO</t>
        </is>
      </c>
      <c r="H721" s="59" t="n">
        <v>1382474</v>
      </c>
      <c r="I721" s="59" t="n">
        <v>11</v>
      </c>
      <c r="J721" s="59" t="inlineStr">
        <is>
          <t>AM</t>
        </is>
      </c>
      <c r="K721" s="126" t="n">
        <v>1285.3</v>
      </c>
    </row>
    <row r="722" ht="15" customHeight="1" s="60">
      <c r="A722" s="59" t="n">
        <v>1</v>
      </c>
      <c r="B722" s="59" t="n">
        <v>391785</v>
      </c>
      <c r="C722" s="59" t="inlineStr">
        <is>
          <t>1</t>
        </is>
      </c>
      <c r="D722" s="59" t="inlineStr">
        <is>
          <t>14141553000179</t>
        </is>
      </c>
      <c r="E722" s="75" t="n">
        <v>46214</v>
      </c>
      <c r="F722" s="75" t="n">
        <v>46212</v>
      </c>
      <c r="G722" s="59" t="inlineStr">
        <is>
          <t>J G COMERCIO DE PRODUTOS ALIMENTICIOS LTDA</t>
        </is>
      </c>
      <c r="H722" s="59" t="n">
        <v>1382435</v>
      </c>
      <c r="I722" s="59" t="n">
        <v>11</v>
      </c>
      <c r="J722" s="59" t="inlineStr">
        <is>
          <t>AM</t>
        </is>
      </c>
      <c r="K722" s="126" t="n">
        <v>2356.98</v>
      </c>
    </row>
    <row r="723" ht="15" customHeight="1" s="60">
      <c r="A723" s="59" t="n">
        <v>1</v>
      </c>
      <c r="B723" s="59" t="n">
        <v>2634</v>
      </c>
      <c r="C723" s="59" t="inlineStr">
        <is>
          <t>1</t>
        </is>
      </c>
      <c r="D723" s="59" t="inlineStr">
        <is>
          <t>10583405000153</t>
        </is>
      </c>
      <c r="E723" s="75" t="n">
        <v>46214</v>
      </c>
      <c r="F723" s="75" t="n">
        <v>46213</v>
      </c>
      <c r="G723" s="59" t="inlineStr">
        <is>
          <t>J. S. MOREIRA ALVES LTDA</t>
        </is>
      </c>
      <c r="H723" s="59" t="n">
        <v>1382076</v>
      </c>
      <c r="I723" s="59" t="n">
        <v>11</v>
      </c>
      <c r="J723" s="59" t="inlineStr">
        <is>
          <t>AM</t>
        </is>
      </c>
      <c r="K723" s="126" t="n">
        <v>493</v>
      </c>
    </row>
    <row r="724" ht="15" customHeight="1" s="60">
      <c r="A724" s="59" t="n">
        <v>1</v>
      </c>
      <c r="B724" s="59" t="n">
        <v>1425692</v>
      </c>
      <c r="C724" s="59" t="inlineStr">
        <is>
          <t>1</t>
        </is>
      </c>
      <c r="D724" s="59" t="inlineStr">
        <is>
          <t>60409075045334</t>
        </is>
      </c>
      <c r="E724" s="75" t="n">
        <v>46214</v>
      </c>
      <c r="F724" s="75" t="n">
        <v>46211</v>
      </c>
      <c r="G724" s="59" t="inlineStr">
        <is>
          <t>NESTLÉ BRASIL LTDA.</t>
        </is>
      </c>
      <c r="H724" s="59" t="n">
        <v>1382137</v>
      </c>
      <c r="I724" s="59" t="n">
        <v>11</v>
      </c>
      <c r="J724" s="59" t="inlineStr">
        <is>
          <t>AM</t>
        </is>
      </c>
      <c r="K724" s="126" t="n">
        <v>3185.63</v>
      </c>
    </row>
    <row r="725" ht="15" customHeight="1" s="60">
      <c r="A725" s="59" t="n">
        <v>1</v>
      </c>
      <c r="B725" s="59" t="n">
        <v>43438</v>
      </c>
      <c r="C725" s="59" t="inlineStr">
        <is>
          <t>1</t>
        </is>
      </c>
      <c r="D725" s="59" t="inlineStr">
        <is>
          <t>51130661000172</t>
        </is>
      </c>
      <c r="E725" s="75" t="n">
        <v>46214</v>
      </c>
      <c r="F725" s="75" t="n">
        <v>46213</v>
      </c>
      <c r="G725" s="59" t="inlineStr">
        <is>
          <t>NORTELAC DISTRIBUIDORA DE FRIOS LTDA</t>
        </is>
      </c>
      <c r="H725" s="59" t="n">
        <v>1382296</v>
      </c>
      <c r="I725" s="59" t="n">
        <v>11</v>
      </c>
      <c r="J725" s="59" t="inlineStr">
        <is>
          <t>AM</t>
        </is>
      </c>
      <c r="K725" s="126" t="n">
        <v>1380</v>
      </c>
    </row>
    <row r="726" ht="15" customHeight="1" s="60">
      <c r="A726" s="59" t="n">
        <v>1</v>
      </c>
      <c r="B726" s="59" t="n">
        <v>40749</v>
      </c>
      <c r="C726" s="59" t="inlineStr">
        <is>
          <t>5</t>
        </is>
      </c>
      <c r="D726" s="59" t="inlineStr">
        <is>
          <t>03439223000148</t>
        </is>
      </c>
      <c r="E726" s="75" t="n">
        <v>46214</v>
      </c>
      <c r="F726" s="75" t="n">
        <v>46212</v>
      </c>
      <c r="G726" s="59" t="inlineStr">
        <is>
          <t>NT INDUSTRIA E COMERCIO DE PANIFICACAO L</t>
        </is>
      </c>
      <c r="H726" s="59" t="n">
        <v>1382513</v>
      </c>
      <c r="I726" s="59" t="n">
        <v>11</v>
      </c>
      <c r="J726" s="59" t="inlineStr">
        <is>
          <t>AM</t>
        </is>
      </c>
      <c r="K726" s="126" t="n">
        <v>4978.85</v>
      </c>
    </row>
    <row r="727" ht="15" customHeight="1" s="60">
      <c r="A727" s="59" t="n">
        <v>1</v>
      </c>
      <c r="B727" s="59" t="n">
        <v>375</v>
      </c>
      <c r="C727" s="59" t="inlineStr">
        <is>
          <t>1</t>
        </is>
      </c>
      <c r="D727" s="59" t="inlineStr">
        <is>
          <t>47931730000170</t>
        </is>
      </c>
      <c r="E727" s="75" t="n">
        <v>46214</v>
      </c>
      <c r="F727" s="75" t="n">
        <v>46213</v>
      </c>
      <c r="G727" s="59" t="inlineStr">
        <is>
          <t>P. A. P. CAVALCANTE LTDA</t>
        </is>
      </c>
      <c r="H727" s="59" t="n">
        <v>1381736</v>
      </c>
      <c r="I727" s="59" t="n">
        <v>11</v>
      </c>
      <c r="J727" s="59" t="inlineStr">
        <is>
          <t>AM</t>
        </is>
      </c>
      <c r="K727" s="126" t="n">
        <v>460</v>
      </c>
    </row>
    <row r="728" ht="15" customHeight="1" s="60">
      <c r="A728" s="59" t="n">
        <v>1</v>
      </c>
      <c r="B728" s="59" t="n">
        <v>709</v>
      </c>
      <c r="C728" s="59" t="inlineStr">
        <is>
          <t>2</t>
        </is>
      </c>
      <c r="D728" s="59" t="inlineStr">
        <is>
          <t>35729236000148</t>
        </is>
      </c>
      <c r="E728" s="75" t="n">
        <v>46214</v>
      </c>
      <c r="F728" s="75" t="n">
        <v>46213</v>
      </c>
      <c r="G728" s="59" t="inlineStr">
        <is>
          <t>PANIFICADORA E CONFEITARIA REAL MADRI LTDA</t>
        </is>
      </c>
      <c r="H728" s="59" t="n">
        <v>1381925</v>
      </c>
      <c r="I728" s="59" t="n">
        <v>11</v>
      </c>
      <c r="J728" s="59" t="inlineStr">
        <is>
          <t>AM</t>
        </is>
      </c>
      <c r="K728" s="126" t="n">
        <v>1120</v>
      </c>
    </row>
    <row r="729" ht="15" customHeight="1" s="60">
      <c r="A729" s="59" t="n">
        <v>1</v>
      </c>
      <c r="B729" s="59" t="n">
        <v>3806</v>
      </c>
      <c r="C729" s="59" t="inlineStr">
        <is>
          <t>3</t>
        </is>
      </c>
      <c r="D729" s="59" t="inlineStr">
        <is>
          <t>37225449000168</t>
        </is>
      </c>
      <c r="E729" s="75" t="n">
        <v>46214</v>
      </c>
      <c r="F729" s="75" t="n">
        <v>46214</v>
      </c>
      <c r="G729" s="59" t="inlineStr">
        <is>
          <t>VOVO DIZA COMERCIO VAREJISTA DE HORTALICAS LTDA</t>
        </is>
      </c>
      <c r="H729" s="59" t="n">
        <v>1396639</v>
      </c>
      <c r="I729" s="59" t="n">
        <v>1</v>
      </c>
      <c r="J729" s="59" t="inlineStr">
        <is>
          <t>AM</t>
        </is>
      </c>
      <c r="K729" s="126" t="n">
        <v>200</v>
      </c>
    </row>
    <row r="730" ht="15" customHeight="1" s="60">
      <c r="A730" s="59" t="n">
        <v>1</v>
      </c>
      <c r="B730" s="59" t="n">
        <v>89871</v>
      </c>
      <c r="C730" s="59" t="inlineStr">
        <is>
          <t>2</t>
        </is>
      </c>
      <c r="D730" s="59" t="inlineStr">
        <is>
          <t>22957970000112</t>
        </is>
      </c>
      <c r="E730" s="75" t="n">
        <v>46216</v>
      </c>
      <c r="F730" s="75" t="n">
        <v>46213</v>
      </c>
      <c r="G730" s="59" t="inlineStr">
        <is>
          <t>AMAZON DISTRIBUIDORA DE PRODUTOS ALIMENT</t>
        </is>
      </c>
      <c r="H730" s="59" t="n">
        <v>1393747</v>
      </c>
      <c r="I730" s="59" t="n">
        <v>11</v>
      </c>
      <c r="J730" s="59" t="inlineStr">
        <is>
          <t>AM</t>
        </is>
      </c>
      <c r="K730" s="126" t="n">
        <v>436.29</v>
      </c>
    </row>
    <row r="731" ht="15" customHeight="1" s="60">
      <c r="A731" s="59" t="n">
        <v>1</v>
      </c>
      <c r="B731" s="59" t="n">
        <v>128773</v>
      </c>
      <c r="C731" s="59" t="inlineStr">
        <is>
          <t>1</t>
        </is>
      </c>
      <c r="D731" s="59" t="inlineStr">
        <is>
          <t>63737852000186</t>
        </is>
      </c>
      <c r="E731" s="75" t="n">
        <v>46216</v>
      </c>
      <c r="F731" s="75" t="n">
        <v>46216</v>
      </c>
      <c r="G731" s="59" t="inlineStr">
        <is>
          <t>AMMAC INDUSTRIA E COMERCIO DE ALIMENTOS</t>
        </is>
      </c>
      <c r="H731" s="59" t="n">
        <v>1394133</v>
      </c>
      <c r="I731" s="59" t="n">
        <v>11</v>
      </c>
      <c r="J731" s="59" t="inlineStr">
        <is>
          <t>AM</t>
        </is>
      </c>
      <c r="K731" s="126" t="n">
        <v>1033.13</v>
      </c>
    </row>
    <row r="732" ht="15" customHeight="1" s="60">
      <c r="A732" s="59" t="n">
        <v>1</v>
      </c>
      <c r="B732" s="59" t="n">
        <v>1197029</v>
      </c>
      <c r="C732" s="59" t="inlineStr">
        <is>
          <t>7</t>
        </is>
      </c>
      <c r="D732" s="59" t="inlineStr">
        <is>
          <t>34590315000158</t>
        </is>
      </c>
      <c r="E732" s="75" t="n">
        <v>46216</v>
      </c>
      <c r="F732" s="75" t="n">
        <v>46212</v>
      </c>
      <c r="G732" s="59" t="inlineStr">
        <is>
          <t>BRASIL NORTE BEBIDAS S/A</t>
        </is>
      </c>
      <c r="H732" s="59" t="n">
        <v>1392951</v>
      </c>
      <c r="I732" s="59" t="n">
        <v>11</v>
      </c>
      <c r="J732" s="59" t="inlineStr">
        <is>
          <t>AM</t>
        </is>
      </c>
      <c r="K732" s="126" t="n">
        <v>211.02</v>
      </c>
    </row>
    <row r="733" ht="15" customHeight="1" s="60">
      <c r="A733" s="59" t="n">
        <v>1</v>
      </c>
      <c r="B733" s="59" t="n">
        <v>1198018</v>
      </c>
      <c r="C733" s="59" t="inlineStr">
        <is>
          <t>7</t>
        </is>
      </c>
      <c r="D733" s="59" t="inlineStr">
        <is>
          <t>34590315000158</t>
        </is>
      </c>
      <c r="E733" s="75" t="n">
        <v>46216</v>
      </c>
      <c r="F733" s="75" t="n">
        <v>46212</v>
      </c>
      <c r="G733" s="59" t="inlineStr">
        <is>
          <t>BRASIL NORTE BEBIDAS S/A</t>
        </is>
      </c>
      <c r="H733" s="59" t="n">
        <v>1392646</v>
      </c>
      <c r="I733" s="59" t="n">
        <v>11</v>
      </c>
      <c r="J733" s="59" t="inlineStr">
        <is>
          <t>AM</t>
        </is>
      </c>
      <c r="K733" s="126" t="n">
        <v>1291.62</v>
      </c>
    </row>
    <row r="734" ht="15" customHeight="1" s="60">
      <c r="A734" s="59" t="n">
        <v>1</v>
      </c>
      <c r="B734" s="59" t="n">
        <v>1928560</v>
      </c>
      <c r="C734" s="59" t="inlineStr">
        <is>
          <t>5</t>
        </is>
      </c>
      <c r="D734" s="59" t="inlineStr">
        <is>
          <t>34590315000158</t>
        </is>
      </c>
      <c r="E734" s="75" t="n">
        <v>46216</v>
      </c>
      <c r="F734" s="75" t="n">
        <v>46212</v>
      </c>
      <c r="G734" s="59" t="inlineStr">
        <is>
          <t>BRASIL NORTE BEBIDAS S/A</t>
        </is>
      </c>
      <c r="H734" s="59" t="n">
        <v>1392682</v>
      </c>
      <c r="I734" s="59" t="n">
        <v>11</v>
      </c>
      <c r="J734" s="59" t="inlineStr">
        <is>
          <t>AM</t>
        </is>
      </c>
      <c r="K734" s="126" t="n">
        <v>224.97</v>
      </c>
    </row>
    <row r="735" ht="15" customHeight="1" s="60">
      <c r="A735" s="59" t="n">
        <v>1</v>
      </c>
      <c r="B735" s="59" t="n">
        <v>1929170</v>
      </c>
      <c r="C735" s="59" t="inlineStr">
        <is>
          <t>5</t>
        </is>
      </c>
      <c r="D735" s="59" t="inlineStr">
        <is>
          <t>34590315000158</t>
        </is>
      </c>
      <c r="E735" s="75" t="n">
        <v>46216</v>
      </c>
      <c r="F735" s="75" t="n">
        <v>46212</v>
      </c>
      <c r="G735" s="59" t="inlineStr">
        <is>
          <t>BRASIL NORTE BEBIDAS S/A</t>
        </is>
      </c>
      <c r="H735" s="59" t="n">
        <v>1392597</v>
      </c>
      <c r="I735" s="59" t="n">
        <v>11</v>
      </c>
      <c r="J735" s="59" t="inlineStr">
        <is>
          <t>AM</t>
        </is>
      </c>
      <c r="K735" s="126" t="n">
        <v>5949.9</v>
      </c>
    </row>
    <row r="736" ht="15" customHeight="1" s="60">
      <c r="A736" s="59" t="n">
        <v>1</v>
      </c>
      <c r="B736" s="59" t="n">
        <v>11415</v>
      </c>
      <c r="C736" s="59" t="inlineStr">
        <is>
          <t>2</t>
        </is>
      </c>
      <c r="D736" s="59" t="inlineStr">
        <is>
          <t>40810324000100</t>
        </is>
      </c>
      <c r="E736" s="75" t="n">
        <v>46216</v>
      </c>
      <c r="F736" s="75" t="n">
        <v>46216</v>
      </c>
      <c r="G736" s="59" t="inlineStr">
        <is>
          <t>C. R. PARENTE ABREU</t>
        </is>
      </c>
      <c r="H736" s="59" t="n">
        <v>1393773</v>
      </c>
      <c r="I736" s="59" t="n">
        <v>11</v>
      </c>
      <c r="J736" s="59" t="inlineStr">
        <is>
          <t>AM</t>
        </is>
      </c>
      <c r="K736" s="126" t="n">
        <v>756.86</v>
      </c>
    </row>
    <row r="737" ht="15" customHeight="1" s="60">
      <c r="A737" s="59" t="n">
        <v>1</v>
      </c>
      <c r="B737" s="59" t="n">
        <v>900346</v>
      </c>
      <c r="C737" s="59" t="inlineStr">
        <is>
          <t>38</t>
        </is>
      </c>
      <c r="D737" s="59" t="inlineStr">
        <is>
          <t>56228356010013</t>
        </is>
      </c>
      <c r="E737" s="75" t="n">
        <v>46216</v>
      </c>
      <c r="F737" s="75" t="n">
        <v>46212</v>
      </c>
      <c r="G737" s="59" t="inlineStr">
        <is>
          <t>CRBS S/A</t>
        </is>
      </c>
      <c r="H737" s="59" t="n">
        <v>1392458</v>
      </c>
      <c r="I737" s="59" t="n">
        <v>11</v>
      </c>
      <c r="J737" s="59" t="inlineStr">
        <is>
          <t>AM</t>
        </is>
      </c>
      <c r="K737" s="126" t="n">
        <v>550.8099999999999</v>
      </c>
    </row>
    <row r="738" ht="15" customHeight="1" s="60">
      <c r="A738" s="59" t="n">
        <v>1</v>
      </c>
      <c r="B738" s="59" t="n">
        <v>900347</v>
      </c>
      <c r="C738" s="59" t="inlineStr">
        <is>
          <t>38</t>
        </is>
      </c>
      <c r="D738" s="59" t="inlineStr">
        <is>
          <t>56228356010013</t>
        </is>
      </c>
      <c r="E738" s="75" t="n">
        <v>46216</v>
      </c>
      <c r="F738" s="75" t="n">
        <v>46212</v>
      </c>
      <c r="G738" s="59" t="inlineStr">
        <is>
          <t>CRBS S/A</t>
        </is>
      </c>
      <c r="H738" s="59" t="n">
        <v>1392496</v>
      </c>
      <c r="I738" s="59" t="n">
        <v>11</v>
      </c>
      <c r="J738" s="59" t="inlineStr">
        <is>
          <t>AM</t>
        </is>
      </c>
      <c r="K738" s="126" t="n">
        <v>1596.98</v>
      </c>
    </row>
    <row r="739" ht="15" customHeight="1" s="60">
      <c r="A739" s="59" t="n">
        <v>1</v>
      </c>
      <c r="B739" s="59" t="n">
        <v>1690878</v>
      </c>
      <c r="C739" s="59" t="inlineStr">
        <is>
          <t>1</t>
        </is>
      </c>
      <c r="D739" s="59" t="inlineStr">
        <is>
          <t>02796653000154</t>
        </is>
      </c>
      <c r="E739" s="75" t="n">
        <v>46216</v>
      </c>
      <c r="F739" s="75" t="n">
        <v>46213</v>
      </c>
      <c r="G739" s="59" t="inlineStr">
        <is>
          <t>DISTRIBUIDORA LOPES LTDA</t>
        </is>
      </c>
      <c r="H739" s="59" t="n">
        <v>1393890</v>
      </c>
      <c r="I739" s="59" t="n">
        <v>11</v>
      </c>
      <c r="J739" s="59" t="inlineStr">
        <is>
          <t>AM</t>
        </is>
      </c>
      <c r="K739" s="126" t="n">
        <v>3132.92</v>
      </c>
    </row>
    <row r="740" ht="15" customHeight="1" s="60">
      <c r="A740" s="59" t="n">
        <v>1</v>
      </c>
      <c r="B740" s="59" t="n">
        <v>1690976</v>
      </c>
      <c r="C740" s="59" t="inlineStr">
        <is>
          <t>1</t>
        </is>
      </c>
      <c r="D740" s="59" t="inlineStr">
        <is>
          <t>02796653000154</t>
        </is>
      </c>
      <c r="E740" s="75" t="n">
        <v>46216</v>
      </c>
      <c r="F740" s="75" t="n">
        <v>46214</v>
      </c>
      <c r="G740" s="59" t="inlineStr">
        <is>
          <t>DISTRIBUIDORA LOPES LTDA</t>
        </is>
      </c>
      <c r="H740" s="59" t="n">
        <v>1393463</v>
      </c>
      <c r="I740" s="59" t="n">
        <v>11</v>
      </c>
      <c r="J740" s="59" t="inlineStr">
        <is>
          <t>AM</t>
        </is>
      </c>
      <c r="K740" s="126" t="n">
        <v>2895.52</v>
      </c>
    </row>
    <row r="741" ht="15" customHeight="1" s="60">
      <c r="A741" s="59" t="n">
        <v>1</v>
      </c>
      <c r="B741" s="59" t="n">
        <v>8365</v>
      </c>
      <c r="C741" s="59" t="inlineStr">
        <is>
          <t>1</t>
        </is>
      </c>
      <c r="D741" s="59" t="inlineStr">
        <is>
          <t>44302603000113</t>
        </is>
      </c>
      <c r="E741" s="75" t="n">
        <v>46216</v>
      </c>
      <c r="F741" s="75" t="n">
        <v>46213</v>
      </c>
      <c r="G741" s="59" t="inlineStr">
        <is>
          <t>EDMARA COMERCIO DE HIGIENE PESSOAL LTDA</t>
        </is>
      </c>
      <c r="H741" s="59" t="n">
        <v>1393086</v>
      </c>
      <c r="I741" s="59" t="n">
        <v>39</v>
      </c>
      <c r="J741" s="59" t="inlineStr">
        <is>
          <t>AM</t>
        </is>
      </c>
      <c r="K741" s="126" t="n">
        <v>550</v>
      </c>
    </row>
    <row r="742" ht="15" customHeight="1" s="60">
      <c r="A742" s="59" t="n">
        <v>1</v>
      </c>
      <c r="B742" s="59" t="n">
        <v>1790</v>
      </c>
      <c r="C742" s="59" t="inlineStr">
        <is>
          <t>1</t>
        </is>
      </c>
      <c r="D742" s="59" t="inlineStr">
        <is>
          <t>34413660000116</t>
        </is>
      </c>
      <c r="E742" s="75" t="n">
        <v>46216</v>
      </c>
      <c r="F742" s="75" t="n">
        <v>46215</v>
      </c>
      <c r="G742" s="59" t="inlineStr">
        <is>
          <t>KAROLINY RODRIGUES SOUZA VENANCIO 915783</t>
        </is>
      </c>
      <c r="H742" s="59" t="n">
        <v>1393680</v>
      </c>
      <c r="I742" s="59" t="n">
        <v>11</v>
      </c>
      <c r="J742" s="59" t="inlineStr">
        <is>
          <t>AM</t>
        </is>
      </c>
      <c r="K742" s="126" t="n">
        <v>250</v>
      </c>
    </row>
    <row r="743" ht="15" customHeight="1" s="60">
      <c r="A743" s="59" t="n">
        <v>1</v>
      </c>
      <c r="B743" s="59" t="n">
        <v>31367</v>
      </c>
      <c r="C743" s="59" t="inlineStr">
        <is>
          <t>1</t>
        </is>
      </c>
      <c r="D743" s="59" t="inlineStr">
        <is>
          <t>30996759000137</t>
        </is>
      </c>
      <c r="E743" s="75" t="n">
        <v>46216</v>
      </c>
      <c r="F743" s="75" t="n">
        <v>46212</v>
      </c>
      <c r="G743" s="59" t="inlineStr">
        <is>
          <t>LIMA E BARANDA COMERCIO DE PRODUTOS REGI</t>
        </is>
      </c>
      <c r="H743" s="59" t="n">
        <v>1392938</v>
      </c>
      <c r="I743" s="59" t="n">
        <v>11</v>
      </c>
      <c r="J743" s="59" t="inlineStr">
        <is>
          <t>AM</t>
        </is>
      </c>
      <c r="K743" s="126" t="n">
        <v>363.5</v>
      </c>
    </row>
    <row r="744" ht="15" customHeight="1" s="60">
      <c r="A744" s="59" t="n">
        <v>1</v>
      </c>
      <c r="B744" s="59" t="n">
        <v>14684</v>
      </c>
      <c r="C744" s="59" t="inlineStr">
        <is>
          <t>1</t>
        </is>
      </c>
      <c r="D744" s="59" t="inlineStr">
        <is>
          <t>03784729000194</t>
        </is>
      </c>
      <c r="E744" s="75" t="n">
        <v>46216</v>
      </c>
      <c r="F744" s="75" t="n">
        <v>46214</v>
      </c>
      <c r="G744" s="59" t="inlineStr">
        <is>
          <t>MAXFRI DISTRIUIDORA LTDA</t>
        </is>
      </c>
      <c r="H744" s="59" t="n">
        <v>1392830</v>
      </c>
      <c r="I744" s="59" t="n">
        <v>11</v>
      </c>
      <c r="J744" s="59" t="inlineStr">
        <is>
          <t>AM</t>
        </is>
      </c>
      <c r="K744" s="126" t="n">
        <v>8622.58</v>
      </c>
    </row>
    <row r="745" ht="15" customHeight="1" s="60">
      <c r="A745" s="59" t="n">
        <v>1</v>
      </c>
      <c r="B745" s="59" t="n">
        <v>14695</v>
      </c>
      <c r="C745" s="59" t="inlineStr">
        <is>
          <t>1</t>
        </is>
      </c>
      <c r="D745" s="59" t="inlineStr">
        <is>
          <t>03784729000194</t>
        </is>
      </c>
      <c r="E745" s="75" t="n">
        <v>46216</v>
      </c>
      <c r="F745" s="75" t="n">
        <v>46216</v>
      </c>
      <c r="G745" s="59" t="inlineStr">
        <is>
          <t>MAXFRI DISTRIUIDORA LTDA</t>
        </is>
      </c>
      <c r="H745" s="59" t="n">
        <v>1394179</v>
      </c>
      <c r="I745" s="59" t="n">
        <v>11</v>
      </c>
      <c r="J745" s="59" t="inlineStr">
        <is>
          <t>AM</t>
        </is>
      </c>
      <c r="K745" s="126" t="n">
        <v>1607.58</v>
      </c>
    </row>
    <row r="746" ht="15" customHeight="1" s="60">
      <c r="A746" s="59" t="n">
        <v>1</v>
      </c>
      <c r="B746" s="59" t="n">
        <v>710</v>
      </c>
      <c r="C746" s="59" t="inlineStr">
        <is>
          <t>2</t>
        </is>
      </c>
      <c r="D746" s="59" t="inlineStr">
        <is>
          <t>35729236000148</t>
        </is>
      </c>
      <c r="E746" s="75" t="n">
        <v>46216</v>
      </c>
      <c r="F746" s="75" t="n">
        <v>46214</v>
      </c>
      <c r="G746" s="59" t="inlineStr">
        <is>
          <t>PANIFICADORA E CONFEITARIA REAL MADRI LTDA</t>
        </is>
      </c>
      <c r="H746" s="59" t="n">
        <v>1393622</v>
      </c>
      <c r="I746" s="59" t="n">
        <v>11</v>
      </c>
      <c r="J746" s="59" t="inlineStr">
        <is>
          <t>AM</t>
        </is>
      </c>
      <c r="K746" s="126" t="n">
        <v>664.48</v>
      </c>
    </row>
    <row r="747" ht="15" customHeight="1" s="60">
      <c r="A747" s="59" t="n">
        <v>1</v>
      </c>
      <c r="B747" s="59" t="n">
        <v>662479</v>
      </c>
      <c r="C747" s="59" t="inlineStr">
        <is>
          <t>1</t>
        </is>
      </c>
      <c r="D747" s="59" t="inlineStr">
        <is>
          <t>84117159000180</t>
        </is>
      </c>
      <c r="E747" s="75" t="n">
        <v>46216</v>
      </c>
      <c r="F747" s="75" t="n">
        <v>46210</v>
      </c>
      <c r="G747" s="59" t="inlineStr">
        <is>
          <t>RISADINHA LTDA</t>
        </is>
      </c>
      <c r="H747" s="59" t="n">
        <v>1393008</v>
      </c>
      <c r="I747" s="59" t="n">
        <v>11</v>
      </c>
      <c r="J747" s="59" t="inlineStr">
        <is>
          <t>AM</t>
        </is>
      </c>
      <c r="K747" s="126" t="n">
        <v>3294.5</v>
      </c>
    </row>
    <row r="748" ht="15" customHeight="1" s="60">
      <c r="A748" s="59" t="n">
        <v>1</v>
      </c>
      <c r="B748" s="59" t="n">
        <v>3599</v>
      </c>
      <c r="C748" s="59" t="inlineStr">
        <is>
          <t>1</t>
        </is>
      </c>
      <c r="D748" s="59" t="inlineStr">
        <is>
          <t>10288430000104</t>
        </is>
      </c>
      <c r="E748" s="75" t="n">
        <v>46216</v>
      </c>
      <c r="F748" s="75" t="n">
        <v>46214</v>
      </c>
      <c r="G748" s="59" t="inlineStr">
        <is>
          <t>SAO JOSE COMERCIO DE LATICINIOS E FRIOS</t>
        </is>
      </c>
      <c r="H748" s="59" t="n">
        <v>1393590</v>
      </c>
      <c r="I748" s="59" t="n">
        <v>39</v>
      </c>
      <c r="J748" s="59" t="inlineStr">
        <is>
          <t>AM</t>
        </is>
      </c>
      <c r="K748" s="126" t="n">
        <v>448.5</v>
      </c>
    </row>
    <row r="749" ht="15" customHeight="1" s="60">
      <c r="A749" s="59" t="n">
        <v>1</v>
      </c>
      <c r="B749" s="59" t="n">
        <v>51412</v>
      </c>
      <c r="C749" s="59" t="inlineStr">
        <is>
          <t>8</t>
        </is>
      </c>
      <c r="D749" s="59" t="inlineStr">
        <is>
          <t>22991939003202</t>
        </is>
      </c>
      <c r="E749" s="75" t="n">
        <v>46216</v>
      </c>
      <c r="F749" s="75" t="n">
        <v>46216</v>
      </c>
      <c r="G749" s="59" t="inlineStr">
        <is>
          <t>SUPERMERCADOS DB LTDA</t>
        </is>
      </c>
      <c r="H749" s="59" t="n">
        <v>1394085</v>
      </c>
      <c r="I749" s="59" t="n">
        <v>11</v>
      </c>
      <c r="J749" s="59" t="inlineStr">
        <is>
          <t>AM</t>
        </is>
      </c>
      <c r="K749" s="126" t="n">
        <v>957.6</v>
      </c>
    </row>
    <row r="750" ht="15" customHeight="1" s="60">
      <c r="A750" s="59" t="n">
        <v>1</v>
      </c>
      <c r="B750" s="59" t="n">
        <v>531</v>
      </c>
      <c r="C750" s="59" t="inlineStr">
        <is>
          <t>1</t>
        </is>
      </c>
      <c r="D750" s="59" t="inlineStr">
        <is>
          <t>47496330000183</t>
        </is>
      </c>
      <c r="E750" s="75" t="n">
        <v>46217</v>
      </c>
      <c r="F750" s="75" t="n">
        <v>46216</v>
      </c>
      <c r="G750" s="59" t="inlineStr">
        <is>
          <t>ADICSO FABIAN GONZALEZ MONTILLA 70302186</t>
        </is>
      </c>
      <c r="H750" s="59" t="n">
        <v>1398369</v>
      </c>
      <c r="I750" s="59" t="n">
        <v>11</v>
      </c>
      <c r="J750" s="59" t="inlineStr">
        <is>
          <t>AM</t>
        </is>
      </c>
      <c r="K750" s="126" t="n">
        <v>840</v>
      </c>
    </row>
    <row r="751" ht="15" customHeight="1" s="60">
      <c r="A751" s="59" t="n">
        <v>1</v>
      </c>
      <c r="B751" s="59" t="n">
        <v>10861</v>
      </c>
      <c r="C751" s="59" t="inlineStr">
        <is>
          <t>1</t>
        </is>
      </c>
      <c r="D751" s="59" t="inlineStr">
        <is>
          <t>22579220000235</t>
        </is>
      </c>
      <c r="E751" s="75" t="n">
        <v>46217</v>
      </c>
      <c r="F751" s="75" t="n">
        <v>46212</v>
      </c>
      <c r="G751" s="59" t="inlineStr">
        <is>
          <t>BETA INDUSTRIA E COMERCIO DE ALIMENTOS</t>
        </is>
      </c>
      <c r="H751" s="59" t="n">
        <v>1397066</v>
      </c>
      <c r="I751" s="59" t="n">
        <v>11</v>
      </c>
      <c r="J751" s="59" t="inlineStr">
        <is>
          <t>AM</t>
        </is>
      </c>
      <c r="K751" s="126" t="n">
        <v>909.9</v>
      </c>
    </row>
    <row r="752" ht="15" customHeight="1" s="60">
      <c r="A752" s="59" t="n">
        <v>1</v>
      </c>
      <c r="B752" s="59" t="n">
        <v>1031671</v>
      </c>
      <c r="C752" s="59" t="inlineStr">
        <is>
          <t>1</t>
        </is>
      </c>
      <c r="D752" s="59" t="inlineStr">
        <is>
          <t>34579060000122</t>
        </is>
      </c>
      <c r="E752" s="75" t="n">
        <v>46217</v>
      </c>
      <c r="F752" s="75" t="n">
        <v>46216</v>
      </c>
      <c r="G752" s="59" t="inlineStr">
        <is>
          <t>BROTHERS  INDUSTRIA DE ALIMENTOS LTDA</t>
        </is>
      </c>
      <c r="H752" s="59" t="n">
        <v>1397311</v>
      </c>
      <c r="I752" s="59" t="n">
        <v>11</v>
      </c>
      <c r="J752" s="59" t="inlineStr">
        <is>
          <t>AM</t>
        </is>
      </c>
      <c r="K752" s="126" t="n">
        <v>869.87</v>
      </c>
    </row>
    <row r="753" ht="15" customHeight="1" s="60">
      <c r="A753" s="59" t="n">
        <v>1</v>
      </c>
      <c r="B753" s="59" t="n">
        <v>28968</v>
      </c>
      <c r="C753" s="59" t="inlineStr">
        <is>
          <t>1</t>
        </is>
      </c>
      <c r="D753" s="59" t="inlineStr">
        <is>
          <t>04353272000126</t>
        </is>
      </c>
      <c r="E753" s="75" t="n">
        <v>46217</v>
      </c>
      <c r="F753" s="75" t="n">
        <v>46209</v>
      </c>
      <c r="G753" s="59" t="inlineStr">
        <is>
          <t>CAP-COMERCIO DE EQUIPAMENTOS DE INFORMAT</t>
        </is>
      </c>
      <c r="H753" s="59" t="n">
        <v>1397226</v>
      </c>
      <c r="I753" s="59" t="n">
        <v>35</v>
      </c>
      <c r="J753" s="59" t="inlineStr">
        <is>
          <t>AM</t>
        </is>
      </c>
      <c r="K753" s="126" t="n">
        <v>2805.84</v>
      </c>
    </row>
    <row r="754" ht="15" customHeight="1" s="60">
      <c r="A754" s="59" t="n">
        <v>1</v>
      </c>
      <c r="B754" s="59" t="n">
        <v>173143</v>
      </c>
      <c r="C754" s="59" t="inlineStr">
        <is>
          <t>1</t>
        </is>
      </c>
      <c r="D754" s="59" t="inlineStr">
        <is>
          <t>10418161000153</t>
        </is>
      </c>
      <c r="E754" s="75" t="n">
        <v>46217</v>
      </c>
      <c r="F754" s="75" t="n">
        <v>46217</v>
      </c>
      <c r="G754" s="59" t="inlineStr">
        <is>
          <t>COMERCIO DE FRIOS MANAUS LTDA</t>
        </is>
      </c>
      <c r="H754" s="59" t="n">
        <v>1398026</v>
      </c>
      <c r="I754" s="59" t="n">
        <v>11</v>
      </c>
      <c r="J754" s="59" t="inlineStr">
        <is>
          <t>AM</t>
        </is>
      </c>
      <c r="K754" s="126" t="n">
        <v>5478.8</v>
      </c>
    </row>
    <row r="755" ht="15" customHeight="1" s="60">
      <c r="A755" s="59" t="n">
        <v>1</v>
      </c>
      <c r="B755" s="59" t="n">
        <v>14862</v>
      </c>
      <c r="C755" s="59" t="inlineStr">
        <is>
          <t>1</t>
        </is>
      </c>
      <c r="D755" s="59" t="inlineStr">
        <is>
          <t>09531992000158</t>
        </is>
      </c>
      <c r="E755" s="75" t="n">
        <v>46217</v>
      </c>
      <c r="F755" s="75" t="n">
        <v>46217</v>
      </c>
      <c r="G755" s="59" t="inlineStr">
        <is>
          <t>COMERCIO E TRANSPORTE BRANDAO LTDA</t>
        </is>
      </c>
      <c r="H755" s="59" t="n">
        <v>1397792</v>
      </c>
      <c r="I755" s="59" t="n">
        <v>1</v>
      </c>
      <c r="J755" s="59" t="inlineStr">
        <is>
          <t>AM</t>
        </is>
      </c>
      <c r="K755" s="126" t="n">
        <v>340</v>
      </c>
    </row>
    <row r="756" ht="15" customHeight="1" s="60">
      <c r="A756" s="59" t="n">
        <v>1</v>
      </c>
      <c r="B756" s="59" t="n">
        <v>742</v>
      </c>
      <c r="C756" s="59" t="inlineStr">
        <is>
          <t>1</t>
        </is>
      </c>
      <c r="D756" s="59" t="inlineStr">
        <is>
          <t>29916176000170</t>
        </is>
      </c>
      <c r="E756" s="75" t="n">
        <v>46217</v>
      </c>
      <c r="F756" s="75" t="n">
        <v>46214</v>
      </c>
      <c r="G756" s="59" t="inlineStr">
        <is>
          <t>DINÂMICA SOLUÇÕES EM SUPRIMENTOS E GESTÃ</t>
        </is>
      </c>
      <c r="H756" s="59" t="n">
        <v>1397172</v>
      </c>
      <c r="I756" s="59" t="n">
        <v>11</v>
      </c>
      <c r="J756" s="59" t="inlineStr">
        <is>
          <t>AM</t>
        </is>
      </c>
      <c r="K756" s="126" t="n">
        <v>1215</v>
      </c>
    </row>
    <row r="757" ht="15" customHeight="1" s="60">
      <c r="A757" s="59" t="n">
        <v>1</v>
      </c>
      <c r="B757" s="59" t="n">
        <v>1647045</v>
      </c>
      <c r="C757" s="59" t="inlineStr">
        <is>
          <t>890</t>
        </is>
      </c>
      <c r="D757" s="59" t="inlineStr">
        <is>
          <t>02532915340</t>
        </is>
      </c>
      <c r="E757" s="75" t="n">
        <v>46217</v>
      </c>
      <c r="F757" s="75" t="n">
        <v>46217</v>
      </c>
      <c r="G757" s="59" t="inlineStr">
        <is>
          <t>EDSON AGUIAR DE SOUZA</t>
        </is>
      </c>
      <c r="H757" s="59" t="n">
        <v>1401472</v>
      </c>
      <c r="I757" s="59" t="n">
        <v>1</v>
      </c>
      <c r="J757" s="59" t="inlineStr">
        <is>
          <t>AM</t>
        </is>
      </c>
      <c r="K757" s="126" t="n">
        <v>261</v>
      </c>
    </row>
    <row r="758" ht="15" customHeight="1" s="60">
      <c r="A758" s="59" t="n">
        <v>1</v>
      </c>
      <c r="B758" s="59" t="n">
        <v>1647051</v>
      </c>
      <c r="C758" s="59" t="inlineStr">
        <is>
          <t>890</t>
        </is>
      </c>
      <c r="D758" s="59" t="inlineStr">
        <is>
          <t>02532915340</t>
        </is>
      </c>
      <c r="E758" s="75" t="n">
        <v>46217</v>
      </c>
      <c r="F758" s="75" t="n">
        <v>46217</v>
      </c>
      <c r="G758" s="59" t="inlineStr">
        <is>
          <t>EDSON AGUIAR DE SOUZA</t>
        </is>
      </c>
      <c r="H758" s="59" t="n">
        <v>1401502</v>
      </c>
      <c r="I758" s="59" t="n">
        <v>1</v>
      </c>
      <c r="J758" s="59" t="inlineStr">
        <is>
          <t>AM</t>
        </is>
      </c>
      <c r="K758" s="126" t="n">
        <v>210</v>
      </c>
    </row>
    <row r="759" ht="15" customHeight="1" s="60">
      <c r="A759" s="59" t="n">
        <v>1</v>
      </c>
      <c r="B759" s="59" t="n">
        <v>831704</v>
      </c>
      <c r="C759" s="59" t="inlineStr">
        <is>
          <t>920</t>
        </is>
      </c>
      <c r="D759" s="59" t="inlineStr">
        <is>
          <t>02558483234</t>
        </is>
      </c>
      <c r="E759" s="75" t="n">
        <v>46217</v>
      </c>
      <c r="F759" s="75" t="n">
        <v>46217</v>
      </c>
      <c r="G759" s="59" t="inlineStr">
        <is>
          <t>ELIAS MARTINS DA SILVA</t>
        </is>
      </c>
      <c r="H759" s="59" t="n">
        <v>1398188</v>
      </c>
      <c r="I759" s="59" t="n">
        <v>11</v>
      </c>
      <c r="J759" s="59" t="inlineStr">
        <is>
          <t>AM</t>
        </is>
      </c>
      <c r="K759" s="126" t="n">
        <v>1592.9</v>
      </c>
    </row>
    <row r="760" ht="15" customHeight="1" s="60">
      <c r="A760" s="59" t="n">
        <v>1</v>
      </c>
      <c r="B760" s="59" t="n">
        <v>385</v>
      </c>
      <c r="C760" s="59" t="inlineStr">
        <is>
          <t>3</t>
        </is>
      </c>
      <c r="D760" s="59" t="inlineStr">
        <is>
          <t>47788667000164</t>
        </is>
      </c>
      <c r="E760" s="75" t="n">
        <v>46217</v>
      </c>
      <c r="F760" s="75" t="n">
        <v>46216</v>
      </c>
      <c r="G760" s="59" t="inlineStr">
        <is>
          <t>FC COMERCIO VAREJISTA DE OUTROS PRODUTOS</t>
        </is>
      </c>
      <c r="H760" s="59" t="n">
        <v>1397097</v>
      </c>
      <c r="I760" s="59" t="n">
        <v>11</v>
      </c>
      <c r="J760" s="59" t="inlineStr">
        <is>
          <t>AM</t>
        </is>
      </c>
      <c r="K760" s="126" t="n">
        <v>260</v>
      </c>
    </row>
    <row r="761" ht="15" customHeight="1" s="60">
      <c r="A761" s="59" t="n">
        <v>1</v>
      </c>
      <c r="B761" s="59" t="n">
        <v>368</v>
      </c>
      <c r="C761" s="59" t="inlineStr">
        <is>
          <t>2</t>
        </is>
      </c>
      <c r="D761" s="59" t="inlineStr">
        <is>
          <t>20380110000133</t>
        </is>
      </c>
      <c r="E761" s="75" t="n">
        <v>46217</v>
      </c>
      <c r="F761" s="75" t="n">
        <v>46217</v>
      </c>
      <c r="G761" s="59" t="inlineStr">
        <is>
          <t>GELO DANGELO FABRICACAO DE GELO LTDA</t>
        </is>
      </c>
      <c r="H761" s="59" t="n">
        <v>1435607</v>
      </c>
      <c r="I761" s="59" t="n">
        <v>1</v>
      </c>
      <c r="J761" s="59" t="inlineStr">
        <is>
          <t>AM</t>
        </is>
      </c>
      <c r="K761" s="126" t="n">
        <v>394</v>
      </c>
    </row>
    <row r="762" ht="15" customHeight="1" s="60">
      <c r="A762" s="59" t="n">
        <v>1</v>
      </c>
      <c r="B762" s="59" t="n">
        <v>3541</v>
      </c>
      <c r="C762" s="59" t="inlineStr">
        <is>
          <t>1</t>
        </is>
      </c>
      <c r="D762" s="59" t="inlineStr">
        <is>
          <t>59566132000128</t>
        </is>
      </c>
      <c r="E762" s="75" t="n">
        <v>46217</v>
      </c>
      <c r="F762" s="75" t="n">
        <v>46216</v>
      </c>
      <c r="G762" s="59" t="inlineStr">
        <is>
          <t>JAB COMERCIO DE PRODUTOS ALIMENTICIOS LT</t>
        </is>
      </c>
      <c r="H762" s="59" t="n">
        <v>1397374</v>
      </c>
      <c r="I762" s="59" t="n">
        <v>11</v>
      </c>
      <c r="J762" s="59" t="inlineStr">
        <is>
          <t>AM</t>
        </is>
      </c>
      <c r="K762" s="126" t="n">
        <v>297</v>
      </c>
    </row>
    <row r="763" ht="15" customHeight="1" s="60">
      <c r="A763" s="59" t="n">
        <v>1</v>
      </c>
      <c r="B763" s="59" t="n">
        <v>4053</v>
      </c>
      <c r="C763" s="59" t="inlineStr">
        <is>
          <t>1</t>
        </is>
      </c>
      <c r="D763" s="59" t="inlineStr">
        <is>
          <t>14459228000159</t>
        </is>
      </c>
      <c r="E763" s="75" t="n">
        <v>46217</v>
      </c>
      <c r="F763" s="75" t="n">
        <v>46216</v>
      </c>
      <c r="G763" s="59" t="inlineStr">
        <is>
          <t>NOVA FRIOS COMERCIO ATACADISTA DE LATICINIOS LTDA</t>
        </is>
      </c>
      <c r="H763" s="59" t="n">
        <v>1397275</v>
      </c>
      <c r="I763" s="59" t="n">
        <v>11</v>
      </c>
      <c r="J763" s="59" t="inlineStr">
        <is>
          <t>AM</t>
        </is>
      </c>
      <c r="K763" s="126" t="n">
        <v>358.25</v>
      </c>
    </row>
    <row r="764" ht="15" customHeight="1" s="60">
      <c r="A764" s="59" t="n">
        <v>1</v>
      </c>
      <c r="B764" s="59" t="n">
        <v>40994</v>
      </c>
      <c r="C764" s="59" t="inlineStr">
        <is>
          <t>5</t>
        </is>
      </c>
      <c r="D764" s="59" t="inlineStr">
        <is>
          <t>03439223000148</t>
        </is>
      </c>
      <c r="E764" s="75" t="n">
        <v>46217</v>
      </c>
      <c r="F764" s="75" t="n">
        <v>46216</v>
      </c>
      <c r="G764" s="59" t="inlineStr">
        <is>
          <t>NT INDUSTRIA E COMERCIO DE PANIFICACAO L</t>
        </is>
      </c>
      <c r="H764" s="59" t="n">
        <v>1397267</v>
      </c>
      <c r="I764" s="59" t="n">
        <v>11</v>
      </c>
      <c r="J764" s="59" t="inlineStr">
        <is>
          <t>AM</t>
        </is>
      </c>
      <c r="K764" s="126" t="n">
        <v>3889.11</v>
      </c>
    </row>
    <row r="765" ht="15" customHeight="1" s="60">
      <c r="A765" s="59" t="n">
        <v>1</v>
      </c>
      <c r="B765" s="59" t="n">
        <v>713</v>
      </c>
      <c r="C765" s="59" t="inlineStr">
        <is>
          <t>2</t>
        </is>
      </c>
      <c r="D765" s="59" t="inlineStr">
        <is>
          <t>35729236000148</t>
        </is>
      </c>
      <c r="E765" s="75" t="n">
        <v>46217</v>
      </c>
      <c r="F765" s="75" t="n">
        <v>46216</v>
      </c>
      <c r="G765" s="59" t="inlineStr">
        <is>
          <t>PANIFICADORA E CONFEITARIA REAL MADRI LTDA</t>
        </is>
      </c>
      <c r="H765" s="59" t="n">
        <v>1397124</v>
      </c>
      <c r="I765" s="59" t="n">
        <v>11</v>
      </c>
      <c r="J765" s="59" t="inlineStr">
        <is>
          <t>AM</t>
        </is>
      </c>
      <c r="K765" s="126" t="n">
        <v>374.7</v>
      </c>
    </row>
    <row r="766" ht="15" customHeight="1" s="60">
      <c r="A766" s="59" t="n">
        <v>1</v>
      </c>
      <c r="B766" s="59" t="n">
        <v>715</v>
      </c>
      <c r="C766" s="59" t="inlineStr">
        <is>
          <t>2</t>
        </is>
      </c>
      <c r="D766" s="59" t="inlineStr">
        <is>
          <t>35729236000148</t>
        </is>
      </c>
      <c r="E766" s="75" t="n">
        <v>46217</v>
      </c>
      <c r="F766" s="75" t="n">
        <v>46216</v>
      </c>
      <c r="G766" s="59" t="inlineStr">
        <is>
          <t>PANIFICADORA E CONFEITARIA REAL MADRI LTDA</t>
        </is>
      </c>
      <c r="H766" s="59" t="n">
        <v>1397356</v>
      </c>
      <c r="I766" s="59" t="n">
        <v>11</v>
      </c>
      <c r="J766" s="59" t="inlineStr">
        <is>
          <t>AM</t>
        </is>
      </c>
      <c r="K766" s="126" t="n">
        <v>1120</v>
      </c>
    </row>
    <row r="767" ht="15" customHeight="1" s="60">
      <c r="A767" s="59" t="n">
        <v>1</v>
      </c>
      <c r="B767" s="59" t="n">
        <v>5295</v>
      </c>
      <c r="C767" s="59" t="inlineStr">
        <is>
          <t>1</t>
        </is>
      </c>
      <c r="D767" s="59" t="inlineStr">
        <is>
          <t>36480282000119</t>
        </is>
      </c>
      <c r="E767" s="75" t="n">
        <v>46217</v>
      </c>
      <c r="F767" s="75" t="n">
        <v>46217</v>
      </c>
      <c r="G767" s="59" t="inlineStr">
        <is>
          <t>RENATO DE O AZEVEDO E CIA LTDA - EPP</t>
        </is>
      </c>
      <c r="H767" s="59" t="n">
        <v>1397765</v>
      </c>
      <c r="I767" s="59" t="n">
        <v>6</v>
      </c>
      <c r="J767" s="59" t="inlineStr">
        <is>
          <t>AM</t>
        </is>
      </c>
      <c r="K767" s="126" t="n">
        <v>1592</v>
      </c>
    </row>
    <row r="768" ht="15" customHeight="1" s="60">
      <c r="A768" s="59" t="n">
        <v>1</v>
      </c>
      <c r="B768" s="59" t="n">
        <v>5296</v>
      </c>
      <c r="C768" s="59" t="inlineStr">
        <is>
          <t>1</t>
        </is>
      </c>
      <c r="D768" s="59" t="inlineStr">
        <is>
          <t>36480282000119</t>
        </is>
      </c>
      <c r="E768" s="75" t="n">
        <v>46217</v>
      </c>
      <c r="F768" s="75" t="n">
        <v>46217</v>
      </c>
      <c r="G768" s="59" t="inlineStr">
        <is>
          <t>RENATO DE O AZEVEDO E CIA LTDA - EPP</t>
        </is>
      </c>
      <c r="H768" s="59" t="n">
        <v>1397824</v>
      </c>
      <c r="I768" s="59" t="n">
        <v>6</v>
      </c>
      <c r="J768" s="59" t="inlineStr">
        <is>
          <t>AM</t>
        </is>
      </c>
      <c r="K768" s="126" t="n">
        <v>280</v>
      </c>
    </row>
    <row r="769" ht="15" customHeight="1" s="60">
      <c r="A769" s="59" t="n">
        <v>1</v>
      </c>
      <c r="B769" s="59" t="n">
        <v>5297</v>
      </c>
      <c r="C769" s="59" t="inlineStr">
        <is>
          <t>1</t>
        </is>
      </c>
      <c r="D769" s="59" t="inlineStr">
        <is>
          <t>36480282000119</t>
        </is>
      </c>
      <c r="E769" s="75" t="n">
        <v>46217</v>
      </c>
      <c r="F769" s="75" t="n">
        <v>46217</v>
      </c>
      <c r="G769" s="59" t="inlineStr">
        <is>
          <t>RENATO DE O AZEVEDO E CIA LTDA - EPP</t>
        </is>
      </c>
      <c r="H769" s="59" t="n">
        <v>1397913</v>
      </c>
      <c r="I769" s="59" t="n">
        <v>6</v>
      </c>
      <c r="J769" s="59" t="inlineStr">
        <is>
          <t>AM</t>
        </is>
      </c>
      <c r="K769" s="126" t="n">
        <v>280</v>
      </c>
    </row>
    <row r="770" ht="15" customHeight="1" s="60">
      <c r="A770" s="59" t="n">
        <v>1</v>
      </c>
      <c r="B770" s="59" t="n">
        <v>5302</v>
      </c>
      <c r="C770" s="59" t="inlineStr">
        <is>
          <t>1</t>
        </is>
      </c>
      <c r="D770" s="59" t="inlineStr">
        <is>
          <t>36480282000119</t>
        </is>
      </c>
      <c r="E770" s="75" t="n">
        <v>46217</v>
      </c>
      <c r="F770" s="75" t="n">
        <v>46217</v>
      </c>
      <c r="G770" s="59" t="inlineStr">
        <is>
          <t>RENATO DE O AZEVEDO E CIA LTDA - EPP</t>
        </is>
      </c>
      <c r="H770" s="59" t="n">
        <v>1398159</v>
      </c>
      <c r="I770" s="59" t="n">
        <v>6</v>
      </c>
      <c r="J770" s="59" t="inlineStr">
        <is>
          <t>AM</t>
        </is>
      </c>
      <c r="K770" s="126" t="n">
        <v>3395.95</v>
      </c>
    </row>
    <row r="771" ht="15" customHeight="1" s="60">
      <c r="A771" s="59" t="n">
        <v>1</v>
      </c>
      <c r="B771" s="59" t="n">
        <v>15129</v>
      </c>
      <c r="C771" s="59" t="inlineStr">
        <is>
          <t>1</t>
        </is>
      </c>
      <c r="D771" s="59" t="inlineStr">
        <is>
          <t>01215382000133</t>
        </is>
      </c>
      <c r="E771" s="75" t="n">
        <v>46217</v>
      </c>
      <c r="F771" s="75" t="n">
        <v>46216</v>
      </c>
      <c r="G771" s="59" t="inlineStr">
        <is>
          <t>T. M. L. DA SILVA LTDA</t>
        </is>
      </c>
      <c r="H771" s="59" t="n">
        <v>1397409</v>
      </c>
      <c r="I771" s="59" t="n">
        <v>11</v>
      </c>
      <c r="J771" s="59" t="inlineStr">
        <is>
          <t>AM</t>
        </is>
      </c>
      <c r="K771" s="126" t="n">
        <v>622.5</v>
      </c>
    </row>
    <row r="772" ht="15" customHeight="1" s="60">
      <c r="A772" s="59" t="n">
        <v>1</v>
      </c>
      <c r="B772" s="59" t="n">
        <v>1647750</v>
      </c>
      <c r="C772" s="59" t="inlineStr">
        <is>
          <t>890</t>
        </is>
      </c>
      <c r="D772" s="59" t="inlineStr">
        <is>
          <t>02532915340</t>
        </is>
      </c>
      <c r="E772" s="75" t="n">
        <v>46218</v>
      </c>
      <c r="F772" s="75" t="n">
        <v>46218</v>
      </c>
      <c r="G772" s="59" t="inlineStr">
        <is>
          <t>EDSON AGUIAR DE SOUZA</t>
        </is>
      </c>
      <c r="H772" s="59" t="n">
        <v>1406042</v>
      </c>
      <c r="I772" s="59" t="n">
        <v>1</v>
      </c>
      <c r="J772" s="59" t="inlineStr">
        <is>
          <t>AM</t>
        </is>
      </c>
      <c r="K772" s="126" t="n">
        <v>225</v>
      </c>
    </row>
    <row r="773" ht="15" customHeight="1" s="60">
      <c r="A773" s="59" t="n">
        <v>1</v>
      </c>
      <c r="B773" s="59" t="n">
        <v>2300748</v>
      </c>
      <c r="C773" s="59" t="inlineStr">
        <is>
          <t>1</t>
        </is>
      </c>
      <c r="D773" s="59" t="inlineStr">
        <is>
          <t>05402904001562</t>
        </is>
      </c>
      <c r="E773" s="75" t="n">
        <v>46218</v>
      </c>
      <c r="F773" s="75" t="n">
        <v>46216</v>
      </c>
      <c r="G773" s="59" t="inlineStr">
        <is>
          <t>EMPRESA BRASILEIRA DE DISTRIBUICAO LTDA</t>
        </is>
      </c>
      <c r="H773" s="59" t="n">
        <v>1401538</v>
      </c>
      <c r="I773" s="59" t="n">
        <v>11</v>
      </c>
      <c r="J773" s="59" t="inlineStr">
        <is>
          <t>AM</t>
        </is>
      </c>
      <c r="K773" s="126" t="n">
        <v>2237.12</v>
      </c>
    </row>
    <row r="774" ht="15" customHeight="1" s="60">
      <c r="A774" s="59" t="n">
        <v>1</v>
      </c>
      <c r="B774" s="59" t="n">
        <v>2300749</v>
      </c>
      <c r="C774" s="59" t="inlineStr">
        <is>
          <t>1</t>
        </is>
      </c>
      <c r="D774" s="59" t="inlineStr">
        <is>
          <t>05402904001562</t>
        </is>
      </c>
      <c r="E774" s="75" t="n">
        <v>46218</v>
      </c>
      <c r="F774" s="75" t="n">
        <v>46216</v>
      </c>
      <c r="G774" s="59" t="inlineStr">
        <is>
          <t>EMPRESA BRASILEIRA DE DISTRIBUICAO LTDA</t>
        </is>
      </c>
      <c r="H774" s="59" t="n">
        <v>1401591</v>
      </c>
      <c r="I774" s="59" t="n">
        <v>11</v>
      </c>
      <c r="J774" s="59" t="inlineStr">
        <is>
          <t>AM</t>
        </is>
      </c>
      <c r="K774" s="126" t="n">
        <v>555.15</v>
      </c>
    </row>
    <row r="775" ht="15" customHeight="1" s="60">
      <c r="A775" s="59" t="n">
        <v>1</v>
      </c>
      <c r="B775" s="59" t="n">
        <v>396457</v>
      </c>
      <c r="C775" s="59" t="inlineStr">
        <is>
          <t>1</t>
        </is>
      </c>
      <c r="D775" s="59" t="inlineStr">
        <is>
          <t>06257367000171</t>
        </is>
      </c>
      <c r="E775" s="75" t="n">
        <v>46218</v>
      </c>
      <c r="F775" s="75" t="n">
        <v>46216</v>
      </c>
      <c r="G775" s="59" t="inlineStr">
        <is>
          <t>FENNIX BRASIL DISTRIBUIDORA DE PRODUTOS</t>
        </is>
      </c>
      <c r="H775" s="59" t="n">
        <v>1401667</v>
      </c>
      <c r="I775" s="59" t="n">
        <v>11</v>
      </c>
      <c r="J775" s="59" t="inlineStr">
        <is>
          <t>AM</t>
        </is>
      </c>
      <c r="K775" s="126" t="n">
        <v>1221.51</v>
      </c>
    </row>
    <row r="776" ht="15" customHeight="1" s="60">
      <c r="A776" s="59" t="n">
        <v>1</v>
      </c>
      <c r="B776" s="59" t="n">
        <v>21047</v>
      </c>
      <c r="C776" s="59" t="inlineStr">
        <is>
          <t>4</t>
        </is>
      </c>
      <c r="D776" s="59" t="inlineStr">
        <is>
          <t>48302595000166</t>
        </is>
      </c>
      <c r="E776" s="75" t="n">
        <v>46218</v>
      </c>
      <c r="F776" s="75" t="n">
        <v>46214</v>
      </c>
      <c r="G776" s="59" t="inlineStr">
        <is>
          <t>FUNNY PET DISTRIBUIDORA DE ALIMENTOS PAR</t>
        </is>
      </c>
      <c r="H776" s="59" t="n">
        <v>1402051</v>
      </c>
      <c r="I776" s="59" t="n">
        <v>11</v>
      </c>
      <c r="J776" s="59" t="inlineStr">
        <is>
          <t>AM</t>
        </is>
      </c>
      <c r="K776" s="126" t="n">
        <v>6558.56</v>
      </c>
    </row>
    <row r="777" ht="15" customHeight="1" s="60">
      <c r="A777" s="59" t="n">
        <v>1</v>
      </c>
      <c r="B777" s="59" t="n">
        <v>21048</v>
      </c>
      <c r="C777" s="59" t="inlineStr">
        <is>
          <t>4</t>
        </is>
      </c>
      <c r="D777" s="59" t="inlineStr">
        <is>
          <t>48302595000166</t>
        </is>
      </c>
      <c r="E777" s="75" t="n">
        <v>46218</v>
      </c>
      <c r="F777" s="75" t="n">
        <v>46214</v>
      </c>
      <c r="G777" s="59" t="inlineStr">
        <is>
          <t>FUNNY PET DISTRIBUIDORA DE ALIMENTOS PAR</t>
        </is>
      </c>
      <c r="H777" s="59" t="n">
        <v>1402589</v>
      </c>
      <c r="I777" s="59" t="n">
        <v>11</v>
      </c>
      <c r="J777" s="59" t="inlineStr">
        <is>
          <t>AM</t>
        </is>
      </c>
      <c r="K777" s="126" t="n">
        <v>4426.26</v>
      </c>
    </row>
    <row r="778" ht="15" customHeight="1" s="60">
      <c r="A778" s="59" t="n">
        <v>1</v>
      </c>
      <c r="B778" s="59" t="n">
        <v>307805</v>
      </c>
      <c r="C778" s="59" t="inlineStr">
        <is>
          <t>1</t>
        </is>
      </c>
      <c r="D778" s="59" t="inlineStr">
        <is>
          <t>07391948000164</t>
        </is>
      </c>
      <c r="E778" s="75" t="n">
        <v>46218</v>
      </c>
      <c r="F778" s="75" t="n">
        <v>46217</v>
      </c>
      <c r="G778" s="59" t="inlineStr">
        <is>
          <t>L S M COMERCIO DE ALIMENTOS E NAVEGACAO</t>
        </is>
      </c>
      <c r="H778" s="59" t="n">
        <v>1401908</v>
      </c>
      <c r="I778" s="59" t="n">
        <v>11</v>
      </c>
      <c r="J778" s="59" t="inlineStr">
        <is>
          <t>AM</t>
        </is>
      </c>
      <c r="K778" s="126" t="n">
        <v>2197.4</v>
      </c>
    </row>
    <row r="779" ht="15" customHeight="1" s="60">
      <c r="A779" s="59" t="n">
        <v>1</v>
      </c>
      <c r="B779" s="59" t="n">
        <v>34663</v>
      </c>
      <c r="C779" s="59" t="inlineStr">
        <is>
          <t>3</t>
        </is>
      </c>
      <c r="D779" s="59" t="inlineStr">
        <is>
          <t>34857865000190</t>
        </is>
      </c>
      <c r="E779" s="75" t="n">
        <v>46218</v>
      </c>
      <c r="F779" s="75" t="n">
        <v>46216</v>
      </c>
      <c r="G779" s="59" t="inlineStr">
        <is>
          <t>OPPORTUNITY ALIMENTOS PARA ANIMAIS LTDA</t>
        </is>
      </c>
      <c r="H779" s="59" t="n">
        <v>1401990</v>
      </c>
      <c r="I779" s="59" t="n">
        <v>11</v>
      </c>
      <c r="J779" s="59" t="inlineStr">
        <is>
          <t>AM</t>
        </is>
      </c>
      <c r="K779" s="126" t="n">
        <v>6018</v>
      </c>
    </row>
    <row r="780" ht="15" customHeight="1" s="60">
      <c r="A780" s="59" t="n">
        <v>1</v>
      </c>
      <c r="B780" s="59" t="n">
        <v>6933</v>
      </c>
      <c r="C780" s="59" t="inlineStr">
        <is>
          <t>2</t>
        </is>
      </c>
      <c r="D780" s="59" t="inlineStr">
        <is>
          <t>35661752000188</t>
        </is>
      </c>
      <c r="E780" s="75" t="n">
        <v>46218</v>
      </c>
      <c r="F780" s="75" t="n">
        <v>46216</v>
      </c>
      <c r="G780" s="59" t="inlineStr">
        <is>
          <t>SMV COMERCIO DE PRODUTOS ALIMENTICIOS LT</t>
        </is>
      </c>
      <c r="H780" s="59" t="n">
        <v>1401828</v>
      </c>
      <c r="I780" s="59" t="n">
        <v>11</v>
      </c>
      <c r="J780" s="59" t="inlineStr">
        <is>
          <t>AM</t>
        </is>
      </c>
      <c r="K780" s="126" t="n">
        <v>1097.88</v>
      </c>
    </row>
    <row r="781" ht="15" customHeight="1" s="60">
      <c r="A781" s="59" t="n">
        <v>1</v>
      </c>
      <c r="B781" s="59" t="n">
        <v>473149</v>
      </c>
      <c r="C781" s="59" t="inlineStr">
        <is>
          <t>1</t>
        </is>
      </c>
      <c r="D781" s="59" t="inlineStr">
        <is>
          <t>22704425000386</t>
        </is>
      </c>
      <c r="E781" s="75" t="n">
        <v>46219</v>
      </c>
      <c r="F781" s="75" t="n">
        <v>46216</v>
      </c>
      <c r="G781" s="59" t="inlineStr">
        <is>
          <t>ADF DISTRIBUIDORA DE BEBIDAS LTDA</t>
        </is>
      </c>
      <c r="H781" s="59" t="n">
        <v>1405509</v>
      </c>
      <c r="I781" s="59" t="n">
        <v>11</v>
      </c>
      <c r="J781" s="59" t="inlineStr">
        <is>
          <t>AM</t>
        </is>
      </c>
      <c r="K781" s="126" t="n">
        <v>399</v>
      </c>
    </row>
    <row r="782" ht="15" customHeight="1" s="60">
      <c r="A782" s="59" t="n">
        <v>1</v>
      </c>
      <c r="B782" s="59" t="n">
        <v>1905834</v>
      </c>
      <c r="C782" s="59" t="inlineStr">
        <is>
          <t>1</t>
        </is>
      </c>
      <c r="D782" s="59" t="inlineStr">
        <is>
          <t>75315333011909</t>
        </is>
      </c>
      <c r="E782" s="75" t="n">
        <v>46219</v>
      </c>
      <c r="F782" s="75" t="n">
        <v>46217</v>
      </c>
      <c r="G782" s="59" t="inlineStr">
        <is>
          <t>ATACADAO S.A.</t>
        </is>
      </c>
      <c r="H782" s="59" t="n">
        <v>1406553</v>
      </c>
      <c r="I782" s="59" t="n">
        <v>11</v>
      </c>
      <c r="J782" s="59" t="inlineStr">
        <is>
          <t>AM</t>
        </is>
      </c>
      <c r="K782" s="126" t="n">
        <v>479.64</v>
      </c>
    </row>
    <row r="783" ht="15" customHeight="1" s="60">
      <c r="A783" s="59" t="n">
        <v>1</v>
      </c>
      <c r="B783" s="59" t="n">
        <v>1905835</v>
      </c>
      <c r="C783" s="59" t="inlineStr">
        <is>
          <t>1</t>
        </is>
      </c>
      <c r="D783" s="59" t="inlineStr">
        <is>
          <t>75315333011909</t>
        </is>
      </c>
      <c r="E783" s="75" t="n">
        <v>46219</v>
      </c>
      <c r="F783" s="75" t="n">
        <v>46217</v>
      </c>
      <c r="G783" s="59" t="inlineStr">
        <is>
          <t>ATACADAO S.A.</t>
        </is>
      </c>
      <c r="H783" s="59" t="n">
        <v>1406474</v>
      </c>
      <c r="I783" s="59" t="n">
        <v>11</v>
      </c>
      <c r="J783" s="59" t="inlineStr">
        <is>
          <t>AM</t>
        </is>
      </c>
      <c r="K783" s="126" t="n">
        <v>639.52</v>
      </c>
    </row>
    <row r="784" ht="15" customHeight="1" s="60">
      <c r="A784" s="59" t="n">
        <v>1</v>
      </c>
      <c r="B784" s="59" t="n">
        <v>1905836</v>
      </c>
      <c r="C784" s="59" t="inlineStr">
        <is>
          <t>1</t>
        </is>
      </c>
      <c r="D784" s="59" t="inlineStr">
        <is>
          <t>75315333011909</t>
        </is>
      </c>
      <c r="E784" s="75" t="n">
        <v>46219</v>
      </c>
      <c r="F784" s="75" t="n">
        <v>46217</v>
      </c>
      <c r="G784" s="59" t="inlineStr">
        <is>
          <t>ATACADAO S.A.</t>
        </is>
      </c>
      <c r="H784" s="59" t="n">
        <v>1406516</v>
      </c>
      <c r="I784" s="59" t="n">
        <v>11</v>
      </c>
      <c r="J784" s="59" t="inlineStr">
        <is>
          <t>AM</t>
        </is>
      </c>
      <c r="K784" s="126" t="n">
        <v>479.64</v>
      </c>
    </row>
    <row r="785" ht="15" customHeight="1" s="60">
      <c r="A785" s="59" t="n">
        <v>1</v>
      </c>
      <c r="B785" s="59" t="n">
        <v>1203714</v>
      </c>
      <c r="C785" s="59" t="inlineStr">
        <is>
          <t>7</t>
        </is>
      </c>
      <c r="D785" s="59" t="inlineStr">
        <is>
          <t>34590315000158</t>
        </is>
      </c>
      <c r="E785" s="75" t="n">
        <v>46219</v>
      </c>
      <c r="F785" s="75" t="n">
        <v>46217</v>
      </c>
      <c r="G785" s="59" t="inlineStr">
        <is>
          <t>BRASIL NORTE BEBIDAS S/A</t>
        </is>
      </c>
      <c r="H785" s="59" t="n">
        <v>1407754</v>
      </c>
      <c r="I785" s="59" t="n">
        <v>11</v>
      </c>
      <c r="J785" s="59" t="inlineStr">
        <is>
          <t>AM</t>
        </is>
      </c>
      <c r="K785" s="126" t="n">
        <v>1634.05</v>
      </c>
    </row>
    <row r="786" ht="15" customHeight="1" s="60">
      <c r="A786" s="59" t="n">
        <v>1</v>
      </c>
      <c r="B786" s="59" t="n">
        <v>1933730</v>
      </c>
      <c r="C786" s="59" t="inlineStr">
        <is>
          <t>5</t>
        </is>
      </c>
      <c r="D786" s="59" t="inlineStr">
        <is>
          <t>34590315000158</t>
        </is>
      </c>
      <c r="E786" s="75" t="n">
        <v>46219</v>
      </c>
      <c r="F786" s="75" t="n">
        <v>46216</v>
      </c>
      <c r="G786" s="59" t="inlineStr">
        <is>
          <t>BRASIL NORTE BEBIDAS S/A</t>
        </is>
      </c>
      <c r="H786" s="59" t="n">
        <v>1405491</v>
      </c>
      <c r="I786" s="59" t="n">
        <v>11</v>
      </c>
      <c r="J786" s="59" t="inlineStr">
        <is>
          <t>AM</t>
        </is>
      </c>
      <c r="K786" s="126" t="n">
        <v>413.21</v>
      </c>
    </row>
    <row r="787" ht="15" customHeight="1" s="60">
      <c r="A787" s="59" t="n">
        <v>1</v>
      </c>
      <c r="B787" s="59" t="n">
        <v>1936062</v>
      </c>
      <c r="C787" s="59" t="inlineStr">
        <is>
          <t>5</t>
        </is>
      </c>
      <c r="D787" s="59" t="inlineStr">
        <is>
          <t>34590315000158</t>
        </is>
      </c>
      <c r="E787" s="75" t="n">
        <v>46219</v>
      </c>
      <c r="F787" s="75" t="n">
        <v>46217</v>
      </c>
      <c r="G787" s="59" t="inlineStr">
        <is>
          <t>BRASIL NORTE BEBIDAS S/A</t>
        </is>
      </c>
      <c r="H787" s="59" t="n">
        <v>1407840</v>
      </c>
      <c r="I787" s="59" t="n">
        <v>11</v>
      </c>
      <c r="J787" s="59" t="inlineStr">
        <is>
          <t>AM</t>
        </is>
      </c>
      <c r="K787" s="126" t="n">
        <v>160.78</v>
      </c>
    </row>
    <row r="788" ht="15" customHeight="1" s="60">
      <c r="A788" s="59" t="n">
        <v>1</v>
      </c>
      <c r="B788" s="59" t="n">
        <v>1936376</v>
      </c>
      <c r="C788" s="59" t="inlineStr">
        <is>
          <t>5</t>
        </is>
      </c>
      <c r="D788" s="59" t="inlineStr">
        <is>
          <t>34590315000158</t>
        </is>
      </c>
      <c r="E788" s="75" t="n">
        <v>46219</v>
      </c>
      <c r="F788" s="75" t="n">
        <v>46217</v>
      </c>
      <c r="G788" s="59" t="inlineStr">
        <is>
          <t>BRASIL NORTE BEBIDAS S/A</t>
        </is>
      </c>
      <c r="H788" s="59" t="n">
        <v>1407811</v>
      </c>
      <c r="I788" s="59" t="n">
        <v>11</v>
      </c>
      <c r="J788" s="59" t="inlineStr">
        <is>
          <t>AM</t>
        </is>
      </c>
      <c r="K788" s="126" t="n">
        <v>2622.9</v>
      </c>
    </row>
    <row r="789" ht="15" customHeight="1" s="60">
      <c r="A789" s="59" t="n">
        <v>1</v>
      </c>
      <c r="B789" s="59" t="n">
        <v>11430</v>
      </c>
      <c r="C789" s="59" t="inlineStr">
        <is>
          <t>2</t>
        </is>
      </c>
      <c r="D789" s="59" t="inlineStr">
        <is>
          <t>40810324000100</t>
        </is>
      </c>
      <c r="E789" s="75" t="n">
        <v>46219</v>
      </c>
      <c r="F789" s="75" t="n">
        <v>46219</v>
      </c>
      <c r="G789" s="59" t="inlineStr">
        <is>
          <t>C. R. PARENTE ABREU</t>
        </is>
      </c>
      <c r="H789" s="59" t="n">
        <v>1407889</v>
      </c>
      <c r="I789" s="59" t="n">
        <v>11</v>
      </c>
      <c r="J789" s="59" t="inlineStr">
        <is>
          <t>AM</t>
        </is>
      </c>
      <c r="K789" s="126" t="n">
        <v>834.84</v>
      </c>
    </row>
    <row r="790" ht="15" customHeight="1" s="60">
      <c r="A790" s="59" t="n">
        <v>1</v>
      </c>
      <c r="B790" s="59" t="n">
        <v>854259</v>
      </c>
      <c r="C790" s="59" t="inlineStr">
        <is>
          <t>1</t>
        </is>
      </c>
      <c r="D790" s="59" t="inlineStr">
        <is>
          <t>14189432000105</t>
        </is>
      </c>
      <c r="E790" s="75" t="n">
        <v>46219</v>
      </c>
      <c r="F790" s="75" t="n">
        <v>46218</v>
      </c>
      <c r="G790" s="59" t="inlineStr">
        <is>
          <t>CB COMERCIO E DISTRIBUIDORA DE ALIMENTOS</t>
        </is>
      </c>
      <c r="H790" s="59" t="n">
        <v>1407179</v>
      </c>
      <c r="I790" s="59" t="n">
        <v>11</v>
      </c>
      <c r="J790" s="59" t="inlineStr">
        <is>
          <t>AM</t>
        </is>
      </c>
      <c r="K790" s="126" t="n">
        <v>546.17</v>
      </c>
    </row>
    <row r="791" ht="15" customHeight="1" s="60">
      <c r="A791" s="59" t="n">
        <v>1</v>
      </c>
      <c r="B791" s="59" t="n">
        <v>854275</v>
      </c>
      <c r="C791" s="59" t="inlineStr">
        <is>
          <t>1</t>
        </is>
      </c>
      <c r="D791" s="59" t="inlineStr">
        <is>
          <t>14189432000105</t>
        </is>
      </c>
      <c r="E791" s="75" t="n">
        <v>46219</v>
      </c>
      <c r="F791" s="75" t="n">
        <v>46218</v>
      </c>
      <c r="G791" s="59" t="inlineStr">
        <is>
          <t>CB COMERCIO E DISTRIBUIDORA DE ALIMENTOS</t>
        </is>
      </c>
      <c r="H791" s="59" t="n">
        <v>1407455</v>
      </c>
      <c r="I791" s="59" t="n">
        <v>11</v>
      </c>
      <c r="J791" s="59" t="inlineStr">
        <is>
          <t>AM</t>
        </is>
      </c>
      <c r="K791" s="126" t="n">
        <v>2246.09</v>
      </c>
    </row>
    <row r="792" ht="15" customHeight="1" s="60">
      <c r="A792" s="59" t="n">
        <v>1</v>
      </c>
      <c r="B792" s="59" t="n">
        <v>173212</v>
      </c>
      <c r="C792" s="59" t="inlineStr">
        <is>
          <t>1</t>
        </is>
      </c>
      <c r="D792" s="59" t="inlineStr">
        <is>
          <t>10418161000153</t>
        </is>
      </c>
      <c r="E792" s="75" t="n">
        <v>46219</v>
      </c>
      <c r="F792" s="75" t="n">
        <v>46218</v>
      </c>
      <c r="G792" s="59" t="inlineStr">
        <is>
          <t>COMERCIO DE FRIOS MANAUS LTDA</t>
        </is>
      </c>
      <c r="H792" s="59" t="n">
        <v>1406948</v>
      </c>
      <c r="I792" s="59" t="n">
        <v>11</v>
      </c>
      <c r="J792" s="59" t="inlineStr">
        <is>
          <t>AM</t>
        </is>
      </c>
      <c r="K792" s="126" t="n">
        <v>3528.5</v>
      </c>
    </row>
    <row r="793" ht="15" customHeight="1" s="60">
      <c r="A793" s="59" t="n">
        <v>1</v>
      </c>
      <c r="B793" s="59" t="n">
        <v>3220224</v>
      </c>
      <c r="C793" s="59" t="inlineStr">
        <is>
          <t>1</t>
        </is>
      </c>
      <c r="D793" s="59" t="inlineStr">
        <is>
          <t>84466424000136</t>
        </is>
      </c>
      <c r="E793" s="75" t="n">
        <v>46219</v>
      </c>
      <c r="F793" s="75" t="n">
        <v>46218</v>
      </c>
      <c r="G793" s="59" t="inlineStr">
        <is>
          <t>DUNORTE DISTRIBUIDORA DE PRODUTOS DE CONSUMO LTDA</t>
        </is>
      </c>
      <c r="H793" s="59" t="n">
        <v>1407063</v>
      </c>
      <c r="I793" s="59" t="n">
        <v>11</v>
      </c>
      <c r="J793" s="59" t="inlineStr">
        <is>
          <t>AM</t>
        </is>
      </c>
      <c r="K793" s="126" t="n">
        <v>1757.52</v>
      </c>
    </row>
    <row r="794" ht="15" customHeight="1" s="60">
      <c r="A794" s="59" t="n">
        <v>1</v>
      </c>
      <c r="B794" s="59" t="n">
        <v>2301161</v>
      </c>
      <c r="C794" s="59" t="inlineStr">
        <is>
          <t>1</t>
        </is>
      </c>
      <c r="D794" s="59" t="inlineStr">
        <is>
          <t>05402904001562</t>
        </is>
      </c>
      <c r="E794" s="75" t="n">
        <v>46219</v>
      </c>
      <c r="F794" s="75" t="n">
        <v>46218</v>
      </c>
      <c r="G794" s="59" t="inlineStr">
        <is>
          <t>EMPRESA BRASILEIRA DE DISTRIBUICAO LTDA</t>
        </is>
      </c>
      <c r="H794" s="59" t="n">
        <v>1406416</v>
      </c>
      <c r="I794" s="59" t="n">
        <v>11</v>
      </c>
      <c r="J794" s="59" t="inlineStr">
        <is>
          <t>AM</t>
        </is>
      </c>
      <c r="K794" s="126" t="n">
        <v>1828.54</v>
      </c>
    </row>
    <row r="795" ht="15" customHeight="1" s="60">
      <c r="A795" s="59" t="n">
        <v>1</v>
      </c>
      <c r="B795" s="59" t="n">
        <v>3550</v>
      </c>
      <c r="C795" s="59" t="inlineStr">
        <is>
          <t>1</t>
        </is>
      </c>
      <c r="D795" s="59" t="inlineStr">
        <is>
          <t>59566132000128</t>
        </is>
      </c>
      <c r="E795" s="75" t="n">
        <v>46219</v>
      </c>
      <c r="F795" s="75" t="n">
        <v>46218</v>
      </c>
      <c r="G795" s="59" t="inlineStr">
        <is>
          <t>JAB COMERCIO DE PRODUTOS ALIMENTICIOS LT</t>
        </is>
      </c>
      <c r="H795" s="59" t="n">
        <v>1405649</v>
      </c>
      <c r="I795" s="59" t="n">
        <v>11</v>
      </c>
      <c r="J795" s="59" t="inlineStr">
        <is>
          <t>AM</t>
        </is>
      </c>
      <c r="K795" s="126" t="n">
        <v>315</v>
      </c>
    </row>
    <row r="796" ht="15" customHeight="1" s="60">
      <c r="A796" s="59" t="n">
        <v>1</v>
      </c>
      <c r="B796" s="59" t="n">
        <v>16646</v>
      </c>
      <c r="C796" s="59" t="inlineStr">
        <is>
          <t>1</t>
        </is>
      </c>
      <c r="D796" s="59" t="inlineStr">
        <is>
          <t>40259359000100</t>
        </is>
      </c>
      <c r="E796" s="75" t="n">
        <v>46219</v>
      </c>
      <c r="F796" s="75" t="n">
        <v>46217</v>
      </c>
      <c r="G796" s="59" t="inlineStr">
        <is>
          <t>LELE FABRICACAO DE MASSAS LTDA</t>
        </is>
      </c>
      <c r="H796" s="59" t="n">
        <v>1406047</v>
      </c>
      <c r="I796" s="59" t="n">
        <v>11</v>
      </c>
      <c r="J796" s="59" t="inlineStr">
        <is>
          <t>AM</t>
        </is>
      </c>
      <c r="K796" s="126" t="n">
        <v>450</v>
      </c>
    </row>
    <row r="797" ht="15" customHeight="1" s="60">
      <c r="A797" s="59" t="n">
        <v>1</v>
      </c>
      <c r="B797" s="59" t="n">
        <v>218815</v>
      </c>
      <c r="C797" s="59" t="inlineStr">
        <is>
          <t>3</t>
        </is>
      </c>
      <c r="D797" s="59" t="inlineStr">
        <is>
          <t>12660948000152</t>
        </is>
      </c>
      <c r="E797" s="75" t="n">
        <v>46219</v>
      </c>
      <c r="F797" s="75" t="n">
        <v>46217</v>
      </c>
      <c r="G797" s="59" t="inlineStr">
        <is>
          <t>RCL COMERCIO DE PRODUTOS ALIMENTICIOS LT</t>
        </is>
      </c>
      <c r="H797" s="59" t="n">
        <v>1405694</v>
      </c>
      <c r="I797" s="59" t="n">
        <v>11</v>
      </c>
      <c r="J797" s="59" t="inlineStr">
        <is>
          <t>AM</t>
        </is>
      </c>
      <c r="K797" s="126" t="n">
        <v>527.04</v>
      </c>
    </row>
    <row r="798" ht="15" customHeight="1" s="60">
      <c r="A798" s="59" t="n">
        <v>1</v>
      </c>
      <c r="B798" s="59" t="n">
        <v>42934</v>
      </c>
      <c r="C798" s="59" t="inlineStr">
        <is>
          <t>6</t>
        </is>
      </c>
      <c r="D798" s="59" t="inlineStr">
        <is>
          <t>04356697000199</t>
        </is>
      </c>
      <c r="E798" s="75" t="n">
        <v>46219</v>
      </c>
      <c r="F798" s="75" t="n">
        <v>46218</v>
      </c>
      <c r="G798" s="59" t="inlineStr">
        <is>
          <t>VIA CERTA INDUSTRIA E COMERCIO DE SANEANTES LTDA</t>
        </is>
      </c>
      <c r="H798" s="59" t="n">
        <v>1407196</v>
      </c>
      <c r="I798" s="59" t="n">
        <v>11</v>
      </c>
      <c r="J798" s="59" t="inlineStr">
        <is>
          <t>AM</t>
        </is>
      </c>
      <c r="K798" s="126" t="n">
        <v>304.8</v>
      </c>
    </row>
    <row r="799" ht="15" customHeight="1" s="60">
      <c r="A799" s="59" t="n">
        <v>1</v>
      </c>
      <c r="B799" s="59" t="n">
        <v>10312</v>
      </c>
      <c r="C799" s="59" t="inlineStr">
        <is>
          <t>2</t>
        </is>
      </c>
      <c r="D799" s="59" t="inlineStr">
        <is>
          <t>36296113000123</t>
        </is>
      </c>
      <c r="E799" s="75" t="n">
        <v>46219</v>
      </c>
      <c r="F799" s="75" t="n">
        <v>46216</v>
      </c>
      <c r="G799" s="59" t="inlineStr">
        <is>
          <t>VITAPAN COMERCIO VAREJISTA DE PRODUTOS ALIMENTICIOS LTDA</t>
        </is>
      </c>
      <c r="H799" s="59" t="n">
        <v>1405538</v>
      </c>
      <c r="I799" s="59" t="n">
        <v>11</v>
      </c>
      <c r="J799" s="59" t="inlineStr">
        <is>
          <t>AM</t>
        </is>
      </c>
      <c r="K799" s="126" t="n">
        <v>756</v>
      </c>
    </row>
    <row r="800" ht="15" customHeight="1" s="60">
      <c r="A800" s="59" t="n">
        <v>1</v>
      </c>
      <c r="B800" s="59" t="n">
        <v>3844</v>
      </c>
      <c r="C800" s="59" t="inlineStr">
        <is>
          <t>3</t>
        </is>
      </c>
      <c r="D800" s="59" t="inlineStr">
        <is>
          <t>37225449000168</t>
        </is>
      </c>
      <c r="E800" s="75" t="n">
        <v>46219</v>
      </c>
      <c r="F800" s="75" t="n">
        <v>46219</v>
      </c>
      <c r="G800" s="59" t="inlineStr">
        <is>
          <t>VOVO DIZA COMERCIO VAREJISTA DE HORTALICAS LTDA</t>
        </is>
      </c>
      <c r="H800" s="59" t="n">
        <v>1425336</v>
      </c>
      <c r="I800" s="59" t="n">
        <v>1</v>
      </c>
      <c r="J800" s="59" t="inlineStr">
        <is>
          <t>AM</t>
        </is>
      </c>
      <c r="K800" s="126" t="n">
        <v>200</v>
      </c>
    </row>
    <row r="801" ht="15" customHeight="1" s="60">
      <c r="A801" s="59" t="n">
        <v>1</v>
      </c>
      <c r="B801" s="59" t="n">
        <v>363</v>
      </c>
      <c r="C801" s="59" t="inlineStr">
        <is>
          <t>1</t>
        </is>
      </c>
      <c r="D801" s="59" t="inlineStr">
        <is>
          <t>63502353000100</t>
        </is>
      </c>
      <c r="E801" s="75" t="n">
        <v>46220</v>
      </c>
      <c r="F801" s="75" t="n">
        <v>46220</v>
      </c>
      <c r="G801" s="59" t="inlineStr">
        <is>
          <t>63.502.353 JOAO WYLLAMI NASCIMENTO DOS SANTOS</t>
        </is>
      </c>
      <c r="H801" s="59" t="n">
        <v>1425318</v>
      </c>
      <c r="I801" s="59" t="n">
        <v>1</v>
      </c>
      <c r="J801" s="59" t="inlineStr">
        <is>
          <t>AM</t>
        </is>
      </c>
      <c r="K801" s="126" t="n">
        <v>270</v>
      </c>
    </row>
    <row r="802" ht="15" customHeight="1" s="60">
      <c r="A802" s="59" t="n">
        <v>1</v>
      </c>
      <c r="B802" s="59" t="n">
        <v>336</v>
      </c>
      <c r="C802" s="59" t="inlineStr">
        <is>
          <t>1</t>
        </is>
      </c>
      <c r="D802" s="59" t="inlineStr">
        <is>
          <t>34787423000115</t>
        </is>
      </c>
      <c r="E802" s="75" t="n">
        <v>46220</v>
      </c>
      <c r="F802" s="75" t="n">
        <v>46219</v>
      </c>
      <c r="G802" s="59" t="inlineStr">
        <is>
          <t>ADRIANO FEITOSA OLIVEIRA LTDA</t>
        </is>
      </c>
      <c r="H802" s="59" t="n">
        <v>1410764</v>
      </c>
      <c r="I802" s="59" t="n">
        <v>11</v>
      </c>
      <c r="J802" s="59" t="inlineStr">
        <is>
          <t>AM</t>
        </is>
      </c>
      <c r="K802" s="126" t="n">
        <v>1850</v>
      </c>
    </row>
    <row r="803" ht="15" customHeight="1" s="60">
      <c r="A803" s="59" t="n">
        <v>1</v>
      </c>
      <c r="B803" s="59" t="n">
        <v>1608648</v>
      </c>
      <c r="C803" s="59" t="inlineStr">
        <is>
          <t>1</t>
        </is>
      </c>
      <c r="D803" s="59" t="inlineStr">
        <is>
          <t>01838723026193</t>
        </is>
      </c>
      <c r="E803" s="75" t="n">
        <v>46220</v>
      </c>
      <c r="F803" s="75" t="n">
        <v>46220</v>
      </c>
      <c r="G803" s="59" t="inlineStr">
        <is>
          <t>BRF S A</t>
        </is>
      </c>
      <c r="H803" s="59" t="n">
        <v>1411787</v>
      </c>
      <c r="I803" s="59" t="n">
        <v>11</v>
      </c>
      <c r="J803" s="59" t="inlineStr">
        <is>
          <t>AM</t>
        </is>
      </c>
      <c r="K803" s="126" t="n">
        <v>8343.02</v>
      </c>
    </row>
    <row r="804" ht="15" customHeight="1" s="60">
      <c r="A804" s="59" t="n">
        <v>1</v>
      </c>
      <c r="B804" s="59" t="n">
        <v>14888</v>
      </c>
      <c r="C804" s="59" t="inlineStr">
        <is>
          <t>1</t>
        </is>
      </c>
      <c r="D804" s="59" t="inlineStr">
        <is>
          <t>09531992000158</t>
        </is>
      </c>
      <c r="E804" s="75" t="n">
        <v>46220</v>
      </c>
      <c r="F804" s="75" t="n">
        <v>46220</v>
      </c>
      <c r="G804" s="59" t="inlineStr">
        <is>
          <t>COMERCIO E TRANSPORTE BRANDAO LTDA</t>
        </is>
      </c>
      <c r="H804" s="59" t="n">
        <v>1411307</v>
      </c>
      <c r="I804" s="59" t="n">
        <v>1</v>
      </c>
      <c r="J804" s="59" t="inlineStr">
        <is>
          <t>AM</t>
        </is>
      </c>
      <c r="K804" s="126" t="n">
        <v>990</v>
      </c>
    </row>
    <row r="805" ht="15" customHeight="1" s="60">
      <c r="A805" s="59" t="n">
        <v>1</v>
      </c>
      <c r="B805" s="59" t="n">
        <v>1693814</v>
      </c>
      <c r="C805" s="59" t="inlineStr">
        <is>
          <t>1</t>
        </is>
      </c>
      <c r="D805" s="59" t="inlineStr">
        <is>
          <t>02796653000154</t>
        </is>
      </c>
      <c r="E805" s="75" t="n">
        <v>46220</v>
      </c>
      <c r="F805" s="75" t="n">
        <v>46219</v>
      </c>
      <c r="G805" s="59" t="inlineStr">
        <is>
          <t>DISTRIBUIDORA LOPES LTDA</t>
        </is>
      </c>
      <c r="H805" s="59" t="n">
        <v>1410652</v>
      </c>
      <c r="I805" s="59" t="n">
        <v>11</v>
      </c>
      <c r="J805" s="59" t="inlineStr">
        <is>
          <t>AM</t>
        </is>
      </c>
      <c r="K805" s="126" t="n">
        <v>2801.52</v>
      </c>
    </row>
    <row r="806" ht="15" customHeight="1" s="60">
      <c r="A806" s="59" t="n">
        <v>1</v>
      </c>
      <c r="B806" s="59" t="n">
        <v>375</v>
      </c>
      <c r="C806" s="59" t="inlineStr">
        <is>
          <t>2</t>
        </is>
      </c>
      <c r="D806" s="59" t="inlineStr">
        <is>
          <t>20380110000133</t>
        </is>
      </c>
      <c r="E806" s="75" t="n">
        <v>46220</v>
      </c>
      <c r="F806" s="75" t="n">
        <v>46220</v>
      </c>
      <c r="G806" s="59" t="inlineStr">
        <is>
          <t>GELO DANGELO FABRICACAO DE GELO LTDA</t>
        </is>
      </c>
      <c r="H806" s="59" t="n">
        <v>1425085</v>
      </c>
      <c r="I806" s="59" t="n">
        <v>1</v>
      </c>
      <c r="J806" s="59" t="inlineStr">
        <is>
          <t>AM</t>
        </is>
      </c>
      <c r="K806" s="126" t="n">
        <v>416.5</v>
      </c>
    </row>
    <row r="807" ht="15" customHeight="1" s="60">
      <c r="A807" s="59" t="n">
        <v>1</v>
      </c>
      <c r="B807" s="59" t="n">
        <v>1</v>
      </c>
      <c r="C807" s="59" t="inlineStr">
        <is>
          <t>1</t>
        </is>
      </c>
      <c r="D807" s="59" t="inlineStr">
        <is>
          <t>55158713000170</t>
        </is>
      </c>
      <c r="E807" s="75" t="n">
        <v>46220</v>
      </c>
      <c r="F807" s="75" t="n">
        <v>46220</v>
      </c>
      <c r="G807" s="59" t="inlineStr">
        <is>
          <t>H L M PADARIA E CONFEITARIA LTDA</t>
        </is>
      </c>
      <c r="H807" s="59" t="n">
        <v>1463081</v>
      </c>
      <c r="I807" s="59" t="n">
        <v>1</v>
      </c>
      <c r="J807" s="59" t="inlineStr">
        <is>
          <t>AM</t>
        </is>
      </c>
      <c r="K807" s="126" t="n">
        <v>560</v>
      </c>
    </row>
    <row r="808" ht="15" customHeight="1" s="60">
      <c r="A808" s="59" t="n">
        <v>1</v>
      </c>
      <c r="B808" s="59" t="n">
        <v>24</v>
      </c>
      <c r="C808" s="59" t="inlineStr">
        <is>
          <t>1</t>
        </is>
      </c>
      <c r="D808" s="59" t="inlineStr">
        <is>
          <t>55158713000170</t>
        </is>
      </c>
      <c r="E808" s="75" t="n">
        <v>46220</v>
      </c>
      <c r="F808" s="75" t="n">
        <v>46220</v>
      </c>
      <c r="G808" s="59" t="inlineStr">
        <is>
          <t>H L M PADARIA E CONFEITARIA LTDA</t>
        </is>
      </c>
      <c r="H808" s="59" t="n">
        <v>1463156</v>
      </c>
      <c r="I808" s="59" t="n">
        <v>1</v>
      </c>
      <c r="J808" s="59" t="inlineStr">
        <is>
          <t>AM</t>
        </is>
      </c>
      <c r="K808" s="126" t="n">
        <v>240</v>
      </c>
    </row>
    <row r="809" ht="15" customHeight="1" s="60">
      <c r="A809" s="59" t="n">
        <v>1</v>
      </c>
      <c r="B809" s="59" t="n">
        <v>25</v>
      </c>
      <c r="C809" s="59" t="inlineStr">
        <is>
          <t>1</t>
        </is>
      </c>
      <c r="D809" s="59" t="inlineStr">
        <is>
          <t>55158713000170</t>
        </is>
      </c>
      <c r="E809" s="75" t="n">
        <v>46220</v>
      </c>
      <c r="F809" s="75" t="n">
        <v>46220</v>
      </c>
      <c r="G809" s="59" t="inlineStr">
        <is>
          <t>H L M PADARIA E CONFEITARIA LTDA</t>
        </is>
      </c>
      <c r="H809" s="59" t="n">
        <v>1460091</v>
      </c>
      <c r="I809" s="59" t="n">
        <v>1</v>
      </c>
      <c r="J809" s="59" t="inlineStr">
        <is>
          <t>AM</t>
        </is>
      </c>
      <c r="K809" s="126" t="n">
        <v>440</v>
      </c>
    </row>
    <row r="810" ht="15" customHeight="1" s="60">
      <c r="A810" s="59" t="n">
        <v>1</v>
      </c>
      <c r="B810" s="59" t="n">
        <v>26</v>
      </c>
      <c r="C810" s="59" t="inlineStr">
        <is>
          <t>1</t>
        </is>
      </c>
      <c r="D810" s="59" t="inlineStr">
        <is>
          <t>55158713000170</t>
        </is>
      </c>
      <c r="E810" s="75" t="n">
        <v>46220</v>
      </c>
      <c r="F810" s="75" t="n">
        <v>46220</v>
      </c>
      <c r="G810" s="59" t="inlineStr">
        <is>
          <t>H L M PADARIA E CONFEITARIA LTDA</t>
        </is>
      </c>
      <c r="H810" s="59" t="n">
        <v>1460043</v>
      </c>
      <c r="I810" s="59" t="n">
        <v>1</v>
      </c>
      <c r="J810" s="59" t="inlineStr">
        <is>
          <t>AM</t>
        </is>
      </c>
      <c r="K810" s="126" t="n">
        <v>560</v>
      </c>
    </row>
    <row r="811" ht="15" customHeight="1" s="60">
      <c r="A811" s="59" t="n">
        <v>1</v>
      </c>
      <c r="B811" s="59" t="n">
        <v>27</v>
      </c>
      <c r="C811" s="59" t="inlineStr">
        <is>
          <t>1</t>
        </is>
      </c>
      <c r="D811" s="59" t="inlineStr">
        <is>
          <t>55158713000170</t>
        </is>
      </c>
      <c r="E811" s="75" t="n">
        <v>46220</v>
      </c>
      <c r="F811" s="75" t="n">
        <v>46220</v>
      </c>
      <c r="G811" s="59" t="inlineStr">
        <is>
          <t>H L M PADARIA E CONFEITARIA LTDA</t>
        </is>
      </c>
      <c r="H811" s="59" t="n">
        <v>1463047</v>
      </c>
      <c r="I811" s="59" t="n">
        <v>1</v>
      </c>
      <c r="J811" s="59" t="inlineStr">
        <is>
          <t>AM</t>
        </is>
      </c>
      <c r="K811" s="126" t="n">
        <v>240</v>
      </c>
    </row>
    <row r="812" ht="15" customHeight="1" s="60">
      <c r="A812" s="59" t="n">
        <v>1</v>
      </c>
      <c r="B812" s="59" t="n">
        <v>28</v>
      </c>
      <c r="C812" s="59" t="inlineStr">
        <is>
          <t>1</t>
        </is>
      </c>
      <c r="D812" s="59" t="inlineStr">
        <is>
          <t>55158713000170</t>
        </is>
      </c>
      <c r="E812" s="75" t="n">
        <v>46220</v>
      </c>
      <c r="F812" s="75" t="n">
        <v>46220</v>
      </c>
      <c r="G812" s="59" t="inlineStr">
        <is>
          <t>H L M PADARIA E CONFEITARIA LTDA</t>
        </is>
      </c>
      <c r="H812" s="59" t="n">
        <v>1462689</v>
      </c>
      <c r="I812" s="59" t="n">
        <v>1</v>
      </c>
      <c r="J812" s="59" t="inlineStr">
        <is>
          <t>AM</t>
        </is>
      </c>
      <c r="K812" s="126" t="n">
        <v>400</v>
      </c>
    </row>
    <row r="813" ht="15" customHeight="1" s="60">
      <c r="A813" s="59" t="n">
        <v>1</v>
      </c>
      <c r="B813" s="59" t="n">
        <v>29</v>
      </c>
      <c r="C813" s="59" t="inlineStr">
        <is>
          <t>1</t>
        </is>
      </c>
      <c r="D813" s="59" t="inlineStr">
        <is>
          <t>55158713000170</t>
        </is>
      </c>
      <c r="E813" s="75" t="n">
        <v>46220</v>
      </c>
      <c r="F813" s="75" t="n">
        <v>46220</v>
      </c>
      <c r="G813" s="59" t="inlineStr">
        <is>
          <t>H L M PADARIA E CONFEITARIA LTDA</t>
        </is>
      </c>
      <c r="H813" s="59" t="n">
        <v>1460314</v>
      </c>
      <c r="I813" s="59" t="n">
        <v>1</v>
      </c>
      <c r="J813" s="59" t="inlineStr">
        <is>
          <t>AM</t>
        </is>
      </c>
      <c r="K813" s="126" t="n">
        <v>480</v>
      </c>
    </row>
    <row r="814" ht="15" customHeight="1" s="60">
      <c r="A814" s="59" t="n">
        <v>1</v>
      </c>
      <c r="B814" s="59" t="n">
        <v>30</v>
      </c>
      <c r="C814" s="59" t="inlineStr">
        <is>
          <t>1</t>
        </is>
      </c>
      <c r="D814" s="59" t="inlineStr">
        <is>
          <t>55158713000170</t>
        </is>
      </c>
      <c r="E814" s="75" t="n">
        <v>46220</v>
      </c>
      <c r="F814" s="75" t="n">
        <v>46220</v>
      </c>
      <c r="G814" s="59" t="inlineStr">
        <is>
          <t>H L M PADARIA E CONFEITARIA LTDA</t>
        </is>
      </c>
      <c r="H814" s="59" t="n">
        <v>1462933</v>
      </c>
      <c r="I814" s="59" t="n">
        <v>1</v>
      </c>
      <c r="J814" s="59" t="inlineStr">
        <is>
          <t>AM</t>
        </is>
      </c>
      <c r="K814" s="126" t="n">
        <v>440</v>
      </c>
    </row>
    <row r="815" ht="15" customHeight="1" s="60">
      <c r="A815" s="59" t="n">
        <v>1</v>
      </c>
      <c r="B815" s="59" t="n">
        <v>31</v>
      </c>
      <c r="C815" s="59" t="inlineStr">
        <is>
          <t>1</t>
        </is>
      </c>
      <c r="D815" s="59" t="inlineStr">
        <is>
          <t>55158713000170</t>
        </is>
      </c>
      <c r="E815" s="75" t="n">
        <v>46220</v>
      </c>
      <c r="F815" s="75" t="n">
        <v>46220</v>
      </c>
      <c r="G815" s="59" t="inlineStr">
        <is>
          <t>H L M PADARIA E CONFEITARIA LTDA</t>
        </is>
      </c>
      <c r="H815" s="59" t="n">
        <v>1460251</v>
      </c>
      <c r="I815" s="59" t="n">
        <v>1</v>
      </c>
      <c r="J815" s="59" t="inlineStr">
        <is>
          <t>AM</t>
        </is>
      </c>
      <c r="K815" s="126" t="n">
        <v>420</v>
      </c>
    </row>
    <row r="816" ht="15" customHeight="1" s="60">
      <c r="A816" s="59" t="n">
        <v>1</v>
      </c>
      <c r="B816" s="59" t="n">
        <v>32</v>
      </c>
      <c r="C816" s="59" t="inlineStr">
        <is>
          <t>1</t>
        </is>
      </c>
      <c r="D816" s="59" t="inlineStr">
        <is>
          <t>55158713000170</t>
        </is>
      </c>
      <c r="E816" s="75" t="n">
        <v>46220</v>
      </c>
      <c r="F816" s="75" t="n">
        <v>46220</v>
      </c>
      <c r="G816" s="59" t="inlineStr">
        <is>
          <t>H L M PADARIA E CONFEITARIA LTDA</t>
        </is>
      </c>
      <c r="H816" s="59" t="n">
        <v>1460196</v>
      </c>
      <c r="I816" s="59" t="n">
        <v>1</v>
      </c>
      <c r="J816" s="59" t="inlineStr">
        <is>
          <t>AM</t>
        </is>
      </c>
      <c r="K816" s="126" t="n">
        <v>300</v>
      </c>
    </row>
    <row r="817" ht="15" customHeight="1" s="60">
      <c r="A817" s="59" t="n">
        <v>1</v>
      </c>
      <c r="B817" s="59" t="n">
        <v>33</v>
      </c>
      <c r="C817" s="59" t="inlineStr">
        <is>
          <t>1</t>
        </is>
      </c>
      <c r="D817" s="59" t="inlineStr">
        <is>
          <t>55158713000170</t>
        </is>
      </c>
      <c r="E817" s="75" t="n">
        <v>46220</v>
      </c>
      <c r="F817" s="75" t="n">
        <v>46220</v>
      </c>
      <c r="G817" s="59" t="inlineStr">
        <is>
          <t>H L M PADARIA E CONFEITARIA LTDA</t>
        </is>
      </c>
      <c r="H817" s="59" t="n">
        <v>1425418</v>
      </c>
      <c r="I817" s="59" t="n">
        <v>1</v>
      </c>
      <c r="J817" s="59" t="inlineStr">
        <is>
          <t>AM</t>
        </is>
      </c>
      <c r="K817" s="126" t="n">
        <v>480</v>
      </c>
    </row>
    <row r="818" ht="15" customHeight="1" s="60">
      <c r="A818" s="59" t="n">
        <v>1</v>
      </c>
      <c r="B818" s="59" t="n">
        <v>3541</v>
      </c>
      <c r="C818" s="59" t="inlineStr">
        <is>
          <t>1</t>
        </is>
      </c>
      <c r="D818" s="59" t="inlineStr">
        <is>
          <t>21141748000184</t>
        </is>
      </c>
      <c r="E818" s="75" t="n">
        <v>46220</v>
      </c>
      <c r="F818" s="75" t="n">
        <v>46218</v>
      </c>
      <c r="G818" s="59" t="inlineStr">
        <is>
          <t>MARCLEY MACHADO CHAVES</t>
        </is>
      </c>
      <c r="H818" s="59" t="n">
        <v>1411210</v>
      </c>
      <c r="I818" s="59" t="n">
        <v>11</v>
      </c>
      <c r="J818" s="59" t="inlineStr">
        <is>
          <t>AM</t>
        </is>
      </c>
      <c r="K818" s="126" t="n">
        <v>1625.7</v>
      </c>
    </row>
    <row r="819" ht="15" customHeight="1" s="60">
      <c r="A819" s="59" t="n">
        <v>1</v>
      </c>
      <c r="B819" s="59" t="n">
        <v>718</v>
      </c>
      <c r="C819" s="59" t="inlineStr">
        <is>
          <t>2</t>
        </is>
      </c>
      <c r="D819" s="59" t="inlineStr">
        <is>
          <t>35729236000148</t>
        </is>
      </c>
      <c r="E819" s="75" t="n">
        <v>46220</v>
      </c>
      <c r="F819" s="75" t="n">
        <v>46219</v>
      </c>
      <c r="G819" s="59" t="inlineStr">
        <is>
          <t>PANIFICADORA E CONFEITARIA REAL MADRI LTDA</t>
        </is>
      </c>
      <c r="H819" s="59" t="n">
        <v>1410425</v>
      </c>
      <c r="I819" s="59" t="n">
        <v>11</v>
      </c>
      <c r="J819" s="59" t="inlineStr">
        <is>
          <t>AM</t>
        </is>
      </c>
      <c r="K819" s="126" t="n">
        <v>297.13</v>
      </c>
    </row>
    <row r="820" ht="15" customHeight="1" s="60">
      <c r="A820" s="59" t="n">
        <v>1</v>
      </c>
      <c r="B820" s="59" t="n">
        <v>720</v>
      </c>
      <c r="C820" s="59" t="inlineStr">
        <is>
          <t>2</t>
        </is>
      </c>
      <c r="D820" s="59" t="inlineStr">
        <is>
          <t>35729236000148</t>
        </is>
      </c>
      <c r="E820" s="75" t="n">
        <v>46220</v>
      </c>
      <c r="F820" s="75" t="n">
        <v>46219</v>
      </c>
      <c r="G820" s="59" t="inlineStr">
        <is>
          <t>PANIFICADORA E CONFEITARIA REAL MADRI LTDA</t>
        </is>
      </c>
      <c r="H820" s="59" t="n">
        <v>1410465</v>
      </c>
      <c r="I820" s="59" t="n">
        <v>11</v>
      </c>
      <c r="J820" s="59" t="inlineStr">
        <is>
          <t>AM</t>
        </is>
      </c>
      <c r="K820" s="126" t="n">
        <v>700</v>
      </c>
    </row>
    <row r="821" ht="15" customHeight="1" s="60">
      <c r="A821" s="59" t="n">
        <v>1</v>
      </c>
      <c r="B821" s="59" t="n">
        <v>604178</v>
      </c>
      <c r="C821" s="59" t="inlineStr">
        <is>
          <t>6</t>
        </is>
      </c>
      <c r="D821" s="59" t="inlineStr">
        <is>
          <t>06990011000304</t>
        </is>
      </c>
      <c r="E821" s="75" t="n">
        <v>46220</v>
      </c>
      <c r="F821" s="75" t="n">
        <v>46218</v>
      </c>
      <c r="G821" s="59" t="inlineStr">
        <is>
          <t>REAL BEBIDAS DA AMAZONIA LTDA</t>
        </is>
      </c>
      <c r="H821" s="59" t="n">
        <v>1410445</v>
      </c>
      <c r="I821" s="59" t="n">
        <v>11</v>
      </c>
      <c r="J821" s="59" t="inlineStr">
        <is>
          <t>AM</t>
        </is>
      </c>
      <c r="K821" s="126" t="n">
        <v>704</v>
      </c>
    </row>
    <row r="822" ht="15" customHeight="1" s="60">
      <c r="A822" s="59" t="n">
        <v>1</v>
      </c>
      <c r="B822" s="59" t="n">
        <v>5309</v>
      </c>
      <c r="C822" s="59" t="inlineStr">
        <is>
          <t>1</t>
        </is>
      </c>
      <c r="D822" s="59" t="inlineStr">
        <is>
          <t>36480282000119</t>
        </is>
      </c>
      <c r="E822" s="75" t="n">
        <v>46220</v>
      </c>
      <c r="F822" s="75" t="n">
        <v>46220</v>
      </c>
      <c r="G822" s="59" t="inlineStr">
        <is>
          <t>RENATO DE O AZEVEDO E CIA LTDA - EPP</t>
        </is>
      </c>
      <c r="H822" s="59" t="n">
        <v>1411286</v>
      </c>
      <c r="I822" s="59" t="n">
        <v>6</v>
      </c>
      <c r="J822" s="59" t="inlineStr">
        <is>
          <t>AM</t>
        </is>
      </c>
      <c r="K822" s="126" t="n">
        <v>2682</v>
      </c>
    </row>
    <row r="823" ht="15" customHeight="1" s="60">
      <c r="A823" s="59" t="n">
        <v>1</v>
      </c>
      <c r="B823" s="59" t="n">
        <v>5310</v>
      </c>
      <c r="C823" s="59" t="inlineStr">
        <is>
          <t>1</t>
        </is>
      </c>
      <c r="D823" s="59" t="inlineStr">
        <is>
          <t>36480282000119</t>
        </is>
      </c>
      <c r="E823" s="75" t="n">
        <v>46220</v>
      </c>
      <c r="F823" s="75" t="n">
        <v>46220</v>
      </c>
      <c r="G823" s="59" t="inlineStr">
        <is>
          <t>RENATO DE O AZEVEDO E CIA LTDA - EPP</t>
        </is>
      </c>
      <c r="H823" s="59" t="n">
        <v>1411783</v>
      </c>
      <c r="I823" s="59" t="n">
        <v>6</v>
      </c>
      <c r="J823" s="59" t="inlineStr">
        <is>
          <t>AM</t>
        </is>
      </c>
      <c r="K823" s="126" t="n">
        <v>3110</v>
      </c>
    </row>
    <row r="824" ht="15" customHeight="1" s="60">
      <c r="A824" s="59" t="n">
        <v>1</v>
      </c>
      <c r="B824" s="59" t="n">
        <v>1964147</v>
      </c>
      <c r="C824" s="59" t="inlineStr">
        <is>
          <t>1</t>
        </is>
      </c>
      <c r="D824" s="59" t="inlineStr">
        <is>
          <t>04429478000192</t>
        </is>
      </c>
      <c r="E824" s="75" t="n">
        <v>46220</v>
      </c>
      <c r="F824" s="75" t="n">
        <v>46219</v>
      </c>
      <c r="G824" s="59" t="inlineStr">
        <is>
          <t>SB COMERCIO LTDA</t>
        </is>
      </c>
      <c r="H824" s="59" t="n">
        <v>1411964</v>
      </c>
      <c r="I824" s="59" t="n">
        <v>11</v>
      </c>
      <c r="J824" s="59" t="inlineStr">
        <is>
          <t>AM</t>
        </is>
      </c>
      <c r="K824" s="126" t="n">
        <v>3388</v>
      </c>
    </row>
    <row r="825" ht="15" customHeight="1" s="60">
      <c r="A825" s="59" t="n">
        <v>1</v>
      </c>
      <c r="B825" s="59" t="n">
        <v>534</v>
      </c>
      <c r="C825" s="59" t="inlineStr">
        <is>
          <t>1</t>
        </is>
      </c>
      <c r="D825" s="59" t="inlineStr">
        <is>
          <t>47496330000183</t>
        </is>
      </c>
      <c r="E825" s="75" t="n">
        <v>46221</v>
      </c>
      <c r="F825" s="75" t="n">
        <v>46220</v>
      </c>
      <c r="G825" s="59" t="inlineStr">
        <is>
          <t>ADICSO FABIAN GONZALEZ MONTILLA 70302186</t>
        </is>
      </c>
      <c r="H825" s="59" t="n">
        <v>1415557</v>
      </c>
      <c r="I825" s="59" t="n">
        <v>11</v>
      </c>
      <c r="J825" s="59" t="inlineStr">
        <is>
          <t>AM</t>
        </is>
      </c>
      <c r="K825" s="126" t="n">
        <v>960</v>
      </c>
    </row>
    <row r="826" ht="15" customHeight="1" s="60">
      <c r="A826" s="59" t="n">
        <v>1</v>
      </c>
      <c r="B826" s="59" t="n">
        <v>173326</v>
      </c>
      <c r="C826" s="59" t="inlineStr">
        <is>
          <t>1</t>
        </is>
      </c>
      <c r="D826" s="59" t="inlineStr">
        <is>
          <t>10418161000153</t>
        </is>
      </c>
      <c r="E826" s="75" t="n">
        <v>46221</v>
      </c>
      <c r="F826" s="75" t="n">
        <v>46220</v>
      </c>
      <c r="G826" s="59" t="inlineStr">
        <is>
          <t>COMERCIO DE FRIOS MANAUS LTDA</t>
        </is>
      </c>
      <c r="H826" s="59" t="n">
        <v>1415507</v>
      </c>
      <c r="I826" s="59" t="n">
        <v>11</v>
      </c>
      <c r="J826" s="59" t="inlineStr">
        <is>
          <t>AM</t>
        </is>
      </c>
      <c r="K826" s="126" t="n">
        <v>3632.9</v>
      </c>
    </row>
    <row r="827" ht="15" customHeight="1" s="60">
      <c r="A827" s="59" t="n">
        <v>1</v>
      </c>
      <c r="B827" s="59" t="n">
        <v>34</v>
      </c>
      <c r="C827" s="59" t="inlineStr">
        <is>
          <t>1</t>
        </is>
      </c>
      <c r="D827" s="59" t="inlineStr">
        <is>
          <t>55158713000170</t>
        </is>
      </c>
      <c r="E827" s="75" t="n">
        <v>46221</v>
      </c>
      <c r="F827" s="75" t="n">
        <v>46221</v>
      </c>
      <c r="G827" s="59" t="inlineStr">
        <is>
          <t>H L M PADARIA E CONFEITARIA LTDA</t>
        </is>
      </c>
      <c r="H827" s="59" t="n">
        <v>1425390</v>
      </c>
      <c r="I827" s="59" t="n">
        <v>1</v>
      </c>
      <c r="J827" s="59" t="inlineStr">
        <is>
          <t>AM</t>
        </is>
      </c>
      <c r="K827" s="126" t="n">
        <v>560</v>
      </c>
    </row>
    <row r="828" ht="15" customHeight="1" s="60">
      <c r="A828" s="59" t="n">
        <v>1</v>
      </c>
      <c r="B828" s="59" t="n">
        <v>502189</v>
      </c>
      <c r="C828" s="59" t="inlineStr">
        <is>
          <t>1</t>
        </is>
      </c>
      <c r="D828" s="59" t="inlineStr">
        <is>
          <t>01520248000227</t>
        </is>
      </c>
      <c r="E828" s="75" t="n">
        <v>46221</v>
      </c>
      <c r="F828" s="75" t="n">
        <v>46218</v>
      </c>
      <c r="G828" s="59" t="inlineStr">
        <is>
          <t>MARQUES &amp; MELO LTDA - FILIAL</t>
        </is>
      </c>
      <c r="H828" s="59" t="n">
        <v>1415720</v>
      </c>
      <c r="I828" s="59" t="n">
        <v>11</v>
      </c>
      <c r="J828" s="59" t="inlineStr">
        <is>
          <t>AM</t>
        </is>
      </c>
      <c r="K828" s="126" t="n">
        <v>3545.88</v>
      </c>
    </row>
    <row r="829" ht="15" customHeight="1" s="60">
      <c r="A829" s="59" t="n">
        <v>1</v>
      </c>
      <c r="B829" s="59" t="n">
        <v>14727</v>
      </c>
      <c r="C829" s="59" t="inlineStr">
        <is>
          <t>1</t>
        </is>
      </c>
      <c r="D829" s="59" t="inlineStr">
        <is>
          <t>03784729000194</t>
        </is>
      </c>
      <c r="E829" s="75" t="n">
        <v>46221</v>
      </c>
      <c r="F829" s="75" t="n">
        <v>46219</v>
      </c>
      <c r="G829" s="59" t="inlineStr">
        <is>
          <t>MAXFRI DISTRIUIDORA LTDA</t>
        </is>
      </c>
      <c r="H829" s="59" t="n">
        <v>1415316</v>
      </c>
      <c r="I829" s="59" t="n">
        <v>11</v>
      </c>
      <c r="J829" s="59" t="inlineStr">
        <is>
          <t>AM</t>
        </is>
      </c>
      <c r="K829" s="126" t="n">
        <v>6254.1</v>
      </c>
    </row>
    <row r="830" ht="15" customHeight="1" s="60">
      <c r="A830" s="59" t="n">
        <v>1</v>
      </c>
      <c r="B830" s="59" t="n">
        <v>47382</v>
      </c>
      <c r="C830" s="59" t="inlineStr">
        <is>
          <t>4</t>
        </is>
      </c>
      <c r="D830" s="59" t="inlineStr">
        <is>
          <t>05022353005337</t>
        </is>
      </c>
      <c r="E830" s="75" t="n">
        <v>46221</v>
      </c>
      <c r="F830" s="75" t="n">
        <v>46218</v>
      </c>
      <c r="G830" s="59" t="inlineStr">
        <is>
          <t>RV TECNOLOGIA E SISTEMAS S.A. - MA</t>
        </is>
      </c>
      <c r="H830" s="59" t="n">
        <v>1415564</v>
      </c>
      <c r="I830" s="59" t="n">
        <v>11</v>
      </c>
      <c r="J830" s="59" t="inlineStr">
        <is>
          <t>AM</t>
        </is>
      </c>
      <c r="K830" s="126" t="n">
        <v>34.65</v>
      </c>
    </row>
    <row r="831" ht="15" customHeight="1" s="60">
      <c r="A831" s="59" t="n">
        <v>1</v>
      </c>
      <c r="B831" s="59" t="n">
        <v>1140</v>
      </c>
      <c r="C831" s="59" t="inlineStr">
        <is>
          <t>2</t>
        </is>
      </c>
      <c r="D831" s="59" t="inlineStr">
        <is>
          <t>06177766000475</t>
        </is>
      </c>
      <c r="E831" s="75" t="n">
        <v>46223</v>
      </c>
      <c r="F831" s="75" t="n">
        <v>46223</v>
      </c>
      <c r="G831" s="59" t="inlineStr">
        <is>
          <t>A M A DE LIMA INDUSTRIA E COMERCIO DE PRODUTOS ALIMENTICIOS LTDA</t>
        </is>
      </c>
      <c r="H831" s="59" t="n">
        <v>1463352</v>
      </c>
      <c r="I831" s="59" t="n">
        <v>1</v>
      </c>
      <c r="J831" s="59" t="inlineStr">
        <is>
          <t>AM</t>
        </is>
      </c>
      <c r="K831" s="126" t="n">
        <v>302.5</v>
      </c>
    </row>
    <row r="832" ht="15" customHeight="1" s="60">
      <c r="A832" s="59" t="n">
        <v>1</v>
      </c>
      <c r="B832" s="59" t="n">
        <v>1906316</v>
      </c>
      <c r="C832" s="59" t="inlineStr">
        <is>
          <t>1</t>
        </is>
      </c>
      <c r="D832" s="59" t="inlineStr">
        <is>
          <t>75315333011909</t>
        </is>
      </c>
      <c r="E832" s="75" t="n">
        <v>46223</v>
      </c>
      <c r="F832" s="75" t="n">
        <v>46218</v>
      </c>
      <c r="G832" s="59" t="inlineStr">
        <is>
          <t>ATACADAO S.A.</t>
        </is>
      </c>
      <c r="H832" s="59" t="n">
        <v>1424303</v>
      </c>
      <c r="I832" s="59" t="n">
        <v>11</v>
      </c>
      <c r="J832" s="59" t="inlineStr">
        <is>
          <t>AM</t>
        </is>
      </c>
      <c r="K832" s="126" t="n">
        <v>832.4</v>
      </c>
    </row>
    <row r="833" ht="15" customHeight="1" s="60">
      <c r="A833" s="59" t="n">
        <v>1</v>
      </c>
      <c r="B833" s="59" t="n">
        <v>1906317</v>
      </c>
      <c r="C833" s="59" t="inlineStr">
        <is>
          <t>1</t>
        </is>
      </c>
      <c r="D833" s="59" t="inlineStr">
        <is>
          <t>75315333011909</t>
        </is>
      </c>
      <c r="E833" s="75" t="n">
        <v>46223</v>
      </c>
      <c r="F833" s="75" t="n">
        <v>46218</v>
      </c>
      <c r="G833" s="59" t="inlineStr">
        <is>
          <t>ATACADAO S.A.</t>
        </is>
      </c>
      <c r="H833" s="59" t="n">
        <v>1424150</v>
      </c>
      <c r="I833" s="59" t="n">
        <v>11</v>
      </c>
      <c r="J833" s="59" t="inlineStr">
        <is>
          <t>AM</t>
        </is>
      </c>
      <c r="K833" s="126" t="n">
        <v>958.5</v>
      </c>
    </row>
    <row r="834" ht="15" customHeight="1" s="60">
      <c r="A834" s="59" t="n">
        <v>1</v>
      </c>
      <c r="B834" s="59" t="n">
        <v>11447</v>
      </c>
      <c r="C834" s="59" t="inlineStr">
        <is>
          <t>2</t>
        </is>
      </c>
      <c r="D834" s="59" t="inlineStr">
        <is>
          <t>40810324000100</t>
        </is>
      </c>
      <c r="E834" s="75" t="n">
        <v>46223</v>
      </c>
      <c r="F834" s="75" t="n">
        <v>46223</v>
      </c>
      <c r="G834" s="59" t="inlineStr">
        <is>
          <t>C. R. PARENTE ABREU</t>
        </is>
      </c>
      <c r="H834" s="59" t="n">
        <v>1424879</v>
      </c>
      <c r="I834" s="59" t="n">
        <v>11</v>
      </c>
      <c r="J834" s="59" t="inlineStr">
        <is>
          <t>AM</t>
        </is>
      </c>
      <c r="K834" s="126" t="n">
        <v>1356.92</v>
      </c>
    </row>
    <row r="835" ht="15" customHeight="1" s="60">
      <c r="A835" s="59" t="n">
        <v>1</v>
      </c>
      <c r="B835" s="59" t="n">
        <v>682525</v>
      </c>
      <c r="C835" s="59" t="inlineStr">
        <is>
          <t>1</t>
        </is>
      </c>
      <c r="D835" s="59" t="inlineStr">
        <is>
          <t>84520444000148</t>
        </is>
      </c>
      <c r="E835" s="75" t="n">
        <v>46223</v>
      </c>
      <c r="F835" s="75" t="n">
        <v>46218</v>
      </c>
      <c r="G835" s="59" t="inlineStr">
        <is>
          <t>DISTRIBUIDORA FARIAS LTDA.</t>
        </is>
      </c>
      <c r="H835" s="59" t="n">
        <v>1425321</v>
      </c>
      <c r="I835" s="59" t="n">
        <v>11</v>
      </c>
      <c r="J835" s="59" t="inlineStr">
        <is>
          <t>AM</t>
        </is>
      </c>
      <c r="K835" s="126" t="n">
        <v>698.48</v>
      </c>
    </row>
    <row r="836" ht="15" customHeight="1" s="60">
      <c r="A836" s="59" t="n">
        <v>1</v>
      </c>
      <c r="B836" s="59" t="n">
        <v>381</v>
      </c>
      <c r="C836" s="59" t="inlineStr">
        <is>
          <t>2</t>
        </is>
      </c>
      <c r="D836" s="59" t="inlineStr">
        <is>
          <t>20380110000133</t>
        </is>
      </c>
      <c r="E836" s="75" t="n">
        <v>46223</v>
      </c>
      <c r="F836" s="75" t="n">
        <v>46223</v>
      </c>
      <c r="G836" s="59" t="inlineStr">
        <is>
          <t>GELO DANGELO FABRICACAO DE GELO LTDA</t>
        </is>
      </c>
      <c r="H836" s="59" t="n">
        <v>1424926</v>
      </c>
      <c r="I836" s="59" t="n">
        <v>1</v>
      </c>
      <c r="J836" s="59" t="inlineStr">
        <is>
          <t>AM</t>
        </is>
      </c>
      <c r="K836" s="126" t="n">
        <v>405.5</v>
      </c>
    </row>
    <row r="837" ht="15" customHeight="1" s="60">
      <c r="A837" s="59" t="n">
        <v>1</v>
      </c>
      <c r="B837" s="59" t="n">
        <v>308176</v>
      </c>
      <c r="C837" s="59" t="inlineStr">
        <is>
          <t>1</t>
        </is>
      </c>
      <c r="D837" s="59" t="inlineStr">
        <is>
          <t>07391948000164</t>
        </is>
      </c>
      <c r="E837" s="75" t="n">
        <v>46223</v>
      </c>
      <c r="F837" s="75" t="n">
        <v>46219</v>
      </c>
      <c r="G837" s="59" t="inlineStr">
        <is>
          <t>L S M COMERCIO DE ALIMENTOS E NAVEGACAO</t>
        </is>
      </c>
      <c r="H837" s="59" t="n">
        <v>1424333</v>
      </c>
      <c r="I837" s="59" t="n">
        <v>11</v>
      </c>
      <c r="J837" s="59" t="inlineStr">
        <is>
          <t>AM</t>
        </is>
      </c>
      <c r="K837" s="126" t="n">
        <v>1529.2</v>
      </c>
    </row>
    <row r="838" ht="15" customHeight="1" s="60">
      <c r="A838" s="59" t="n">
        <v>1</v>
      </c>
      <c r="B838" s="59" t="n">
        <v>14750</v>
      </c>
      <c r="C838" s="59" t="inlineStr">
        <is>
          <t>1</t>
        </is>
      </c>
      <c r="D838" s="59" t="inlineStr">
        <is>
          <t>03784729000194</t>
        </is>
      </c>
      <c r="E838" s="75" t="n">
        <v>46223</v>
      </c>
      <c r="F838" s="75" t="n">
        <v>46221</v>
      </c>
      <c r="G838" s="59" t="inlineStr">
        <is>
          <t>MAXFRI DISTRIUIDORA LTDA</t>
        </is>
      </c>
      <c r="H838" s="59" t="n">
        <v>1425042</v>
      </c>
      <c r="I838" s="59" t="n">
        <v>11</v>
      </c>
      <c r="J838" s="59" t="inlineStr">
        <is>
          <t>AM</t>
        </is>
      </c>
      <c r="K838" s="126" t="n">
        <v>8621</v>
      </c>
    </row>
    <row r="839" ht="15" customHeight="1" s="60">
      <c r="A839" s="59" t="n">
        <v>1</v>
      </c>
      <c r="B839" s="59" t="n">
        <v>14759</v>
      </c>
      <c r="C839" s="59" t="inlineStr">
        <is>
          <t>1</t>
        </is>
      </c>
      <c r="D839" s="59" t="inlineStr">
        <is>
          <t>03784729000194</t>
        </is>
      </c>
      <c r="E839" s="75" t="n">
        <v>46223</v>
      </c>
      <c r="F839" s="75" t="n">
        <v>46223</v>
      </c>
      <c r="G839" s="59" t="inlineStr">
        <is>
          <t>MAXFRI DISTRIUIDORA LTDA</t>
        </is>
      </c>
      <c r="H839" s="59" t="n">
        <v>1425289</v>
      </c>
      <c r="I839" s="59" t="n">
        <v>11</v>
      </c>
      <c r="J839" s="59" t="inlineStr">
        <is>
          <t>AM</t>
        </is>
      </c>
      <c r="K839" s="126" t="n">
        <v>1314</v>
      </c>
    </row>
    <row r="840" ht="15" customHeight="1" s="60">
      <c r="A840" s="59" t="n">
        <v>1</v>
      </c>
      <c r="B840" s="59" t="n">
        <v>430879</v>
      </c>
      <c r="C840" s="59" t="inlineStr">
        <is>
          <t>3</t>
        </is>
      </c>
      <c r="D840" s="59" t="inlineStr">
        <is>
          <t>81611931005006</t>
        </is>
      </c>
      <c r="E840" s="75" t="n">
        <v>46223</v>
      </c>
      <c r="F840" s="75" t="n">
        <v>46219</v>
      </c>
      <c r="G840" s="59" t="inlineStr">
        <is>
          <t>OESA COMERCIO E REPRESENTACOES S/A</t>
        </is>
      </c>
      <c r="H840" s="59" t="n">
        <v>1423982</v>
      </c>
      <c r="I840" s="59" t="n">
        <v>11</v>
      </c>
      <c r="J840" s="59" t="inlineStr">
        <is>
          <t>AM</t>
        </is>
      </c>
      <c r="K840" s="126" t="n">
        <v>2361.01</v>
      </c>
    </row>
    <row r="841" ht="15" customHeight="1" s="60">
      <c r="A841" s="59" t="n">
        <v>1</v>
      </c>
      <c r="B841" s="59" t="n">
        <v>721</v>
      </c>
      <c r="C841" s="59" t="inlineStr">
        <is>
          <t>2</t>
        </is>
      </c>
      <c r="D841" s="59" t="inlineStr">
        <is>
          <t>35729236000148</t>
        </is>
      </c>
      <c r="E841" s="75" t="n">
        <v>46223</v>
      </c>
      <c r="F841" s="75" t="n">
        <v>46220</v>
      </c>
      <c r="G841" s="59" t="inlineStr">
        <is>
          <t>PANIFICADORA E CONFEITARIA REAL MADRI LTDA</t>
        </is>
      </c>
      <c r="H841" s="59" t="n">
        <v>1425422</v>
      </c>
      <c r="I841" s="59" t="n">
        <v>11</v>
      </c>
      <c r="J841" s="59" t="inlineStr">
        <is>
          <t>AM</t>
        </is>
      </c>
      <c r="K841" s="126" t="n">
        <v>602.15</v>
      </c>
    </row>
    <row r="842" ht="15" customHeight="1" s="60">
      <c r="A842" s="59" t="n">
        <v>1</v>
      </c>
      <c r="B842" s="59" t="n">
        <v>5319</v>
      </c>
      <c r="C842" s="59" t="inlineStr">
        <is>
          <t>1</t>
        </is>
      </c>
      <c r="D842" s="59" t="inlineStr">
        <is>
          <t>36480282000119</t>
        </is>
      </c>
      <c r="E842" s="75" t="n">
        <v>46223</v>
      </c>
      <c r="F842" s="75" t="n">
        <v>46223</v>
      </c>
      <c r="G842" s="59" t="inlineStr">
        <is>
          <t>RENATO DE O AZEVEDO E CIA LTDA - EPP</t>
        </is>
      </c>
      <c r="H842" s="59" t="n">
        <v>1423765</v>
      </c>
      <c r="I842" s="59" t="n">
        <v>6</v>
      </c>
      <c r="J842" s="59" t="inlineStr">
        <is>
          <t>AM</t>
        </is>
      </c>
      <c r="K842" s="126" t="n">
        <v>1420</v>
      </c>
    </row>
    <row r="843" ht="15" customHeight="1" s="60">
      <c r="A843" s="59" t="n">
        <v>1</v>
      </c>
      <c r="B843" s="59" t="n">
        <v>5320</v>
      </c>
      <c r="C843" s="59" t="inlineStr">
        <is>
          <t>1</t>
        </is>
      </c>
      <c r="D843" s="59" t="inlineStr">
        <is>
          <t>36480282000119</t>
        </is>
      </c>
      <c r="E843" s="75" t="n">
        <v>46223</v>
      </c>
      <c r="F843" s="75" t="n">
        <v>46223</v>
      </c>
      <c r="G843" s="59" t="inlineStr">
        <is>
          <t>RENATO DE O AZEVEDO E CIA LTDA - EPP</t>
        </is>
      </c>
      <c r="H843" s="59" t="n">
        <v>1423792</v>
      </c>
      <c r="I843" s="59" t="n">
        <v>6</v>
      </c>
      <c r="J843" s="59" t="inlineStr">
        <is>
          <t>AM</t>
        </is>
      </c>
      <c r="K843" s="126" t="n">
        <v>1470</v>
      </c>
    </row>
    <row r="844" ht="15" customHeight="1" s="60">
      <c r="A844" s="59" t="n">
        <v>1</v>
      </c>
      <c r="B844" s="59" t="n">
        <v>5321</v>
      </c>
      <c r="C844" s="59" t="inlineStr">
        <is>
          <t>1</t>
        </is>
      </c>
      <c r="D844" s="59" t="inlineStr">
        <is>
          <t>36480282000119</t>
        </is>
      </c>
      <c r="E844" s="75" t="n">
        <v>46223</v>
      </c>
      <c r="F844" s="75" t="n">
        <v>46223</v>
      </c>
      <c r="G844" s="59" t="inlineStr">
        <is>
          <t>RENATO DE O AZEVEDO E CIA LTDA - EPP</t>
        </is>
      </c>
      <c r="H844" s="59" t="n">
        <v>1423824</v>
      </c>
      <c r="I844" s="59" t="n">
        <v>6</v>
      </c>
      <c r="J844" s="59" t="inlineStr">
        <is>
          <t>AM</t>
        </is>
      </c>
      <c r="K844" s="126" t="n">
        <v>600</v>
      </c>
    </row>
    <row r="845" ht="15" customHeight="1" s="60">
      <c r="A845" s="59" t="n">
        <v>1</v>
      </c>
      <c r="B845" s="59" t="n">
        <v>47472</v>
      </c>
      <c r="C845" s="59" t="inlineStr">
        <is>
          <t>4</t>
        </is>
      </c>
      <c r="D845" s="59" t="inlineStr">
        <is>
          <t>05022353005337</t>
        </is>
      </c>
      <c r="E845" s="75" t="n">
        <v>46223</v>
      </c>
      <c r="F845" s="75" t="n">
        <v>46222</v>
      </c>
      <c r="G845" s="59" t="inlineStr">
        <is>
          <t>RV TECNOLOGIA E SISTEMAS S.A. - MA</t>
        </is>
      </c>
      <c r="H845" s="59" t="n">
        <v>1423738</v>
      </c>
      <c r="I845" s="59" t="n">
        <v>11</v>
      </c>
      <c r="J845" s="59" t="inlineStr">
        <is>
          <t>AM</t>
        </is>
      </c>
      <c r="K845" s="126" t="n">
        <v>103.95</v>
      </c>
    </row>
    <row r="846" ht="15" customHeight="1" s="60">
      <c r="A846" s="59" t="n">
        <v>1</v>
      </c>
      <c r="B846" s="59" t="n">
        <v>3634</v>
      </c>
      <c r="C846" s="59" t="inlineStr">
        <is>
          <t>1</t>
        </is>
      </c>
      <c r="D846" s="59" t="inlineStr">
        <is>
          <t>10288430000104</t>
        </is>
      </c>
      <c r="E846" s="75" t="n">
        <v>46223</v>
      </c>
      <c r="F846" s="75" t="n">
        <v>46220</v>
      </c>
      <c r="G846" s="59" t="inlineStr">
        <is>
          <t>SAO JOSE COMERCIO DE LATICINIOS E FRIOS</t>
        </is>
      </c>
      <c r="H846" s="59" t="n">
        <v>1425403</v>
      </c>
      <c r="I846" s="59" t="n">
        <v>11</v>
      </c>
      <c r="J846" s="59" t="inlineStr">
        <is>
          <t>AM</t>
        </is>
      </c>
      <c r="K846" s="126" t="n">
        <v>2108.5</v>
      </c>
    </row>
    <row r="847" ht="15" customHeight="1" s="60">
      <c r="A847" s="59" t="n">
        <v>1</v>
      </c>
      <c r="B847" s="59" t="n">
        <v>10857</v>
      </c>
      <c r="C847" s="59" t="inlineStr">
        <is>
          <t>1</t>
        </is>
      </c>
      <c r="D847" s="59" t="inlineStr">
        <is>
          <t>38052886000190</t>
        </is>
      </c>
      <c r="E847" s="75" t="n">
        <v>46223</v>
      </c>
      <c r="F847" s="75" t="n">
        <v>46219</v>
      </c>
      <c r="G847" s="59" t="inlineStr">
        <is>
          <t>SL DISTRIBUIDORA COM. DE PROD. ALIMENTIC</t>
        </is>
      </c>
      <c r="H847" s="59" t="n">
        <v>1424764</v>
      </c>
      <c r="I847" s="59" t="n">
        <v>11</v>
      </c>
      <c r="J847" s="59" t="inlineStr">
        <is>
          <t>AM</t>
        </is>
      </c>
      <c r="K847" s="126" t="n">
        <v>1608.44</v>
      </c>
    </row>
    <row r="848" ht="15" customHeight="1" s="60">
      <c r="A848" s="59" t="n">
        <v>1</v>
      </c>
      <c r="B848" s="59" t="n">
        <v>15153</v>
      </c>
      <c r="C848" s="59" t="inlineStr">
        <is>
          <t>1</t>
        </is>
      </c>
      <c r="D848" s="59" t="inlineStr">
        <is>
          <t>01215382000133</t>
        </is>
      </c>
      <c r="E848" s="75" t="n">
        <v>46223</v>
      </c>
      <c r="F848" s="75" t="n">
        <v>46223</v>
      </c>
      <c r="G848" s="59" t="inlineStr">
        <is>
          <t>T. M. L. DA SILVA LTDA</t>
        </is>
      </c>
      <c r="H848" s="59" t="n">
        <v>1425359</v>
      </c>
      <c r="I848" s="59" t="n">
        <v>11</v>
      </c>
      <c r="J848" s="59" t="inlineStr">
        <is>
          <t>AM</t>
        </is>
      </c>
      <c r="K848" s="126" t="n">
        <v>742.4</v>
      </c>
    </row>
    <row r="849" ht="15" customHeight="1" s="60">
      <c r="A849" s="59" t="n">
        <v>1</v>
      </c>
      <c r="B849" s="59" t="n">
        <v>581015</v>
      </c>
      <c r="C849" s="59" t="inlineStr">
        <is>
          <t>1</t>
        </is>
      </c>
      <c r="D849" s="59" t="inlineStr">
        <is>
          <t>05498763000128</t>
        </is>
      </c>
      <c r="E849" s="75" t="n">
        <v>46223</v>
      </c>
      <c r="F849" s="75" t="n">
        <v>46219</v>
      </c>
      <c r="G849" s="59" t="inlineStr">
        <is>
          <t>TAPAJOS COM DE PERFUMARIA COSMETICOS E G</t>
        </is>
      </c>
      <c r="H849" s="59" t="n">
        <v>1424645</v>
      </c>
      <c r="I849" s="59" t="n">
        <v>11</v>
      </c>
      <c r="J849" s="59" t="inlineStr">
        <is>
          <t>AM</t>
        </is>
      </c>
      <c r="K849" s="126" t="n">
        <v>1225.43</v>
      </c>
    </row>
    <row r="850" ht="15" customHeight="1" s="60">
      <c r="A850" s="59" t="n">
        <v>1</v>
      </c>
      <c r="B850" s="59" t="n">
        <v>2741</v>
      </c>
      <c r="C850" s="59" t="inlineStr">
        <is>
          <t>1</t>
        </is>
      </c>
      <c r="D850" s="59" t="inlineStr">
        <is>
          <t>19606588000150</t>
        </is>
      </c>
      <c r="E850" s="75" t="n">
        <v>46224</v>
      </c>
      <c r="F850" s="75" t="n">
        <v>46220</v>
      </c>
      <c r="G850" s="59" t="inlineStr">
        <is>
          <t>A K LIMA DE ANDRADE</t>
        </is>
      </c>
      <c r="H850" s="59" t="n">
        <v>1427903</v>
      </c>
      <c r="I850" s="59" t="n">
        <v>11</v>
      </c>
      <c r="J850" s="59" t="inlineStr">
        <is>
          <t>AM</t>
        </is>
      </c>
      <c r="K850" s="126" t="n">
        <v>879</v>
      </c>
    </row>
    <row r="851" ht="15" customHeight="1" s="60">
      <c r="A851" s="59" t="n">
        <v>1</v>
      </c>
      <c r="B851" s="59" t="n">
        <v>539</v>
      </c>
      <c r="C851" s="59" t="inlineStr">
        <is>
          <t>1</t>
        </is>
      </c>
      <c r="D851" s="59" t="inlineStr">
        <is>
          <t>47496330000183</t>
        </is>
      </c>
      <c r="E851" s="75" t="n">
        <v>46224</v>
      </c>
      <c r="F851" s="75" t="n">
        <v>46223</v>
      </c>
      <c r="G851" s="59" t="inlineStr">
        <is>
          <t>ADICSO FABIAN GONZALEZ MONTILLA 70302186</t>
        </is>
      </c>
      <c r="H851" s="59" t="n">
        <v>1430912</v>
      </c>
      <c r="I851" s="59" t="n">
        <v>11</v>
      </c>
      <c r="J851" s="59" t="inlineStr">
        <is>
          <t>AM</t>
        </is>
      </c>
      <c r="K851" s="126" t="n">
        <v>480</v>
      </c>
    </row>
    <row r="852" ht="15" customHeight="1" s="60">
      <c r="A852" s="59" t="n">
        <v>1</v>
      </c>
      <c r="B852" s="59" t="n">
        <v>1032212</v>
      </c>
      <c r="C852" s="59" t="inlineStr">
        <is>
          <t>1</t>
        </is>
      </c>
      <c r="D852" s="59" t="inlineStr">
        <is>
          <t>34579060000122</t>
        </is>
      </c>
      <c r="E852" s="75" t="n">
        <v>46224</v>
      </c>
      <c r="F852" s="75" t="n">
        <v>46219</v>
      </c>
      <c r="G852" s="59" t="inlineStr">
        <is>
          <t>BROTHERS  INDUSTRIA DE ALIMENTOS LTDA</t>
        </is>
      </c>
      <c r="H852" s="59" t="n">
        <v>1429492</v>
      </c>
      <c r="I852" s="59" t="n">
        <v>11</v>
      </c>
      <c r="J852" s="59" t="inlineStr">
        <is>
          <t>AM</t>
        </is>
      </c>
      <c r="K852" s="126" t="n">
        <v>653.6</v>
      </c>
    </row>
    <row r="853" ht="15" customHeight="1" s="60">
      <c r="A853" s="59" t="n">
        <v>1</v>
      </c>
      <c r="B853" s="59" t="n">
        <v>1032774</v>
      </c>
      <c r="C853" s="59" t="inlineStr">
        <is>
          <t>1</t>
        </is>
      </c>
      <c r="D853" s="59" t="inlineStr">
        <is>
          <t>34579060000122</t>
        </is>
      </c>
      <c r="E853" s="75" t="n">
        <v>46224</v>
      </c>
      <c r="F853" s="75" t="n">
        <v>46223</v>
      </c>
      <c r="G853" s="59" t="inlineStr">
        <is>
          <t>BROTHERS  INDUSTRIA DE ALIMENTOS LTDA</t>
        </is>
      </c>
      <c r="H853" s="59" t="n">
        <v>1431100</v>
      </c>
      <c r="I853" s="59" t="n">
        <v>11</v>
      </c>
      <c r="J853" s="59" t="inlineStr">
        <is>
          <t>AM</t>
        </is>
      </c>
      <c r="K853" s="126" t="n">
        <v>538.17</v>
      </c>
    </row>
    <row r="854" ht="15" customHeight="1" s="60">
      <c r="A854" s="59" t="n">
        <v>1</v>
      </c>
      <c r="B854" s="59" t="n">
        <v>14911</v>
      </c>
      <c r="C854" s="59" t="inlineStr">
        <is>
          <t>1</t>
        </is>
      </c>
      <c r="D854" s="59" t="inlineStr">
        <is>
          <t>09531992000158</t>
        </is>
      </c>
      <c r="E854" s="75" t="n">
        <v>46224</v>
      </c>
      <c r="F854" s="75" t="n">
        <v>46224</v>
      </c>
      <c r="G854" s="59" t="inlineStr">
        <is>
          <t>COMERCIO E TRANSPORTE BRANDAO LTDA</t>
        </is>
      </c>
      <c r="H854" s="59" t="n">
        <v>1430810</v>
      </c>
      <c r="I854" s="59" t="n">
        <v>1</v>
      </c>
      <c r="J854" s="59" t="inlineStr">
        <is>
          <t>AM</t>
        </is>
      </c>
      <c r="K854" s="126" t="n">
        <v>850</v>
      </c>
    </row>
    <row r="855" ht="15" customHeight="1" s="60">
      <c r="A855" s="59" t="n">
        <v>1</v>
      </c>
      <c r="B855" s="59" t="n">
        <v>196700</v>
      </c>
      <c r="C855" s="59" t="inlineStr">
        <is>
          <t>1</t>
        </is>
      </c>
      <c r="D855" s="59" t="inlineStr">
        <is>
          <t>04916172000160</t>
        </is>
      </c>
      <c r="E855" s="75" t="n">
        <v>46224</v>
      </c>
      <c r="F855" s="75" t="n">
        <v>46219</v>
      </c>
      <c r="G855" s="59" t="inlineStr">
        <is>
          <t>DA FRUTA DISTRIBUIDORA LTDA</t>
        </is>
      </c>
      <c r="H855" s="59" t="n">
        <v>1431408</v>
      </c>
      <c r="I855" s="59" t="n">
        <v>11</v>
      </c>
      <c r="J855" s="59" t="inlineStr">
        <is>
          <t>AM</t>
        </is>
      </c>
      <c r="K855" s="126" t="n">
        <v>950.4</v>
      </c>
    </row>
    <row r="856" ht="15" customHeight="1" s="60">
      <c r="A856" s="59" t="n">
        <v>1</v>
      </c>
      <c r="B856" s="59" t="n">
        <v>226411</v>
      </c>
      <c r="C856" s="59" t="inlineStr">
        <is>
          <t>2</t>
        </is>
      </c>
      <c r="D856" s="59" t="inlineStr">
        <is>
          <t>05646631000104</t>
        </is>
      </c>
      <c r="E856" s="75" t="n">
        <v>46224</v>
      </c>
      <c r="F856" s="75" t="n">
        <v>46223</v>
      </c>
      <c r="G856" s="59" t="inlineStr">
        <is>
          <t>FRUTAL INDUSTRIA E COMERCIO LTDA</t>
        </is>
      </c>
      <c r="H856" s="59" t="n">
        <v>1431278</v>
      </c>
      <c r="I856" s="59" t="n">
        <v>11</v>
      </c>
      <c r="J856" s="59" t="inlineStr">
        <is>
          <t>AM</t>
        </is>
      </c>
      <c r="K856" s="126" t="n">
        <v>505.19</v>
      </c>
    </row>
    <row r="857" ht="15" customHeight="1" s="60">
      <c r="A857" s="59" t="n">
        <v>1</v>
      </c>
      <c r="B857" s="59" t="n">
        <v>66</v>
      </c>
      <c r="C857" s="59" t="inlineStr">
        <is>
          <t>1</t>
        </is>
      </c>
      <c r="D857" s="59" t="inlineStr">
        <is>
          <t>55158713000170</t>
        </is>
      </c>
      <c r="E857" s="75" t="n">
        <v>46224</v>
      </c>
      <c r="F857" s="75" t="n">
        <v>46223</v>
      </c>
      <c r="G857" s="59" t="inlineStr">
        <is>
          <t>H L M PADARIA E CONFEITARIA LTDA</t>
        </is>
      </c>
      <c r="H857" s="59" t="n">
        <v>1435742</v>
      </c>
      <c r="I857" s="59" t="n">
        <v>1</v>
      </c>
      <c r="J857" s="59" t="inlineStr">
        <is>
          <t>AM</t>
        </is>
      </c>
      <c r="K857" s="126" t="n">
        <v>420</v>
      </c>
    </row>
    <row r="858" ht="15" customHeight="1" s="60">
      <c r="A858" s="59" t="n">
        <v>1</v>
      </c>
      <c r="B858" s="59" t="n">
        <v>3576</v>
      </c>
      <c r="C858" s="59" t="inlineStr">
        <is>
          <t>1</t>
        </is>
      </c>
      <c r="D858" s="59" t="inlineStr">
        <is>
          <t>59566132000128</t>
        </is>
      </c>
      <c r="E858" s="75" t="n">
        <v>46224</v>
      </c>
      <c r="F858" s="75" t="n">
        <v>46221</v>
      </c>
      <c r="G858" s="59" t="inlineStr">
        <is>
          <t>JAB COMERCIO DE PRODUTOS ALIMENTICIOS LT</t>
        </is>
      </c>
      <c r="H858" s="59" t="n">
        <v>1429383</v>
      </c>
      <c r="I858" s="59" t="n">
        <v>11</v>
      </c>
      <c r="J858" s="59" t="inlineStr">
        <is>
          <t>AM</t>
        </is>
      </c>
      <c r="K858" s="126" t="n">
        <v>274</v>
      </c>
    </row>
    <row r="859" ht="15" customHeight="1" s="60">
      <c r="A859" s="59" t="n">
        <v>1</v>
      </c>
      <c r="B859" s="59" t="n">
        <v>31493</v>
      </c>
      <c r="C859" s="59" t="inlineStr">
        <is>
          <t>1</t>
        </is>
      </c>
      <c r="D859" s="59" t="inlineStr">
        <is>
          <t>30996759000137</t>
        </is>
      </c>
      <c r="E859" s="75" t="n">
        <v>46224</v>
      </c>
      <c r="F859" s="75" t="n">
        <v>46219</v>
      </c>
      <c r="G859" s="59" t="inlineStr">
        <is>
          <t>LIMA E BARANDA COMERCIO DE PRODUTOS REGI</t>
        </is>
      </c>
      <c r="H859" s="59" t="n">
        <v>1427829</v>
      </c>
      <c r="I859" s="59" t="n">
        <v>11</v>
      </c>
      <c r="J859" s="59" t="inlineStr">
        <is>
          <t>AM</t>
        </is>
      </c>
      <c r="K859" s="126" t="n">
        <v>233.5</v>
      </c>
    </row>
    <row r="860" ht="15" customHeight="1" s="60">
      <c r="A860" s="59" t="n">
        <v>1</v>
      </c>
      <c r="B860" s="59" t="n">
        <v>43986</v>
      </c>
      <c r="C860" s="59" t="inlineStr">
        <is>
          <t>1</t>
        </is>
      </c>
      <c r="D860" s="59" t="inlineStr">
        <is>
          <t>51130661000172</t>
        </is>
      </c>
      <c r="E860" s="75" t="n">
        <v>46224</v>
      </c>
      <c r="F860" s="75" t="n">
        <v>46220</v>
      </c>
      <c r="G860" s="59" t="inlineStr">
        <is>
          <t>NORTELAC DISTRIBUIDORA DE FRIOS LTDA</t>
        </is>
      </c>
      <c r="H860" s="59" t="n">
        <v>1429545</v>
      </c>
      <c r="I860" s="59" t="n">
        <v>11</v>
      </c>
      <c r="J860" s="59" t="inlineStr">
        <is>
          <t>AM</t>
        </is>
      </c>
      <c r="K860" s="126" t="n">
        <v>1840</v>
      </c>
    </row>
    <row r="861" ht="15" customHeight="1" s="60">
      <c r="A861" s="59" t="n">
        <v>1</v>
      </c>
      <c r="B861" s="59" t="n">
        <v>44115</v>
      </c>
      <c r="C861" s="59" t="inlineStr">
        <is>
          <t>1</t>
        </is>
      </c>
      <c r="D861" s="59" t="inlineStr">
        <is>
          <t>51130661000172</t>
        </is>
      </c>
      <c r="E861" s="75" t="n">
        <v>46224</v>
      </c>
      <c r="F861" s="75" t="n">
        <v>46223</v>
      </c>
      <c r="G861" s="59" t="inlineStr">
        <is>
          <t>NORTELAC DISTRIBUIDORA DE FRIOS LTDA</t>
        </is>
      </c>
      <c r="H861" s="59" t="n">
        <v>1431238</v>
      </c>
      <c r="I861" s="59" t="n">
        <v>11</v>
      </c>
      <c r="J861" s="59" t="inlineStr">
        <is>
          <t>AM</t>
        </is>
      </c>
      <c r="K861" s="126" t="n">
        <v>1380</v>
      </c>
    </row>
    <row r="862" ht="15" customHeight="1" s="60">
      <c r="A862" s="59" t="n">
        <v>1</v>
      </c>
      <c r="B862" s="59" t="n">
        <v>4110</v>
      </c>
      <c r="C862" s="59" t="inlineStr">
        <is>
          <t>1</t>
        </is>
      </c>
      <c r="D862" s="59" t="inlineStr">
        <is>
          <t>14459228000159</t>
        </is>
      </c>
      <c r="E862" s="75" t="n">
        <v>46224</v>
      </c>
      <c r="F862" s="75" t="n">
        <v>46220</v>
      </c>
      <c r="G862" s="59" t="inlineStr">
        <is>
          <t>NOVA FRIOS COMERCIO ATACADISTA DE LATICINIOS LTDA</t>
        </is>
      </c>
      <c r="H862" s="59" t="n">
        <v>1427866</v>
      </c>
      <c r="I862" s="59" t="n">
        <v>11</v>
      </c>
      <c r="J862" s="59" t="inlineStr">
        <is>
          <t>AM</t>
        </is>
      </c>
      <c r="K862" s="126" t="n">
        <v>422</v>
      </c>
    </row>
    <row r="863" ht="15" customHeight="1" s="60">
      <c r="A863" s="59" t="n">
        <v>1</v>
      </c>
      <c r="B863" s="59" t="n">
        <v>41360</v>
      </c>
      <c r="C863" s="59" t="inlineStr">
        <is>
          <t>5</t>
        </is>
      </c>
      <c r="D863" s="59" t="inlineStr">
        <is>
          <t>03439223000148</t>
        </is>
      </c>
      <c r="E863" s="75" t="n">
        <v>46224</v>
      </c>
      <c r="F863" s="75" t="n">
        <v>46220</v>
      </c>
      <c r="G863" s="59" t="inlineStr">
        <is>
          <t>NT INDUSTRIA E COMERCIO DE PANIFICACAO L</t>
        </is>
      </c>
      <c r="H863" s="59" t="n">
        <v>1431597</v>
      </c>
      <c r="I863" s="59" t="n">
        <v>11</v>
      </c>
      <c r="J863" s="59" t="inlineStr">
        <is>
          <t>AM</t>
        </is>
      </c>
      <c r="K863" s="126" t="n">
        <v>3866.95</v>
      </c>
    </row>
    <row r="864" ht="15" customHeight="1" s="60">
      <c r="A864" s="59" t="n">
        <v>1</v>
      </c>
      <c r="B864" s="59" t="n">
        <v>41617</v>
      </c>
      <c r="C864" s="59" t="inlineStr">
        <is>
          <t>5</t>
        </is>
      </c>
      <c r="D864" s="59" t="inlineStr">
        <is>
          <t>03439223000148</t>
        </is>
      </c>
      <c r="E864" s="75" t="n">
        <v>46224</v>
      </c>
      <c r="F864" s="75" t="n">
        <v>46224</v>
      </c>
      <c r="G864" s="59" t="inlineStr">
        <is>
          <t>NT INDUSTRIA E COMERCIO DE PANIFICACAO L</t>
        </is>
      </c>
      <c r="H864" s="59" t="n">
        <v>1430976</v>
      </c>
      <c r="I864" s="59" t="n">
        <v>11</v>
      </c>
      <c r="J864" s="59" t="inlineStr">
        <is>
          <t>AM</t>
        </is>
      </c>
      <c r="K864" s="126" t="n">
        <v>3510.17</v>
      </c>
    </row>
    <row r="865" ht="15" customHeight="1" s="60">
      <c r="A865" s="59" t="n">
        <v>1</v>
      </c>
      <c r="B865" s="59" t="n">
        <v>1249231</v>
      </c>
      <c r="C865" s="59" t="inlineStr">
        <is>
          <t>1</t>
        </is>
      </c>
      <c r="D865" s="59" t="inlineStr">
        <is>
          <t>02805138000193</t>
        </is>
      </c>
      <c r="E865" s="75" t="n">
        <v>46224</v>
      </c>
      <c r="F865" s="75" t="n">
        <v>46223</v>
      </c>
      <c r="G865" s="59" t="inlineStr">
        <is>
          <t>OCIDENTAL COMERCIO DE FRIOS LTDA</t>
        </is>
      </c>
      <c r="H865" s="59" t="n">
        <v>1431725</v>
      </c>
      <c r="I865" s="59" t="n">
        <v>11</v>
      </c>
      <c r="J865" s="59" t="inlineStr">
        <is>
          <t>AM</t>
        </is>
      </c>
      <c r="K865" s="126" t="n">
        <v>6134.68</v>
      </c>
    </row>
    <row r="866" ht="15" customHeight="1" s="60">
      <c r="A866" s="59" t="n">
        <v>1</v>
      </c>
      <c r="B866" s="59" t="n">
        <v>723</v>
      </c>
      <c r="C866" s="59" t="inlineStr">
        <is>
          <t>2</t>
        </is>
      </c>
      <c r="D866" s="59" t="inlineStr">
        <is>
          <t>35729236000148</t>
        </is>
      </c>
      <c r="E866" s="75" t="n">
        <v>46224</v>
      </c>
      <c r="F866" s="75" t="n">
        <v>46221</v>
      </c>
      <c r="G866" s="59" t="inlineStr">
        <is>
          <t>PANIFICADORA E CONFEITARIA REAL MADRI LTDA</t>
        </is>
      </c>
      <c r="H866" s="59" t="n">
        <v>1427757</v>
      </c>
      <c r="I866" s="59" t="n">
        <v>11</v>
      </c>
      <c r="J866" s="59" t="inlineStr">
        <is>
          <t>AM</t>
        </is>
      </c>
      <c r="K866" s="126" t="n">
        <v>149.85</v>
      </c>
    </row>
    <row r="867" ht="15" customHeight="1" s="60">
      <c r="A867" s="59" t="n">
        <v>1</v>
      </c>
      <c r="B867" s="59" t="n">
        <v>11134</v>
      </c>
      <c r="C867" s="59" t="inlineStr">
        <is>
          <t>1</t>
        </is>
      </c>
      <c r="D867" s="59" t="inlineStr">
        <is>
          <t>39250213002665</t>
        </is>
      </c>
      <c r="E867" s="75" t="n">
        <v>46224</v>
      </c>
      <c r="F867" s="75" t="n">
        <v>46216</v>
      </c>
      <c r="G867" s="59" t="inlineStr">
        <is>
          <t>PRIME PET DISTRIBUIDORA LTDA</t>
        </is>
      </c>
      <c r="H867" s="59" t="n">
        <v>1429059</v>
      </c>
      <c r="I867" s="59" t="n">
        <v>11</v>
      </c>
      <c r="J867" s="59" t="inlineStr">
        <is>
          <t>AM</t>
        </is>
      </c>
      <c r="K867" s="126" t="n">
        <v>5471</v>
      </c>
    </row>
    <row r="868" ht="15" customHeight="1" s="60">
      <c r="A868" s="59" t="n">
        <v>1</v>
      </c>
      <c r="B868" s="59" t="n">
        <v>605021</v>
      </c>
      <c r="C868" s="59" t="inlineStr">
        <is>
          <t>6</t>
        </is>
      </c>
      <c r="D868" s="59" t="inlineStr">
        <is>
          <t>06990011000304</t>
        </is>
      </c>
      <c r="E868" s="75" t="n">
        <v>46224</v>
      </c>
      <c r="F868" s="75" t="n">
        <v>46219</v>
      </c>
      <c r="G868" s="59" t="inlineStr">
        <is>
          <t>REAL BEBIDAS DA AMAZONIA LTDA</t>
        </is>
      </c>
      <c r="H868" s="59" t="n">
        <v>1429608</v>
      </c>
      <c r="I868" s="59" t="n">
        <v>11</v>
      </c>
      <c r="J868" s="59" t="inlineStr">
        <is>
          <t>AM</t>
        </is>
      </c>
      <c r="K868" s="126" t="n">
        <v>210</v>
      </c>
    </row>
    <row r="869" ht="15" customHeight="1" s="60">
      <c r="A869" s="59" t="n">
        <v>1</v>
      </c>
      <c r="B869" s="59" t="n">
        <v>5328</v>
      </c>
      <c r="C869" s="59" t="inlineStr">
        <is>
          <t>1</t>
        </is>
      </c>
      <c r="D869" s="59" t="inlineStr">
        <is>
          <t>36480282000119</t>
        </is>
      </c>
      <c r="E869" s="75" t="n">
        <v>46224</v>
      </c>
      <c r="F869" s="75" t="n">
        <v>46224</v>
      </c>
      <c r="G869" s="59" t="inlineStr">
        <is>
          <t>RENATO DE O AZEVEDO E CIA LTDA - EPP</t>
        </is>
      </c>
      <c r="H869" s="59" t="n">
        <v>1428696</v>
      </c>
      <c r="I869" s="59" t="n">
        <v>6</v>
      </c>
      <c r="J869" s="59" t="inlineStr">
        <is>
          <t>AM</t>
        </is>
      </c>
      <c r="K869" s="126" t="n">
        <v>2320</v>
      </c>
    </row>
    <row r="870" ht="15" customHeight="1" s="60">
      <c r="A870" s="59" t="n">
        <v>1</v>
      </c>
      <c r="B870" s="59" t="n">
        <v>5329</v>
      </c>
      <c r="C870" s="59" t="inlineStr">
        <is>
          <t>1</t>
        </is>
      </c>
      <c r="D870" s="59" t="inlineStr">
        <is>
          <t>36480282000119</t>
        </is>
      </c>
      <c r="E870" s="75" t="n">
        <v>46224</v>
      </c>
      <c r="F870" s="75" t="n">
        <v>46224</v>
      </c>
      <c r="G870" s="59" t="inlineStr">
        <is>
          <t>RENATO DE O AZEVEDO E CIA LTDA - EPP</t>
        </is>
      </c>
      <c r="H870" s="59" t="n">
        <v>1430498</v>
      </c>
      <c r="I870" s="59" t="n">
        <v>6</v>
      </c>
      <c r="J870" s="59" t="inlineStr">
        <is>
          <t>AM</t>
        </is>
      </c>
      <c r="K870" s="126" t="n">
        <v>55</v>
      </c>
    </row>
    <row r="871" ht="15" customHeight="1" s="60">
      <c r="A871" s="59" t="n">
        <v>1</v>
      </c>
      <c r="B871" s="59" t="n">
        <v>5330</v>
      </c>
      <c r="C871" s="59" t="inlineStr">
        <is>
          <t>1</t>
        </is>
      </c>
      <c r="D871" s="59" t="inlineStr">
        <is>
          <t>36480282000119</t>
        </is>
      </c>
      <c r="E871" s="75" t="n">
        <v>46224</v>
      </c>
      <c r="F871" s="75" t="n">
        <v>46224</v>
      </c>
      <c r="G871" s="59" t="inlineStr">
        <is>
          <t>RENATO DE O AZEVEDO E CIA LTDA - EPP</t>
        </is>
      </c>
      <c r="H871" s="59" t="n">
        <v>1430734</v>
      </c>
      <c r="I871" s="59" t="n">
        <v>6</v>
      </c>
      <c r="J871" s="59" t="inlineStr">
        <is>
          <t>AM</t>
        </is>
      </c>
      <c r="K871" s="126" t="n">
        <v>1529</v>
      </c>
    </row>
    <row r="872" ht="15" customHeight="1" s="60">
      <c r="A872" s="59" t="n">
        <v>1</v>
      </c>
      <c r="B872" s="59" t="n">
        <v>10334</v>
      </c>
      <c r="C872" s="59" t="inlineStr">
        <is>
          <t>2</t>
        </is>
      </c>
      <c r="D872" s="59" t="inlineStr">
        <is>
          <t>36296113000123</t>
        </is>
      </c>
      <c r="E872" s="75" t="n">
        <v>46224</v>
      </c>
      <c r="F872" s="75" t="n">
        <v>46219</v>
      </c>
      <c r="G872" s="59" t="inlineStr">
        <is>
          <t>VITAPAN COMERCIO VAREJISTA DE PRODUTOS ALIMENTICIOS LTDA</t>
        </is>
      </c>
      <c r="H872" s="59" t="n">
        <v>1427792</v>
      </c>
      <c r="I872" s="59" t="n">
        <v>11</v>
      </c>
      <c r="J872" s="59" t="inlineStr">
        <is>
          <t>AM</t>
        </is>
      </c>
      <c r="K872" s="126" t="n">
        <v>972</v>
      </c>
    </row>
    <row r="873" ht="15" customHeight="1" s="60">
      <c r="A873" s="59" t="n">
        <v>1</v>
      </c>
      <c r="B873" s="59" t="n">
        <v>886068</v>
      </c>
      <c r="C873" s="59" t="inlineStr">
        <is>
          <t>1</t>
        </is>
      </c>
      <c r="D873" s="59" t="inlineStr">
        <is>
          <t>04724476000126</t>
        </is>
      </c>
      <c r="E873" s="75" t="n">
        <v>46225</v>
      </c>
      <c r="F873" s="75" t="n">
        <v>46220</v>
      </c>
      <c r="G873" s="59" t="inlineStr">
        <is>
          <t>ADRIANA DISTRIBUIDORA DE PRODUTOS ALIMEN</t>
        </is>
      </c>
      <c r="H873" s="59" t="n">
        <v>1435387</v>
      </c>
      <c r="I873" s="59" t="n">
        <v>11</v>
      </c>
      <c r="J873" s="59" t="inlineStr">
        <is>
          <t>AM</t>
        </is>
      </c>
      <c r="K873" s="126" t="n">
        <v>4261.73</v>
      </c>
    </row>
    <row r="874" ht="15" customHeight="1" s="60">
      <c r="A874" s="59" t="n">
        <v>1</v>
      </c>
      <c r="B874" s="59" t="n">
        <v>1350</v>
      </c>
      <c r="C874" s="59" t="inlineStr">
        <is>
          <t>3</t>
        </is>
      </c>
      <c r="D874" s="59" t="inlineStr">
        <is>
          <t>34486860000107</t>
        </is>
      </c>
      <c r="E874" s="75" t="n">
        <v>46225</v>
      </c>
      <c r="F874" s="75" t="n">
        <v>46219</v>
      </c>
      <c r="G874" s="59" t="inlineStr">
        <is>
          <t>BONNA VITTA INDUSTRIA E COMERCIO LTDA.</t>
        </is>
      </c>
      <c r="H874" s="59" t="n">
        <v>1435853</v>
      </c>
      <c r="I874" s="59" t="n">
        <v>11</v>
      </c>
      <c r="J874" s="59" t="inlineStr">
        <is>
          <t>AM</t>
        </is>
      </c>
      <c r="K874" s="126" t="n">
        <v>1399.86</v>
      </c>
    </row>
    <row r="875" ht="15" customHeight="1" s="60">
      <c r="A875" s="59" t="n">
        <v>1</v>
      </c>
      <c r="B875" s="59" t="n">
        <v>173548</v>
      </c>
      <c r="C875" s="59" t="inlineStr">
        <is>
          <t>1</t>
        </is>
      </c>
      <c r="D875" s="59" t="inlineStr">
        <is>
          <t>10418161000153</t>
        </is>
      </c>
      <c r="E875" s="75" t="n">
        <v>46225</v>
      </c>
      <c r="F875" s="75" t="n">
        <v>46224</v>
      </c>
      <c r="G875" s="59" t="inlineStr">
        <is>
          <t>COMERCIO DE FRIOS MANAUS LTDA</t>
        </is>
      </c>
      <c r="H875" s="59" t="n">
        <v>1435570</v>
      </c>
      <c r="I875" s="59" t="n">
        <v>11</v>
      </c>
      <c r="J875" s="59" t="inlineStr">
        <is>
          <t>AM</t>
        </is>
      </c>
      <c r="K875" s="126" t="n">
        <v>4683.5</v>
      </c>
    </row>
    <row r="876" ht="15" customHeight="1" s="60">
      <c r="A876" s="59" t="n">
        <v>1</v>
      </c>
      <c r="B876" s="59" t="n">
        <v>173595</v>
      </c>
      <c r="C876" s="59" t="inlineStr">
        <is>
          <t>1</t>
        </is>
      </c>
      <c r="D876" s="59" t="inlineStr">
        <is>
          <t>10418161000153</t>
        </is>
      </c>
      <c r="E876" s="75" t="n">
        <v>46225</v>
      </c>
      <c r="F876" s="75" t="n">
        <v>46225</v>
      </c>
      <c r="G876" s="59" t="inlineStr">
        <is>
          <t>COMERCIO DE FRIOS MANAUS LTDA</t>
        </is>
      </c>
      <c r="H876" s="59" t="n">
        <v>1435758</v>
      </c>
      <c r="I876" s="59" t="n">
        <v>11</v>
      </c>
      <c r="J876" s="59" t="inlineStr">
        <is>
          <t>AM</t>
        </is>
      </c>
      <c r="K876" s="126" t="n">
        <v>5927</v>
      </c>
    </row>
    <row r="877" ht="15" customHeight="1" s="60">
      <c r="A877" s="59" t="n">
        <v>1</v>
      </c>
      <c r="B877" s="59" t="n">
        <v>2667</v>
      </c>
      <c r="C877" s="59" t="inlineStr">
        <is>
          <t>1</t>
        </is>
      </c>
      <c r="D877" s="59" t="inlineStr">
        <is>
          <t>10583405000153</t>
        </is>
      </c>
      <c r="E877" s="75" t="n">
        <v>46225</v>
      </c>
      <c r="F877" s="75" t="n">
        <v>46219</v>
      </c>
      <c r="G877" s="59" t="inlineStr">
        <is>
          <t>J. S. MOREIRA ALVES LTDA</t>
        </is>
      </c>
      <c r="H877" s="59" t="n">
        <v>1434140</v>
      </c>
      <c r="I877" s="59" t="n">
        <v>11</v>
      </c>
      <c r="J877" s="59" t="inlineStr">
        <is>
          <t>AM</t>
        </is>
      </c>
      <c r="K877" s="126" t="n">
        <v>638.5</v>
      </c>
    </row>
    <row r="878" ht="15" customHeight="1" s="60">
      <c r="A878" s="59" t="n">
        <v>1</v>
      </c>
      <c r="B878" s="59" t="n">
        <v>1398219</v>
      </c>
      <c r="C878" s="59" t="inlineStr">
        <is>
          <t>1</t>
        </is>
      </c>
      <c r="D878" s="59" t="inlineStr">
        <is>
          <t>02887227000207</t>
        </is>
      </c>
      <c r="E878" s="75" t="n">
        <v>46225</v>
      </c>
      <c r="F878" s="75" t="n">
        <v>46219</v>
      </c>
      <c r="G878" s="59" t="inlineStr">
        <is>
          <t>MARE DISTRIBUIDORA DE BEBIDAS E DE PRODUTOS ALIMENTICIOS LTDA</t>
        </is>
      </c>
      <c r="H878" s="59" t="n">
        <v>1436032</v>
      </c>
      <c r="I878" s="59" t="n">
        <v>11</v>
      </c>
      <c r="J878" s="59" t="inlineStr">
        <is>
          <t>AM</t>
        </is>
      </c>
      <c r="K878" s="126" t="n">
        <v>2113.2</v>
      </c>
    </row>
    <row r="879" ht="15" customHeight="1" s="60">
      <c r="A879" s="59" t="n">
        <v>1</v>
      </c>
      <c r="B879" s="59" t="n">
        <v>1428642</v>
      </c>
      <c r="C879" s="59" t="inlineStr">
        <is>
          <t>1</t>
        </is>
      </c>
      <c r="D879" s="59" t="inlineStr">
        <is>
          <t>60409075045334</t>
        </is>
      </c>
      <c r="E879" s="75" t="n">
        <v>46225</v>
      </c>
      <c r="F879" s="75" t="n">
        <v>46219</v>
      </c>
      <c r="G879" s="59" t="inlineStr">
        <is>
          <t>NESTLÉ BRASIL LTDA.</t>
        </is>
      </c>
      <c r="H879" s="59" t="n">
        <v>1434296</v>
      </c>
      <c r="I879" s="59" t="n">
        <v>11</v>
      </c>
      <c r="J879" s="59" t="inlineStr">
        <is>
          <t>AM</t>
        </is>
      </c>
      <c r="K879" s="126" t="n">
        <v>2902.54</v>
      </c>
    </row>
    <row r="880" ht="15" customHeight="1" s="60">
      <c r="A880" s="59" t="n">
        <v>1</v>
      </c>
      <c r="B880" s="59" t="n">
        <v>34737</v>
      </c>
      <c r="C880" s="59" t="inlineStr">
        <is>
          <t>3</t>
        </is>
      </c>
      <c r="D880" s="59" t="inlineStr">
        <is>
          <t>34857865000190</t>
        </is>
      </c>
      <c r="E880" s="75" t="n">
        <v>46225</v>
      </c>
      <c r="F880" s="75" t="n">
        <v>46221</v>
      </c>
      <c r="G880" s="59" t="inlineStr">
        <is>
          <t>OPPORTUNITY ALIMENTOS PARA ANIMAIS LTDA</t>
        </is>
      </c>
      <c r="H880" s="59" t="n">
        <v>1435122</v>
      </c>
      <c r="I880" s="59" t="n">
        <v>11</v>
      </c>
      <c r="J880" s="59" t="inlineStr">
        <is>
          <t>AM</t>
        </is>
      </c>
      <c r="K880" s="126" t="n">
        <v>2421.15</v>
      </c>
    </row>
    <row r="881" ht="15" customHeight="1" s="60">
      <c r="A881" s="59" t="n">
        <v>1</v>
      </c>
      <c r="B881" s="59" t="n">
        <v>722</v>
      </c>
      <c r="C881" s="59" t="inlineStr">
        <is>
          <t>2</t>
        </is>
      </c>
      <c r="D881" s="59" t="inlineStr">
        <is>
          <t>35729236000148</t>
        </is>
      </c>
      <c r="E881" s="75" t="n">
        <v>46225</v>
      </c>
      <c r="F881" s="75" t="n">
        <v>46221</v>
      </c>
      <c r="G881" s="59" t="inlineStr">
        <is>
          <t>PANIFICADORA E CONFEITARIA REAL MADRI LTDA</t>
        </is>
      </c>
      <c r="H881" s="59" t="n">
        <v>1435819</v>
      </c>
      <c r="I881" s="59" t="n">
        <v>11</v>
      </c>
      <c r="J881" s="59" t="inlineStr">
        <is>
          <t>AM</t>
        </is>
      </c>
      <c r="K881" s="126" t="n">
        <v>501.9</v>
      </c>
    </row>
    <row r="882" ht="15" customHeight="1" s="60">
      <c r="A882" s="59" t="n">
        <v>1</v>
      </c>
      <c r="B882" s="59" t="n">
        <v>194574</v>
      </c>
      <c r="C882" s="59" t="inlineStr">
        <is>
          <t>3</t>
        </is>
      </c>
      <c r="D882" s="59" t="inlineStr">
        <is>
          <t>11094287000344</t>
        </is>
      </c>
      <c r="E882" s="75" t="n">
        <v>46225</v>
      </c>
      <c r="F882" s="75" t="n">
        <v>46218</v>
      </c>
      <c r="G882" s="59" t="inlineStr">
        <is>
          <t>PIARARA COMERCIO, IMPORTACAO E EXPORTACAO LTDA</t>
        </is>
      </c>
      <c r="H882" s="59" t="n">
        <v>1434947</v>
      </c>
      <c r="I882" s="59" t="n">
        <v>11</v>
      </c>
      <c r="J882" s="59" t="inlineStr">
        <is>
          <t>AM</t>
        </is>
      </c>
      <c r="K882" s="126" t="n">
        <v>1616.89</v>
      </c>
    </row>
    <row r="883" ht="15" customHeight="1" s="60">
      <c r="A883" s="59" t="n">
        <v>1</v>
      </c>
      <c r="B883" s="59" t="n">
        <v>3067</v>
      </c>
      <c r="C883" s="59" t="inlineStr">
        <is>
          <t>1</t>
        </is>
      </c>
      <c r="D883" s="59" t="inlineStr">
        <is>
          <t>01516878000147</t>
        </is>
      </c>
      <c r="E883" s="75" t="n">
        <v>46225</v>
      </c>
      <c r="F883" s="75" t="n">
        <v>46220</v>
      </c>
      <c r="G883" s="59" t="inlineStr">
        <is>
          <t>PRIMICIA DISTRIBUIDORA DE FRIOS LTDA</t>
        </is>
      </c>
      <c r="H883" s="59" t="n">
        <v>1435834</v>
      </c>
      <c r="I883" s="59" t="n">
        <v>11</v>
      </c>
      <c r="J883" s="59" t="inlineStr">
        <is>
          <t>AM</t>
        </is>
      </c>
      <c r="K883" s="126" t="n">
        <v>1393.5</v>
      </c>
    </row>
    <row r="884" ht="15" customHeight="1" s="60">
      <c r="A884" s="59" t="n">
        <v>1</v>
      </c>
      <c r="B884" s="59" t="n">
        <v>1964247</v>
      </c>
      <c r="C884" s="59" t="inlineStr">
        <is>
          <t>1</t>
        </is>
      </c>
      <c r="D884" s="59" t="inlineStr">
        <is>
          <t>04429478000192</t>
        </is>
      </c>
      <c r="E884" s="75" t="n">
        <v>46225</v>
      </c>
      <c r="F884" s="75" t="n">
        <v>46220</v>
      </c>
      <c r="G884" s="59" t="inlineStr">
        <is>
          <t>SB COMERCIO LTDA</t>
        </is>
      </c>
      <c r="H884" s="59" t="n">
        <v>1434191</v>
      </c>
      <c r="I884" s="59" t="n">
        <v>11</v>
      </c>
      <c r="J884" s="59" t="inlineStr">
        <is>
          <t>AM</t>
        </is>
      </c>
      <c r="K884" s="126" t="n">
        <v>945.12</v>
      </c>
    </row>
    <row r="885" ht="15" customHeight="1" s="60">
      <c r="A885" s="59" t="n">
        <v>1</v>
      </c>
      <c r="B885" s="59" t="n">
        <v>567587</v>
      </c>
      <c r="C885" s="59" t="inlineStr">
        <is>
          <t>13</t>
        </is>
      </c>
      <c r="D885" s="59" t="inlineStr">
        <is>
          <t>33009911007222</t>
        </is>
      </c>
      <c r="E885" s="75" t="n">
        <v>46225</v>
      </c>
      <c r="F885" s="75" t="n">
        <v>46219</v>
      </c>
      <c r="G885" s="59" t="inlineStr">
        <is>
          <t>SOUZA CRUZ LTDA.</t>
        </is>
      </c>
      <c r="H885" s="59" t="n">
        <v>1435055</v>
      </c>
      <c r="I885" s="59" t="n">
        <v>11</v>
      </c>
      <c r="J885" s="59" t="inlineStr">
        <is>
          <t>AM</t>
        </is>
      </c>
      <c r="K885" s="126" t="n">
        <v>12328.79</v>
      </c>
    </row>
    <row r="886" ht="15" customHeight="1" s="60">
      <c r="A886" s="59" t="n">
        <v>1</v>
      </c>
      <c r="B886" s="59" t="n">
        <v>581016</v>
      </c>
      <c r="C886" s="59" t="inlineStr">
        <is>
          <t>1</t>
        </is>
      </c>
      <c r="D886" s="59" t="inlineStr">
        <is>
          <t>05498763000128</t>
        </is>
      </c>
      <c r="E886" s="75" t="n">
        <v>46225</v>
      </c>
      <c r="F886" s="75" t="n">
        <v>46219</v>
      </c>
      <c r="G886" s="59" t="inlineStr">
        <is>
          <t>TAPAJOS COM DE PERFUMARIA COSMETICOS E G</t>
        </is>
      </c>
      <c r="H886" s="59" t="n">
        <v>1433693</v>
      </c>
      <c r="I886" s="59" t="n">
        <v>11</v>
      </c>
      <c r="J886" s="59" t="inlineStr">
        <is>
          <t>AM</t>
        </is>
      </c>
      <c r="K886" s="126" t="n">
        <v>1242.14</v>
      </c>
    </row>
    <row r="887" ht="15" customHeight="1" s="60">
      <c r="A887" s="59" t="n">
        <v>1</v>
      </c>
      <c r="B887" s="59" t="n">
        <v>3896</v>
      </c>
      <c r="C887" s="59" t="inlineStr">
        <is>
          <t>3</t>
        </is>
      </c>
      <c r="D887" s="59" t="inlineStr">
        <is>
          <t>37225449000168</t>
        </is>
      </c>
      <c r="E887" s="75" t="n">
        <v>46225</v>
      </c>
      <c r="F887" s="75" t="n">
        <v>46225</v>
      </c>
      <c r="G887" s="59" t="inlineStr">
        <is>
          <t>VOVO DIZA COMERCIO VAREJISTA DE HORTALICAS LTDA</t>
        </is>
      </c>
      <c r="H887" s="59" t="n">
        <v>1459613</v>
      </c>
      <c r="I887" s="59" t="n">
        <v>1</v>
      </c>
      <c r="J887" s="59" t="inlineStr">
        <is>
          <t>AM</t>
        </is>
      </c>
      <c r="K887" s="126" t="n">
        <v>176</v>
      </c>
    </row>
    <row r="888" ht="15" customHeight="1" s="60">
      <c r="A888" s="59" t="n">
        <v>1</v>
      </c>
      <c r="B888" s="59" t="n">
        <v>173664</v>
      </c>
      <c r="C888" s="59" t="inlineStr">
        <is>
          <t>1</t>
        </is>
      </c>
      <c r="D888" s="59" t="inlineStr">
        <is>
          <t>10418161000153</t>
        </is>
      </c>
      <c r="E888" s="75" t="n">
        <v>46226</v>
      </c>
      <c r="F888" s="75" t="n">
        <v>46226</v>
      </c>
      <c r="G888" s="59" t="inlineStr">
        <is>
          <t>COMERCIO DE FRIOS MANAUS LTDA</t>
        </is>
      </c>
      <c r="H888" s="59" t="n">
        <v>1440235</v>
      </c>
      <c r="I888" s="59" t="n">
        <v>11</v>
      </c>
      <c r="J888" s="59" t="inlineStr">
        <is>
          <t>AM</t>
        </is>
      </c>
      <c r="K888" s="126" t="n">
        <v>3547.2</v>
      </c>
    </row>
    <row r="889" ht="15" customHeight="1" s="60">
      <c r="A889" s="59" t="n">
        <v>1</v>
      </c>
      <c r="B889" s="59" t="n">
        <v>1696209</v>
      </c>
      <c r="C889" s="59" t="inlineStr">
        <is>
          <t>1</t>
        </is>
      </c>
      <c r="D889" s="59" t="inlineStr">
        <is>
          <t>02796653000154</t>
        </is>
      </c>
      <c r="E889" s="75" t="n">
        <v>46226</v>
      </c>
      <c r="F889" s="75" t="n">
        <v>46224</v>
      </c>
      <c r="G889" s="59" t="inlineStr">
        <is>
          <t>DISTRIBUIDORA LOPES LTDA</t>
        </is>
      </c>
      <c r="H889" s="59" t="n">
        <v>1440304</v>
      </c>
      <c r="I889" s="59" t="n">
        <v>11</v>
      </c>
      <c r="J889" s="59" t="inlineStr">
        <is>
          <t>AM</t>
        </is>
      </c>
      <c r="K889" s="126" t="n">
        <v>1651.64</v>
      </c>
    </row>
    <row r="890" ht="15" customHeight="1" s="60">
      <c r="A890" s="59" t="n">
        <v>1</v>
      </c>
      <c r="B890" s="59" t="n">
        <v>1697653</v>
      </c>
      <c r="C890" s="59" t="inlineStr">
        <is>
          <t>1</t>
        </is>
      </c>
      <c r="D890" s="59" t="inlineStr">
        <is>
          <t>02796653000154</t>
        </is>
      </c>
      <c r="E890" s="75" t="n">
        <v>46226</v>
      </c>
      <c r="F890" s="75" t="n">
        <v>46225</v>
      </c>
      <c r="G890" s="59" t="inlineStr">
        <is>
          <t>DISTRIBUIDORA LOPES LTDA</t>
        </is>
      </c>
      <c r="H890" s="59" t="n">
        <v>1440268</v>
      </c>
      <c r="I890" s="59" t="n">
        <v>11</v>
      </c>
      <c r="J890" s="59" t="inlineStr">
        <is>
          <t>AM</t>
        </is>
      </c>
      <c r="K890" s="126" t="n">
        <v>1998</v>
      </c>
    </row>
    <row r="891" ht="15" customHeight="1" s="60">
      <c r="A891" s="59" t="n">
        <v>1</v>
      </c>
      <c r="B891" s="59" t="n">
        <v>1697798</v>
      </c>
      <c r="C891" s="59" t="inlineStr">
        <is>
          <t>1</t>
        </is>
      </c>
      <c r="D891" s="59" t="inlineStr">
        <is>
          <t>02796653000154</t>
        </is>
      </c>
      <c r="E891" s="75" t="n">
        <v>46226</v>
      </c>
      <c r="F891" s="75" t="n">
        <v>46225</v>
      </c>
      <c r="G891" s="59" t="inlineStr">
        <is>
          <t>DISTRIBUIDORA LOPES LTDA</t>
        </is>
      </c>
      <c r="H891" s="59" t="n">
        <v>1440286</v>
      </c>
      <c r="I891" s="59" t="n">
        <v>39</v>
      </c>
      <c r="J891" s="59" t="inlineStr">
        <is>
          <t>AM</t>
        </is>
      </c>
      <c r="K891" s="126" t="n">
        <v>1571.92</v>
      </c>
    </row>
    <row r="892" ht="15" customHeight="1" s="60">
      <c r="A892" s="59" t="n">
        <v>1</v>
      </c>
      <c r="B892" s="59" t="n">
        <v>2302521</v>
      </c>
      <c r="C892" s="59" t="inlineStr">
        <is>
          <t>1</t>
        </is>
      </c>
      <c r="D892" s="59" t="inlineStr">
        <is>
          <t>05402904001562</t>
        </is>
      </c>
      <c r="E892" s="75" t="n">
        <v>46226</v>
      </c>
      <c r="F892" s="75" t="n">
        <v>46224</v>
      </c>
      <c r="G892" s="59" t="inlineStr">
        <is>
          <t>EMPRESA BRASILEIRA DE DISTRIBUICAO LTDA</t>
        </is>
      </c>
      <c r="H892" s="59" t="n">
        <v>1440337</v>
      </c>
      <c r="I892" s="59" t="n">
        <v>11</v>
      </c>
      <c r="J892" s="59" t="inlineStr">
        <is>
          <t>AM</t>
        </is>
      </c>
      <c r="K892" s="126" t="n">
        <v>683.04</v>
      </c>
    </row>
    <row r="893" ht="15" customHeight="1" s="60">
      <c r="A893" s="59" t="n">
        <v>1</v>
      </c>
      <c r="B893" s="59" t="n">
        <v>314382</v>
      </c>
      <c r="C893" s="59" t="inlineStr">
        <is>
          <t>1</t>
        </is>
      </c>
      <c r="D893" s="59" t="inlineStr">
        <is>
          <t>06257367000333</t>
        </is>
      </c>
      <c r="E893" s="75" t="n">
        <v>46226</v>
      </c>
      <c r="F893" s="75" t="n">
        <v>46225</v>
      </c>
      <c r="G893" s="59" t="inlineStr">
        <is>
          <t>FENNIX BRASIL DISTRIBUIDORA DE PRODUTOS</t>
        </is>
      </c>
      <c r="H893" s="59" t="n">
        <v>1440456</v>
      </c>
      <c r="I893" s="59" t="n">
        <v>11</v>
      </c>
      <c r="J893" s="59" t="inlineStr">
        <is>
          <t>AM</t>
        </is>
      </c>
      <c r="K893" s="126" t="n">
        <v>1810.75</v>
      </c>
    </row>
    <row r="894" ht="15" customHeight="1" s="60">
      <c r="A894" s="59" t="n">
        <v>1</v>
      </c>
      <c r="B894" s="59" t="n">
        <v>396990</v>
      </c>
      <c r="C894" s="59" t="inlineStr">
        <is>
          <t>1</t>
        </is>
      </c>
      <c r="D894" s="59" t="inlineStr">
        <is>
          <t>06257367000171</t>
        </is>
      </c>
      <c r="E894" s="75" t="n">
        <v>46226</v>
      </c>
      <c r="F894" s="75" t="n">
        <v>46225</v>
      </c>
      <c r="G894" s="59" t="inlineStr">
        <is>
          <t>FENNIX BRASIL DISTRIBUIDORA DE PRODUTOS</t>
        </is>
      </c>
      <c r="H894" s="59" t="n">
        <v>1440575</v>
      </c>
      <c r="I894" s="59" t="n">
        <v>11</v>
      </c>
      <c r="J894" s="59" t="inlineStr">
        <is>
          <t>AM</t>
        </is>
      </c>
      <c r="K894" s="126" t="n">
        <v>396.2</v>
      </c>
    </row>
    <row r="895" ht="15" customHeight="1" s="60">
      <c r="A895" s="59" t="n">
        <v>1</v>
      </c>
      <c r="B895" s="59" t="n">
        <v>71</v>
      </c>
      <c r="C895" s="59" t="inlineStr">
        <is>
          <t>1</t>
        </is>
      </c>
      <c r="D895" s="59" t="inlineStr">
        <is>
          <t>55158713000170</t>
        </is>
      </c>
      <c r="E895" s="75" t="n">
        <v>46226</v>
      </c>
      <c r="F895" s="75" t="n">
        <v>46226</v>
      </c>
      <c r="G895" s="59" t="inlineStr">
        <is>
          <t>H L M PADARIA E CONFEITARIA LTDA</t>
        </is>
      </c>
      <c r="H895" s="59" t="n">
        <v>1440378</v>
      </c>
      <c r="I895" s="59" t="n">
        <v>1</v>
      </c>
      <c r="J895" s="59" t="inlineStr">
        <is>
          <t>AM</t>
        </is>
      </c>
      <c r="K895" s="126" t="n">
        <v>420</v>
      </c>
    </row>
    <row r="896" ht="15" customHeight="1" s="60">
      <c r="A896" s="59" t="n">
        <v>1</v>
      </c>
      <c r="B896" s="59" t="n">
        <v>725</v>
      </c>
      <c r="C896" s="59" t="inlineStr">
        <is>
          <t>2</t>
        </is>
      </c>
      <c r="D896" s="59" t="inlineStr">
        <is>
          <t>35729236000148</t>
        </is>
      </c>
      <c r="E896" s="75" t="n">
        <v>46226</v>
      </c>
      <c r="F896" s="75" t="n">
        <v>46223</v>
      </c>
      <c r="G896" s="59" t="inlineStr">
        <is>
          <t>PANIFICADORA E CONFEITARIA REAL MADRI LTDA</t>
        </is>
      </c>
      <c r="H896" s="59" t="n">
        <v>1440033</v>
      </c>
      <c r="I896" s="59" t="n">
        <v>11</v>
      </c>
      <c r="J896" s="59" t="inlineStr">
        <is>
          <t>AM</t>
        </is>
      </c>
      <c r="K896" s="126" t="n">
        <v>1120</v>
      </c>
    </row>
    <row r="897" ht="15" customHeight="1" s="60">
      <c r="A897" s="59" t="n">
        <v>1</v>
      </c>
      <c r="B897" s="59" t="n">
        <v>568312</v>
      </c>
      <c r="C897" s="59" t="inlineStr">
        <is>
          <t>13</t>
        </is>
      </c>
      <c r="D897" s="59" t="inlineStr">
        <is>
          <t>33009911007222</t>
        </is>
      </c>
      <c r="E897" s="75" t="n">
        <v>46226</v>
      </c>
      <c r="F897" s="75" t="n">
        <v>46225</v>
      </c>
      <c r="G897" s="59" t="inlineStr">
        <is>
          <t>SOUZA CRUZ LTDA.</t>
        </is>
      </c>
      <c r="H897" s="59" t="n">
        <v>1440212</v>
      </c>
      <c r="I897" s="59" t="n">
        <v>11</v>
      </c>
      <c r="J897" s="59" t="inlineStr">
        <is>
          <t>AM</t>
        </is>
      </c>
      <c r="K897" s="126" t="n">
        <v>23137.64</v>
      </c>
    </row>
    <row r="898" ht="15" customHeight="1" s="60">
      <c r="A898" s="59" t="n">
        <v>1</v>
      </c>
      <c r="B898" s="59" t="n">
        <v>343</v>
      </c>
      <c r="C898" s="59" t="inlineStr">
        <is>
          <t>1</t>
        </is>
      </c>
      <c r="D898" s="59" t="inlineStr">
        <is>
          <t>34787423000115</t>
        </is>
      </c>
      <c r="E898" s="75" t="n">
        <v>46227</v>
      </c>
      <c r="F898" s="75" t="n">
        <v>46226</v>
      </c>
      <c r="G898" s="59" t="inlineStr">
        <is>
          <t>ADRIANO FEITOSA OLIVEIRA LTDA</t>
        </is>
      </c>
      <c r="H898" s="59" t="n">
        <v>1445232</v>
      </c>
      <c r="I898" s="59" t="n">
        <v>11</v>
      </c>
      <c r="J898" s="59" t="inlineStr">
        <is>
          <t>AM</t>
        </is>
      </c>
      <c r="K898" s="126" t="n">
        <v>2119</v>
      </c>
    </row>
    <row r="899" ht="15" customHeight="1" s="60">
      <c r="A899" s="59" t="n">
        <v>1</v>
      </c>
      <c r="B899" s="59" t="n">
        <v>21118</v>
      </c>
      <c r="C899" s="59" t="inlineStr">
        <is>
          <t>1</t>
        </is>
      </c>
      <c r="D899" s="59" t="inlineStr">
        <is>
          <t>28686395000147</t>
        </is>
      </c>
      <c r="E899" s="75" t="n">
        <v>46227</v>
      </c>
      <c r="F899" s="75" t="n">
        <v>46224</v>
      </c>
      <c r="G899" s="59" t="inlineStr">
        <is>
          <t>BF COMERCIO DE ALIMENTOS REPRESENTACAO L</t>
        </is>
      </c>
      <c r="H899" s="59" t="n">
        <v>1444273</v>
      </c>
      <c r="I899" s="59" t="n">
        <v>11</v>
      </c>
      <c r="J899" s="59" t="inlineStr">
        <is>
          <t>AM</t>
        </is>
      </c>
      <c r="K899" s="126" t="n">
        <v>2021.39</v>
      </c>
    </row>
    <row r="900" ht="15" customHeight="1" s="60">
      <c r="A900" s="59" t="n">
        <v>1</v>
      </c>
      <c r="B900" s="59" t="n">
        <v>1209351</v>
      </c>
      <c r="C900" s="59" t="inlineStr">
        <is>
          <t>7</t>
        </is>
      </c>
      <c r="D900" s="59" t="inlineStr">
        <is>
          <t>34590315000158</t>
        </is>
      </c>
      <c r="E900" s="75" t="n">
        <v>46227</v>
      </c>
      <c r="F900" s="75" t="n">
        <v>46219</v>
      </c>
      <c r="G900" s="59" t="inlineStr">
        <is>
          <t>BRASIL NORTE BEBIDAS S/A</t>
        </is>
      </c>
      <c r="H900" s="59" t="n">
        <v>1444832</v>
      </c>
      <c r="I900" s="59" t="n">
        <v>11</v>
      </c>
      <c r="J900" s="59" t="inlineStr">
        <is>
          <t>AM</t>
        </is>
      </c>
      <c r="K900" s="126" t="n">
        <v>1454.78</v>
      </c>
    </row>
    <row r="901" ht="15" customHeight="1" s="60">
      <c r="A901" s="59" t="n">
        <v>1</v>
      </c>
      <c r="B901" s="59" t="n">
        <v>1942481</v>
      </c>
      <c r="C901" s="59" t="inlineStr">
        <is>
          <t>5</t>
        </is>
      </c>
      <c r="D901" s="59" t="inlineStr">
        <is>
          <t>34590315000158</t>
        </is>
      </c>
      <c r="E901" s="75" t="n">
        <v>46227</v>
      </c>
      <c r="F901" s="75" t="n">
        <v>46219</v>
      </c>
      <c r="G901" s="59" t="inlineStr">
        <is>
          <t>BRASIL NORTE BEBIDAS S/A</t>
        </is>
      </c>
      <c r="H901" s="59" t="n">
        <v>1444855</v>
      </c>
      <c r="I901" s="59" t="n">
        <v>11</v>
      </c>
      <c r="J901" s="59" t="inlineStr">
        <is>
          <t>AM</t>
        </is>
      </c>
      <c r="K901" s="126" t="n">
        <v>1253.43</v>
      </c>
    </row>
    <row r="902" ht="15" customHeight="1" s="60">
      <c r="A902" s="59" t="n">
        <v>1</v>
      </c>
      <c r="B902" s="59" t="n">
        <v>1611343</v>
      </c>
      <c r="C902" s="59" t="inlineStr">
        <is>
          <t>1</t>
        </is>
      </c>
      <c r="D902" s="59" t="inlineStr">
        <is>
          <t>01838723026193</t>
        </is>
      </c>
      <c r="E902" s="75" t="n">
        <v>46227</v>
      </c>
      <c r="F902" s="75" t="n">
        <v>46227</v>
      </c>
      <c r="G902" s="59" t="inlineStr">
        <is>
          <t>BRF S A</t>
        </is>
      </c>
      <c r="H902" s="59" t="n">
        <v>1443846</v>
      </c>
      <c r="I902" s="59" t="n">
        <v>11</v>
      </c>
      <c r="J902" s="59" t="inlineStr">
        <is>
          <t>AM</t>
        </is>
      </c>
      <c r="K902" s="126" t="n">
        <v>894.5</v>
      </c>
    </row>
    <row r="903" ht="15" customHeight="1" s="60">
      <c r="A903" s="59" t="n">
        <v>1</v>
      </c>
      <c r="B903" s="59" t="n">
        <v>173742</v>
      </c>
      <c r="C903" s="59" t="inlineStr">
        <is>
          <t>1</t>
        </is>
      </c>
      <c r="D903" s="59" t="inlineStr">
        <is>
          <t>10418161000153</t>
        </is>
      </c>
      <c r="E903" s="75" t="n">
        <v>46227</v>
      </c>
      <c r="F903" s="75" t="n">
        <v>46227</v>
      </c>
      <c r="G903" s="59" t="inlineStr">
        <is>
          <t>COMERCIO DE FRIOS MANAUS LTDA</t>
        </is>
      </c>
      <c r="H903" s="59" t="n">
        <v>1445159</v>
      </c>
      <c r="I903" s="59" t="n">
        <v>11</v>
      </c>
      <c r="J903" s="59" t="inlineStr">
        <is>
          <t>AM</t>
        </is>
      </c>
      <c r="K903" s="126" t="n">
        <v>5892.2</v>
      </c>
    </row>
    <row r="904" ht="15" customHeight="1" s="60">
      <c r="A904" s="59" t="n">
        <v>1</v>
      </c>
      <c r="B904" s="59" t="n">
        <v>14945</v>
      </c>
      <c r="C904" s="59" t="inlineStr">
        <is>
          <t>1</t>
        </is>
      </c>
      <c r="D904" s="59" t="inlineStr">
        <is>
          <t>09531992000158</t>
        </is>
      </c>
      <c r="E904" s="75" t="n">
        <v>46227</v>
      </c>
      <c r="F904" s="75" t="n">
        <v>46227</v>
      </c>
      <c r="G904" s="59" t="inlineStr">
        <is>
          <t>COMERCIO E TRANSPORTE BRANDAO LTDA</t>
        </is>
      </c>
      <c r="H904" s="59" t="n">
        <v>1444868</v>
      </c>
      <c r="I904" s="59" t="n">
        <v>1</v>
      </c>
      <c r="J904" s="59" t="inlineStr">
        <is>
          <t>AM</t>
        </is>
      </c>
      <c r="K904" s="126" t="n">
        <v>490</v>
      </c>
    </row>
    <row r="905" ht="15" customHeight="1" s="60">
      <c r="A905" s="59" t="n">
        <v>1</v>
      </c>
      <c r="B905" s="59" t="n">
        <v>651360</v>
      </c>
      <c r="C905" s="59" t="inlineStr">
        <is>
          <t>1</t>
        </is>
      </c>
      <c r="D905" s="59" t="inlineStr">
        <is>
          <t>84511351000157</t>
        </is>
      </c>
      <c r="E905" s="75" t="n">
        <v>46227</v>
      </c>
      <c r="F905" s="75" t="n">
        <v>46225</v>
      </c>
      <c r="G905" s="59" t="inlineStr">
        <is>
          <t>DURAES DISTRIBUIDORA DE ESTIVAS LTDA</t>
        </is>
      </c>
      <c r="H905" s="59" t="n">
        <v>1445373</v>
      </c>
      <c r="I905" s="59" t="n">
        <v>11</v>
      </c>
      <c r="J905" s="59" t="inlineStr">
        <is>
          <t>AM</t>
        </is>
      </c>
      <c r="K905" s="126" t="n">
        <v>1817.78</v>
      </c>
    </row>
    <row r="906" ht="15" customHeight="1" s="60">
      <c r="A906" s="59" t="n">
        <v>1</v>
      </c>
      <c r="B906" s="59" t="n">
        <v>651362</v>
      </c>
      <c r="C906" s="59" t="inlineStr">
        <is>
          <t>1</t>
        </is>
      </c>
      <c r="D906" s="59" t="inlineStr">
        <is>
          <t>84511351000157</t>
        </is>
      </c>
      <c r="E906" s="75" t="n">
        <v>46227</v>
      </c>
      <c r="F906" s="75" t="n">
        <v>46225</v>
      </c>
      <c r="G906" s="59" t="inlineStr">
        <is>
          <t>DURAES DISTRIBUIDORA DE ESTIVAS LTDA</t>
        </is>
      </c>
      <c r="H906" s="59" t="n">
        <v>1445432</v>
      </c>
      <c r="I906" s="59" t="n">
        <v>11</v>
      </c>
      <c r="J906" s="59" t="inlineStr">
        <is>
          <t>AM</t>
        </is>
      </c>
      <c r="K906" s="126" t="n">
        <v>1302.17</v>
      </c>
    </row>
    <row r="907" ht="15" customHeight="1" s="60">
      <c r="A907" s="59" t="n">
        <v>1</v>
      </c>
      <c r="B907" s="59" t="n">
        <v>19144</v>
      </c>
      <c r="C907" s="59" t="inlineStr">
        <is>
          <t>2</t>
        </is>
      </c>
      <c r="D907" s="59" t="inlineStr">
        <is>
          <t>31378290000135</t>
        </is>
      </c>
      <c r="E907" s="75" t="n">
        <v>46227</v>
      </c>
      <c r="F907" s="75" t="n">
        <v>46226</v>
      </c>
      <c r="G907" s="59" t="inlineStr">
        <is>
          <t>G P FERESIN LTDA</t>
        </is>
      </c>
      <c r="H907" s="59" t="n">
        <v>1443907</v>
      </c>
      <c r="I907" s="59" t="n">
        <v>11</v>
      </c>
      <c r="J907" s="59" t="inlineStr">
        <is>
          <t>AM</t>
        </is>
      </c>
      <c r="K907" s="126" t="n">
        <v>518.41</v>
      </c>
    </row>
    <row r="908" ht="15" customHeight="1" s="60">
      <c r="A908" s="59" t="n">
        <v>1</v>
      </c>
      <c r="B908" s="59" t="n">
        <v>75</v>
      </c>
      <c r="C908" s="59" t="inlineStr">
        <is>
          <t>1</t>
        </is>
      </c>
      <c r="D908" s="59" t="inlineStr">
        <is>
          <t>55158713000170</t>
        </is>
      </c>
      <c r="E908" s="75" t="n">
        <v>46227</v>
      </c>
      <c r="F908" s="75" t="n">
        <v>46227</v>
      </c>
      <c r="G908" s="59" t="inlineStr">
        <is>
          <t>H L M PADARIA E CONFEITARIA LTDA</t>
        </is>
      </c>
      <c r="H908" s="59" t="n">
        <v>1459634</v>
      </c>
      <c r="I908" s="59" t="n">
        <v>1</v>
      </c>
      <c r="J908" s="59" t="inlineStr">
        <is>
          <t>AM</t>
        </is>
      </c>
      <c r="K908" s="126" t="n">
        <v>300</v>
      </c>
    </row>
    <row r="909" ht="15" customHeight="1" s="60">
      <c r="A909" s="59" t="n">
        <v>1</v>
      </c>
      <c r="B909" s="59" t="n">
        <v>377</v>
      </c>
      <c r="C909" s="59" t="inlineStr">
        <is>
          <t>1</t>
        </is>
      </c>
      <c r="D909" s="59" t="inlineStr">
        <is>
          <t>63502353000100</t>
        </is>
      </c>
      <c r="E909" s="75" t="n">
        <v>46227</v>
      </c>
      <c r="F909" s="75" t="n">
        <v>46227</v>
      </c>
      <c r="G909" s="59" t="inlineStr">
        <is>
          <t>J W N DOS SANTOS</t>
        </is>
      </c>
      <c r="H909" s="59" t="n">
        <v>1459549</v>
      </c>
      <c r="I909" s="59" t="n">
        <v>1</v>
      </c>
      <c r="J909" s="59" t="inlineStr">
        <is>
          <t>AM</t>
        </is>
      </c>
      <c r="K909" s="126" t="n">
        <v>560</v>
      </c>
    </row>
    <row r="910" ht="15" customHeight="1" s="60">
      <c r="A910" s="59" t="n">
        <v>1</v>
      </c>
      <c r="B910" s="59" t="n">
        <v>740923</v>
      </c>
      <c r="C910" s="59" t="inlineStr">
        <is>
          <t>0</t>
        </is>
      </c>
      <c r="D910" s="59" t="inlineStr">
        <is>
          <t>08038545000107</t>
        </is>
      </c>
      <c r="E910" s="75" t="n">
        <v>46227</v>
      </c>
      <c r="F910" s="75" t="n">
        <v>46224</v>
      </c>
      <c r="G910" s="59" t="inlineStr">
        <is>
          <t>NATUREZA COMERCIO DE DESCARTAVEIS LTDA</t>
        </is>
      </c>
      <c r="H910" s="59" t="n">
        <v>1444188</v>
      </c>
      <c r="I910" s="59" t="n">
        <v>11</v>
      </c>
      <c r="J910" s="59" t="inlineStr">
        <is>
          <t>AM</t>
        </is>
      </c>
      <c r="K910" s="126" t="n">
        <v>1437.93</v>
      </c>
    </row>
    <row r="911" ht="15" customHeight="1" s="60">
      <c r="A911" s="59" t="n">
        <v>1</v>
      </c>
      <c r="B911" s="59" t="n">
        <v>2785</v>
      </c>
      <c r="C911" s="59" t="inlineStr">
        <is>
          <t>3</t>
        </is>
      </c>
      <c r="D911" s="59" t="inlineStr">
        <is>
          <t>20934191000176</t>
        </is>
      </c>
      <c r="E911" s="75" t="n">
        <v>46227</v>
      </c>
      <c r="F911" s="75" t="n">
        <v>46225</v>
      </c>
      <c r="G911" s="59" t="inlineStr">
        <is>
          <t>ORIENTE COM. ATACADISTA E REPRES. LTDA</t>
        </is>
      </c>
      <c r="H911" s="59" t="n">
        <v>1444789</v>
      </c>
      <c r="I911" s="59" t="n">
        <v>11</v>
      </c>
      <c r="J911" s="59" t="inlineStr">
        <is>
          <t>AM</t>
        </is>
      </c>
      <c r="K911" s="126" t="n">
        <v>4391.2</v>
      </c>
    </row>
    <row r="912" ht="15" customHeight="1" s="60">
      <c r="A912" s="59" t="n">
        <v>1</v>
      </c>
      <c r="B912" s="59" t="n">
        <v>194785</v>
      </c>
      <c r="C912" s="59" t="inlineStr">
        <is>
          <t>3</t>
        </is>
      </c>
      <c r="D912" s="59" t="inlineStr">
        <is>
          <t>11094287000344</t>
        </is>
      </c>
      <c r="E912" s="75" t="n">
        <v>46227</v>
      </c>
      <c r="F912" s="75" t="n">
        <v>46224</v>
      </c>
      <c r="G912" s="59" t="inlineStr">
        <is>
          <t>PIARARA COMERCIO, IMPORTACAO E EXPORTACAO LTDA</t>
        </is>
      </c>
      <c r="H912" s="59" t="n">
        <v>1444448</v>
      </c>
      <c r="I912" s="59" t="n">
        <v>11</v>
      </c>
      <c r="J912" s="59" t="inlineStr">
        <is>
          <t>AM</t>
        </is>
      </c>
      <c r="K912" s="126" t="n">
        <v>2605.08</v>
      </c>
    </row>
    <row r="913" ht="15" customHeight="1" s="60">
      <c r="A913" s="59" t="n">
        <v>1</v>
      </c>
      <c r="B913" s="59" t="n">
        <v>5343</v>
      </c>
      <c r="C913" s="59" t="inlineStr">
        <is>
          <t>1</t>
        </is>
      </c>
      <c r="D913" s="59" t="inlineStr">
        <is>
          <t>36480282000119</t>
        </is>
      </c>
      <c r="E913" s="75" t="n">
        <v>46227</v>
      </c>
      <c r="F913" s="75" t="n">
        <v>46227</v>
      </c>
      <c r="G913" s="59" t="inlineStr">
        <is>
          <t>RENATO DE O AZEVEDO E CIA LTDA - EPP</t>
        </is>
      </c>
      <c r="H913" s="59" t="n">
        <v>1444502</v>
      </c>
      <c r="I913" s="59" t="n">
        <v>6</v>
      </c>
      <c r="J913" s="59" t="inlineStr">
        <is>
          <t>AM</t>
        </is>
      </c>
      <c r="K913" s="126" t="n">
        <v>2970</v>
      </c>
    </row>
    <row r="914" ht="15" customHeight="1" s="60">
      <c r="A914" s="59" t="n">
        <v>1</v>
      </c>
      <c r="B914" s="59" t="n">
        <v>5344</v>
      </c>
      <c r="C914" s="59" t="inlineStr">
        <is>
          <t>1</t>
        </is>
      </c>
      <c r="D914" s="59" t="inlineStr">
        <is>
          <t>36480282000119</t>
        </is>
      </c>
      <c r="E914" s="75" t="n">
        <v>46227</v>
      </c>
      <c r="F914" s="75" t="n">
        <v>46227</v>
      </c>
      <c r="G914" s="59" t="inlineStr">
        <is>
          <t>RENATO DE O AZEVEDO E CIA LTDA - EPP</t>
        </is>
      </c>
      <c r="H914" s="59" t="n">
        <v>1444846</v>
      </c>
      <c r="I914" s="59" t="n">
        <v>6</v>
      </c>
      <c r="J914" s="59" t="inlineStr">
        <is>
          <t>AM</t>
        </is>
      </c>
      <c r="K914" s="126" t="n">
        <v>2759</v>
      </c>
    </row>
    <row r="915" ht="15" customHeight="1" s="60">
      <c r="A915" s="59" t="n">
        <v>1</v>
      </c>
      <c r="B915" s="59" t="n">
        <v>353326</v>
      </c>
      <c r="C915" s="59" t="inlineStr">
        <is>
          <t>2</t>
        </is>
      </c>
      <c r="D915" s="59" t="inlineStr">
        <is>
          <t>63310411003461</t>
        </is>
      </c>
      <c r="E915" s="75" t="n">
        <v>46227</v>
      </c>
      <c r="F915" s="75" t="n">
        <v>46225</v>
      </c>
      <c r="G915" s="59" t="inlineStr">
        <is>
          <t>TRES CORACOES ALIMENTOS S.A.</t>
        </is>
      </c>
      <c r="H915" s="59" t="n">
        <v>1444105</v>
      </c>
      <c r="I915" s="59" t="n">
        <v>11</v>
      </c>
      <c r="J915" s="59" t="inlineStr">
        <is>
          <t>AM</t>
        </is>
      </c>
      <c r="K915" s="126" t="n">
        <v>6190.31</v>
      </c>
    </row>
    <row r="916" ht="15" customHeight="1" s="60">
      <c r="A916" s="59" t="n">
        <v>1</v>
      </c>
      <c r="B916" s="59" t="n">
        <v>543</v>
      </c>
      <c r="C916" s="59" t="inlineStr">
        <is>
          <t>1</t>
        </is>
      </c>
      <c r="D916" s="59" t="inlineStr">
        <is>
          <t>47496330000183</t>
        </is>
      </c>
      <c r="E916" s="75" t="n">
        <v>46228</v>
      </c>
      <c r="F916" s="75" t="n">
        <v>46227</v>
      </c>
      <c r="G916" s="59" t="inlineStr">
        <is>
          <t>ADICSO FABIAN GONZALEZ MONTILLA 70302186</t>
        </is>
      </c>
      <c r="H916" s="59" t="n">
        <v>1448608</v>
      </c>
      <c r="I916" s="59" t="n">
        <v>11</v>
      </c>
      <c r="J916" s="59" t="inlineStr">
        <is>
          <t>AM</t>
        </is>
      </c>
      <c r="K916" s="126" t="n">
        <v>792</v>
      </c>
    </row>
    <row r="917" ht="15" customHeight="1" s="60">
      <c r="A917" s="59" t="n">
        <v>1</v>
      </c>
      <c r="B917" s="59" t="n">
        <v>281541</v>
      </c>
      <c r="C917" s="59" t="inlineStr">
        <is>
          <t>1</t>
        </is>
      </c>
      <c r="D917" s="59" t="inlineStr">
        <is>
          <t>84502145000261</t>
        </is>
      </c>
      <c r="E917" s="75" t="n">
        <v>46228</v>
      </c>
      <c r="F917" s="75" t="n">
        <v>46223</v>
      </c>
      <c r="G917" s="59" t="inlineStr">
        <is>
          <t>DISPPAN DISTRIBUIDORA DE PRODUTOS PARA PANIFICACAO LTDA</t>
        </is>
      </c>
      <c r="H917" s="59" t="n">
        <v>1449802</v>
      </c>
      <c r="I917" s="59" t="n">
        <v>39</v>
      </c>
      <c r="J917" s="59" t="inlineStr">
        <is>
          <t>AM</t>
        </is>
      </c>
      <c r="K917" s="126" t="n">
        <v>350</v>
      </c>
    </row>
    <row r="918" ht="15" customHeight="1" s="60">
      <c r="A918" s="59" t="n">
        <v>1</v>
      </c>
      <c r="B918" s="59" t="n">
        <v>1696462</v>
      </c>
      <c r="C918" s="59" t="inlineStr">
        <is>
          <t>1</t>
        </is>
      </c>
      <c r="D918" s="59" t="inlineStr">
        <is>
          <t>02796653000154</t>
        </is>
      </c>
      <c r="E918" s="75" t="n">
        <v>46228</v>
      </c>
      <c r="F918" s="75" t="n">
        <v>46224</v>
      </c>
      <c r="G918" s="59" t="inlineStr">
        <is>
          <t>DISTRIBUIDORA LOPES LTDA</t>
        </is>
      </c>
      <c r="H918" s="59" t="n">
        <v>1448529</v>
      </c>
      <c r="I918" s="59" t="n">
        <v>11</v>
      </c>
      <c r="J918" s="59" t="inlineStr">
        <is>
          <t>AM</t>
        </is>
      </c>
      <c r="K918" s="126" t="n">
        <v>5397.3</v>
      </c>
    </row>
    <row r="919" ht="15" customHeight="1" s="60">
      <c r="A919" s="59" t="n">
        <v>1</v>
      </c>
      <c r="B919" s="59" t="n">
        <v>1698036</v>
      </c>
      <c r="C919" s="59" t="inlineStr">
        <is>
          <t>1</t>
        </is>
      </c>
      <c r="D919" s="59" t="inlineStr">
        <is>
          <t>02796653000154</t>
        </is>
      </c>
      <c r="E919" s="75" t="n">
        <v>46228</v>
      </c>
      <c r="F919" s="75" t="n">
        <v>46226</v>
      </c>
      <c r="G919" s="59" t="inlineStr">
        <is>
          <t>DISTRIBUIDORA LOPES LTDA</t>
        </is>
      </c>
      <c r="H919" s="59" t="n">
        <v>1449385</v>
      </c>
      <c r="I919" s="59" t="n">
        <v>11</v>
      </c>
      <c r="J919" s="59" t="inlineStr">
        <is>
          <t>AM</t>
        </is>
      </c>
      <c r="K919" s="126" t="n">
        <v>2012.43</v>
      </c>
    </row>
    <row r="920" ht="15" customHeight="1" s="60">
      <c r="A920" s="59" t="n">
        <v>1</v>
      </c>
      <c r="B920" s="59" t="n">
        <v>134703</v>
      </c>
      <c r="C920" s="59" t="inlineStr">
        <is>
          <t>1</t>
        </is>
      </c>
      <c r="D920" s="59" t="inlineStr">
        <is>
          <t>10717750000132</t>
        </is>
      </c>
      <c r="E920" s="75" t="n">
        <v>46228</v>
      </c>
      <c r="F920" s="75" t="n">
        <v>46219</v>
      </c>
      <c r="G920" s="59" t="inlineStr">
        <is>
          <t>DISTRIBUIDORA PRIME LTDA</t>
        </is>
      </c>
      <c r="H920" s="59" t="n">
        <v>1448105</v>
      </c>
      <c r="I920" s="59" t="n">
        <v>11</v>
      </c>
      <c r="J920" s="59" t="inlineStr">
        <is>
          <t>AM</t>
        </is>
      </c>
      <c r="K920" s="126" t="n">
        <v>2323.45</v>
      </c>
    </row>
    <row r="921" ht="15" customHeight="1" s="60">
      <c r="A921" s="59" t="n">
        <v>1</v>
      </c>
      <c r="B921" s="59" t="n">
        <v>2808</v>
      </c>
      <c r="C921" s="59" t="inlineStr">
        <is>
          <t>1</t>
        </is>
      </c>
      <c r="D921" s="59" t="inlineStr">
        <is>
          <t>63443798000166</t>
        </is>
      </c>
      <c r="E921" s="75" t="n">
        <v>46228</v>
      </c>
      <c r="F921" s="75" t="n">
        <v>46218</v>
      </c>
      <c r="G921" s="59" t="inlineStr">
        <is>
          <t>FORTVET DISTRIBUIDORA LTDA</t>
        </is>
      </c>
      <c r="H921" s="59" t="n">
        <v>1448633</v>
      </c>
      <c r="I921" s="59" t="n">
        <v>11</v>
      </c>
      <c r="J921" s="59" t="inlineStr">
        <is>
          <t>AM</t>
        </is>
      </c>
      <c r="K921" s="126" t="n">
        <v>890.75</v>
      </c>
    </row>
    <row r="922" ht="15" customHeight="1" s="60">
      <c r="A922" s="59" t="n">
        <v>1</v>
      </c>
      <c r="B922" s="59" t="n">
        <v>21188</v>
      </c>
      <c r="C922" s="59" t="inlineStr">
        <is>
          <t>4</t>
        </is>
      </c>
      <c r="D922" s="59" t="inlineStr">
        <is>
          <t>48302595000166</t>
        </is>
      </c>
      <c r="E922" s="75" t="n">
        <v>46228</v>
      </c>
      <c r="F922" s="75" t="n">
        <v>46221</v>
      </c>
      <c r="G922" s="59" t="inlineStr">
        <is>
          <t>FUNNY PET DISTRIBUIDORA DE ALIMENTOS PAR</t>
        </is>
      </c>
      <c r="H922" s="59" t="n">
        <v>1449137</v>
      </c>
      <c r="I922" s="59" t="n">
        <v>11</v>
      </c>
      <c r="J922" s="59" t="inlineStr">
        <is>
          <t>AM</t>
        </is>
      </c>
      <c r="K922" s="126" t="n">
        <v>13835.6</v>
      </c>
    </row>
    <row r="923" ht="15" customHeight="1" s="60">
      <c r="A923" s="59" t="n">
        <v>1</v>
      </c>
      <c r="B923" s="59" t="n">
        <v>394</v>
      </c>
      <c r="C923" s="59" t="inlineStr">
        <is>
          <t>2</t>
        </is>
      </c>
      <c r="D923" s="59" t="inlineStr">
        <is>
          <t>20380110000133</t>
        </is>
      </c>
      <c r="E923" s="75" t="n">
        <v>46228</v>
      </c>
      <c r="F923" s="75" t="n">
        <v>46228</v>
      </c>
      <c r="G923" s="59" t="inlineStr">
        <is>
          <t>GELO DANGELO FABRICACAO DE GELO LTDA</t>
        </is>
      </c>
      <c r="H923" s="59" t="n">
        <v>1459639</v>
      </c>
      <c r="I923" s="59" t="n">
        <v>1</v>
      </c>
      <c r="J923" s="59" t="inlineStr">
        <is>
          <t>AM</t>
        </is>
      </c>
      <c r="K923" s="126" t="n">
        <v>518</v>
      </c>
    </row>
    <row r="924" ht="15" customHeight="1" s="60">
      <c r="A924" s="59" t="n">
        <v>1</v>
      </c>
      <c r="B924" s="59" t="n">
        <v>80</v>
      </c>
      <c r="C924" s="59" t="inlineStr">
        <is>
          <t>1</t>
        </is>
      </c>
      <c r="D924" s="59" t="inlineStr">
        <is>
          <t>55158713000170</t>
        </is>
      </c>
      <c r="E924" s="75" t="n">
        <v>46228</v>
      </c>
      <c r="F924" s="75" t="n">
        <v>46228</v>
      </c>
      <c r="G924" s="59" t="inlineStr">
        <is>
          <t>H L M PADARIA E CONFEITARIA LTDA</t>
        </is>
      </c>
      <c r="H924" s="59" t="n">
        <v>1459678</v>
      </c>
      <c r="I924" s="59" t="n">
        <v>1</v>
      </c>
      <c r="J924" s="59" t="inlineStr">
        <is>
          <t>AM</t>
        </is>
      </c>
      <c r="K924" s="126" t="n">
        <v>420</v>
      </c>
    </row>
    <row r="925" ht="15" customHeight="1" s="60">
      <c r="A925" s="59" t="n">
        <v>1</v>
      </c>
      <c r="B925" s="59" t="n">
        <v>5843</v>
      </c>
      <c r="C925" s="59" t="inlineStr">
        <is>
          <t>1</t>
        </is>
      </c>
      <c r="D925" s="59" t="inlineStr">
        <is>
          <t>13854487000111</t>
        </is>
      </c>
      <c r="E925" s="75" t="n">
        <v>46228</v>
      </c>
      <c r="F925" s="75" t="n">
        <v>46225</v>
      </c>
      <c r="G925" s="59" t="inlineStr">
        <is>
          <t>H. L. DO NASCIMENTO</t>
        </is>
      </c>
      <c r="H925" s="59" t="n">
        <v>1449499</v>
      </c>
      <c r="I925" s="59" t="n">
        <v>11</v>
      </c>
      <c r="J925" s="59" t="inlineStr">
        <is>
          <t>AM</t>
        </is>
      </c>
      <c r="K925" s="126" t="n">
        <v>933.95</v>
      </c>
    </row>
    <row r="926" ht="15" customHeight="1" s="60">
      <c r="A926" s="59" t="n">
        <v>1</v>
      </c>
      <c r="B926" s="59" t="n">
        <v>134892</v>
      </c>
      <c r="C926" s="59" t="inlineStr">
        <is>
          <t>1</t>
        </is>
      </c>
      <c r="D926" s="59" t="inlineStr">
        <is>
          <t>09454483000179</t>
        </is>
      </c>
      <c r="E926" s="75" t="n">
        <v>46228</v>
      </c>
      <c r="F926" s="75" t="n">
        <v>46223</v>
      </c>
      <c r="G926" s="59" t="inlineStr">
        <is>
          <t>H.V.M. XAVIER ALIMENTOS</t>
        </is>
      </c>
      <c r="H926" s="59" t="n">
        <v>1449446</v>
      </c>
      <c r="I926" s="59" t="n">
        <v>11</v>
      </c>
      <c r="J926" s="59" t="inlineStr">
        <is>
          <t>AM</t>
        </is>
      </c>
      <c r="K926" s="126" t="n">
        <v>194.4</v>
      </c>
    </row>
    <row r="927" ht="15" customHeight="1" s="60">
      <c r="A927" s="59" t="n">
        <v>1</v>
      </c>
      <c r="B927" s="59" t="n">
        <v>104754</v>
      </c>
      <c r="C927" s="59" t="inlineStr">
        <is>
          <t>4</t>
        </is>
      </c>
      <c r="D927" s="59" t="inlineStr">
        <is>
          <t>03759837000107</t>
        </is>
      </c>
      <c r="E927" s="75" t="n">
        <v>46228</v>
      </c>
      <c r="F927" s="75" t="n">
        <v>46220</v>
      </c>
      <c r="G927" s="59" t="inlineStr">
        <is>
          <t>INNOVAR DISTRIBUIDORA DE COSMETICOS E MEDICAMENTOS LTDA</t>
        </is>
      </c>
      <c r="H927" s="59" t="n">
        <v>1448200</v>
      </c>
      <c r="I927" s="59" t="n">
        <v>11</v>
      </c>
      <c r="J927" s="59" t="inlineStr">
        <is>
          <t>AM</t>
        </is>
      </c>
      <c r="K927" s="126" t="n">
        <v>1958.46</v>
      </c>
    </row>
    <row r="928" ht="15" customHeight="1" s="60">
      <c r="A928" s="59" t="n">
        <v>1</v>
      </c>
      <c r="B928" s="59" t="n">
        <v>1036</v>
      </c>
      <c r="C928" s="59" t="inlineStr">
        <is>
          <t>1</t>
        </is>
      </c>
      <c r="D928" s="59" t="inlineStr">
        <is>
          <t>36390319000118</t>
        </is>
      </c>
      <c r="E928" s="75" t="n">
        <v>46228</v>
      </c>
      <c r="F928" s="75" t="n">
        <v>46228</v>
      </c>
      <c r="G928" s="59" t="inlineStr">
        <is>
          <t>MELISSA COMERCIO E DISTRIBUIDORA DE GAS</t>
        </is>
      </c>
      <c r="H928" s="59" t="n">
        <v>1459790</v>
      </c>
      <c r="I928" s="59" t="n">
        <v>1</v>
      </c>
      <c r="J928" s="59" t="inlineStr">
        <is>
          <t>AM</t>
        </is>
      </c>
      <c r="K928" s="126" t="n">
        <v>180</v>
      </c>
    </row>
    <row r="929" ht="15" customHeight="1" s="60">
      <c r="A929" s="59" t="n">
        <v>1</v>
      </c>
      <c r="B929" s="59" t="n">
        <v>29536</v>
      </c>
      <c r="C929" s="59" t="inlineStr">
        <is>
          <t>500</t>
        </is>
      </c>
      <c r="D929" s="59" t="inlineStr">
        <is>
          <t>08038545001332</t>
        </is>
      </c>
      <c r="E929" s="75" t="n">
        <v>46228</v>
      </c>
      <c r="F929" s="75" t="n">
        <v>46224</v>
      </c>
      <c r="G929" s="59" t="inlineStr">
        <is>
          <t>NATUREZA COMERCIO DE DESCARTAVEIS LTDA</t>
        </is>
      </c>
      <c r="H929" s="59" t="n">
        <v>1449885</v>
      </c>
      <c r="I929" s="59" t="n">
        <v>11</v>
      </c>
      <c r="J929" s="59" t="inlineStr">
        <is>
          <t>AM</t>
        </is>
      </c>
      <c r="K929" s="126" t="n">
        <v>425.94</v>
      </c>
    </row>
    <row r="930" ht="15" customHeight="1" s="60">
      <c r="A930" s="59" t="n">
        <v>1</v>
      </c>
      <c r="B930" s="59" t="n">
        <v>739551</v>
      </c>
      <c r="C930" s="59" t="inlineStr">
        <is>
          <t>0</t>
        </is>
      </c>
      <c r="D930" s="59" t="inlineStr">
        <is>
          <t>08038545000107</t>
        </is>
      </c>
      <c r="E930" s="75" t="n">
        <v>46228</v>
      </c>
      <c r="F930" s="75" t="n">
        <v>46219</v>
      </c>
      <c r="G930" s="59" t="inlineStr">
        <is>
          <t>NATUREZA COMERCIO DE DESCARTAVEIS LTDA</t>
        </is>
      </c>
      <c r="H930" s="59" t="n">
        <v>1449734</v>
      </c>
      <c r="I930" s="59" t="n">
        <v>45</v>
      </c>
      <c r="J930" s="59" t="inlineStr">
        <is>
          <t>AM</t>
        </is>
      </c>
      <c r="K930" s="126" t="n">
        <v>544.02</v>
      </c>
    </row>
    <row r="931" ht="15" customHeight="1" s="60">
      <c r="A931" s="59" t="n">
        <v>1</v>
      </c>
      <c r="B931" s="59" t="n">
        <v>739552</v>
      </c>
      <c r="C931" s="59" t="inlineStr">
        <is>
          <t>0</t>
        </is>
      </c>
      <c r="D931" s="59" t="inlineStr">
        <is>
          <t>08038545000107</t>
        </is>
      </c>
      <c r="E931" s="75" t="n">
        <v>46228</v>
      </c>
      <c r="F931" s="75" t="n">
        <v>46219</v>
      </c>
      <c r="G931" s="59" t="inlineStr">
        <is>
          <t>NATUREZA COMERCIO DE DESCARTAVEIS LTDA</t>
        </is>
      </c>
      <c r="H931" s="59" t="n">
        <v>1449643</v>
      </c>
      <c r="I931" s="59" t="n">
        <v>11</v>
      </c>
      <c r="J931" s="59" t="inlineStr">
        <is>
          <t>AM</t>
        </is>
      </c>
      <c r="K931" s="126" t="n">
        <v>340</v>
      </c>
    </row>
    <row r="932" ht="15" customHeight="1" s="60">
      <c r="A932" s="59" t="n">
        <v>1</v>
      </c>
      <c r="B932" s="59" t="n">
        <v>740924</v>
      </c>
      <c r="C932" s="59" t="inlineStr">
        <is>
          <t>0</t>
        </is>
      </c>
      <c r="D932" s="59" t="inlineStr">
        <is>
          <t>08038545000107</t>
        </is>
      </c>
      <c r="E932" s="75" t="n">
        <v>46228</v>
      </c>
      <c r="F932" s="75" t="n">
        <v>46224</v>
      </c>
      <c r="G932" s="59" t="inlineStr">
        <is>
          <t>NATUREZA COMERCIO DE DESCARTAVEIS LTDA</t>
        </is>
      </c>
      <c r="H932" s="59" t="n">
        <v>1449838</v>
      </c>
      <c r="I932" s="59" t="n">
        <v>45</v>
      </c>
      <c r="J932" s="59" t="inlineStr">
        <is>
          <t>AM</t>
        </is>
      </c>
      <c r="K932" s="126" t="n">
        <v>1662.92</v>
      </c>
    </row>
    <row r="933" ht="15" customHeight="1" s="60">
      <c r="A933" s="59" t="n">
        <v>1</v>
      </c>
      <c r="B933" s="59" t="n">
        <v>740926</v>
      </c>
      <c r="C933" s="59" t="inlineStr">
        <is>
          <t>0</t>
        </is>
      </c>
      <c r="D933" s="59" t="inlineStr">
        <is>
          <t>08038545000107</t>
        </is>
      </c>
      <c r="E933" s="75" t="n">
        <v>46228</v>
      </c>
      <c r="F933" s="75" t="n">
        <v>46224</v>
      </c>
      <c r="G933" s="59" t="inlineStr">
        <is>
          <t>NATUREZA COMERCIO DE DESCARTAVEIS LTDA</t>
        </is>
      </c>
      <c r="H933" s="59" t="n">
        <v>1449848</v>
      </c>
      <c r="I933" s="59" t="n">
        <v>45</v>
      </c>
      <c r="J933" s="59" t="inlineStr">
        <is>
          <t>AM</t>
        </is>
      </c>
      <c r="K933" s="126" t="n">
        <v>451.39</v>
      </c>
    </row>
    <row r="934" ht="15" customHeight="1" s="60">
      <c r="A934" s="59" t="n">
        <v>1</v>
      </c>
      <c r="B934" s="59" t="n">
        <v>1248470</v>
      </c>
      <c r="C934" s="59" t="inlineStr">
        <is>
          <t>1</t>
        </is>
      </c>
      <c r="D934" s="59" t="inlineStr">
        <is>
          <t>02805138000193</t>
        </is>
      </c>
      <c r="E934" s="75" t="n">
        <v>46228</v>
      </c>
      <c r="F934" s="75" t="n">
        <v>46219</v>
      </c>
      <c r="G934" s="59" t="inlineStr">
        <is>
          <t>OCIDENTAL COMERCIO DE FRIOS LTDA</t>
        </is>
      </c>
      <c r="H934" s="59" t="n">
        <v>1449312</v>
      </c>
      <c r="I934" s="59" t="n">
        <v>11</v>
      </c>
      <c r="J934" s="59" t="inlineStr">
        <is>
          <t>AM</t>
        </is>
      </c>
      <c r="K934" s="126" t="n">
        <v>1325.44</v>
      </c>
    </row>
    <row r="935" ht="15" customHeight="1" s="60">
      <c r="A935" s="59" t="n">
        <v>1</v>
      </c>
      <c r="B935" s="59" t="n">
        <v>1250798</v>
      </c>
      <c r="C935" s="59" t="inlineStr">
        <is>
          <t>1</t>
        </is>
      </c>
      <c r="D935" s="59" t="inlineStr">
        <is>
          <t>02805138000193</t>
        </is>
      </c>
      <c r="E935" s="75" t="n">
        <v>46228</v>
      </c>
      <c r="F935" s="75" t="n">
        <v>46226</v>
      </c>
      <c r="G935" s="59" t="inlineStr">
        <is>
          <t>OCIDENTAL COMERCIO DE FRIOS LTDA</t>
        </is>
      </c>
      <c r="H935" s="59" t="n">
        <v>1449455</v>
      </c>
      <c r="I935" s="59" t="n">
        <v>11</v>
      </c>
      <c r="J935" s="59" t="inlineStr">
        <is>
          <t>AM</t>
        </is>
      </c>
      <c r="K935" s="126" t="n">
        <v>762.96</v>
      </c>
    </row>
    <row r="936" ht="15" customHeight="1" s="60">
      <c r="A936" s="59" t="n">
        <v>1</v>
      </c>
      <c r="B936" s="59" t="n">
        <v>34780</v>
      </c>
      <c r="C936" s="59" t="inlineStr">
        <is>
          <t>3</t>
        </is>
      </c>
      <c r="D936" s="59" t="inlineStr">
        <is>
          <t>34857865000190</t>
        </is>
      </c>
      <c r="E936" s="75" t="n">
        <v>46228</v>
      </c>
      <c r="F936" s="75" t="n">
        <v>46225</v>
      </c>
      <c r="G936" s="59" t="inlineStr">
        <is>
          <t>OPPORTUNITY ALIMENTOS PARA ANIMAIS LTDA</t>
        </is>
      </c>
      <c r="H936" s="59" t="n">
        <v>1449247</v>
      </c>
      <c r="I936" s="59" t="n">
        <v>11</v>
      </c>
      <c r="J936" s="59" t="inlineStr">
        <is>
          <t>AM</t>
        </is>
      </c>
      <c r="K936" s="126" t="n">
        <v>1688.8</v>
      </c>
    </row>
    <row r="937" ht="15" customHeight="1" s="60">
      <c r="A937" s="59" t="n">
        <v>1</v>
      </c>
      <c r="B937" s="59" t="n">
        <v>581288</v>
      </c>
      <c r="C937" s="59" t="inlineStr">
        <is>
          <t>1</t>
        </is>
      </c>
      <c r="D937" s="59" t="inlineStr">
        <is>
          <t>05498763000128</t>
        </is>
      </c>
      <c r="E937" s="75" t="n">
        <v>46228</v>
      </c>
      <c r="F937" s="75" t="n">
        <v>46220</v>
      </c>
      <c r="G937" s="59" t="inlineStr">
        <is>
          <t>TAPAJOS COM DE PERFUMARIA COSMETICOS E G</t>
        </is>
      </c>
      <c r="H937" s="59" t="n">
        <v>1448793</v>
      </c>
      <c r="I937" s="59" t="n">
        <v>11</v>
      </c>
      <c r="J937" s="59" t="inlineStr">
        <is>
          <t>AM</t>
        </is>
      </c>
      <c r="K937" s="126" t="n">
        <v>5885.53</v>
      </c>
    </row>
    <row r="938" ht="15" customHeight="1" s="60">
      <c r="A938" s="59" t="n">
        <v>1</v>
      </c>
      <c r="B938" s="59" t="n">
        <v>3735</v>
      </c>
      <c r="C938" s="59" t="inlineStr">
        <is>
          <t>1</t>
        </is>
      </c>
      <c r="D938" s="59" t="inlineStr">
        <is>
          <t>30844737000151</t>
        </is>
      </c>
      <c r="E938" s="75" t="n">
        <v>46228</v>
      </c>
      <c r="F938" s="75" t="n">
        <v>46216</v>
      </c>
      <c r="G938" s="59" t="inlineStr">
        <is>
          <t>TRIPLASTIK COMERCIAL</t>
        </is>
      </c>
      <c r="H938" s="59" t="n">
        <v>1449544</v>
      </c>
      <c r="I938" s="59" t="n">
        <v>45</v>
      </c>
      <c r="J938" s="59" t="inlineStr">
        <is>
          <t>AM</t>
        </is>
      </c>
      <c r="K938" s="126" t="n">
        <v>2771.05</v>
      </c>
    </row>
    <row r="939" ht="15" customHeight="1" s="60">
      <c r="A939" s="59" t="n">
        <v>1</v>
      </c>
      <c r="B939" s="59" t="n">
        <v>3858</v>
      </c>
      <c r="C939" s="59" t="inlineStr">
        <is>
          <t>1</t>
        </is>
      </c>
      <c r="D939" s="59" t="inlineStr">
        <is>
          <t>30844737000151</t>
        </is>
      </c>
      <c r="E939" s="75" t="n">
        <v>46228</v>
      </c>
      <c r="F939" s="75" t="n">
        <v>46220</v>
      </c>
      <c r="G939" s="59" t="inlineStr">
        <is>
          <t>TRIPLASTIK COMERCIAL</t>
        </is>
      </c>
      <c r="H939" s="59" t="n">
        <v>1449796</v>
      </c>
      <c r="I939" s="59" t="n">
        <v>39</v>
      </c>
      <c r="J939" s="59" t="inlineStr">
        <is>
          <t>AM</t>
        </is>
      </c>
      <c r="K939" s="126" t="n">
        <v>994.74</v>
      </c>
    </row>
    <row r="940" ht="15" customHeight="1" s="60">
      <c r="A940" s="59" t="n">
        <v>1</v>
      </c>
      <c r="B940" s="59" t="n">
        <v>3899</v>
      </c>
      <c r="C940" s="59" t="inlineStr">
        <is>
          <t>1</t>
        </is>
      </c>
      <c r="D940" s="59" t="inlineStr">
        <is>
          <t>30844737000151</t>
        </is>
      </c>
      <c r="E940" s="75" t="n">
        <v>46228</v>
      </c>
      <c r="F940" s="75" t="n">
        <v>46224</v>
      </c>
      <c r="G940" s="59" t="inlineStr">
        <is>
          <t>TRIPLASTIK COMERCIAL</t>
        </is>
      </c>
      <c r="H940" s="59" t="n">
        <v>1449866</v>
      </c>
      <c r="I940" s="59" t="n">
        <v>45</v>
      </c>
      <c r="J940" s="59" t="inlineStr">
        <is>
          <t>AM</t>
        </is>
      </c>
      <c r="K940" s="126" t="n">
        <v>1478.5</v>
      </c>
    </row>
    <row r="941" ht="15" customHeight="1" s="60">
      <c r="A941" s="59" t="n">
        <v>1</v>
      </c>
      <c r="B941" s="59" t="n">
        <v>3931</v>
      </c>
      <c r="C941" s="59" t="inlineStr">
        <is>
          <t>3</t>
        </is>
      </c>
      <c r="D941" s="59" t="inlineStr">
        <is>
          <t>37225449000168</t>
        </is>
      </c>
      <c r="E941" s="75" t="n">
        <v>46228</v>
      </c>
      <c r="F941" s="75" t="n">
        <v>46228</v>
      </c>
      <c r="G941" s="59" t="inlineStr">
        <is>
          <t>VOVO DIZA COMERCIO VAREJISTA DE HORTALICAS LTDA</t>
        </is>
      </c>
      <c r="H941" s="59" t="n">
        <v>1459656</v>
      </c>
      <c r="I941" s="59" t="n">
        <v>1</v>
      </c>
      <c r="J941" s="59" t="inlineStr">
        <is>
          <t>AM</t>
        </is>
      </c>
      <c r="K941" s="126" t="n">
        <v>200</v>
      </c>
    </row>
    <row r="942" ht="15" customHeight="1" s="60">
      <c r="A942" s="59" t="n">
        <v>1</v>
      </c>
      <c r="B942" s="59" t="n">
        <v>346</v>
      </c>
      <c r="C942" s="59" t="inlineStr">
        <is>
          <t>1</t>
        </is>
      </c>
      <c r="D942" s="59" t="inlineStr">
        <is>
          <t>34787423000115</t>
        </is>
      </c>
      <c r="E942" s="75" t="n">
        <v>46230</v>
      </c>
      <c r="F942" s="75" t="n">
        <v>46228</v>
      </c>
      <c r="G942" s="59" t="inlineStr">
        <is>
          <t>ADRIANO FEITOSA OLIVEIRA LTDA</t>
        </is>
      </c>
      <c r="H942" s="59" t="n">
        <v>1458754</v>
      </c>
      <c r="I942" s="59" t="n">
        <v>11</v>
      </c>
      <c r="J942" s="59" t="inlineStr">
        <is>
          <t>AM</t>
        </is>
      </c>
      <c r="K942" s="126" t="n">
        <v>570</v>
      </c>
    </row>
    <row r="943" ht="15" customHeight="1" s="60">
      <c r="A943" s="59" t="n">
        <v>1</v>
      </c>
      <c r="B943" s="59" t="n">
        <v>1910465</v>
      </c>
      <c r="C943" s="59" t="inlineStr">
        <is>
          <t>1</t>
        </is>
      </c>
      <c r="D943" s="59" t="inlineStr">
        <is>
          <t>75315333011909</t>
        </is>
      </c>
      <c r="E943" s="75" t="n">
        <v>46230</v>
      </c>
      <c r="F943" s="75" t="n">
        <v>46226</v>
      </c>
      <c r="G943" s="59" t="inlineStr">
        <is>
          <t>ATACADAO S.A.</t>
        </is>
      </c>
      <c r="H943" s="59" t="n">
        <v>1459052</v>
      </c>
      <c r="I943" s="59" t="n">
        <v>11</v>
      </c>
      <c r="J943" s="59" t="inlineStr">
        <is>
          <t>AM</t>
        </is>
      </c>
      <c r="K943" s="126" t="n">
        <v>1009.05</v>
      </c>
    </row>
    <row r="944" ht="15" customHeight="1" s="60">
      <c r="A944" s="59" t="n">
        <v>1</v>
      </c>
      <c r="B944" s="59" t="n">
        <v>1910466</v>
      </c>
      <c r="C944" s="59" t="inlineStr">
        <is>
          <t>1</t>
        </is>
      </c>
      <c r="D944" s="59" t="inlineStr">
        <is>
          <t>75315333011909</t>
        </is>
      </c>
      <c r="E944" s="75" t="n">
        <v>46230</v>
      </c>
      <c r="F944" s="75" t="n">
        <v>46226</v>
      </c>
      <c r="G944" s="59" t="inlineStr">
        <is>
          <t>ATACADAO S.A.</t>
        </is>
      </c>
      <c r="H944" s="59" t="n">
        <v>1459076</v>
      </c>
      <c r="I944" s="59" t="n">
        <v>11</v>
      </c>
      <c r="J944" s="59" t="inlineStr">
        <is>
          <t>AM</t>
        </is>
      </c>
      <c r="K944" s="126" t="n">
        <v>1013.07</v>
      </c>
    </row>
    <row r="945" ht="15" customHeight="1" s="60">
      <c r="A945" s="59" t="n">
        <v>1</v>
      </c>
      <c r="B945" s="59" t="n">
        <v>1910467</v>
      </c>
      <c r="C945" s="59" t="inlineStr">
        <is>
          <t>1</t>
        </is>
      </c>
      <c r="D945" s="59" t="inlineStr">
        <is>
          <t>75315333011909</t>
        </is>
      </c>
      <c r="E945" s="75" t="n">
        <v>46230</v>
      </c>
      <c r="F945" s="75" t="n">
        <v>46226</v>
      </c>
      <c r="G945" s="59" t="inlineStr">
        <is>
          <t>ATACADAO S.A.</t>
        </is>
      </c>
      <c r="H945" s="59" t="n">
        <v>1459039</v>
      </c>
      <c r="I945" s="59" t="n">
        <v>11</v>
      </c>
      <c r="J945" s="59" t="inlineStr">
        <is>
          <t>AM</t>
        </is>
      </c>
      <c r="K945" s="126" t="n">
        <v>998.14</v>
      </c>
    </row>
    <row r="946" ht="15" customHeight="1" s="60">
      <c r="A946" s="59" t="n">
        <v>1</v>
      </c>
      <c r="B946" s="59" t="n">
        <v>1216466</v>
      </c>
      <c r="C946" s="59" t="inlineStr">
        <is>
          <t>7</t>
        </is>
      </c>
      <c r="D946" s="59" t="inlineStr">
        <is>
          <t>34590315000158</t>
        </is>
      </c>
      <c r="E946" s="75" t="n">
        <v>46230</v>
      </c>
      <c r="F946" s="75" t="n">
        <v>46225</v>
      </c>
      <c r="G946" s="59" t="inlineStr">
        <is>
          <t>BRASIL NORTE BEBIDAS S/A</t>
        </is>
      </c>
      <c r="H946" s="59" t="n">
        <v>1458411</v>
      </c>
      <c r="I946" s="59" t="n">
        <v>11</v>
      </c>
      <c r="J946" s="59" t="inlineStr">
        <is>
          <t>AM</t>
        </is>
      </c>
      <c r="K946" s="126" t="n">
        <v>335</v>
      </c>
    </row>
    <row r="947" ht="15" customHeight="1" s="60">
      <c r="A947" s="59" t="n">
        <v>1</v>
      </c>
      <c r="B947" s="59" t="n">
        <v>1217731</v>
      </c>
      <c r="C947" s="59" t="inlineStr">
        <is>
          <t>7</t>
        </is>
      </c>
      <c r="D947" s="59" t="inlineStr">
        <is>
          <t>34590315000158</t>
        </is>
      </c>
      <c r="E947" s="75" t="n">
        <v>46230</v>
      </c>
      <c r="F947" s="75" t="n">
        <v>46225</v>
      </c>
      <c r="G947" s="59" t="inlineStr">
        <is>
          <t>BRASIL NORTE BEBIDAS S/A</t>
        </is>
      </c>
      <c r="H947" s="59" t="n">
        <v>1458895</v>
      </c>
      <c r="I947" s="59" t="n">
        <v>11</v>
      </c>
      <c r="J947" s="59" t="inlineStr">
        <is>
          <t>AM</t>
        </is>
      </c>
      <c r="K947" s="126" t="n">
        <v>3459.51</v>
      </c>
    </row>
    <row r="948" ht="15" customHeight="1" s="60">
      <c r="A948" s="59" t="n">
        <v>1</v>
      </c>
      <c r="B948" s="59" t="n">
        <v>1950823</v>
      </c>
      <c r="C948" s="59" t="inlineStr">
        <is>
          <t>5</t>
        </is>
      </c>
      <c r="D948" s="59" t="inlineStr">
        <is>
          <t>34590315000158</t>
        </is>
      </c>
      <c r="E948" s="75" t="n">
        <v>46230</v>
      </c>
      <c r="F948" s="75" t="n">
        <v>46225</v>
      </c>
      <c r="G948" s="59" t="inlineStr">
        <is>
          <t>BRASIL NORTE BEBIDAS S/A</t>
        </is>
      </c>
      <c r="H948" s="59" t="n">
        <v>1458859</v>
      </c>
      <c r="I948" s="59" t="n">
        <v>11</v>
      </c>
      <c r="J948" s="59" t="inlineStr">
        <is>
          <t>AM</t>
        </is>
      </c>
      <c r="K948" s="126" t="n">
        <v>102.99</v>
      </c>
    </row>
    <row r="949" ht="15" customHeight="1" s="60">
      <c r="A949" s="59" t="n">
        <v>1</v>
      </c>
      <c r="B949" s="59" t="n">
        <v>1951962</v>
      </c>
      <c r="C949" s="59" t="inlineStr">
        <is>
          <t>5</t>
        </is>
      </c>
      <c r="D949" s="59" t="inlineStr">
        <is>
          <t>34590315000158</t>
        </is>
      </c>
      <c r="E949" s="75" t="n">
        <v>46230</v>
      </c>
      <c r="F949" s="75" t="n">
        <v>46225</v>
      </c>
      <c r="G949" s="59" t="inlineStr">
        <is>
          <t>BRASIL NORTE BEBIDAS S/A</t>
        </is>
      </c>
      <c r="H949" s="59" t="n">
        <v>1457915</v>
      </c>
      <c r="I949" s="59" t="n">
        <v>11</v>
      </c>
      <c r="J949" s="59" t="inlineStr">
        <is>
          <t>AM</t>
        </is>
      </c>
      <c r="K949" s="126" t="n">
        <v>5518.6</v>
      </c>
    </row>
    <row r="950" ht="15" customHeight="1" s="60">
      <c r="A950" s="59" t="n">
        <v>1</v>
      </c>
      <c r="B950" s="59" t="n">
        <v>1611963</v>
      </c>
      <c r="C950" s="59" t="inlineStr">
        <is>
          <t>1</t>
        </is>
      </c>
      <c r="D950" s="59" t="inlineStr">
        <is>
          <t>01838723026193</t>
        </is>
      </c>
      <c r="E950" s="75" t="n">
        <v>46230</v>
      </c>
      <c r="F950" s="75" t="n">
        <v>46229</v>
      </c>
      <c r="G950" s="59" t="inlineStr">
        <is>
          <t>BRF S A</t>
        </is>
      </c>
      <c r="H950" s="59" t="n">
        <v>1460227</v>
      </c>
      <c r="I950" s="59" t="n">
        <v>11</v>
      </c>
      <c r="J950" s="59" t="inlineStr">
        <is>
          <t>AM</t>
        </is>
      </c>
      <c r="K950" s="126" t="n">
        <v>1352.4</v>
      </c>
    </row>
    <row r="951" ht="15" customHeight="1" s="60">
      <c r="A951" s="59" t="n">
        <v>1</v>
      </c>
      <c r="B951" s="59" t="n">
        <v>1033389</v>
      </c>
      <c r="C951" s="59" t="inlineStr">
        <is>
          <t>1</t>
        </is>
      </c>
      <c r="D951" s="59" t="inlineStr">
        <is>
          <t>34579060000122</t>
        </is>
      </c>
      <c r="E951" s="75" t="n">
        <v>46230</v>
      </c>
      <c r="F951" s="75" t="n">
        <v>46226</v>
      </c>
      <c r="G951" s="59" t="inlineStr">
        <is>
          <t>BROTHERS  INDUSTRIA DE ALIMENTOS LTDA</t>
        </is>
      </c>
      <c r="H951" s="59" t="n">
        <v>1459538</v>
      </c>
      <c r="I951" s="59" t="n">
        <v>11</v>
      </c>
      <c r="J951" s="59" t="inlineStr">
        <is>
          <t>AM</t>
        </is>
      </c>
      <c r="K951" s="126" t="n">
        <v>455.45</v>
      </c>
    </row>
    <row r="952" ht="15" customHeight="1" s="60">
      <c r="A952" s="59" t="n">
        <v>1</v>
      </c>
      <c r="B952" s="59" t="n">
        <v>11479</v>
      </c>
      <c r="C952" s="59" t="inlineStr">
        <is>
          <t>2</t>
        </is>
      </c>
      <c r="D952" s="59" t="inlineStr">
        <is>
          <t>40810324000100</t>
        </is>
      </c>
      <c r="E952" s="75" t="n">
        <v>46230</v>
      </c>
      <c r="F952" s="75" t="n">
        <v>46230</v>
      </c>
      <c r="G952" s="59" t="inlineStr">
        <is>
          <t>C. R. PARENTE ABREU</t>
        </is>
      </c>
      <c r="H952" s="59" t="n">
        <v>1460054</v>
      </c>
      <c r="I952" s="59" t="n">
        <v>11</v>
      </c>
      <c r="J952" s="59" t="inlineStr">
        <is>
          <t>AM</t>
        </is>
      </c>
      <c r="K952" s="126" t="n">
        <v>1426.62</v>
      </c>
    </row>
    <row r="953" ht="15" customHeight="1" s="60">
      <c r="A953" s="59" t="n">
        <v>1</v>
      </c>
      <c r="B953" s="59" t="n">
        <v>920837</v>
      </c>
      <c r="C953" s="59" t="inlineStr">
        <is>
          <t>38</t>
        </is>
      </c>
      <c r="D953" s="59" t="inlineStr">
        <is>
          <t>56228356010013</t>
        </is>
      </c>
      <c r="E953" s="75" t="n">
        <v>46230</v>
      </c>
      <c r="F953" s="75" t="n">
        <v>46226</v>
      </c>
      <c r="G953" s="59" t="inlineStr">
        <is>
          <t>CRBS S/A</t>
        </is>
      </c>
      <c r="H953" s="59" t="n">
        <v>1460318</v>
      </c>
      <c r="I953" s="59" t="n">
        <v>11</v>
      </c>
      <c r="J953" s="59" t="inlineStr">
        <is>
          <t>AM</t>
        </is>
      </c>
      <c r="K953" s="126" t="n">
        <v>335.51</v>
      </c>
    </row>
    <row r="954" ht="15" customHeight="1" s="60">
      <c r="A954" s="59" t="n">
        <v>1</v>
      </c>
      <c r="B954" s="59" t="n">
        <v>1698394</v>
      </c>
      <c r="C954" s="59" t="inlineStr">
        <is>
          <t>1</t>
        </is>
      </c>
      <c r="D954" s="59" t="inlineStr">
        <is>
          <t>02796653000154</t>
        </is>
      </c>
      <c r="E954" s="75" t="n">
        <v>46230</v>
      </c>
      <c r="F954" s="75" t="n">
        <v>46226</v>
      </c>
      <c r="G954" s="59" t="inlineStr">
        <is>
          <t>DISTRIBUIDORA LOPES LTDA</t>
        </is>
      </c>
      <c r="H954" s="59" t="n">
        <v>1458680</v>
      </c>
      <c r="I954" s="59" t="n">
        <v>11</v>
      </c>
      <c r="J954" s="59" t="inlineStr">
        <is>
          <t>AM</t>
        </is>
      </c>
      <c r="K954" s="126" t="n">
        <v>1404.47</v>
      </c>
    </row>
    <row r="955" ht="15" customHeight="1" s="60">
      <c r="A955" s="59" t="n">
        <v>1</v>
      </c>
      <c r="B955" s="59" t="n">
        <v>395</v>
      </c>
      <c r="C955" s="59" t="inlineStr">
        <is>
          <t>2</t>
        </is>
      </c>
      <c r="D955" s="59" t="inlineStr">
        <is>
          <t>20380110000133</t>
        </is>
      </c>
      <c r="E955" s="75" t="n">
        <v>46230</v>
      </c>
      <c r="F955" s="75" t="n">
        <v>46230</v>
      </c>
      <c r="G955" s="59" t="inlineStr">
        <is>
          <t>GELO DANGELO FABRICACAO DE GELO LTDA</t>
        </is>
      </c>
      <c r="H955" s="59" t="n">
        <v>1463329</v>
      </c>
      <c r="I955" s="59" t="n">
        <v>1</v>
      </c>
      <c r="J955" s="59" t="inlineStr">
        <is>
          <t>AM</t>
        </is>
      </c>
      <c r="K955" s="126" t="n">
        <v>424</v>
      </c>
    </row>
    <row r="956" ht="15" customHeight="1" s="60">
      <c r="A956" s="59" t="n">
        <v>1</v>
      </c>
      <c r="B956" s="59" t="n">
        <v>85</v>
      </c>
      <c r="C956" s="59" t="inlineStr">
        <is>
          <t>1</t>
        </is>
      </c>
      <c r="D956" s="59" t="inlineStr">
        <is>
          <t>55158713000170</t>
        </is>
      </c>
      <c r="E956" s="75" t="n">
        <v>46230</v>
      </c>
      <c r="F956" s="75" t="n">
        <v>46230</v>
      </c>
      <c r="G956" s="59" t="inlineStr">
        <is>
          <t>H L M PADARIA E CONFEITARIA LTDA</t>
        </is>
      </c>
      <c r="H956" s="59" t="n">
        <v>1463301</v>
      </c>
      <c r="I956" s="59" t="n">
        <v>1</v>
      </c>
      <c r="J956" s="59" t="inlineStr">
        <is>
          <t>AM</t>
        </is>
      </c>
      <c r="K956" s="126" t="n">
        <v>420</v>
      </c>
    </row>
    <row r="957" ht="15" customHeight="1" s="60">
      <c r="A957" s="59" t="n">
        <v>1</v>
      </c>
      <c r="B957" s="59" t="n">
        <v>296100</v>
      </c>
      <c r="C957" s="59" t="inlineStr">
        <is>
          <t>1</t>
        </is>
      </c>
      <c r="D957" s="59" t="inlineStr">
        <is>
          <t>08338297000101</t>
        </is>
      </c>
      <c r="E957" s="75" t="n">
        <v>46230</v>
      </c>
      <c r="F957" s="75" t="n">
        <v>46226</v>
      </c>
      <c r="G957" s="59" t="inlineStr">
        <is>
          <t>IRMÃOS LIMA  ATACADO  DE ALIMENTOS LTDA</t>
        </is>
      </c>
      <c r="H957" s="59" t="n">
        <v>1459258</v>
      </c>
      <c r="I957" s="59" t="n">
        <v>11</v>
      </c>
      <c r="J957" s="59" t="inlineStr">
        <is>
          <t>AM</t>
        </is>
      </c>
      <c r="K957" s="126" t="n">
        <v>2777.92</v>
      </c>
    </row>
    <row r="958" ht="15" customHeight="1" s="60">
      <c r="A958" s="59" t="n">
        <v>1</v>
      </c>
      <c r="B958" s="59" t="n">
        <v>2702</v>
      </c>
      <c r="C958" s="59" t="inlineStr">
        <is>
          <t>1</t>
        </is>
      </c>
      <c r="D958" s="59" t="inlineStr">
        <is>
          <t>10583405000153</t>
        </is>
      </c>
      <c r="E958" s="75" t="n">
        <v>46230</v>
      </c>
      <c r="F958" s="75" t="n">
        <v>46227</v>
      </c>
      <c r="G958" s="59" t="inlineStr">
        <is>
          <t>J. S. MOREIRA ALVES LTDA</t>
        </is>
      </c>
      <c r="H958" s="59" t="n">
        <v>1458497</v>
      </c>
      <c r="I958" s="59" t="n">
        <v>11</v>
      </c>
      <c r="J958" s="59" t="inlineStr">
        <is>
          <t>AM</t>
        </is>
      </c>
      <c r="K958" s="126" t="n">
        <v>581.5</v>
      </c>
    </row>
    <row r="959" ht="15" customHeight="1" s="60">
      <c r="A959" s="59" t="n">
        <v>1</v>
      </c>
      <c r="B959" s="59" t="n">
        <v>3590</v>
      </c>
      <c r="C959" s="59" t="inlineStr">
        <is>
          <t>1</t>
        </is>
      </c>
      <c r="D959" s="59" t="inlineStr">
        <is>
          <t>59566132000128</t>
        </is>
      </c>
      <c r="E959" s="75" t="n">
        <v>46230</v>
      </c>
      <c r="F959" s="75" t="n">
        <v>46225</v>
      </c>
      <c r="G959" s="59" t="inlineStr">
        <is>
          <t>JAB COMERCIO DE PRODUTOS ALIMENTICIOS LT</t>
        </is>
      </c>
      <c r="H959" s="59" t="n">
        <v>1459642</v>
      </c>
      <c r="I959" s="59" t="n">
        <v>11</v>
      </c>
      <c r="J959" s="59" t="inlineStr">
        <is>
          <t>AM</t>
        </is>
      </c>
      <c r="K959" s="126" t="n">
        <v>274</v>
      </c>
    </row>
    <row r="960" ht="15" customHeight="1" s="60">
      <c r="A960" s="59" t="n">
        <v>1</v>
      </c>
      <c r="B960" s="59" t="n">
        <v>14815</v>
      </c>
      <c r="C960" s="59" t="inlineStr">
        <is>
          <t>1</t>
        </is>
      </c>
      <c r="D960" s="59" t="inlineStr">
        <is>
          <t>03784729000194</t>
        </is>
      </c>
      <c r="E960" s="75" t="n">
        <v>46230</v>
      </c>
      <c r="F960" s="75" t="n">
        <v>46228</v>
      </c>
      <c r="G960" s="59" t="inlineStr">
        <is>
          <t>MAXFRI DISTRIUIDORA LTDA</t>
        </is>
      </c>
      <c r="H960" s="59" t="n">
        <v>1459483</v>
      </c>
      <c r="I960" s="59" t="n">
        <v>11</v>
      </c>
      <c r="J960" s="59" t="inlineStr">
        <is>
          <t>AM</t>
        </is>
      </c>
      <c r="K960" s="126" t="n">
        <v>4716.8</v>
      </c>
    </row>
    <row r="961" ht="15" customHeight="1" s="60">
      <c r="A961" s="59" t="n">
        <v>1</v>
      </c>
      <c r="B961" s="59" t="n">
        <v>1431398</v>
      </c>
      <c r="C961" s="59" t="inlineStr">
        <is>
          <t>1</t>
        </is>
      </c>
      <c r="D961" s="59" t="inlineStr">
        <is>
          <t>60409075045334</t>
        </is>
      </c>
      <c r="E961" s="75" t="n">
        <v>46230</v>
      </c>
      <c r="F961" s="75" t="n">
        <v>46226</v>
      </c>
      <c r="G961" s="59" t="inlineStr">
        <is>
          <t>NESTLÉ BRASIL LTDA.</t>
        </is>
      </c>
      <c r="H961" s="59" t="n">
        <v>1458624</v>
      </c>
      <c r="I961" s="59" t="n">
        <v>11</v>
      </c>
      <c r="J961" s="59" t="inlineStr">
        <is>
          <t>AM</t>
        </is>
      </c>
      <c r="K961" s="126" t="n">
        <v>637.5</v>
      </c>
    </row>
    <row r="962" ht="15" customHeight="1" s="60">
      <c r="A962" s="59" t="n">
        <v>1</v>
      </c>
      <c r="B962" s="59" t="n">
        <v>1431708</v>
      </c>
      <c r="C962" s="59" t="inlineStr">
        <is>
          <t>1</t>
        </is>
      </c>
      <c r="D962" s="59" t="inlineStr">
        <is>
          <t>60409075045334</t>
        </is>
      </c>
      <c r="E962" s="75" t="n">
        <v>46230</v>
      </c>
      <c r="F962" s="75" t="n">
        <v>46226</v>
      </c>
      <c r="G962" s="59" t="inlineStr">
        <is>
          <t>NESTLÉ BRASIL LTDA.</t>
        </is>
      </c>
      <c r="H962" s="59" t="n">
        <v>1458941</v>
      </c>
      <c r="I962" s="59" t="n">
        <v>11</v>
      </c>
      <c r="J962" s="59" t="inlineStr">
        <is>
          <t>AM</t>
        </is>
      </c>
      <c r="K962" s="126" t="n">
        <v>5216.57</v>
      </c>
    </row>
    <row r="963" ht="15" customHeight="1" s="60">
      <c r="A963" s="59" t="n">
        <v>1</v>
      </c>
      <c r="B963" s="59" t="n">
        <v>4183</v>
      </c>
      <c r="C963" s="59" t="inlineStr">
        <is>
          <t>1</t>
        </is>
      </c>
      <c r="D963" s="59" t="inlineStr">
        <is>
          <t>14459228000159</t>
        </is>
      </c>
      <c r="E963" s="75" t="n">
        <v>46230</v>
      </c>
      <c r="F963" s="75" t="n">
        <v>46227</v>
      </c>
      <c r="G963" s="59" t="inlineStr">
        <is>
          <t>NOVA FRIOS COMERCIO ATACADISTA DE LATICINIOS LTDA</t>
        </is>
      </c>
      <c r="H963" s="59" t="n">
        <v>1460163</v>
      </c>
      <c r="I963" s="59" t="n">
        <v>11</v>
      </c>
      <c r="J963" s="59" t="inlineStr">
        <is>
          <t>AM</t>
        </is>
      </c>
      <c r="K963" s="126" t="n">
        <v>257</v>
      </c>
    </row>
    <row r="964" ht="15" customHeight="1" s="60">
      <c r="A964" s="59" t="n">
        <v>1</v>
      </c>
      <c r="B964" s="59" t="n">
        <v>727</v>
      </c>
      <c r="C964" s="59" t="inlineStr">
        <is>
          <t>2</t>
        </is>
      </c>
      <c r="D964" s="59" t="inlineStr">
        <is>
          <t>35729236000148</t>
        </is>
      </c>
      <c r="E964" s="75" t="n">
        <v>46230</v>
      </c>
      <c r="F964" s="75" t="n">
        <v>46225</v>
      </c>
      <c r="G964" s="59" t="inlineStr">
        <is>
          <t>PANIFICADORA E CONFEITARIA REAL MADRI LTDA</t>
        </is>
      </c>
      <c r="H964" s="59" t="n">
        <v>1459548</v>
      </c>
      <c r="I964" s="59" t="n">
        <v>11</v>
      </c>
      <c r="J964" s="59" t="inlineStr">
        <is>
          <t>AM</t>
        </is>
      </c>
      <c r="K964" s="126" t="n">
        <v>424.6</v>
      </c>
    </row>
    <row r="965" ht="15" customHeight="1" s="60">
      <c r="A965" s="59" t="n">
        <v>1</v>
      </c>
      <c r="B965" s="59" t="n">
        <v>729</v>
      </c>
      <c r="C965" s="59" t="inlineStr">
        <is>
          <t>2</t>
        </is>
      </c>
      <c r="D965" s="59" t="inlineStr">
        <is>
          <t>35729236000148</t>
        </is>
      </c>
      <c r="E965" s="75" t="n">
        <v>46230</v>
      </c>
      <c r="F965" s="75" t="n">
        <v>46226</v>
      </c>
      <c r="G965" s="59" t="inlineStr">
        <is>
          <t>PANIFICADORA E CONFEITARIA REAL MADRI LTDA</t>
        </is>
      </c>
      <c r="H965" s="59" t="n">
        <v>1460253</v>
      </c>
      <c r="I965" s="59" t="n">
        <v>11</v>
      </c>
      <c r="J965" s="59" t="inlineStr">
        <is>
          <t>AM</t>
        </is>
      </c>
      <c r="K965" s="126" t="n">
        <v>840</v>
      </c>
    </row>
    <row r="966" ht="15" customHeight="1" s="60">
      <c r="A966" s="59" t="n">
        <v>1</v>
      </c>
      <c r="B966" s="59" t="n">
        <v>732</v>
      </c>
      <c r="C966" s="59" t="inlineStr">
        <is>
          <t>2</t>
        </is>
      </c>
      <c r="D966" s="59" t="inlineStr">
        <is>
          <t>35729236000148</t>
        </is>
      </c>
      <c r="E966" s="75" t="n">
        <v>46230</v>
      </c>
      <c r="F966" s="75" t="n">
        <v>46227</v>
      </c>
      <c r="G966" s="59" t="inlineStr">
        <is>
          <t>PANIFICADORA E CONFEITARIA REAL MADRI LTDA</t>
        </is>
      </c>
      <c r="H966" s="59" t="n">
        <v>1460296</v>
      </c>
      <c r="I966" s="59" t="n">
        <v>11</v>
      </c>
      <c r="J966" s="59" t="inlineStr">
        <is>
          <t>AM</t>
        </is>
      </c>
      <c r="K966" s="126" t="n">
        <v>498.96</v>
      </c>
    </row>
    <row r="967" ht="15" customHeight="1" s="60">
      <c r="A967" s="59" t="n">
        <v>1</v>
      </c>
      <c r="B967" s="59" t="n">
        <v>608658</v>
      </c>
      <c r="C967" s="59" t="inlineStr">
        <is>
          <t>6</t>
        </is>
      </c>
      <c r="D967" s="59" t="inlineStr">
        <is>
          <t>06990011000304</t>
        </is>
      </c>
      <c r="E967" s="75" t="n">
        <v>46230</v>
      </c>
      <c r="F967" s="75" t="n">
        <v>46225</v>
      </c>
      <c r="G967" s="59" t="inlineStr">
        <is>
          <t>REAL BEBIDAS DA AMAZONIA LTDA</t>
        </is>
      </c>
      <c r="H967" s="59" t="n">
        <v>1460281</v>
      </c>
      <c r="I967" s="59" t="n">
        <v>11</v>
      </c>
      <c r="J967" s="59" t="inlineStr">
        <is>
          <t>AM</t>
        </is>
      </c>
      <c r="K967" s="126" t="n">
        <v>420</v>
      </c>
    </row>
    <row r="968" ht="15" customHeight="1" s="60">
      <c r="A968" s="59" t="n">
        <v>1</v>
      </c>
      <c r="B968" s="59" t="n">
        <v>47516</v>
      </c>
      <c r="C968" s="59" t="inlineStr">
        <is>
          <t>4</t>
        </is>
      </c>
      <c r="D968" s="59" t="inlineStr">
        <is>
          <t>05022353005337</t>
        </is>
      </c>
      <c r="E968" s="75" t="n">
        <v>46230</v>
      </c>
      <c r="F968" s="75" t="n">
        <v>46225</v>
      </c>
      <c r="G968" s="59" t="inlineStr">
        <is>
          <t>RV TECNOLOGIA E SISTEMAS S.A. - MA</t>
        </is>
      </c>
      <c r="H968" s="59" t="n">
        <v>1459340</v>
      </c>
      <c r="I968" s="59" t="n">
        <v>11</v>
      </c>
      <c r="J968" s="59" t="inlineStr">
        <is>
          <t>AM</t>
        </is>
      </c>
      <c r="K968" s="126" t="n">
        <v>850</v>
      </c>
    </row>
    <row r="969" ht="15" customHeight="1" s="60">
      <c r="A969" s="59" t="n">
        <v>1</v>
      </c>
      <c r="B969" s="59" t="n">
        <v>47517</v>
      </c>
      <c r="C969" s="59" t="inlineStr">
        <is>
          <t>4</t>
        </is>
      </c>
      <c r="D969" s="59" t="inlineStr">
        <is>
          <t>05022353005337</t>
        </is>
      </c>
      <c r="E969" s="75" t="n">
        <v>46230</v>
      </c>
      <c r="F969" s="75" t="n">
        <v>46225</v>
      </c>
      <c r="G969" s="59" t="inlineStr">
        <is>
          <t>RV TECNOLOGIA E SISTEMAS S.A. - MA</t>
        </is>
      </c>
      <c r="H969" s="59" t="n">
        <v>1459336</v>
      </c>
      <c r="I969" s="59" t="n">
        <v>11</v>
      </c>
      <c r="J969" s="59" t="inlineStr">
        <is>
          <t>AM</t>
        </is>
      </c>
      <c r="K969" s="126" t="n">
        <v>54.45</v>
      </c>
    </row>
    <row r="970" ht="15" customHeight="1" s="60">
      <c r="A970" s="59" t="n">
        <v>1</v>
      </c>
      <c r="B970" s="59" t="n">
        <v>47568</v>
      </c>
      <c r="C970" s="59" t="inlineStr">
        <is>
          <t>4</t>
        </is>
      </c>
      <c r="D970" s="59" t="inlineStr">
        <is>
          <t>05022353005337</t>
        </is>
      </c>
      <c r="E970" s="75" t="n">
        <v>46230</v>
      </c>
      <c r="F970" s="75" t="n">
        <v>46229</v>
      </c>
      <c r="G970" s="59" t="inlineStr">
        <is>
          <t>RV TECNOLOGIA E SISTEMAS S.A. - MA</t>
        </is>
      </c>
      <c r="H970" s="59" t="n">
        <v>1459344</v>
      </c>
      <c r="I970" s="59" t="n">
        <v>11</v>
      </c>
      <c r="J970" s="59" t="inlineStr">
        <is>
          <t>AM</t>
        </is>
      </c>
      <c r="K970" s="126" t="n">
        <v>133.65</v>
      </c>
    </row>
    <row r="971" ht="15" customHeight="1" s="60">
      <c r="A971" s="59" t="n">
        <v>1</v>
      </c>
      <c r="B971" s="59" t="n">
        <v>32050</v>
      </c>
      <c r="C971" s="59" t="inlineStr">
        <is>
          <t>1</t>
        </is>
      </c>
      <c r="D971" s="59" t="inlineStr">
        <is>
          <t>30652116000176</t>
        </is>
      </c>
      <c r="E971" s="75" t="n">
        <v>46230</v>
      </c>
      <c r="F971" s="75" t="n">
        <v>46228</v>
      </c>
      <c r="G971" s="59" t="inlineStr">
        <is>
          <t>SILVA E SANTOS FRIGORIFICO LTDA</t>
        </is>
      </c>
      <c r="H971" s="59" t="n">
        <v>1459451</v>
      </c>
      <c r="I971" s="59" t="n">
        <v>11</v>
      </c>
      <c r="J971" s="59" t="inlineStr">
        <is>
          <t>AM</t>
        </is>
      </c>
      <c r="K971" s="126" t="n">
        <v>2967.5</v>
      </c>
    </row>
    <row r="972" ht="15" customHeight="1" s="60">
      <c r="A972" s="59" t="n">
        <v>1</v>
      </c>
      <c r="B972" s="59" t="n">
        <v>32051</v>
      </c>
      <c r="C972" s="59" t="inlineStr">
        <is>
          <t>1</t>
        </is>
      </c>
      <c r="D972" s="59" t="inlineStr">
        <is>
          <t>30652116000176</t>
        </is>
      </c>
      <c r="E972" s="75" t="n">
        <v>46230</v>
      </c>
      <c r="F972" s="75" t="n">
        <v>46228</v>
      </c>
      <c r="G972" s="59" t="inlineStr">
        <is>
          <t>SILVA E SANTOS FRIGORIFICO LTDA</t>
        </is>
      </c>
      <c r="H972" s="59" t="n">
        <v>1459333</v>
      </c>
      <c r="I972" s="59" t="n">
        <v>11</v>
      </c>
      <c r="J972" s="59" t="inlineStr">
        <is>
          <t>AM</t>
        </is>
      </c>
      <c r="K972" s="126" t="n">
        <v>1760</v>
      </c>
    </row>
    <row r="973" ht="15" customHeight="1" s="60">
      <c r="A973" s="59" t="n">
        <v>1</v>
      </c>
      <c r="B973" s="59" t="n">
        <v>10753</v>
      </c>
      <c r="C973" s="59" t="inlineStr">
        <is>
          <t>1</t>
        </is>
      </c>
      <c r="D973" s="59" t="inlineStr">
        <is>
          <t>37994707000170</t>
        </is>
      </c>
      <c r="E973" s="75" t="n">
        <v>46230</v>
      </c>
      <c r="F973" s="75" t="n">
        <v>46224</v>
      </c>
      <c r="G973" s="59" t="inlineStr">
        <is>
          <t>T A DE MATTOS COMIM EIRELI</t>
        </is>
      </c>
      <c r="H973" s="59" t="n">
        <v>1460234</v>
      </c>
      <c r="I973" s="59" t="n">
        <v>11</v>
      </c>
      <c r="J973" s="59" t="inlineStr">
        <is>
          <t>AM</t>
        </is>
      </c>
      <c r="K973" s="126" t="n">
        <v>228</v>
      </c>
    </row>
    <row r="974" ht="15" customHeight="1" s="60">
      <c r="A974" s="59" t="n">
        <v>1</v>
      </c>
      <c r="B974" s="59" t="n">
        <v>10372</v>
      </c>
      <c r="C974" s="59" t="inlineStr">
        <is>
          <t>2</t>
        </is>
      </c>
      <c r="D974" s="59" t="inlineStr">
        <is>
          <t>36296113000123</t>
        </is>
      </c>
      <c r="E974" s="75" t="n">
        <v>46230</v>
      </c>
      <c r="F974" s="75" t="n">
        <v>46224</v>
      </c>
      <c r="G974" s="59" t="inlineStr">
        <is>
          <t>VITAPAN COMERCIO VAREJISTA DE PRODUTOS ALIMENTICIOS LTDA</t>
        </is>
      </c>
      <c r="H974" s="59" t="n">
        <v>1460292</v>
      </c>
      <c r="I974" s="59" t="n">
        <v>11</v>
      </c>
      <c r="J974" s="59" t="inlineStr">
        <is>
          <t>AM</t>
        </is>
      </c>
      <c r="K974" s="126" t="n">
        <v>702</v>
      </c>
    </row>
    <row r="975" ht="15" customHeight="1" s="60">
      <c r="A975" s="59" t="n">
        <v>1</v>
      </c>
      <c r="B975" s="59" t="n">
        <v>1141</v>
      </c>
      <c r="C975" s="59" t="inlineStr">
        <is>
          <t>2</t>
        </is>
      </c>
      <c r="D975" s="59" t="inlineStr">
        <is>
          <t>06177766000475</t>
        </is>
      </c>
      <c r="E975" s="75" t="n">
        <v>46231</v>
      </c>
      <c r="F975" s="75" t="n">
        <v>46223</v>
      </c>
      <c r="G975" s="59" t="inlineStr">
        <is>
          <t>A M A DE LIMA INDUSTRIA E COMERCIO DE PRODUTOS ALIMENTICIOS LTDA</t>
        </is>
      </c>
      <c r="H975" s="59" t="n">
        <v>1463762</v>
      </c>
      <c r="I975" s="59" t="n">
        <v>11</v>
      </c>
      <c r="J975" s="59" t="inlineStr">
        <is>
          <t>AM</t>
        </is>
      </c>
      <c r="K975" s="126" t="n">
        <v>164.7</v>
      </c>
    </row>
    <row r="976" ht="15" customHeight="1" s="60">
      <c r="A976" s="59" t="n">
        <v>1</v>
      </c>
      <c r="B976" s="59" t="n">
        <v>1146</v>
      </c>
      <c r="C976" s="59" t="inlineStr">
        <is>
          <t>2</t>
        </is>
      </c>
      <c r="D976" s="59" t="inlineStr">
        <is>
          <t>06177766000475</t>
        </is>
      </c>
      <c r="E976" s="75" t="n">
        <v>46231</v>
      </c>
      <c r="F976" s="75" t="n">
        <v>46225</v>
      </c>
      <c r="G976" s="59" t="inlineStr">
        <is>
          <t>A M A DE LIMA INDUSTRIA E COMERCIO DE PRODUTOS ALIMENTICIOS LTDA</t>
        </is>
      </c>
      <c r="H976" s="59" t="n">
        <v>1463875</v>
      </c>
      <c r="I976" s="59" t="n">
        <v>11</v>
      </c>
      <c r="J976" s="59" t="inlineStr">
        <is>
          <t>AM</t>
        </is>
      </c>
      <c r="K976" s="126" t="n">
        <v>75.68000000000001</v>
      </c>
    </row>
    <row r="977" ht="15" customHeight="1" s="60">
      <c r="A977" s="59" t="n">
        <v>1</v>
      </c>
      <c r="B977" s="59" t="n">
        <v>1148</v>
      </c>
      <c r="C977" s="59" t="inlineStr">
        <is>
          <t>2</t>
        </is>
      </c>
      <c r="D977" s="59" t="inlineStr">
        <is>
          <t>06177766000475</t>
        </is>
      </c>
      <c r="E977" s="75" t="n">
        <v>46231</v>
      </c>
      <c r="F977" s="75" t="n">
        <v>46227</v>
      </c>
      <c r="G977" s="59" t="inlineStr">
        <is>
          <t>A M A DE LIMA INDUSTRIA E COMERCIO DE PRODUTOS ALIMENTICIOS LTDA</t>
        </is>
      </c>
      <c r="H977" s="59" t="n">
        <v>1463961</v>
      </c>
      <c r="I977" s="59" t="n">
        <v>11</v>
      </c>
      <c r="J977" s="59" t="inlineStr">
        <is>
          <t>AM</t>
        </is>
      </c>
      <c r="K977" s="126" t="n">
        <v>82.34999999999999</v>
      </c>
    </row>
    <row r="978" ht="15" customHeight="1" s="60">
      <c r="A978" s="59" t="n">
        <v>1</v>
      </c>
      <c r="B978" s="59" t="n">
        <v>1154</v>
      </c>
      <c r="C978" s="59" t="inlineStr">
        <is>
          <t>2</t>
        </is>
      </c>
      <c r="D978" s="59" t="inlineStr">
        <is>
          <t>06177766000475</t>
        </is>
      </c>
      <c r="E978" s="75" t="n">
        <v>46231</v>
      </c>
      <c r="F978" s="75" t="n">
        <v>46230</v>
      </c>
      <c r="G978" s="59" t="inlineStr">
        <is>
          <t>A M A DE LIMA INDUSTRIA E COMERCIO DE PRODUTOS ALIMENTICIOS LTDA</t>
        </is>
      </c>
      <c r="H978" s="59" t="n">
        <v>1464143</v>
      </c>
      <c r="I978" s="59" t="n">
        <v>11</v>
      </c>
      <c r="J978" s="59" t="inlineStr">
        <is>
          <t>AM</t>
        </is>
      </c>
      <c r="K978" s="126" t="n">
        <v>233.6</v>
      </c>
    </row>
    <row r="979" ht="15" customHeight="1" s="60">
      <c r="A979" s="59" t="n">
        <v>1</v>
      </c>
      <c r="B979" s="59" t="n">
        <v>14967</v>
      </c>
      <c r="C979" s="59" t="inlineStr">
        <is>
          <t>1</t>
        </is>
      </c>
      <c r="D979" s="59" t="inlineStr">
        <is>
          <t>09531992000158</t>
        </is>
      </c>
      <c r="E979" s="75" t="n">
        <v>46231</v>
      </c>
      <c r="F979" s="75" t="n">
        <v>46231</v>
      </c>
      <c r="G979" s="59" t="inlineStr">
        <is>
          <t>COMERCIO E TRANSPORTE BRANDAO LTDA</t>
        </is>
      </c>
      <c r="H979" s="59" t="n">
        <v>1464669</v>
      </c>
      <c r="I979" s="59" t="n">
        <v>1</v>
      </c>
      <c r="J979" s="59" t="inlineStr">
        <is>
          <t>AM</t>
        </is>
      </c>
      <c r="K979" s="126" t="n">
        <v>720</v>
      </c>
    </row>
    <row r="980" ht="15" customHeight="1" s="60">
      <c r="A980" s="59" t="n">
        <v>1</v>
      </c>
      <c r="B980" s="59" t="n">
        <v>8403</v>
      </c>
      <c r="C980" s="59" t="inlineStr">
        <is>
          <t>1</t>
        </is>
      </c>
      <c r="D980" s="59" t="inlineStr">
        <is>
          <t>44302603000113</t>
        </is>
      </c>
      <c r="E980" s="75" t="n">
        <v>46231</v>
      </c>
      <c r="F980" s="75" t="n">
        <v>46219</v>
      </c>
      <c r="G980" s="59" t="inlineStr">
        <is>
          <t>EDMARA COMERCIO DE HIGIENE PESSOAL LTDA</t>
        </is>
      </c>
      <c r="H980" s="59" t="n">
        <v>1464698</v>
      </c>
      <c r="I980" s="59" t="n">
        <v>11</v>
      </c>
      <c r="J980" s="59" t="inlineStr">
        <is>
          <t>AM</t>
        </is>
      </c>
      <c r="K980" s="126" t="n">
        <v>10486.95</v>
      </c>
    </row>
    <row r="981" ht="15" customHeight="1" s="60">
      <c r="A981" s="59" t="n">
        <v>1</v>
      </c>
      <c r="B981" s="59" t="n">
        <v>31601</v>
      </c>
      <c r="C981" s="59" t="inlineStr">
        <is>
          <t>1</t>
        </is>
      </c>
      <c r="D981" s="59" t="inlineStr">
        <is>
          <t>30996759000137</t>
        </is>
      </c>
      <c r="E981" s="75" t="n">
        <v>46231</v>
      </c>
      <c r="F981" s="75" t="n">
        <v>46226</v>
      </c>
      <c r="G981" s="59" t="inlineStr">
        <is>
          <t>LIMA E BARANDA COMERCIO DE PRODUTOS REGI</t>
        </is>
      </c>
      <c r="H981" s="59" t="n">
        <v>1463082</v>
      </c>
      <c r="I981" s="59" t="n">
        <v>11</v>
      </c>
      <c r="J981" s="59" t="inlineStr">
        <is>
          <t>AM</t>
        </is>
      </c>
      <c r="K981" s="126" t="n">
        <v>266</v>
      </c>
    </row>
    <row r="982" ht="15" customHeight="1" s="60">
      <c r="A982" s="59" t="n">
        <v>1</v>
      </c>
      <c r="B982" s="59" t="n">
        <v>105914</v>
      </c>
      <c r="C982" s="59" t="inlineStr">
        <is>
          <t>10</t>
        </is>
      </c>
      <c r="D982" s="59" t="inlineStr">
        <is>
          <t>05488143000108</t>
        </is>
      </c>
      <c r="E982" s="75" t="n">
        <v>46231</v>
      </c>
      <c r="F982" s="75" t="n">
        <v>46226</v>
      </c>
      <c r="G982" s="59" t="inlineStr">
        <is>
          <t>NORTE DISTRIBUIDORA DE ACUMULADORES E AC</t>
        </is>
      </c>
      <c r="H982" s="59" t="n">
        <v>1464678</v>
      </c>
      <c r="I982" s="59" t="n">
        <v>11</v>
      </c>
      <c r="J982" s="59" t="inlineStr">
        <is>
          <t>AM</t>
        </is>
      </c>
      <c r="K982" s="126" t="n">
        <v>918</v>
      </c>
    </row>
    <row r="983" ht="15" customHeight="1" s="60">
      <c r="A983" s="59" t="n">
        <v>1</v>
      </c>
      <c r="B983" s="59" t="n">
        <v>41958</v>
      </c>
      <c r="C983" s="59" t="inlineStr">
        <is>
          <t>5</t>
        </is>
      </c>
      <c r="D983" s="59" t="inlineStr">
        <is>
          <t>03439223000148</t>
        </is>
      </c>
      <c r="E983" s="75" t="n">
        <v>46231</v>
      </c>
      <c r="F983" s="75" t="n">
        <v>46227</v>
      </c>
      <c r="G983" s="59" t="inlineStr">
        <is>
          <t>NT INDUSTRIA E COMERCIO DE PANIFICACAO L</t>
        </is>
      </c>
      <c r="H983" s="59" t="n">
        <v>1463649</v>
      </c>
      <c r="I983" s="59" t="n">
        <v>11</v>
      </c>
      <c r="J983" s="59" t="inlineStr">
        <is>
          <t>AM</t>
        </is>
      </c>
      <c r="K983" s="126" t="n">
        <v>5054.39</v>
      </c>
    </row>
    <row r="984" ht="15" customHeight="1" s="60">
      <c r="A984" s="59" t="n">
        <v>1</v>
      </c>
      <c r="B984" s="59" t="n">
        <v>5356</v>
      </c>
      <c r="C984" s="59" t="inlineStr">
        <is>
          <t>1</t>
        </is>
      </c>
      <c r="D984" s="59" t="inlineStr">
        <is>
          <t>36480282000119</t>
        </is>
      </c>
      <c r="E984" s="75" t="n">
        <v>46231</v>
      </c>
      <c r="F984" s="75" t="n">
        <v>46231</v>
      </c>
      <c r="G984" s="59" t="inlineStr">
        <is>
          <t>RENATO DE O AZEVEDO E CIA LTDA - EPP</t>
        </is>
      </c>
      <c r="H984" s="59" t="n">
        <v>1463447</v>
      </c>
      <c r="I984" s="59" t="n">
        <v>6</v>
      </c>
      <c r="J984" s="59" t="inlineStr">
        <is>
          <t>AM</t>
        </is>
      </c>
      <c r="K984" s="126" t="n">
        <v>350</v>
      </c>
    </row>
    <row r="985" ht="15" customHeight="1" s="60">
      <c r="A985" s="59" t="n">
        <v>1</v>
      </c>
      <c r="B985" s="59" t="n">
        <v>5357</v>
      </c>
      <c r="C985" s="59" t="inlineStr">
        <is>
          <t>1</t>
        </is>
      </c>
      <c r="D985" s="59" t="inlineStr">
        <is>
          <t>36480282000119</t>
        </is>
      </c>
      <c r="E985" s="75" t="n">
        <v>46231</v>
      </c>
      <c r="F985" s="75" t="n">
        <v>46231</v>
      </c>
      <c r="G985" s="59" t="inlineStr">
        <is>
          <t>RENATO DE O AZEVEDO E CIA LTDA - EPP</t>
        </is>
      </c>
      <c r="H985" s="59" t="n">
        <v>1463473</v>
      </c>
      <c r="I985" s="59" t="n">
        <v>6</v>
      </c>
      <c r="J985" s="59" t="inlineStr">
        <is>
          <t>AM</t>
        </is>
      </c>
      <c r="K985" s="126" t="n">
        <v>560</v>
      </c>
    </row>
    <row r="986" ht="15" customHeight="1" s="60">
      <c r="A986" s="59" t="n">
        <v>1</v>
      </c>
      <c r="B986" s="59" t="n">
        <v>5358</v>
      </c>
      <c r="C986" s="59" t="inlineStr">
        <is>
          <t>1</t>
        </is>
      </c>
      <c r="D986" s="59" t="inlineStr">
        <is>
          <t>36480282000119</t>
        </is>
      </c>
      <c r="E986" s="75" t="n">
        <v>46231</v>
      </c>
      <c r="F986" s="75" t="n">
        <v>46231</v>
      </c>
      <c r="G986" s="59" t="inlineStr">
        <is>
          <t>RENATO DE O AZEVEDO E CIA LTDA - EPP</t>
        </is>
      </c>
      <c r="H986" s="59" t="n">
        <v>1463504</v>
      </c>
      <c r="I986" s="59" t="n">
        <v>6</v>
      </c>
      <c r="J986" s="59" t="inlineStr">
        <is>
          <t>AM</t>
        </is>
      </c>
      <c r="K986" s="126" t="n">
        <v>280</v>
      </c>
    </row>
    <row r="987" ht="15" customHeight="1" s="60">
      <c r="A987" s="59" t="n">
        <v>1</v>
      </c>
      <c r="B987" s="59" t="n">
        <v>5359</v>
      </c>
      <c r="C987" s="59" t="inlineStr">
        <is>
          <t>1</t>
        </is>
      </c>
      <c r="D987" s="59" t="inlineStr">
        <is>
          <t>36480282000119</t>
        </is>
      </c>
      <c r="E987" s="75" t="n">
        <v>46231</v>
      </c>
      <c r="F987" s="75" t="n">
        <v>46231</v>
      </c>
      <c r="G987" s="59" t="inlineStr">
        <is>
          <t>RENATO DE O AZEVEDO E CIA LTDA - EPP</t>
        </is>
      </c>
      <c r="H987" s="59" t="n">
        <v>1463541</v>
      </c>
      <c r="I987" s="59" t="n">
        <v>6</v>
      </c>
      <c r="J987" s="59" t="inlineStr">
        <is>
          <t>AM</t>
        </is>
      </c>
      <c r="K987" s="126" t="n">
        <v>280</v>
      </c>
    </row>
    <row r="988" ht="15" customHeight="1" s="60">
      <c r="A988" s="59" t="n">
        <v>1</v>
      </c>
      <c r="B988" s="59" t="n">
        <v>5360</v>
      </c>
      <c r="C988" s="59" t="inlineStr">
        <is>
          <t>1</t>
        </is>
      </c>
      <c r="D988" s="59" t="inlineStr">
        <is>
          <t>36480282000119</t>
        </is>
      </c>
      <c r="E988" s="75" t="n">
        <v>46231</v>
      </c>
      <c r="F988" s="75" t="n">
        <v>46231</v>
      </c>
      <c r="G988" s="59" t="inlineStr">
        <is>
          <t>RENATO DE O AZEVEDO E CIA LTDA - EPP</t>
        </is>
      </c>
      <c r="H988" s="59" t="n">
        <v>1463614</v>
      </c>
      <c r="I988" s="59" t="n">
        <v>6</v>
      </c>
      <c r="J988" s="59" t="inlineStr">
        <is>
          <t>AM</t>
        </is>
      </c>
      <c r="K988" s="126" t="n">
        <v>280</v>
      </c>
    </row>
    <row r="989" ht="15" customHeight="1" s="60">
      <c r="A989" s="59" t="n">
        <v>1</v>
      </c>
      <c r="B989" s="59" t="n">
        <v>5361</v>
      </c>
      <c r="C989" s="59" t="inlineStr">
        <is>
          <t>1</t>
        </is>
      </c>
      <c r="D989" s="59" t="inlineStr">
        <is>
          <t>36480282000119</t>
        </is>
      </c>
      <c r="E989" s="75" t="n">
        <v>46231</v>
      </c>
      <c r="F989" s="75" t="n">
        <v>46231</v>
      </c>
      <c r="G989" s="59" t="inlineStr">
        <is>
          <t>RENATO DE O AZEVEDO E CIA LTDA - EPP</t>
        </is>
      </c>
      <c r="H989" s="59" t="n">
        <v>1463647</v>
      </c>
      <c r="I989" s="59" t="n">
        <v>6</v>
      </c>
      <c r="J989" s="59" t="inlineStr">
        <is>
          <t>AM</t>
        </is>
      </c>
      <c r="K989" s="126" t="n">
        <v>280</v>
      </c>
    </row>
    <row r="990" ht="15" customHeight="1" s="60">
      <c r="A990" s="59" t="n">
        <v>1</v>
      </c>
      <c r="B990" s="59" t="n">
        <v>5362</v>
      </c>
      <c r="C990" s="59" t="inlineStr">
        <is>
          <t>1</t>
        </is>
      </c>
      <c r="D990" s="59" t="inlineStr">
        <is>
          <t>36480282000119</t>
        </is>
      </c>
      <c r="E990" s="75" t="n">
        <v>46231</v>
      </c>
      <c r="F990" s="75" t="n">
        <v>46231</v>
      </c>
      <c r="G990" s="59" t="inlineStr">
        <is>
          <t>RENATO DE O AZEVEDO E CIA LTDA - EPP</t>
        </is>
      </c>
      <c r="H990" s="59" t="n">
        <v>1464493</v>
      </c>
      <c r="I990" s="59" t="n">
        <v>6</v>
      </c>
      <c r="J990" s="59" t="inlineStr">
        <is>
          <t>AM</t>
        </is>
      </c>
      <c r="K990" s="126" t="n">
        <v>1183</v>
      </c>
    </row>
    <row r="991" ht="15" customHeight="1" s="60">
      <c r="A991" s="59" t="n">
        <v>1</v>
      </c>
      <c r="B991" s="59" t="n">
        <v>5363</v>
      </c>
      <c r="C991" s="59" t="inlineStr">
        <is>
          <t>1</t>
        </is>
      </c>
      <c r="D991" s="59" t="inlineStr">
        <is>
          <t>36480282000119</t>
        </is>
      </c>
      <c r="E991" s="75" t="n">
        <v>46231</v>
      </c>
      <c r="F991" s="75" t="n">
        <v>46231</v>
      </c>
      <c r="G991" s="59" t="inlineStr">
        <is>
          <t>RENATO DE O AZEVEDO E CIA LTDA - EPP</t>
        </is>
      </c>
      <c r="H991" s="59" t="n">
        <v>1465010</v>
      </c>
      <c r="I991" s="59" t="n">
        <v>6</v>
      </c>
      <c r="J991" s="59" t="inlineStr">
        <is>
          <t>AM</t>
        </is>
      </c>
      <c r="K991" s="126" t="n">
        <v>2812.5</v>
      </c>
    </row>
    <row r="992" ht="15" customHeight="1" s="60">
      <c r="A992" s="59" t="n">
        <v>1</v>
      </c>
      <c r="B992" s="59" t="n">
        <v>15181</v>
      </c>
      <c r="C992" s="59" t="inlineStr">
        <is>
          <t>1</t>
        </is>
      </c>
      <c r="D992" s="59" t="inlineStr">
        <is>
          <t>01215382000133</t>
        </is>
      </c>
      <c r="E992" s="75" t="n">
        <v>46231</v>
      </c>
      <c r="F992" s="75" t="n">
        <v>46230</v>
      </c>
      <c r="G992" s="59" t="inlineStr">
        <is>
          <t>T. M. L. DA SILVA LTDA</t>
        </is>
      </c>
      <c r="H992" s="59" t="n">
        <v>1463680</v>
      </c>
      <c r="I992" s="59" t="n">
        <v>11</v>
      </c>
      <c r="J992" s="59" t="inlineStr">
        <is>
          <t>AM</t>
        </is>
      </c>
      <c r="K992" s="126" t="n">
        <v>730</v>
      </c>
    </row>
    <row r="993" ht="15" customHeight="1" s="60">
      <c r="A993" s="59" t="n">
        <v>1</v>
      </c>
      <c r="B993" s="59" t="n">
        <v>10389</v>
      </c>
      <c r="C993" s="59" t="inlineStr">
        <is>
          <t>2</t>
        </is>
      </c>
      <c r="D993" s="59" t="inlineStr">
        <is>
          <t>36296113000123</t>
        </is>
      </c>
      <c r="E993" s="75" t="n">
        <v>46231</v>
      </c>
      <c r="F993" s="75" t="n">
        <v>46226</v>
      </c>
      <c r="G993" s="59" t="inlineStr">
        <is>
          <t>VITAPAN COMERCIO VAREJISTA DE PRODUTOS ALIMENTICIOS LTDA</t>
        </is>
      </c>
      <c r="H993" s="59" t="n">
        <v>1463171</v>
      </c>
      <c r="I993" s="59" t="n">
        <v>11</v>
      </c>
      <c r="J993" s="59" t="inlineStr">
        <is>
          <t>AM</t>
        </is>
      </c>
      <c r="K993" s="126" t="n">
        <v>1026</v>
      </c>
    </row>
    <row r="994" ht="15" customHeight="1" s="60">
      <c r="A994" s="59" t="n">
        <v>1</v>
      </c>
      <c r="B994" s="59" t="n">
        <v>550</v>
      </c>
      <c r="C994" s="59" t="inlineStr">
        <is>
          <t>1</t>
        </is>
      </c>
      <c r="D994" s="59" t="inlineStr">
        <is>
          <t>47496330000183</t>
        </is>
      </c>
      <c r="E994" s="75" t="n">
        <v>46232</v>
      </c>
      <c r="F994" s="75" t="n">
        <v>46230</v>
      </c>
      <c r="G994" s="59" t="inlineStr">
        <is>
          <t>ADICSO FABIAN GONZALEZ MONTILLA 70302186</t>
        </is>
      </c>
      <c r="H994" s="59" t="n">
        <v>1468355</v>
      </c>
      <c r="I994" s="59" t="n">
        <v>11</v>
      </c>
      <c r="J994" s="59" t="inlineStr">
        <is>
          <t>AM</t>
        </is>
      </c>
      <c r="K994" s="126" t="n">
        <v>816</v>
      </c>
    </row>
    <row r="995" ht="15" customHeight="1" s="60">
      <c r="A995" s="59" t="n">
        <v>1</v>
      </c>
      <c r="B995" s="59" t="n">
        <v>885524</v>
      </c>
      <c r="C995" s="59" t="inlineStr">
        <is>
          <t>1</t>
        </is>
      </c>
      <c r="D995" s="59" t="inlineStr">
        <is>
          <t>04724476000126</t>
        </is>
      </c>
      <c r="E995" s="75" t="n">
        <v>46232</v>
      </c>
      <c r="F995" s="75" t="n">
        <v>46219</v>
      </c>
      <c r="G995" s="59" t="inlineStr">
        <is>
          <t>ADRIANA DISTRIBUIDORA DE PRODUTOS ALIMEN</t>
        </is>
      </c>
      <c r="H995" s="59" t="n">
        <v>1468697</v>
      </c>
      <c r="I995" s="59" t="n">
        <v>11</v>
      </c>
      <c r="J995" s="59" t="inlineStr">
        <is>
          <t>AM</t>
        </is>
      </c>
      <c r="K995" s="126" t="n">
        <v>1039.32</v>
      </c>
    </row>
    <row r="996" ht="15" customHeight="1" s="60">
      <c r="A996" s="59" t="n">
        <v>1</v>
      </c>
      <c r="B996" s="59" t="n">
        <v>79231</v>
      </c>
      <c r="C996" s="59" t="inlineStr">
        <is>
          <t>1</t>
        </is>
      </c>
      <c r="D996" s="59" t="inlineStr">
        <is>
          <t>27360554000156</t>
        </is>
      </c>
      <c r="E996" s="75" t="n">
        <v>46232</v>
      </c>
      <c r="F996" s="75" t="n">
        <v>46226</v>
      </c>
      <c r="G996" s="59" t="inlineStr">
        <is>
          <t>AMERICANA DISTRIBUIDORA DE BEBIDAS E MERCADORIAS LTDA</t>
        </is>
      </c>
      <c r="H996" s="59" t="n">
        <v>1469006</v>
      </c>
      <c r="I996" s="59" t="n">
        <v>11</v>
      </c>
      <c r="J996" s="59" t="inlineStr">
        <is>
          <t>AM</t>
        </is>
      </c>
      <c r="K996" s="126" t="n">
        <v>3261.6</v>
      </c>
    </row>
    <row r="997" ht="15" customHeight="1" s="60">
      <c r="A997" s="59" t="n">
        <v>1</v>
      </c>
      <c r="B997" s="59" t="n">
        <v>1911152</v>
      </c>
      <c r="C997" s="59" t="inlineStr">
        <is>
          <t>1</t>
        </is>
      </c>
      <c r="D997" s="59" t="inlineStr">
        <is>
          <t>75315333011909</t>
        </is>
      </c>
      <c r="E997" s="75" t="n">
        <v>46232</v>
      </c>
      <c r="F997" s="75" t="n">
        <v>46227</v>
      </c>
      <c r="G997" s="59" t="inlineStr">
        <is>
          <t>ATACADAO S.A.</t>
        </is>
      </c>
      <c r="H997" s="59" t="n">
        <v>1468987</v>
      </c>
      <c r="I997" s="59" t="n">
        <v>11</v>
      </c>
      <c r="J997" s="59" t="inlineStr">
        <is>
          <t>AM</t>
        </is>
      </c>
      <c r="K997" s="126" t="n">
        <v>330.75</v>
      </c>
    </row>
    <row r="998" ht="15" customHeight="1" s="60">
      <c r="A998" s="59" t="n">
        <v>1</v>
      </c>
      <c r="B998" s="59" t="n">
        <v>151</v>
      </c>
      <c r="C998" s="59" t="inlineStr">
        <is>
          <t>1</t>
        </is>
      </c>
      <c r="D998" s="59" t="inlineStr">
        <is>
          <t>62918707000139</t>
        </is>
      </c>
      <c r="E998" s="75" t="n">
        <v>46232</v>
      </c>
      <c r="F998" s="75" t="n">
        <v>46156</v>
      </c>
      <c r="G998" s="59" t="inlineStr">
        <is>
          <t>AUGUSTA E BOMFIM LTDA</t>
        </is>
      </c>
      <c r="H998" s="59" t="n">
        <v>1500164</v>
      </c>
      <c r="I998" s="59" t="n">
        <v>39</v>
      </c>
      <c r="J998" s="59" t="inlineStr">
        <is>
          <t>AM</t>
        </is>
      </c>
      <c r="K998" s="126" t="n">
        <v>196</v>
      </c>
    </row>
    <row r="999" ht="15" customHeight="1" s="60">
      <c r="A999" s="59" t="n">
        <v>1</v>
      </c>
      <c r="B999" s="59" t="n">
        <v>173886</v>
      </c>
      <c r="C999" s="59" t="inlineStr">
        <is>
          <t>1</t>
        </is>
      </c>
      <c r="D999" s="59" t="inlineStr">
        <is>
          <t>10418161000153</t>
        </is>
      </c>
      <c r="E999" s="75" t="n">
        <v>46232</v>
      </c>
      <c r="F999" s="75" t="n">
        <v>46231</v>
      </c>
      <c r="G999" s="59" t="inlineStr">
        <is>
          <t>COMERCIO DE FRIOS MANAUS LTDA</t>
        </is>
      </c>
      <c r="H999" s="59" t="n">
        <v>1469487</v>
      </c>
      <c r="I999" s="59" t="n">
        <v>11</v>
      </c>
      <c r="J999" s="59" t="inlineStr">
        <is>
          <t>AM</t>
        </is>
      </c>
      <c r="K999" s="126" t="n">
        <v>5242.4</v>
      </c>
    </row>
    <row r="1000" ht="15" customHeight="1" s="60">
      <c r="A1000" s="59" t="n">
        <v>1</v>
      </c>
      <c r="B1000" s="59" t="n">
        <v>3223292</v>
      </c>
      <c r="C1000" s="59" t="inlineStr">
        <is>
          <t>1</t>
        </is>
      </c>
      <c r="D1000" s="59" t="inlineStr">
        <is>
          <t>84466424000136</t>
        </is>
      </c>
      <c r="E1000" s="75" t="n">
        <v>46232</v>
      </c>
      <c r="F1000" s="75" t="n">
        <v>46224</v>
      </c>
      <c r="G1000" s="59" t="inlineStr">
        <is>
          <t>DUNORTE DISTRIBUIDORA DE PRODUTOS DE CONSUMO LTDA</t>
        </is>
      </c>
      <c r="H1000" s="59" t="n">
        <v>1468480</v>
      </c>
      <c r="I1000" s="59" t="n">
        <v>11</v>
      </c>
      <c r="J1000" s="59" t="inlineStr">
        <is>
          <t>AM</t>
        </is>
      </c>
      <c r="K1000" s="126" t="n">
        <v>3282.81</v>
      </c>
    </row>
    <row r="1001" ht="15" customHeight="1" s="60">
      <c r="A1001" s="59" t="n">
        <v>1</v>
      </c>
      <c r="B1001" s="59" t="n">
        <v>563175</v>
      </c>
      <c r="C1001" s="59" t="inlineStr">
        <is>
          <t>1</t>
        </is>
      </c>
      <c r="D1001" s="59" t="inlineStr">
        <is>
          <t>39536783000168</t>
        </is>
      </c>
      <c r="E1001" s="75" t="n">
        <v>46232</v>
      </c>
      <c r="F1001" s="75" t="n">
        <v>46155</v>
      </c>
      <c r="G1001" s="59" t="inlineStr">
        <is>
          <t>INTLINK SERVICOS DIGITAIS LTDA</t>
        </is>
      </c>
      <c r="H1001" s="59" t="n">
        <v>1483002</v>
      </c>
      <c r="I1001" s="59" t="n">
        <v>39</v>
      </c>
      <c r="J1001" s="59" t="inlineStr">
        <is>
          <t>AM</t>
        </is>
      </c>
      <c r="K1001" s="126" t="n">
        <v>39.6</v>
      </c>
    </row>
    <row r="1002" ht="15" customHeight="1" s="60">
      <c r="A1002" s="59" t="n">
        <v>1</v>
      </c>
      <c r="B1002" s="59" t="n">
        <v>596639</v>
      </c>
      <c r="C1002" s="59" t="inlineStr">
        <is>
          <t>1</t>
        </is>
      </c>
      <c r="D1002" s="59" t="inlineStr">
        <is>
          <t>39536783000168</t>
        </is>
      </c>
      <c r="E1002" s="75" t="n">
        <v>46232</v>
      </c>
      <c r="F1002" s="75" t="n">
        <v>46188</v>
      </c>
      <c r="G1002" s="59" t="inlineStr">
        <is>
          <t>INTLINK SERVICOS DIGITAIS LTDA</t>
        </is>
      </c>
      <c r="H1002" s="59" t="n">
        <v>1504693</v>
      </c>
      <c r="I1002" s="59" t="n">
        <v>39</v>
      </c>
      <c r="J1002" s="59" t="inlineStr">
        <is>
          <t>AM</t>
        </is>
      </c>
      <c r="K1002" s="126" t="n">
        <v>39.6</v>
      </c>
    </row>
    <row r="1003" ht="15" customHeight="1" s="60">
      <c r="A1003" s="59" t="n">
        <v>1</v>
      </c>
      <c r="B1003" s="59" t="n">
        <v>14838</v>
      </c>
      <c r="C1003" s="59" t="inlineStr">
        <is>
          <t>1</t>
        </is>
      </c>
      <c r="D1003" s="59" t="inlineStr">
        <is>
          <t>03784729000194</t>
        </is>
      </c>
      <c r="E1003" s="75" t="n">
        <v>46232</v>
      </c>
      <c r="F1003" s="75" t="n">
        <v>46230</v>
      </c>
      <c r="G1003" s="59" t="inlineStr">
        <is>
          <t>MAXFRI DISTRIUIDORA LTDA</t>
        </is>
      </c>
      <c r="H1003" s="59" t="n">
        <v>1469299</v>
      </c>
      <c r="I1003" s="59" t="n">
        <v>11</v>
      </c>
      <c r="J1003" s="59" t="inlineStr">
        <is>
          <t>AM</t>
        </is>
      </c>
      <c r="K1003" s="126" t="n">
        <v>2393.6</v>
      </c>
    </row>
    <row r="1004" ht="15" customHeight="1" s="60">
      <c r="A1004" s="59" t="n">
        <v>1</v>
      </c>
      <c r="B1004" s="59" t="n">
        <v>458036</v>
      </c>
      <c r="C1004" s="59" t="inlineStr">
        <is>
          <t>1</t>
        </is>
      </c>
      <c r="D1004" s="59" t="inlineStr">
        <is>
          <t>84492198000168</t>
        </is>
      </c>
      <c r="E1004" s="75" t="n">
        <v>46232</v>
      </c>
      <c r="F1004" s="75" t="n">
        <v>46155</v>
      </c>
      <c r="G1004" s="59" t="inlineStr">
        <is>
          <t>MURANO VEICULOS LTDA</t>
        </is>
      </c>
      <c r="H1004" s="59" t="n">
        <v>1482973</v>
      </c>
      <c r="I1004" s="59" t="n">
        <v>14</v>
      </c>
      <c r="J1004" s="59" t="inlineStr">
        <is>
          <t>AM</t>
        </is>
      </c>
      <c r="K1004" s="126" t="n">
        <v>2431.14</v>
      </c>
    </row>
    <row r="1005" ht="15" customHeight="1" s="60">
      <c r="A1005" s="59" t="n">
        <v>1</v>
      </c>
      <c r="B1005" s="59" t="n">
        <v>459461</v>
      </c>
      <c r="C1005" s="59" t="inlineStr">
        <is>
          <t>1</t>
        </is>
      </c>
      <c r="D1005" s="59" t="inlineStr">
        <is>
          <t>84492198000168</t>
        </is>
      </c>
      <c r="E1005" s="75" t="n">
        <v>46232</v>
      </c>
      <c r="F1005" s="75" t="n">
        <v>46183</v>
      </c>
      <c r="G1005" s="59" t="inlineStr">
        <is>
          <t>MURANO VEICULOS LTDA</t>
        </is>
      </c>
      <c r="H1005" s="59" t="n">
        <v>1504816</v>
      </c>
      <c r="I1005" s="59" t="n">
        <v>14</v>
      </c>
      <c r="J1005" s="59" t="inlineStr">
        <is>
          <t>AM</t>
        </is>
      </c>
      <c r="K1005" s="126" t="n">
        <v>488.59</v>
      </c>
    </row>
    <row r="1006" ht="15" customHeight="1" s="60">
      <c r="A1006" s="59" t="n">
        <v>1</v>
      </c>
      <c r="B1006" s="59" t="n">
        <v>459597</v>
      </c>
      <c r="C1006" s="59" t="inlineStr">
        <is>
          <t>1</t>
        </is>
      </c>
      <c r="D1006" s="59" t="inlineStr">
        <is>
          <t>84492198000168</t>
        </is>
      </c>
      <c r="E1006" s="75" t="n">
        <v>46232</v>
      </c>
      <c r="F1006" s="75" t="n">
        <v>46185</v>
      </c>
      <c r="G1006" s="59" t="inlineStr">
        <is>
          <t>MURANO VEICULOS LTDA</t>
        </is>
      </c>
      <c r="H1006" s="59" t="n">
        <v>1504871</v>
      </c>
      <c r="I1006" s="59" t="n">
        <v>14</v>
      </c>
      <c r="J1006" s="59" t="inlineStr">
        <is>
          <t>AM</t>
        </is>
      </c>
      <c r="K1006" s="126" t="n">
        <v>142.47</v>
      </c>
    </row>
    <row r="1007" ht="15" customHeight="1" s="60">
      <c r="A1007" s="59" t="n">
        <v>1</v>
      </c>
      <c r="B1007" s="59" t="n">
        <v>459615</v>
      </c>
      <c r="C1007" s="59" t="inlineStr">
        <is>
          <t>1</t>
        </is>
      </c>
      <c r="D1007" s="59" t="inlineStr">
        <is>
          <t>84492198000168</t>
        </is>
      </c>
      <c r="E1007" s="75" t="n">
        <v>46232</v>
      </c>
      <c r="F1007" s="75" t="n">
        <v>46186</v>
      </c>
      <c r="G1007" s="59" t="inlineStr">
        <is>
          <t>MURANO VEICULOS LTDA</t>
        </is>
      </c>
      <c r="H1007" s="59" t="n">
        <v>1504799</v>
      </c>
      <c r="I1007" s="59" t="n">
        <v>14</v>
      </c>
      <c r="J1007" s="59" t="inlineStr">
        <is>
          <t>AM</t>
        </is>
      </c>
      <c r="K1007" s="126" t="n">
        <v>1658.96</v>
      </c>
    </row>
    <row r="1008" ht="15" customHeight="1" s="60">
      <c r="A1008" s="59" t="n">
        <v>1</v>
      </c>
      <c r="B1008" s="59" t="n">
        <v>85345</v>
      </c>
      <c r="C1008" s="59" t="inlineStr">
        <is>
          <t>2</t>
        </is>
      </c>
      <c r="D1008" s="59" t="inlineStr">
        <is>
          <t>04918453000586</t>
        </is>
      </c>
      <c r="E1008" s="75" t="n">
        <v>46232</v>
      </c>
      <c r="F1008" s="75" t="n">
        <v>46227</v>
      </c>
      <c r="G1008" s="59" t="inlineStr">
        <is>
          <t>NJF INDUSTRIA E COMERCIO LTDA</t>
        </is>
      </c>
      <c r="H1008" s="59" t="n">
        <v>1469142</v>
      </c>
      <c r="I1008" s="59" t="n">
        <v>11</v>
      </c>
      <c r="J1008" s="59" t="inlineStr">
        <is>
          <t>AM</t>
        </is>
      </c>
      <c r="K1008" s="126" t="n">
        <v>369</v>
      </c>
    </row>
    <row r="1009" ht="15" customHeight="1" s="60">
      <c r="A1009" s="59" t="n">
        <v>1</v>
      </c>
      <c r="B1009" s="59" t="n">
        <v>85346</v>
      </c>
      <c r="C1009" s="59" t="inlineStr">
        <is>
          <t>2</t>
        </is>
      </c>
      <c r="D1009" s="59" t="inlineStr">
        <is>
          <t>04918453000586</t>
        </is>
      </c>
      <c r="E1009" s="75" t="n">
        <v>46232</v>
      </c>
      <c r="F1009" s="75" t="n">
        <v>46227</v>
      </c>
      <c r="G1009" s="59" t="inlineStr">
        <is>
          <t>NJF INDUSTRIA E COMERCIO LTDA</t>
        </is>
      </c>
      <c r="H1009" s="59" t="n">
        <v>1469182</v>
      </c>
      <c r="I1009" s="59" t="n">
        <v>11</v>
      </c>
      <c r="J1009" s="59" t="inlineStr">
        <is>
          <t>AM</t>
        </is>
      </c>
      <c r="K1009" s="126" t="n">
        <v>2329</v>
      </c>
    </row>
    <row r="1010" ht="15" customHeight="1" s="60">
      <c r="A1010" s="59" t="n">
        <v>1</v>
      </c>
      <c r="B1010" s="59" t="n">
        <v>5366</v>
      </c>
      <c r="C1010" s="59" t="inlineStr">
        <is>
          <t>1</t>
        </is>
      </c>
      <c r="D1010" s="59" t="inlineStr">
        <is>
          <t>36480282000119</t>
        </is>
      </c>
      <c r="E1010" s="75" t="n">
        <v>46232</v>
      </c>
      <c r="F1010" s="75" t="n">
        <v>46232</v>
      </c>
      <c r="G1010" s="59" t="inlineStr">
        <is>
          <t>RENATO DE O AZEVEDO E CIA LTDA - EPP</t>
        </is>
      </c>
      <c r="H1010" s="59" t="n">
        <v>1468261</v>
      </c>
      <c r="I1010" s="59" t="n">
        <v>6</v>
      </c>
      <c r="J1010" s="59" t="inlineStr">
        <is>
          <t>AM</t>
        </is>
      </c>
      <c r="K1010" s="126" t="n">
        <v>420</v>
      </c>
    </row>
    <row r="1011" ht="15" customHeight="1" s="60">
      <c r="A1011" s="59" t="n">
        <v>1</v>
      </c>
      <c r="B1011" s="59" t="n">
        <v>5367</v>
      </c>
      <c r="C1011" s="59" t="inlineStr">
        <is>
          <t>1</t>
        </is>
      </c>
      <c r="D1011" s="59" t="inlineStr">
        <is>
          <t>36480282000119</t>
        </is>
      </c>
      <c r="E1011" s="75" t="n">
        <v>46232</v>
      </c>
      <c r="F1011" s="75" t="n">
        <v>46232</v>
      </c>
      <c r="G1011" s="59" t="inlineStr">
        <is>
          <t>RENATO DE O AZEVEDO E CIA LTDA - EPP</t>
        </is>
      </c>
      <c r="H1011" s="59" t="n">
        <v>1468306</v>
      </c>
      <c r="I1011" s="59" t="n">
        <v>6</v>
      </c>
      <c r="J1011" s="59" t="inlineStr">
        <is>
          <t>AM</t>
        </is>
      </c>
      <c r="K1011" s="126" t="n">
        <v>350</v>
      </c>
    </row>
    <row r="1012" ht="15" customHeight="1" s="60">
      <c r="A1012" s="59" t="n">
        <v>1</v>
      </c>
      <c r="B1012" s="59" t="n">
        <v>5368</v>
      </c>
      <c r="C1012" s="59" t="inlineStr">
        <is>
          <t>1</t>
        </is>
      </c>
      <c r="D1012" s="59" t="inlineStr">
        <is>
          <t>36480282000119</t>
        </is>
      </c>
      <c r="E1012" s="75" t="n">
        <v>46232</v>
      </c>
      <c r="F1012" s="75" t="n">
        <v>46232</v>
      </c>
      <c r="G1012" s="59" t="inlineStr">
        <is>
          <t>RENATO DE O AZEVEDO E CIA LTDA - EPP</t>
        </is>
      </c>
      <c r="H1012" s="59" t="n">
        <v>1468415</v>
      </c>
      <c r="I1012" s="59" t="n">
        <v>6</v>
      </c>
      <c r="J1012" s="59" t="inlineStr">
        <is>
          <t>AM</t>
        </is>
      </c>
      <c r="K1012" s="126" t="n">
        <v>280</v>
      </c>
    </row>
    <row r="1013" ht="15" customHeight="1" s="60">
      <c r="A1013" s="59" t="n">
        <v>1</v>
      </c>
      <c r="B1013" s="59" t="n">
        <v>5369</v>
      </c>
      <c r="C1013" s="59" t="inlineStr">
        <is>
          <t>1</t>
        </is>
      </c>
      <c r="D1013" s="59" t="inlineStr">
        <is>
          <t>36480282000119</t>
        </is>
      </c>
      <c r="E1013" s="75" t="n">
        <v>46232</v>
      </c>
      <c r="F1013" s="75" t="n">
        <v>46232</v>
      </c>
      <c r="G1013" s="59" t="inlineStr">
        <is>
          <t>RENATO DE O AZEVEDO E CIA LTDA - EPP</t>
        </is>
      </c>
      <c r="H1013" s="59" t="n">
        <v>1468465</v>
      </c>
      <c r="I1013" s="59" t="n">
        <v>6</v>
      </c>
      <c r="J1013" s="59" t="inlineStr">
        <is>
          <t>AM</t>
        </is>
      </c>
      <c r="K1013" s="126" t="n">
        <v>280</v>
      </c>
    </row>
    <row r="1014" ht="15" customHeight="1" s="60">
      <c r="A1014" s="59" t="n">
        <v>1</v>
      </c>
      <c r="B1014" s="59" t="n">
        <v>5370</v>
      </c>
      <c r="C1014" s="59" t="inlineStr">
        <is>
          <t>1</t>
        </is>
      </c>
      <c r="D1014" s="59" t="inlineStr">
        <is>
          <t>36480282000119</t>
        </is>
      </c>
      <c r="E1014" s="75" t="n">
        <v>46232</v>
      </c>
      <c r="F1014" s="75" t="n">
        <v>46232</v>
      </c>
      <c r="G1014" s="59" t="inlineStr">
        <is>
          <t>RENATO DE O AZEVEDO E CIA LTDA - EPP</t>
        </is>
      </c>
      <c r="H1014" s="59" t="n">
        <v>1468486</v>
      </c>
      <c r="I1014" s="59" t="n">
        <v>6</v>
      </c>
      <c r="J1014" s="59" t="inlineStr">
        <is>
          <t>AM</t>
        </is>
      </c>
      <c r="K1014" s="126" t="n">
        <v>280</v>
      </c>
    </row>
    <row r="1015" ht="15" customHeight="1" s="60">
      <c r="A1015" s="59" t="n">
        <v>1</v>
      </c>
      <c r="B1015" s="59" t="n">
        <v>5371</v>
      </c>
      <c r="C1015" s="59" t="inlineStr">
        <is>
          <t>1</t>
        </is>
      </c>
      <c r="D1015" s="59" t="inlineStr">
        <is>
          <t>36480282000119</t>
        </is>
      </c>
      <c r="E1015" s="75" t="n">
        <v>46232</v>
      </c>
      <c r="F1015" s="75" t="n">
        <v>46232</v>
      </c>
      <c r="G1015" s="59" t="inlineStr">
        <is>
          <t>RENATO DE O AZEVEDO E CIA LTDA - EPP</t>
        </is>
      </c>
      <c r="H1015" s="59" t="n">
        <v>1468550</v>
      </c>
      <c r="I1015" s="59" t="n">
        <v>6</v>
      </c>
      <c r="J1015" s="59" t="inlineStr">
        <is>
          <t>AM</t>
        </is>
      </c>
      <c r="K1015" s="126" t="n">
        <v>280</v>
      </c>
    </row>
    <row r="1016" ht="15" customHeight="1" s="60">
      <c r="A1016" s="59" t="n">
        <v>1</v>
      </c>
      <c r="B1016" s="59" t="n">
        <v>5372</v>
      </c>
      <c r="C1016" s="59" t="inlineStr">
        <is>
          <t>1</t>
        </is>
      </c>
      <c r="D1016" s="59" t="inlineStr">
        <is>
          <t>36480282000119</t>
        </is>
      </c>
      <c r="E1016" s="75" t="n">
        <v>46232</v>
      </c>
      <c r="F1016" s="75" t="n">
        <v>46232</v>
      </c>
      <c r="G1016" s="59" t="inlineStr">
        <is>
          <t>RENATO DE O AZEVEDO E CIA LTDA - EPP</t>
        </is>
      </c>
      <c r="H1016" s="59" t="n">
        <v>1468602</v>
      </c>
      <c r="I1016" s="59" t="n">
        <v>6</v>
      </c>
      <c r="J1016" s="59" t="inlineStr">
        <is>
          <t>AM</t>
        </is>
      </c>
      <c r="K1016" s="126" t="n">
        <v>420</v>
      </c>
    </row>
    <row r="1017" ht="15" customHeight="1" s="60">
      <c r="A1017" s="59" t="n">
        <v>1</v>
      </c>
      <c r="B1017" s="59" t="n">
        <v>5373</v>
      </c>
      <c r="C1017" s="59" t="inlineStr">
        <is>
          <t>1</t>
        </is>
      </c>
      <c r="D1017" s="59" t="inlineStr">
        <is>
          <t>36480282000119</t>
        </is>
      </c>
      <c r="E1017" s="75" t="n">
        <v>46232</v>
      </c>
      <c r="F1017" s="75" t="n">
        <v>46232</v>
      </c>
      <c r="G1017" s="59" t="inlineStr">
        <is>
          <t>RENATO DE O AZEVEDO E CIA LTDA - EPP</t>
        </is>
      </c>
      <c r="H1017" s="59" t="n">
        <v>1468698</v>
      </c>
      <c r="I1017" s="59" t="n">
        <v>6</v>
      </c>
      <c r="J1017" s="59" t="inlineStr">
        <is>
          <t>AM</t>
        </is>
      </c>
      <c r="K1017" s="126" t="n">
        <v>350</v>
      </c>
    </row>
    <row r="1018" ht="15" customHeight="1" s="60">
      <c r="A1018" s="59" t="n">
        <v>1</v>
      </c>
      <c r="B1018" s="59" t="n">
        <v>5374</v>
      </c>
      <c r="C1018" s="59" t="inlineStr">
        <is>
          <t>1</t>
        </is>
      </c>
      <c r="D1018" s="59" t="inlineStr">
        <is>
          <t>36480282000119</t>
        </is>
      </c>
      <c r="E1018" s="75" t="n">
        <v>46232</v>
      </c>
      <c r="F1018" s="75" t="n">
        <v>46232</v>
      </c>
      <c r="G1018" s="59" t="inlineStr">
        <is>
          <t>RENATO DE O AZEVEDO E CIA LTDA - EPP</t>
        </is>
      </c>
      <c r="H1018" s="59" t="n">
        <v>1468707</v>
      </c>
      <c r="I1018" s="59" t="n">
        <v>6</v>
      </c>
      <c r="J1018" s="59" t="inlineStr">
        <is>
          <t>AM</t>
        </is>
      </c>
      <c r="K1018" s="126" t="n">
        <v>350</v>
      </c>
    </row>
    <row r="1019" ht="15" customHeight="1" s="60">
      <c r="A1019" s="59" t="n">
        <v>1</v>
      </c>
      <c r="B1019" s="59" t="n">
        <v>5387</v>
      </c>
      <c r="C1019" s="59" t="inlineStr">
        <is>
          <t>1</t>
        </is>
      </c>
      <c r="D1019" s="59" t="inlineStr">
        <is>
          <t>36480282000119</t>
        </is>
      </c>
      <c r="E1019" s="75" t="n">
        <v>46232</v>
      </c>
      <c r="F1019" s="75" t="n">
        <v>46232</v>
      </c>
      <c r="G1019" s="59" t="inlineStr">
        <is>
          <t>RENATO DE O AZEVEDO E CIA LTDA - EPP</t>
        </is>
      </c>
      <c r="H1019" s="59" t="n">
        <v>1469574</v>
      </c>
      <c r="I1019" s="59" t="n">
        <v>6</v>
      </c>
      <c r="J1019" s="59" t="inlineStr">
        <is>
          <t>AM</t>
        </is>
      </c>
      <c r="K1019" s="126" t="n">
        <v>280</v>
      </c>
    </row>
    <row r="1020" ht="15" customHeight="1" s="60">
      <c r="A1020" s="59" t="n">
        <v>1</v>
      </c>
      <c r="B1020" s="59" t="n">
        <v>665164</v>
      </c>
      <c r="C1020" s="59" t="inlineStr">
        <is>
          <t>1</t>
        </is>
      </c>
      <c r="D1020" s="59" t="inlineStr">
        <is>
          <t>84117159000180</t>
        </is>
      </c>
      <c r="E1020" s="75" t="n">
        <v>46232</v>
      </c>
      <c r="F1020" s="75" t="n">
        <v>46225</v>
      </c>
      <c r="G1020" s="59" t="inlineStr">
        <is>
          <t>RISADINHA LTDA</t>
        </is>
      </c>
      <c r="H1020" s="59" t="n">
        <v>1468185</v>
      </c>
      <c r="I1020" s="59" t="n">
        <v>11</v>
      </c>
      <c r="J1020" s="59" t="inlineStr">
        <is>
          <t>AM</t>
        </is>
      </c>
      <c r="K1020" s="126" t="n">
        <v>2561.7</v>
      </c>
    </row>
    <row r="1021" ht="15" customHeight="1" s="60">
      <c r="A1021" s="59" t="n">
        <v>1</v>
      </c>
      <c r="B1021" s="59" t="n">
        <v>250486</v>
      </c>
      <c r="C1021" s="59" t="inlineStr">
        <is>
          <t>3</t>
        </is>
      </c>
      <c r="D1021" s="59" t="inlineStr">
        <is>
          <t>14184956000103</t>
        </is>
      </c>
      <c r="E1021" s="75" t="n">
        <v>46232</v>
      </c>
      <c r="F1021" s="75" t="n">
        <v>46149</v>
      </c>
      <c r="G1021" s="59" t="inlineStr">
        <is>
          <t>ROLAPECAS COMERCIO E REPRESENTACOES LTDA</t>
        </is>
      </c>
      <c r="H1021" s="59" t="n">
        <v>1482943</v>
      </c>
      <c r="I1021" s="59" t="n">
        <v>14</v>
      </c>
      <c r="J1021" s="59" t="inlineStr">
        <is>
          <t>AM</t>
        </is>
      </c>
      <c r="K1021" s="126" t="n">
        <v>209.63</v>
      </c>
    </row>
    <row r="1022" ht="15" customHeight="1" s="60">
      <c r="A1022" s="59" t="n">
        <v>1</v>
      </c>
      <c r="B1022" s="59" t="n">
        <v>32114</v>
      </c>
      <c r="C1022" s="59" t="inlineStr">
        <is>
          <t>1</t>
        </is>
      </c>
      <c r="D1022" s="59" t="inlineStr">
        <is>
          <t>30652116000176</t>
        </is>
      </c>
      <c r="E1022" s="75" t="n">
        <v>46232</v>
      </c>
      <c r="F1022" s="75" t="n">
        <v>46232</v>
      </c>
      <c r="G1022" s="59" t="inlineStr">
        <is>
          <t>SILVA E SANTOS FRIGORIFICO LTDA</t>
        </is>
      </c>
      <c r="H1022" s="59" t="n">
        <v>1469655</v>
      </c>
      <c r="I1022" s="59" t="n">
        <v>11</v>
      </c>
      <c r="J1022" s="59" t="inlineStr">
        <is>
          <t>AM</t>
        </is>
      </c>
      <c r="K1022" s="126" t="n">
        <v>3642.5</v>
      </c>
    </row>
    <row r="1023" ht="15" customHeight="1" s="60">
      <c r="A1023" s="59" t="n">
        <v>1</v>
      </c>
      <c r="B1023" s="59" t="n">
        <v>352</v>
      </c>
      <c r="C1023" s="59" t="inlineStr">
        <is>
          <t>1</t>
        </is>
      </c>
      <c r="D1023" s="59" t="inlineStr">
        <is>
          <t>34787423000115</t>
        </is>
      </c>
      <c r="E1023" s="75" t="n">
        <v>46233</v>
      </c>
      <c r="F1023" s="75" t="n">
        <v>46232</v>
      </c>
      <c r="G1023" s="59" t="inlineStr">
        <is>
          <t>ADRIANO FEITOSA OLIVEIRA LTDA</t>
        </is>
      </c>
      <c r="H1023" s="59" t="n">
        <v>1474535</v>
      </c>
      <c r="I1023" s="59" t="n">
        <v>11</v>
      </c>
      <c r="J1023" s="59" t="inlineStr">
        <is>
          <t>AM</t>
        </is>
      </c>
      <c r="K1023" s="126" t="n">
        <v>4244.34</v>
      </c>
    </row>
    <row r="1024" ht="15" customHeight="1" s="60">
      <c r="A1024" s="59" t="n">
        <v>1</v>
      </c>
      <c r="B1024" s="59" t="n">
        <v>1224519</v>
      </c>
      <c r="C1024" s="59" t="inlineStr">
        <is>
          <t>7</t>
        </is>
      </c>
      <c r="D1024" s="59" t="inlineStr">
        <is>
          <t>34590315000158</t>
        </is>
      </c>
      <c r="E1024" s="75" t="n">
        <v>46233</v>
      </c>
      <c r="F1024" s="75" t="n">
        <v>46231</v>
      </c>
      <c r="G1024" s="59" t="inlineStr">
        <is>
          <t>BRASIL NORTE BEBIDAS S/A</t>
        </is>
      </c>
      <c r="H1024" s="59" t="n">
        <v>1472672</v>
      </c>
      <c r="I1024" s="59" t="n">
        <v>11</v>
      </c>
      <c r="J1024" s="59" t="inlineStr">
        <is>
          <t>AM</t>
        </is>
      </c>
      <c r="K1024" s="126" t="n">
        <v>291.66</v>
      </c>
    </row>
    <row r="1025" ht="15" customHeight="1" s="60">
      <c r="A1025" s="59" t="n">
        <v>1</v>
      </c>
      <c r="B1025" s="59" t="n">
        <v>1225932</v>
      </c>
      <c r="C1025" s="59" t="inlineStr">
        <is>
          <t>7</t>
        </is>
      </c>
      <c r="D1025" s="59" t="inlineStr">
        <is>
          <t>34590315000158</t>
        </is>
      </c>
      <c r="E1025" s="75" t="n">
        <v>46233</v>
      </c>
      <c r="F1025" s="75" t="n">
        <v>46231</v>
      </c>
      <c r="G1025" s="59" t="inlineStr">
        <is>
          <t>BRASIL NORTE BEBIDAS S/A</t>
        </is>
      </c>
      <c r="H1025" s="59" t="n">
        <v>1472749</v>
      </c>
      <c r="I1025" s="59" t="n">
        <v>11</v>
      </c>
      <c r="J1025" s="59" t="inlineStr">
        <is>
          <t>AM</t>
        </is>
      </c>
      <c r="K1025" s="126" t="n">
        <v>2841.78</v>
      </c>
    </row>
    <row r="1026" ht="15" customHeight="1" s="60">
      <c r="A1026" s="59" t="n">
        <v>1</v>
      </c>
      <c r="B1026" s="59" t="n">
        <v>1959703</v>
      </c>
      <c r="C1026" s="59" t="inlineStr">
        <is>
          <t>5</t>
        </is>
      </c>
      <c r="D1026" s="59" t="inlineStr">
        <is>
          <t>34590315000158</t>
        </is>
      </c>
      <c r="E1026" s="75" t="n">
        <v>46233</v>
      </c>
      <c r="F1026" s="75" t="n">
        <v>46231</v>
      </c>
      <c r="G1026" s="59" t="inlineStr">
        <is>
          <t>BRASIL NORTE BEBIDAS S/A</t>
        </is>
      </c>
      <c r="H1026" s="59" t="n">
        <v>1473012</v>
      </c>
      <c r="I1026" s="59" t="n">
        <v>11</v>
      </c>
      <c r="J1026" s="59" t="inlineStr">
        <is>
          <t>AM</t>
        </is>
      </c>
      <c r="K1026" s="126" t="n">
        <v>7097.53</v>
      </c>
    </row>
    <row r="1027" ht="15" customHeight="1" s="60">
      <c r="A1027" s="59" t="n">
        <v>1</v>
      </c>
      <c r="B1027" s="59" t="n">
        <v>1033944</v>
      </c>
      <c r="C1027" s="59" t="inlineStr">
        <is>
          <t>1</t>
        </is>
      </c>
      <c r="D1027" s="59" t="inlineStr">
        <is>
          <t>34579060000122</t>
        </is>
      </c>
      <c r="E1027" s="75" t="n">
        <v>46233</v>
      </c>
      <c r="F1027" s="75" t="n">
        <v>46230</v>
      </c>
      <c r="G1027" s="59" t="inlineStr">
        <is>
          <t>BROTHERS  INDUSTRIA DE ALIMENTOS LTDA</t>
        </is>
      </c>
      <c r="H1027" s="59" t="n">
        <v>1475074</v>
      </c>
      <c r="I1027" s="59" t="n">
        <v>11</v>
      </c>
      <c r="J1027" s="59" t="inlineStr">
        <is>
          <t>AM</t>
        </is>
      </c>
      <c r="K1027" s="126" t="n">
        <v>554.3</v>
      </c>
    </row>
    <row r="1028" ht="15" customHeight="1" s="60">
      <c r="A1028" s="59" t="n">
        <v>1</v>
      </c>
      <c r="B1028" s="59" t="n">
        <v>11493</v>
      </c>
      <c r="C1028" s="59" t="inlineStr">
        <is>
          <t>2</t>
        </is>
      </c>
      <c r="D1028" s="59" t="inlineStr">
        <is>
          <t>40810324000100</t>
        </is>
      </c>
      <c r="E1028" s="75" t="n">
        <v>46233</v>
      </c>
      <c r="F1028" s="75" t="n">
        <v>46233</v>
      </c>
      <c r="G1028" s="59" t="inlineStr">
        <is>
          <t>C. R. PARENTE ABREU</t>
        </is>
      </c>
      <c r="H1028" s="59" t="n">
        <v>1473363</v>
      </c>
      <c r="I1028" s="59" t="n">
        <v>11</v>
      </c>
      <c r="J1028" s="59" t="inlineStr">
        <is>
          <t>AM</t>
        </is>
      </c>
      <c r="K1028" s="126" t="n">
        <v>570.96</v>
      </c>
    </row>
    <row r="1029" ht="15" customHeight="1" s="60">
      <c r="A1029" s="59" t="n">
        <v>1</v>
      </c>
      <c r="B1029" s="59" t="n">
        <v>1701960</v>
      </c>
      <c r="C1029" s="59" t="inlineStr">
        <is>
          <t>1</t>
        </is>
      </c>
      <c r="D1029" s="59" t="inlineStr">
        <is>
          <t>02796653000154</t>
        </is>
      </c>
      <c r="E1029" s="75" t="n">
        <v>46233</v>
      </c>
      <c r="F1029" s="75" t="n">
        <v>46232</v>
      </c>
      <c r="G1029" s="59" t="inlineStr">
        <is>
          <t>DISTRIBUIDORA LOPES LTDA</t>
        </is>
      </c>
      <c r="H1029" s="59" t="n">
        <v>1473452</v>
      </c>
      <c r="I1029" s="59" t="n">
        <v>11</v>
      </c>
      <c r="J1029" s="59" t="inlineStr">
        <is>
          <t>AM</t>
        </is>
      </c>
      <c r="K1029" s="126" t="n">
        <v>1948.39</v>
      </c>
    </row>
    <row r="1030" ht="15" customHeight="1" s="60">
      <c r="A1030" s="59" t="n">
        <v>1</v>
      </c>
      <c r="B1030" s="59" t="n">
        <v>1655915</v>
      </c>
      <c r="C1030" s="59" t="inlineStr">
        <is>
          <t>890</t>
        </is>
      </c>
      <c r="D1030" s="59" t="inlineStr">
        <is>
          <t>02532915340</t>
        </is>
      </c>
      <c r="E1030" s="75" t="n">
        <v>46233</v>
      </c>
      <c r="F1030" s="75" t="n">
        <v>46233</v>
      </c>
      <c r="G1030" s="59" t="inlineStr">
        <is>
          <t>EDSON AGUIAR DE SOUZA</t>
        </is>
      </c>
      <c r="H1030" s="59" t="n">
        <v>1477499</v>
      </c>
      <c r="I1030" s="59" t="n">
        <v>1</v>
      </c>
      <c r="J1030" s="59" t="inlineStr">
        <is>
          <t>AM</t>
        </is>
      </c>
      <c r="K1030" s="126" t="n">
        <v>126</v>
      </c>
    </row>
    <row r="1031" ht="15" customHeight="1" s="60">
      <c r="A1031" s="59" t="n">
        <v>1</v>
      </c>
      <c r="B1031" s="59" t="n">
        <v>1655918</v>
      </c>
      <c r="C1031" s="59" t="inlineStr">
        <is>
          <t>890</t>
        </is>
      </c>
      <c r="D1031" s="59" t="inlineStr">
        <is>
          <t>02532915340</t>
        </is>
      </c>
      <c r="E1031" s="75" t="n">
        <v>46233</v>
      </c>
      <c r="F1031" s="75" t="n">
        <v>46233</v>
      </c>
      <c r="G1031" s="59" t="inlineStr">
        <is>
          <t>EDSON AGUIAR DE SOUZA</t>
        </is>
      </c>
      <c r="H1031" s="59" t="n">
        <v>1477517</v>
      </c>
      <c r="I1031" s="59" t="n">
        <v>1</v>
      </c>
      <c r="J1031" s="59" t="inlineStr">
        <is>
          <t>AM</t>
        </is>
      </c>
      <c r="K1031" s="126" t="n">
        <v>225</v>
      </c>
    </row>
    <row r="1032" ht="15" customHeight="1" s="60">
      <c r="A1032" s="59" t="n">
        <v>1</v>
      </c>
      <c r="B1032" s="59" t="n">
        <v>1655921</v>
      </c>
      <c r="C1032" s="59" t="inlineStr">
        <is>
          <t>890</t>
        </is>
      </c>
      <c r="D1032" s="59" t="inlineStr">
        <is>
          <t>02532915340</t>
        </is>
      </c>
      <c r="E1032" s="75" t="n">
        <v>46233</v>
      </c>
      <c r="F1032" s="75" t="n">
        <v>46233</v>
      </c>
      <c r="G1032" s="59" t="inlineStr">
        <is>
          <t>EDSON AGUIAR DE SOUZA</t>
        </is>
      </c>
      <c r="H1032" s="59" t="n">
        <v>1477531</v>
      </c>
      <c r="I1032" s="59" t="n">
        <v>1</v>
      </c>
      <c r="J1032" s="59" t="inlineStr">
        <is>
          <t>AM</t>
        </is>
      </c>
      <c r="K1032" s="126" t="n">
        <v>210</v>
      </c>
    </row>
    <row r="1033" ht="15" customHeight="1" s="60">
      <c r="A1033" s="59" t="n">
        <v>1</v>
      </c>
      <c r="B1033" s="59" t="n">
        <v>1655928</v>
      </c>
      <c r="C1033" s="59" t="inlineStr">
        <is>
          <t>890</t>
        </is>
      </c>
      <c r="D1033" s="59" t="inlineStr">
        <is>
          <t>02532915340</t>
        </is>
      </c>
      <c r="E1033" s="75" t="n">
        <v>46233</v>
      </c>
      <c r="F1033" s="75" t="n">
        <v>46233</v>
      </c>
      <c r="G1033" s="59" t="inlineStr">
        <is>
          <t>EDSON AGUIAR DE SOUZA</t>
        </is>
      </c>
      <c r="H1033" s="59" t="n">
        <v>1477555</v>
      </c>
      <c r="I1033" s="59" t="n">
        <v>1</v>
      </c>
      <c r="J1033" s="59" t="inlineStr">
        <is>
          <t>AM</t>
        </is>
      </c>
      <c r="K1033" s="126" t="n">
        <v>315</v>
      </c>
    </row>
    <row r="1034" ht="15" customHeight="1" s="60">
      <c r="A1034" s="59" t="n">
        <v>1</v>
      </c>
      <c r="B1034" s="59" t="n">
        <v>1655930</v>
      </c>
      <c r="C1034" s="59" t="inlineStr">
        <is>
          <t>890</t>
        </is>
      </c>
      <c r="D1034" s="59" t="inlineStr">
        <is>
          <t>02532915340</t>
        </is>
      </c>
      <c r="E1034" s="75" t="n">
        <v>46233</v>
      </c>
      <c r="F1034" s="75" t="n">
        <v>46233</v>
      </c>
      <c r="G1034" s="59" t="inlineStr">
        <is>
          <t>EDSON AGUIAR DE SOUZA</t>
        </is>
      </c>
      <c r="H1034" s="59" t="n">
        <v>1477569</v>
      </c>
      <c r="I1034" s="59" t="n">
        <v>1</v>
      </c>
      <c r="J1034" s="59" t="inlineStr">
        <is>
          <t>AM</t>
        </is>
      </c>
      <c r="K1034" s="126" t="n">
        <v>126</v>
      </c>
    </row>
    <row r="1035" ht="15" customHeight="1" s="60">
      <c r="A1035" s="59" t="n">
        <v>1</v>
      </c>
      <c r="B1035" s="59" t="n">
        <v>1655931</v>
      </c>
      <c r="C1035" s="59" t="inlineStr">
        <is>
          <t>890</t>
        </is>
      </c>
      <c r="D1035" s="59" t="inlineStr">
        <is>
          <t>02532915340</t>
        </is>
      </c>
      <c r="E1035" s="75" t="n">
        <v>46233</v>
      </c>
      <c r="F1035" s="75" t="n">
        <v>46233</v>
      </c>
      <c r="G1035" s="59" t="inlineStr">
        <is>
          <t>EDSON AGUIAR DE SOUZA</t>
        </is>
      </c>
      <c r="H1035" s="59" t="n">
        <v>1477592</v>
      </c>
      <c r="I1035" s="59" t="n">
        <v>1</v>
      </c>
      <c r="J1035" s="59" t="inlineStr">
        <is>
          <t>AM</t>
        </is>
      </c>
      <c r="K1035" s="126" t="n">
        <v>261</v>
      </c>
    </row>
    <row r="1036" ht="15" customHeight="1" s="60">
      <c r="A1036" s="59" t="n">
        <v>1</v>
      </c>
      <c r="B1036" s="59" t="n">
        <v>1655934</v>
      </c>
      <c r="C1036" s="59" t="inlineStr">
        <is>
          <t>890</t>
        </is>
      </c>
      <c r="D1036" s="59" t="inlineStr">
        <is>
          <t>02532915340</t>
        </is>
      </c>
      <c r="E1036" s="75" t="n">
        <v>46233</v>
      </c>
      <c r="F1036" s="75" t="n">
        <v>46233</v>
      </c>
      <c r="G1036" s="59" t="inlineStr">
        <is>
          <t>EDSON AGUIAR DE SOUZA</t>
        </is>
      </c>
      <c r="H1036" s="59" t="n">
        <v>1477624</v>
      </c>
      <c r="I1036" s="59" t="n">
        <v>1</v>
      </c>
      <c r="J1036" s="59" t="inlineStr">
        <is>
          <t>AM</t>
        </is>
      </c>
      <c r="K1036" s="126" t="n">
        <v>126</v>
      </c>
    </row>
    <row r="1037" ht="15" customHeight="1" s="60">
      <c r="A1037" s="59" t="n">
        <v>1</v>
      </c>
      <c r="B1037" s="59" t="n">
        <v>1655935</v>
      </c>
      <c r="C1037" s="59" t="inlineStr">
        <is>
          <t>890</t>
        </is>
      </c>
      <c r="D1037" s="59" t="inlineStr">
        <is>
          <t>02532915340</t>
        </is>
      </c>
      <c r="E1037" s="75" t="n">
        <v>46233</v>
      </c>
      <c r="F1037" s="75" t="n">
        <v>46233</v>
      </c>
      <c r="G1037" s="59" t="inlineStr">
        <is>
          <t>EDSON AGUIAR DE SOUZA</t>
        </is>
      </c>
      <c r="H1037" s="59" t="n">
        <v>1477634</v>
      </c>
      <c r="I1037" s="59" t="n">
        <v>1</v>
      </c>
      <c r="J1037" s="59" t="inlineStr">
        <is>
          <t>AM</t>
        </is>
      </c>
      <c r="K1037" s="126" t="n">
        <v>261</v>
      </c>
    </row>
    <row r="1038" ht="15" customHeight="1" s="60">
      <c r="A1038" s="59" t="n">
        <v>1</v>
      </c>
      <c r="B1038" s="59" t="n">
        <v>329028</v>
      </c>
      <c r="C1038" s="59" t="inlineStr">
        <is>
          <t>1</t>
        </is>
      </c>
      <c r="D1038" s="59" t="inlineStr">
        <is>
          <t>08451222000132</t>
        </is>
      </c>
      <c r="E1038" s="75" t="n">
        <v>46233</v>
      </c>
      <c r="F1038" s="75" t="n">
        <v>46227</v>
      </c>
      <c r="G1038" s="59" t="inlineStr">
        <is>
          <t>FH DISTRIBUIDORA DE ALIM. E BEBIDAS LTDA</t>
        </is>
      </c>
      <c r="H1038" s="59" t="n">
        <v>1473537</v>
      </c>
      <c r="I1038" s="59" t="n">
        <v>11</v>
      </c>
      <c r="J1038" s="59" t="inlineStr">
        <is>
          <t>AM</t>
        </is>
      </c>
      <c r="K1038" s="126" t="n">
        <v>1620.71</v>
      </c>
    </row>
    <row r="1039" ht="15" customHeight="1" s="60">
      <c r="A1039" s="59" t="n">
        <v>1</v>
      </c>
      <c r="B1039" s="59" t="n">
        <v>145468</v>
      </c>
      <c r="C1039" s="59" t="inlineStr">
        <is>
          <t>1</t>
        </is>
      </c>
      <c r="D1039" s="59" t="inlineStr">
        <is>
          <t>04259133000138</t>
        </is>
      </c>
      <c r="E1039" s="75" t="n">
        <v>46233</v>
      </c>
      <c r="F1039" s="75" t="n">
        <v>46230</v>
      </c>
      <c r="G1039" s="59" t="inlineStr">
        <is>
          <t>FORT COMERCIO DE BEBIDA LTDA</t>
        </is>
      </c>
      <c r="H1039" s="59" t="n">
        <v>1475135</v>
      </c>
      <c r="I1039" s="59" t="n">
        <v>11</v>
      </c>
      <c r="J1039" s="59" t="inlineStr">
        <is>
          <t>AM</t>
        </is>
      </c>
      <c r="K1039" s="126" t="n">
        <v>728.4</v>
      </c>
    </row>
    <row r="1040" ht="15" customHeight="1" s="60">
      <c r="A1040" s="59" t="n">
        <v>1</v>
      </c>
      <c r="B1040" s="59" t="n">
        <v>227030</v>
      </c>
      <c r="C1040" s="59" t="inlineStr">
        <is>
          <t>2</t>
        </is>
      </c>
      <c r="D1040" s="59" t="inlineStr">
        <is>
          <t>05646631000104</t>
        </is>
      </c>
      <c r="E1040" s="75" t="n">
        <v>46233</v>
      </c>
      <c r="F1040" s="75" t="n">
        <v>46230</v>
      </c>
      <c r="G1040" s="59" t="inlineStr">
        <is>
          <t>FRUTAL INDUSTRIA E COMERCIO LTDA</t>
        </is>
      </c>
      <c r="H1040" s="59" t="n">
        <v>1474787</v>
      </c>
      <c r="I1040" s="59" t="n">
        <v>11</v>
      </c>
      <c r="J1040" s="59" t="inlineStr">
        <is>
          <t>AM</t>
        </is>
      </c>
      <c r="K1040" s="126" t="n">
        <v>331.14</v>
      </c>
    </row>
    <row r="1041" ht="15" customHeight="1" s="60">
      <c r="A1041" s="59" t="n">
        <v>1</v>
      </c>
      <c r="B1041" s="59" t="n">
        <v>96</v>
      </c>
      <c r="C1041" s="59" t="inlineStr">
        <is>
          <t>1</t>
        </is>
      </c>
      <c r="D1041" s="59" t="inlineStr">
        <is>
          <t>55158713000170</t>
        </is>
      </c>
      <c r="E1041" s="75" t="n">
        <v>46233</v>
      </c>
      <c r="F1041" s="75" t="n">
        <v>46233</v>
      </c>
      <c r="G1041" s="59" t="inlineStr">
        <is>
          <t>H L M PADARIA E CONFEITARIA LTDA</t>
        </is>
      </c>
      <c r="H1041" s="59" t="n">
        <v>1478119</v>
      </c>
      <c r="I1041" s="59" t="n">
        <v>1</v>
      </c>
      <c r="J1041" s="59" t="inlineStr">
        <is>
          <t>AM</t>
        </is>
      </c>
      <c r="K1041" s="126" t="n">
        <v>420</v>
      </c>
    </row>
    <row r="1042" ht="15" customHeight="1" s="60">
      <c r="A1042" s="59" t="n">
        <v>1</v>
      </c>
      <c r="B1042" s="59" t="n">
        <v>97</v>
      </c>
      <c r="C1042" s="59" t="inlineStr">
        <is>
          <t>1</t>
        </is>
      </c>
      <c r="D1042" s="59" t="inlineStr">
        <is>
          <t>55158713000170</t>
        </is>
      </c>
      <c r="E1042" s="75" t="n">
        <v>46233</v>
      </c>
      <c r="F1042" s="75" t="n">
        <v>46233</v>
      </c>
      <c r="G1042" s="59" t="inlineStr">
        <is>
          <t>H L M PADARIA E CONFEITARIA LTDA</t>
        </is>
      </c>
      <c r="H1042" s="59" t="n">
        <v>1477994</v>
      </c>
      <c r="I1042" s="59" t="n">
        <v>1</v>
      </c>
      <c r="J1042" s="59" t="inlineStr">
        <is>
          <t>AM</t>
        </is>
      </c>
      <c r="K1042" s="126" t="n">
        <v>420</v>
      </c>
    </row>
    <row r="1043" ht="15" customHeight="1" s="60">
      <c r="A1043" s="59" t="n">
        <v>1</v>
      </c>
      <c r="B1043" s="59" t="n">
        <v>98</v>
      </c>
      <c r="C1043" s="59" t="inlineStr">
        <is>
          <t>1</t>
        </is>
      </c>
      <c r="D1043" s="59" t="inlineStr">
        <is>
          <t>55158713000170</t>
        </is>
      </c>
      <c r="E1043" s="75" t="n">
        <v>46233</v>
      </c>
      <c r="F1043" s="75" t="n">
        <v>46233</v>
      </c>
      <c r="G1043" s="59" t="inlineStr">
        <is>
          <t>H L M PADARIA E CONFEITARIA LTDA</t>
        </is>
      </c>
      <c r="H1043" s="59" t="n">
        <v>1477863</v>
      </c>
      <c r="I1043" s="59" t="n">
        <v>1</v>
      </c>
      <c r="J1043" s="59" t="inlineStr">
        <is>
          <t>AM</t>
        </is>
      </c>
      <c r="K1043" s="126" t="n">
        <v>440</v>
      </c>
    </row>
    <row r="1044" ht="15" customHeight="1" s="60">
      <c r="A1044" s="59" t="n">
        <v>1</v>
      </c>
      <c r="B1044" s="59" t="n">
        <v>5888</v>
      </c>
      <c r="C1044" s="59" t="inlineStr">
        <is>
          <t>1</t>
        </is>
      </c>
      <c r="D1044" s="59" t="inlineStr">
        <is>
          <t>13854487000111</t>
        </is>
      </c>
      <c r="E1044" s="75" t="n">
        <v>46233</v>
      </c>
      <c r="F1044" s="75" t="n">
        <v>46233</v>
      </c>
      <c r="G1044" s="59" t="inlineStr">
        <is>
          <t>H. L. DO NASCIMENTO</t>
        </is>
      </c>
      <c r="H1044" s="59" t="n">
        <v>1475259</v>
      </c>
      <c r="I1044" s="59" t="n">
        <v>11</v>
      </c>
      <c r="J1044" s="59" t="inlineStr">
        <is>
          <t>AM</t>
        </is>
      </c>
      <c r="K1044" s="126" t="n">
        <v>365</v>
      </c>
    </row>
    <row r="1045" ht="15" customHeight="1" s="60">
      <c r="A1045" s="59" t="n">
        <v>1</v>
      </c>
      <c r="B1045" s="59" t="n">
        <v>7730</v>
      </c>
      <c r="C1045" s="59" t="inlineStr">
        <is>
          <t>1</t>
        </is>
      </c>
      <c r="D1045" s="59" t="inlineStr">
        <is>
          <t>19723414000177</t>
        </is>
      </c>
      <c r="E1045" s="75" t="n">
        <v>46233</v>
      </c>
      <c r="F1045" s="75" t="n">
        <v>46232</v>
      </c>
      <c r="G1045" s="59" t="inlineStr">
        <is>
          <t>INCORE SERVICOS DE MANUTENCAO DE EQUIPAM</t>
        </is>
      </c>
      <c r="H1045" s="59" t="n">
        <v>1475267</v>
      </c>
      <c r="I1045" s="59" t="n">
        <v>39</v>
      </c>
      <c r="J1045" s="59" t="inlineStr">
        <is>
          <t>AM</t>
        </is>
      </c>
      <c r="K1045" s="126" t="n">
        <v>350</v>
      </c>
    </row>
    <row r="1046" ht="15" customHeight="1" s="60">
      <c r="A1046" s="59" t="n">
        <v>1</v>
      </c>
      <c r="B1046" s="59" t="n">
        <v>1784397</v>
      </c>
      <c r="C1046" s="59" t="inlineStr">
        <is>
          <t>0</t>
        </is>
      </c>
      <c r="D1046" s="59" t="inlineStr">
        <is>
          <t>43214055001774</t>
        </is>
      </c>
      <c r="E1046" s="75" t="n">
        <v>46233</v>
      </c>
      <c r="F1046" s="75" t="n">
        <v>46226</v>
      </c>
      <c r="G1046" s="59" t="inlineStr">
        <is>
          <t>MARTINS COM SERV DISTR SA</t>
        </is>
      </c>
      <c r="H1046" s="59" t="n">
        <v>1473096</v>
      </c>
      <c r="I1046" s="59" t="n">
        <v>11</v>
      </c>
      <c r="J1046" s="59" t="inlineStr">
        <is>
          <t>AM</t>
        </is>
      </c>
      <c r="K1046" s="126" t="n">
        <v>631.99</v>
      </c>
    </row>
    <row r="1047" ht="15" customHeight="1" s="60">
      <c r="A1047" s="59" t="n">
        <v>1</v>
      </c>
      <c r="B1047" s="59" t="n">
        <v>1784398</v>
      </c>
      <c r="C1047" s="59" t="inlineStr">
        <is>
          <t>0</t>
        </is>
      </c>
      <c r="D1047" s="59" t="inlineStr">
        <is>
          <t>43214055001774</t>
        </is>
      </c>
      <c r="E1047" s="75" t="n">
        <v>46233</v>
      </c>
      <c r="F1047" s="75" t="n">
        <v>46226</v>
      </c>
      <c r="G1047" s="59" t="inlineStr">
        <is>
          <t>MARTINS COM SERV DISTR SA</t>
        </is>
      </c>
      <c r="H1047" s="59" t="n">
        <v>1473180</v>
      </c>
      <c r="I1047" s="59" t="n">
        <v>11</v>
      </c>
      <c r="J1047" s="59" t="inlineStr">
        <is>
          <t>AM</t>
        </is>
      </c>
      <c r="K1047" s="126" t="n">
        <v>320.83</v>
      </c>
    </row>
    <row r="1048" ht="15" customHeight="1" s="60">
      <c r="A1048" s="59" t="n">
        <v>1</v>
      </c>
      <c r="B1048" s="59" t="n">
        <v>44711</v>
      </c>
      <c r="C1048" s="59" t="inlineStr">
        <is>
          <t>1</t>
        </is>
      </c>
      <c r="D1048" s="59" t="inlineStr">
        <is>
          <t>51130661000172</t>
        </is>
      </c>
      <c r="E1048" s="75" t="n">
        <v>46233</v>
      </c>
      <c r="F1048" s="75" t="n">
        <v>46230</v>
      </c>
      <c r="G1048" s="59" t="inlineStr">
        <is>
          <t>NORTELAC DISTRIBUIDORA DE FRIOS LTDA</t>
        </is>
      </c>
      <c r="H1048" s="59" t="n">
        <v>1474800</v>
      </c>
      <c r="I1048" s="59" t="n">
        <v>11</v>
      </c>
      <c r="J1048" s="59" t="inlineStr">
        <is>
          <t>AM</t>
        </is>
      </c>
      <c r="K1048" s="126" t="n">
        <v>1380</v>
      </c>
    </row>
    <row r="1049" ht="15" customHeight="1" s="60">
      <c r="A1049" s="59" t="n">
        <v>1</v>
      </c>
      <c r="B1049" s="59" t="n">
        <v>4203</v>
      </c>
      <c r="C1049" s="59" t="inlineStr">
        <is>
          <t>1</t>
        </is>
      </c>
      <c r="D1049" s="59" t="inlineStr">
        <is>
          <t>14459228000159</t>
        </is>
      </c>
      <c r="E1049" s="75" t="n">
        <v>46233</v>
      </c>
      <c r="F1049" s="75" t="n">
        <v>46230</v>
      </c>
      <c r="G1049" s="59" t="inlineStr">
        <is>
          <t>NOVA FRIOS COMERCIO ATACADISTA DE LATICINIOS LTDA</t>
        </is>
      </c>
      <c r="H1049" s="59" t="n">
        <v>1475050</v>
      </c>
      <c r="I1049" s="59" t="n">
        <v>11</v>
      </c>
      <c r="J1049" s="59" t="inlineStr">
        <is>
          <t>AM</t>
        </is>
      </c>
      <c r="K1049" s="126" t="n">
        <v>299.5</v>
      </c>
    </row>
    <row r="1050" ht="15" customHeight="1" s="60">
      <c r="A1050" s="59" t="n">
        <v>1</v>
      </c>
      <c r="B1050" s="59" t="n">
        <v>42217</v>
      </c>
      <c r="C1050" s="59" t="inlineStr">
        <is>
          <t>5</t>
        </is>
      </c>
      <c r="D1050" s="59" t="inlineStr">
        <is>
          <t>03439223000148</t>
        </is>
      </c>
      <c r="E1050" s="75" t="n">
        <v>46233</v>
      </c>
      <c r="F1050" s="75" t="n">
        <v>46231</v>
      </c>
      <c r="G1050" s="59" t="inlineStr">
        <is>
          <t>NT INDUSTRIA E COMERCIO DE PANIFICACAO L</t>
        </is>
      </c>
      <c r="H1050" s="59" t="n">
        <v>1475113</v>
      </c>
      <c r="I1050" s="59" t="n">
        <v>11</v>
      </c>
      <c r="J1050" s="59" t="inlineStr">
        <is>
          <t>AM</t>
        </is>
      </c>
      <c r="K1050" s="126" t="n">
        <v>3523.17</v>
      </c>
    </row>
    <row r="1051" ht="15" customHeight="1" s="60">
      <c r="A1051" s="59" t="n">
        <v>1</v>
      </c>
      <c r="B1051" s="59" t="n">
        <v>733</v>
      </c>
      <c r="C1051" s="59" t="inlineStr">
        <is>
          <t>2</t>
        </is>
      </c>
      <c r="D1051" s="59" t="inlineStr">
        <is>
          <t>35729236000148</t>
        </is>
      </c>
      <c r="E1051" s="75" t="n">
        <v>46233</v>
      </c>
      <c r="F1051" s="75" t="n">
        <v>46230</v>
      </c>
      <c r="G1051" s="59" t="inlineStr">
        <is>
          <t>PANIFICADORA E CONFEITARIA REAL MADRI LTDA</t>
        </is>
      </c>
      <c r="H1051" s="59" t="n">
        <v>1475033</v>
      </c>
      <c r="I1051" s="59" t="n">
        <v>11</v>
      </c>
      <c r="J1051" s="59" t="inlineStr">
        <is>
          <t>AM</t>
        </is>
      </c>
      <c r="K1051" s="126" t="n">
        <v>855.5</v>
      </c>
    </row>
    <row r="1052" ht="15" customHeight="1" s="60">
      <c r="A1052" s="59" t="n">
        <v>1</v>
      </c>
      <c r="B1052" s="59" t="n">
        <v>734</v>
      </c>
      <c r="C1052" s="59" t="inlineStr">
        <is>
          <t>2</t>
        </is>
      </c>
      <c r="D1052" s="59" t="inlineStr">
        <is>
          <t>35729236000148</t>
        </is>
      </c>
      <c r="E1052" s="75" t="n">
        <v>46233</v>
      </c>
      <c r="F1052" s="75" t="n">
        <v>46230</v>
      </c>
      <c r="G1052" s="59" t="inlineStr">
        <is>
          <t>PANIFICADORA E CONFEITARIA REAL MADRI LTDA</t>
        </is>
      </c>
      <c r="H1052" s="59" t="n">
        <v>1474831</v>
      </c>
      <c r="I1052" s="59" t="n">
        <v>11</v>
      </c>
      <c r="J1052" s="59" t="inlineStr">
        <is>
          <t>AM</t>
        </is>
      </c>
      <c r="K1052" s="126" t="n">
        <v>1120</v>
      </c>
    </row>
    <row r="1053" ht="15" customHeight="1" s="60">
      <c r="A1053" s="59" t="n">
        <v>1</v>
      </c>
      <c r="B1053" s="59" t="n">
        <v>736</v>
      </c>
      <c r="C1053" s="59" t="inlineStr">
        <is>
          <t>2</t>
        </is>
      </c>
      <c r="D1053" s="59" t="inlineStr">
        <is>
          <t>35729236000148</t>
        </is>
      </c>
      <c r="E1053" s="75" t="n">
        <v>46233</v>
      </c>
      <c r="F1053" s="75" t="n">
        <v>46232</v>
      </c>
      <c r="G1053" s="59" t="inlineStr">
        <is>
          <t>PANIFICADORA E CONFEITARIA REAL MADRI LTDA</t>
        </is>
      </c>
      <c r="H1053" s="59" t="n">
        <v>1475169</v>
      </c>
      <c r="I1053" s="59" t="n">
        <v>11</v>
      </c>
      <c r="J1053" s="59" t="inlineStr">
        <is>
          <t>AM</t>
        </is>
      </c>
      <c r="K1053" s="126" t="n">
        <v>329.7</v>
      </c>
    </row>
    <row r="1054" ht="15" customHeight="1" s="60">
      <c r="A1054" s="59" t="n">
        <v>1</v>
      </c>
      <c r="B1054" s="59" t="n">
        <v>738</v>
      </c>
      <c r="C1054" s="59" t="inlineStr">
        <is>
          <t>2</t>
        </is>
      </c>
      <c r="D1054" s="59" t="inlineStr">
        <is>
          <t>35729236000148</t>
        </is>
      </c>
      <c r="E1054" s="75" t="n">
        <v>46233</v>
      </c>
      <c r="F1054" s="75" t="n">
        <v>46233</v>
      </c>
      <c r="G1054" s="59" t="inlineStr">
        <is>
          <t>PANIFICADORA E CONFEITARIA REAL MADRI LTDA</t>
        </is>
      </c>
      <c r="H1054" s="59" t="n">
        <v>1475189</v>
      </c>
      <c r="I1054" s="59" t="n">
        <v>11</v>
      </c>
      <c r="J1054" s="59" t="inlineStr">
        <is>
          <t>AM</t>
        </is>
      </c>
      <c r="K1054" s="126" t="n">
        <v>700</v>
      </c>
    </row>
    <row r="1055" ht="15" customHeight="1" s="60">
      <c r="A1055" s="59" t="n">
        <v>1</v>
      </c>
      <c r="B1055" s="59" t="n">
        <v>3104</v>
      </c>
      <c r="C1055" s="59" t="inlineStr">
        <is>
          <t>1</t>
        </is>
      </c>
      <c r="D1055" s="59" t="inlineStr">
        <is>
          <t>01516878000147</t>
        </is>
      </c>
      <c r="E1055" s="75" t="n">
        <v>46233</v>
      </c>
      <c r="F1055" s="75" t="n">
        <v>46230</v>
      </c>
      <c r="G1055" s="59" t="inlineStr">
        <is>
          <t>PRIMICIA DISTRIBUIDORA DE FRIOS LTDA</t>
        </is>
      </c>
      <c r="H1055" s="59" t="n">
        <v>1474818</v>
      </c>
      <c r="I1055" s="59" t="n">
        <v>11</v>
      </c>
      <c r="J1055" s="59" t="inlineStr">
        <is>
          <t>AM</t>
        </is>
      </c>
      <c r="K1055" s="126" t="n">
        <v>1408.5</v>
      </c>
    </row>
    <row r="1056" ht="15" customHeight="1" s="60">
      <c r="A1056" s="59" t="n">
        <v>1</v>
      </c>
      <c r="B1056" s="59" t="n">
        <v>47670</v>
      </c>
      <c r="C1056" s="59" t="inlineStr">
        <is>
          <t>4</t>
        </is>
      </c>
      <c r="D1056" s="59" t="inlineStr">
        <is>
          <t>05022353005337</t>
        </is>
      </c>
      <c r="E1056" s="75" t="n">
        <v>46233</v>
      </c>
      <c r="F1056" s="75" t="n">
        <v>46232</v>
      </c>
      <c r="G1056" s="59" t="inlineStr">
        <is>
          <t>RV TECNOLOGIA E SISTEMAS S.A. - MA</t>
        </is>
      </c>
      <c r="H1056" s="59" t="n">
        <v>1473396</v>
      </c>
      <c r="I1056" s="59" t="n">
        <v>11</v>
      </c>
      <c r="J1056" s="59" t="inlineStr">
        <is>
          <t>AM</t>
        </is>
      </c>
      <c r="K1056" s="126" t="n">
        <v>1251</v>
      </c>
    </row>
    <row r="1057" ht="15" customHeight="1" s="60">
      <c r="A1057" s="59" t="n">
        <v>1</v>
      </c>
      <c r="B1057" s="59" t="n">
        <v>47671</v>
      </c>
      <c r="C1057" s="59" t="inlineStr">
        <is>
          <t>4</t>
        </is>
      </c>
      <c r="D1057" s="59" t="inlineStr">
        <is>
          <t>05022353005337</t>
        </is>
      </c>
      <c r="E1057" s="75" t="n">
        <v>46233</v>
      </c>
      <c r="F1057" s="75" t="n">
        <v>46232</v>
      </c>
      <c r="G1057" s="59" t="inlineStr">
        <is>
          <t>RV TECNOLOGIA E SISTEMAS S.A. - MA</t>
        </is>
      </c>
      <c r="H1057" s="59" t="n">
        <v>1473407</v>
      </c>
      <c r="I1057" s="59" t="n">
        <v>11</v>
      </c>
      <c r="J1057" s="59" t="inlineStr">
        <is>
          <t>AM</t>
        </is>
      </c>
      <c r="K1057" s="126" t="n">
        <v>19.8</v>
      </c>
    </row>
    <row r="1058" ht="15" customHeight="1" s="60">
      <c r="A1058" s="59" t="n">
        <v>1</v>
      </c>
      <c r="B1058" s="59" t="n">
        <v>10419</v>
      </c>
      <c r="C1058" s="59" t="inlineStr">
        <is>
          <t>2</t>
        </is>
      </c>
      <c r="D1058" s="59" t="inlineStr">
        <is>
          <t>36296113000123</t>
        </is>
      </c>
      <c r="E1058" s="75" t="n">
        <v>46233</v>
      </c>
      <c r="F1058" s="75" t="n">
        <v>46231</v>
      </c>
      <c r="G1058" s="59" t="inlineStr">
        <is>
          <t>VITAPAN COMERCIO VAREJISTA DE PRODUTOS ALIMENTICIOS LTDA</t>
        </is>
      </c>
      <c r="H1058" s="59" t="n">
        <v>1475085</v>
      </c>
      <c r="I1058" s="59" t="n">
        <v>11</v>
      </c>
      <c r="J1058" s="59" t="inlineStr">
        <is>
          <t>AM</t>
        </is>
      </c>
      <c r="K1058" s="126" t="n">
        <v>864</v>
      </c>
    </row>
    <row r="1059" ht="15" customHeight="1" s="60">
      <c r="A1059" s="59" t="n">
        <v>1</v>
      </c>
      <c r="B1059" s="59" t="n">
        <v>1155</v>
      </c>
      <c r="C1059" s="59" t="inlineStr">
        <is>
          <t>2</t>
        </is>
      </c>
      <c r="D1059" s="59" t="inlineStr">
        <is>
          <t>06177766000475</t>
        </is>
      </c>
      <c r="E1059" s="75" t="n">
        <v>46234</v>
      </c>
      <c r="F1059" s="75" t="n">
        <v>46231</v>
      </c>
      <c r="G1059" s="59" t="inlineStr">
        <is>
          <t>A M A DE LIMA INDUSTRIA E COMERCIO DE PRODUTOS ALIMENTICIOS LTDA</t>
        </is>
      </c>
      <c r="H1059" s="59" t="n">
        <v>1477667</v>
      </c>
      <c r="I1059" s="59" t="n">
        <v>11</v>
      </c>
      <c r="J1059" s="59" t="inlineStr">
        <is>
          <t>AM</t>
        </is>
      </c>
      <c r="K1059" s="126" t="n">
        <v>178.7</v>
      </c>
    </row>
    <row r="1060" ht="15" customHeight="1" s="60">
      <c r="A1060" s="59" t="n">
        <v>1</v>
      </c>
      <c r="B1060" s="59" t="n">
        <v>1862</v>
      </c>
      <c r="C1060" s="59" t="inlineStr">
        <is>
          <t>1</t>
        </is>
      </c>
      <c r="D1060" s="59" t="inlineStr">
        <is>
          <t>07363051000208</t>
        </is>
      </c>
      <c r="E1060" s="75" t="n">
        <v>46234</v>
      </c>
      <c r="F1060" s="75" t="n">
        <v>46216</v>
      </c>
      <c r="G1060" s="59" t="inlineStr">
        <is>
          <t>A. CORREA JUNIOR</t>
        </is>
      </c>
      <c r="H1060" s="59" t="n">
        <v>1479156</v>
      </c>
      <c r="I1060" s="59" t="n">
        <v>11</v>
      </c>
      <c r="J1060" s="59" t="inlineStr">
        <is>
          <t>AM</t>
        </is>
      </c>
      <c r="K1060" s="126" t="n">
        <v>4802</v>
      </c>
    </row>
    <row r="1061" ht="15" customHeight="1" s="60">
      <c r="A1061" s="59" t="n">
        <v>1</v>
      </c>
      <c r="B1061" s="59" t="n">
        <v>174095</v>
      </c>
      <c r="C1061" s="59" t="inlineStr">
        <is>
          <t>1</t>
        </is>
      </c>
      <c r="D1061" s="59" t="inlineStr">
        <is>
          <t>10418161000153</t>
        </is>
      </c>
      <c r="E1061" s="75" t="n">
        <v>46234</v>
      </c>
      <c r="F1061" s="75" t="n">
        <v>46234</v>
      </c>
      <c r="G1061" s="59" t="inlineStr">
        <is>
          <t>COMERCIO DE FRIOS MANAUS LTDA</t>
        </is>
      </c>
      <c r="H1061" s="59" t="n">
        <v>1478881</v>
      </c>
      <c r="I1061" s="59" t="n">
        <v>11</v>
      </c>
      <c r="J1061" s="59" t="inlineStr">
        <is>
          <t>AM</t>
        </is>
      </c>
      <c r="K1061" s="126" t="n">
        <v>3288.4</v>
      </c>
    </row>
    <row r="1062" ht="15" customHeight="1" s="60">
      <c r="A1062" s="59" t="n">
        <v>1</v>
      </c>
      <c r="B1062" s="59" t="n">
        <v>14996</v>
      </c>
      <c r="C1062" s="59" t="inlineStr">
        <is>
          <t>1</t>
        </is>
      </c>
      <c r="D1062" s="59" t="inlineStr">
        <is>
          <t>09531992000158</t>
        </is>
      </c>
      <c r="E1062" s="75" t="n">
        <v>46234</v>
      </c>
      <c r="F1062" s="75" t="n">
        <v>46234</v>
      </c>
      <c r="G1062" s="59" t="inlineStr">
        <is>
          <t>COMERCIO E TRANSPORTE BRANDAO LTDA</t>
        </is>
      </c>
      <c r="H1062" s="59" t="n">
        <v>1478787</v>
      </c>
      <c r="I1062" s="59" t="n">
        <v>1</v>
      </c>
      <c r="J1062" s="59" t="inlineStr">
        <is>
          <t>AM</t>
        </is>
      </c>
      <c r="K1062" s="126" t="n">
        <v>1010</v>
      </c>
    </row>
    <row r="1063" ht="15" customHeight="1" s="60">
      <c r="A1063" s="59" t="n">
        <v>1</v>
      </c>
      <c r="B1063" s="59" t="n">
        <v>931982</v>
      </c>
      <c r="C1063" s="59" t="inlineStr">
        <is>
          <t>38</t>
        </is>
      </c>
      <c r="D1063" s="59" t="inlineStr">
        <is>
          <t>56228356010013</t>
        </is>
      </c>
      <c r="E1063" s="75" t="n">
        <v>46234</v>
      </c>
      <c r="F1063" s="75" t="n">
        <v>46232</v>
      </c>
      <c r="G1063" s="59" t="inlineStr">
        <is>
          <t>CRBS S/A</t>
        </is>
      </c>
      <c r="H1063" s="59" t="n">
        <v>1479410</v>
      </c>
      <c r="I1063" s="59" t="n">
        <v>11</v>
      </c>
      <c r="J1063" s="59" t="inlineStr">
        <is>
          <t>AM</t>
        </is>
      </c>
      <c r="K1063" s="126" t="n">
        <v>223.09</v>
      </c>
    </row>
    <row r="1064" ht="15" customHeight="1" s="60">
      <c r="A1064" s="59" t="n">
        <v>1</v>
      </c>
      <c r="B1064" s="59" t="n">
        <v>931983</v>
      </c>
      <c r="C1064" s="59" t="inlineStr">
        <is>
          <t>38</t>
        </is>
      </c>
      <c r="D1064" s="59" t="inlineStr">
        <is>
          <t>56228356010013</t>
        </is>
      </c>
      <c r="E1064" s="75" t="n">
        <v>46234</v>
      </c>
      <c r="F1064" s="75" t="n">
        <v>46232</v>
      </c>
      <c r="G1064" s="59" t="inlineStr">
        <is>
          <t>CRBS S/A</t>
        </is>
      </c>
      <c r="H1064" s="59" t="n">
        <v>1479334</v>
      </c>
      <c r="I1064" s="59" t="n">
        <v>11</v>
      </c>
      <c r="J1064" s="59" t="inlineStr">
        <is>
          <t>AM</t>
        </is>
      </c>
      <c r="K1064" s="126" t="n">
        <v>157.71</v>
      </c>
    </row>
    <row r="1065" ht="15" customHeight="1" s="60">
      <c r="A1065" s="59" t="n">
        <v>1</v>
      </c>
      <c r="B1065" s="59" t="n">
        <v>933624</v>
      </c>
      <c r="C1065" s="59" t="inlineStr">
        <is>
          <t>38</t>
        </is>
      </c>
      <c r="D1065" s="59" t="inlineStr">
        <is>
          <t>56228356010013</t>
        </is>
      </c>
      <c r="E1065" s="75" t="n">
        <v>46234</v>
      </c>
      <c r="F1065" s="75" t="n">
        <v>46233</v>
      </c>
      <c r="G1065" s="59" t="inlineStr">
        <is>
          <t>CRBS S/A</t>
        </is>
      </c>
      <c r="H1065" s="59" t="n">
        <v>1479598</v>
      </c>
      <c r="I1065" s="59" t="n">
        <v>11</v>
      </c>
      <c r="J1065" s="59" t="inlineStr">
        <is>
          <t>AM</t>
        </is>
      </c>
      <c r="K1065" s="126" t="n">
        <v>937.37</v>
      </c>
    </row>
    <row r="1066" ht="15" customHeight="1" s="60">
      <c r="A1066" s="59" t="n">
        <v>1</v>
      </c>
      <c r="B1066" s="59" t="n">
        <v>933625</v>
      </c>
      <c r="C1066" s="59" t="inlineStr">
        <is>
          <t>38</t>
        </is>
      </c>
      <c r="D1066" s="59" t="inlineStr">
        <is>
          <t>56228356010013</t>
        </is>
      </c>
      <c r="E1066" s="75" t="n">
        <v>46234</v>
      </c>
      <c r="F1066" s="75" t="n">
        <v>46233</v>
      </c>
      <c r="G1066" s="59" t="inlineStr">
        <is>
          <t>CRBS S/A</t>
        </is>
      </c>
      <c r="H1066" s="59" t="n">
        <v>1479585</v>
      </c>
      <c r="I1066" s="59" t="n">
        <v>11</v>
      </c>
      <c r="J1066" s="59" t="inlineStr">
        <is>
          <t>AM</t>
        </is>
      </c>
      <c r="K1066" s="126" t="n">
        <v>242.43</v>
      </c>
    </row>
    <row r="1067" ht="15" customHeight="1" s="60">
      <c r="A1067" s="59" t="n">
        <v>1</v>
      </c>
      <c r="B1067" s="59" t="n">
        <v>412</v>
      </c>
      <c r="C1067" s="59" t="inlineStr">
        <is>
          <t>3</t>
        </is>
      </c>
      <c r="D1067" s="59" t="inlineStr">
        <is>
          <t>40233745000115</t>
        </is>
      </c>
      <c r="E1067" s="75" t="n">
        <v>46234</v>
      </c>
      <c r="F1067" s="75" t="n">
        <v>46232</v>
      </c>
      <c r="G1067" s="59" t="inlineStr">
        <is>
          <t>D N COMERCIO ATACADISTA DE EMBALAGENS E</t>
        </is>
      </c>
      <c r="H1067" s="59" t="n">
        <v>1479243</v>
      </c>
      <c r="I1067" s="59" t="n">
        <v>11</v>
      </c>
      <c r="J1067" s="59" t="inlineStr">
        <is>
          <t>AM</t>
        </is>
      </c>
      <c r="K1067" s="126" t="n">
        <v>1551.01</v>
      </c>
    </row>
    <row r="1068" ht="15" customHeight="1" s="60">
      <c r="A1068" s="59" t="n">
        <v>1</v>
      </c>
      <c r="B1068" s="59" t="n">
        <v>413</v>
      </c>
      <c r="C1068" s="59" t="inlineStr">
        <is>
          <t>3</t>
        </is>
      </c>
      <c r="D1068" s="59" t="inlineStr">
        <is>
          <t>40233745000115</t>
        </is>
      </c>
      <c r="E1068" s="75" t="n">
        <v>46234</v>
      </c>
      <c r="F1068" s="75" t="n">
        <v>46232</v>
      </c>
      <c r="G1068" s="59" t="inlineStr">
        <is>
          <t>D N COMERCIO ATACADISTA DE EMBALAGENS E</t>
        </is>
      </c>
      <c r="H1068" s="59" t="n">
        <v>1477703</v>
      </c>
      <c r="I1068" s="59" t="n">
        <v>1</v>
      </c>
      <c r="J1068" s="59" t="inlineStr">
        <is>
          <t>AM</t>
        </is>
      </c>
      <c r="K1068" s="126" t="n">
        <v>612</v>
      </c>
    </row>
    <row r="1069" ht="15" customHeight="1" s="60">
      <c r="A1069" s="59" t="n">
        <v>1</v>
      </c>
      <c r="B1069" s="59" t="n">
        <v>1701839</v>
      </c>
      <c r="C1069" s="59" t="inlineStr">
        <is>
          <t>1</t>
        </is>
      </c>
      <c r="D1069" s="59" t="inlineStr">
        <is>
          <t>02796653000154</t>
        </is>
      </c>
      <c r="E1069" s="75" t="n">
        <v>46234</v>
      </c>
      <c r="F1069" s="75" t="n">
        <v>46232</v>
      </c>
      <c r="G1069" s="59" t="inlineStr">
        <is>
          <t>DISTRIBUIDORA LOPES LTDA</t>
        </is>
      </c>
      <c r="H1069" s="59" t="n">
        <v>1477851</v>
      </c>
      <c r="I1069" s="59" t="n">
        <v>11</v>
      </c>
      <c r="J1069" s="59" t="inlineStr">
        <is>
          <t>AM</t>
        </is>
      </c>
      <c r="K1069" s="126" t="n">
        <v>2904.01</v>
      </c>
    </row>
    <row r="1070" ht="15" customHeight="1" s="60">
      <c r="A1070" s="59" t="n">
        <v>1</v>
      </c>
      <c r="B1070" s="59" t="n">
        <v>3226195</v>
      </c>
      <c r="C1070" s="59" t="inlineStr">
        <is>
          <t>1</t>
        </is>
      </c>
      <c r="D1070" s="59" t="inlineStr">
        <is>
          <t>84466424000136</t>
        </is>
      </c>
      <c r="E1070" s="75" t="n">
        <v>46234</v>
      </c>
      <c r="F1070" s="75" t="n">
        <v>46230</v>
      </c>
      <c r="G1070" s="59" t="inlineStr">
        <is>
          <t>DUNORTE DISTRIBUIDORA DE PRODUTOS DE CONSUMO LTDA</t>
        </is>
      </c>
      <c r="H1070" s="59" t="n">
        <v>1477940</v>
      </c>
      <c r="I1070" s="59" t="n">
        <v>11</v>
      </c>
      <c r="J1070" s="59" t="inlineStr">
        <is>
          <t>AM</t>
        </is>
      </c>
      <c r="K1070" s="126" t="n">
        <v>1399.98</v>
      </c>
    </row>
    <row r="1071" ht="15" customHeight="1" s="60">
      <c r="A1071" s="59" t="n">
        <v>1</v>
      </c>
      <c r="B1071" s="59" t="n">
        <v>1656236</v>
      </c>
      <c r="C1071" s="59" t="inlineStr">
        <is>
          <t>890</t>
        </is>
      </c>
      <c r="D1071" s="59" t="inlineStr">
        <is>
          <t>02532915340</t>
        </is>
      </c>
      <c r="E1071" s="75" t="n">
        <v>46234</v>
      </c>
      <c r="F1071" s="75" t="n">
        <v>46234</v>
      </c>
      <c r="G1071" s="59" t="inlineStr">
        <is>
          <t>EDSON AGUIAR DE SOUZA</t>
        </is>
      </c>
      <c r="H1071" s="59" t="n">
        <v>1478183</v>
      </c>
      <c r="I1071" s="59" t="n">
        <v>1</v>
      </c>
      <c r="J1071" s="59" t="inlineStr">
        <is>
          <t>AM</t>
        </is>
      </c>
      <c r="K1071" s="126" t="n">
        <v>210</v>
      </c>
    </row>
    <row r="1072" ht="15" customHeight="1" s="60">
      <c r="A1072" s="59" t="n">
        <v>1</v>
      </c>
      <c r="B1072" s="59" t="n">
        <v>413</v>
      </c>
      <c r="C1072" s="59" t="inlineStr">
        <is>
          <t>2</t>
        </is>
      </c>
      <c r="D1072" s="59" t="inlineStr">
        <is>
          <t>20380110000133</t>
        </is>
      </c>
      <c r="E1072" s="75" t="n">
        <v>46234</v>
      </c>
      <c r="F1072" s="75" t="n">
        <v>46234</v>
      </c>
      <c r="G1072" s="59" t="inlineStr">
        <is>
          <t>GELO DANGELO FABRICACAO DE GELO LTDA</t>
        </is>
      </c>
      <c r="H1072" s="59" t="n">
        <v>1479256</v>
      </c>
      <c r="I1072" s="59" t="n">
        <v>1</v>
      </c>
      <c r="J1072" s="59" t="inlineStr">
        <is>
          <t>AM</t>
        </is>
      </c>
      <c r="K1072" s="126" t="n">
        <v>603</v>
      </c>
    </row>
    <row r="1073" ht="15" customHeight="1" s="60">
      <c r="A1073" s="59" t="n">
        <v>1</v>
      </c>
      <c r="B1073" s="59" t="n">
        <v>387</v>
      </c>
      <c r="C1073" s="59" t="inlineStr">
        <is>
          <t>1</t>
        </is>
      </c>
      <c r="D1073" s="59" t="inlineStr">
        <is>
          <t>63502353000100</t>
        </is>
      </c>
      <c r="E1073" s="75" t="n">
        <v>46234</v>
      </c>
      <c r="F1073" s="75" t="n">
        <v>46234</v>
      </c>
      <c r="G1073" s="59" t="inlineStr">
        <is>
          <t>J W N DOS SANTOS</t>
        </is>
      </c>
      <c r="H1073" s="59" t="n">
        <v>1479487</v>
      </c>
      <c r="I1073" s="59" t="n">
        <v>1</v>
      </c>
      <c r="J1073" s="59" t="inlineStr">
        <is>
          <t>AM</t>
        </is>
      </c>
      <c r="K1073" s="126" t="n">
        <v>572</v>
      </c>
    </row>
    <row r="1074" ht="15" customHeight="1" s="60">
      <c r="A1074" s="59" t="n">
        <v>1</v>
      </c>
      <c r="B1074" s="59" t="n">
        <v>2736</v>
      </c>
      <c r="C1074" s="59" t="inlineStr">
        <is>
          <t>1</t>
        </is>
      </c>
      <c r="D1074" s="59" t="inlineStr">
        <is>
          <t>10583405000153</t>
        </is>
      </c>
      <c r="E1074" s="75" t="n">
        <v>46234</v>
      </c>
      <c r="F1074" s="75" t="n">
        <v>46233</v>
      </c>
      <c r="G1074" s="59" t="inlineStr">
        <is>
          <t>J. S. MOREIRA ALVES LTDA</t>
        </is>
      </c>
      <c r="H1074" s="59" t="n">
        <v>1478233</v>
      </c>
      <c r="I1074" s="59" t="n">
        <v>11</v>
      </c>
      <c r="J1074" s="59" t="inlineStr">
        <is>
          <t>AM</t>
        </is>
      </c>
      <c r="K1074" s="126" t="n">
        <v>555</v>
      </c>
    </row>
    <row r="1075" ht="15" customHeight="1" s="60">
      <c r="A1075" s="59" t="n">
        <v>1</v>
      </c>
      <c r="B1075" s="59" t="n">
        <v>309642</v>
      </c>
      <c r="C1075" s="59" t="inlineStr">
        <is>
          <t>1</t>
        </is>
      </c>
      <c r="D1075" s="59" t="inlineStr">
        <is>
          <t>07391948000164</t>
        </is>
      </c>
      <c r="E1075" s="75" t="n">
        <v>46234</v>
      </c>
      <c r="F1075" s="75" t="n">
        <v>46233</v>
      </c>
      <c r="G1075" s="59" t="inlineStr">
        <is>
          <t>L S M COMERCIO DE ALIMENTOS E NAVEGACAO</t>
        </is>
      </c>
      <c r="H1075" s="59" t="n">
        <v>1478172</v>
      </c>
      <c r="I1075" s="59" t="n">
        <v>11</v>
      </c>
      <c r="J1075" s="59" t="inlineStr">
        <is>
          <t>AM</t>
        </is>
      </c>
      <c r="K1075" s="126" t="n">
        <v>4899.3</v>
      </c>
    </row>
    <row r="1076" ht="15" customHeight="1" s="60">
      <c r="A1076" s="59" t="n">
        <v>1</v>
      </c>
      <c r="B1076" s="59" t="n">
        <v>14881</v>
      </c>
      <c r="C1076" s="59" t="inlineStr">
        <is>
          <t>1</t>
        </is>
      </c>
      <c r="D1076" s="59" t="inlineStr">
        <is>
          <t>03784729000194</t>
        </is>
      </c>
      <c r="E1076" s="75" t="n">
        <v>46234</v>
      </c>
      <c r="F1076" s="75" t="n">
        <v>46233</v>
      </c>
      <c r="G1076" s="59" t="inlineStr">
        <is>
          <t>MAXFRI DISTRIUIDORA LTDA</t>
        </is>
      </c>
      <c r="H1076" s="59" t="n">
        <v>1478719</v>
      </c>
      <c r="I1076" s="59" t="n">
        <v>11</v>
      </c>
      <c r="J1076" s="59" t="inlineStr">
        <is>
          <t>AM</t>
        </is>
      </c>
      <c r="K1076" s="126" t="n">
        <v>4726.7</v>
      </c>
    </row>
    <row r="1077" ht="15" customHeight="1" s="60">
      <c r="A1077" s="59" t="n">
        <v>1</v>
      </c>
      <c r="B1077" s="59" t="n">
        <v>1253285</v>
      </c>
      <c r="C1077" s="59" t="inlineStr">
        <is>
          <t>1</t>
        </is>
      </c>
      <c r="D1077" s="59" t="inlineStr">
        <is>
          <t>02805138000193</t>
        </is>
      </c>
      <c r="E1077" s="75" t="n">
        <v>46234</v>
      </c>
      <c r="F1077" s="75" t="n">
        <v>46233</v>
      </c>
      <c r="G1077" s="59" t="inlineStr">
        <is>
          <t>OCIDENTAL COMERCIO DE FRIOS LTDA</t>
        </is>
      </c>
      <c r="H1077" s="59" t="n">
        <v>1477760</v>
      </c>
      <c r="I1077" s="59" t="n">
        <v>11</v>
      </c>
      <c r="J1077" s="59" t="inlineStr">
        <is>
          <t>AM</t>
        </is>
      </c>
      <c r="K1077" s="126" t="n">
        <v>989.77</v>
      </c>
    </row>
    <row r="1078" ht="15" customHeight="1" s="60">
      <c r="A1078" s="59" t="n">
        <v>1</v>
      </c>
      <c r="B1078" s="59" t="n">
        <v>34855</v>
      </c>
      <c r="C1078" s="59" t="inlineStr">
        <is>
          <t>3</t>
        </is>
      </c>
      <c r="D1078" s="59" t="inlineStr">
        <is>
          <t>34857865000190</t>
        </is>
      </c>
      <c r="E1078" s="75" t="n">
        <v>46234</v>
      </c>
      <c r="F1078" s="75" t="n">
        <v>46232</v>
      </c>
      <c r="G1078" s="59" t="inlineStr">
        <is>
          <t>OPPORTUNITY ALIMENTOS PARA ANIMAIS LTDA</t>
        </is>
      </c>
      <c r="H1078" s="59" t="n">
        <v>1479269</v>
      </c>
      <c r="I1078" s="59" t="n">
        <v>11</v>
      </c>
      <c r="J1078" s="59" t="inlineStr">
        <is>
          <t>AM</t>
        </is>
      </c>
      <c r="K1078" s="126" t="n">
        <v>629.55</v>
      </c>
    </row>
    <row r="1079" ht="15" customHeight="1" s="60">
      <c r="A1079" s="59" t="n">
        <v>1</v>
      </c>
      <c r="B1079" s="59" t="n">
        <v>5400</v>
      </c>
      <c r="C1079" s="59" t="inlineStr">
        <is>
          <t>1</t>
        </is>
      </c>
      <c r="D1079" s="59" t="inlineStr">
        <is>
          <t>36480282000119</t>
        </is>
      </c>
      <c r="E1079" s="75" t="n">
        <v>46234</v>
      </c>
      <c r="F1079" s="75" t="n">
        <v>46234</v>
      </c>
      <c r="G1079" s="59" t="inlineStr">
        <is>
          <t>RENATO DE O AZEVEDO E CIA LTDA - EPP</t>
        </is>
      </c>
      <c r="H1079" s="59" t="n">
        <v>1478271</v>
      </c>
      <c r="I1079" s="59" t="n">
        <v>6</v>
      </c>
      <c r="J1079" s="59" t="inlineStr">
        <is>
          <t>AM</t>
        </is>
      </c>
      <c r="K1079" s="126" t="n">
        <v>1560</v>
      </c>
    </row>
    <row r="1080" ht="15" customHeight="1" s="60">
      <c r="A1080" s="59" t="n">
        <v>1</v>
      </c>
      <c r="B1080" s="59" t="n">
        <v>5407</v>
      </c>
      <c r="C1080" s="59" t="inlineStr">
        <is>
          <t>1</t>
        </is>
      </c>
      <c r="D1080" s="59" t="inlineStr">
        <is>
          <t>36480282000119</t>
        </is>
      </c>
      <c r="E1080" s="75" t="n">
        <v>46234</v>
      </c>
      <c r="F1080" s="75" t="n">
        <v>46234</v>
      </c>
      <c r="G1080" s="59" t="inlineStr">
        <is>
          <t>RENATO DE O AZEVEDO E CIA LTDA - EPP</t>
        </is>
      </c>
      <c r="H1080" s="59" t="n">
        <v>1478775</v>
      </c>
      <c r="I1080" s="59" t="n">
        <v>6</v>
      </c>
      <c r="J1080" s="59" t="inlineStr">
        <is>
          <t>AM</t>
        </is>
      </c>
      <c r="K1080" s="126" t="n">
        <v>2731</v>
      </c>
    </row>
    <row r="1081" ht="15" customHeight="1" s="60">
      <c r="A1081" s="59" t="n">
        <v>1</v>
      </c>
      <c r="B1081" s="59" t="n">
        <v>5419</v>
      </c>
      <c r="C1081" s="59" t="inlineStr">
        <is>
          <t>1</t>
        </is>
      </c>
      <c r="D1081" s="59" t="inlineStr">
        <is>
          <t>36480282000119</t>
        </is>
      </c>
      <c r="E1081" s="75" t="n">
        <v>46234</v>
      </c>
      <c r="F1081" s="75" t="n">
        <v>46234</v>
      </c>
      <c r="G1081" s="59" t="inlineStr">
        <is>
          <t>RENATO DE O AZEVEDO E CIA LTDA - EPP</t>
        </is>
      </c>
      <c r="H1081" s="59" t="n">
        <v>1479153</v>
      </c>
      <c r="I1081" s="59" t="n">
        <v>6</v>
      </c>
      <c r="J1081" s="59" t="inlineStr">
        <is>
          <t>AM</t>
        </is>
      </c>
      <c r="K1081" s="126" t="n">
        <v>2682.43</v>
      </c>
    </row>
    <row r="1082" ht="15" customHeight="1" s="60">
      <c r="A1082" s="59" t="n">
        <v>1</v>
      </c>
      <c r="B1082" s="59" t="n">
        <v>5421</v>
      </c>
      <c r="C1082" s="59" t="inlineStr">
        <is>
          <t>1</t>
        </is>
      </c>
      <c r="D1082" s="59" t="inlineStr">
        <is>
          <t>36480282000119</t>
        </is>
      </c>
      <c r="E1082" s="75" t="n">
        <v>46234</v>
      </c>
      <c r="F1082" s="75" t="n">
        <v>46234</v>
      </c>
      <c r="G1082" s="59" t="inlineStr">
        <is>
          <t>RENATO DE O AZEVEDO E CIA LTDA - EPP</t>
        </is>
      </c>
      <c r="H1082" s="59" t="n">
        <v>1479224</v>
      </c>
      <c r="I1082" s="59" t="n">
        <v>6</v>
      </c>
      <c r="J1082" s="59" t="inlineStr">
        <is>
          <t>AM</t>
        </is>
      </c>
      <c r="K1082" s="126" t="n">
        <v>600</v>
      </c>
    </row>
    <row r="1083" ht="15" customHeight="1" s="60">
      <c r="A1083" s="59" t="n">
        <v>1</v>
      </c>
      <c r="B1083" s="59" t="n">
        <v>3978</v>
      </c>
      <c r="C1083" s="59" t="inlineStr">
        <is>
          <t>3</t>
        </is>
      </c>
      <c r="D1083" s="59" t="inlineStr">
        <is>
          <t>37225449000168</t>
        </is>
      </c>
      <c r="E1083" s="75" t="n">
        <v>46234</v>
      </c>
      <c r="F1083" s="75" t="n">
        <v>46234</v>
      </c>
      <c r="G1083" s="59" t="inlineStr">
        <is>
          <t>VOVO DIZA COMERCIO VAREJISTA DE HORTALICAS LTDA</t>
        </is>
      </c>
      <c r="H1083" s="59" t="n">
        <v>1479627</v>
      </c>
      <c r="I1083" s="59" t="n">
        <v>1</v>
      </c>
      <c r="J1083" s="59" t="inlineStr">
        <is>
          <t>AM</t>
        </is>
      </c>
      <c r="K1083" s="126" t="n">
        <v>200</v>
      </c>
    </row>
    <row r="1084" ht="15" customHeight="1" s="60">
      <c r="A1084" s="59" t="n">
        <v>1</v>
      </c>
      <c r="B1084" s="59" t="n">
        <v>568</v>
      </c>
      <c r="C1084" s="59" t="inlineStr">
        <is>
          <t>1</t>
        </is>
      </c>
      <c r="D1084" s="59" t="inlineStr">
        <is>
          <t>47496330000183</t>
        </is>
      </c>
      <c r="E1084" s="75" t="n">
        <v>46235</v>
      </c>
      <c r="F1084" s="75" t="n">
        <v>46234</v>
      </c>
      <c r="G1084" s="59" t="inlineStr">
        <is>
          <t>ADICSO FABIAN GONZALEZ MONTILLA 70302186</t>
        </is>
      </c>
      <c r="H1084" s="59" t="n">
        <v>1481718</v>
      </c>
      <c r="I1084" s="59" t="n">
        <v>11</v>
      </c>
      <c r="J1084" s="59" t="inlineStr">
        <is>
          <t>AM</t>
        </is>
      </c>
      <c r="K1084" s="126" t="n">
        <v>840</v>
      </c>
    </row>
    <row r="1085" ht="15" customHeight="1" s="60">
      <c r="A1085" s="59" t="n">
        <v>1</v>
      </c>
      <c r="B1085" s="59" t="n">
        <v>1614419</v>
      </c>
      <c r="C1085" s="59" t="inlineStr">
        <is>
          <t>1</t>
        </is>
      </c>
      <c r="D1085" s="59" t="inlineStr">
        <is>
          <t>01838723026193</t>
        </is>
      </c>
      <c r="E1085" s="75" t="n">
        <v>46235</v>
      </c>
      <c r="F1085" s="75" t="n">
        <v>46234</v>
      </c>
      <c r="G1085" s="59" t="inlineStr">
        <is>
          <t>BRF S A</t>
        </is>
      </c>
      <c r="H1085" s="59" t="n">
        <v>1482297</v>
      </c>
      <c r="I1085" s="59" t="n">
        <v>11</v>
      </c>
      <c r="J1085" s="59" t="inlineStr">
        <is>
          <t>AM</t>
        </is>
      </c>
      <c r="K1085" s="126" t="n">
        <v>3849.27</v>
      </c>
    </row>
    <row r="1086" ht="15" customHeight="1" s="60">
      <c r="A1086" s="59" t="n">
        <v>1</v>
      </c>
      <c r="B1086" s="59" t="n">
        <v>1034623</v>
      </c>
      <c r="C1086" s="59" t="inlineStr">
        <is>
          <t>1</t>
        </is>
      </c>
      <c r="D1086" s="59" t="inlineStr">
        <is>
          <t>34579060000122</t>
        </is>
      </c>
      <c r="E1086" s="75" t="n">
        <v>46235</v>
      </c>
      <c r="F1086" s="75" t="n">
        <v>46234</v>
      </c>
      <c r="G1086" s="59" t="inlineStr">
        <is>
          <t>BROTHERS  INDUSTRIA DE ALIMENTOS LTDA</t>
        </is>
      </c>
      <c r="H1086" s="59" t="n">
        <v>1481799</v>
      </c>
      <c r="I1086" s="59" t="n">
        <v>11</v>
      </c>
      <c r="J1086" s="59" t="inlineStr">
        <is>
          <t>AM</t>
        </is>
      </c>
      <c r="K1086" s="126" t="n">
        <v>556.5</v>
      </c>
    </row>
    <row r="1087" ht="15" customHeight="1" s="60">
      <c r="A1087" s="59" t="n">
        <v>1</v>
      </c>
      <c r="B1087" s="59" t="n">
        <v>107</v>
      </c>
      <c r="C1087" s="59" t="inlineStr">
        <is>
          <t>1</t>
        </is>
      </c>
      <c r="D1087" s="59" t="inlineStr">
        <is>
          <t>55158713000170</t>
        </is>
      </c>
      <c r="E1087" s="75" t="n">
        <v>46235</v>
      </c>
      <c r="F1087" s="75" t="n">
        <v>46235</v>
      </c>
      <c r="G1087" s="59" t="inlineStr">
        <is>
          <t>H L M PADARIA E CONFEITARIA LTDA</t>
        </is>
      </c>
      <c r="H1087" s="59" t="n">
        <v>1508551</v>
      </c>
      <c r="I1087" s="59" t="n">
        <v>1</v>
      </c>
      <c r="J1087" s="59" t="inlineStr">
        <is>
          <t>AM</t>
        </is>
      </c>
      <c r="K1087" s="126" t="n">
        <v>600</v>
      </c>
    </row>
    <row r="1088" ht="15" customHeight="1" s="60">
      <c r="A1088" s="59" t="n">
        <v>1</v>
      </c>
      <c r="B1088" s="59" t="n">
        <v>395526</v>
      </c>
      <c r="C1088" s="59" t="inlineStr">
        <is>
          <t>1</t>
        </is>
      </c>
      <c r="D1088" s="59" t="inlineStr">
        <is>
          <t>14141553000179</t>
        </is>
      </c>
      <c r="E1088" s="75" t="n">
        <v>46235</v>
      </c>
      <c r="F1088" s="75" t="n">
        <v>46233</v>
      </c>
      <c r="G1088" s="59" t="inlineStr">
        <is>
          <t>J G COMERCIO DE PRODUTOS ALIMENTICIOS LTDA</t>
        </is>
      </c>
      <c r="H1088" s="59" t="n">
        <v>1482386</v>
      </c>
      <c r="I1088" s="59" t="n">
        <v>11</v>
      </c>
      <c r="J1088" s="59" t="inlineStr">
        <is>
          <t>AM</t>
        </is>
      </c>
      <c r="K1088" s="126" t="n">
        <v>2287.65</v>
      </c>
    </row>
    <row r="1089" ht="15" customHeight="1" s="60">
      <c r="A1089" s="59" t="n">
        <v>1</v>
      </c>
      <c r="B1089" s="59" t="n">
        <v>3624</v>
      </c>
      <c r="C1089" s="59" t="inlineStr">
        <is>
          <t>1</t>
        </is>
      </c>
      <c r="D1089" s="59" t="inlineStr">
        <is>
          <t>59566132000128</t>
        </is>
      </c>
      <c r="E1089" s="75" t="n">
        <v>46235</v>
      </c>
      <c r="F1089" s="75" t="n">
        <v>46232</v>
      </c>
      <c r="G1089" s="59" t="inlineStr">
        <is>
          <t>JAB COMERCIO DE PRODUTOS ALIMENTICIOS LT</t>
        </is>
      </c>
      <c r="H1089" s="59" t="n">
        <v>1481739</v>
      </c>
      <c r="I1089" s="59" t="n">
        <v>11</v>
      </c>
      <c r="J1089" s="59" t="inlineStr">
        <is>
          <t>AM</t>
        </is>
      </c>
      <c r="K1089" s="126" t="n">
        <v>287</v>
      </c>
    </row>
    <row r="1090" ht="15" customHeight="1" s="60">
      <c r="A1090" s="59" t="n">
        <v>1</v>
      </c>
      <c r="B1090" s="59" t="n">
        <v>108113</v>
      </c>
      <c r="C1090" s="59" t="inlineStr">
        <is>
          <t>3</t>
        </is>
      </c>
      <c r="D1090" s="59" t="inlineStr">
        <is>
          <t>15001549000178</t>
        </is>
      </c>
      <c r="E1090" s="75" t="n">
        <v>46235</v>
      </c>
      <c r="F1090" s="75" t="n">
        <v>46227</v>
      </c>
      <c r="G1090" s="59" t="inlineStr">
        <is>
          <t>LOJA DO REI COMERCIO DE MATERIAL DE CONS</t>
        </is>
      </c>
      <c r="H1090" s="59" t="n">
        <v>1482569</v>
      </c>
      <c r="I1090" s="59" t="n">
        <v>39</v>
      </c>
      <c r="J1090" s="59" t="inlineStr">
        <is>
          <t>AM</t>
        </is>
      </c>
      <c r="K1090" s="126" t="n">
        <v>13.76</v>
      </c>
    </row>
    <row r="1091" ht="15" customHeight="1" s="60">
      <c r="A1091" s="59" t="n">
        <v>1</v>
      </c>
      <c r="B1091" s="59" t="n">
        <v>42703</v>
      </c>
      <c r="C1091" s="59" t="inlineStr">
        <is>
          <t>5</t>
        </is>
      </c>
      <c r="D1091" s="59" t="inlineStr">
        <is>
          <t>03439223000148</t>
        </is>
      </c>
      <c r="E1091" s="75" t="n">
        <v>46235</v>
      </c>
      <c r="F1091" s="75" t="n">
        <v>46234</v>
      </c>
      <c r="G1091" s="59" t="inlineStr">
        <is>
          <t>NT INDUSTRIA E COMERCIO DE PANIFICACAO L</t>
        </is>
      </c>
      <c r="H1091" s="59" t="n">
        <v>1482217</v>
      </c>
      <c r="I1091" s="59" t="n">
        <v>11</v>
      </c>
      <c r="J1091" s="59" t="inlineStr">
        <is>
          <t>AM</t>
        </is>
      </c>
      <c r="K1091" s="126" t="n">
        <v>4614.83</v>
      </c>
    </row>
    <row r="1092" ht="15" customHeight="1" s="60">
      <c r="A1092" s="59" t="n">
        <v>1</v>
      </c>
      <c r="B1092" s="59" t="n">
        <v>739</v>
      </c>
      <c r="C1092" s="59" t="inlineStr">
        <is>
          <t>2</t>
        </is>
      </c>
      <c r="D1092" s="59" t="inlineStr">
        <is>
          <t>35729236000148</t>
        </is>
      </c>
      <c r="E1092" s="75" t="n">
        <v>46235</v>
      </c>
      <c r="F1092" s="75" t="n">
        <v>46234</v>
      </c>
      <c r="G1092" s="59" t="inlineStr">
        <is>
          <t>PANIFICADORA E CONFEITARIA REAL MADRI LTDA</t>
        </is>
      </c>
      <c r="H1092" s="59" t="n">
        <v>1481752</v>
      </c>
      <c r="I1092" s="59" t="n">
        <v>11</v>
      </c>
      <c r="J1092" s="59" t="inlineStr">
        <is>
          <t>AM</t>
        </is>
      </c>
      <c r="K1092" s="126" t="n">
        <v>739.15</v>
      </c>
    </row>
    <row r="1093" ht="15" customHeight="1" s="60">
      <c r="A1093" s="59" t="n">
        <v>1</v>
      </c>
      <c r="B1093" s="59" t="n">
        <v>5422</v>
      </c>
      <c r="C1093" s="59" t="inlineStr">
        <is>
          <t>1</t>
        </is>
      </c>
      <c r="D1093" s="59" t="inlineStr">
        <is>
          <t>36480282000119</t>
        </is>
      </c>
      <c r="E1093" s="75" t="n">
        <v>46235</v>
      </c>
      <c r="F1093" s="75" t="n">
        <v>46235</v>
      </c>
      <c r="G1093" s="59" t="inlineStr">
        <is>
          <t>RENATO DE O AZEVEDO E CIA LTDA - EPP</t>
        </is>
      </c>
      <c r="H1093" s="59" t="n">
        <v>1482644</v>
      </c>
      <c r="I1093" s="59" t="n">
        <v>6</v>
      </c>
      <c r="J1093" s="59" t="inlineStr">
        <is>
          <t>AM</t>
        </is>
      </c>
      <c r="K1093" s="126" t="n">
        <v>280</v>
      </c>
    </row>
    <row r="1094" ht="15" customHeight="1" s="60">
      <c r="A1094" s="59" t="n">
        <v>1</v>
      </c>
      <c r="B1094" s="59" t="n">
        <v>4014</v>
      </c>
      <c r="C1094" s="59" t="inlineStr">
        <is>
          <t>1</t>
        </is>
      </c>
      <c r="D1094" s="59" t="inlineStr">
        <is>
          <t>30844737000151</t>
        </is>
      </c>
      <c r="E1094" s="75" t="n">
        <v>46235</v>
      </c>
      <c r="F1094" s="75" t="n">
        <v>46230</v>
      </c>
      <c r="G1094" s="59" t="inlineStr">
        <is>
          <t>TRIPLASTIK COMERCIAL</t>
        </is>
      </c>
      <c r="H1094" s="59" t="n">
        <v>1482445</v>
      </c>
      <c r="I1094" s="59" t="n">
        <v>45</v>
      </c>
      <c r="J1094" s="59" t="inlineStr">
        <is>
          <t>AM</t>
        </is>
      </c>
      <c r="K1094" s="126" t="n">
        <v>1178.62</v>
      </c>
    </row>
    <row r="1095" ht="15" customHeight="1" s="60">
      <c r="A1095" s="59" t="n">
        <v>1</v>
      </c>
      <c r="B1095" s="59" t="n">
        <v>10438</v>
      </c>
      <c r="C1095" s="59" t="inlineStr">
        <is>
          <t>2</t>
        </is>
      </c>
      <c r="D1095" s="59" t="inlineStr">
        <is>
          <t>36296113000123</t>
        </is>
      </c>
      <c r="E1095" s="75" t="n">
        <v>46235</v>
      </c>
      <c r="F1095" s="75" t="n">
        <v>46233</v>
      </c>
      <c r="G1095" s="59" t="inlineStr">
        <is>
          <t>VITAPAN COMERCIO VAREJISTA DE PRODUTOS ALIMENTICIOS LTDA</t>
        </is>
      </c>
      <c r="H1095" s="59" t="n">
        <v>1482227</v>
      </c>
      <c r="I1095" s="59" t="n">
        <v>11</v>
      </c>
      <c r="J1095" s="59" t="inlineStr">
        <is>
          <t>AM</t>
        </is>
      </c>
      <c r="K1095" s="126" t="n">
        <v>1026</v>
      </c>
    </row>
    <row r="1096" ht="15" customHeight="1" s="60">
      <c r="A1096" s="59" t="n">
        <v>1</v>
      </c>
      <c r="B1096" s="59" t="n">
        <v>426</v>
      </c>
      <c r="C1096" s="59" t="inlineStr">
        <is>
          <t>2</t>
        </is>
      </c>
      <c r="D1096" s="59" t="inlineStr">
        <is>
          <t>20380110000133</t>
        </is>
      </c>
      <c r="E1096" s="75" t="n">
        <v>46237</v>
      </c>
      <c r="F1096" s="75" t="n">
        <v>46237</v>
      </c>
      <c r="G1096" s="59" t="inlineStr">
        <is>
          <t>GELO DANGELO FABRICACAO DE GELO LTDA</t>
        </is>
      </c>
      <c r="H1096" s="59" t="n">
        <v>1508593</v>
      </c>
      <c r="I1096" s="59" t="n">
        <v>1</v>
      </c>
      <c r="J1096" s="59" t="inlineStr">
        <is>
          <t>AM</t>
        </is>
      </c>
      <c r="K1096" s="126" t="n">
        <v>564</v>
      </c>
    </row>
    <row r="1097" ht="15" customHeight="1" s="60">
      <c r="A1097" s="59" t="n">
        <v>1</v>
      </c>
      <c r="B1097" s="59" t="n">
        <v>114</v>
      </c>
      <c r="C1097" s="59" t="inlineStr">
        <is>
          <t>1</t>
        </is>
      </c>
      <c r="D1097" s="59" t="inlineStr">
        <is>
          <t>55158713000170</t>
        </is>
      </c>
      <c r="E1097" s="75" t="n">
        <v>46237</v>
      </c>
      <c r="F1097" s="75" t="n">
        <v>46237</v>
      </c>
      <c r="G1097" s="59" t="inlineStr">
        <is>
          <t>H L M PADARIA E CONFEITARIA LTDA</t>
        </is>
      </c>
      <c r="H1097" s="59" t="n">
        <v>1508508</v>
      </c>
      <c r="I1097" s="59" t="n">
        <v>1</v>
      </c>
      <c r="J1097" s="59" t="inlineStr">
        <is>
          <t>AM</t>
        </is>
      </c>
      <c r="K1097" s="126" t="n">
        <v>300</v>
      </c>
    </row>
    <row r="1098" ht="15" customHeight="1" s="60">
      <c r="A1098" s="59" t="n">
        <v>1</v>
      </c>
      <c r="B1098" s="59" t="n">
        <v>14907</v>
      </c>
      <c r="C1098" s="59" t="inlineStr">
        <is>
          <t>1</t>
        </is>
      </c>
      <c r="D1098" s="59" t="inlineStr">
        <is>
          <t>03784729000194</t>
        </is>
      </c>
      <c r="E1098" s="75" t="n">
        <v>46237</v>
      </c>
      <c r="F1098" s="75" t="n">
        <v>46235</v>
      </c>
      <c r="G1098" s="59" t="inlineStr">
        <is>
          <t>MAXFRI DISTRIUIDORA LTDA</t>
        </is>
      </c>
      <c r="H1098" s="59" t="n">
        <v>1495533</v>
      </c>
      <c r="I1098" s="59" t="n">
        <v>11</v>
      </c>
      <c r="J1098" s="59" t="inlineStr">
        <is>
          <t>AM</t>
        </is>
      </c>
      <c r="K1098" s="126" t="n">
        <v>4044.8</v>
      </c>
    </row>
    <row r="1099" ht="15" customHeight="1" s="60">
      <c r="A1099" s="59" t="n">
        <v>1</v>
      </c>
      <c r="B1099" s="59" t="n">
        <v>32187</v>
      </c>
      <c r="C1099" s="59" t="inlineStr">
        <is>
          <t>1</t>
        </is>
      </c>
      <c r="D1099" s="59" t="inlineStr">
        <is>
          <t>30652116000176</t>
        </is>
      </c>
      <c r="E1099" s="75" t="n">
        <v>46237</v>
      </c>
      <c r="F1099" s="75" t="n">
        <v>46235</v>
      </c>
      <c r="G1099" s="59" t="inlineStr">
        <is>
          <t>SILVA E SANTOS FRIGORIFICO LTDA</t>
        </is>
      </c>
      <c r="H1099" s="59" t="n">
        <v>1495442</v>
      </c>
      <c r="I1099" s="59" t="n">
        <v>11</v>
      </c>
      <c r="J1099" s="59" t="inlineStr">
        <is>
          <t>AM</t>
        </is>
      </c>
      <c r="K1099" s="126" t="n">
        <v>3557.5</v>
      </c>
    </row>
    <row r="1100" ht="15" customHeight="1" s="60">
      <c r="A1100" s="59" t="n">
        <v>1</v>
      </c>
      <c r="B1100" s="59" t="n">
        <v>78</v>
      </c>
      <c r="C1100" s="59" t="inlineStr">
        <is>
          <t>1</t>
        </is>
      </c>
      <c r="D1100" s="59" t="inlineStr">
        <is>
          <t>64225624000190</t>
        </is>
      </c>
      <c r="E1100" s="75" t="n">
        <v>46238</v>
      </c>
      <c r="F1100" s="75" t="n">
        <v>46237</v>
      </c>
      <c r="G1100" s="59" t="inlineStr">
        <is>
          <t>64.225.624 ROBERTO REIS AROUCHE</t>
        </is>
      </c>
      <c r="H1100" s="59" t="n">
        <v>1500408</v>
      </c>
      <c r="I1100" s="59" t="n">
        <v>11</v>
      </c>
      <c r="J1100" s="59" t="inlineStr">
        <is>
          <t>AM</t>
        </is>
      </c>
      <c r="K1100" s="126" t="n">
        <v>288</v>
      </c>
    </row>
    <row r="1101" ht="15" customHeight="1" s="60">
      <c r="A1101" s="59" t="n">
        <v>1</v>
      </c>
      <c r="B1101" s="59" t="n">
        <v>7322</v>
      </c>
      <c r="C1101" s="59" t="inlineStr">
        <is>
          <t>1</t>
        </is>
      </c>
      <c r="D1101" s="59" t="inlineStr">
        <is>
          <t>21309526000128</t>
        </is>
      </c>
      <c r="E1101" s="75" t="n">
        <v>46238</v>
      </c>
      <c r="F1101" s="75" t="n">
        <v>46238</v>
      </c>
      <c r="G1101" s="59" t="inlineStr">
        <is>
          <t>A L DE ALMEIDA NETO MINIMERCADOS-ME</t>
        </is>
      </c>
      <c r="H1101" s="59" t="n">
        <v>1508490</v>
      </c>
      <c r="I1101" s="59" t="n">
        <v>1</v>
      </c>
      <c r="J1101" s="59" t="inlineStr">
        <is>
          <t>AM</t>
        </is>
      </c>
      <c r="K1101" s="126" t="n">
        <v>205</v>
      </c>
    </row>
    <row r="1102" ht="15" customHeight="1" s="60">
      <c r="A1102" s="59" t="n">
        <v>1</v>
      </c>
      <c r="B1102" s="59" t="n">
        <v>576</v>
      </c>
      <c r="C1102" s="59" t="inlineStr">
        <is>
          <t>1</t>
        </is>
      </c>
      <c r="D1102" s="59" t="inlineStr">
        <is>
          <t>47496330000183</t>
        </is>
      </c>
      <c r="E1102" s="75" t="n">
        <v>46238</v>
      </c>
      <c r="F1102" s="75" t="n">
        <v>46237</v>
      </c>
      <c r="G1102" s="59" t="inlineStr">
        <is>
          <t>ADICSO FABIAN GONZALEZ MONTILLA 70302186</t>
        </is>
      </c>
      <c r="H1102" s="59" t="n">
        <v>1500384</v>
      </c>
      <c r="I1102" s="59" t="n">
        <v>11</v>
      </c>
      <c r="J1102" s="59" t="inlineStr">
        <is>
          <t>AM</t>
        </is>
      </c>
      <c r="K1102" s="126" t="n">
        <v>816</v>
      </c>
    </row>
    <row r="1103" ht="15" customHeight="1" s="60">
      <c r="A1103" s="59" t="n">
        <v>1</v>
      </c>
      <c r="B1103" s="59" t="n">
        <v>174223</v>
      </c>
      <c r="C1103" s="59" t="inlineStr">
        <is>
          <t>1</t>
        </is>
      </c>
      <c r="D1103" s="59" t="inlineStr">
        <is>
          <t>10418161000153</t>
        </is>
      </c>
      <c r="E1103" s="75" t="n">
        <v>46238</v>
      </c>
      <c r="F1103" s="75" t="n">
        <v>46237</v>
      </c>
      <c r="G1103" s="59" t="inlineStr">
        <is>
          <t>COMERCIO DE FRIOS MANAUS LTDA</t>
        </is>
      </c>
      <c r="H1103" s="59" t="n">
        <v>1500527</v>
      </c>
      <c r="I1103" s="59" t="n">
        <v>11</v>
      </c>
      <c r="J1103" s="59" t="inlineStr">
        <is>
          <t>AM</t>
        </is>
      </c>
      <c r="K1103" s="126" t="n">
        <v>5869.6</v>
      </c>
    </row>
    <row r="1104" ht="15" customHeight="1" s="60">
      <c r="A1104" s="59" t="n">
        <v>1</v>
      </c>
      <c r="B1104" s="59" t="n">
        <v>174276</v>
      </c>
      <c r="C1104" s="59" t="inlineStr">
        <is>
          <t>1</t>
        </is>
      </c>
      <c r="D1104" s="59" t="inlineStr">
        <is>
          <t>10418161000153</t>
        </is>
      </c>
      <c r="E1104" s="75" t="n">
        <v>46238</v>
      </c>
      <c r="F1104" s="75" t="n">
        <v>46238</v>
      </c>
      <c r="G1104" s="59" t="inlineStr">
        <is>
          <t>COMERCIO DE FRIOS MANAUS LTDA</t>
        </is>
      </c>
      <c r="H1104" s="59" t="n">
        <v>1500801</v>
      </c>
      <c r="I1104" s="59" t="n">
        <v>11</v>
      </c>
      <c r="J1104" s="59" t="inlineStr">
        <is>
          <t>AM</t>
        </is>
      </c>
      <c r="K1104" s="126" t="n">
        <v>2334.4</v>
      </c>
    </row>
    <row r="1105" ht="15" customHeight="1" s="60">
      <c r="A1105" s="59" t="n">
        <v>1</v>
      </c>
      <c r="B1105" s="59" t="n">
        <v>15021</v>
      </c>
      <c r="C1105" s="59" t="inlineStr">
        <is>
          <t>1</t>
        </is>
      </c>
      <c r="D1105" s="59" t="inlineStr">
        <is>
          <t>09531992000158</t>
        </is>
      </c>
      <c r="E1105" s="75" t="n">
        <v>46238</v>
      </c>
      <c r="F1105" s="75" t="n">
        <v>46238</v>
      </c>
      <c r="G1105" s="59" t="inlineStr">
        <is>
          <t>COMERCIO E TRANSPORTE BRANDAO LTDA</t>
        </is>
      </c>
      <c r="H1105" s="59" t="n">
        <v>1501658</v>
      </c>
      <c r="I1105" s="59" t="n">
        <v>1</v>
      </c>
      <c r="J1105" s="59" t="inlineStr">
        <is>
          <t>AM</t>
        </is>
      </c>
      <c r="K1105" s="126" t="n">
        <v>750</v>
      </c>
    </row>
    <row r="1106" ht="15" customHeight="1" s="60">
      <c r="A1106" s="59" t="n">
        <v>1</v>
      </c>
      <c r="B1106" s="59" t="n">
        <v>931981</v>
      </c>
      <c r="C1106" s="59" t="inlineStr">
        <is>
          <t>38</t>
        </is>
      </c>
      <c r="D1106" s="59" t="inlineStr">
        <is>
          <t>56228356010013</t>
        </is>
      </c>
      <c r="E1106" s="75" t="n">
        <v>46238</v>
      </c>
      <c r="F1106" s="75" t="n">
        <v>46232</v>
      </c>
      <c r="G1106" s="59" t="inlineStr">
        <is>
          <t>CRBS S/A</t>
        </is>
      </c>
      <c r="H1106" s="59" t="n">
        <v>1499405</v>
      </c>
      <c r="I1106" s="59" t="n">
        <v>11</v>
      </c>
      <c r="J1106" s="59" t="inlineStr">
        <is>
          <t>AM</t>
        </is>
      </c>
      <c r="K1106" s="126" t="n">
        <v>5659.01</v>
      </c>
    </row>
    <row r="1107" ht="15" customHeight="1" s="60">
      <c r="A1107" s="59" t="n">
        <v>1</v>
      </c>
      <c r="B1107" s="59" t="n">
        <v>142307</v>
      </c>
      <c r="C1107" s="59" t="inlineStr">
        <is>
          <t>1</t>
        </is>
      </c>
      <c r="D1107" s="59" t="inlineStr">
        <is>
          <t>04223244000194</t>
        </is>
      </c>
      <c r="E1107" s="75" t="n">
        <v>46238</v>
      </c>
      <c r="F1107" s="75" t="n">
        <v>46233</v>
      </c>
      <c r="G1107" s="59" t="inlineStr">
        <is>
          <t>FABRICA RAINHA ISABEL LTDA</t>
        </is>
      </c>
      <c r="H1107" s="59" t="n">
        <v>1498733</v>
      </c>
      <c r="I1107" s="59" t="n">
        <v>11</v>
      </c>
      <c r="J1107" s="59" t="inlineStr">
        <is>
          <t>AM</t>
        </is>
      </c>
      <c r="K1107" s="126" t="n">
        <v>841.5</v>
      </c>
    </row>
    <row r="1108" ht="15" customHeight="1" s="60">
      <c r="A1108" s="59" t="n">
        <v>1</v>
      </c>
      <c r="B1108" s="59" t="n">
        <v>227628</v>
      </c>
      <c r="C1108" s="59" t="inlineStr">
        <is>
          <t>2</t>
        </is>
      </c>
      <c r="D1108" s="59" t="inlineStr">
        <is>
          <t>05646631000104</t>
        </is>
      </c>
      <c r="E1108" s="75" t="n">
        <v>46238</v>
      </c>
      <c r="F1108" s="75" t="n">
        <v>46237</v>
      </c>
      <c r="G1108" s="59" t="inlineStr">
        <is>
          <t>FRUTAL INDUSTRIA E COMERCIO LTDA</t>
        </is>
      </c>
      <c r="H1108" s="59" t="n">
        <v>1498813</v>
      </c>
      <c r="I1108" s="59" t="n">
        <v>11</v>
      </c>
      <c r="J1108" s="59" t="inlineStr">
        <is>
          <t>AM</t>
        </is>
      </c>
      <c r="K1108" s="126" t="n">
        <v>592.01</v>
      </c>
    </row>
    <row r="1109" ht="15" customHeight="1" s="60">
      <c r="A1109" s="59" t="n">
        <v>1</v>
      </c>
      <c r="B1109" s="59" t="n">
        <v>3658</v>
      </c>
      <c r="C1109" s="59" t="inlineStr">
        <is>
          <t>1</t>
        </is>
      </c>
      <c r="D1109" s="59" t="inlineStr">
        <is>
          <t>59566132000128</t>
        </is>
      </c>
      <c r="E1109" s="75" t="n">
        <v>46238</v>
      </c>
      <c r="F1109" s="75" t="n">
        <v>46237</v>
      </c>
      <c r="G1109" s="59" t="inlineStr">
        <is>
          <t>JAB COMERCIO DE PRODUTOS ALIMENTICIOS LT</t>
        </is>
      </c>
      <c r="H1109" s="59" t="n">
        <v>1498856</v>
      </c>
      <c r="I1109" s="59" t="n">
        <v>11</v>
      </c>
      <c r="J1109" s="59" t="inlineStr">
        <is>
          <t>AM</t>
        </is>
      </c>
      <c r="K1109" s="126" t="n">
        <v>370</v>
      </c>
    </row>
    <row r="1110" ht="15" customHeight="1" s="60">
      <c r="A1110" s="59" t="n">
        <v>1</v>
      </c>
      <c r="B1110" s="59" t="n">
        <v>1957</v>
      </c>
      <c r="C1110" s="59" t="inlineStr">
        <is>
          <t>1</t>
        </is>
      </c>
      <c r="D1110" s="59" t="inlineStr">
        <is>
          <t>34413660000116</t>
        </is>
      </c>
      <c r="E1110" s="75" t="n">
        <v>46238</v>
      </c>
      <c r="F1110" s="75" t="n">
        <v>46237</v>
      </c>
      <c r="G1110" s="59" t="inlineStr">
        <is>
          <t>KAROLINY RODRIGUES SOUZA VENANCIO 915783</t>
        </is>
      </c>
      <c r="H1110" s="59" t="n">
        <v>1498876</v>
      </c>
      <c r="I1110" s="59" t="n">
        <v>11</v>
      </c>
      <c r="J1110" s="59" t="inlineStr">
        <is>
          <t>AM</t>
        </is>
      </c>
      <c r="K1110" s="126" t="n">
        <v>570</v>
      </c>
    </row>
    <row r="1111" ht="15" customHeight="1" s="60">
      <c r="A1111" s="59" t="n">
        <v>1</v>
      </c>
      <c r="B1111" s="59" t="n">
        <v>309757</v>
      </c>
      <c r="C1111" s="59" t="inlineStr">
        <is>
          <t>1</t>
        </is>
      </c>
      <c r="D1111" s="59" t="inlineStr">
        <is>
          <t>07391948000164</t>
        </is>
      </c>
      <c r="E1111" s="75" t="n">
        <v>46238</v>
      </c>
      <c r="F1111" s="75" t="n">
        <v>46234</v>
      </c>
      <c r="G1111" s="59" t="inlineStr">
        <is>
          <t>L S M COMERCIO DE ALIMENTOS E NAVEGACAO</t>
        </is>
      </c>
      <c r="H1111" s="59" t="n">
        <v>1498759</v>
      </c>
      <c r="I1111" s="59" t="n">
        <v>11</v>
      </c>
      <c r="J1111" s="59" t="inlineStr">
        <is>
          <t>AM</t>
        </is>
      </c>
      <c r="K1111" s="126" t="n">
        <v>1210.5</v>
      </c>
    </row>
    <row r="1112" ht="15" customHeight="1" s="60">
      <c r="A1112" s="59" t="n">
        <v>1</v>
      </c>
      <c r="B1112" s="59" t="n">
        <v>1254539</v>
      </c>
      <c r="C1112" s="59" t="inlineStr">
        <is>
          <t>1</t>
        </is>
      </c>
      <c r="D1112" s="59" t="inlineStr">
        <is>
          <t>02805138000193</t>
        </is>
      </c>
      <c r="E1112" s="75" t="n">
        <v>46238</v>
      </c>
      <c r="F1112" s="75" t="n">
        <v>46238</v>
      </c>
      <c r="G1112" s="59" t="inlineStr">
        <is>
          <t>OCIDENTAL COMERCIO DE FRIOS LTDA</t>
        </is>
      </c>
      <c r="H1112" s="59" t="n">
        <v>1500865</v>
      </c>
      <c r="I1112" s="59" t="n">
        <v>11</v>
      </c>
      <c r="J1112" s="59" t="inlineStr">
        <is>
          <t>AM</t>
        </is>
      </c>
      <c r="K1112" s="126" t="n">
        <v>2686.05</v>
      </c>
    </row>
    <row r="1113" ht="15" customHeight="1" s="60">
      <c r="A1113" s="59" t="n">
        <v>1</v>
      </c>
      <c r="B1113" s="59" t="n">
        <v>5427</v>
      </c>
      <c r="C1113" s="59" t="inlineStr">
        <is>
          <t>1</t>
        </is>
      </c>
      <c r="D1113" s="59" t="inlineStr">
        <is>
          <t>36480282000119</t>
        </is>
      </c>
      <c r="E1113" s="75" t="n">
        <v>46238</v>
      </c>
      <c r="F1113" s="75" t="n">
        <v>46238</v>
      </c>
      <c r="G1113" s="59" t="inlineStr">
        <is>
          <t>RENATO DE O AZEVEDO E CIA LTDA - EPP</t>
        </is>
      </c>
      <c r="H1113" s="59" t="n">
        <v>1499090</v>
      </c>
      <c r="I1113" s="59" t="n">
        <v>6</v>
      </c>
      <c r="J1113" s="59" t="inlineStr">
        <is>
          <t>AM</t>
        </is>
      </c>
      <c r="K1113" s="126" t="n">
        <v>200</v>
      </c>
    </row>
    <row r="1114" ht="15" customHeight="1" s="60">
      <c r="A1114" s="59" t="n">
        <v>1</v>
      </c>
      <c r="B1114" s="59" t="n">
        <v>5432</v>
      </c>
      <c r="C1114" s="59" t="inlineStr">
        <is>
          <t>1</t>
        </is>
      </c>
      <c r="D1114" s="59" t="inlineStr">
        <is>
          <t>36480282000119</t>
        </is>
      </c>
      <c r="E1114" s="75" t="n">
        <v>46238</v>
      </c>
      <c r="F1114" s="75" t="n">
        <v>46238</v>
      </c>
      <c r="G1114" s="59" t="inlineStr">
        <is>
          <t>RENATO DE O AZEVEDO E CIA LTDA - EPP</t>
        </is>
      </c>
      <c r="H1114" s="59" t="n">
        <v>1500738</v>
      </c>
      <c r="I1114" s="59" t="n">
        <v>6</v>
      </c>
      <c r="J1114" s="59" t="inlineStr">
        <is>
          <t>AM</t>
        </is>
      </c>
      <c r="K1114" s="126" t="n">
        <v>2770</v>
      </c>
    </row>
    <row r="1115" ht="15" customHeight="1" s="60">
      <c r="A1115" s="59" t="n">
        <v>1</v>
      </c>
      <c r="B1115" s="59" t="n">
        <v>5437</v>
      </c>
      <c r="C1115" s="59" t="inlineStr">
        <is>
          <t>1</t>
        </is>
      </c>
      <c r="D1115" s="59" t="inlineStr">
        <is>
          <t>36480282000119</t>
        </is>
      </c>
      <c r="E1115" s="75" t="n">
        <v>46238</v>
      </c>
      <c r="F1115" s="75" t="n">
        <v>46238</v>
      </c>
      <c r="G1115" s="59" t="inlineStr">
        <is>
          <t>RENATO DE O AZEVEDO E CIA LTDA - EPP</t>
        </is>
      </c>
      <c r="H1115" s="59" t="n">
        <v>1500873</v>
      </c>
      <c r="I1115" s="59" t="n">
        <v>6</v>
      </c>
      <c r="J1115" s="59" t="inlineStr">
        <is>
          <t>AM</t>
        </is>
      </c>
      <c r="K1115" s="126" t="n">
        <v>710</v>
      </c>
    </row>
    <row r="1116" ht="15" customHeight="1" s="60">
      <c r="A1116" s="59" t="n">
        <v>1</v>
      </c>
      <c r="B1116" s="59" t="n">
        <v>5438</v>
      </c>
      <c r="C1116" s="59" t="inlineStr">
        <is>
          <t>1</t>
        </is>
      </c>
      <c r="D1116" s="59" t="inlineStr">
        <is>
          <t>36480282000119</t>
        </is>
      </c>
      <c r="E1116" s="75" t="n">
        <v>46238</v>
      </c>
      <c r="F1116" s="75" t="n">
        <v>46238</v>
      </c>
      <c r="G1116" s="59" t="inlineStr">
        <is>
          <t>RENATO DE O AZEVEDO E CIA LTDA - EPP</t>
        </is>
      </c>
      <c r="H1116" s="59" t="n">
        <v>1501635</v>
      </c>
      <c r="I1116" s="59" t="n">
        <v>6</v>
      </c>
      <c r="J1116" s="59" t="inlineStr">
        <is>
          <t>AM</t>
        </is>
      </c>
      <c r="K1116" s="126" t="n">
        <v>1581</v>
      </c>
    </row>
    <row r="1117" ht="15" customHeight="1" s="60">
      <c r="A1117" s="59" t="n">
        <v>1</v>
      </c>
      <c r="B1117" s="59" t="n">
        <v>32221</v>
      </c>
      <c r="C1117" s="59" t="inlineStr">
        <is>
          <t>1</t>
        </is>
      </c>
      <c r="D1117" s="59" t="inlineStr">
        <is>
          <t>30652116000176</t>
        </is>
      </c>
      <c r="E1117" s="75" t="n">
        <v>46238</v>
      </c>
      <c r="F1117" s="75" t="n">
        <v>46238</v>
      </c>
      <c r="G1117" s="59" t="inlineStr">
        <is>
          <t>SILVA E SANTOS FRIGORIFICO LTDA</t>
        </is>
      </c>
      <c r="H1117" s="59" t="n">
        <v>1500740</v>
      </c>
      <c r="I1117" s="59" t="n">
        <v>11</v>
      </c>
      <c r="J1117" s="59" t="inlineStr">
        <is>
          <t>AM</t>
        </is>
      </c>
      <c r="K1117" s="126" t="n">
        <v>3157.5</v>
      </c>
    </row>
    <row r="1118" ht="15" customHeight="1" s="60">
      <c r="A1118" s="59" t="n">
        <v>1</v>
      </c>
      <c r="B1118" s="59" t="n">
        <v>1230481</v>
      </c>
      <c r="C1118" s="59" t="inlineStr">
        <is>
          <t>7</t>
        </is>
      </c>
      <c r="D1118" s="59" t="inlineStr">
        <is>
          <t>34590315000158</t>
        </is>
      </c>
      <c r="E1118" s="75" t="n">
        <v>46239</v>
      </c>
      <c r="F1118" s="75" t="n">
        <v>46234</v>
      </c>
      <c r="G1118" s="59" t="inlineStr">
        <is>
          <t>BRASIL NORTE BEBIDAS S/A</t>
        </is>
      </c>
      <c r="H1118" s="59" t="n">
        <v>1504970</v>
      </c>
      <c r="I1118" s="59" t="n">
        <v>11</v>
      </c>
      <c r="J1118" s="59" t="inlineStr">
        <is>
          <t>AM</t>
        </is>
      </c>
      <c r="K1118" s="126" t="n">
        <v>1758.86</v>
      </c>
    </row>
    <row r="1119" ht="15" customHeight="1" s="60">
      <c r="A1119" s="59" t="n">
        <v>1</v>
      </c>
      <c r="B1119" s="59" t="n">
        <v>1966628</v>
      </c>
      <c r="C1119" s="59" t="inlineStr">
        <is>
          <t>5</t>
        </is>
      </c>
      <c r="D1119" s="59" t="inlineStr">
        <is>
          <t>34590315000158</t>
        </is>
      </c>
      <c r="E1119" s="75" t="n">
        <v>46239</v>
      </c>
      <c r="F1119" s="75" t="n">
        <v>46234</v>
      </c>
      <c r="G1119" s="59" t="inlineStr">
        <is>
          <t>BRASIL NORTE BEBIDAS S/A</t>
        </is>
      </c>
      <c r="H1119" s="59" t="n">
        <v>1504081</v>
      </c>
      <c r="I1119" s="59" t="n">
        <v>11</v>
      </c>
      <c r="J1119" s="59" t="inlineStr">
        <is>
          <t>AM</t>
        </is>
      </c>
      <c r="K1119" s="126" t="n">
        <v>4547.54</v>
      </c>
    </row>
    <row r="1120" ht="15" customHeight="1" s="60">
      <c r="A1120" s="59" t="n">
        <v>1</v>
      </c>
      <c r="B1120" s="59" t="n">
        <v>1035089</v>
      </c>
      <c r="C1120" s="59" t="inlineStr">
        <is>
          <t>1</t>
        </is>
      </c>
      <c r="D1120" s="59" t="inlineStr">
        <is>
          <t>34579060000122</t>
        </is>
      </c>
      <c r="E1120" s="75" t="n">
        <v>46239</v>
      </c>
      <c r="F1120" s="75" t="n">
        <v>46237</v>
      </c>
      <c r="G1120" s="59" t="inlineStr">
        <is>
          <t>BROTHERS  INDUSTRIA DE ALIMENTOS LTDA</t>
        </is>
      </c>
      <c r="H1120" s="59" t="n">
        <v>1505157</v>
      </c>
      <c r="I1120" s="59" t="n">
        <v>11</v>
      </c>
      <c r="J1120" s="59" t="inlineStr">
        <is>
          <t>AM</t>
        </is>
      </c>
      <c r="K1120" s="126" t="n">
        <v>706.95</v>
      </c>
    </row>
    <row r="1121" ht="15" customHeight="1" s="60">
      <c r="A1121" s="59" t="n">
        <v>1</v>
      </c>
      <c r="B1121" s="59" t="n">
        <v>1399</v>
      </c>
      <c r="C1121" s="59" t="inlineStr">
        <is>
          <t>1</t>
        </is>
      </c>
      <c r="D1121" s="59" t="inlineStr">
        <is>
          <t>20051932000170</t>
        </is>
      </c>
      <c r="E1121" s="75" t="n">
        <v>46239</v>
      </c>
      <c r="F1121" s="75" t="n">
        <v>46238</v>
      </c>
      <c r="G1121" s="59" t="inlineStr">
        <is>
          <t>ESDRAS COMERCIO DE MATERIAIS ELETRICOS E</t>
        </is>
      </c>
      <c r="H1121" s="59" t="n">
        <v>1504385</v>
      </c>
      <c r="I1121" s="59" t="n">
        <v>11</v>
      </c>
      <c r="J1121" s="59" t="inlineStr">
        <is>
          <t>AM</t>
        </is>
      </c>
      <c r="K1121" s="126" t="n">
        <v>280</v>
      </c>
    </row>
    <row r="1122" ht="15" customHeight="1" s="60">
      <c r="A1122" s="59" t="n">
        <v>1</v>
      </c>
      <c r="B1122" s="59" t="n">
        <v>122</v>
      </c>
      <c r="C1122" s="59" t="inlineStr">
        <is>
          <t>1</t>
        </is>
      </c>
      <c r="D1122" s="59" t="inlineStr">
        <is>
          <t>55158713000170</t>
        </is>
      </c>
      <c r="E1122" s="75" t="n">
        <v>46239</v>
      </c>
      <c r="F1122" s="75" t="n">
        <v>46239</v>
      </c>
      <c r="G1122" s="59" t="inlineStr">
        <is>
          <t>H L M PADARIA E CONFEITARIA LTDA</t>
        </is>
      </c>
      <c r="H1122" s="59" t="n">
        <v>1508427</v>
      </c>
      <c r="I1122" s="59" t="n">
        <v>1</v>
      </c>
      <c r="J1122" s="59" t="inlineStr">
        <is>
          <t>AM</t>
        </is>
      </c>
      <c r="K1122" s="126" t="n">
        <v>280</v>
      </c>
    </row>
    <row r="1123" ht="15" customHeight="1" s="60">
      <c r="A1123" s="59" t="n">
        <v>1</v>
      </c>
      <c r="B1123" s="59" t="n">
        <v>31724</v>
      </c>
      <c r="C1123" s="59" t="inlineStr">
        <is>
          <t>1</t>
        </is>
      </c>
      <c r="D1123" s="59" t="inlineStr">
        <is>
          <t>30996759000137</t>
        </is>
      </c>
      <c r="E1123" s="75" t="n">
        <v>46239</v>
      </c>
      <c r="F1123" s="75" t="n">
        <v>46237</v>
      </c>
      <c r="G1123" s="59" t="inlineStr">
        <is>
          <t>LIMA E BARANDA COMERCIO DE PRODUTOS REGI</t>
        </is>
      </c>
      <c r="H1123" s="59" t="n">
        <v>1505035</v>
      </c>
      <c r="I1123" s="59" t="n">
        <v>11</v>
      </c>
      <c r="J1123" s="59" t="inlineStr">
        <is>
          <t>AM</t>
        </is>
      </c>
      <c r="K1123" s="126" t="n">
        <v>363.5</v>
      </c>
    </row>
    <row r="1124" ht="15" customHeight="1" s="60">
      <c r="A1124" s="59" t="n">
        <v>1</v>
      </c>
      <c r="B1124" s="59" t="n">
        <v>1408028</v>
      </c>
      <c r="C1124" s="59" t="inlineStr">
        <is>
          <t>1</t>
        </is>
      </c>
      <c r="D1124" s="59" t="inlineStr">
        <is>
          <t>02887227000207</t>
        </is>
      </c>
      <c r="E1124" s="75" t="n">
        <v>46239</v>
      </c>
      <c r="F1124" s="75" t="n">
        <v>46231</v>
      </c>
      <c r="G1124" s="59" t="inlineStr">
        <is>
          <t>MARE DISTRIBUIDORA DE BEBIDAS E DE PRODUTOS ALIMENTICIOS LTDA</t>
        </is>
      </c>
      <c r="H1124" s="59" t="n">
        <v>1503792</v>
      </c>
      <c r="I1124" s="59" t="n">
        <v>11</v>
      </c>
      <c r="J1124" s="59" t="inlineStr">
        <is>
          <t>AM</t>
        </is>
      </c>
      <c r="K1124" s="126" t="n">
        <v>2781.8</v>
      </c>
    </row>
    <row r="1125" ht="15" customHeight="1" s="60">
      <c r="A1125" s="59" t="n">
        <v>1</v>
      </c>
      <c r="B1125" s="59" t="n">
        <v>745264</v>
      </c>
      <c r="C1125" s="59" t="inlineStr">
        <is>
          <t>0</t>
        </is>
      </c>
      <c r="D1125" s="59" t="inlineStr">
        <is>
          <t>08038545000107</t>
        </is>
      </c>
      <c r="E1125" s="75" t="n">
        <v>46239</v>
      </c>
      <c r="F1125" s="75" t="n">
        <v>46237</v>
      </c>
      <c r="G1125" s="59" t="inlineStr">
        <is>
          <t>NATUREZA COMERCIO DE DESCARTAVEIS LTDA</t>
        </is>
      </c>
      <c r="H1125" s="59" t="n">
        <v>1503673</v>
      </c>
      <c r="I1125" s="59" t="n">
        <v>45</v>
      </c>
      <c r="J1125" s="59" t="inlineStr">
        <is>
          <t>AM</t>
        </is>
      </c>
      <c r="K1125" s="126" t="n">
        <v>1047.59</v>
      </c>
    </row>
    <row r="1126" ht="15" customHeight="1" s="60">
      <c r="A1126" s="59" t="n">
        <v>1</v>
      </c>
      <c r="B1126" s="59" t="n">
        <v>745268</v>
      </c>
      <c r="C1126" s="59" t="inlineStr">
        <is>
          <t>0</t>
        </is>
      </c>
      <c r="D1126" s="59" t="inlineStr">
        <is>
          <t>08038545000107</t>
        </is>
      </c>
      <c r="E1126" s="75" t="n">
        <v>46239</v>
      </c>
      <c r="F1126" s="75" t="n">
        <v>46237</v>
      </c>
      <c r="G1126" s="59" t="inlineStr">
        <is>
          <t>NATUREZA COMERCIO DE DESCARTAVEIS LTDA</t>
        </is>
      </c>
      <c r="H1126" s="59" t="n">
        <v>1566807</v>
      </c>
      <c r="I1126" s="59" t="n">
        <v>11</v>
      </c>
      <c r="J1126" s="59" t="inlineStr">
        <is>
          <t>AM</t>
        </is>
      </c>
      <c r="K1126" s="126" t="n">
        <v>1997.33</v>
      </c>
    </row>
    <row r="1127" ht="15" customHeight="1" s="60">
      <c r="A1127" s="59" t="n">
        <v>1</v>
      </c>
      <c r="B1127" s="59" t="n">
        <v>42976</v>
      </c>
      <c r="C1127" s="59" t="inlineStr">
        <is>
          <t>5</t>
        </is>
      </c>
      <c r="D1127" s="59" t="inlineStr">
        <is>
          <t>03439223000148</t>
        </is>
      </c>
      <c r="E1127" s="75" t="n">
        <v>46239</v>
      </c>
      <c r="F1127" s="75" t="n">
        <v>46238</v>
      </c>
      <c r="G1127" s="59" t="inlineStr">
        <is>
          <t>NT INDUSTRIA E COMERCIO DE PANIFICACAO L</t>
        </is>
      </c>
      <c r="H1127" s="59" t="n">
        <v>1505175</v>
      </c>
      <c r="I1127" s="59" t="n">
        <v>11</v>
      </c>
      <c r="J1127" s="59" t="inlineStr">
        <is>
          <t>AM</t>
        </is>
      </c>
      <c r="K1127" s="126" t="n">
        <v>3136.93</v>
      </c>
    </row>
    <row r="1128" ht="15" customHeight="1" s="60">
      <c r="A1128" s="59" t="n">
        <v>1</v>
      </c>
      <c r="B1128" s="59" t="n">
        <v>741</v>
      </c>
      <c r="C1128" s="59" t="inlineStr">
        <is>
          <t>2</t>
        </is>
      </c>
      <c r="D1128" s="59" t="inlineStr">
        <is>
          <t>35729236000148</t>
        </is>
      </c>
      <c r="E1128" s="75" t="n">
        <v>46239</v>
      </c>
      <c r="F1128" s="75" t="n">
        <v>46237</v>
      </c>
      <c r="G1128" s="59" t="inlineStr">
        <is>
          <t>PANIFICADORA E CONFEITARIA REAL MADRI LTDA</t>
        </is>
      </c>
      <c r="H1128" s="59" t="n">
        <v>1505131</v>
      </c>
      <c r="I1128" s="59" t="n">
        <v>11</v>
      </c>
      <c r="J1128" s="59" t="inlineStr">
        <is>
          <t>AM</t>
        </is>
      </c>
      <c r="K1128" s="126" t="n">
        <v>700</v>
      </c>
    </row>
    <row r="1129" ht="15" customHeight="1" s="60">
      <c r="A1129" s="59" t="n">
        <v>1</v>
      </c>
      <c r="B1129" s="59" t="n">
        <v>742</v>
      </c>
      <c r="C1129" s="59" t="inlineStr">
        <is>
          <t>2</t>
        </is>
      </c>
      <c r="D1129" s="59" t="inlineStr">
        <is>
          <t>35729236000148</t>
        </is>
      </c>
      <c r="E1129" s="75" t="n">
        <v>46239</v>
      </c>
      <c r="F1129" s="75" t="n">
        <v>46237</v>
      </c>
      <c r="G1129" s="59" t="inlineStr">
        <is>
          <t>PANIFICADORA E CONFEITARIA REAL MADRI LTDA</t>
        </is>
      </c>
      <c r="H1129" s="59" t="n">
        <v>1505021</v>
      </c>
      <c r="I1129" s="59" t="n">
        <v>11</v>
      </c>
      <c r="J1129" s="59" t="inlineStr">
        <is>
          <t>AM</t>
        </is>
      </c>
      <c r="K1129" s="126" t="n">
        <v>474.5</v>
      </c>
    </row>
    <row r="1130" ht="15" customHeight="1" s="60">
      <c r="A1130" s="59" t="n">
        <v>1</v>
      </c>
      <c r="B1130" s="59" t="n">
        <v>5439</v>
      </c>
      <c r="C1130" s="59" t="inlineStr">
        <is>
          <t>1</t>
        </is>
      </c>
      <c r="D1130" s="59" t="inlineStr">
        <is>
          <t>36480282000119</t>
        </is>
      </c>
      <c r="E1130" s="75" t="n">
        <v>46239</v>
      </c>
      <c r="F1130" s="75" t="n">
        <v>46239</v>
      </c>
      <c r="G1130" s="59" t="inlineStr">
        <is>
          <t>RENATO DE O AZEVEDO E CIA LTDA - EPP</t>
        </is>
      </c>
      <c r="H1130" s="59" t="n">
        <v>1505339</v>
      </c>
      <c r="I1130" s="59" t="n">
        <v>6</v>
      </c>
      <c r="J1130" s="59" t="inlineStr">
        <is>
          <t>AM</t>
        </is>
      </c>
      <c r="K1130" s="126" t="n">
        <v>500</v>
      </c>
    </row>
    <row r="1131" ht="15" customHeight="1" s="60">
      <c r="A1131" s="59" t="n">
        <v>1</v>
      </c>
      <c r="B1131" s="59" t="n">
        <v>3752</v>
      </c>
      <c r="C1131" s="59" t="inlineStr">
        <is>
          <t>1</t>
        </is>
      </c>
      <c r="D1131" s="59" t="inlineStr">
        <is>
          <t>10288430000104</t>
        </is>
      </c>
      <c r="E1131" s="75" t="n">
        <v>46239</v>
      </c>
      <c r="F1131" s="75" t="n">
        <v>46235</v>
      </c>
      <c r="G1131" s="59" t="inlineStr">
        <is>
          <t>SAO JOSE COMERCIO DE LATICINIOS E FRIOS</t>
        </is>
      </c>
      <c r="H1131" s="59" t="n">
        <v>1505075</v>
      </c>
      <c r="I1131" s="59" t="n">
        <v>11</v>
      </c>
      <c r="J1131" s="59" t="inlineStr">
        <is>
          <t>AM</t>
        </is>
      </c>
      <c r="K1131" s="126" t="n">
        <v>965</v>
      </c>
    </row>
    <row r="1132" ht="15" customHeight="1" s="60">
      <c r="A1132" s="59" t="n">
        <v>1</v>
      </c>
      <c r="B1132" s="59" t="n">
        <v>10800</v>
      </c>
      <c r="C1132" s="59" t="inlineStr">
        <is>
          <t>1</t>
        </is>
      </c>
      <c r="D1132" s="59" t="inlineStr">
        <is>
          <t>37994707000170</t>
        </is>
      </c>
      <c r="E1132" s="75" t="n">
        <v>46239</v>
      </c>
      <c r="F1132" s="75" t="n">
        <v>46239</v>
      </c>
      <c r="G1132" s="59" t="inlineStr">
        <is>
          <t>T A DE MATTOS COMIM EIRELI</t>
        </is>
      </c>
      <c r="H1132" s="59" t="n">
        <v>1505193</v>
      </c>
      <c r="I1132" s="59" t="n">
        <v>11</v>
      </c>
      <c r="J1132" s="59" t="inlineStr">
        <is>
          <t>AM</t>
        </is>
      </c>
      <c r="K1132" s="126" t="n">
        <v>228</v>
      </c>
    </row>
    <row r="1133" ht="15" customHeight="1" s="60">
      <c r="A1133" s="59" t="n">
        <v>1</v>
      </c>
      <c r="B1133" s="59" t="n">
        <v>15204</v>
      </c>
      <c r="C1133" s="59" t="inlineStr">
        <is>
          <t>1</t>
        </is>
      </c>
      <c r="D1133" s="59" t="inlineStr">
        <is>
          <t>01215382000133</t>
        </is>
      </c>
      <c r="E1133" s="75" t="n">
        <v>46239</v>
      </c>
      <c r="F1133" s="75" t="n">
        <v>46237</v>
      </c>
      <c r="G1133" s="59" t="inlineStr">
        <is>
          <t>T. M. L. DA SILVA LTDA</t>
        </is>
      </c>
      <c r="H1133" s="59" t="n">
        <v>1505054</v>
      </c>
      <c r="I1133" s="59" t="n">
        <v>11</v>
      </c>
      <c r="J1133" s="59" t="inlineStr">
        <is>
          <t>AM</t>
        </is>
      </c>
      <c r="K1133" s="126" t="n">
        <v>659.7</v>
      </c>
    </row>
    <row r="1134" ht="15" customHeight="1" s="60">
      <c r="A1134" s="59" t="n">
        <v>1</v>
      </c>
      <c r="B1134" s="59" t="n">
        <v>4166</v>
      </c>
      <c r="C1134" s="59" t="inlineStr">
        <is>
          <t>1</t>
        </is>
      </c>
      <c r="D1134" s="59" t="inlineStr">
        <is>
          <t>30844737000151</t>
        </is>
      </c>
      <c r="E1134" s="75" t="n">
        <v>46239</v>
      </c>
      <c r="F1134" s="75" t="n">
        <v>46237</v>
      </c>
      <c r="G1134" s="59" t="inlineStr">
        <is>
          <t>TRIPLASTIK COMERCIAL</t>
        </is>
      </c>
      <c r="H1134" s="59" t="n">
        <v>1503592</v>
      </c>
      <c r="I1134" s="59" t="n">
        <v>45</v>
      </c>
      <c r="J1134" s="59" t="inlineStr">
        <is>
          <t>AM</t>
        </is>
      </c>
      <c r="K1134" s="126" t="n">
        <v>1109.15</v>
      </c>
    </row>
    <row r="1135" ht="15" customHeight="1" s="60">
      <c r="A1135" s="59" t="n">
        <v>1</v>
      </c>
      <c r="B1135" s="59" t="n">
        <v>10468</v>
      </c>
      <c r="C1135" s="59" t="inlineStr">
        <is>
          <t>2</t>
        </is>
      </c>
      <c r="D1135" s="59" t="inlineStr">
        <is>
          <t>36296113000123</t>
        </is>
      </c>
      <c r="E1135" s="75" t="n">
        <v>46239</v>
      </c>
      <c r="F1135" s="75" t="n">
        <v>46238</v>
      </c>
      <c r="G1135" s="59" t="inlineStr">
        <is>
          <t>VITAPAN COMERCIO VAREJISTA DE PRODUTOS ALIMENTICIOS LTDA</t>
        </is>
      </c>
      <c r="H1135" s="59" t="n">
        <v>1505147</v>
      </c>
      <c r="I1135" s="59" t="n">
        <v>11</v>
      </c>
      <c r="J1135" s="59" t="inlineStr">
        <is>
          <t>AM</t>
        </is>
      </c>
      <c r="K1135" s="126" t="n">
        <v>648</v>
      </c>
    </row>
    <row r="1136" ht="15" customHeight="1" s="60">
      <c r="A1136" s="59" t="n">
        <v>1</v>
      </c>
      <c r="B1136" s="59" t="n">
        <v>271909</v>
      </c>
      <c r="C1136" s="59" t="inlineStr">
        <is>
          <t>1</t>
        </is>
      </c>
      <c r="D1136" s="59" t="inlineStr">
        <is>
          <t>84526284000144</t>
        </is>
      </c>
      <c r="E1136" s="75" t="n">
        <v>46240</v>
      </c>
      <c r="F1136" s="75" t="n">
        <v>46237</v>
      </c>
      <c r="G1136" s="59" t="inlineStr">
        <is>
          <t>AMAZONIA INDUSTRIA E COMERCIO DE POLPAS</t>
        </is>
      </c>
      <c r="H1136" s="59" t="n">
        <v>1508592</v>
      </c>
      <c r="I1136" s="59" t="n">
        <v>11</v>
      </c>
      <c r="J1136" s="59" t="inlineStr">
        <is>
          <t>AM</t>
        </is>
      </c>
      <c r="K1136" s="126" t="n">
        <v>758</v>
      </c>
    </row>
    <row r="1137" ht="15" customHeight="1" s="60">
      <c r="A1137" s="59" t="n">
        <v>1</v>
      </c>
      <c r="B1137" s="59" t="n">
        <v>1915884</v>
      </c>
      <c r="C1137" s="59" t="inlineStr">
        <is>
          <t>1</t>
        </is>
      </c>
      <c r="D1137" s="59" t="inlineStr">
        <is>
          <t>75315333011909</t>
        </is>
      </c>
      <c r="E1137" s="75" t="n">
        <v>46240</v>
      </c>
      <c r="F1137" s="75" t="n">
        <v>46234</v>
      </c>
      <c r="G1137" s="59" t="inlineStr">
        <is>
          <t>ATACADAO S.A.</t>
        </is>
      </c>
      <c r="H1137" s="59" t="n">
        <v>1509709</v>
      </c>
      <c r="I1137" s="59" t="n">
        <v>11</v>
      </c>
      <c r="J1137" s="59" t="inlineStr">
        <is>
          <t>AM</t>
        </is>
      </c>
      <c r="K1137" s="126" t="n">
        <v>1795</v>
      </c>
    </row>
    <row r="1138" ht="15" customHeight="1" s="60">
      <c r="A1138" s="59" t="n">
        <v>1</v>
      </c>
      <c r="B1138" s="59" t="n">
        <v>1915885</v>
      </c>
      <c r="C1138" s="59" t="inlineStr">
        <is>
          <t>1</t>
        </is>
      </c>
      <c r="D1138" s="59" t="inlineStr">
        <is>
          <t>75315333011909</t>
        </is>
      </c>
      <c r="E1138" s="75" t="n">
        <v>46240</v>
      </c>
      <c r="F1138" s="75" t="n">
        <v>46234</v>
      </c>
      <c r="G1138" s="59" t="inlineStr">
        <is>
          <t>ATACADAO S.A.</t>
        </is>
      </c>
      <c r="H1138" s="59" t="n">
        <v>1509739</v>
      </c>
      <c r="I1138" s="59" t="n">
        <v>11</v>
      </c>
      <c r="J1138" s="59" t="inlineStr">
        <is>
          <t>AM</t>
        </is>
      </c>
      <c r="K1138" s="126" t="n">
        <v>1795</v>
      </c>
    </row>
    <row r="1139" ht="15" customHeight="1" s="60">
      <c r="A1139" s="59" t="n">
        <v>1</v>
      </c>
      <c r="B1139" s="59" t="n">
        <v>1915886</v>
      </c>
      <c r="C1139" s="59" t="inlineStr">
        <is>
          <t>1</t>
        </is>
      </c>
      <c r="D1139" s="59" t="inlineStr">
        <is>
          <t>75315333011909</t>
        </is>
      </c>
      <c r="E1139" s="75" t="n">
        <v>46240</v>
      </c>
      <c r="F1139" s="75" t="n">
        <v>46234</v>
      </c>
      <c r="G1139" s="59" t="inlineStr">
        <is>
          <t>ATACADAO S.A.</t>
        </is>
      </c>
      <c r="H1139" s="59" t="n">
        <v>1509703</v>
      </c>
      <c r="I1139" s="59" t="n">
        <v>11</v>
      </c>
      <c r="J1139" s="59" t="inlineStr">
        <is>
          <t>AM</t>
        </is>
      </c>
      <c r="K1139" s="126" t="n">
        <v>1795</v>
      </c>
    </row>
    <row r="1140" ht="15" customHeight="1" s="60">
      <c r="A1140" s="59" t="n">
        <v>1</v>
      </c>
      <c r="B1140" s="59" t="n">
        <v>1915887</v>
      </c>
      <c r="C1140" s="59" t="inlineStr">
        <is>
          <t>1</t>
        </is>
      </c>
      <c r="D1140" s="59" t="inlineStr">
        <is>
          <t>75315333011909</t>
        </is>
      </c>
      <c r="E1140" s="75" t="n">
        <v>46240</v>
      </c>
      <c r="F1140" s="75" t="n">
        <v>46234</v>
      </c>
      <c r="G1140" s="59" t="inlineStr">
        <is>
          <t>ATACADAO S.A.</t>
        </is>
      </c>
      <c r="H1140" s="59" t="n">
        <v>1509651</v>
      </c>
      <c r="I1140" s="59" t="n">
        <v>11</v>
      </c>
      <c r="J1140" s="59" t="inlineStr">
        <is>
          <t>AM</t>
        </is>
      </c>
      <c r="K1140" s="126" t="n">
        <v>2048.4</v>
      </c>
    </row>
    <row r="1141" ht="15" customHeight="1" s="60">
      <c r="A1141" s="59" t="n">
        <v>1</v>
      </c>
      <c r="B1141" s="59" t="n">
        <v>1915888</v>
      </c>
      <c r="C1141" s="59" t="inlineStr">
        <is>
          <t>1</t>
        </is>
      </c>
      <c r="D1141" s="59" t="inlineStr">
        <is>
          <t>75315333011909</t>
        </is>
      </c>
      <c r="E1141" s="75" t="n">
        <v>46240</v>
      </c>
      <c r="F1141" s="75" t="n">
        <v>46234</v>
      </c>
      <c r="G1141" s="59" t="inlineStr">
        <is>
          <t>ATACADAO S.A.</t>
        </is>
      </c>
      <c r="H1141" s="59" t="n">
        <v>1509617</v>
      </c>
      <c r="I1141" s="59" t="n">
        <v>11</v>
      </c>
      <c r="J1141" s="59" t="inlineStr">
        <is>
          <t>AM</t>
        </is>
      </c>
      <c r="K1141" s="126" t="n">
        <v>2003.9</v>
      </c>
    </row>
    <row r="1142" ht="15" customHeight="1" s="60">
      <c r="A1142" s="59" t="n">
        <v>1</v>
      </c>
      <c r="B1142" s="59" t="n">
        <v>1915889</v>
      </c>
      <c r="C1142" s="59" t="inlineStr">
        <is>
          <t>1</t>
        </is>
      </c>
      <c r="D1142" s="59" t="inlineStr">
        <is>
          <t>75315333011909</t>
        </is>
      </c>
      <c r="E1142" s="75" t="n">
        <v>46240</v>
      </c>
      <c r="F1142" s="75" t="n">
        <v>46234</v>
      </c>
      <c r="G1142" s="59" t="inlineStr">
        <is>
          <t>ATACADAO S.A.</t>
        </is>
      </c>
      <c r="H1142" s="59" t="n">
        <v>1509592</v>
      </c>
      <c r="I1142" s="59" t="n">
        <v>11</v>
      </c>
      <c r="J1142" s="59" t="inlineStr">
        <is>
          <t>AM</t>
        </is>
      </c>
      <c r="K1142" s="126" t="n">
        <v>2022.5</v>
      </c>
    </row>
    <row r="1143" ht="15" customHeight="1" s="60">
      <c r="A1143" s="59" t="n">
        <v>1</v>
      </c>
      <c r="B1143" s="59" t="n">
        <v>168124</v>
      </c>
      <c r="C1143" s="59" t="inlineStr">
        <is>
          <t>2</t>
        </is>
      </c>
      <c r="D1143" s="59" t="inlineStr">
        <is>
          <t>04615399000176</t>
        </is>
      </c>
      <c r="E1143" s="75" t="n">
        <v>46240</v>
      </c>
      <c r="F1143" s="75" t="n">
        <v>46234</v>
      </c>
      <c r="G1143" s="59" t="inlineStr">
        <is>
          <t>ATELECOMUNICACOES E ELETRONICA MELO LTD</t>
        </is>
      </c>
      <c r="H1143" s="59" t="n">
        <v>1508938</v>
      </c>
      <c r="I1143" s="59" t="n">
        <v>40</v>
      </c>
      <c r="J1143" s="59" t="inlineStr">
        <is>
          <t>AM</t>
        </is>
      </c>
      <c r="K1143" s="126" t="n">
        <v>946.87</v>
      </c>
    </row>
    <row r="1144" ht="15" customHeight="1" s="60">
      <c r="A1144" s="59" t="n">
        <v>1</v>
      </c>
      <c r="B1144" s="59" t="n">
        <v>11530</v>
      </c>
      <c r="C1144" s="59" t="inlineStr">
        <is>
          <t>2</t>
        </is>
      </c>
      <c r="D1144" s="59" t="inlineStr">
        <is>
          <t>40810324000100</t>
        </is>
      </c>
      <c r="E1144" s="75" t="n">
        <v>46240</v>
      </c>
      <c r="F1144" s="75" t="n">
        <v>46240</v>
      </c>
      <c r="G1144" s="59" t="inlineStr">
        <is>
          <t>C. R. PARENTE ABREU</t>
        </is>
      </c>
      <c r="H1144" s="59" t="n">
        <v>1509549</v>
      </c>
      <c r="I1144" s="59" t="n">
        <v>11</v>
      </c>
      <c r="J1144" s="59" t="inlineStr">
        <is>
          <t>AM</t>
        </is>
      </c>
      <c r="K1144" s="126" t="n">
        <v>1390.42</v>
      </c>
    </row>
    <row r="1145" ht="15" customHeight="1" s="60">
      <c r="A1145" s="59" t="n">
        <v>1</v>
      </c>
      <c r="B1145" s="59" t="n">
        <v>860853</v>
      </c>
      <c r="C1145" s="59" t="inlineStr">
        <is>
          <t>1</t>
        </is>
      </c>
      <c r="D1145" s="59" t="inlineStr">
        <is>
          <t>14189432000105</t>
        </is>
      </c>
      <c r="E1145" s="75" t="n">
        <v>46240</v>
      </c>
      <c r="F1145" s="75" t="n">
        <v>46239</v>
      </c>
      <c r="G1145" s="59" t="inlineStr">
        <is>
          <t>CB COMERCIO E DISTRIBUIDORA DE ALIMENTOS</t>
        </is>
      </c>
      <c r="H1145" s="59" t="n">
        <v>1510372</v>
      </c>
      <c r="I1145" s="59" t="n">
        <v>11</v>
      </c>
      <c r="J1145" s="59" t="inlineStr">
        <is>
          <t>AM</t>
        </is>
      </c>
      <c r="K1145" s="126" t="n">
        <v>1091.73</v>
      </c>
    </row>
    <row r="1146" ht="15" customHeight="1" s="60">
      <c r="A1146" s="59" t="n">
        <v>1</v>
      </c>
      <c r="B1146" s="59" t="n">
        <v>174356</v>
      </c>
      <c r="C1146" s="59" t="inlineStr">
        <is>
          <t>1</t>
        </is>
      </c>
      <c r="D1146" s="59" t="inlineStr">
        <is>
          <t>10418161000153</t>
        </is>
      </c>
      <c r="E1146" s="75" t="n">
        <v>46240</v>
      </c>
      <c r="F1146" s="75" t="n">
        <v>46239</v>
      </c>
      <c r="G1146" s="59" t="inlineStr">
        <is>
          <t>COMERCIO DE FRIOS MANAUS LTDA</t>
        </is>
      </c>
      <c r="H1146" s="59" t="n">
        <v>1509342</v>
      </c>
      <c r="I1146" s="59" t="n">
        <v>11</v>
      </c>
      <c r="J1146" s="59" t="inlineStr">
        <is>
          <t>AM</t>
        </is>
      </c>
      <c r="K1146" s="126" t="n">
        <v>3322.1</v>
      </c>
    </row>
    <row r="1147" ht="15" customHeight="1" s="60">
      <c r="A1147" s="59" t="n">
        <v>1</v>
      </c>
      <c r="B1147" s="59" t="n">
        <v>1706774</v>
      </c>
      <c r="C1147" s="59" t="inlineStr">
        <is>
          <t>1</t>
        </is>
      </c>
      <c r="D1147" s="59" t="inlineStr">
        <is>
          <t>02796653000154</t>
        </is>
      </c>
      <c r="E1147" s="75" t="n">
        <v>46240</v>
      </c>
      <c r="F1147" s="75" t="n">
        <v>46239</v>
      </c>
      <c r="G1147" s="59" t="inlineStr">
        <is>
          <t>DISTRIBUIDORA LOPES LTDA</t>
        </is>
      </c>
      <c r="H1147" s="59" t="n">
        <v>1510435</v>
      </c>
      <c r="I1147" s="59" t="n">
        <v>11</v>
      </c>
      <c r="J1147" s="59" t="inlineStr">
        <is>
          <t>AM</t>
        </is>
      </c>
      <c r="K1147" s="126" t="n">
        <v>3442.94</v>
      </c>
    </row>
    <row r="1148" ht="15" customHeight="1" s="60">
      <c r="A1148" s="59" t="n">
        <v>1</v>
      </c>
      <c r="B1148" s="59" t="n">
        <v>1659689</v>
      </c>
      <c r="C1148" s="59" t="inlineStr">
        <is>
          <t>890</t>
        </is>
      </c>
      <c r="D1148" s="59" t="inlineStr">
        <is>
          <t>02532915340</t>
        </is>
      </c>
      <c r="E1148" s="75" t="n">
        <v>46240</v>
      </c>
      <c r="F1148" s="75" t="n">
        <v>46240</v>
      </c>
      <c r="G1148" s="59" t="inlineStr">
        <is>
          <t>EDSON AGUIAR DE SOUZA</t>
        </is>
      </c>
      <c r="H1148" s="59" t="n">
        <v>1528694</v>
      </c>
      <c r="I1148" s="59" t="n">
        <v>1</v>
      </c>
      <c r="J1148" s="59" t="inlineStr">
        <is>
          <t>AM</t>
        </is>
      </c>
      <c r="K1148" s="126" t="n">
        <v>225</v>
      </c>
    </row>
    <row r="1149" ht="15" customHeight="1" s="60">
      <c r="A1149" s="59" t="n">
        <v>1</v>
      </c>
      <c r="B1149" s="59" t="n">
        <v>1659694</v>
      </c>
      <c r="C1149" s="59" t="inlineStr">
        <is>
          <t>890</t>
        </is>
      </c>
      <c r="D1149" s="59" t="inlineStr">
        <is>
          <t>02532915340</t>
        </is>
      </c>
      <c r="E1149" s="75" t="n">
        <v>46240</v>
      </c>
      <c r="F1149" s="75" t="n">
        <v>46240</v>
      </c>
      <c r="G1149" s="59" t="inlineStr">
        <is>
          <t>EDSON AGUIAR DE SOUZA</t>
        </is>
      </c>
      <c r="H1149" s="59" t="n">
        <v>1528716</v>
      </c>
      <c r="I1149" s="59" t="n">
        <v>1</v>
      </c>
      <c r="J1149" s="59" t="inlineStr">
        <is>
          <t>AM</t>
        </is>
      </c>
      <c r="K1149" s="126" t="n">
        <v>217.5</v>
      </c>
    </row>
    <row r="1150" ht="15" customHeight="1" s="60">
      <c r="A1150" s="59" t="n">
        <v>1</v>
      </c>
      <c r="B1150" s="59" t="n">
        <v>1659706</v>
      </c>
      <c r="C1150" s="59" t="inlineStr">
        <is>
          <t>890</t>
        </is>
      </c>
      <c r="D1150" s="59" t="inlineStr">
        <is>
          <t>02532915340</t>
        </is>
      </c>
      <c r="E1150" s="75" t="n">
        <v>46240</v>
      </c>
      <c r="F1150" s="75" t="n">
        <v>46240</v>
      </c>
      <c r="G1150" s="59" t="inlineStr">
        <is>
          <t>EDSON AGUIAR DE SOUZA</t>
        </is>
      </c>
      <c r="H1150" s="59" t="n">
        <v>1528746</v>
      </c>
      <c r="I1150" s="59" t="n">
        <v>1</v>
      </c>
      <c r="J1150" s="59" t="inlineStr">
        <is>
          <t>AM</t>
        </is>
      </c>
      <c r="K1150" s="126" t="n">
        <v>171</v>
      </c>
    </row>
    <row r="1151" ht="15" customHeight="1" s="60">
      <c r="A1151" s="59" t="n">
        <v>1</v>
      </c>
      <c r="B1151" s="59" t="n">
        <v>2307727</v>
      </c>
      <c r="C1151" s="59" t="inlineStr">
        <is>
          <t>1</t>
        </is>
      </c>
      <c r="D1151" s="59" t="inlineStr">
        <is>
          <t>05402904001562</t>
        </is>
      </c>
      <c r="E1151" s="75" t="n">
        <v>46240</v>
      </c>
      <c r="F1151" s="75" t="n">
        <v>46239</v>
      </c>
      <c r="G1151" s="59" t="inlineStr">
        <is>
          <t>EMPRESA BRASILEIRA DE DISTRIBUICAO LTDA</t>
        </is>
      </c>
      <c r="H1151" s="59" t="n">
        <v>1510095</v>
      </c>
      <c r="I1151" s="59" t="n">
        <v>11</v>
      </c>
      <c r="J1151" s="59" t="inlineStr">
        <is>
          <t>AM</t>
        </is>
      </c>
      <c r="K1151" s="126" t="n">
        <v>3501.46</v>
      </c>
    </row>
    <row r="1152" ht="15" customHeight="1" s="60">
      <c r="A1152" s="59" t="n">
        <v>1</v>
      </c>
      <c r="B1152" s="59" t="n">
        <v>316329</v>
      </c>
      <c r="C1152" s="59" t="inlineStr">
        <is>
          <t>1</t>
        </is>
      </c>
      <c r="D1152" s="59" t="inlineStr">
        <is>
          <t>06257367000333</t>
        </is>
      </c>
      <c r="E1152" s="75" t="n">
        <v>46240</v>
      </c>
      <c r="F1152" s="75" t="n">
        <v>46239</v>
      </c>
      <c r="G1152" s="59" t="inlineStr">
        <is>
          <t>FENNIX BRASIL DISTRIBUIDORA DE PRODUTOS</t>
        </is>
      </c>
      <c r="H1152" s="59" t="n">
        <v>1510540</v>
      </c>
      <c r="I1152" s="59" t="n">
        <v>11</v>
      </c>
      <c r="J1152" s="59" t="inlineStr">
        <is>
          <t>AM</t>
        </is>
      </c>
      <c r="K1152" s="126" t="n">
        <v>3823.35</v>
      </c>
    </row>
    <row r="1153" ht="15" customHeight="1" s="60">
      <c r="A1153" s="59" t="n">
        <v>1</v>
      </c>
      <c r="B1153" s="59" t="n">
        <v>443</v>
      </c>
      <c r="C1153" s="59" t="inlineStr">
        <is>
          <t>2</t>
        </is>
      </c>
      <c r="D1153" s="59" t="inlineStr">
        <is>
          <t>20380110000133</t>
        </is>
      </c>
      <c r="E1153" s="75" t="n">
        <v>46240</v>
      </c>
      <c r="F1153" s="75" t="n">
        <v>46240</v>
      </c>
      <c r="G1153" s="59" t="inlineStr">
        <is>
          <t>GELO DANGELO FABRICACAO DE GELO LTDA</t>
        </is>
      </c>
      <c r="H1153" s="59" t="n">
        <v>1509405</v>
      </c>
      <c r="I1153" s="59" t="n">
        <v>1</v>
      </c>
      <c r="J1153" s="59" t="inlineStr">
        <is>
          <t>AM</t>
        </is>
      </c>
      <c r="K1153" s="126" t="n">
        <v>405.5</v>
      </c>
    </row>
    <row r="1154" ht="15" customHeight="1" s="60">
      <c r="A1154" s="59" t="n">
        <v>1</v>
      </c>
      <c r="B1154" s="59" t="n">
        <v>237</v>
      </c>
      <c r="C1154" s="59" t="inlineStr">
        <is>
          <t>1</t>
        </is>
      </c>
      <c r="D1154" s="59" t="inlineStr">
        <is>
          <t>43750457000126</t>
        </is>
      </c>
      <c r="E1154" s="75" t="n">
        <v>46240</v>
      </c>
      <c r="F1154" s="75" t="n">
        <v>46240</v>
      </c>
      <c r="G1154" s="59" t="inlineStr">
        <is>
          <t>JACKSON ROCHA NUNES</t>
        </is>
      </c>
      <c r="H1154" s="59" t="n">
        <v>1518718</v>
      </c>
      <c r="I1154" s="59" t="n">
        <v>1</v>
      </c>
      <c r="J1154" s="59" t="inlineStr">
        <is>
          <t>AM</t>
        </is>
      </c>
      <c r="K1154" s="126" t="n">
        <v>750</v>
      </c>
    </row>
    <row r="1155" ht="15" customHeight="1" s="60">
      <c r="A1155" s="59" t="n">
        <v>1</v>
      </c>
      <c r="B1155" s="59" t="n">
        <v>14959</v>
      </c>
      <c r="C1155" s="59" t="inlineStr">
        <is>
          <t>1</t>
        </is>
      </c>
      <c r="D1155" s="59" t="inlineStr">
        <is>
          <t>03784729000194</t>
        </is>
      </c>
      <c r="E1155" s="75" t="n">
        <v>46240</v>
      </c>
      <c r="F1155" s="75" t="n">
        <v>46240</v>
      </c>
      <c r="G1155" s="59" t="inlineStr">
        <is>
          <t>MAXFRI DISTRIUIDORA LTDA</t>
        </is>
      </c>
      <c r="H1155" s="59" t="n">
        <v>1509473</v>
      </c>
      <c r="I1155" s="59" t="n">
        <v>11</v>
      </c>
      <c r="J1155" s="59" t="inlineStr">
        <is>
          <t>AM</t>
        </is>
      </c>
      <c r="K1155" s="126" t="n">
        <v>3860.7</v>
      </c>
    </row>
    <row r="1156" ht="15" customHeight="1" s="60">
      <c r="A1156" s="59" t="n">
        <v>1</v>
      </c>
      <c r="B1156" s="59" t="n">
        <v>45442</v>
      </c>
      <c r="C1156" s="59" t="inlineStr">
        <is>
          <t>1</t>
        </is>
      </c>
      <c r="D1156" s="59" t="inlineStr">
        <is>
          <t>51130661000172</t>
        </is>
      </c>
      <c r="E1156" s="75" t="n">
        <v>46240</v>
      </c>
      <c r="F1156" s="75" t="n">
        <v>46239</v>
      </c>
      <c r="G1156" s="59" t="inlineStr">
        <is>
          <t>NORTELAC DISTRIBUIDORA DE FRIOS LTDA</t>
        </is>
      </c>
      <c r="H1156" s="59" t="n">
        <v>1508504</v>
      </c>
      <c r="I1156" s="59" t="n">
        <v>11</v>
      </c>
      <c r="J1156" s="59" t="inlineStr">
        <is>
          <t>AM</t>
        </is>
      </c>
      <c r="K1156" s="126" t="n">
        <v>1380</v>
      </c>
    </row>
    <row r="1157" ht="15" customHeight="1" s="60">
      <c r="A1157" s="59" t="n">
        <v>1</v>
      </c>
      <c r="B1157" s="59" t="n">
        <v>748</v>
      </c>
      <c r="C1157" s="59" t="inlineStr">
        <is>
          <t>2</t>
        </is>
      </c>
      <c r="D1157" s="59" t="inlineStr">
        <is>
          <t>35729236000148</t>
        </is>
      </c>
      <c r="E1157" s="75" t="n">
        <v>46240</v>
      </c>
      <c r="F1157" s="75" t="n">
        <v>46239</v>
      </c>
      <c r="G1157" s="59" t="inlineStr">
        <is>
          <t>PANIFICADORA E CONFEITARIA REAL MADRI LTDA</t>
        </is>
      </c>
      <c r="H1157" s="59" t="n">
        <v>1508553</v>
      </c>
      <c r="I1157" s="59" t="n">
        <v>11</v>
      </c>
      <c r="J1157" s="59" t="inlineStr">
        <is>
          <t>AM</t>
        </is>
      </c>
      <c r="K1157" s="126" t="n">
        <v>524.4</v>
      </c>
    </row>
    <row r="1158" ht="15" customHeight="1" s="60">
      <c r="A1158" s="59" t="n">
        <v>1</v>
      </c>
      <c r="B1158" s="59" t="n">
        <v>195281</v>
      </c>
      <c r="C1158" s="59" t="inlineStr">
        <is>
          <t>3</t>
        </is>
      </c>
      <c r="D1158" s="59" t="inlineStr">
        <is>
          <t>11094287000344</t>
        </is>
      </c>
      <c r="E1158" s="75" t="n">
        <v>46240</v>
      </c>
      <c r="F1158" s="75" t="n">
        <v>46239</v>
      </c>
      <c r="G1158" s="59" t="inlineStr">
        <is>
          <t>PIARARA COMERCIO, IMPORTACAO E EXPORTACAO LTDA</t>
        </is>
      </c>
      <c r="H1158" s="59" t="n">
        <v>1510496</v>
      </c>
      <c r="I1158" s="59" t="n">
        <v>11</v>
      </c>
      <c r="J1158" s="59" t="inlineStr">
        <is>
          <t>AM</t>
        </is>
      </c>
      <c r="K1158" s="126" t="n">
        <v>3492.32</v>
      </c>
    </row>
    <row r="1159" ht="15" customHeight="1" s="60">
      <c r="A1159" s="59" t="n">
        <v>1</v>
      </c>
      <c r="B1159" s="59" t="n">
        <v>615120</v>
      </c>
      <c r="C1159" s="59" t="inlineStr">
        <is>
          <t>6</t>
        </is>
      </c>
      <c r="D1159" s="59" t="inlineStr">
        <is>
          <t>06990011000304</t>
        </is>
      </c>
      <c r="E1159" s="75" t="n">
        <v>46240</v>
      </c>
      <c r="F1159" s="75" t="n">
        <v>46238</v>
      </c>
      <c r="G1159" s="59" t="inlineStr">
        <is>
          <t>REAL BEBIDAS DA AMAZONIA LTDA</t>
        </is>
      </c>
      <c r="H1159" s="59" t="n">
        <v>1508620</v>
      </c>
      <c r="I1159" s="59" t="n">
        <v>11</v>
      </c>
      <c r="J1159" s="59" t="inlineStr">
        <is>
          <t>AM</t>
        </is>
      </c>
      <c r="K1159" s="126" t="n">
        <v>630</v>
      </c>
    </row>
    <row r="1160" ht="15" customHeight="1" s="60">
      <c r="A1160" s="59" t="n">
        <v>1</v>
      </c>
      <c r="B1160" s="59" t="n">
        <v>5440</v>
      </c>
      <c r="C1160" s="59" t="inlineStr">
        <is>
          <t>1</t>
        </is>
      </c>
      <c r="D1160" s="59" t="inlineStr">
        <is>
          <t>36480282000119</t>
        </is>
      </c>
      <c r="E1160" s="75" t="n">
        <v>46240</v>
      </c>
      <c r="F1160" s="75" t="n">
        <v>46240</v>
      </c>
      <c r="G1160" s="59" t="inlineStr">
        <is>
          <t>RENATO DE O AZEVEDO E CIA LTDA - EPP</t>
        </is>
      </c>
      <c r="H1160" s="59" t="n">
        <v>1509045</v>
      </c>
      <c r="I1160" s="59" t="n">
        <v>6</v>
      </c>
      <c r="J1160" s="59" t="inlineStr">
        <is>
          <t>AM</t>
        </is>
      </c>
      <c r="K1160" s="126" t="n">
        <v>350</v>
      </c>
    </row>
    <row r="1161" ht="15" customHeight="1" s="60">
      <c r="A1161" s="59" t="n">
        <v>1</v>
      </c>
      <c r="B1161" s="59" t="n">
        <v>5441</v>
      </c>
      <c r="C1161" s="59" t="inlineStr">
        <is>
          <t>1</t>
        </is>
      </c>
      <c r="D1161" s="59" t="inlineStr">
        <is>
          <t>36480282000119</t>
        </is>
      </c>
      <c r="E1161" s="75" t="n">
        <v>46240</v>
      </c>
      <c r="F1161" s="75" t="n">
        <v>46240</v>
      </c>
      <c r="G1161" s="59" t="inlineStr">
        <is>
          <t>RENATO DE O AZEVEDO E CIA LTDA - EPP</t>
        </is>
      </c>
      <c r="H1161" s="59" t="n">
        <v>1509125</v>
      </c>
      <c r="I1161" s="59" t="n">
        <v>6</v>
      </c>
      <c r="J1161" s="59" t="inlineStr">
        <is>
          <t>AM</t>
        </is>
      </c>
      <c r="K1161" s="126" t="n">
        <v>1800</v>
      </c>
    </row>
    <row r="1162" ht="15" customHeight="1" s="60">
      <c r="A1162" s="59" t="n">
        <v>1</v>
      </c>
      <c r="B1162" s="59" t="n">
        <v>5442</v>
      </c>
      <c r="C1162" s="59" t="inlineStr">
        <is>
          <t>1</t>
        </is>
      </c>
      <c r="D1162" s="59" t="inlineStr">
        <is>
          <t>36480282000119</t>
        </is>
      </c>
      <c r="E1162" s="75" t="n">
        <v>46240</v>
      </c>
      <c r="F1162" s="75" t="n">
        <v>46240</v>
      </c>
      <c r="G1162" s="59" t="inlineStr">
        <is>
          <t>RENATO DE O AZEVEDO E CIA LTDA - EPP</t>
        </is>
      </c>
      <c r="H1162" s="59" t="n">
        <v>1509219</v>
      </c>
      <c r="I1162" s="59" t="n">
        <v>6</v>
      </c>
      <c r="J1162" s="59" t="inlineStr">
        <is>
          <t>AM</t>
        </is>
      </c>
      <c r="K1162" s="126" t="n">
        <v>420</v>
      </c>
    </row>
    <row r="1163" ht="15" customHeight="1" s="60">
      <c r="A1163" s="59" t="n">
        <v>1</v>
      </c>
      <c r="B1163" s="59" t="n">
        <v>5443</v>
      </c>
      <c r="C1163" s="59" t="inlineStr">
        <is>
          <t>1</t>
        </is>
      </c>
      <c r="D1163" s="59" t="inlineStr">
        <is>
          <t>36480282000119</t>
        </is>
      </c>
      <c r="E1163" s="75" t="n">
        <v>46240</v>
      </c>
      <c r="F1163" s="75" t="n">
        <v>46240</v>
      </c>
      <c r="G1163" s="59" t="inlineStr">
        <is>
          <t>RENATO DE O AZEVEDO E CIA LTDA - EPP</t>
        </is>
      </c>
      <c r="H1163" s="59" t="n">
        <v>1509244</v>
      </c>
      <c r="I1163" s="59" t="n">
        <v>6</v>
      </c>
      <c r="J1163" s="59" t="inlineStr">
        <is>
          <t>AM</t>
        </is>
      </c>
      <c r="K1163" s="126" t="n">
        <v>350</v>
      </c>
    </row>
    <row r="1164" ht="15" customHeight="1" s="60">
      <c r="A1164" s="59" t="n">
        <v>1</v>
      </c>
      <c r="B1164" s="59" t="n">
        <v>5444</v>
      </c>
      <c r="C1164" s="59" t="inlineStr">
        <is>
          <t>1</t>
        </is>
      </c>
      <c r="D1164" s="59" t="inlineStr">
        <is>
          <t>36480282000119</t>
        </is>
      </c>
      <c r="E1164" s="75" t="n">
        <v>46240</v>
      </c>
      <c r="F1164" s="75" t="n">
        <v>46240</v>
      </c>
      <c r="G1164" s="59" t="inlineStr">
        <is>
          <t>RENATO DE O AZEVEDO E CIA LTDA - EPP</t>
        </is>
      </c>
      <c r="H1164" s="59" t="n">
        <v>1509334</v>
      </c>
      <c r="I1164" s="59" t="n">
        <v>6</v>
      </c>
      <c r="J1164" s="59" t="inlineStr">
        <is>
          <t>AM</t>
        </is>
      </c>
      <c r="K1164" s="126" t="n">
        <v>350</v>
      </c>
    </row>
    <row r="1165" ht="15" customHeight="1" s="60">
      <c r="A1165" s="59" t="n">
        <v>1</v>
      </c>
      <c r="B1165" s="59" t="n">
        <v>32272</v>
      </c>
      <c r="C1165" s="59" t="inlineStr">
        <is>
          <t>1</t>
        </is>
      </c>
      <c r="D1165" s="59" t="inlineStr">
        <is>
          <t>30652116000176</t>
        </is>
      </c>
      <c r="E1165" s="75" t="n">
        <v>46240</v>
      </c>
      <c r="F1165" s="75" t="n">
        <v>46240</v>
      </c>
      <c r="G1165" s="59" t="inlineStr">
        <is>
          <t>SILVA E SANTOS FRIGORIFICO LTDA</t>
        </is>
      </c>
      <c r="H1165" s="59" t="n">
        <v>1509269</v>
      </c>
      <c r="I1165" s="59" t="n">
        <v>11</v>
      </c>
      <c r="J1165" s="59" t="inlineStr">
        <is>
          <t>AM</t>
        </is>
      </c>
      <c r="K1165" s="126" t="n">
        <v>1968.7</v>
      </c>
    </row>
    <row r="1166" ht="15" customHeight="1" s="60">
      <c r="A1166" s="59" t="n">
        <v>1</v>
      </c>
      <c r="B1166" s="59" t="n">
        <v>585245</v>
      </c>
      <c r="C1166" s="59" t="inlineStr">
        <is>
          <t>1</t>
        </is>
      </c>
      <c r="D1166" s="59" t="inlineStr">
        <is>
          <t>05498763000128</t>
        </is>
      </c>
      <c r="E1166" s="75" t="n">
        <v>46240</v>
      </c>
      <c r="F1166" s="75" t="n">
        <v>46239</v>
      </c>
      <c r="G1166" s="59" t="inlineStr">
        <is>
          <t>TAPAJOS COM DE PERFUMARIA COSMETICOS E G</t>
        </is>
      </c>
      <c r="H1166" s="59" t="n">
        <v>1509926</v>
      </c>
      <c r="I1166" s="59" t="n">
        <v>11</v>
      </c>
      <c r="J1166" s="59" t="inlineStr">
        <is>
          <t>AM</t>
        </is>
      </c>
      <c r="K1166" s="126" t="n">
        <v>2040.3</v>
      </c>
    </row>
    <row r="1167" ht="15" customHeight="1" s="60">
      <c r="A1167" s="59" t="n">
        <v>1</v>
      </c>
      <c r="B1167" s="59" t="n">
        <v>4014</v>
      </c>
      <c r="C1167" s="59" t="inlineStr">
        <is>
          <t>3</t>
        </is>
      </c>
      <c r="D1167" s="59" t="inlineStr">
        <is>
          <t>37225449000168</t>
        </is>
      </c>
      <c r="E1167" s="75" t="n">
        <v>46240</v>
      </c>
      <c r="F1167" s="75" t="n">
        <v>46239</v>
      </c>
      <c r="G1167" s="59" t="inlineStr">
        <is>
          <t>VOVO DIZA COMERCIO VAREJISTA DE HORTALICAS LTDA</t>
        </is>
      </c>
      <c r="H1167" s="59" t="n">
        <v>1508398</v>
      </c>
      <c r="I1167" s="59" t="n">
        <v>1</v>
      </c>
      <c r="J1167" s="59" t="inlineStr">
        <is>
          <t>AM</t>
        </is>
      </c>
      <c r="K1167" s="126" t="n">
        <v>160</v>
      </c>
    </row>
    <row r="1168" ht="15" customHeight="1" s="60">
      <c r="A1168" s="59" t="n">
        <v>1</v>
      </c>
      <c r="B1168" s="59" t="n">
        <v>889410</v>
      </c>
      <c r="C1168" s="59" t="inlineStr">
        <is>
          <t>1</t>
        </is>
      </c>
      <c r="D1168" s="59" t="inlineStr">
        <is>
          <t>04724476000126</t>
        </is>
      </c>
      <c r="E1168" s="75" t="n">
        <v>46241</v>
      </c>
      <c r="F1168" s="75" t="n">
        <v>46239</v>
      </c>
      <c r="G1168" s="59" t="inlineStr">
        <is>
          <t>ADRIANA DISTRIBUIDORA DE PRODUTOS ALIMEN</t>
        </is>
      </c>
      <c r="H1168" s="59" t="n">
        <v>1513562</v>
      </c>
      <c r="I1168" s="59" t="n">
        <v>11</v>
      </c>
      <c r="J1168" s="59" t="inlineStr">
        <is>
          <t>AM</t>
        </is>
      </c>
      <c r="K1168" s="126" t="n">
        <v>4357.33</v>
      </c>
    </row>
    <row r="1169" ht="15" customHeight="1" s="60">
      <c r="A1169" s="59" t="n">
        <v>1</v>
      </c>
      <c r="B1169" s="59" t="n">
        <v>354</v>
      </c>
      <c r="C1169" s="59" t="inlineStr">
        <is>
          <t>1</t>
        </is>
      </c>
      <c r="D1169" s="59" t="inlineStr">
        <is>
          <t>34787423000115</t>
        </is>
      </c>
      <c r="E1169" s="75" t="n">
        <v>46241</v>
      </c>
      <c r="F1169" s="75" t="n">
        <v>46239</v>
      </c>
      <c r="G1169" s="59" t="inlineStr">
        <is>
          <t>ADRIANO FEITOSA OLIVEIRA LTDA</t>
        </is>
      </c>
      <c r="H1169" s="59" t="n">
        <v>1513487</v>
      </c>
      <c r="I1169" s="59" t="n">
        <v>11</v>
      </c>
      <c r="J1169" s="59" t="inlineStr">
        <is>
          <t>AM</t>
        </is>
      </c>
      <c r="K1169" s="126" t="n">
        <v>3354.4</v>
      </c>
    </row>
    <row r="1170" ht="15" customHeight="1" s="60">
      <c r="A1170" s="59" t="n">
        <v>1</v>
      </c>
      <c r="B1170" s="59" t="n">
        <v>1616568</v>
      </c>
      <c r="C1170" s="59" t="inlineStr">
        <is>
          <t>1</t>
        </is>
      </c>
      <c r="D1170" s="59" t="inlineStr">
        <is>
          <t>01838723026193</t>
        </is>
      </c>
      <c r="E1170" s="75" t="n">
        <v>46241</v>
      </c>
      <c r="F1170" s="75" t="n">
        <v>46241</v>
      </c>
      <c r="G1170" s="59" t="inlineStr">
        <is>
          <t>BRF S A</t>
        </is>
      </c>
      <c r="H1170" s="59" t="n">
        <v>1515620</v>
      </c>
      <c r="I1170" s="59" t="n">
        <v>11</v>
      </c>
      <c r="J1170" s="59" t="inlineStr">
        <is>
          <t>AM</t>
        </is>
      </c>
      <c r="K1170" s="126" t="n">
        <v>1269.45</v>
      </c>
    </row>
    <row r="1171" ht="15" customHeight="1" s="60">
      <c r="A1171" s="59" t="n">
        <v>1</v>
      </c>
      <c r="B1171" s="59" t="n">
        <v>1616799</v>
      </c>
      <c r="C1171" s="59" t="inlineStr">
        <is>
          <t>1</t>
        </is>
      </c>
      <c r="D1171" s="59" t="inlineStr">
        <is>
          <t>01838723026193</t>
        </is>
      </c>
      <c r="E1171" s="75" t="n">
        <v>46241</v>
      </c>
      <c r="F1171" s="75" t="n">
        <v>46241</v>
      </c>
      <c r="G1171" s="59" t="inlineStr">
        <is>
          <t>BRF S A</t>
        </is>
      </c>
      <c r="H1171" s="59" t="n">
        <v>1515530</v>
      </c>
      <c r="I1171" s="59" t="n">
        <v>11</v>
      </c>
      <c r="J1171" s="59" t="inlineStr">
        <is>
          <t>AM</t>
        </is>
      </c>
      <c r="K1171" s="126" t="n">
        <v>6203.33</v>
      </c>
    </row>
    <row r="1172" ht="15" customHeight="1" s="60">
      <c r="A1172" s="59" t="n">
        <v>1</v>
      </c>
      <c r="B1172" s="59" t="n">
        <v>5456</v>
      </c>
      <c r="C1172" s="59" t="inlineStr">
        <is>
          <t>1</t>
        </is>
      </c>
      <c r="D1172" s="59" t="inlineStr">
        <is>
          <t>09531992000158</t>
        </is>
      </c>
      <c r="E1172" s="75" t="n">
        <v>46241</v>
      </c>
      <c r="F1172" s="75" t="n">
        <v>46241</v>
      </c>
      <c r="G1172" s="59" t="inlineStr">
        <is>
          <t>COMERCIO E TRANSPORTE BRANDAO LTDA</t>
        </is>
      </c>
      <c r="H1172" s="59" t="n">
        <v>1514916</v>
      </c>
      <c r="I1172" s="59" t="n">
        <v>6</v>
      </c>
      <c r="J1172" s="59" t="inlineStr">
        <is>
          <t>AM</t>
        </is>
      </c>
      <c r="K1172" s="126" t="n">
        <v>1610</v>
      </c>
    </row>
    <row r="1173" ht="15" customHeight="1" s="60">
      <c r="A1173" s="59" t="n">
        <v>1</v>
      </c>
      <c r="B1173" s="59" t="n">
        <v>1707352</v>
      </c>
      <c r="C1173" s="59" t="inlineStr">
        <is>
          <t>1</t>
        </is>
      </c>
      <c r="D1173" s="59" t="inlineStr">
        <is>
          <t>02796653000154</t>
        </is>
      </c>
      <c r="E1173" s="75" t="n">
        <v>46241</v>
      </c>
      <c r="F1173" s="75" t="n">
        <v>46240</v>
      </c>
      <c r="G1173" s="59" t="inlineStr">
        <is>
          <t>DISTRIBUIDORA LOPES LTDA</t>
        </is>
      </c>
      <c r="H1173" s="59" t="n">
        <v>1514803</v>
      </c>
      <c r="I1173" s="59" t="n">
        <v>11</v>
      </c>
      <c r="J1173" s="59" t="inlineStr">
        <is>
          <t>AM</t>
        </is>
      </c>
      <c r="K1173" s="126" t="n">
        <v>2917.99</v>
      </c>
    </row>
    <row r="1174" ht="15" customHeight="1" s="60">
      <c r="A1174" s="59" t="n">
        <v>1</v>
      </c>
      <c r="B1174" s="59" t="n">
        <v>228213</v>
      </c>
      <c r="C1174" s="59" t="inlineStr">
        <is>
          <t>2</t>
        </is>
      </c>
      <c r="D1174" s="59" t="inlineStr">
        <is>
          <t>05646631000104</t>
        </is>
      </c>
      <c r="E1174" s="75" t="n">
        <v>46241</v>
      </c>
      <c r="F1174" s="75" t="n">
        <v>46241</v>
      </c>
      <c r="G1174" s="59" t="inlineStr">
        <is>
          <t>FRUTAL INDUSTRIA E COMERCIO LTDA</t>
        </is>
      </c>
      <c r="H1174" s="59" t="n">
        <v>1515377</v>
      </c>
      <c r="I1174" s="59" t="n">
        <v>11</v>
      </c>
      <c r="J1174" s="59" t="inlineStr">
        <is>
          <t>AM</t>
        </is>
      </c>
      <c r="K1174" s="126" t="n">
        <v>205.32</v>
      </c>
    </row>
    <row r="1175" ht="15" customHeight="1" s="60">
      <c r="A1175" s="59" t="n">
        <v>1</v>
      </c>
      <c r="B1175" s="59" t="n">
        <v>131</v>
      </c>
      <c r="C1175" s="59" t="inlineStr">
        <is>
          <t>1</t>
        </is>
      </c>
      <c r="D1175" s="59" t="inlineStr">
        <is>
          <t>55158713000170</t>
        </is>
      </c>
      <c r="E1175" s="75" t="n">
        <v>46241</v>
      </c>
      <c r="F1175" s="75" t="n">
        <v>46241</v>
      </c>
      <c r="G1175" s="59" t="inlineStr">
        <is>
          <t>H L M PADARIA E CONFEITARIA LTDA</t>
        </is>
      </c>
      <c r="H1175" s="59" t="n">
        <v>1515613</v>
      </c>
      <c r="I1175" s="59" t="n">
        <v>1</v>
      </c>
      <c r="J1175" s="59" t="inlineStr">
        <is>
          <t>AM</t>
        </is>
      </c>
      <c r="K1175" s="126" t="n">
        <v>420</v>
      </c>
    </row>
    <row r="1176" ht="15" customHeight="1" s="60">
      <c r="A1176" s="59" t="n">
        <v>1</v>
      </c>
      <c r="B1176" s="59" t="n">
        <v>396</v>
      </c>
      <c r="C1176" s="59" t="inlineStr">
        <is>
          <t>1</t>
        </is>
      </c>
      <c r="D1176" s="59" t="inlineStr">
        <is>
          <t>63502353000100</t>
        </is>
      </c>
      <c r="E1176" s="75" t="n">
        <v>46241</v>
      </c>
      <c r="F1176" s="75" t="n">
        <v>46241</v>
      </c>
      <c r="G1176" s="59" t="inlineStr">
        <is>
          <t>J W N DOS SANTOS</t>
        </is>
      </c>
      <c r="H1176" s="59" t="n">
        <v>1518708</v>
      </c>
      <c r="I1176" s="59" t="n">
        <v>1</v>
      </c>
      <c r="J1176" s="59" t="inlineStr">
        <is>
          <t>AM</t>
        </is>
      </c>
      <c r="K1176" s="126" t="n">
        <v>470</v>
      </c>
    </row>
    <row r="1177" ht="15" customHeight="1" s="60">
      <c r="A1177" s="59" t="n">
        <v>1</v>
      </c>
      <c r="B1177" s="59" t="n">
        <v>526</v>
      </c>
      <c r="C1177" s="59" t="inlineStr">
        <is>
          <t>1</t>
        </is>
      </c>
      <c r="D1177" s="59" t="inlineStr">
        <is>
          <t>42564964000102</t>
        </is>
      </c>
      <c r="E1177" s="75" t="n">
        <v>46241</v>
      </c>
      <c r="F1177" s="75" t="n">
        <v>46241</v>
      </c>
      <c r="G1177" s="59" t="inlineStr">
        <is>
          <t>LOURIVAL ALMEIDA DA SILVA 17128784845</t>
        </is>
      </c>
      <c r="H1177" s="59" t="n">
        <v>1515625</v>
      </c>
      <c r="I1177" s="59" t="n">
        <v>1</v>
      </c>
      <c r="J1177" s="59" t="inlineStr">
        <is>
          <t>AM</t>
        </is>
      </c>
      <c r="K1177" s="126" t="n">
        <v>160.32</v>
      </c>
    </row>
    <row r="1178" ht="15" customHeight="1" s="60">
      <c r="A1178" s="59" t="n">
        <v>1</v>
      </c>
      <c r="B1178" s="59" t="n">
        <v>1046</v>
      </c>
      <c r="C1178" s="59" t="inlineStr">
        <is>
          <t>1</t>
        </is>
      </c>
      <c r="D1178" s="59" t="inlineStr">
        <is>
          <t>36390319000118</t>
        </is>
      </c>
      <c r="E1178" s="75" t="n">
        <v>46241</v>
      </c>
      <c r="F1178" s="75" t="n">
        <v>46241</v>
      </c>
      <c r="G1178" s="59" t="inlineStr">
        <is>
          <t>MELISSA COMERCIO E DISTRIBUIDORA DE GAS</t>
        </is>
      </c>
      <c r="H1178" s="59" t="n">
        <v>1518728</v>
      </c>
      <c r="I1178" s="59" t="n">
        <v>1</v>
      </c>
      <c r="J1178" s="59" t="inlineStr">
        <is>
          <t>AM</t>
        </is>
      </c>
      <c r="K1178" s="126" t="n">
        <v>180</v>
      </c>
    </row>
    <row r="1179" ht="15" customHeight="1" s="60">
      <c r="A1179" s="59" t="n">
        <v>1</v>
      </c>
      <c r="B1179" s="59" t="n">
        <v>43208</v>
      </c>
      <c r="C1179" s="59" t="inlineStr">
        <is>
          <t>5</t>
        </is>
      </c>
      <c r="D1179" s="59" t="inlineStr">
        <is>
          <t>03439223000148</t>
        </is>
      </c>
      <c r="E1179" s="75" t="n">
        <v>46241</v>
      </c>
      <c r="F1179" s="75" t="n">
        <v>46240</v>
      </c>
      <c r="G1179" s="59" t="inlineStr">
        <is>
          <t>NT INDUSTRIA E COMERCIO DE PANIFICACAO L</t>
        </is>
      </c>
      <c r="H1179" s="59" t="n">
        <v>1515421</v>
      </c>
      <c r="I1179" s="59" t="n">
        <v>11</v>
      </c>
      <c r="J1179" s="59" t="inlineStr">
        <is>
          <t>AM</t>
        </is>
      </c>
      <c r="K1179" s="126" t="n">
        <v>367.29</v>
      </c>
    </row>
    <row r="1180" ht="15" customHeight="1" s="60">
      <c r="A1180" s="59" t="n">
        <v>1</v>
      </c>
      <c r="B1180" s="59" t="n">
        <v>144460</v>
      </c>
      <c r="C1180" s="59" t="inlineStr">
        <is>
          <t>1</t>
        </is>
      </c>
      <c r="D1180" s="59" t="inlineStr">
        <is>
          <t>03439223000148</t>
        </is>
      </c>
      <c r="E1180" s="75" t="n">
        <v>46241</v>
      </c>
      <c r="F1180" s="75" t="n">
        <v>46240</v>
      </c>
      <c r="G1180" s="59" t="inlineStr">
        <is>
          <t>NT INDUSTRIA E COMERCIO DE PANIFICACAO L</t>
        </is>
      </c>
      <c r="H1180" s="59" t="n">
        <v>1515432</v>
      </c>
      <c r="I1180" s="59" t="n">
        <v>11</v>
      </c>
      <c r="J1180" s="59" t="inlineStr">
        <is>
          <t>AM</t>
        </is>
      </c>
      <c r="K1180" s="126" t="n">
        <v>353.4</v>
      </c>
    </row>
    <row r="1181" ht="15" customHeight="1" s="60">
      <c r="A1181" s="59" t="n">
        <v>1</v>
      </c>
      <c r="B1181" s="59" t="n">
        <v>749</v>
      </c>
      <c r="C1181" s="59" t="inlineStr">
        <is>
          <t>2</t>
        </is>
      </c>
      <c r="D1181" s="59" t="inlineStr">
        <is>
          <t>35729236000148</t>
        </is>
      </c>
      <c r="E1181" s="75" t="n">
        <v>46241</v>
      </c>
      <c r="F1181" s="75" t="n">
        <v>46240</v>
      </c>
      <c r="G1181" s="59" t="inlineStr">
        <is>
          <t>PANIFICADORA E CONFEITARIA REAL MADRI LTDA</t>
        </is>
      </c>
      <c r="H1181" s="59" t="n">
        <v>1515487</v>
      </c>
      <c r="I1181" s="59" t="n">
        <v>11</v>
      </c>
      <c r="J1181" s="59" t="inlineStr">
        <is>
          <t>AM</t>
        </is>
      </c>
      <c r="K1181" s="126" t="n">
        <v>420</v>
      </c>
    </row>
    <row r="1182" ht="15" customHeight="1" s="60">
      <c r="A1182" s="59" t="n">
        <v>1</v>
      </c>
      <c r="B1182" s="59" t="n">
        <v>750</v>
      </c>
      <c r="C1182" s="59" t="inlineStr">
        <is>
          <t>2</t>
        </is>
      </c>
      <c r="D1182" s="59" t="inlineStr">
        <is>
          <t>35729236000148</t>
        </is>
      </c>
      <c r="E1182" s="75" t="n">
        <v>46241</v>
      </c>
      <c r="F1182" s="75" t="n">
        <v>46240</v>
      </c>
      <c r="G1182" s="59" t="inlineStr">
        <is>
          <t>PANIFICADORA E CONFEITARIA REAL MADRI LTDA</t>
        </is>
      </c>
      <c r="H1182" s="59" t="n">
        <v>1515496</v>
      </c>
      <c r="I1182" s="59" t="n">
        <v>11</v>
      </c>
      <c r="J1182" s="59" t="inlineStr">
        <is>
          <t>AM</t>
        </is>
      </c>
      <c r="K1182" s="126" t="n">
        <v>490</v>
      </c>
    </row>
    <row r="1183" ht="15" customHeight="1" s="60">
      <c r="A1183" s="59" t="n">
        <v>1</v>
      </c>
      <c r="B1183" s="59" t="n">
        <v>5453</v>
      </c>
      <c r="C1183" s="59" t="inlineStr">
        <is>
          <t>1</t>
        </is>
      </c>
      <c r="D1183" s="59" t="inlineStr">
        <is>
          <t>36480282000119</t>
        </is>
      </c>
      <c r="E1183" s="75" t="n">
        <v>46241</v>
      </c>
      <c r="F1183" s="75" t="n">
        <v>46241</v>
      </c>
      <c r="G1183" s="59" t="inlineStr">
        <is>
          <t>RENATO DE O AZEVEDO E CIA LTDA - EPP</t>
        </is>
      </c>
      <c r="H1183" s="59" t="n">
        <v>1514611</v>
      </c>
      <c r="I1183" s="59" t="n">
        <v>6</v>
      </c>
      <c r="J1183" s="59" t="inlineStr">
        <is>
          <t>AM</t>
        </is>
      </c>
      <c r="K1183" s="126" t="n">
        <v>3404</v>
      </c>
    </row>
    <row r="1184" ht="15" customHeight="1" s="60">
      <c r="A1184" s="59" t="n">
        <v>1</v>
      </c>
      <c r="B1184" s="59" t="n">
        <v>5454</v>
      </c>
      <c r="C1184" s="59" t="inlineStr">
        <is>
          <t>1</t>
        </is>
      </c>
      <c r="D1184" s="59" t="inlineStr">
        <is>
          <t>36480282000119</t>
        </is>
      </c>
      <c r="E1184" s="75" t="n">
        <v>46241</v>
      </c>
      <c r="F1184" s="75" t="n">
        <v>46241</v>
      </c>
      <c r="G1184" s="59" t="inlineStr">
        <is>
          <t>RENATO DE O AZEVEDO E CIA LTDA - EPP</t>
        </is>
      </c>
      <c r="H1184" s="59" t="n">
        <v>1514687</v>
      </c>
      <c r="I1184" s="59" t="n">
        <v>6</v>
      </c>
      <c r="J1184" s="59" t="inlineStr">
        <is>
          <t>AM</t>
        </is>
      </c>
      <c r="K1184" s="126" t="n">
        <v>830</v>
      </c>
    </row>
    <row r="1185" ht="15" customHeight="1" s="60">
      <c r="A1185" s="59" t="n">
        <v>1</v>
      </c>
      <c r="B1185" s="59" t="n">
        <v>5455</v>
      </c>
      <c r="C1185" s="59" t="inlineStr">
        <is>
          <t>1</t>
        </is>
      </c>
      <c r="D1185" s="59" t="inlineStr">
        <is>
          <t>36480282000119</t>
        </is>
      </c>
      <c r="E1185" s="75" t="n">
        <v>46241</v>
      </c>
      <c r="F1185" s="75" t="n">
        <v>46241</v>
      </c>
      <c r="G1185" s="59" t="inlineStr">
        <is>
          <t>RENATO DE O AZEVEDO E CIA LTDA - EPP</t>
        </is>
      </c>
      <c r="H1185" s="59" t="n">
        <v>1514851</v>
      </c>
      <c r="I1185" s="59" t="n">
        <v>6</v>
      </c>
      <c r="J1185" s="59" t="inlineStr">
        <is>
          <t>AM</t>
        </is>
      </c>
      <c r="K1185" s="126" t="n">
        <v>3382</v>
      </c>
    </row>
    <row r="1186" ht="15" customHeight="1" s="60">
      <c r="A1186" s="59" t="n">
        <v>1</v>
      </c>
      <c r="B1186" s="59" t="n">
        <v>667391</v>
      </c>
      <c r="C1186" s="59" t="inlineStr">
        <is>
          <t>1</t>
        </is>
      </c>
      <c r="D1186" s="59" t="inlineStr">
        <is>
          <t>84117159000180</t>
        </is>
      </c>
      <c r="E1186" s="75" t="n">
        <v>46241</v>
      </c>
      <c r="F1186" s="75" t="n">
        <v>46239</v>
      </c>
      <c r="G1186" s="59" t="inlineStr">
        <is>
          <t>RISADINHA LTDA</t>
        </is>
      </c>
      <c r="H1186" s="59" t="n">
        <v>1513663</v>
      </c>
      <c r="I1186" s="59" t="n">
        <v>11</v>
      </c>
      <c r="J1186" s="59" t="inlineStr">
        <is>
          <t>AM</t>
        </is>
      </c>
      <c r="K1186" s="126" t="n">
        <v>2817.2</v>
      </c>
    </row>
    <row r="1187" ht="15" customHeight="1" s="60">
      <c r="A1187" s="59" t="n">
        <v>1</v>
      </c>
      <c r="B1187" s="59" t="n">
        <v>249</v>
      </c>
      <c r="C1187" s="59" t="inlineStr">
        <is>
          <t>1</t>
        </is>
      </c>
      <c r="D1187" s="59" t="inlineStr">
        <is>
          <t>44389472000153</t>
        </is>
      </c>
      <c r="E1187" s="75" t="n">
        <v>46241</v>
      </c>
      <c r="F1187" s="75" t="n">
        <v>46241</v>
      </c>
      <c r="G1187" s="59" t="inlineStr">
        <is>
          <t>TEMPERO BOM PRECO</t>
        </is>
      </c>
      <c r="H1187" s="59" t="n">
        <v>1514441</v>
      </c>
      <c r="I1187" s="59" t="n">
        <v>11</v>
      </c>
      <c r="J1187" s="59" t="inlineStr">
        <is>
          <t>AM</t>
        </is>
      </c>
      <c r="K1187" s="126" t="n">
        <v>435.4</v>
      </c>
    </row>
    <row r="1188" ht="15" customHeight="1" s="60">
      <c r="A1188" s="59" t="n">
        <v>1</v>
      </c>
      <c r="B1188" s="59" t="n">
        <v>578</v>
      </c>
      <c r="C1188" s="59" t="inlineStr">
        <is>
          <t>1</t>
        </is>
      </c>
      <c r="D1188" s="59" t="inlineStr">
        <is>
          <t>47496330000183</t>
        </is>
      </c>
      <c r="E1188" s="75" t="n">
        <v>46242</v>
      </c>
      <c r="F1188" s="75" t="n">
        <v>46241</v>
      </c>
      <c r="G1188" s="59" t="inlineStr">
        <is>
          <t>ADICSO FABIAN GONZALEZ MONTILLA 70302186</t>
        </is>
      </c>
      <c r="H1188" s="59" t="n">
        <v>1517773</v>
      </c>
      <c r="I1188" s="59" t="n">
        <v>11</v>
      </c>
      <c r="J1188" s="59" t="inlineStr">
        <is>
          <t>AM</t>
        </is>
      </c>
      <c r="K1188" s="126" t="n">
        <v>1152</v>
      </c>
    </row>
    <row r="1189" ht="15" customHeight="1" s="60">
      <c r="A1189" s="59" t="n">
        <v>1</v>
      </c>
      <c r="B1189" s="59" t="n">
        <v>1916562</v>
      </c>
      <c r="C1189" s="59" t="inlineStr">
        <is>
          <t>1</t>
        </is>
      </c>
      <c r="D1189" s="59" t="inlineStr">
        <is>
          <t>75315333011909</t>
        </is>
      </c>
      <c r="E1189" s="75" t="n">
        <v>46242</v>
      </c>
      <c r="F1189" s="75" t="n">
        <v>46239</v>
      </c>
      <c r="G1189" s="59" t="inlineStr">
        <is>
          <t>ATACADAO S.A.</t>
        </is>
      </c>
      <c r="H1189" s="59" t="n">
        <v>1517342</v>
      </c>
      <c r="I1189" s="59" t="n">
        <v>11</v>
      </c>
      <c r="J1189" s="59" t="inlineStr">
        <is>
          <t>AM</t>
        </is>
      </c>
      <c r="K1189" s="126" t="n">
        <v>1993.17</v>
      </c>
    </row>
    <row r="1190" ht="15" customHeight="1" s="60">
      <c r="A1190" s="59" t="n">
        <v>1</v>
      </c>
      <c r="B1190" s="59" t="n">
        <v>1916563</v>
      </c>
      <c r="C1190" s="59" t="inlineStr">
        <is>
          <t>1</t>
        </is>
      </c>
      <c r="D1190" s="59" t="inlineStr">
        <is>
          <t>75315333011909</t>
        </is>
      </c>
      <c r="E1190" s="75" t="n">
        <v>46242</v>
      </c>
      <c r="F1190" s="75" t="n">
        <v>46239</v>
      </c>
      <c r="G1190" s="59" t="inlineStr">
        <is>
          <t>ATACADAO S.A.</t>
        </is>
      </c>
      <c r="H1190" s="59" t="n">
        <v>1517331</v>
      </c>
      <c r="I1190" s="59" t="n">
        <v>11</v>
      </c>
      <c r="J1190" s="59" t="inlineStr">
        <is>
          <t>AM</t>
        </is>
      </c>
      <c r="K1190" s="126" t="n">
        <v>2127.21</v>
      </c>
    </row>
    <row r="1191" ht="15" customHeight="1" s="60">
      <c r="A1191" s="59" t="n">
        <v>1</v>
      </c>
      <c r="B1191" s="59" t="n">
        <v>1916564</v>
      </c>
      <c r="C1191" s="59" t="inlineStr">
        <is>
          <t>1</t>
        </is>
      </c>
      <c r="D1191" s="59" t="inlineStr">
        <is>
          <t>75315333011909</t>
        </is>
      </c>
      <c r="E1191" s="75" t="n">
        <v>46242</v>
      </c>
      <c r="F1191" s="75" t="n">
        <v>46239</v>
      </c>
      <c r="G1191" s="59" t="inlineStr">
        <is>
          <t>ATACADAO S.A.</t>
        </is>
      </c>
      <c r="H1191" s="59" t="n">
        <v>1517281</v>
      </c>
      <c r="I1191" s="59" t="n">
        <v>11</v>
      </c>
      <c r="J1191" s="59" t="inlineStr">
        <is>
          <t>AM</t>
        </is>
      </c>
      <c r="K1191" s="126" t="n">
        <v>1980.22</v>
      </c>
    </row>
    <row r="1192" ht="15" customHeight="1" s="60">
      <c r="A1192" s="59" t="n">
        <v>1</v>
      </c>
      <c r="B1192" s="59" t="n">
        <v>942898</v>
      </c>
      <c r="C1192" s="59" t="inlineStr">
        <is>
          <t>38</t>
        </is>
      </c>
      <c r="D1192" s="59" t="inlineStr">
        <is>
          <t>56228356010013</t>
        </is>
      </c>
      <c r="E1192" s="75" t="n">
        <v>46242</v>
      </c>
      <c r="F1192" s="75" t="n">
        <v>46239</v>
      </c>
      <c r="G1192" s="59" t="inlineStr">
        <is>
          <t>CRBS S/A</t>
        </is>
      </c>
      <c r="H1192" s="59" t="n">
        <v>1517535</v>
      </c>
      <c r="I1192" s="59" t="n">
        <v>11</v>
      </c>
      <c r="J1192" s="59" t="inlineStr">
        <is>
          <t>AM</t>
        </is>
      </c>
      <c r="K1192" s="126" t="n">
        <v>5473.46</v>
      </c>
    </row>
    <row r="1193" ht="15" customHeight="1" s="60">
      <c r="A1193" s="59" t="n">
        <v>1</v>
      </c>
      <c r="B1193" s="59" t="n">
        <v>942899</v>
      </c>
      <c r="C1193" s="59" t="inlineStr">
        <is>
          <t>38</t>
        </is>
      </c>
      <c r="D1193" s="59" t="inlineStr">
        <is>
          <t>56228356010013</t>
        </is>
      </c>
      <c r="E1193" s="75" t="n">
        <v>46242</v>
      </c>
      <c r="F1193" s="75" t="n">
        <v>46239</v>
      </c>
      <c r="G1193" s="59" t="inlineStr">
        <is>
          <t>CRBS S/A</t>
        </is>
      </c>
      <c r="H1193" s="59" t="n">
        <v>1517704</v>
      </c>
      <c r="I1193" s="59" t="n">
        <v>11</v>
      </c>
      <c r="J1193" s="59" t="inlineStr">
        <is>
          <t>AM</t>
        </is>
      </c>
      <c r="K1193" s="126" t="n">
        <v>424.55</v>
      </c>
    </row>
    <row r="1194" ht="15" customHeight="1" s="60">
      <c r="A1194" s="59" t="n">
        <v>1</v>
      </c>
      <c r="B1194" s="59" t="n">
        <v>1660615</v>
      </c>
      <c r="C1194" s="59" t="inlineStr">
        <is>
          <t>890</t>
        </is>
      </c>
      <c r="D1194" s="59" t="inlineStr">
        <is>
          <t>02532915340</t>
        </is>
      </c>
      <c r="E1194" s="75" t="n">
        <v>46242</v>
      </c>
      <c r="F1194" s="75" t="n">
        <v>46242</v>
      </c>
      <c r="G1194" s="59" t="inlineStr">
        <is>
          <t>EDSON AGUIAR DE SOUZA</t>
        </is>
      </c>
      <c r="H1194" s="59" t="n">
        <v>1528766</v>
      </c>
      <c r="I1194" s="59" t="n">
        <v>1</v>
      </c>
      <c r="J1194" s="59" t="inlineStr">
        <is>
          <t>AM</t>
        </is>
      </c>
      <c r="K1194" s="126" t="n">
        <v>261</v>
      </c>
    </row>
    <row r="1195" ht="15" customHeight="1" s="60">
      <c r="A1195" s="59" t="n">
        <v>1</v>
      </c>
      <c r="B1195" s="59" t="n">
        <v>1660616</v>
      </c>
      <c r="C1195" s="59" t="inlineStr">
        <is>
          <t>890</t>
        </is>
      </c>
      <c r="D1195" s="59" t="inlineStr">
        <is>
          <t>02532915340</t>
        </is>
      </c>
      <c r="E1195" s="75" t="n">
        <v>46242</v>
      </c>
      <c r="F1195" s="75" t="n">
        <v>46242</v>
      </c>
      <c r="G1195" s="59" t="inlineStr">
        <is>
          <t>EDSON AGUIAR DE SOUZA</t>
        </is>
      </c>
      <c r="H1195" s="59" t="n">
        <v>1528788</v>
      </c>
      <c r="I1195" s="59" t="n">
        <v>1</v>
      </c>
      <c r="J1195" s="59" t="inlineStr">
        <is>
          <t>AM</t>
        </is>
      </c>
      <c r="K1195" s="126" t="n">
        <v>180</v>
      </c>
    </row>
    <row r="1196" ht="15" customHeight="1" s="60">
      <c r="A1196" s="59" t="n">
        <v>1</v>
      </c>
      <c r="B1196" s="59" t="n">
        <v>32287</v>
      </c>
      <c r="C1196" s="59" t="inlineStr">
        <is>
          <t>6</t>
        </is>
      </c>
      <c r="D1196" s="59" t="inlineStr">
        <is>
          <t>11958002000104</t>
        </is>
      </c>
      <c r="E1196" s="75" t="n">
        <v>46242</v>
      </c>
      <c r="F1196" s="75" t="n">
        <v>46240</v>
      </c>
      <c r="G1196" s="59" t="inlineStr">
        <is>
          <t>FALCAO INDUSTRIA DE ALIMENTOS LTDA</t>
        </is>
      </c>
      <c r="H1196" s="59" t="n">
        <v>1517897</v>
      </c>
      <c r="I1196" s="59" t="n">
        <v>11</v>
      </c>
      <c r="J1196" s="59" t="inlineStr">
        <is>
          <t>AM</t>
        </is>
      </c>
      <c r="K1196" s="126" t="n">
        <v>8308.129999999999</v>
      </c>
    </row>
    <row r="1197" ht="15" customHeight="1" s="60">
      <c r="A1197" s="59" t="n">
        <v>1</v>
      </c>
      <c r="B1197" s="59" t="n">
        <v>397841</v>
      </c>
      <c r="C1197" s="59" t="inlineStr">
        <is>
          <t>1</t>
        </is>
      </c>
      <c r="D1197" s="59" t="inlineStr">
        <is>
          <t>06257367000171</t>
        </is>
      </c>
      <c r="E1197" s="75" t="n">
        <v>46242</v>
      </c>
      <c r="F1197" s="75" t="n">
        <v>46238</v>
      </c>
      <c r="G1197" s="59" t="inlineStr">
        <is>
          <t>FENNIX BRASIL DISTRIBUIDORA DE PRODUTOS</t>
        </is>
      </c>
      <c r="H1197" s="59" t="n">
        <v>1517982</v>
      </c>
      <c r="I1197" s="59" t="n">
        <v>11</v>
      </c>
      <c r="J1197" s="59" t="inlineStr">
        <is>
          <t>AM</t>
        </is>
      </c>
      <c r="K1197" s="126" t="n">
        <v>1218.46</v>
      </c>
    </row>
    <row r="1198" ht="15" customHeight="1" s="60">
      <c r="A1198" s="59" t="n">
        <v>1</v>
      </c>
      <c r="B1198" s="59" t="n">
        <v>21578</v>
      </c>
      <c r="C1198" s="59" t="inlineStr">
        <is>
          <t>4</t>
        </is>
      </c>
      <c r="D1198" s="59" t="inlineStr">
        <is>
          <t>48302595000166</t>
        </is>
      </c>
      <c r="E1198" s="75" t="n">
        <v>46242</v>
      </c>
      <c r="F1198" s="75" t="n">
        <v>46240</v>
      </c>
      <c r="G1198" s="59" t="inlineStr">
        <is>
          <t>FUNNY PET DISTRIBUIDORA DE ALIMENTOS PAR</t>
        </is>
      </c>
      <c r="H1198" s="59" t="n">
        <v>1517788</v>
      </c>
      <c r="I1198" s="59" t="n">
        <v>11</v>
      </c>
      <c r="J1198" s="59" t="inlineStr">
        <is>
          <t>AM</t>
        </is>
      </c>
      <c r="K1198" s="126" t="n">
        <v>13716</v>
      </c>
    </row>
    <row r="1199" ht="15" customHeight="1" s="60">
      <c r="A1199" s="59" t="n">
        <v>1</v>
      </c>
      <c r="B1199" s="59" t="n">
        <v>455</v>
      </c>
      <c r="C1199" s="59" t="inlineStr">
        <is>
          <t>2</t>
        </is>
      </c>
      <c r="D1199" s="59" t="inlineStr">
        <is>
          <t>20380110000133</t>
        </is>
      </c>
      <c r="E1199" s="75" t="n">
        <v>46242</v>
      </c>
      <c r="F1199" s="75" t="n">
        <v>46242</v>
      </c>
      <c r="G1199" s="59" t="inlineStr">
        <is>
          <t>GELO DANGELO FABRICACAO DE GELO LTDA</t>
        </is>
      </c>
      <c r="H1199" s="59" t="n">
        <v>1518674</v>
      </c>
      <c r="I1199" s="59" t="n">
        <v>1</v>
      </c>
      <c r="J1199" s="59" t="inlineStr">
        <is>
          <t>AM</t>
        </is>
      </c>
      <c r="K1199" s="126" t="n">
        <v>390</v>
      </c>
    </row>
    <row r="1200" ht="15" customHeight="1" s="60">
      <c r="A1200" s="59" t="n">
        <v>1</v>
      </c>
      <c r="B1200" s="59" t="n">
        <v>140</v>
      </c>
      <c r="C1200" s="59" t="inlineStr">
        <is>
          <t>1</t>
        </is>
      </c>
      <c r="D1200" s="59" t="inlineStr">
        <is>
          <t>55158713000170</t>
        </is>
      </c>
      <c r="E1200" s="75" t="n">
        <v>46242</v>
      </c>
      <c r="F1200" s="75" t="n">
        <v>46242</v>
      </c>
      <c r="G1200" s="59" t="inlineStr">
        <is>
          <t>H L M PADARIA E CONFEITARIA LTDA</t>
        </is>
      </c>
      <c r="H1200" s="59" t="n">
        <v>1528968</v>
      </c>
      <c r="I1200" s="59" t="n">
        <v>1</v>
      </c>
      <c r="J1200" s="59" t="inlineStr">
        <is>
          <t>AM</t>
        </is>
      </c>
      <c r="K1200" s="126" t="n">
        <v>840</v>
      </c>
    </row>
    <row r="1201" ht="15" customHeight="1" s="60">
      <c r="A1201" s="59" t="n">
        <v>1</v>
      </c>
      <c r="B1201" s="59" t="n">
        <v>396666</v>
      </c>
      <c r="C1201" s="59" t="inlineStr">
        <is>
          <t>1</t>
        </is>
      </c>
      <c r="D1201" s="59" t="inlineStr">
        <is>
          <t>14141553000179</t>
        </is>
      </c>
      <c r="E1201" s="75" t="n">
        <v>46242</v>
      </c>
      <c r="F1201" s="75" t="n">
        <v>46240</v>
      </c>
      <c r="G1201" s="59" t="inlineStr">
        <is>
          <t>J G COMERCIO DE PRODUTOS ALIMENTICIOS LTDA</t>
        </is>
      </c>
      <c r="H1201" s="59" t="n">
        <v>1517858</v>
      </c>
      <c r="I1201" s="59" t="n">
        <v>11</v>
      </c>
      <c r="J1201" s="59" t="inlineStr">
        <is>
          <t>AM</t>
        </is>
      </c>
      <c r="K1201" s="126" t="n">
        <v>3157.1</v>
      </c>
    </row>
    <row r="1202" ht="15" customHeight="1" s="60">
      <c r="A1202" s="59" t="n">
        <v>1</v>
      </c>
      <c r="B1202" s="59" t="n">
        <v>439388</v>
      </c>
      <c r="C1202" s="59" t="inlineStr">
        <is>
          <t>3</t>
        </is>
      </c>
      <c r="D1202" s="59" t="inlineStr">
        <is>
          <t>81611931005006</t>
        </is>
      </c>
      <c r="E1202" s="75" t="n">
        <v>46242</v>
      </c>
      <c r="F1202" s="75" t="n">
        <v>46240</v>
      </c>
      <c r="G1202" s="59" t="inlineStr">
        <is>
          <t>OESA COMERCIO E REPRESENTACOES S/A</t>
        </is>
      </c>
      <c r="H1202" s="59" t="n">
        <v>1518309</v>
      </c>
      <c r="I1202" s="59" t="n">
        <v>11</v>
      </c>
      <c r="J1202" s="59" t="inlineStr">
        <is>
          <t>AM</t>
        </is>
      </c>
      <c r="K1202" s="126" t="n">
        <v>3298.28</v>
      </c>
    </row>
    <row r="1203" ht="15" customHeight="1" s="60">
      <c r="A1203" s="59" t="n">
        <v>1</v>
      </c>
      <c r="B1203" s="59" t="n">
        <v>1197</v>
      </c>
      <c r="C1203" s="59" t="inlineStr">
        <is>
          <t>2</t>
        </is>
      </c>
      <c r="D1203" s="59" t="inlineStr">
        <is>
          <t>06177766000475</t>
        </is>
      </c>
      <c r="E1203" s="75" t="n">
        <v>46244</v>
      </c>
      <c r="F1203" s="75" t="n">
        <v>46242</v>
      </c>
      <c r="G1203" s="59" t="inlineStr">
        <is>
          <t>A M A DE LIMA INDUSTRIA E COMERCIO DE PRODUTOS ALIMENTICIOS LTDA</t>
        </is>
      </c>
      <c r="H1203" s="59" t="n">
        <v>1529598</v>
      </c>
      <c r="I1203" s="59" t="n">
        <v>11</v>
      </c>
      <c r="J1203" s="59" t="inlineStr">
        <is>
          <t>AM</t>
        </is>
      </c>
      <c r="K1203" s="126" t="n">
        <v>288.5</v>
      </c>
    </row>
    <row r="1204" ht="15" customHeight="1" s="60">
      <c r="A1204" s="59" t="n">
        <v>1</v>
      </c>
      <c r="B1204" s="59" t="n">
        <v>1237154</v>
      </c>
      <c r="C1204" s="59" t="inlineStr">
        <is>
          <t>7</t>
        </is>
      </c>
      <c r="D1204" s="59" t="inlineStr">
        <is>
          <t>34590315000158</t>
        </is>
      </c>
      <c r="E1204" s="75" t="n">
        <v>46244</v>
      </c>
      <c r="F1204" s="75" t="n">
        <v>46239</v>
      </c>
      <c r="G1204" s="59" t="inlineStr">
        <is>
          <t>BRASIL NORTE BEBIDAS S/A</t>
        </is>
      </c>
      <c r="H1204" s="59" t="n">
        <v>1529784</v>
      </c>
      <c r="I1204" s="59" t="n">
        <v>11</v>
      </c>
      <c r="J1204" s="59" t="inlineStr">
        <is>
          <t>AM</t>
        </is>
      </c>
      <c r="K1204" s="126" t="n">
        <v>2339.45</v>
      </c>
    </row>
    <row r="1205" ht="15" customHeight="1" s="60">
      <c r="A1205" s="59" t="n">
        <v>1</v>
      </c>
      <c r="B1205" s="59" t="n">
        <v>1974455</v>
      </c>
      <c r="C1205" s="59" t="inlineStr">
        <is>
          <t>5</t>
        </is>
      </c>
      <c r="D1205" s="59" t="inlineStr">
        <is>
          <t>34590315000158</t>
        </is>
      </c>
      <c r="E1205" s="75" t="n">
        <v>46244</v>
      </c>
      <c r="F1205" s="75" t="n">
        <v>46239</v>
      </c>
      <c r="G1205" s="59" t="inlineStr">
        <is>
          <t>BRASIL NORTE BEBIDAS S/A</t>
        </is>
      </c>
      <c r="H1205" s="59" t="n">
        <v>1529828</v>
      </c>
      <c r="I1205" s="59" t="n">
        <v>11</v>
      </c>
      <c r="J1205" s="59" t="inlineStr">
        <is>
          <t>AM</t>
        </is>
      </c>
      <c r="K1205" s="126" t="n">
        <v>6742.71</v>
      </c>
    </row>
    <row r="1206" ht="15" customHeight="1" s="60">
      <c r="A1206" s="59" t="n">
        <v>1</v>
      </c>
      <c r="B1206" s="59" t="n">
        <v>1035724</v>
      </c>
      <c r="C1206" s="59" t="inlineStr">
        <is>
          <t>1</t>
        </is>
      </c>
      <c r="D1206" s="59" t="inlineStr">
        <is>
          <t>34579060000122</t>
        </is>
      </c>
      <c r="E1206" s="75" t="n">
        <v>46244</v>
      </c>
      <c r="F1206" s="75" t="n">
        <v>46240</v>
      </c>
      <c r="G1206" s="59" t="inlineStr">
        <is>
          <t>BROTHERS  INDUSTRIA DE ALIMENTOS LTDA</t>
        </is>
      </c>
      <c r="H1206" s="59" t="n">
        <v>1529367</v>
      </c>
      <c r="I1206" s="59" t="n">
        <v>11</v>
      </c>
      <c r="J1206" s="59" t="inlineStr">
        <is>
          <t>AM</t>
        </is>
      </c>
      <c r="K1206" s="126" t="n">
        <v>949.6799999999999</v>
      </c>
    </row>
    <row r="1207" ht="15" customHeight="1" s="60">
      <c r="A1207" s="59" t="n">
        <v>1</v>
      </c>
      <c r="B1207" s="59" t="n">
        <v>11542</v>
      </c>
      <c r="C1207" s="59" t="inlineStr">
        <is>
          <t>2</t>
        </is>
      </c>
      <c r="D1207" s="59" t="inlineStr">
        <is>
          <t>40810324000100</t>
        </is>
      </c>
      <c r="E1207" s="75" t="n">
        <v>46244</v>
      </c>
      <c r="F1207" s="75" t="n">
        <v>46244</v>
      </c>
      <c r="G1207" s="59" t="inlineStr">
        <is>
          <t>C. R. PARENTE ABREU</t>
        </is>
      </c>
      <c r="H1207" s="59" t="n">
        <v>1529854</v>
      </c>
      <c r="I1207" s="59" t="n">
        <v>11</v>
      </c>
      <c r="J1207" s="59" t="inlineStr">
        <is>
          <t>AM</t>
        </is>
      </c>
      <c r="K1207" s="126" t="n">
        <v>944.89</v>
      </c>
    </row>
    <row r="1208" ht="15" customHeight="1" s="60">
      <c r="A1208" s="59" t="n">
        <v>1</v>
      </c>
      <c r="B1208" s="59" t="n">
        <v>946595</v>
      </c>
      <c r="C1208" s="59" t="inlineStr">
        <is>
          <t>38</t>
        </is>
      </c>
      <c r="D1208" s="59" t="inlineStr">
        <is>
          <t>56228356010013</t>
        </is>
      </c>
      <c r="E1208" s="75" t="n">
        <v>46244</v>
      </c>
      <c r="F1208" s="75" t="n">
        <v>46241</v>
      </c>
      <c r="G1208" s="59" t="inlineStr">
        <is>
          <t>CRBS S/A</t>
        </is>
      </c>
      <c r="H1208" s="59" t="n">
        <v>1529446</v>
      </c>
      <c r="I1208" s="59" t="n">
        <v>11</v>
      </c>
      <c r="J1208" s="59" t="inlineStr">
        <is>
          <t>AM</t>
        </is>
      </c>
      <c r="K1208" s="126" t="n">
        <v>597.85</v>
      </c>
    </row>
    <row r="1209" ht="15" customHeight="1" s="60">
      <c r="A1209" s="59" t="n">
        <v>1</v>
      </c>
      <c r="B1209" s="59" t="n">
        <v>946596</v>
      </c>
      <c r="C1209" s="59" t="inlineStr">
        <is>
          <t>38</t>
        </is>
      </c>
      <c r="D1209" s="59" t="inlineStr">
        <is>
          <t>56228356010013</t>
        </is>
      </c>
      <c r="E1209" s="75" t="n">
        <v>46244</v>
      </c>
      <c r="F1209" s="75" t="n">
        <v>46241</v>
      </c>
      <c r="G1209" s="59" t="inlineStr">
        <is>
          <t>CRBS S/A</t>
        </is>
      </c>
      <c r="H1209" s="59" t="n">
        <v>1529439</v>
      </c>
      <c r="I1209" s="59" t="n">
        <v>11</v>
      </c>
      <c r="J1209" s="59" t="inlineStr">
        <is>
          <t>AM</t>
        </is>
      </c>
      <c r="K1209" s="126" t="n">
        <v>523.9400000000001</v>
      </c>
    </row>
    <row r="1210" ht="15" customHeight="1" s="60">
      <c r="A1210" s="59" t="n">
        <v>1</v>
      </c>
      <c r="B1210" s="59" t="n">
        <v>414</v>
      </c>
      <c r="C1210" s="59" t="inlineStr">
        <is>
          <t>3</t>
        </is>
      </c>
      <c r="D1210" s="59" t="inlineStr">
        <is>
          <t>40233745000115</t>
        </is>
      </c>
      <c r="E1210" s="75" t="n">
        <v>46244</v>
      </c>
      <c r="F1210" s="75" t="n">
        <v>46241</v>
      </c>
      <c r="G1210" s="59" t="inlineStr">
        <is>
          <t>D N COMERCIO ATACADISTA DE EMBALAGENS E</t>
        </is>
      </c>
      <c r="H1210" s="59" t="n">
        <v>1529526</v>
      </c>
      <c r="I1210" s="59" t="n">
        <v>11</v>
      </c>
      <c r="J1210" s="59" t="inlineStr">
        <is>
          <t>AM</t>
        </is>
      </c>
      <c r="K1210" s="126" t="n">
        <v>360</v>
      </c>
    </row>
    <row r="1211" ht="15" customHeight="1" s="60">
      <c r="A1211" s="59" t="n">
        <v>1</v>
      </c>
      <c r="B1211" s="59" t="n">
        <v>197290</v>
      </c>
      <c r="C1211" s="59" t="inlineStr">
        <is>
          <t>1</t>
        </is>
      </c>
      <c r="D1211" s="59" t="inlineStr">
        <is>
          <t>04916172000160</t>
        </is>
      </c>
      <c r="E1211" s="75" t="n">
        <v>46244</v>
      </c>
      <c r="F1211" s="75" t="n">
        <v>46240</v>
      </c>
      <c r="G1211" s="59" t="inlineStr">
        <is>
          <t>DA FRUTA DISTRIBUIDORA LTDA</t>
        </is>
      </c>
      <c r="H1211" s="59" t="n">
        <v>1529467</v>
      </c>
      <c r="I1211" s="59" t="n">
        <v>11</v>
      </c>
      <c r="J1211" s="59" t="inlineStr">
        <is>
          <t>AM</t>
        </is>
      </c>
      <c r="K1211" s="126" t="n">
        <v>925.09</v>
      </c>
    </row>
    <row r="1212" ht="15" customHeight="1" s="60">
      <c r="A1212" s="59" t="n">
        <v>1</v>
      </c>
      <c r="B1212" s="59" t="n">
        <v>1661046</v>
      </c>
      <c r="C1212" s="59" t="inlineStr">
        <is>
          <t>890</t>
        </is>
      </c>
      <c r="D1212" s="59" t="inlineStr">
        <is>
          <t>02532915340</t>
        </is>
      </c>
      <c r="E1212" s="75" t="n">
        <v>46244</v>
      </c>
      <c r="F1212" s="75" t="n">
        <v>46244</v>
      </c>
      <c r="G1212" s="59" t="inlineStr">
        <is>
          <t>EDSON AGUIAR DE SOUZA</t>
        </is>
      </c>
      <c r="H1212" s="59" t="n">
        <v>1530153</v>
      </c>
      <c r="I1212" s="59" t="n">
        <v>1</v>
      </c>
      <c r="J1212" s="59" t="inlineStr">
        <is>
          <t>AM</t>
        </is>
      </c>
      <c r="K1212" s="126" t="n">
        <v>210</v>
      </c>
    </row>
    <row r="1213" ht="15" customHeight="1" s="60">
      <c r="A1213" s="59" t="n">
        <v>1</v>
      </c>
      <c r="B1213" s="59" t="n">
        <v>2308194</v>
      </c>
      <c r="C1213" s="59" t="inlineStr">
        <is>
          <t>1</t>
        </is>
      </c>
      <c r="D1213" s="59" t="inlineStr">
        <is>
          <t>05402904001562</t>
        </is>
      </c>
      <c r="E1213" s="75" t="n">
        <v>46244</v>
      </c>
      <c r="F1213" s="75" t="n">
        <v>46240</v>
      </c>
      <c r="G1213" s="59" t="inlineStr">
        <is>
          <t>EMPRESA BRASILEIRA DE DISTRIBUICAO LTDA</t>
        </is>
      </c>
      <c r="H1213" s="59" t="n">
        <v>1528923</v>
      </c>
      <c r="I1213" s="59" t="n">
        <v>11</v>
      </c>
      <c r="J1213" s="59" t="inlineStr">
        <is>
          <t>AM</t>
        </is>
      </c>
      <c r="K1213" s="126" t="n">
        <v>1877.48</v>
      </c>
    </row>
    <row r="1214" ht="15" customHeight="1" s="60">
      <c r="A1214" s="59" t="n">
        <v>1</v>
      </c>
      <c r="B1214" s="59" t="n">
        <v>458</v>
      </c>
      <c r="C1214" s="59" t="inlineStr">
        <is>
          <t>2</t>
        </is>
      </c>
      <c r="D1214" s="59" t="inlineStr">
        <is>
          <t>20380110000133</t>
        </is>
      </c>
      <c r="E1214" s="75" t="n">
        <v>46244</v>
      </c>
      <c r="F1214" s="75" t="n">
        <v>46244</v>
      </c>
      <c r="G1214" s="59" t="inlineStr">
        <is>
          <t>GELO DANGELO FABRICACAO DE GELO LTDA</t>
        </is>
      </c>
      <c r="H1214" s="59" t="n">
        <v>1536219</v>
      </c>
      <c r="I1214" s="59" t="n">
        <v>1</v>
      </c>
      <c r="J1214" s="59" t="inlineStr">
        <is>
          <t>AM</t>
        </is>
      </c>
      <c r="K1214" s="126" t="n">
        <v>448</v>
      </c>
    </row>
    <row r="1215" ht="15" customHeight="1" s="60">
      <c r="A1215" s="59" t="n">
        <v>1</v>
      </c>
      <c r="B1215" s="59" t="n">
        <v>135970</v>
      </c>
      <c r="C1215" s="59" t="inlineStr">
        <is>
          <t>1</t>
        </is>
      </c>
      <c r="D1215" s="59" t="inlineStr">
        <is>
          <t>09454483000179</t>
        </is>
      </c>
      <c r="E1215" s="75" t="n">
        <v>46244</v>
      </c>
      <c r="F1215" s="75" t="n">
        <v>46240</v>
      </c>
      <c r="G1215" s="59" t="inlineStr">
        <is>
          <t>H.V.M. XAVIER ALIMENTOS</t>
        </is>
      </c>
      <c r="H1215" s="59" t="n">
        <v>1529455</v>
      </c>
      <c r="I1215" s="59" t="n">
        <v>11</v>
      </c>
      <c r="J1215" s="59" t="inlineStr">
        <is>
          <t>AM</t>
        </is>
      </c>
      <c r="K1215" s="126" t="n">
        <v>291.6</v>
      </c>
    </row>
    <row r="1216" ht="15" customHeight="1" s="60">
      <c r="A1216" s="59" t="n">
        <v>1</v>
      </c>
      <c r="B1216" s="59" t="n">
        <v>1300</v>
      </c>
      <c r="C1216" s="59" t="inlineStr">
        <is>
          <t>1</t>
        </is>
      </c>
      <c r="D1216" s="59" t="inlineStr">
        <is>
          <t>23643531000106</t>
        </is>
      </c>
      <c r="E1216" s="75" t="n">
        <v>46244</v>
      </c>
      <c r="F1216" s="75" t="n">
        <v>46242</v>
      </c>
      <c r="G1216" s="59" t="inlineStr">
        <is>
          <t>J. R. L. NASCIMENTO PANIFICADORA</t>
        </is>
      </c>
      <c r="H1216" s="59" t="n">
        <v>1528426</v>
      </c>
      <c r="I1216" s="59" t="n">
        <v>11</v>
      </c>
      <c r="J1216" s="59" t="inlineStr">
        <is>
          <t>AM</t>
        </is>
      </c>
      <c r="K1216" s="126" t="n">
        <v>1050</v>
      </c>
    </row>
    <row r="1217" ht="15" customHeight="1" s="60">
      <c r="A1217" s="59" t="n">
        <v>1</v>
      </c>
      <c r="B1217" s="59" t="n">
        <v>2764</v>
      </c>
      <c r="C1217" s="59" t="inlineStr">
        <is>
          <t>1</t>
        </is>
      </c>
      <c r="D1217" s="59" t="inlineStr">
        <is>
          <t>10583405000153</t>
        </is>
      </c>
      <c r="E1217" s="75" t="n">
        <v>46244</v>
      </c>
      <c r="F1217" s="75" t="n">
        <v>46241</v>
      </c>
      <c r="G1217" s="59" t="inlineStr">
        <is>
          <t>J. S. MOREIRA ALVES LTDA</t>
        </is>
      </c>
      <c r="H1217" s="59" t="n">
        <v>1529311</v>
      </c>
      <c r="I1217" s="59" t="n">
        <v>11</v>
      </c>
      <c r="J1217" s="59" t="inlineStr">
        <is>
          <t>AM</t>
        </is>
      </c>
      <c r="K1217" s="126" t="n">
        <v>523</v>
      </c>
    </row>
    <row r="1218" ht="15" customHeight="1" s="60">
      <c r="A1218" s="59" t="n">
        <v>1</v>
      </c>
      <c r="B1218" s="59" t="n">
        <v>3683</v>
      </c>
      <c r="C1218" s="59" t="inlineStr">
        <is>
          <t>1</t>
        </is>
      </c>
      <c r="D1218" s="59" t="inlineStr">
        <is>
          <t>59566132000128</t>
        </is>
      </c>
      <c r="E1218" s="75" t="n">
        <v>46244</v>
      </c>
      <c r="F1218" s="75" t="n">
        <v>46240</v>
      </c>
      <c r="G1218" s="59" t="inlineStr">
        <is>
          <t>JAB COMERCIO DE PRODUTOS ALIMENTICIOS LT</t>
        </is>
      </c>
      <c r="H1218" s="59" t="n">
        <v>1528659</v>
      </c>
      <c r="I1218" s="59" t="n">
        <v>11</v>
      </c>
      <c r="J1218" s="59" t="inlineStr">
        <is>
          <t>AM</t>
        </is>
      </c>
      <c r="K1218" s="126" t="n">
        <v>426</v>
      </c>
    </row>
    <row r="1219" ht="15" customHeight="1" s="60">
      <c r="A1219" s="59" t="n">
        <v>1</v>
      </c>
      <c r="B1219" s="59" t="n">
        <v>17015</v>
      </c>
      <c r="C1219" s="59" t="inlineStr">
        <is>
          <t>1</t>
        </is>
      </c>
      <c r="D1219" s="59" t="inlineStr">
        <is>
          <t>40259359000100</t>
        </is>
      </c>
      <c r="E1219" s="75" t="n">
        <v>46244</v>
      </c>
      <c r="F1219" s="75" t="n">
        <v>46240</v>
      </c>
      <c r="G1219" s="59" t="inlineStr">
        <is>
          <t>LELE FABRICACAO DE MASSAS LTDA</t>
        </is>
      </c>
      <c r="H1219" s="59" t="n">
        <v>1528833</v>
      </c>
      <c r="I1219" s="59" t="n">
        <v>11</v>
      </c>
      <c r="J1219" s="59" t="inlineStr">
        <is>
          <t>AM</t>
        </is>
      </c>
      <c r="K1219" s="126" t="n">
        <v>250</v>
      </c>
    </row>
    <row r="1220" ht="15" customHeight="1" s="60">
      <c r="A1220" s="59" t="n">
        <v>1</v>
      </c>
      <c r="B1220" s="59" t="n">
        <v>31832</v>
      </c>
      <c r="C1220" s="59" t="inlineStr">
        <is>
          <t>1</t>
        </is>
      </c>
      <c r="D1220" s="59" t="inlineStr">
        <is>
          <t>30996759000137</t>
        </is>
      </c>
      <c r="E1220" s="75" t="n">
        <v>46244</v>
      </c>
      <c r="F1220" s="75" t="n">
        <v>46241</v>
      </c>
      <c r="G1220" s="59" t="inlineStr">
        <is>
          <t>LIMA E BARANDA COMERCIO DE PRODUTOS REGI</t>
        </is>
      </c>
      <c r="H1220" s="59" t="n">
        <v>1528790</v>
      </c>
      <c r="I1220" s="59" t="n">
        <v>11</v>
      </c>
      <c r="J1220" s="59" t="inlineStr">
        <is>
          <t>AM</t>
        </is>
      </c>
      <c r="K1220" s="126" t="n">
        <v>363.5</v>
      </c>
    </row>
    <row r="1221" ht="15" customHeight="1" s="60">
      <c r="A1221" s="59" t="n">
        <v>1</v>
      </c>
      <c r="B1221" s="59" t="n">
        <v>108950</v>
      </c>
      <c r="C1221" s="59" t="inlineStr">
        <is>
          <t>3</t>
        </is>
      </c>
      <c r="D1221" s="59" t="inlineStr">
        <is>
          <t>15001549000178</t>
        </is>
      </c>
      <c r="E1221" s="75" t="n">
        <v>46244</v>
      </c>
      <c r="F1221" s="75" t="n">
        <v>46239</v>
      </c>
      <c r="G1221" s="59" t="inlineStr">
        <is>
          <t>LOJA DO REI COMERCIO DE MATERIAL DE CONS</t>
        </is>
      </c>
      <c r="H1221" s="59" t="n">
        <v>1529569</v>
      </c>
      <c r="I1221" s="59" t="n">
        <v>39</v>
      </c>
      <c r="J1221" s="59" t="inlineStr">
        <is>
          <t>AM</t>
        </is>
      </c>
      <c r="K1221" s="126" t="n">
        <v>52.51</v>
      </c>
    </row>
    <row r="1222" ht="15" customHeight="1" s="60">
      <c r="A1222" s="59" t="n">
        <v>1</v>
      </c>
      <c r="B1222" s="59" t="n">
        <v>14969</v>
      </c>
      <c r="C1222" s="59" t="inlineStr">
        <is>
          <t>1</t>
        </is>
      </c>
      <c r="D1222" s="59" t="inlineStr">
        <is>
          <t>03784729000194</t>
        </is>
      </c>
      <c r="E1222" s="75" t="n">
        <v>46244</v>
      </c>
      <c r="F1222" s="75" t="n">
        <v>46241</v>
      </c>
      <c r="G1222" s="59" t="inlineStr">
        <is>
          <t>MAXFRI DISTRIUIDORA LTDA</t>
        </is>
      </c>
      <c r="H1222" s="59" t="n">
        <v>1530059</v>
      </c>
      <c r="I1222" s="59" t="n">
        <v>11</v>
      </c>
      <c r="J1222" s="59" t="inlineStr">
        <is>
          <t>AM</t>
        </is>
      </c>
      <c r="K1222" s="126" t="n">
        <v>6688</v>
      </c>
    </row>
    <row r="1223" ht="15" customHeight="1" s="60">
      <c r="A1223" s="59" t="n">
        <v>1</v>
      </c>
      <c r="B1223" s="59" t="n">
        <v>14992</v>
      </c>
      <c r="C1223" s="59" t="inlineStr">
        <is>
          <t>1</t>
        </is>
      </c>
      <c r="D1223" s="59" t="inlineStr">
        <is>
          <t>03784729000194</t>
        </is>
      </c>
      <c r="E1223" s="75" t="n">
        <v>46244</v>
      </c>
      <c r="F1223" s="75" t="n">
        <v>46242</v>
      </c>
      <c r="G1223" s="59" t="inlineStr">
        <is>
          <t>MAXFRI DISTRIUIDORA LTDA</t>
        </is>
      </c>
      <c r="H1223" s="59" t="n">
        <v>1530239</v>
      </c>
      <c r="I1223" s="59" t="n">
        <v>11</v>
      </c>
      <c r="J1223" s="59" t="inlineStr">
        <is>
          <t>AM</t>
        </is>
      </c>
      <c r="K1223" s="126" t="n">
        <v>4403.2</v>
      </c>
    </row>
    <row r="1224" ht="15" customHeight="1" s="60">
      <c r="A1224" s="59" t="n">
        <v>1</v>
      </c>
      <c r="B1224" s="59" t="n">
        <v>15000</v>
      </c>
      <c r="C1224" s="59" t="inlineStr">
        <is>
          <t>1</t>
        </is>
      </c>
      <c r="D1224" s="59" t="inlineStr">
        <is>
          <t>03784729000194</t>
        </is>
      </c>
      <c r="E1224" s="75" t="n">
        <v>46244</v>
      </c>
      <c r="F1224" s="75" t="n">
        <v>46242</v>
      </c>
      <c r="G1224" s="59" t="inlineStr">
        <is>
          <t>MAXFRI DISTRIUIDORA LTDA</t>
        </is>
      </c>
      <c r="H1224" s="59" t="n">
        <v>1530112</v>
      </c>
      <c r="I1224" s="59" t="n">
        <v>11</v>
      </c>
      <c r="J1224" s="59" t="inlineStr">
        <is>
          <t>AM</t>
        </is>
      </c>
      <c r="K1224" s="126" t="n">
        <v>2412.8</v>
      </c>
    </row>
    <row r="1225" ht="15" customHeight="1" s="60">
      <c r="A1225" s="59" t="n">
        <v>1</v>
      </c>
      <c r="B1225" s="59" t="n">
        <v>746378</v>
      </c>
      <c r="C1225" s="59" t="inlineStr">
        <is>
          <t>0</t>
        </is>
      </c>
      <c r="D1225" s="59" t="inlineStr">
        <is>
          <t>08038545000107</t>
        </is>
      </c>
      <c r="E1225" s="75" t="n">
        <v>46244</v>
      </c>
      <c r="F1225" s="75" t="n">
        <v>46239</v>
      </c>
      <c r="G1225" s="59" t="inlineStr">
        <is>
          <t>NATUREZA COMERCIO DE DESCARTAVEIS LTDA</t>
        </is>
      </c>
      <c r="H1225" s="59" t="n">
        <v>1529393</v>
      </c>
      <c r="I1225" s="59" t="n">
        <v>45</v>
      </c>
      <c r="J1225" s="59" t="inlineStr">
        <is>
          <t>AM</t>
        </is>
      </c>
      <c r="K1225" s="126" t="n">
        <v>871.1900000000001</v>
      </c>
    </row>
    <row r="1226" ht="15" customHeight="1" s="60">
      <c r="A1226" s="59" t="n">
        <v>1</v>
      </c>
      <c r="B1226" s="59" t="n">
        <v>4312</v>
      </c>
      <c r="C1226" s="59" t="inlineStr">
        <is>
          <t>1</t>
        </is>
      </c>
      <c r="D1226" s="59" t="inlineStr">
        <is>
          <t>14459228000159</t>
        </is>
      </c>
      <c r="E1226" s="75" t="n">
        <v>46244</v>
      </c>
      <c r="F1226" s="75" t="n">
        <v>46240</v>
      </c>
      <c r="G1226" s="59" t="inlineStr">
        <is>
          <t>NOVA FRIOS COMERCIO ATACADISTA DE LATICINIOS LTDA</t>
        </is>
      </c>
      <c r="H1226" s="59" t="n">
        <v>1528682</v>
      </c>
      <c r="I1226" s="59" t="n">
        <v>11</v>
      </c>
      <c r="J1226" s="59" t="inlineStr">
        <is>
          <t>AM</t>
        </is>
      </c>
      <c r="K1226" s="126" t="n">
        <v>290</v>
      </c>
    </row>
    <row r="1227" ht="15" customHeight="1" s="60">
      <c r="A1227" s="59" t="n">
        <v>1</v>
      </c>
      <c r="B1227" s="59" t="n">
        <v>43222</v>
      </c>
      <c r="C1227" s="59" t="inlineStr">
        <is>
          <t>5</t>
        </is>
      </c>
      <c r="D1227" s="59" t="inlineStr">
        <is>
          <t>03439223000148</t>
        </is>
      </c>
      <c r="E1227" s="75" t="n">
        <v>46244</v>
      </c>
      <c r="F1227" s="75" t="n">
        <v>46241</v>
      </c>
      <c r="G1227" s="59" t="inlineStr">
        <is>
          <t>NT INDUSTRIA E COMERCIO DE PANIFICACAO L</t>
        </is>
      </c>
      <c r="H1227" s="59" t="n">
        <v>1529284</v>
      </c>
      <c r="I1227" s="59" t="n">
        <v>11</v>
      </c>
      <c r="J1227" s="59" t="inlineStr">
        <is>
          <t>AM</t>
        </is>
      </c>
      <c r="K1227" s="126" t="n">
        <v>6638.54</v>
      </c>
    </row>
    <row r="1228" ht="15" customHeight="1" s="60">
      <c r="A1228" s="59" t="n">
        <v>1</v>
      </c>
      <c r="B1228" s="59" t="n">
        <v>1256046</v>
      </c>
      <c r="C1228" s="59" t="inlineStr">
        <is>
          <t>1</t>
        </is>
      </c>
      <c r="D1228" s="59" t="inlineStr">
        <is>
          <t>02805138000193</t>
        </is>
      </c>
      <c r="E1228" s="75" t="n">
        <v>46244</v>
      </c>
      <c r="F1228" s="75" t="n">
        <v>46240</v>
      </c>
      <c r="G1228" s="59" t="inlineStr">
        <is>
          <t>OCIDENTAL COMERCIO DE FRIOS LTDA</t>
        </is>
      </c>
      <c r="H1228" s="59" t="n">
        <v>1528890</v>
      </c>
      <c r="I1228" s="59" t="n">
        <v>11</v>
      </c>
      <c r="J1228" s="59" t="inlineStr">
        <is>
          <t>AM</t>
        </is>
      </c>
      <c r="K1228" s="126" t="n">
        <v>922.97</v>
      </c>
    </row>
    <row r="1229" ht="15" customHeight="1" s="60">
      <c r="A1229" s="59" t="n">
        <v>1</v>
      </c>
      <c r="B1229" s="59" t="n">
        <v>753</v>
      </c>
      <c r="C1229" s="59" t="inlineStr">
        <is>
          <t>2</t>
        </is>
      </c>
      <c r="D1229" s="59" t="inlineStr">
        <is>
          <t>35729236000148</t>
        </is>
      </c>
      <c r="E1229" s="75" t="n">
        <v>46244</v>
      </c>
      <c r="F1229" s="75" t="n">
        <v>46241</v>
      </c>
      <c r="G1229" s="59" t="inlineStr">
        <is>
          <t>PANIFICADORA E CONFEITARIA REAL MADRI LTDA</t>
        </is>
      </c>
      <c r="H1229" s="59" t="n">
        <v>1528673</v>
      </c>
      <c r="I1229" s="59" t="n">
        <v>11</v>
      </c>
      <c r="J1229" s="59" t="inlineStr">
        <is>
          <t>AM</t>
        </is>
      </c>
      <c r="K1229" s="126" t="n">
        <v>519.78</v>
      </c>
    </row>
    <row r="1230" ht="15" customHeight="1" s="60">
      <c r="A1230" s="59" t="n">
        <v>1</v>
      </c>
      <c r="B1230" s="59" t="n">
        <v>754</v>
      </c>
      <c r="C1230" s="59" t="inlineStr">
        <is>
          <t>2</t>
        </is>
      </c>
      <c r="D1230" s="59" t="inlineStr">
        <is>
          <t>35729236000148</t>
        </is>
      </c>
      <c r="E1230" s="75" t="n">
        <v>46244</v>
      </c>
      <c r="F1230" s="75" t="n">
        <v>46242</v>
      </c>
      <c r="G1230" s="59" t="inlineStr">
        <is>
          <t>PANIFICADORA E CONFEITARIA REAL MADRI LTDA</t>
        </is>
      </c>
      <c r="H1230" s="59" t="n">
        <v>1528756</v>
      </c>
      <c r="I1230" s="59" t="n">
        <v>11</v>
      </c>
      <c r="J1230" s="59" t="inlineStr">
        <is>
          <t>AM</t>
        </is>
      </c>
      <c r="K1230" s="126" t="n">
        <v>770</v>
      </c>
    </row>
    <row r="1231" ht="15" customHeight="1" s="60">
      <c r="A1231" s="59" t="n">
        <v>1</v>
      </c>
      <c r="B1231" s="59" t="n">
        <v>3145</v>
      </c>
      <c r="C1231" s="59" t="inlineStr">
        <is>
          <t>1</t>
        </is>
      </c>
      <c r="D1231" s="59" t="inlineStr">
        <is>
          <t>01516878000147</t>
        </is>
      </c>
      <c r="E1231" s="75" t="n">
        <v>46244</v>
      </c>
      <c r="F1231" s="75" t="n">
        <v>46240</v>
      </c>
      <c r="G1231" s="59" t="inlineStr">
        <is>
          <t>PRIMICIA DISTRIBUIDORA DE FRIOS LTDA</t>
        </is>
      </c>
      <c r="H1231" s="59" t="n">
        <v>1529389</v>
      </c>
      <c r="I1231" s="59" t="n">
        <v>39</v>
      </c>
      <c r="J1231" s="59" t="inlineStr">
        <is>
          <t>AM</t>
        </is>
      </c>
      <c r="K1231" s="126" t="n">
        <v>743.5</v>
      </c>
    </row>
    <row r="1232" ht="15" customHeight="1" s="60">
      <c r="A1232" s="59" t="n">
        <v>1</v>
      </c>
      <c r="B1232" s="59" t="n">
        <v>3146</v>
      </c>
      <c r="C1232" s="59" t="inlineStr">
        <is>
          <t>1</t>
        </is>
      </c>
      <c r="D1232" s="59" t="inlineStr">
        <is>
          <t>01516878000147</t>
        </is>
      </c>
      <c r="E1232" s="75" t="n">
        <v>46244</v>
      </c>
      <c r="F1232" s="75" t="n">
        <v>46240</v>
      </c>
      <c r="G1232" s="59" t="inlineStr">
        <is>
          <t>PRIMICIA DISTRIBUIDORA DE FRIOS LTDA</t>
        </is>
      </c>
      <c r="H1232" s="59" t="n">
        <v>1528690</v>
      </c>
      <c r="I1232" s="59" t="n">
        <v>11</v>
      </c>
      <c r="J1232" s="59" t="inlineStr">
        <is>
          <t>AM</t>
        </is>
      </c>
      <c r="K1232" s="126" t="n">
        <v>1254</v>
      </c>
    </row>
    <row r="1233" ht="15" customHeight="1" s="60">
      <c r="A1233" s="59" t="n">
        <v>1</v>
      </c>
      <c r="B1233" s="59" t="n">
        <v>616331</v>
      </c>
      <c r="C1233" s="59" t="inlineStr">
        <is>
          <t>6</t>
        </is>
      </c>
      <c r="D1233" s="59" t="inlineStr">
        <is>
          <t>06990011000304</t>
        </is>
      </c>
      <c r="E1233" s="75" t="n">
        <v>46244</v>
      </c>
      <c r="F1233" s="75" t="n">
        <v>46239</v>
      </c>
      <c r="G1233" s="59" t="inlineStr">
        <is>
          <t>REAL BEBIDAS DA AMAZONIA LTDA</t>
        </is>
      </c>
      <c r="H1233" s="59" t="n">
        <v>1528735</v>
      </c>
      <c r="I1233" s="59" t="n">
        <v>11</v>
      </c>
      <c r="J1233" s="59" t="inlineStr">
        <is>
          <t>AM</t>
        </is>
      </c>
      <c r="K1233" s="126" t="n">
        <v>855</v>
      </c>
    </row>
    <row r="1234" ht="15" customHeight="1" s="60">
      <c r="A1234" s="59" t="n">
        <v>1</v>
      </c>
      <c r="B1234" s="59" t="n">
        <v>5457</v>
      </c>
      <c r="C1234" s="59" t="inlineStr">
        <is>
          <t>1</t>
        </is>
      </c>
      <c r="D1234" s="59" t="inlineStr">
        <is>
          <t>36480282000119</t>
        </is>
      </c>
      <c r="E1234" s="75" t="n">
        <v>46244</v>
      </c>
      <c r="F1234" s="75" t="n">
        <v>46244</v>
      </c>
      <c r="G1234" s="59" t="inlineStr">
        <is>
          <t>RENATO DE O AZEVEDO E CIA LTDA - EPP</t>
        </is>
      </c>
      <c r="H1234" s="59" t="n">
        <v>1528419</v>
      </c>
      <c r="I1234" s="59" t="n">
        <v>6</v>
      </c>
      <c r="J1234" s="59" t="inlineStr">
        <is>
          <t>AM</t>
        </is>
      </c>
      <c r="K1234" s="126" t="n">
        <v>300</v>
      </c>
    </row>
    <row r="1235" ht="15" customHeight="1" s="60">
      <c r="A1235" s="59" t="n">
        <v>1</v>
      </c>
      <c r="B1235" s="59" t="n">
        <v>5458</v>
      </c>
      <c r="C1235" s="59" t="inlineStr">
        <is>
          <t>1</t>
        </is>
      </c>
      <c r="D1235" s="59" t="inlineStr">
        <is>
          <t>36480282000119</t>
        </is>
      </c>
      <c r="E1235" s="75" t="n">
        <v>46244</v>
      </c>
      <c r="F1235" s="75" t="n">
        <v>46244</v>
      </c>
      <c r="G1235" s="59" t="inlineStr">
        <is>
          <t>RENATO DE O AZEVEDO E CIA LTDA - EPP</t>
        </is>
      </c>
      <c r="H1235" s="59" t="n">
        <v>1528628</v>
      </c>
      <c r="I1235" s="59" t="n">
        <v>6</v>
      </c>
      <c r="J1235" s="59" t="inlineStr">
        <is>
          <t>AM</t>
        </is>
      </c>
      <c r="K1235" s="126" t="n">
        <v>525</v>
      </c>
    </row>
    <row r="1236" ht="15" customHeight="1" s="60">
      <c r="A1236" s="59" t="n">
        <v>1</v>
      </c>
      <c r="B1236" s="59" t="n">
        <v>5459</v>
      </c>
      <c r="C1236" s="59" t="inlineStr">
        <is>
          <t>1</t>
        </is>
      </c>
      <c r="D1236" s="59" t="inlineStr">
        <is>
          <t>36480282000119</t>
        </is>
      </c>
      <c r="E1236" s="75" t="n">
        <v>46244</v>
      </c>
      <c r="F1236" s="75" t="n">
        <v>46244</v>
      </c>
      <c r="G1236" s="59" t="inlineStr">
        <is>
          <t>RENATO DE O AZEVEDO E CIA LTDA - EPP</t>
        </is>
      </c>
      <c r="H1236" s="59" t="n">
        <v>1528663</v>
      </c>
      <c r="I1236" s="59" t="n">
        <v>6</v>
      </c>
      <c r="J1236" s="59" t="inlineStr">
        <is>
          <t>AM</t>
        </is>
      </c>
      <c r="K1236" s="126" t="n">
        <v>300</v>
      </c>
    </row>
    <row r="1237" ht="15" customHeight="1" s="60">
      <c r="A1237" s="59" t="n">
        <v>1</v>
      </c>
      <c r="B1237" s="59" t="n">
        <v>32338</v>
      </c>
      <c r="C1237" s="59" t="inlineStr">
        <is>
          <t>1</t>
        </is>
      </c>
      <c r="D1237" s="59" t="inlineStr">
        <is>
          <t>30652116000176</t>
        </is>
      </c>
      <c r="E1237" s="75" t="n">
        <v>46244</v>
      </c>
      <c r="F1237" s="75" t="n">
        <v>46242</v>
      </c>
      <c r="G1237" s="59" t="inlineStr">
        <is>
          <t>SILVA E SANTOS FRIGORIFICO LTDA</t>
        </is>
      </c>
      <c r="H1237" s="59" t="n">
        <v>1529952</v>
      </c>
      <c r="I1237" s="59" t="n">
        <v>11</v>
      </c>
      <c r="J1237" s="59" t="inlineStr">
        <is>
          <t>AM</t>
        </is>
      </c>
      <c r="K1237" s="126" t="n">
        <v>1760</v>
      </c>
    </row>
    <row r="1238" ht="15" customHeight="1" s="60">
      <c r="A1238" s="59" t="n">
        <v>1</v>
      </c>
      <c r="B1238" s="59" t="n">
        <v>569302</v>
      </c>
      <c r="C1238" s="59" t="inlineStr">
        <is>
          <t>13</t>
        </is>
      </c>
      <c r="D1238" s="59" t="inlineStr">
        <is>
          <t>33009911007222</t>
        </is>
      </c>
      <c r="E1238" s="75" t="n">
        <v>46244</v>
      </c>
      <c r="F1238" s="75" t="n">
        <v>46239</v>
      </c>
      <c r="G1238" s="59" t="inlineStr">
        <is>
          <t>SOUZA CRUZ LTDA.</t>
        </is>
      </c>
      <c r="H1238" s="59" t="n">
        <v>1529885</v>
      </c>
      <c r="I1238" s="59" t="n">
        <v>11</v>
      </c>
      <c r="J1238" s="59" t="inlineStr">
        <is>
          <t>AM</t>
        </is>
      </c>
      <c r="K1238" s="126" t="n">
        <v>15215.99</v>
      </c>
    </row>
    <row r="1239" ht="15" customHeight="1" s="60">
      <c r="A1239" s="59" t="n">
        <v>1</v>
      </c>
      <c r="B1239" s="59" t="n">
        <v>356122</v>
      </c>
      <c r="C1239" s="59" t="inlineStr">
        <is>
          <t>2</t>
        </is>
      </c>
      <c r="D1239" s="59" t="inlineStr">
        <is>
          <t>63310411003461</t>
        </is>
      </c>
      <c r="E1239" s="75" t="n">
        <v>46244</v>
      </c>
      <c r="F1239" s="75" t="n">
        <v>46239</v>
      </c>
      <c r="G1239" s="59" t="inlineStr">
        <is>
          <t>TRES CORACOES ALIMENTOS S.A.</t>
        </is>
      </c>
      <c r="H1239" s="59" t="n">
        <v>1530362</v>
      </c>
      <c r="I1239" s="59" t="n">
        <v>11</v>
      </c>
      <c r="J1239" s="59" t="inlineStr">
        <is>
          <t>AM</t>
        </is>
      </c>
      <c r="K1239" s="126" t="n">
        <v>793.41</v>
      </c>
    </row>
    <row r="1240" ht="15" customHeight="1" s="60">
      <c r="A1240" s="59" t="n">
        <v>1</v>
      </c>
      <c r="B1240" s="59" t="n">
        <v>10502</v>
      </c>
      <c r="C1240" s="59" t="inlineStr">
        <is>
          <t>2</t>
        </is>
      </c>
      <c r="D1240" s="59" t="inlineStr">
        <is>
          <t>36296113000123</t>
        </is>
      </c>
      <c r="E1240" s="75" t="n">
        <v>46244</v>
      </c>
      <c r="F1240" s="75" t="n">
        <v>46241</v>
      </c>
      <c r="G1240" s="59" t="inlineStr">
        <is>
          <t>VITAPAN COMERCIO VAREJISTA DE PRODUTOS ALIMENTICIOS LTDA</t>
        </is>
      </c>
      <c r="H1240" s="59" t="n">
        <v>1528769</v>
      </c>
      <c r="I1240" s="59" t="n">
        <v>11</v>
      </c>
      <c r="J1240" s="59" t="inlineStr">
        <is>
          <t>AM</t>
        </is>
      </c>
      <c r="K1240" s="126" t="n">
        <v>1350</v>
      </c>
    </row>
    <row r="1241" ht="15" customHeight="1" s="60">
      <c r="A1241" s="59" t="n">
        <v>1</v>
      </c>
      <c r="B1241" s="59" t="n">
        <v>1199</v>
      </c>
      <c r="C1241" s="59" t="inlineStr">
        <is>
          <t>2</t>
        </is>
      </c>
      <c r="D1241" s="59" t="inlineStr">
        <is>
          <t>06177766000475</t>
        </is>
      </c>
      <c r="E1241" s="75" t="n">
        <v>46245</v>
      </c>
      <c r="F1241" s="75" t="n">
        <v>46244</v>
      </c>
      <c r="G1241" s="59" t="inlineStr">
        <is>
          <t>A M A DE LIMA INDUSTRIA E COMERCIO DE PRODUTOS ALIMENTICIOS LTDA</t>
        </is>
      </c>
      <c r="H1241" s="59" t="n">
        <v>1531897</v>
      </c>
      <c r="I1241" s="59" t="n">
        <v>11</v>
      </c>
      <c r="J1241" s="59" t="inlineStr">
        <is>
          <t>AM</t>
        </is>
      </c>
      <c r="K1241" s="126" t="n">
        <v>144.25</v>
      </c>
    </row>
    <row r="1242" ht="15" customHeight="1" s="60">
      <c r="A1242" s="59" t="n">
        <v>1</v>
      </c>
      <c r="B1242" s="59" t="n">
        <v>15076</v>
      </c>
      <c r="C1242" s="59" t="inlineStr">
        <is>
          <t>1</t>
        </is>
      </c>
      <c r="D1242" s="59" t="inlineStr">
        <is>
          <t>09531992000158</t>
        </is>
      </c>
      <c r="E1242" s="75" t="n">
        <v>46245</v>
      </c>
      <c r="F1242" s="75" t="n">
        <v>46245</v>
      </c>
      <c r="G1242" s="59" t="inlineStr">
        <is>
          <t>COMERCIO E TRANSPORTE BRANDAO LTDA</t>
        </is>
      </c>
      <c r="H1242" s="59" t="n">
        <v>1532725</v>
      </c>
      <c r="I1242" s="59" t="n">
        <v>1</v>
      </c>
      <c r="J1242" s="59" t="inlineStr">
        <is>
          <t>AM</t>
        </is>
      </c>
      <c r="K1242" s="126" t="n">
        <v>470</v>
      </c>
    </row>
    <row r="1243" ht="15" customHeight="1" s="60">
      <c r="A1243" s="59" t="n">
        <v>1</v>
      </c>
      <c r="B1243" s="59" t="n">
        <v>688332</v>
      </c>
      <c r="C1243" s="59" t="inlineStr">
        <is>
          <t>1</t>
        </is>
      </c>
      <c r="D1243" s="59" t="inlineStr">
        <is>
          <t>84520444000148</t>
        </is>
      </c>
      <c r="E1243" s="75" t="n">
        <v>46245</v>
      </c>
      <c r="F1243" s="75" t="n">
        <v>46242</v>
      </c>
      <c r="G1243" s="59" t="inlineStr">
        <is>
          <t>DISTRIBUIDORA FARIAS LTDA.</t>
        </is>
      </c>
      <c r="H1243" s="59" t="n">
        <v>1532109</v>
      </c>
      <c r="I1243" s="59" t="n">
        <v>11</v>
      </c>
      <c r="J1243" s="59" t="inlineStr">
        <is>
          <t>AM</t>
        </is>
      </c>
      <c r="K1243" s="126" t="n">
        <v>873.53</v>
      </c>
    </row>
    <row r="1244" ht="15" customHeight="1" s="60">
      <c r="A1244" s="59" t="n">
        <v>1</v>
      </c>
      <c r="B1244" s="59" t="n">
        <v>150</v>
      </c>
      <c r="C1244" s="59" t="inlineStr">
        <is>
          <t>1</t>
        </is>
      </c>
      <c r="D1244" s="59" t="inlineStr">
        <is>
          <t>55158713000170</t>
        </is>
      </c>
      <c r="E1244" s="75" t="n">
        <v>46245</v>
      </c>
      <c r="F1244" s="75" t="n">
        <v>46245</v>
      </c>
      <c r="G1244" s="59" t="inlineStr">
        <is>
          <t>H L M PADARIA E CONFEITARIA LTDA</t>
        </is>
      </c>
      <c r="H1244" s="59" t="n">
        <v>1536254</v>
      </c>
      <c r="I1244" s="59" t="n">
        <v>1</v>
      </c>
      <c r="J1244" s="59" t="inlineStr">
        <is>
          <t>AM</t>
        </is>
      </c>
      <c r="K1244" s="126" t="n">
        <v>280</v>
      </c>
    </row>
    <row r="1245" ht="15" customHeight="1" s="60">
      <c r="A1245" s="59" t="n">
        <v>1</v>
      </c>
      <c r="B1245" s="59" t="n">
        <v>36539</v>
      </c>
      <c r="C1245" s="59" t="inlineStr">
        <is>
          <t>1</t>
        </is>
      </c>
      <c r="D1245" s="59" t="inlineStr">
        <is>
          <t>52309068000150</t>
        </is>
      </c>
      <c r="E1245" s="75" t="n">
        <v>46245</v>
      </c>
      <c r="F1245" s="75" t="n">
        <v>46239</v>
      </c>
      <c r="G1245" s="59" t="inlineStr">
        <is>
          <t>L. J. DA SILVA LTDA</t>
        </is>
      </c>
      <c r="H1245" s="59" t="n">
        <v>1532148</v>
      </c>
      <c r="I1245" s="59" t="n">
        <v>11</v>
      </c>
      <c r="J1245" s="59" t="inlineStr">
        <is>
          <t>AM</t>
        </is>
      </c>
      <c r="K1245" s="126" t="n">
        <v>4798.3</v>
      </c>
    </row>
    <row r="1246" ht="15" customHeight="1" s="60">
      <c r="A1246" s="59" t="n">
        <v>1</v>
      </c>
      <c r="B1246" s="59" t="n">
        <v>506570</v>
      </c>
      <c r="C1246" s="59" t="inlineStr">
        <is>
          <t>1</t>
        </is>
      </c>
      <c r="D1246" s="59" t="inlineStr">
        <is>
          <t>01520248000227</t>
        </is>
      </c>
      <c r="E1246" s="75" t="n">
        <v>46245</v>
      </c>
      <c r="F1246" s="75" t="n">
        <v>46234</v>
      </c>
      <c r="G1246" s="59" t="inlineStr">
        <is>
          <t>MARQUES &amp; MELO LTDA - FILIAL</t>
        </is>
      </c>
      <c r="H1246" s="59" t="n">
        <v>1532336</v>
      </c>
      <c r="I1246" s="59" t="n">
        <v>11</v>
      </c>
      <c r="J1246" s="59" t="inlineStr">
        <is>
          <t>AM</t>
        </is>
      </c>
      <c r="K1246" s="126" t="n">
        <v>1459.31</v>
      </c>
    </row>
    <row r="1247" ht="15" customHeight="1" s="60">
      <c r="A1247" s="59" t="n">
        <v>1</v>
      </c>
      <c r="B1247" s="59" t="n">
        <v>295194</v>
      </c>
      <c r="C1247" s="59" t="inlineStr">
        <is>
          <t>3</t>
        </is>
      </c>
      <c r="D1247" s="59" t="inlineStr">
        <is>
          <t>05492907000139</t>
        </is>
      </c>
      <c r="E1247" s="75" t="n">
        <v>46245</v>
      </c>
      <c r="F1247" s="75" t="n">
        <v>46240</v>
      </c>
      <c r="G1247" s="59" t="inlineStr">
        <is>
          <t>MIKITOS IND.COM.DE GEN. ALIM. DO AM. LTD</t>
        </is>
      </c>
      <c r="H1247" s="59" t="n">
        <v>1531950</v>
      </c>
      <c r="I1247" s="59" t="n">
        <v>11</v>
      </c>
      <c r="J1247" s="59" t="inlineStr">
        <is>
          <t>AM</t>
        </is>
      </c>
      <c r="K1247" s="126" t="n">
        <v>2063.88</v>
      </c>
    </row>
    <row r="1248" ht="15" customHeight="1" s="60">
      <c r="A1248" s="59" t="n">
        <v>1</v>
      </c>
      <c r="B1248" s="59" t="n">
        <v>5466</v>
      </c>
      <c r="C1248" s="59" t="inlineStr">
        <is>
          <t>1</t>
        </is>
      </c>
      <c r="D1248" s="59" t="inlineStr">
        <is>
          <t>36480282000119</t>
        </is>
      </c>
      <c r="E1248" s="75" t="n">
        <v>46245</v>
      </c>
      <c r="F1248" s="75" t="n">
        <v>46245</v>
      </c>
      <c r="G1248" s="59" t="inlineStr">
        <is>
          <t>RENATO DE O AZEVEDO E CIA LTDA - EPP</t>
        </is>
      </c>
      <c r="H1248" s="59" t="n">
        <v>1532676</v>
      </c>
      <c r="I1248" s="59" t="n">
        <v>6</v>
      </c>
      <c r="J1248" s="59" t="inlineStr">
        <is>
          <t>AM</t>
        </is>
      </c>
      <c r="K1248" s="126" t="n">
        <v>695</v>
      </c>
    </row>
    <row r="1249" ht="15" customHeight="1" s="60">
      <c r="A1249" s="59" t="n">
        <v>1</v>
      </c>
      <c r="B1249" s="59" t="n">
        <v>5469</v>
      </c>
      <c r="C1249" s="59" t="inlineStr">
        <is>
          <t>1</t>
        </is>
      </c>
      <c r="D1249" s="59" t="inlineStr">
        <is>
          <t>36480282000119</t>
        </is>
      </c>
      <c r="E1249" s="75" t="n">
        <v>46245</v>
      </c>
      <c r="F1249" s="75" t="n">
        <v>46245</v>
      </c>
      <c r="G1249" s="59" t="inlineStr">
        <is>
          <t>RENATO DE O AZEVEDO E CIA LTDA - EPP</t>
        </is>
      </c>
      <c r="H1249" s="59" t="n">
        <v>1533001</v>
      </c>
      <c r="I1249" s="59" t="n">
        <v>6</v>
      </c>
      <c r="J1249" s="59" t="inlineStr">
        <is>
          <t>AM</t>
        </is>
      </c>
      <c r="K1249" s="126" t="n">
        <v>2580</v>
      </c>
    </row>
    <row r="1250" ht="15" customHeight="1" s="60">
      <c r="A1250" s="59" t="n">
        <v>1</v>
      </c>
      <c r="B1250" s="59" t="n">
        <v>5474</v>
      </c>
      <c r="C1250" s="59" t="inlineStr">
        <is>
          <t>1</t>
        </is>
      </c>
      <c r="D1250" s="59" t="inlineStr">
        <is>
          <t>36480282000119</t>
        </is>
      </c>
      <c r="E1250" s="75" t="n">
        <v>46245</v>
      </c>
      <c r="F1250" s="75" t="n">
        <v>46245</v>
      </c>
      <c r="G1250" s="59" t="inlineStr">
        <is>
          <t>RENATO DE O AZEVEDO E CIA LTDA - EPP</t>
        </is>
      </c>
      <c r="H1250" s="59" t="n">
        <v>1533251</v>
      </c>
      <c r="I1250" s="59" t="n">
        <v>6</v>
      </c>
      <c r="J1250" s="59" t="inlineStr">
        <is>
          <t>AM</t>
        </is>
      </c>
      <c r="K1250" s="126" t="n">
        <v>1100</v>
      </c>
    </row>
    <row r="1251" ht="15" customHeight="1" s="60">
      <c r="A1251" s="59" t="n">
        <v>1</v>
      </c>
      <c r="B1251" s="59" t="n">
        <v>3798</v>
      </c>
      <c r="C1251" s="59" t="inlineStr">
        <is>
          <t>1</t>
        </is>
      </c>
      <c r="D1251" s="59" t="inlineStr">
        <is>
          <t>10288430000104</t>
        </is>
      </c>
      <c r="E1251" s="75" t="n">
        <v>46245</v>
      </c>
      <c r="F1251" s="75" t="n">
        <v>46242</v>
      </c>
      <c r="G1251" s="59" t="inlineStr">
        <is>
          <t>SAO JOSE COMERCIO DE LATICINIOS E FRIOS</t>
        </is>
      </c>
      <c r="H1251" s="59" t="n">
        <v>1531885</v>
      </c>
      <c r="I1251" s="59" t="n">
        <v>11</v>
      </c>
      <c r="J1251" s="59" t="inlineStr">
        <is>
          <t>AM</t>
        </is>
      </c>
      <c r="K1251" s="126" t="n">
        <v>2313.5</v>
      </c>
    </row>
    <row r="1252" ht="15" customHeight="1" s="60">
      <c r="A1252" s="59" t="n">
        <v>1</v>
      </c>
      <c r="B1252" s="59" t="n">
        <v>32360</v>
      </c>
      <c r="C1252" s="59" t="inlineStr">
        <is>
          <t>1</t>
        </is>
      </c>
      <c r="D1252" s="59" t="inlineStr">
        <is>
          <t>30652116000176</t>
        </is>
      </c>
      <c r="E1252" s="75" t="n">
        <v>46245</v>
      </c>
      <c r="F1252" s="75" t="n">
        <v>46244</v>
      </c>
      <c r="G1252" s="59" t="inlineStr">
        <is>
          <t>SILVA E SANTOS FRIGORIFICO LTDA</t>
        </is>
      </c>
      <c r="H1252" s="59" t="n">
        <v>1532974</v>
      </c>
      <c r="I1252" s="59" t="n">
        <v>11</v>
      </c>
      <c r="J1252" s="59" t="inlineStr">
        <is>
          <t>AM</t>
        </is>
      </c>
      <c r="K1252" s="126" t="n">
        <v>3325</v>
      </c>
    </row>
    <row r="1253" ht="15" customHeight="1" s="60">
      <c r="A1253" s="59" t="n">
        <v>1</v>
      </c>
      <c r="B1253" s="59" t="n">
        <v>15235</v>
      </c>
      <c r="C1253" s="59" t="inlineStr">
        <is>
          <t>1</t>
        </is>
      </c>
      <c r="D1253" s="59" t="inlineStr">
        <is>
          <t>01215382000133</t>
        </is>
      </c>
      <c r="E1253" s="75" t="n">
        <v>46245</v>
      </c>
      <c r="F1253" s="75" t="n">
        <v>46244</v>
      </c>
      <c r="G1253" s="59" t="inlineStr">
        <is>
          <t>T. M. L. DA SILVA LTDA</t>
        </is>
      </c>
      <c r="H1253" s="59" t="n">
        <v>1531875</v>
      </c>
      <c r="I1253" s="59" t="n">
        <v>11</v>
      </c>
      <c r="J1253" s="59" t="inlineStr">
        <is>
          <t>AM</t>
        </is>
      </c>
      <c r="K1253" s="126" t="n">
        <v>721.74</v>
      </c>
    </row>
    <row r="1254" ht="15" customHeight="1" s="60">
      <c r="A1254" s="59" t="n">
        <v>1</v>
      </c>
      <c r="B1254" s="59" t="n">
        <v>595</v>
      </c>
      <c r="C1254" s="59" t="inlineStr">
        <is>
          <t>1</t>
        </is>
      </c>
      <c r="D1254" s="59" t="inlineStr">
        <is>
          <t>47496330000183</t>
        </is>
      </c>
      <c r="E1254" s="75" t="n">
        <v>46246</v>
      </c>
      <c r="F1254" s="75" t="n">
        <v>46244</v>
      </c>
      <c r="G1254" s="59" t="inlineStr">
        <is>
          <t>ADICSO FABIAN GONZALEZ MONTILLA 70302186</t>
        </is>
      </c>
      <c r="H1254" s="59" t="n">
        <v>1535117</v>
      </c>
      <c r="I1254" s="59" t="n">
        <v>11</v>
      </c>
      <c r="J1254" s="59" t="inlineStr">
        <is>
          <t>AM</t>
        </is>
      </c>
      <c r="K1254" s="126" t="n">
        <v>240</v>
      </c>
    </row>
    <row r="1255" ht="15" customHeight="1" s="60">
      <c r="A1255" s="59" t="n">
        <v>1</v>
      </c>
      <c r="B1255" s="59" t="n">
        <v>889987</v>
      </c>
      <c r="C1255" s="59" t="inlineStr">
        <is>
          <t>1</t>
        </is>
      </c>
      <c r="D1255" s="59" t="inlineStr">
        <is>
          <t>04724476000126</t>
        </is>
      </c>
      <c r="E1255" s="75" t="n">
        <v>46246</v>
      </c>
      <c r="F1255" s="75" t="n">
        <v>46244</v>
      </c>
      <c r="G1255" s="59" t="inlineStr">
        <is>
          <t>ADRIANA DISTRIBUIDORA DE PRODUTOS ALIMEN</t>
        </is>
      </c>
      <c r="H1255" s="59" t="n">
        <v>1537077</v>
      </c>
      <c r="I1255" s="59" t="n">
        <v>11</v>
      </c>
      <c r="J1255" s="59" t="inlineStr">
        <is>
          <t>AM</t>
        </is>
      </c>
      <c r="K1255" s="126" t="n">
        <v>1037.85</v>
      </c>
    </row>
    <row r="1256" ht="15" customHeight="1" s="60">
      <c r="A1256" s="59" t="n">
        <v>1</v>
      </c>
      <c r="B1256" s="59" t="n">
        <v>3234290</v>
      </c>
      <c r="C1256" s="59" t="inlineStr">
        <is>
          <t>1</t>
        </is>
      </c>
      <c r="D1256" s="59" t="inlineStr">
        <is>
          <t>84466424000136</t>
        </is>
      </c>
      <c r="E1256" s="75" t="n">
        <v>46246</v>
      </c>
      <c r="F1256" s="75" t="n">
        <v>46241</v>
      </c>
      <c r="G1256" s="59" t="inlineStr">
        <is>
          <t>DUNORTE DISTRIBUIDORA DE PRODUTOS DE CONSUMO LTDA</t>
        </is>
      </c>
      <c r="H1256" s="59" t="n">
        <v>1536404</v>
      </c>
      <c r="I1256" s="59" t="n">
        <v>11</v>
      </c>
      <c r="J1256" s="59" t="inlineStr">
        <is>
          <t>AM</t>
        </is>
      </c>
      <c r="K1256" s="126" t="n">
        <v>2178.26</v>
      </c>
    </row>
    <row r="1257" ht="15" customHeight="1" s="60">
      <c r="A1257" s="59" t="n">
        <v>1</v>
      </c>
      <c r="B1257" s="59" t="n">
        <v>8609</v>
      </c>
      <c r="C1257" s="59" t="inlineStr">
        <is>
          <t>1</t>
        </is>
      </c>
      <c r="D1257" s="59" t="inlineStr">
        <is>
          <t>44302603000113</t>
        </is>
      </c>
      <c r="E1257" s="75" t="n">
        <v>46246</v>
      </c>
      <c r="F1257" s="75" t="n">
        <v>46245</v>
      </c>
      <c r="G1257" s="59" t="inlineStr">
        <is>
          <t>EDMARA COMERCIO DE HIGIENE PESSOAL LTDA</t>
        </is>
      </c>
      <c r="H1257" s="59" t="n">
        <v>1536653</v>
      </c>
      <c r="I1257" s="59" t="n">
        <v>11</v>
      </c>
      <c r="J1257" s="59" t="inlineStr">
        <is>
          <t>AM</t>
        </is>
      </c>
      <c r="K1257" s="126" t="n">
        <v>1060</v>
      </c>
    </row>
    <row r="1258" ht="15" customHeight="1" s="60">
      <c r="A1258" s="59" t="n">
        <v>1</v>
      </c>
      <c r="B1258" s="59" t="n">
        <v>1662615</v>
      </c>
      <c r="C1258" s="59" t="inlineStr">
        <is>
          <t>890</t>
        </is>
      </c>
      <c r="D1258" s="59" t="inlineStr">
        <is>
          <t>02532915340</t>
        </is>
      </c>
      <c r="E1258" s="75" t="n">
        <v>46246</v>
      </c>
      <c r="F1258" s="75" t="n">
        <v>46246</v>
      </c>
      <c r="G1258" s="59" t="inlineStr">
        <is>
          <t>EDSON AGUIAR DE SOUZA</t>
        </is>
      </c>
      <c r="H1258" s="59" t="n">
        <v>1543738</v>
      </c>
      <c r="I1258" s="59" t="n">
        <v>1</v>
      </c>
      <c r="J1258" s="59" t="inlineStr">
        <is>
          <t>AM</t>
        </is>
      </c>
      <c r="K1258" s="126" t="n">
        <v>225</v>
      </c>
    </row>
    <row r="1259" ht="15" customHeight="1" s="60">
      <c r="A1259" s="59" t="n">
        <v>1</v>
      </c>
      <c r="B1259" s="59" t="n">
        <v>152</v>
      </c>
      <c r="C1259" s="59" t="inlineStr">
        <is>
          <t>1</t>
        </is>
      </c>
      <c r="D1259" s="59" t="inlineStr">
        <is>
          <t>55158713000170</t>
        </is>
      </c>
      <c r="E1259" s="75" t="n">
        <v>46246</v>
      </c>
      <c r="F1259" s="75" t="n">
        <v>46246</v>
      </c>
      <c r="G1259" s="59" t="inlineStr">
        <is>
          <t>H L M PADARIA E CONFEITARIA LTDA</t>
        </is>
      </c>
      <c r="H1259" s="59" t="n">
        <v>1545850</v>
      </c>
      <c r="I1259" s="59" t="n">
        <v>1</v>
      </c>
      <c r="J1259" s="59" t="inlineStr">
        <is>
          <t>AM</t>
        </is>
      </c>
      <c r="K1259" s="126" t="n">
        <v>280</v>
      </c>
    </row>
    <row r="1260" ht="15" customHeight="1" s="60">
      <c r="A1260" s="59" t="n">
        <v>1</v>
      </c>
      <c r="B1260" s="59" t="n">
        <v>1414621</v>
      </c>
      <c r="C1260" s="59" t="inlineStr">
        <is>
          <t>1</t>
        </is>
      </c>
      <c r="D1260" s="59" t="inlineStr">
        <is>
          <t>02887227000207</t>
        </is>
      </c>
      <c r="E1260" s="75" t="n">
        <v>46246</v>
      </c>
      <c r="F1260" s="75" t="n">
        <v>46238</v>
      </c>
      <c r="G1260" s="59" t="inlineStr">
        <is>
          <t>MARE DISTRIBUIDORA DE BEBIDAS E DE PRODUTOS ALIMENTICIOS LTDA</t>
        </is>
      </c>
      <c r="H1260" s="59" t="n">
        <v>1537371</v>
      </c>
      <c r="I1260" s="59" t="n">
        <v>11</v>
      </c>
      <c r="J1260" s="59" t="inlineStr">
        <is>
          <t>AM</t>
        </is>
      </c>
      <c r="K1260" s="126" t="n">
        <v>1518.6</v>
      </c>
    </row>
    <row r="1261" ht="15" customHeight="1" s="60">
      <c r="A1261" s="59" t="n">
        <v>1</v>
      </c>
      <c r="B1261" s="59" t="n">
        <v>5475</v>
      </c>
      <c r="C1261" s="59" t="inlineStr">
        <is>
          <t>1</t>
        </is>
      </c>
      <c r="D1261" s="59" t="inlineStr">
        <is>
          <t>36480282000119</t>
        </is>
      </c>
      <c r="E1261" s="75" t="n">
        <v>46246</v>
      </c>
      <c r="F1261" s="75" t="n">
        <v>46246</v>
      </c>
      <c r="G1261" s="59" t="inlineStr">
        <is>
          <t>RENATO DE O AZEVEDO E CIA LTDA - EPP</t>
        </is>
      </c>
      <c r="H1261" s="59" t="n">
        <v>1535362</v>
      </c>
      <c r="I1261" s="59" t="n">
        <v>6</v>
      </c>
      <c r="J1261" s="59" t="inlineStr">
        <is>
          <t>AM</t>
        </is>
      </c>
      <c r="K1261" s="126" t="n">
        <v>375</v>
      </c>
    </row>
    <row r="1262" ht="15" customHeight="1" s="60">
      <c r="A1262" s="59" t="n">
        <v>1</v>
      </c>
      <c r="B1262" s="59" t="n">
        <v>5476</v>
      </c>
      <c r="C1262" s="59" t="inlineStr">
        <is>
          <t>1</t>
        </is>
      </c>
      <c r="D1262" s="59" t="inlineStr">
        <is>
          <t>36480282000119</t>
        </is>
      </c>
      <c r="E1262" s="75" t="n">
        <v>46246</v>
      </c>
      <c r="F1262" s="75" t="n">
        <v>46246</v>
      </c>
      <c r="G1262" s="59" t="inlineStr">
        <is>
          <t>RENATO DE O AZEVEDO E CIA LTDA - EPP</t>
        </is>
      </c>
      <c r="H1262" s="59" t="n">
        <v>1535485</v>
      </c>
      <c r="I1262" s="59" t="n">
        <v>6</v>
      </c>
      <c r="J1262" s="59" t="inlineStr">
        <is>
          <t>AM</t>
        </is>
      </c>
      <c r="K1262" s="126" t="n">
        <v>300</v>
      </c>
    </row>
    <row r="1263" ht="15" customHeight="1" s="60">
      <c r="A1263" s="59" t="n">
        <v>1</v>
      </c>
      <c r="B1263" s="59" t="n">
        <v>264963</v>
      </c>
      <c r="C1263" s="59" t="inlineStr">
        <is>
          <t>1</t>
        </is>
      </c>
      <c r="D1263" s="59" t="inlineStr">
        <is>
          <t>08214295000372</t>
        </is>
      </c>
      <c r="E1263" s="75" t="n">
        <v>46246</v>
      </c>
      <c r="F1263" s="75" t="n">
        <v>46240</v>
      </c>
      <c r="G1263" s="59" t="inlineStr">
        <is>
          <t>SUPER CANCUN COMERCIO DE PRODUTOS ALIMEN</t>
        </is>
      </c>
      <c r="H1263" s="59" t="n">
        <v>1535111</v>
      </c>
      <c r="I1263" s="59" t="n">
        <v>11</v>
      </c>
      <c r="J1263" s="59" t="inlineStr">
        <is>
          <t>AM</t>
        </is>
      </c>
      <c r="K1263" s="126" t="n">
        <v>2164.56</v>
      </c>
    </row>
    <row r="1264" ht="15" customHeight="1" s="60">
      <c r="A1264" s="59" t="n">
        <v>1</v>
      </c>
      <c r="B1264" s="59" t="n">
        <v>12716</v>
      </c>
      <c r="C1264" s="59" t="inlineStr">
        <is>
          <t>3</t>
        </is>
      </c>
      <c r="D1264" s="59" t="inlineStr">
        <is>
          <t>26227385000118</t>
        </is>
      </c>
      <c r="E1264" s="75" t="n">
        <v>46246</v>
      </c>
      <c r="F1264" s="75" t="n">
        <v>46239</v>
      </c>
      <c r="G1264" s="59" t="inlineStr">
        <is>
          <t>VICTORIA COMERCIO INTERNACIONAL DE ALIME</t>
        </is>
      </c>
      <c r="H1264" s="59" t="n">
        <v>1535238</v>
      </c>
      <c r="I1264" s="59" t="n">
        <v>11</v>
      </c>
      <c r="J1264" s="59" t="inlineStr">
        <is>
          <t>AM</t>
        </is>
      </c>
      <c r="K1264" s="126" t="n">
        <v>2575.05</v>
      </c>
    </row>
    <row r="1265" ht="15" customHeight="1" s="60">
      <c r="A1265" s="59" t="n">
        <v>1</v>
      </c>
      <c r="B1265" s="59" t="n">
        <v>18687</v>
      </c>
      <c r="C1265" s="59" t="inlineStr">
        <is>
          <t>1</t>
        </is>
      </c>
      <c r="D1265" s="59" t="inlineStr">
        <is>
          <t>11163542000100</t>
        </is>
      </c>
      <c r="E1265" s="75" t="n">
        <v>46247</v>
      </c>
      <c r="F1265" s="75" t="n">
        <v>46246</v>
      </c>
      <c r="G1265" s="59" t="inlineStr">
        <is>
          <t>BENDUK COMERCIO E DISTRIBUIDORA DE PRODU</t>
        </is>
      </c>
      <c r="H1265" s="59" t="n">
        <v>1540754</v>
      </c>
      <c r="I1265" s="59" t="n">
        <v>11</v>
      </c>
      <c r="J1265" s="59" t="inlineStr">
        <is>
          <t>AM</t>
        </is>
      </c>
      <c r="K1265" s="126" t="n">
        <v>993</v>
      </c>
    </row>
    <row r="1266" ht="15" customHeight="1" s="60">
      <c r="A1266" s="59" t="n">
        <v>1</v>
      </c>
      <c r="B1266" s="59" t="n">
        <v>1036253</v>
      </c>
      <c r="C1266" s="59" t="inlineStr">
        <is>
          <t>1</t>
        </is>
      </c>
      <c r="D1266" s="59" t="inlineStr">
        <is>
          <t>34579060000122</t>
        </is>
      </c>
      <c r="E1266" s="75" t="n">
        <v>46247</v>
      </c>
      <c r="F1266" s="75" t="n">
        <v>46244</v>
      </c>
      <c r="G1266" s="59" t="inlineStr">
        <is>
          <t>BROTHERS  INDUSTRIA DE ALIMENTOS LTDA</t>
        </is>
      </c>
      <c r="H1266" s="59" t="n">
        <v>1540552</v>
      </c>
      <c r="I1266" s="59" t="n">
        <v>11</v>
      </c>
      <c r="J1266" s="59" t="inlineStr">
        <is>
          <t>AM</t>
        </is>
      </c>
      <c r="K1266" s="126" t="n">
        <v>524.6</v>
      </c>
    </row>
    <row r="1267" ht="15" customHeight="1" s="60">
      <c r="A1267" s="59" t="n">
        <v>1</v>
      </c>
      <c r="B1267" s="59" t="n">
        <v>862283</v>
      </c>
      <c r="C1267" s="59" t="inlineStr">
        <is>
          <t>1</t>
        </is>
      </c>
      <c r="D1267" s="59" t="inlineStr">
        <is>
          <t>14189432000105</t>
        </is>
      </c>
      <c r="E1267" s="75" t="n">
        <v>46247</v>
      </c>
      <c r="F1267" s="75" t="n">
        <v>46245</v>
      </c>
      <c r="G1267" s="59" t="inlineStr">
        <is>
          <t>CB COMERCIO E DISTRIBUIDORA DE ALIMENTOS</t>
        </is>
      </c>
      <c r="H1267" s="59" t="n">
        <v>1540832</v>
      </c>
      <c r="I1267" s="59" t="n">
        <v>11</v>
      </c>
      <c r="J1267" s="59" t="inlineStr">
        <is>
          <t>AM</t>
        </is>
      </c>
      <c r="K1267" s="126" t="n">
        <v>2842.66</v>
      </c>
    </row>
    <row r="1268" ht="15" customHeight="1" s="60">
      <c r="A1268" s="59" t="n">
        <v>1</v>
      </c>
      <c r="B1268" s="59" t="n">
        <v>224812</v>
      </c>
      <c r="C1268" s="59" t="inlineStr">
        <is>
          <t>3</t>
        </is>
      </c>
      <c r="D1268" s="59" t="inlineStr">
        <is>
          <t>23030471000148</t>
        </is>
      </c>
      <c r="E1268" s="75" t="n">
        <v>46247</v>
      </c>
      <c r="F1268" s="75" t="n">
        <v>46241</v>
      </c>
      <c r="G1268" s="59" t="inlineStr">
        <is>
          <t>COMERCIAL DE ESTIVAS REGO LTDA</t>
        </is>
      </c>
      <c r="H1268" s="59" t="n">
        <v>1543119</v>
      </c>
      <c r="I1268" s="59" t="n">
        <v>11</v>
      </c>
      <c r="J1268" s="59" t="inlineStr">
        <is>
          <t>AM</t>
        </is>
      </c>
      <c r="K1268" s="126" t="n">
        <v>630.62</v>
      </c>
    </row>
    <row r="1269" ht="15" customHeight="1" s="60">
      <c r="A1269" s="59" t="n">
        <v>1</v>
      </c>
      <c r="B1269" s="59" t="n">
        <v>174746</v>
      </c>
      <c r="C1269" s="59" t="inlineStr">
        <is>
          <t>1</t>
        </is>
      </c>
      <c r="D1269" s="59" t="inlineStr">
        <is>
          <t>10418161000153</t>
        </is>
      </c>
      <c r="E1269" s="75" t="n">
        <v>46247</v>
      </c>
      <c r="F1269" s="75" t="n">
        <v>46246</v>
      </c>
      <c r="G1269" s="59" t="inlineStr">
        <is>
          <t>COMERCIO DE FRIOS MANAUS LTDA</t>
        </is>
      </c>
      <c r="H1269" s="59" t="n">
        <v>1543732</v>
      </c>
      <c r="I1269" s="59" t="n">
        <v>11</v>
      </c>
      <c r="J1269" s="59" t="inlineStr">
        <is>
          <t>AM</t>
        </is>
      </c>
      <c r="K1269" s="126" t="n">
        <v>5918.6</v>
      </c>
    </row>
    <row r="1270" ht="15" customHeight="1" s="60">
      <c r="A1270" s="59" t="n">
        <v>1</v>
      </c>
      <c r="B1270" s="59" t="n">
        <v>174798</v>
      </c>
      <c r="C1270" s="59" t="inlineStr">
        <is>
          <t>1</t>
        </is>
      </c>
      <c r="D1270" s="59" t="inlineStr">
        <is>
          <t>10418161000153</t>
        </is>
      </c>
      <c r="E1270" s="75" t="n">
        <v>46247</v>
      </c>
      <c r="F1270" s="75" t="n">
        <v>46247</v>
      </c>
      <c r="G1270" s="59" t="inlineStr">
        <is>
          <t>COMERCIO DE FRIOS MANAUS LTDA</t>
        </is>
      </c>
      <c r="H1270" s="59" t="n">
        <v>1543872</v>
      </c>
      <c r="I1270" s="59" t="n">
        <v>11</v>
      </c>
      <c r="J1270" s="59" t="inlineStr">
        <is>
          <t>AM</t>
        </is>
      </c>
      <c r="K1270" s="126" t="n">
        <v>5788.75</v>
      </c>
    </row>
    <row r="1271" ht="15" customHeight="1" s="60">
      <c r="A1271" s="59" t="n">
        <v>1</v>
      </c>
      <c r="B1271" s="59" t="n">
        <v>415</v>
      </c>
      <c r="C1271" s="59" t="inlineStr">
        <is>
          <t>3</t>
        </is>
      </c>
      <c r="D1271" s="59" t="inlineStr">
        <is>
          <t>40233745000115</t>
        </is>
      </c>
      <c r="E1271" s="75" t="n">
        <v>46247</v>
      </c>
      <c r="F1271" s="75" t="n">
        <v>46247</v>
      </c>
      <c r="G1271" s="59" t="inlineStr">
        <is>
          <t>D N COMERCIO ATACADISTA DE EMBALAGENS E</t>
        </is>
      </c>
      <c r="H1271" s="59" t="n">
        <v>1546221</v>
      </c>
      <c r="I1271" s="59" t="n">
        <v>1</v>
      </c>
      <c r="J1271" s="59" t="inlineStr">
        <is>
          <t>AM</t>
        </is>
      </c>
      <c r="K1271" s="126" t="n">
        <v>108</v>
      </c>
    </row>
    <row r="1272" ht="15" customHeight="1" s="60">
      <c r="A1272" s="59" t="n">
        <v>1</v>
      </c>
      <c r="B1272" s="59" t="n">
        <v>282949</v>
      </c>
      <c r="C1272" s="59" t="inlineStr">
        <is>
          <t>1</t>
        </is>
      </c>
      <c r="D1272" s="59" t="inlineStr">
        <is>
          <t>84502145000261</t>
        </is>
      </c>
      <c r="E1272" s="75" t="n">
        <v>46247</v>
      </c>
      <c r="F1272" s="75" t="n">
        <v>46244</v>
      </c>
      <c r="G1272" s="59" t="inlineStr">
        <is>
          <t>DISPPAN DISTRIBUIDORA DE PRODUTOS PARA PANIFICACAO LTDA</t>
        </is>
      </c>
      <c r="H1272" s="59" t="n">
        <v>1540693</v>
      </c>
      <c r="I1272" s="59" t="n">
        <v>47</v>
      </c>
      <c r="J1272" s="59" t="inlineStr">
        <is>
          <t>AM</t>
        </is>
      </c>
      <c r="K1272" s="126" t="n">
        <v>930.7</v>
      </c>
    </row>
    <row r="1273" ht="15" customHeight="1" s="60">
      <c r="A1273" s="59" t="n">
        <v>1</v>
      </c>
      <c r="B1273" s="59" t="n">
        <v>1709723</v>
      </c>
      <c r="C1273" s="59" t="inlineStr">
        <is>
          <t>1</t>
        </is>
      </c>
      <c r="D1273" s="59" t="inlineStr">
        <is>
          <t>02796653000154</t>
        </is>
      </c>
      <c r="E1273" s="75" t="n">
        <v>46247</v>
      </c>
      <c r="F1273" s="75" t="n">
        <v>46245</v>
      </c>
      <c r="G1273" s="59" t="inlineStr">
        <is>
          <t>DISTRIBUIDORA LOPES LTDA</t>
        </is>
      </c>
      <c r="H1273" s="59" t="n">
        <v>1540507</v>
      </c>
      <c r="I1273" s="59" t="n">
        <v>11</v>
      </c>
      <c r="J1273" s="59" t="inlineStr">
        <is>
          <t>AM</t>
        </is>
      </c>
      <c r="K1273" s="126" t="n">
        <v>2053.19</v>
      </c>
    </row>
    <row r="1274" ht="15" customHeight="1" s="60">
      <c r="A1274" s="59" t="n">
        <v>1</v>
      </c>
      <c r="B1274" s="59" t="n">
        <v>3235765</v>
      </c>
      <c r="C1274" s="59" t="inlineStr">
        <is>
          <t>1</t>
        </is>
      </c>
      <c r="D1274" s="59" t="inlineStr">
        <is>
          <t>84466424000136</t>
        </is>
      </c>
      <c r="E1274" s="75" t="n">
        <v>46247</v>
      </c>
      <c r="F1274" s="75" t="n">
        <v>46245</v>
      </c>
      <c r="G1274" s="59" t="inlineStr">
        <is>
          <t>DUNORTE DISTRIBUIDORA DE PRODUTOS DE CONSUMO LTDA</t>
        </is>
      </c>
      <c r="H1274" s="59" t="n">
        <v>1542474</v>
      </c>
      <c r="I1274" s="59" t="n">
        <v>11</v>
      </c>
      <c r="J1274" s="59" t="inlineStr">
        <is>
          <t>AM</t>
        </is>
      </c>
      <c r="K1274" s="126" t="n">
        <v>3788.09</v>
      </c>
    </row>
    <row r="1275" ht="15" customHeight="1" s="60">
      <c r="A1275" s="59" t="n">
        <v>1</v>
      </c>
      <c r="B1275" s="59" t="n">
        <v>56171</v>
      </c>
      <c r="C1275" s="59" t="inlineStr">
        <is>
          <t>1</t>
        </is>
      </c>
      <c r="D1275" s="59" t="inlineStr">
        <is>
          <t>05778252000755</t>
        </is>
      </c>
      <c r="E1275" s="75" t="n">
        <v>46247</v>
      </c>
      <c r="F1275" s="75" t="n">
        <v>46245</v>
      </c>
      <c r="G1275" s="59" t="inlineStr">
        <is>
          <t>FEMAR IND E COM DE BEBIDAS LTDA</t>
        </is>
      </c>
      <c r="H1275" s="59" t="n">
        <v>1540684</v>
      </c>
      <c r="I1275" s="59" t="n">
        <v>11</v>
      </c>
      <c r="J1275" s="59" t="inlineStr">
        <is>
          <t>AM</t>
        </is>
      </c>
      <c r="K1275" s="126" t="n">
        <v>802.03</v>
      </c>
    </row>
    <row r="1276" ht="15" customHeight="1" s="60">
      <c r="A1276" s="59" t="n">
        <v>1</v>
      </c>
      <c r="B1276" s="59" t="n">
        <v>398226</v>
      </c>
      <c r="C1276" s="59" t="inlineStr">
        <is>
          <t>1</t>
        </is>
      </c>
      <c r="D1276" s="59" t="inlineStr">
        <is>
          <t>06257367000171</t>
        </is>
      </c>
      <c r="E1276" s="75" t="n">
        <v>46247</v>
      </c>
      <c r="F1276" s="75" t="n">
        <v>46246</v>
      </c>
      <c r="G1276" s="59" t="inlineStr">
        <is>
          <t>FENNIX BRASIL DISTRIBUIDORA DE PRODUTOS</t>
        </is>
      </c>
      <c r="H1276" s="59" t="n">
        <v>1542897</v>
      </c>
      <c r="I1276" s="59" t="n">
        <v>11</v>
      </c>
      <c r="J1276" s="59" t="inlineStr">
        <is>
          <t>AM</t>
        </is>
      </c>
      <c r="K1276" s="126" t="n">
        <v>1515.54</v>
      </c>
    </row>
    <row r="1277" ht="15" customHeight="1" s="60">
      <c r="A1277" s="59" t="n">
        <v>1</v>
      </c>
      <c r="B1277" s="59" t="n">
        <v>228288</v>
      </c>
      <c r="C1277" s="59" t="inlineStr">
        <is>
          <t>2</t>
        </is>
      </c>
      <c r="D1277" s="59" t="inlineStr">
        <is>
          <t>05646631000104</t>
        </is>
      </c>
      <c r="E1277" s="75" t="n">
        <v>46247</v>
      </c>
      <c r="F1277" s="75" t="n">
        <v>46244</v>
      </c>
      <c r="G1277" s="59" t="inlineStr">
        <is>
          <t>FRUTAL INDUSTRIA E COMERCIO LTDA</t>
        </is>
      </c>
      <c r="H1277" s="59" t="n">
        <v>1540548</v>
      </c>
      <c r="I1277" s="59" t="n">
        <v>11</v>
      </c>
      <c r="J1277" s="59" t="inlineStr">
        <is>
          <t>AM</t>
        </is>
      </c>
      <c r="K1277" s="126" t="n">
        <v>661.21</v>
      </c>
    </row>
    <row r="1278" ht="15" customHeight="1" s="60">
      <c r="A1278" s="59" t="n">
        <v>1</v>
      </c>
      <c r="B1278" s="59" t="n">
        <v>479</v>
      </c>
      <c r="C1278" s="59" t="inlineStr">
        <is>
          <t>2</t>
        </is>
      </c>
      <c r="D1278" s="59" t="inlineStr">
        <is>
          <t>20380110000133</t>
        </is>
      </c>
      <c r="E1278" s="75" t="n">
        <v>46247</v>
      </c>
      <c r="F1278" s="75" t="n">
        <v>46247</v>
      </c>
      <c r="G1278" s="59" t="inlineStr">
        <is>
          <t>GELO DANGELO FABRICACAO DE GELO LTDA</t>
        </is>
      </c>
      <c r="H1278" s="59" t="n">
        <v>1545903</v>
      </c>
      <c r="I1278" s="59" t="n">
        <v>1</v>
      </c>
      <c r="J1278" s="59" t="inlineStr">
        <is>
          <t>AM</t>
        </is>
      </c>
      <c r="K1278" s="126" t="n">
        <v>480</v>
      </c>
    </row>
    <row r="1279" ht="15" customHeight="1" s="60">
      <c r="A1279" s="59" t="n">
        <v>1</v>
      </c>
      <c r="B1279" s="59" t="n">
        <v>157</v>
      </c>
      <c r="C1279" s="59" t="inlineStr">
        <is>
          <t>1</t>
        </is>
      </c>
      <c r="D1279" s="59" t="inlineStr">
        <is>
          <t>55158713000170</t>
        </is>
      </c>
      <c r="E1279" s="75" t="n">
        <v>46247</v>
      </c>
      <c r="F1279" s="75" t="n">
        <v>46247</v>
      </c>
      <c r="G1279" s="59" t="inlineStr">
        <is>
          <t>H L M PADARIA E CONFEITARIA LTDA</t>
        </is>
      </c>
      <c r="H1279" s="59" t="n">
        <v>1545809</v>
      </c>
      <c r="I1279" s="59" t="n">
        <v>1</v>
      </c>
      <c r="J1279" s="59" t="inlineStr">
        <is>
          <t>AM</t>
        </is>
      </c>
      <c r="K1279" s="126" t="n">
        <v>316</v>
      </c>
    </row>
    <row r="1280" ht="15" customHeight="1" s="60">
      <c r="A1280" s="59" t="n">
        <v>1</v>
      </c>
      <c r="B1280" s="59" t="n">
        <v>381</v>
      </c>
      <c r="C1280" s="59" t="inlineStr">
        <is>
          <t>1</t>
        </is>
      </c>
      <c r="D1280" s="59" t="inlineStr">
        <is>
          <t>02692153000172</t>
        </is>
      </c>
      <c r="E1280" s="75" t="n">
        <v>46247</v>
      </c>
      <c r="F1280" s="75" t="n">
        <v>46244</v>
      </c>
      <c r="G1280" s="59" t="inlineStr">
        <is>
          <t>M. J. M. DE S. ALMEIDA LTDA</t>
        </is>
      </c>
      <c r="H1280" s="59" t="n">
        <v>1540722</v>
      </c>
      <c r="I1280" s="59" t="n">
        <v>11</v>
      </c>
      <c r="J1280" s="59" t="inlineStr">
        <is>
          <t>AM</t>
        </is>
      </c>
      <c r="K1280" s="126" t="n">
        <v>300</v>
      </c>
    </row>
    <row r="1281" ht="15" customHeight="1" s="60">
      <c r="A1281" s="59" t="n">
        <v>1</v>
      </c>
      <c r="B1281" s="59" t="n">
        <v>1436399</v>
      </c>
      <c r="C1281" s="59" t="inlineStr">
        <is>
          <t>1</t>
        </is>
      </c>
      <c r="D1281" s="59" t="inlineStr">
        <is>
          <t>60409075045334</t>
        </is>
      </c>
      <c r="E1281" s="75" t="n">
        <v>46247</v>
      </c>
      <c r="F1281" s="75" t="n">
        <v>46240</v>
      </c>
      <c r="G1281" s="59" t="inlineStr">
        <is>
          <t>NESTLÉ BRASIL LTDA.</t>
        </is>
      </c>
      <c r="H1281" s="59" t="n">
        <v>1540966</v>
      </c>
      <c r="I1281" s="59" t="n">
        <v>11</v>
      </c>
      <c r="J1281" s="59" t="inlineStr">
        <is>
          <t>AM</t>
        </is>
      </c>
      <c r="K1281" s="126" t="n">
        <v>3035.99</v>
      </c>
    </row>
    <row r="1282" ht="15" customHeight="1" s="60">
      <c r="A1282" s="59" t="n">
        <v>1</v>
      </c>
      <c r="B1282" s="59" t="n">
        <v>4335</v>
      </c>
      <c r="C1282" s="59" t="inlineStr">
        <is>
          <t>1</t>
        </is>
      </c>
      <c r="D1282" s="59" t="inlineStr">
        <is>
          <t>14459228000159</t>
        </is>
      </c>
      <c r="E1282" s="75" t="n">
        <v>46247</v>
      </c>
      <c r="F1282" s="75" t="n">
        <v>46244</v>
      </c>
      <c r="G1282" s="59" t="inlineStr">
        <is>
          <t>NOVA FRIOS COMERCIO ATACADISTA DE LATICINIOS LTDA</t>
        </is>
      </c>
      <c r="H1282" s="59" t="n">
        <v>1540537</v>
      </c>
      <c r="I1282" s="59" t="n">
        <v>11</v>
      </c>
      <c r="J1282" s="59" t="inlineStr">
        <is>
          <t>AM</t>
        </is>
      </c>
      <c r="K1282" s="126" t="n">
        <v>255</v>
      </c>
    </row>
    <row r="1283" ht="15" customHeight="1" s="60">
      <c r="A1283" s="59" t="n">
        <v>1</v>
      </c>
      <c r="B1283" s="59" t="n">
        <v>43493</v>
      </c>
      <c r="C1283" s="59" t="inlineStr">
        <is>
          <t>5</t>
        </is>
      </c>
      <c r="D1283" s="59" t="inlineStr">
        <is>
          <t>03439223000148</t>
        </is>
      </c>
      <c r="E1283" s="75" t="n">
        <v>46247</v>
      </c>
      <c r="F1283" s="75" t="n">
        <v>46245</v>
      </c>
      <c r="G1283" s="59" t="inlineStr">
        <is>
          <t>NT INDUSTRIA E COMERCIO DE PANIFICACAO L</t>
        </is>
      </c>
      <c r="H1283" s="59" t="n">
        <v>1540530</v>
      </c>
      <c r="I1283" s="59" t="n">
        <v>11</v>
      </c>
      <c r="J1283" s="59" t="inlineStr">
        <is>
          <t>AM</t>
        </is>
      </c>
      <c r="K1283" s="126" t="n">
        <v>2823.08</v>
      </c>
    </row>
    <row r="1284" ht="15" customHeight="1" s="60">
      <c r="A1284" s="59" t="n">
        <v>1</v>
      </c>
      <c r="B1284" s="59" t="n">
        <v>441856</v>
      </c>
      <c r="C1284" s="59" t="inlineStr">
        <is>
          <t>3</t>
        </is>
      </c>
      <c r="D1284" s="59" t="inlineStr">
        <is>
          <t>81611931005006</t>
        </is>
      </c>
      <c r="E1284" s="75" t="n">
        <v>46247</v>
      </c>
      <c r="F1284" s="75" t="n">
        <v>46245</v>
      </c>
      <c r="G1284" s="59" t="inlineStr">
        <is>
          <t>OESA COMERCIO E REPRESENTACOES S/A</t>
        </is>
      </c>
      <c r="H1284" s="59" t="n">
        <v>1542147</v>
      </c>
      <c r="I1284" s="59" t="n">
        <v>11</v>
      </c>
      <c r="J1284" s="59" t="inlineStr">
        <is>
          <t>AM</t>
        </is>
      </c>
      <c r="K1284" s="126" t="n">
        <v>2509.65</v>
      </c>
    </row>
    <row r="1285" ht="15" customHeight="1" s="60">
      <c r="A1285" s="59" t="n">
        <v>1</v>
      </c>
      <c r="B1285" s="59" t="n">
        <v>3389</v>
      </c>
      <c r="C1285" s="59" t="inlineStr">
        <is>
          <t>3</t>
        </is>
      </c>
      <c r="D1285" s="59" t="inlineStr">
        <is>
          <t>20934191000176</t>
        </is>
      </c>
      <c r="E1285" s="75" t="n">
        <v>46247</v>
      </c>
      <c r="F1285" s="75" t="n">
        <v>46246</v>
      </c>
      <c r="G1285" s="59" t="inlineStr">
        <is>
          <t>ORIENTE COM. ATACADISTA E REPRES. LTDA</t>
        </is>
      </c>
      <c r="H1285" s="59" t="n">
        <v>1542714</v>
      </c>
      <c r="I1285" s="59" t="n">
        <v>11</v>
      </c>
      <c r="J1285" s="59" t="inlineStr">
        <is>
          <t>AM</t>
        </is>
      </c>
      <c r="K1285" s="126" t="n">
        <v>1630.9</v>
      </c>
    </row>
    <row r="1286" ht="15" customHeight="1" s="60">
      <c r="A1286" s="59" t="n">
        <v>1</v>
      </c>
      <c r="B1286" s="59" t="n">
        <v>756</v>
      </c>
      <c r="C1286" s="59" t="inlineStr">
        <is>
          <t>2</t>
        </is>
      </c>
      <c r="D1286" s="59" t="inlineStr">
        <is>
          <t>35729236000148</t>
        </is>
      </c>
      <c r="E1286" s="75" t="n">
        <v>46247</v>
      </c>
      <c r="F1286" s="75" t="n">
        <v>46244</v>
      </c>
      <c r="G1286" s="59" t="inlineStr">
        <is>
          <t>PANIFICADORA E CONFEITARIA REAL MADRI LTDA</t>
        </is>
      </c>
      <c r="H1286" s="59" t="n">
        <v>1540551</v>
      </c>
      <c r="I1286" s="59" t="n">
        <v>11</v>
      </c>
      <c r="J1286" s="59" t="inlineStr">
        <is>
          <t>AM</t>
        </is>
      </c>
      <c r="K1286" s="126" t="n">
        <v>700</v>
      </c>
    </row>
    <row r="1287" ht="15" customHeight="1" s="60">
      <c r="A1287" s="59" t="n">
        <v>1</v>
      </c>
      <c r="B1287" s="59" t="n">
        <v>758</v>
      </c>
      <c r="C1287" s="59" t="inlineStr">
        <is>
          <t>2</t>
        </is>
      </c>
      <c r="D1287" s="59" t="inlineStr">
        <is>
          <t>35729236000148</t>
        </is>
      </c>
      <c r="E1287" s="75" t="n">
        <v>46247</v>
      </c>
      <c r="F1287" s="75" t="n">
        <v>46245</v>
      </c>
      <c r="G1287" s="59" t="inlineStr">
        <is>
          <t>PANIFICADORA E CONFEITARIA REAL MADRI LTDA</t>
        </is>
      </c>
      <c r="H1287" s="59" t="n">
        <v>1540663</v>
      </c>
      <c r="I1287" s="59" t="n">
        <v>11</v>
      </c>
      <c r="J1287" s="59" t="inlineStr">
        <is>
          <t>AM</t>
        </is>
      </c>
      <c r="K1287" s="126" t="n">
        <v>452</v>
      </c>
    </row>
    <row r="1288" ht="15" customHeight="1" s="60">
      <c r="A1288" s="59" t="n">
        <v>1</v>
      </c>
      <c r="B1288" s="59" t="n">
        <v>5477</v>
      </c>
      <c r="C1288" s="59" t="inlineStr">
        <is>
          <t>1</t>
        </is>
      </c>
      <c r="D1288" s="59" t="inlineStr">
        <is>
          <t>36480282000119</t>
        </is>
      </c>
      <c r="E1288" s="75" t="n">
        <v>46247</v>
      </c>
      <c r="F1288" s="75" t="n">
        <v>46247</v>
      </c>
      <c r="G1288" s="59" t="inlineStr">
        <is>
          <t>RENATO DE O AZEVEDO E CIA LTDA - EPP</t>
        </is>
      </c>
      <c r="H1288" s="59" t="n">
        <v>1541317</v>
      </c>
      <c r="I1288" s="59" t="n">
        <v>6</v>
      </c>
      <c r="J1288" s="59" t="inlineStr">
        <is>
          <t>AM</t>
        </is>
      </c>
      <c r="K1288" s="126" t="n">
        <v>375</v>
      </c>
    </row>
    <row r="1289" ht="15" customHeight="1" s="60">
      <c r="A1289" s="59" t="n">
        <v>1</v>
      </c>
      <c r="B1289" s="59" t="n">
        <v>5478</v>
      </c>
      <c r="C1289" s="59" t="inlineStr">
        <is>
          <t>1</t>
        </is>
      </c>
      <c r="D1289" s="59" t="inlineStr">
        <is>
          <t>36480282000119</t>
        </is>
      </c>
      <c r="E1289" s="75" t="n">
        <v>46247</v>
      </c>
      <c r="F1289" s="75" t="n">
        <v>46247</v>
      </c>
      <c r="G1289" s="59" t="inlineStr">
        <is>
          <t>RENATO DE O AZEVEDO E CIA LTDA - EPP</t>
        </is>
      </c>
      <c r="H1289" s="59" t="n">
        <v>1543506</v>
      </c>
      <c r="I1289" s="59" t="n">
        <v>6</v>
      </c>
      <c r="J1289" s="59" t="inlineStr">
        <is>
          <t>AM</t>
        </is>
      </c>
      <c r="K1289" s="126" t="n">
        <v>300</v>
      </c>
    </row>
    <row r="1290" ht="15" customHeight="1" s="60">
      <c r="A1290" s="59" t="n">
        <v>1</v>
      </c>
      <c r="B1290" s="59" t="n">
        <v>4310</v>
      </c>
      <c r="C1290" s="59" t="inlineStr">
        <is>
          <t>1</t>
        </is>
      </c>
      <c r="D1290" s="59" t="inlineStr">
        <is>
          <t>30844737000151</t>
        </is>
      </c>
      <c r="E1290" s="75" t="n">
        <v>46247</v>
      </c>
      <c r="F1290" s="75" t="n">
        <v>46245</v>
      </c>
      <c r="G1290" s="59" t="inlineStr">
        <is>
          <t>TRIPLASTIK COMERCIAL</t>
        </is>
      </c>
      <c r="H1290" s="59" t="n">
        <v>1540706</v>
      </c>
      <c r="I1290" s="59" t="n">
        <v>45</v>
      </c>
      <c r="J1290" s="59" t="inlineStr">
        <is>
          <t>AM</t>
        </is>
      </c>
      <c r="K1290" s="126" t="n">
        <v>1722.3</v>
      </c>
    </row>
    <row r="1291" ht="15" customHeight="1" s="60">
      <c r="A1291" s="59" t="n">
        <v>1</v>
      </c>
      <c r="B1291" s="59" t="n">
        <v>10524</v>
      </c>
      <c r="C1291" s="59" t="inlineStr">
        <is>
          <t>2</t>
        </is>
      </c>
      <c r="D1291" s="59" t="inlineStr">
        <is>
          <t>36296113000123</t>
        </is>
      </c>
      <c r="E1291" s="75" t="n">
        <v>46247</v>
      </c>
      <c r="F1291" s="75" t="n">
        <v>46245</v>
      </c>
      <c r="G1291" s="59" t="inlineStr">
        <is>
          <t>VITAPAN COMERCIO VAREJISTA DE PRODUTOS ALIMENTICIOS LTDA</t>
        </is>
      </c>
      <c r="H1291" s="59" t="n">
        <v>1540657</v>
      </c>
      <c r="I1291" s="59" t="n">
        <v>11</v>
      </c>
      <c r="J1291" s="59" t="inlineStr">
        <is>
          <t>AM</t>
        </is>
      </c>
      <c r="K1291" s="126" t="n">
        <v>972</v>
      </c>
    </row>
    <row r="1292" ht="15" customHeight="1" s="60">
      <c r="A1292" s="59" t="n">
        <v>1</v>
      </c>
      <c r="B1292" s="59" t="n">
        <v>1203</v>
      </c>
      <c r="C1292" s="59" t="inlineStr">
        <is>
          <t>2</t>
        </is>
      </c>
      <c r="D1292" s="59" t="inlineStr">
        <is>
          <t>06177766000475</t>
        </is>
      </c>
      <c r="E1292" s="75" t="n">
        <v>46248</v>
      </c>
      <c r="F1292" s="75" t="n">
        <v>46247</v>
      </c>
      <c r="G1292" s="59" t="inlineStr">
        <is>
          <t>A M A DE LIMA INDUSTRIA E COMERCIO DE PRODUTOS ALIMENTICIOS LTDA</t>
        </is>
      </c>
      <c r="H1292" s="59" t="n">
        <v>1545257</v>
      </c>
      <c r="I1292" s="59" t="n">
        <v>11</v>
      </c>
      <c r="J1292" s="59" t="inlineStr">
        <is>
          <t>AM</t>
        </is>
      </c>
      <c r="K1292" s="126" t="n">
        <v>144.25</v>
      </c>
    </row>
    <row r="1293" ht="15" customHeight="1" s="60">
      <c r="A1293" s="59" t="n">
        <v>1</v>
      </c>
      <c r="B1293" s="59" t="n">
        <v>359</v>
      </c>
      <c r="C1293" s="59" t="inlineStr">
        <is>
          <t>1</t>
        </is>
      </c>
      <c r="D1293" s="59" t="inlineStr">
        <is>
          <t>34787423000115</t>
        </is>
      </c>
      <c r="E1293" s="75" t="n">
        <v>46248</v>
      </c>
      <c r="F1293" s="75" t="n">
        <v>46246</v>
      </c>
      <c r="G1293" s="59" t="inlineStr">
        <is>
          <t>ADRIANO FEITOSA OLIVEIRA LTDA</t>
        </is>
      </c>
      <c r="H1293" s="59" t="n">
        <v>1547028</v>
      </c>
      <c r="I1293" s="59" t="n">
        <v>11</v>
      </c>
      <c r="J1293" s="59" t="inlineStr">
        <is>
          <t>AM</t>
        </is>
      </c>
      <c r="K1293" s="126" t="n">
        <v>899.5</v>
      </c>
    </row>
    <row r="1294" ht="15" customHeight="1" s="60">
      <c r="A1294" s="59" t="n">
        <v>1</v>
      </c>
      <c r="B1294" s="59" t="n">
        <v>163847</v>
      </c>
      <c r="C1294" s="59" t="inlineStr">
        <is>
          <t>1</t>
        </is>
      </c>
      <c r="D1294" s="59" t="inlineStr">
        <is>
          <t>03673826000100</t>
        </is>
      </c>
      <c r="E1294" s="75" t="n">
        <v>46248</v>
      </c>
      <c r="F1294" s="75" t="n">
        <v>46245</v>
      </c>
      <c r="G1294" s="59" t="inlineStr">
        <is>
          <t>AGM COMERCIO E DISTRIBUIDORA DE MATERIAS DE PERFUMARIA E LIMPEZA LTDA</t>
        </is>
      </c>
      <c r="H1294" s="59" t="n">
        <v>1547586</v>
      </c>
      <c r="I1294" s="59" t="n">
        <v>11</v>
      </c>
      <c r="J1294" s="59" t="inlineStr">
        <is>
          <t>AM</t>
        </is>
      </c>
      <c r="K1294" s="126" t="n">
        <v>854.25</v>
      </c>
    </row>
    <row r="1295" ht="15" customHeight="1" s="60">
      <c r="A1295" s="59" t="n">
        <v>1</v>
      </c>
      <c r="B1295" s="59" t="n">
        <v>48158</v>
      </c>
      <c r="C1295" s="59" t="inlineStr">
        <is>
          <t>1</t>
        </is>
      </c>
      <c r="D1295" s="59" t="inlineStr">
        <is>
          <t>84493469000108</t>
        </is>
      </c>
      <c r="E1295" s="75" t="n">
        <v>46248</v>
      </c>
      <c r="F1295" s="75" t="n">
        <v>46245</v>
      </c>
      <c r="G1295" s="59" t="inlineStr">
        <is>
          <t>AGM INDUSTRIA COMERCIO E REPRESENTACAO LTDA</t>
        </is>
      </c>
      <c r="H1295" s="59" t="n">
        <v>1547482</v>
      </c>
      <c r="I1295" s="59" t="n">
        <v>11</v>
      </c>
      <c r="J1295" s="59" t="inlineStr">
        <is>
          <t>AM</t>
        </is>
      </c>
      <c r="K1295" s="126" t="n">
        <v>1146</v>
      </c>
    </row>
    <row r="1296" ht="15" customHeight="1" s="60">
      <c r="A1296" s="59" t="n">
        <v>1</v>
      </c>
      <c r="B1296" s="59" t="n">
        <v>1917921</v>
      </c>
      <c r="C1296" s="59" t="inlineStr">
        <is>
          <t>1</t>
        </is>
      </c>
      <c r="D1296" s="59" t="inlineStr">
        <is>
          <t>75315333011909</t>
        </is>
      </c>
      <c r="E1296" s="75" t="n">
        <v>46248</v>
      </c>
      <c r="F1296" s="75" t="n">
        <v>46242</v>
      </c>
      <c r="G1296" s="59" t="inlineStr">
        <is>
          <t>ATACADAO S.A.</t>
        </is>
      </c>
      <c r="H1296" s="59" t="n">
        <v>1545540</v>
      </c>
      <c r="I1296" s="59" t="n">
        <v>11</v>
      </c>
      <c r="J1296" s="59" t="inlineStr">
        <is>
          <t>AM</t>
        </is>
      </c>
      <c r="K1296" s="126" t="n">
        <v>948.22</v>
      </c>
    </row>
    <row r="1297" ht="15" customHeight="1" s="60">
      <c r="A1297" s="59" t="n">
        <v>1</v>
      </c>
      <c r="B1297" s="59" t="n">
        <v>1917922</v>
      </c>
      <c r="C1297" s="59" t="inlineStr">
        <is>
          <t>1</t>
        </is>
      </c>
      <c r="D1297" s="59" t="inlineStr">
        <is>
          <t>75315333011909</t>
        </is>
      </c>
      <c r="E1297" s="75" t="n">
        <v>46248</v>
      </c>
      <c r="F1297" s="75" t="n">
        <v>46242</v>
      </c>
      <c r="G1297" s="59" t="inlineStr">
        <is>
          <t>ATACADAO S.A.</t>
        </is>
      </c>
      <c r="H1297" s="59" t="n">
        <v>1545605</v>
      </c>
      <c r="I1297" s="59" t="n">
        <v>11</v>
      </c>
      <c r="J1297" s="59" t="inlineStr">
        <is>
          <t>AM</t>
        </is>
      </c>
      <c r="K1297" s="126" t="n">
        <v>836.8</v>
      </c>
    </row>
    <row r="1298" ht="15" customHeight="1" s="60">
      <c r="A1298" s="59" t="n">
        <v>1</v>
      </c>
      <c r="B1298" s="59" t="n">
        <v>1917923</v>
      </c>
      <c r="C1298" s="59" t="inlineStr">
        <is>
          <t>1</t>
        </is>
      </c>
      <c r="D1298" s="59" t="inlineStr">
        <is>
          <t>75315333011909</t>
        </is>
      </c>
      <c r="E1298" s="75" t="n">
        <v>46248</v>
      </c>
      <c r="F1298" s="75" t="n">
        <v>46242</v>
      </c>
      <c r="G1298" s="59" t="inlineStr">
        <is>
          <t>ATACADAO S.A.</t>
        </is>
      </c>
      <c r="H1298" s="59" t="n">
        <v>1545642</v>
      </c>
      <c r="I1298" s="59" t="n">
        <v>11</v>
      </c>
      <c r="J1298" s="59" t="inlineStr">
        <is>
          <t>AM</t>
        </is>
      </c>
      <c r="K1298" s="126" t="n">
        <v>899.66</v>
      </c>
    </row>
    <row r="1299" ht="15" customHeight="1" s="60">
      <c r="A1299" s="59" t="n">
        <v>1</v>
      </c>
      <c r="B1299" s="59" t="n">
        <v>1917924</v>
      </c>
      <c r="C1299" s="59" t="inlineStr">
        <is>
          <t>1</t>
        </is>
      </c>
      <c r="D1299" s="59" t="inlineStr">
        <is>
          <t>75315333011909</t>
        </is>
      </c>
      <c r="E1299" s="75" t="n">
        <v>46248</v>
      </c>
      <c r="F1299" s="75" t="n">
        <v>46242</v>
      </c>
      <c r="G1299" s="59" t="inlineStr">
        <is>
          <t>ATACADAO S.A.</t>
        </is>
      </c>
      <c r="H1299" s="59" t="n">
        <v>1545674</v>
      </c>
      <c r="I1299" s="59" t="n">
        <v>11</v>
      </c>
      <c r="J1299" s="59" t="inlineStr">
        <is>
          <t>AM</t>
        </is>
      </c>
      <c r="K1299" s="126" t="n">
        <v>868.6</v>
      </c>
    </row>
    <row r="1300" ht="15" customHeight="1" s="60">
      <c r="A1300" s="59" t="n">
        <v>1</v>
      </c>
      <c r="B1300" s="59" t="n">
        <v>1917925</v>
      </c>
      <c r="C1300" s="59" t="inlineStr">
        <is>
          <t>1</t>
        </is>
      </c>
      <c r="D1300" s="59" t="inlineStr">
        <is>
          <t>75315333011909</t>
        </is>
      </c>
      <c r="E1300" s="75" t="n">
        <v>46248</v>
      </c>
      <c r="F1300" s="75" t="n">
        <v>46242</v>
      </c>
      <c r="G1300" s="59" t="inlineStr">
        <is>
          <t>ATACADAO S.A.</t>
        </is>
      </c>
      <c r="H1300" s="59" t="n">
        <v>1545704</v>
      </c>
      <c r="I1300" s="59" t="n">
        <v>11</v>
      </c>
      <c r="J1300" s="59" t="inlineStr">
        <is>
          <t>AM</t>
        </is>
      </c>
      <c r="K1300" s="126" t="n">
        <v>503.72</v>
      </c>
    </row>
    <row r="1301" ht="15" customHeight="1" s="60">
      <c r="A1301" s="59" t="n">
        <v>1</v>
      </c>
      <c r="B1301" s="59" t="n">
        <v>1917926</v>
      </c>
      <c r="C1301" s="59" t="inlineStr">
        <is>
          <t>1</t>
        </is>
      </c>
      <c r="D1301" s="59" t="inlineStr">
        <is>
          <t>75315333011909</t>
        </is>
      </c>
      <c r="E1301" s="75" t="n">
        <v>46248</v>
      </c>
      <c r="F1301" s="75" t="n">
        <v>46242</v>
      </c>
      <c r="G1301" s="59" t="inlineStr">
        <is>
          <t>ATACADAO S.A.</t>
        </is>
      </c>
      <c r="H1301" s="59" t="n">
        <v>1545758</v>
      </c>
      <c r="I1301" s="59" t="n">
        <v>11</v>
      </c>
      <c r="J1301" s="59" t="inlineStr">
        <is>
          <t>AM</t>
        </is>
      </c>
      <c r="K1301" s="126" t="n">
        <v>503.72</v>
      </c>
    </row>
    <row r="1302" ht="15" customHeight="1" s="60">
      <c r="A1302" s="59" t="n">
        <v>1</v>
      </c>
      <c r="B1302" s="59" t="n">
        <v>1917927</v>
      </c>
      <c r="C1302" s="59" t="inlineStr">
        <is>
          <t>1</t>
        </is>
      </c>
      <c r="D1302" s="59" t="inlineStr">
        <is>
          <t>75315333011909</t>
        </is>
      </c>
      <c r="E1302" s="75" t="n">
        <v>46248</v>
      </c>
      <c r="F1302" s="75" t="n">
        <v>46242</v>
      </c>
      <c r="G1302" s="59" t="inlineStr">
        <is>
          <t>ATACADAO S.A.</t>
        </is>
      </c>
      <c r="H1302" s="59" t="n">
        <v>1545767</v>
      </c>
      <c r="I1302" s="59" t="n">
        <v>11</v>
      </c>
      <c r="J1302" s="59" t="inlineStr">
        <is>
          <t>AM</t>
        </is>
      </c>
      <c r="K1302" s="126" t="n">
        <v>503.72</v>
      </c>
    </row>
    <row r="1303" ht="15" customHeight="1" s="60">
      <c r="A1303" s="59" t="n">
        <v>1</v>
      </c>
      <c r="B1303" s="59" t="n">
        <v>1919059</v>
      </c>
      <c r="C1303" s="59" t="inlineStr">
        <is>
          <t>1</t>
        </is>
      </c>
      <c r="D1303" s="59" t="inlineStr">
        <is>
          <t>75315333011909</t>
        </is>
      </c>
      <c r="E1303" s="75" t="n">
        <v>46248</v>
      </c>
      <c r="F1303" s="75" t="n">
        <v>46245</v>
      </c>
      <c r="G1303" s="59" t="inlineStr">
        <is>
          <t>ATACADAO S.A.</t>
        </is>
      </c>
      <c r="H1303" s="59" t="n">
        <v>1545790</v>
      </c>
      <c r="I1303" s="59" t="n">
        <v>11</v>
      </c>
      <c r="J1303" s="59" t="inlineStr">
        <is>
          <t>AM</t>
        </is>
      </c>
      <c r="K1303" s="126" t="n">
        <v>1804.32</v>
      </c>
    </row>
    <row r="1304" ht="15" customHeight="1" s="60">
      <c r="A1304" s="59" t="n">
        <v>1</v>
      </c>
      <c r="B1304" s="59" t="n">
        <v>1919060</v>
      </c>
      <c r="C1304" s="59" t="inlineStr">
        <is>
          <t>1</t>
        </is>
      </c>
      <c r="D1304" s="59" t="inlineStr">
        <is>
          <t>75315333011909</t>
        </is>
      </c>
      <c r="E1304" s="75" t="n">
        <v>46248</v>
      </c>
      <c r="F1304" s="75" t="n">
        <v>46245</v>
      </c>
      <c r="G1304" s="59" t="inlineStr">
        <is>
          <t>ATACADAO S.A.</t>
        </is>
      </c>
      <c r="H1304" s="59" t="n">
        <v>1545858</v>
      </c>
      <c r="I1304" s="59" t="n">
        <v>11</v>
      </c>
      <c r="J1304" s="59" t="inlineStr">
        <is>
          <t>AM</t>
        </is>
      </c>
      <c r="K1304" s="126" t="n">
        <v>1812.23</v>
      </c>
    </row>
    <row r="1305" ht="15" customHeight="1" s="60">
      <c r="A1305" s="59" t="n">
        <v>1</v>
      </c>
      <c r="B1305" s="59" t="n">
        <v>1919061</v>
      </c>
      <c r="C1305" s="59" t="inlineStr">
        <is>
          <t>1</t>
        </is>
      </c>
      <c r="D1305" s="59" t="inlineStr">
        <is>
          <t>75315333011909</t>
        </is>
      </c>
      <c r="E1305" s="75" t="n">
        <v>46248</v>
      </c>
      <c r="F1305" s="75" t="n">
        <v>46245</v>
      </c>
      <c r="G1305" s="59" t="inlineStr">
        <is>
          <t>ATACADAO S.A.</t>
        </is>
      </c>
      <c r="H1305" s="59" t="n">
        <v>1545835</v>
      </c>
      <c r="I1305" s="59" t="n">
        <v>11</v>
      </c>
      <c r="J1305" s="59" t="inlineStr">
        <is>
          <t>AM</t>
        </is>
      </c>
      <c r="K1305" s="126" t="n">
        <v>1800.08</v>
      </c>
    </row>
    <row r="1306" ht="15" customHeight="1" s="60">
      <c r="A1306" s="59" t="n">
        <v>1</v>
      </c>
      <c r="B1306" s="59" t="n">
        <v>15114</v>
      </c>
      <c r="C1306" s="59" t="inlineStr">
        <is>
          <t>1</t>
        </is>
      </c>
      <c r="D1306" s="59" t="inlineStr">
        <is>
          <t>09531992000158</t>
        </is>
      </c>
      <c r="E1306" s="75" t="n">
        <v>46248</v>
      </c>
      <c r="F1306" s="75" t="n">
        <v>46248</v>
      </c>
      <c r="G1306" s="59" t="inlineStr">
        <is>
          <t>COMERCIO E TRANSPORTE BRANDAO LTDA</t>
        </is>
      </c>
      <c r="H1306" s="59" t="n">
        <v>1551275</v>
      </c>
      <c r="I1306" s="59" t="n">
        <v>1</v>
      </c>
      <c r="J1306" s="59" t="inlineStr">
        <is>
          <t>AM</t>
        </is>
      </c>
      <c r="K1306" s="126" t="n">
        <v>1440</v>
      </c>
    </row>
    <row r="1307" ht="15" customHeight="1" s="60">
      <c r="A1307" s="59" t="n">
        <v>1</v>
      </c>
      <c r="B1307" s="59" t="n">
        <v>1664299</v>
      </c>
      <c r="C1307" s="59" t="inlineStr">
        <is>
          <t>890</t>
        </is>
      </c>
      <c r="D1307" s="59" t="inlineStr">
        <is>
          <t>02532915340</t>
        </is>
      </c>
      <c r="E1307" s="75" t="n">
        <v>46248</v>
      </c>
      <c r="F1307" s="75" t="n">
        <v>46248</v>
      </c>
      <c r="G1307" s="59" t="inlineStr">
        <is>
          <t>EDSON AGUIAR DE SOUZA</t>
        </is>
      </c>
      <c r="H1307" s="59" t="n">
        <v>1551760</v>
      </c>
      <c r="I1307" s="59" t="n">
        <v>1</v>
      </c>
      <c r="J1307" s="59" t="inlineStr">
        <is>
          <t>AM</t>
        </is>
      </c>
      <c r="K1307" s="126" t="n">
        <v>135</v>
      </c>
    </row>
    <row r="1308" ht="15" customHeight="1" s="60">
      <c r="A1308" s="59" t="n">
        <v>1</v>
      </c>
      <c r="B1308" s="59" t="n">
        <v>163</v>
      </c>
      <c r="C1308" s="59" t="inlineStr">
        <is>
          <t>1</t>
        </is>
      </c>
      <c r="D1308" s="59" t="inlineStr">
        <is>
          <t>55158713000170</t>
        </is>
      </c>
      <c r="E1308" s="75" t="n">
        <v>46248</v>
      </c>
      <c r="F1308" s="75" t="n">
        <v>46248</v>
      </c>
      <c r="G1308" s="59" t="inlineStr">
        <is>
          <t>H L M PADARIA E CONFEITARIA LTDA</t>
        </is>
      </c>
      <c r="H1308" s="59" t="n">
        <v>1551640</v>
      </c>
      <c r="I1308" s="59" t="n">
        <v>1</v>
      </c>
      <c r="J1308" s="59" t="inlineStr">
        <is>
          <t>AM</t>
        </is>
      </c>
      <c r="K1308" s="126" t="n">
        <v>408</v>
      </c>
    </row>
    <row r="1309" ht="15" customHeight="1" s="60">
      <c r="A1309" s="59" t="n">
        <v>1</v>
      </c>
      <c r="B1309" s="59" t="n">
        <v>5964</v>
      </c>
      <c r="C1309" s="59" t="inlineStr">
        <is>
          <t>1</t>
        </is>
      </c>
      <c r="D1309" s="59" t="inlineStr">
        <is>
          <t>13854487000111</t>
        </is>
      </c>
      <c r="E1309" s="75" t="n">
        <v>46248</v>
      </c>
      <c r="F1309" s="75" t="n">
        <v>46246</v>
      </c>
      <c r="G1309" s="59" t="inlineStr">
        <is>
          <t>H. L. DO NASCIMENTO</t>
        </is>
      </c>
      <c r="H1309" s="59" t="n">
        <v>1547230</v>
      </c>
      <c r="I1309" s="59" t="n">
        <v>11</v>
      </c>
      <c r="J1309" s="59" t="inlineStr">
        <is>
          <t>AM</t>
        </is>
      </c>
      <c r="K1309" s="126" t="n">
        <v>1547.95</v>
      </c>
    </row>
    <row r="1310" ht="15" customHeight="1" s="60">
      <c r="A1310" s="59" t="n">
        <v>1</v>
      </c>
      <c r="B1310" s="59" t="n">
        <v>404</v>
      </c>
      <c r="C1310" s="59" t="inlineStr">
        <is>
          <t>1</t>
        </is>
      </c>
      <c r="D1310" s="59" t="inlineStr">
        <is>
          <t>63502353000100</t>
        </is>
      </c>
      <c r="E1310" s="75" t="n">
        <v>46248</v>
      </c>
      <c r="F1310" s="75" t="n">
        <v>46248</v>
      </c>
      <c r="G1310" s="59" t="inlineStr">
        <is>
          <t>J W N DOS SANTOS</t>
        </is>
      </c>
      <c r="H1310" s="59" t="n">
        <v>1567959</v>
      </c>
      <c r="I1310" s="59" t="n">
        <v>1</v>
      </c>
      <c r="J1310" s="59" t="inlineStr">
        <is>
          <t>AM</t>
        </is>
      </c>
      <c r="K1310" s="126" t="n">
        <v>614</v>
      </c>
    </row>
    <row r="1311" ht="15" customHeight="1" s="60">
      <c r="A1311" s="59" t="n">
        <v>1</v>
      </c>
      <c r="B1311" s="59" t="n">
        <v>2788</v>
      </c>
      <c r="C1311" s="59" t="inlineStr">
        <is>
          <t>1</t>
        </is>
      </c>
      <c r="D1311" s="59" t="inlineStr">
        <is>
          <t>10583405000153</t>
        </is>
      </c>
      <c r="E1311" s="75" t="n">
        <v>46248</v>
      </c>
      <c r="F1311" s="75" t="n">
        <v>46247</v>
      </c>
      <c r="G1311" s="59" t="inlineStr">
        <is>
          <t>J. S. MOREIRA ALVES LTDA</t>
        </is>
      </c>
      <c r="H1311" s="59" t="n">
        <v>1545353</v>
      </c>
      <c r="I1311" s="59" t="n">
        <v>11</v>
      </c>
      <c r="J1311" s="59" t="inlineStr">
        <is>
          <t>AM</t>
        </is>
      </c>
      <c r="K1311" s="126" t="n">
        <v>409.5</v>
      </c>
    </row>
    <row r="1312" ht="15" customHeight="1" s="60">
      <c r="A1312" s="59" t="n">
        <v>1</v>
      </c>
      <c r="B1312" s="59" t="n">
        <v>1258822</v>
      </c>
      <c r="C1312" s="59" t="inlineStr">
        <is>
          <t>1</t>
        </is>
      </c>
      <c r="D1312" s="59" t="inlineStr">
        <is>
          <t>02805138000193</t>
        </is>
      </c>
      <c r="E1312" s="75" t="n">
        <v>46248</v>
      </c>
      <c r="F1312" s="75" t="n">
        <v>46247</v>
      </c>
      <c r="G1312" s="59" t="inlineStr">
        <is>
          <t>OCIDENTAL COMERCIO DE FRIOS LTDA</t>
        </is>
      </c>
      <c r="H1312" s="59" t="n">
        <v>1547178</v>
      </c>
      <c r="I1312" s="59" t="n">
        <v>11</v>
      </c>
      <c r="J1312" s="59" t="inlineStr">
        <is>
          <t>AM</t>
        </is>
      </c>
      <c r="K1312" s="126" t="n">
        <v>1067.22</v>
      </c>
    </row>
    <row r="1313" ht="15" customHeight="1" s="60">
      <c r="A1313" s="59" t="n">
        <v>1</v>
      </c>
      <c r="B1313" s="59" t="n">
        <v>759</v>
      </c>
      <c r="C1313" s="59" t="inlineStr">
        <is>
          <t>2</t>
        </is>
      </c>
      <c r="D1313" s="59" t="inlineStr">
        <is>
          <t>35729236000148</t>
        </is>
      </c>
      <c r="E1313" s="75" t="n">
        <v>46248</v>
      </c>
      <c r="F1313" s="75" t="n">
        <v>46247</v>
      </c>
      <c r="G1313" s="59" t="inlineStr">
        <is>
          <t>PANIFICADORA E CONFEITARIA REAL MADRI LTDA</t>
        </is>
      </c>
      <c r="H1313" s="59" t="n">
        <v>1547109</v>
      </c>
      <c r="I1313" s="59" t="n">
        <v>11</v>
      </c>
      <c r="J1313" s="59" t="inlineStr">
        <is>
          <t>AM</t>
        </is>
      </c>
      <c r="K1313" s="126" t="n">
        <v>840</v>
      </c>
    </row>
    <row r="1314" ht="15" customHeight="1" s="60">
      <c r="A1314" s="59" t="n">
        <v>1</v>
      </c>
      <c r="B1314" s="59" t="n">
        <v>621791</v>
      </c>
      <c r="C1314" s="59" t="inlineStr">
        <is>
          <t>6</t>
        </is>
      </c>
      <c r="D1314" s="59" t="inlineStr">
        <is>
          <t>06990011000304</t>
        </is>
      </c>
      <c r="E1314" s="75" t="n">
        <v>46248</v>
      </c>
      <c r="F1314" s="75" t="n">
        <v>46246</v>
      </c>
      <c r="G1314" s="59" t="inlineStr">
        <is>
          <t>REAL BEBIDAS DA AMAZONIA LTDA</t>
        </is>
      </c>
      <c r="H1314" s="59" t="n">
        <v>1547306</v>
      </c>
      <c r="I1314" s="59" t="n">
        <v>11</v>
      </c>
      <c r="J1314" s="59" t="inlineStr">
        <is>
          <t>AM</t>
        </is>
      </c>
      <c r="K1314" s="126" t="n">
        <v>370</v>
      </c>
    </row>
    <row r="1315" ht="15" customHeight="1" s="60">
      <c r="A1315" s="59" t="n">
        <v>1</v>
      </c>
      <c r="B1315" s="59" t="n">
        <v>5487</v>
      </c>
      <c r="C1315" s="59" t="inlineStr">
        <is>
          <t>1</t>
        </is>
      </c>
      <c r="D1315" s="59" t="inlineStr">
        <is>
          <t>36480282000119</t>
        </is>
      </c>
      <c r="E1315" s="75" t="n">
        <v>46248</v>
      </c>
      <c r="F1315" s="75" t="n">
        <v>46248</v>
      </c>
      <c r="G1315" s="59" t="inlineStr">
        <is>
          <t>RENATO DE O AZEVEDO E CIA LTDA - EPP</t>
        </is>
      </c>
      <c r="H1315" s="59" t="n">
        <v>1545728</v>
      </c>
      <c r="I1315" s="59" t="n">
        <v>6</v>
      </c>
      <c r="J1315" s="59" t="inlineStr">
        <is>
          <t>AM</t>
        </is>
      </c>
      <c r="K1315" s="126" t="n">
        <v>690</v>
      </c>
    </row>
    <row r="1316" ht="15" customHeight="1" s="60">
      <c r="A1316" s="59" t="n">
        <v>1</v>
      </c>
      <c r="B1316" s="59" t="n">
        <v>5488</v>
      </c>
      <c r="C1316" s="59" t="inlineStr">
        <is>
          <t>1</t>
        </is>
      </c>
      <c r="D1316" s="59" t="inlineStr">
        <is>
          <t>36480282000119</t>
        </is>
      </c>
      <c r="E1316" s="75" t="n">
        <v>46248</v>
      </c>
      <c r="F1316" s="75" t="n">
        <v>46248</v>
      </c>
      <c r="G1316" s="59" t="inlineStr">
        <is>
          <t>RENATO DE O AZEVEDO E CIA LTDA - EPP</t>
        </is>
      </c>
      <c r="H1316" s="59" t="n">
        <v>1546819</v>
      </c>
      <c r="I1316" s="59" t="n">
        <v>6</v>
      </c>
      <c r="J1316" s="59" t="inlineStr">
        <is>
          <t>AM</t>
        </is>
      </c>
      <c r="K1316" s="126" t="n">
        <v>3247.75</v>
      </c>
    </row>
    <row r="1317" ht="15" customHeight="1" s="60">
      <c r="A1317" s="59" t="n">
        <v>1</v>
      </c>
      <c r="B1317" s="59" t="n">
        <v>5489</v>
      </c>
      <c r="C1317" s="59" t="inlineStr">
        <is>
          <t>1</t>
        </is>
      </c>
      <c r="D1317" s="59" t="inlineStr">
        <is>
          <t>36480282000119</t>
        </is>
      </c>
      <c r="E1317" s="75" t="n">
        <v>46248</v>
      </c>
      <c r="F1317" s="75" t="n">
        <v>46248</v>
      </c>
      <c r="G1317" s="59" t="inlineStr">
        <is>
          <t>RENATO DE O AZEVEDO E CIA LTDA - EPP</t>
        </is>
      </c>
      <c r="H1317" s="59" t="n">
        <v>1547189</v>
      </c>
      <c r="I1317" s="59" t="n">
        <v>6</v>
      </c>
      <c r="J1317" s="59" t="inlineStr">
        <is>
          <t>AM</t>
        </is>
      </c>
      <c r="K1317" s="126" t="n">
        <v>3089</v>
      </c>
    </row>
    <row r="1318" ht="15" customHeight="1" s="60">
      <c r="A1318" s="59" t="n">
        <v>1</v>
      </c>
      <c r="B1318" s="59" t="n">
        <v>1965727</v>
      </c>
      <c r="C1318" s="59" t="inlineStr">
        <is>
          <t>1</t>
        </is>
      </c>
      <c r="D1318" s="59" t="inlineStr">
        <is>
          <t>04429478000192</t>
        </is>
      </c>
      <c r="E1318" s="75" t="n">
        <v>46248</v>
      </c>
      <c r="F1318" s="75" t="n">
        <v>46247</v>
      </c>
      <c r="G1318" s="59" t="inlineStr">
        <is>
          <t>SB COMERCIO LTDA</t>
        </is>
      </c>
      <c r="H1318" s="59" t="n">
        <v>1546135</v>
      </c>
      <c r="I1318" s="59" t="n">
        <v>11</v>
      </c>
      <c r="J1318" s="59" t="inlineStr">
        <is>
          <t>AM</t>
        </is>
      </c>
      <c r="K1318" s="126" t="n">
        <v>3709.12</v>
      </c>
    </row>
    <row r="1319" ht="15" customHeight="1" s="60">
      <c r="A1319" s="59" t="n">
        <v>1</v>
      </c>
      <c r="B1319" s="59" t="n">
        <v>7184</v>
      </c>
      <c r="C1319" s="59" t="inlineStr">
        <is>
          <t>2</t>
        </is>
      </c>
      <c r="D1319" s="59" t="inlineStr">
        <is>
          <t>35661752000188</t>
        </is>
      </c>
      <c r="E1319" s="75" t="n">
        <v>46248</v>
      </c>
      <c r="F1319" s="75" t="n">
        <v>46246</v>
      </c>
      <c r="G1319" s="59" t="inlineStr">
        <is>
          <t>SMV COMERCIO DE PRODUTOS ALIMENTICIOS LT</t>
        </is>
      </c>
      <c r="H1319" s="59" t="n">
        <v>1545406</v>
      </c>
      <c r="I1319" s="59" t="n">
        <v>11</v>
      </c>
      <c r="J1319" s="59" t="inlineStr">
        <is>
          <t>AM</t>
        </is>
      </c>
      <c r="K1319" s="126" t="n">
        <v>1391.18</v>
      </c>
    </row>
    <row r="1320" ht="15" customHeight="1" s="60">
      <c r="A1320" s="59" t="n">
        <v>1</v>
      </c>
      <c r="B1320" s="59" t="n">
        <v>53783</v>
      </c>
      <c r="C1320" s="59" t="inlineStr">
        <is>
          <t>2</t>
        </is>
      </c>
      <c r="D1320" s="59" t="inlineStr">
        <is>
          <t>53960161000193</t>
        </is>
      </c>
      <c r="E1320" s="75" t="n">
        <v>46248</v>
      </c>
      <c r="F1320" s="75" t="n">
        <v>46245</v>
      </c>
      <c r="G1320" s="59" t="inlineStr">
        <is>
          <t>VIA CERTA IMPORTACAO E DISTRIBUICAO DE A</t>
        </is>
      </c>
      <c r="H1320" s="59" t="n">
        <v>1545332</v>
      </c>
      <c r="I1320" s="59" t="n">
        <v>11</v>
      </c>
      <c r="J1320" s="59" t="inlineStr">
        <is>
          <t>AM</t>
        </is>
      </c>
      <c r="K1320" s="126" t="n">
        <v>1183.89</v>
      </c>
    </row>
    <row r="1321" ht="15" customHeight="1" s="60">
      <c r="A1321" s="59" t="n">
        <v>1</v>
      </c>
      <c r="B1321" s="59" t="n">
        <v>4092</v>
      </c>
      <c r="C1321" s="59" t="inlineStr">
        <is>
          <t>3</t>
        </is>
      </c>
      <c r="D1321" s="59" t="inlineStr">
        <is>
          <t>37225449000168</t>
        </is>
      </c>
      <c r="E1321" s="75" t="n">
        <v>46248</v>
      </c>
      <c r="F1321" s="75" t="n">
        <v>46248</v>
      </c>
      <c r="G1321" s="59" t="inlineStr">
        <is>
          <t>VOVO DIZA COMERCIO VAREJISTA DE HORTALICAS LTDA</t>
        </is>
      </c>
      <c r="H1321" s="59" t="n">
        <v>1545881</v>
      </c>
      <c r="I1321" s="59" t="n">
        <v>1</v>
      </c>
      <c r="J1321" s="59" t="inlineStr">
        <is>
          <t>AM</t>
        </is>
      </c>
      <c r="K1321" s="126" t="n">
        <v>200</v>
      </c>
    </row>
    <row r="1322" ht="15" customHeight="1" s="60">
      <c r="A1322" s="59" t="n">
        <v>1</v>
      </c>
      <c r="B1322" s="59" t="n">
        <v>1210</v>
      </c>
      <c r="C1322" s="59" t="inlineStr">
        <is>
          <t>2</t>
        </is>
      </c>
      <c r="D1322" s="59" t="inlineStr">
        <is>
          <t>06177766000475</t>
        </is>
      </c>
      <c r="E1322" s="75" t="n">
        <v>46249</v>
      </c>
      <c r="F1322" s="75" t="n">
        <v>46248</v>
      </c>
      <c r="G1322" s="59" t="inlineStr">
        <is>
          <t>A M A DE LIMA INDUSTRIA E COMERCIO DE PRODUTOS ALIMENTICIOS LTDA</t>
        </is>
      </c>
      <c r="H1322" s="59" t="n">
        <v>1551377</v>
      </c>
      <c r="I1322" s="59" t="n">
        <v>11</v>
      </c>
      <c r="J1322" s="59" t="inlineStr">
        <is>
          <t>AM</t>
        </is>
      </c>
      <c r="K1322" s="126" t="n">
        <v>288.5</v>
      </c>
    </row>
    <row r="1323" ht="15" customHeight="1" s="60">
      <c r="A1323" s="59" t="n">
        <v>1</v>
      </c>
      <c r="B1323" s="59" t="n">
        <v>599</v>
      </c>
      <c r="C1323" s="59" t="inlineStr">
        <is>
          <t>1</t>
        </is>
      </c>
      <c r="D1323" s="59" t="inlineStr">
        <is>
          <t>47496330000183</t>
        </is>
      </c>
      <c r="E1323" s="75" t="n">
        <v>46249</v>
      </c>
      <c r="F1323" s="75" t="n">
        <v>46248</v>
      </c>
      <c r="G1323" s="59" t="inlineStr">
        <is>
          <t>ADICSO FABIAN GONZALEZ MONTILLA 70302186</t>
        </is>
      </c>
      <c r="H1323" s="59" t="n">
        <v>1551708</v>
      </c>
      <c r="I1323" s="59" t="n">
        <v>11</v>
      </c>
      <c r="J1323" s="59" t="inlineStr">
        <is>
          <t>AM</t>
        </is>
      </c>
      <c r="K1323" s="126" t="n">
        <v>684</v>
      </c>
    </row>
    <row r="1324" ht="15" customHeight="1" s="60">
      <c r="A1324" s="59" t="n">
        <v>1</v>
      </c>
      <c r="B1324" s="59" t="n">
        <v>1619134</v>
      </c>
      <c r="C1324" s="59" t="inlineStr">
        <is>
          <t>1</t>
        </is>
      </c>
      <c r="D1324" s="59" t="inlineStr">
        <is>
          <t>01838723026193</t>
        </is>
      </c>
      <c r="E1324" s="75" t="n">
        <v>46249</v>
      </c>
      <c r="F1324" s="75" t="n">
        <v>46248</v>
      </c>
      <c r="G1324" s="59" t="inlineStr">
        <is>
          <t>BRF S A</t>
        </is>
      </c>
      <c r="H1324" s="59" t="n">
        <v>1551785</v>
      </c>
      <c r="I1324" s="59" t="n">
        <v>11</v>
      </c>
      <c r="J1324" s="59" t="inlineStr">
        <is>
          <t>AM</t>
        </is>
      </c>
      <c r="K1324" s="126" t="n">
        <v>6372.39</v>
      </c>
    </row>
    <row r="1325" ht="15" customHeight="1" s="60">
      <c r="A1325" s="59" t="n">
        <v>1</v>
      </c>
      <c r="B1325" s="59" t="n">
        <v>1036865</v>
      </c>
      <c r="C1325" s="59" t="inlineStr">
        <is>
          <t>1</t>
        </is>
      </c>
      <c r="D1325" s="59" t="inlineStr">
        <is>
          <t>34579060000122</t>
        </is>
      </c>
      <c r="E1325" s="75" t="n">
        <v>46249</v>
      </c>
      <c r="F1325" s="75" t="n">
        <v>46247</v>
      </c>
      <c r="G1325" s="59" t="inlineStr">
        <is>
          <t>BROTHERS  INDUSTRIA DE ALIMENTOS LTDA</t>
        </is>
      </c>
      <c r="H1325" s="59" t="n">
        <v>1552059</v>
      </c>
      <c r="I1325" s="59" t="n">
        <v>11</v>
      </c>
      <c r="J1325" s="59" t="inlineStr">
        <is>
          <t>AM</t>
        </is>
      </c>
      <c r="K1325" s="126" t="n">
        <v>461.8</v>
      </c>
    </row>
    <row r="1326" ht="15" customHeight="1" s="60">
      <c r="A1326" s="59" t="n">
        <v>1</v>
      </c>
      <c r="B1326" s="59" t="n">
        <v>174869</v>
      </c>
      <c r="C1326" s="59" t="inlineStr">
        <is>
          <t>1</t>
        </is>
      </c>
      <c r="D1326" s="59" t="inlineStr">
        <is>
          <t>10418161000153</t>
        </is>
      </c>
      <c r="E1326" s="75" t="n">
        <v>46249</v>
      </c>
      <c r="F1326" s="75" t="n">
        <v>46248</v>
      </c>
      <c r="G1326" s="59" t="inlineStr">
        <is>
          <t>COMERCIO DE FRIOS MANAUS LTDA</t>
        </is>
      </c>
      <c r="H1326" s="59" t="n">
        <v>1551584</v>
      </c>
      <c r="I1326" s="59" t="n">
        <v>11</v>
      </c>
      <c r="J1326" s="59" t="inlineStr">
        <is>
          <t>AM</t>
        </is>
      </c>
      <c r="K1326" s="126" t="n">
        <v>6734.75</v>
      </c>
    </row>
    <row r="1327" ht="15" customHeight="1" s="60">
      <c r="A1327" s="59" t="n">
        <v>1</v>
      </c>
      <c r="B1327" s="59" t="n">
        <v>268</v>
      </c>
      <c r="C1327" s="59" t="inlineStr">
        <is>
          <t>1</t>
        </is>
      </c>
      <c r="D1327" s="59" t="inlineStr">
        <is>
          <t>03056467000141</t>
        </is>
      </c>
      <c r="E1327" s="75" t="n">
        <v>46249</v>
      </c>
      <c r="F1327" s="75" t="n">
        <v>46248</v>
      </c>
      <c r="G1327" s="59" t="inlineStr">
        <is>
          <t>D DE J SANTOS LTDA</t>
        </is>
      </c>
      <c r="H1327" s="59" t="n">
        <v>1551349</v>
      </c>
      <c r="I1327" s="59" t="n">
        <v>11</v>
      </c>
      <c r="J1327" s="59" t="inlineStr">
        <is>
          <t>AM</t>
        </is>
      </c>
      <c r="K1327" s="126" t="n">
        <v>1575</v>
      </c>
    </row>
    <row r="1328" ht="15" customHeight="1" s="60">
      <c r="A1328" s="59" t="n">
        <v>1</v>
      </c>
      <c r="B1328" s="59" t="n">
        <v>1664733</v>
      </c>
      <c r="C1328" s="59" t="inlineStr">
        <is>
          <t>890</t>
        </is>
      </c>
      <c r="D1328" s="59" t="inlineStr">
        <is>
          <t>02532915340</t>
        </is>
      </c>
      <c r="E1328" s="75" t="n">
        <v>46249</v>
      </c>
      <c r="F1328" s="75" t="n">
        <v>46249</v>
      </c>
      <c r="G1328" s="59" t="inlineStr">
        <is>
          <t>EDSON AGUIAR DE SOUZA</t>
        </is>
      </c>
      <c r="H1328" s="59" t="n">
        <v>1573160</v>
      </c>
      <c r="I1328" s="59" t="n">
        <v>1</v>
      </c>
      <c r="J1328" s="59" t="inlineStr">
        <is>
          <t>AM</t>
        </is>
      </c>
      <c r="K1328" s="126" t="n">
        <v>210</v>
      </c>
    </row>
    <row r="1329" ht="15" customHeight="1" s="60">
      <c r="A1329" s="59" t="n">
        <v>1</v>
      </c>
      <c r="B1329" s="59" t="n">
        <v>147863</v>
      </c>
      <c r="C1329" s="59" t="inlineStr">
        <is>
          <t>1</t>
        </is>
      </c>
      <c r="D1329" s="59" t="inlineStr">
        <is>
          <t>04259133000138</t>
        </is>
      </c>
      <c r="E1329" s="75" t="n">
        <v>46249</v>
      </c>
      <c r="F1329" s="75" t="n">
        <v>46247</v>
      </c>
      <c r="G1329" s="59" t="inlineStr">
        <is>
          <t>FORT COMERCIO DE BEBIDA LTDA</t>
        </is>
      </c>
      <c r="H1329" s="59" t="n">
        <v>1551952</v>
      </c>
      <c r="I1329" s="59" t="n">
        <v>11</v>
      </c>
      <c r="J1329" s="59" t="inlineStr">
        <is>
          <t>AM</t>
        </is>
      </c>
      <c r="K1329" s="126" t="n">
        <v>674.5</v>
      </c>
    </row>
    <row r="1330" ht="15" customHeight="1" s="60">
      <c r="A1330" s="59" t="n">
        <v>1</v>
      </c>
      <c r="B1330" s="59" t="n">
        <v>487</v>
      </c>
      <c r="C1330" s="59" t="inlineStr">
        <is>
          <t>2</t>
        </is>
      </c>
      <c r="D1330" s="59" t="inlineStr">
        <is>
          <t>20380110000133</t>
        </is>
      </c>
      <c r="E1330" s="75" t="n">
        <v>46249</v>
      </c>
      <c r="F1330" s="75" t="n">
        <v>46249</v>
      </c>
      <c r="G1330" s="59" t="inlineStr">
        <is>
          <t>GELO DANGELO FABRICACAO DE GELO LTDA</t>
        </is>
      </c>
      <c r="H1330" s="59" t="n">
        <v>1560886</v>
      </c>
      <c r="I1330" s="59" t="n">
        <v>1</v>
      </c>
      <c r="J1330" s="59" t="inlineStr">
        <is>
          <t>AM</t>
        </is>
      </c>
      <c r="K1330" s="126" t="n">
        <v>359.5</v>
      </c>
    </row>
    <row r="1331" ht="15" customHeight="1" s="60">
      <c r="A1331" s="59" t="n">
        <v>1</v>
      </c>
      <c r="B1331" s="59" t="n">
        <v>173</v>
      </c>
      <c r="C1331" s="59" t="inlineStr">
        <is>
          <t>1</t>
        </is>
      </c>
      <c r="D1331" s="59" t="inlineStr">
        <is>
          <t>55158713000170</t>
        </is>
      </c>
      <c r="E1331" s="75" t="n">
        <v>46249</v>
      </c>
      <c r="F1331" s="75" t="n">
        <v>46249</v>
      </c>
      <c r="G1331" s="59" t="inlineStr">
        <is>
          <t>H L M PADARIA E CONFEITARIA LTDA</t>
        </is>
      </c>
      <c r="H1331" s="59" t="n">
        <v>1560879</v>
      </c>
      <c r="I1331" s="59" t="n">
        <v>1</v>
      </c>
      <c r="J1331" s="59" t="inlineStr">
        <is>
          <t>AM</t>
        </is>
      </c>
      <c r="K1331" s="126" t="n">
        <v>680</v>
      </c>
    </row>
    <row r="1332" ht="15" customHeight="1" s="60">
      <c r="A1332" s="59" t="n">
        <v>1</v>
      </c>
      <c r="B1332" s="59" t="n">
        <v>397850</v>
      </c>
      <c r="C1332" s="59" t="inlineStr">
        <is>
          <t>1</t>
        </is>
      </c>
      <c r="D1332" s="59" t="inlineStr">
        <is>
          <t>14141553000179</t>
        </is>
      </c>
      <c r="E1332" s="75" t="n">
        <v>46249</v>
      </c>
      <c r="F1332" s="75" t="n">
        <v>46247</v>
      </c>
      <c r="G1332" s="59" t="inlineStr">
        <is>
          <t>J G COMERCIO DE PRODUTOS ALIMENTICIOS LTDA</t>
        </is>
      </c>
      <c r="H1332" s="59" t="n">
        <v>1552026</v>
      </c>
      <c r="I1332" s="59" t="n">
        <v>11</v>
      </c>
      <c r="J1332" s="59" t="inlineStr">
        <is>
          <t>AM</t>
        </is>
      </c>
      <c r="K1332" s="126" t="n">
        <v>1398</v>
      </c>
    </row>
    <row r="1333" ht="15" customHeight="1" s="60">
      <c r="A1333" s="59" t="n">
        <v>1</v>
      </c>
      <c r="B1333" s="59" t="n">
        <v>311117</v>
      </c>
      <c r="C1333" s="59" t="inlineStr">
        <is>
          <t>1</t>
        </is>
      </c>
      <c r="D1333" s="59" t="inlineStr">
        <is>
          <t>07391948000164</t>
        </is>
      </c>
      <c r="E1333" s="75" t="n">
        <v>46249</v>
      </c>
      <c r="F1333" s="75" t="n">
        <v>46247</v>
      </c>
      <c r="G1333" s="59" t="inlineStr">
        <is>
          <t>L S M COMERCIO DE ALIMENTOS E NAVEGACAO</t>
        </is>
      </c>
      <c r="H1333" s="59" t="n">
        <v>1551295</v>
      </c>
      <c r="I1333" s="59" t="n">
        <v>11</v>
      </c>
      <c r="J1333" s="59" t="inlineStr">
        <is>
          <t>AM</t>
        </is>
      </c>
      <c r="K1333" s="126" t="n">
        <v>3769.1</v>
      </c>
    </row>
    <row r="1334" ht="15" customHeight="1" s="60">
      <c r="A1334" s="59" t="n">
        <v>1</v>
      </c>
      <c r="B1334" s="59" t="n">
        <v>46104</v>
      </c>
      <c r="C1334" s="59" t="inlineStr">
        <is>
          <t>1</t>
        </is>
      </c>
      <c r="D1334" s="59" t="inlineStr">
        <is>
          <t>51130661000172</t>
        </is>
      </c>
      <c r="E1334" s="75" t="n">
        <v>46249</v>
      </c>
      <c r="F1334" s="75" t="n">
        <v>46248</v>
      </c>
      <c r="G1334" s="59" t="inlineStr">
        <is>
          <t>NORTELAC DISTRIBUIDORA DE FRIOS LTDA</t>
        </is>
      </c>
      <c r="H1334" s="59" t="n">
        <v>1551908</v>
      </c>
      <c r="I1334" s="59" t="n">
        <v>11</v>
      </c>
      <c r="J1334" s="59" t="inlineStr">
        <is>
          <t>AM</t>
        </is>
      </c>
      <c r="K1334" s="126" t="n">
        <v>920</v>
      </c>
    </row>
    <row r="1335" ht="15" customHeight="1" s="60">
      <c r="A1335" s="59" t="n">
        <v>1</v>
      </c>
      <c r="B1335" s="59" t="n">
        <v>43852</v>
      </c>
      <c r="C1335" s="59" t="inlineStr">
        <is>
          <t>5</t>
        </is>
      </c>
      <c r="D1335" s="59" t="inlineStr">
        <is>
          <t>03439223000148</t>
        </is>
      </c>
      <c r="E1335" s="75" t="n">
        <v>46249</v>
      </c>
      <c r="F1335" s="75" t="n">
        <v>46248</v>
      </c>
      <c r="G1335" s="59" t="inlineStr">
        <is>
          <t>NT INDUSTRIA E COMERCIO DE PANIFICACAO L</t>
        </is>
      </c>
      <c r="H1335" s="59" t="n">
        <v>1551901</v>
      </c>
      <c r="I1335" s="59" t="n">
        <v>11</v>
      </c>
      <c r="J1335" s="59" t="inlineStr">
        <is>
          <t>AM</t>
        </is>
      </c>
      <c r="K1335" s="126" t="n">
        <v>5216.27</v>
      </c>
    </row>
    <row r="1336" ht="15" customHeight="1" s="60">
      <c r="A1336" s="59" t="n">
        <v>1</v>
      </c>
      <c r="B1336" s="59" t="n">
        <v>35160</v>
      </c>
      <c r="C1336" s="59" t="inlineStr">
        <is>
          <t>3</t>
        </is>
      </c>
      <c r="D1336" s="59" t="inlineStr">
        <is>
          <t>34857865000190</t>
        </is>
      </c>
      <c r="E1336" s="75" t="n">
        <v>46249</v>
      </c>
      <c r="F1336" s="75" t="n">
        <v>46247</v>
      </c>
      <c r="G1336" s="59" t="inlineStr">
        <is>
          <t>OPPORTUNITY ALIMENTOS PARA ANIMAIS LTDA</t>
        </is>
      </c>
      <c r="H1336" s="59" t="n">
        <v>1552272</v>
      </c>
      <c r="I1336" s="59" t="n">
        <v>11</v>
      </c>
      <c r="J1336" s="59" t="inlineStr">
        <is>
          <t>AM</t>
        </is>
      </c>
      <c r="K1336" s="126" t="n">
        <v>14183.9</v>
      </c>
    </row>
    <row r="1337" ht="15" customHeight="1" s="60">
      <c r="A1337" s="59" t="n">
        <v>1</v>
      </c>
      <c r="B1337" s="59" t="n">
        <v>3181</v>
      </c>
      <c r="C1337" s="59" t="inlineStr">
        <is>
          <t>1</t>
        </is>
      </c>
      <c r="D1337" s="59" t="inlineStr">
        <is>
          <t>01516878000147</t>
        </is>
      </c>
      <c r="E1337" s="75" t="n">
        <v>46249</v>
      </c>
      <c r="F1337" s="75" t="n">
        <v>46247</v>
      </c>
      <c r="G1337" s="59" t="inlineStr">
        <is>
          <t>PRIMICIA DISTRIBUIDORA DE FRIOS LTDA</t>
        </is>
      </c>
      <c r="H1337" s="59" t="n">
        <v>1551982</v>
      </c>
      <c r="I1337" s="59" t="n">
        <v>11</v>
      </c>
      <c r="J1337" s="59" t="inlineStr">
        <is>
          <t>AM</t>
        </is>
      </c>
      <c r="K1337" s="126" t="n">
        <v>1783.5</v>
      </c>
    </row>
    <row r="1338" ht="15" customHeight="1" s="60">
      <c r="A1338" s="59" t="n">
        <v>1</v>
      </c>
      <c r="B1338" s="59" t="n">
        <v>622535</v>
      </c>
      <c r="C1338" s="59" t="inlineStr">
        <is>
          <t>6</t>
        </is>
      </c>
      <c r="D1338" s="59" t="inlineStr">
        <is>
          <t>06990011000304</t>
        </is>
      </c>
      <c r="E1338" s="75" t="n">
        <v>46249</v>
      </c>
      <c r="F1338" s="75" t="n">
        <v>46247</v>
      </c>
      <c r="G1338" s="59" t="inlineStr">
        <is>
          <t>REAL BEBIDAS DA AMAZONIA LTDA</t>
        </is>
      </c>
      <c r="H1338" s="59" t="n">
        <v>1552233</v>
      </c>
      <c r="I1338" s="59" t="n">
        <v>11</v>
      </c>
      <c r="J1338" s="59" t="inlineStr">
        <is>
          <t>AM</t>
        </is>
      </c>
      <c r="K1338" s="126" t="n">
        <v>120</v>
      </c>
    </row>
    <row r="1339" ht="15" customHeight="1" s="60">
      <c r="A1339" s="59" t="n">
        <v>1</v>
      </c>
      <c r="B1339" s="59" t="n">
        <v>10554</v>
      </c>
      <c r="C1339" s="59" t="inlineStr">
        <is>
          <t>2</t>
        </is>
      </c>
      <c r="D1339" s="59" t="inlineStr">
        <is>
          <t>36296113000123</t>
        </is>
      </c>
      <c r="E1339" s="75" t="n">
        <v>46249</v>
      </c>
      <c r="F1339" s="75" t="n">
        <v>46248</v>
      </c>
      <c r="G1339" s="59" t="inlineStr">
        <is>
          <t>VITAPAN COMERCIO VAREJISTA DE PRODUTOS ALIMENTICIOS LTDA</t>
        </is>
      </c>
      <c r="H1339" s="59" t="n">
        <v>1551929</v>
      </c>
      <c r="I1339" s="59" t="n">
        <v>11</v>
      </c>
      <c r="J1339" s="59" t="inlineStr">
        <is>
          <t>AM</t>
        </is>
      </c>
      <c r="K1339" s="126" t="n">
        <v>864</v>
      </c>
    </row>
    <row r="1340" ht="15" customHeight="1" s="60">
      <c r="A1340" s="59" t="n">
        <v>1</v>
      </c>
      <c r="B1340" s="59" t="n">
        <v>1211</v>
      </c>
      <c r="C1340" s="59" t="inlineStr">
        <is>
          <t>2</t>
        </is>
      </c>
      <c r="D1340" s="59" t="inlineStr">
        <is>
          <t>06177766000475</t>
        </is>
      </c>
      <c r="E1340" s="75" t="n">
        <v>46251</v>
      </c>
      <c r="F1340" s="75" t="n">
        <v>46248</v>
      </c>
      <c r="G1340" s="59" t="inlineStr">
        <is>
          <t>A M A DE LIMA INDUSTRIA E COMERCIO DE PRODUTOS ALIMENTICIOS LTDA</t>
        </is>
      </c>
      <c r="H1340" s="59" t="n">
        <v>1562267</v>
      </c>
      <c r="I1340" s="59" t="n">
        <v>11</v>
      </c>
      <c r="J1340" s="59" t="inlineStr">
        <is>
          <t>AM</t>
        </is>
      </c>
      <c r="K1340" s="126" t="n">
        <v>187.15</v>
      </c>
    </row>
    <row r="1341" ht="15" customHeight="1" s="60">
      <c r="A1341" s="59" t="n">
        <v>1</v>
      </c>
      <c r="B1341" s="59" t="n">
        <v>364</v>
      </c>
      <c r="C1341" s="59" t="inlineStr">
        <is>
          <t>1</t>
        </is>
      </c>
      <c r="D1341" s="59" t="inlineStr">
        <is>
          <t>34787423000115</t>
        </is>
      </c>
      <c r="E1341" s="75" t="n">
        <v>46251</v>
      </c>
      <c r="F1341" s="75" t="n">
        <v>46249</v>
      </c>
      <c r="G1341" s="59" t="inlineStr">
        <is>
          <t>ADRIANO FEITOSA OLIVEIRA LTDA</t>
        </is>
      </c>
      <c r="H1341" s="59" t="n">
        <v>1561179</v>
      </c>
      <c r="I1341" s="59" t="n">
        <v>11</v>
      </c>
      <c r="J1341" s="59" t="inlineStr">
        <is>
          <t>AM</t>
        </is>
      </c>
      <c r="K1341" s="126" t="n">
        <v>2178.8</v>
      </c>
    </row>
    <row r="1342" ht="15" customHeight="1" s="60">
      <c r="A1342" s="59" t="n">
        <v>1</v>
      </c>
      <c r="B1342" s="59" t="n">
        <v>959004</v>
      </c>
      <c r="C1342" s="59" t="inlineStr">
        <is>
          <t>38</t>
        </is>
      </c>
      <c r="D1342" s="59" t="inlineStr">
        <is>
          <t>56228356010013</t>
        </is>
      </c>
      <c r="E1342" s="75" t="n">
        <v>46251</v>
      </c>
      <c r="F1342" s="75" t="n">
        <v>46248</v>
      </c>
      <c r="G1342" s="59" t="inlineStr">
        <is>
          <t>CRBS S/A</t>
        </is>
      </c>
      <c r="H1342" s="59" t="n">
        <v>1561097</v>
      </c>
      <c r="I1342" s="59" t="n">
        <v>11</v>
      </c>
      <c r="J1342" s="59" t="inlineStr">
        <is>
          <t>AM</t>
        </is>
      </c>
      <c r="K1342" s="126" t="n">
        <v>3056.3</v>
      </c>
    </row>
    <row r="1343" ht="15" customHeight="1" s="60">
      <c r="A1343" s="59" t="n">
        <v>1</v>
      </c>
      <c r="B1343" s="59" t="n">
        <v>3236815</v>
      </c>
      <c r="C1343" s="59" t="inlineStr">
        <is>
          <t>1</t>
        </is>
      </c>
      <c r="D1343" s="59" t="inlineStr">
        <is>
          <t>84466424000136</t>
        </is>
      </c>
      <c r="E1343" s="75" t="n">
        <v>46251</v>
      </c>
      <c r="F1343" s="75" t="n">
        <v>46247</v>
      </c>
      <c r="G1343" s="59" t="inlineStr">
        <is>
          <t>DUNORTE DISTRIBUIDORA DE PRODUTOS DE CONSUMO LTDA</t>
        </is>
      </c>
      <c r="H1343" s="59" t="n">
        <v>1562361</v>
      </c>
      <c r="I1343" s="59" t="n">
        <v>39</v>
      </c>
      <c r="J1343" s="59" t="inlineStr">
        <is>
          <t>AM</t>
        </is>
      </c>
      <c r="K1343" s="126" t="n">
        <v>488.56</v>
      </c>
    </row>
    <row r="1344" ht="15" customHeight="1" s="60">
      <c r="A1344" s="59" t="n">
        <v>1</v>
      </c>
      <c r="B1344" s="59" t="n">
        <v>3237031</v>
      </c>
      <c r="C1344" s="59" t="inlineStr">
        <is>
          <t>1</t>
        </is>
      </c>
      <c r="D1344" s="59" t="inlineStr">
        <is>
          <t>84466424000136</t>
        </is>
      </c>
      <c r="E1344" s="75" t="n">
        <v>46251</v>
      </c>
      <c r="F1344" s="75" t="n">
        <v>46247</v>
      </c>
      <c r="G1344" s="59" t="inlineStr">
        <is>
          <t>DUNORTE DISTRIBUIDORA DE PRODUTOS DE CONSUMO LTDA</t>
        </is>
      </c>
      <c r="H1344" s="59" t="n">
        <v>1561643</v>
      </c>
      <c r="I1344" s="59" t="n">
        <v>11</v>
      </c>
      <c r="J1344" s="59" t="inlineStr">
        <is>
          <t>AM</t>
        </is>
      </c>
      <c r="K1344" s="126" t="n">
        <v>1396.17</v>
      </c>
    </row>
    <row r="1345" ht="15" customHeight="1" s="60">
      <c r="A1345" s="59" t="n">
        <v>1</v>
      </c>
      <c r="B1345" s="59" t="n">
        <v>3237032</v>
      </c>
      <c r="C1345" s="59" t="inlineStr">
        <is>
          <t>1</t>
        </is>
      </c>
      <c r="D1345" s="59" t="inlineStr">
        <is>
          <t>84466424000136</t>
        </is>
      </c>
      <c r="E1345" s="75" t="n">
        <v>46251</v>
      </c>
      <c r="F1345" s="75" t="n">
        <v>46247</v>
      </c>
      <c r="G1345" s="59" t="inlineStr">
        <is>
          <t>DUNORTE DISTRIBUIDORA DE PRODUTOS DE CONSUMO LTDA</t>
        </is>
      </c>
      <c r="H1345" s="59" t="n">
        <v>1562185</v>
      </c>
      <c r="I1345" s="59" t="n">
        <v>11</v>
      </c>
      <c r="J1345" s="59" t="inlineStr">
        <is>
          <t>AM</t>
        </is>
      </c>
      <c r="K1345" s="126" t="n">
        <v>2421.18</v>
      </c>
    </row>
    <row r="1346" ht="15" customHeight="1" s="60">
      <c r="A1346" s="59" t="n">
        <v>1</v>
      </c>
      <c r="B1346" s="59" t="n">
        <v>799</v>
      </c>
      <c r="C1346" s="59" t="inlineStr">
        <is>
          <t>1</t>
        </is>
      </c>
      <c r="D1346" s="59" t="inlineStr">
        <is>
          <t>61963543000107</t>
        </is>
      </c>
      <c r="E1346" s="75" t="n">
        <v>46251</v>
      </c>
      <c r="F1346" s="75" t="n">
        <v>46247</v>
      </c>
      <c r="G1346" s="59" t="inlineStr">
        <is>
          <t>E. SALES DO NASCIMENTO</t>
        </is>
      </c>
      <c r="H1346" s="59" t="n">
        <v>1561356</v>
      </c>
      <c r="I1346" s="59" t="n">
        <v>11</v>
      </c>
      <c r="J1346" s="59" t="inlineStr">
        <is>
          <t>AM</t>
        </is>
      </c>
      <c r="K1346" s="126" t="n">
        <v>2029.17</v>
      </c>
    </row>
    <row r="1347" ht="15" customHeight="1" s="60">
      <c r="A1347" s="59" t="n">
        <v>1</v>
      </c>
      <c r="B1347" s="59" t="n">
        <v>831858</v>
      </c>
      <c r="C1347" s="59" t="inlineStr">
        <is>
          <t>920</t>
        </is>
      </c>
      <c r="D1347" s="59" t="inlineStr">
        <is>
          <t>02558483234</t>
        </is>
      </c>
      <c r="E1347" s="75" t="n">
        <v>46251</v>
      </c>
      <c r="F1347" s="75" t="n">
        <v>46249</v>
      </c>
      <c r="G1347" s="59" t="inlineStr">
        <is>
          <t>ELIAS MARTINS DA SILVA</t>
        </is>
      </c>
      <c r="H1347" s="59" t="n">
        <v>1562610</v>
      </c>
      <c r="I1347" s="59" t="n">
        <v>11</v>
      </c>
      <c r="J1347" s="59" t="inlineStr">
        <is>
          <t>AM</t>
        </is>
      </c>
      <c r="K1347" s="126" t="n">
        <v>1440</v>
      </c>
    </row>
    <row r="1348" ht="15" customHeight="1" s="60">
      <c r="A1348" s="59" t="n">
        <v>1</v>
      </c>
      <c r="B1348" s="59" t="n">
        <v>491</v>
      </c>
      <c r="C1348" s="59" t="inlineStr">
        <is>
          <t>2</t>
        </is>
      </c>
      <c r="D1348" s="59" t="inlineStr">
        <is>
          <t>20380110000133</t>
        </is>
      </c>
      <c r="E1348" s="75" t="n">
        <v>46251</v>
      </c>
      <c r="F1348" s="75" t="n">
        <v>46251</v>
      </c>
      <c r="G1348" s="59" t="inlineStr">
        <is>
          <t>GELO DANGELO FABRICACAO DE GELO LTDA</t>
        </is>
      </c>
      <c r="H1348" s="59" t="n">
        <v>1573209</v>
      </c>
      <c r="I1348" s="59" t="n">
        <v>1</v>
      </c>
      <c r="J1348" s="59" t="inlineStr">
        <is>
          <t>AM</t>
        </is>
      </c>
      <c r="K1348" s="126" t="n">
        <v>324.5</v>
      </c>
    </row>
    <row r="1349" ht="15" customHeight="1" s="60">
      <c r="A1349" s="59" t="n">
        <v>1</v>
      </c>
      <c r="B1349" s="59" t="n">
        <v>177</v>
      </c>
      <c r="C1349" s="59" t="inlineStr">
        <is>
          <t>1</t>
        </is>
      </c>
      <c r="D1349" s="59" t="inlineStr">
        <is>
          <t>55158713000170</t>
        </is>
      </c>
      <c r="E1349" s="75" t="n">
        <v>46251</v>
      </c>
      <c r="F1349" s="75" t="n">
        <v>46251</v>
      </c>
      <c r="G1349" s="59" t="inlineStr">
        <is>
          <t>H L M PADARIA E CONFEITARIA LTDA</t>
        </is>
      </c>
      <c r="H1349" s="59" t="n">
        <v>1573224</v>
      </c>
      <c r="I1349" s="59" t="n">
        <v>1</v>
      </c>
      <c r="J1349" s="59" t="inlineStr">
        <is>
          <t>AM</t>
        </is>
      </c>
      <c r="K1349" s="126" t="n">
        <v>240</v>
      </c>
    </row>
    <row r="1350" ht="15" customHeight="1" s="60">
      <c r="A1350" s="59" t="n">
        <v>1</v>
      </c>
      <c r="B1350" s="59" t="n">
        <v>15059</v>
      </c>
      <c r="C1350" s="59" t="inlineStr">
        <is>
          <t>1</t>
        </is>
      </c>
      <c r="D1350" s="59" t="inlineStr">
        <is>
          <t>03784729000194</t>
        </is>
      </c>
      <c r="E1350" s="75" t="n">
        <v>46251</v>
      </c>
      <c r="F1350" s="75" t="n">
        <v>46249</v>
      </c>
      <c r="G1350" s="59" t="inlineStr">
        <is>
          <t>MAXFRI DISTRIUIDORA LTDA</t>
        </is>
      </c>
      <c r="H1350" s="59" t="n">
        <v>1562744</v>
      </c>
      <c r="I1350" s="59" t="n">
        <v>11</v>
      </c>
      <c r="J1350" s="59" t="inlineStr">
        <is>
          <t>AM</t>
        </is>
      </c>
      <c r="K1350" s="126" t="n">
        <v>7881</v>
      </c>
    </row>
    <row r="1351" ht="15" customHeight="1" s="60">
      <c r="A1351" s="59" t="n">
        <v>1</v>
      </c>
      <c r="B1351" s="59" t="n">
        <v>4384</v>
      </c>
      <c r="C1351" s="59" t="inlineStr">
        <is>
          <t>1</t>
        </is>
      </c>
      <c r="D1351" s="59" t="inlineStr">
        <is>
          <t>14459228000159</t>
        </is>
      </c>
      <c r="E1351" s="75" t="n">
        <v>46251</v>
      </c>
      <c r="F1351" s="75" t="n">
        <v>46248</v>
      </c>
      <c r="G1351" s="59" t="inlineStr">
        <is>
          <t>NOVA FRIOS COMERCIO ATACADISTA DE LATICINIOS LTDA</t>
        </is>
      </c>
      <c r="H1351" s="59" t="n">
        <v>1561068</v>
      </c>
      <c r="I1351" s="59" t="n">
        <v>11</v>
      </c>
      <c r="J1351" s="59" t="inlineStr">
        <is>
          <t>AM</t>
        </is>
      </c>
      <c r="K1351" s="126" t="n">
        <v>271.25</v>
      </c>
    </row>
    <row r="1352" ht="15" customHeight="1" s="60">
      <c r="A1352" s="59" t="n">
        <v>1</v>
      </c>
      <c r="B1352" s="59" t="n">
        <v>762</v>
      </c>
      <c r="C1352" s="59" t="inlineStr">
        <is>
          <t>2</t>
        </is>
      </c>
      <c r="D1352" s="59" t="inlineStr">
        <is>
          <t>35729236000148</t>
        </is>
      </c>
      <c r="E1352" s="75" t="n">
        <v>46251</v>
      </c>
      <c r="F1352" s="75" t="n">
        <v>46249</v>
      </c>
      <c r="G1352" s="59" t="inlineStr">
        <is>
          <t>PANIFICADORA E CONFEITARIA REAL MADRI LTDA</t>
        </is>
      </c>
      <c r="H1352" s="59" t="n">
        <v>1561155</v>
      </c>
      <c r="I1352" s="59" t="n">
        <v>11</v>
      </c>
      <c r="J1352" s="59" t="inlineStr">
        <is>
          <t>AM</t>
        </is>
      </c>
      <c r="K1352" s="126" t="n">
        <v>1008.7</v>
      </c>
    </row>
    <row r="1353" ht="15" customHeight="1" s="60">
      <c r="A1353" s="59" t="n">
        <v>1</v>
      </c>
      <c r="B1353" s="59" t="n">
        <v>3182</v>
      </c>
      <c r="C1353" s="59" t="inlineStr">
        <is>
          <t>1</t>
        </is>
      </c>
      <c r="D1353" s="59" t="inlineStr">
        <is>
          <t>01516878000147</t>
        </is>
      </c>
      <c r="E1353" s="75" t="n">
        <v>46251</v>
      </c>
      <c r="F1353" s="75" t="n">
        <v>46247</v>
      </c>
      <c r="G1353" s="59" t="inlineStr">
        <is>
          <t>PRIMICIA DISTRIBUIDORA DE FRIOS LTDA</t>
        </is>
      </c>
      <c r="H1353" s="59" t="n">
        <v>1562383</v>
      </c>
      <c r="I1353" s="59" t="n">
        <v>47</v>
      </c>
      <c r="J1353" s="59" t="inlineStr">
        <is>
          <t>AM</t>
        </is>
      </c>
      <c r="K1353" s="126" t="n">
        <v>742.5</v>
      </c>
    </row>
    <row r="1354" ht="15" customHeight="1" s="60">
      <c r="A1354" s="59" t="n">
        <v>1</v>
      </c>
      <c r="B1354" s="59" t="n">
        <v>5497</v>
      </c>
      <c r="C1354" s="59" t="inlineStr">
        <is>
          <t>1</t>
        </is>
      </c>
      <c r="D1354" s="59" t="inlineStr">
        <is>
          <t>36480282000119</t>
        </is>
      </c>
      <c r="E1354" s="75" t="n">
        <v>46251</v>
      </c>
      <c r="F1354" s="75" t="n">
        <v>46251</v>
      </c>
      <c r="G1354" s="59" t="inlineStr">
        <is>
          <t>RENATO DE O AZEVEDO E CIA LTDA - EPP</t>
        </is>
      </c>
      <c r="H1354" s="59" t="n">
        <v>1560861</v>
      </c>
      <c r="I1354" s="59" t="n">
        <v>6</v>
      </c>
      <c r="J1354" s="59" t="inlineStr">
        <is>
          <t>AM</t>
        </is>
      </c>
      <c r="K1354" s="126" t="n">
        <v>1349</v>
      </c>
    </row>
    <row r="1355" ht="15" customHeight="1" s="60">
      <c r="A1355" s="59" t="n">
        <v>1</v>
      </c>
      <c r="B1355" s="59" t="n">
        <v>5498</v>
      </c>
      <c r="C1355" s="59" t="inlineStr">
        <is>
          <t>1</t>
        </is>
      </c>
      <c r="D1355" s="59" t="inlineStr">
        <is>
          <t>36480282000119</t>
        </is>
      </c>
      <c r="E1355" s="75" t="n">
        <v>46251</v>
      </c>
      <c r="F1355" s="75" t="n">
        <v>46251</v>
      </c>
      <c r="G1355" s="59" t="inlineStr">
        <is>
          <t>RENATO DE O AZEVEDO E CIA LTDA - EPP</t>
        </is>
      </c>
      <c r="H1355" s="59" t="n">
        <v>1560904</v>
      </c>
      <c r="I1355" s="59" t="n">
        <v>6</v>
      </c>
      <c r="J1355" s="59" t="inlineStr">
        <is>
          <t>AM</t>
        </is>
      </c>
      <c r="K1355" s="126" t="n">
        <v>510</v>
      </c>
    </row>
    <row r="1356" ht="15" customHeight="1" s="60">
      <c r="A1356" s="59" t="n">
        <v>1</v>
      </c>
      <c r="B1356" s="59" t="n">
        <v>1213</v>
      </c>
      <c r="C1356" s="59" t="inlineStr">
        <is>
          <t>2</t>
        </is>
      </c>
      <c r="D1356" s="59" t="inlineStr">
        <is>
          <t>06177766000475</t>
        </is>
      </c>
      <c r="E1356" s="75" t="n">
        <v>46252</v>
      </c>
      <c r="F1356" s="75" t="n">
        <v>46252</v>
      </c>
      <c r="G1356" s="59" t="inlineStr">
        <is>
          <t>A M A DE LIMA INDUSTRIA E COMERCIO DE PRODUTOS ALIMENTICIOS LTDA</t>
        </is>
      </c>
      <c r="H1356" s="59" t="n">
        <v>1567143</v>
      </c>
      <c r="I1356" s="59" t="n">
        <v>11</v>
      </c>
      <c r="J1356" s="59" t="inlineStr">
        <is>
          <t>AM</t>
        </is>
      </c>
      <c r="K1356" s="126" t="n">
        <v>144.25</v>
      </c>
    </row>
    <row r="1357" ht="15" customHeight="1" s="60">
      <c r="A1357" s="59" t="n">
        <v>1</v>
      </c>
      <c r="B1357" s="59" t="n">
        <v>21280</v>
      </c>
      <c r="C1357" s="59" t="inlineStr">
        <is>
          <t>1</t>
        </is>
      </c>
      <c r="D1357" s="59" t="inlineStr">
        <is>
          <t>28686395000147</t>
        </is>
      </c>
      <c r="E1357" s="75" t="n">
        <v>46252</v>
      </c>
      <c r="F1357" s="75" t="n">
        <v>46251</v>
      </c>
      <c r="G1357" s="59" t="inlineStr">
        <is>
          <t>BF COMERCIO DE ALIMENTOS REPRESENTACAO L</t>
        </is>
      </c>
      <c r="H1357" s="59" t="n">
        <v>1568270</v>
      </c>
      <c r="I1357" s="59" t="n">
        <v>11</v>
      </c>
      <c r="J1357" s="59" t="inlineStr">
        <is>
          <t>AM</t>
        </is>
      </c>
      <c r="K1357" s="126" t="n">
        <v>1355.27</v>
      </c>
    </row>
    <row r="1358" ht="15" customHeight="1" s="60">
      <c r="A1358" s="59" t="n">
        <v>1</v>
      </c>
      <c r="B1358" s="59" t="n">
        <v>1250817</v>
      </c>
      <c r="C1358" s="59" t="inlineStr">
        <is>
          <t>7</t>
        </is>
      </c>
      <c r="D1358" s="59" t="inlineStr">
        <is>
          <t>34590315000158</t>
        </is>
      </c>
      <c r="E1358" s="75" t="n">
        <v>46252</v>
      </c>
      <c r="F1358" s="75" t="n">
        <v>46247</v>
      </c>
      <c r="G1358" s="59" t="inlineStr">
        <is>
          <t>BRASIL NORTE BEBIDAS S/A</t>
        </is>
      </c>
      <c r="H1358" s="59" t="n">
        <v>1565986</v>
      </c>
      <c r="I1358" s="59" t="n">
        <v>11</v>
      </c>
      <c r="J1358" s="59" t="inlineStr">
        <is>
          <t>AM</t>
        </is>
      </c>
      <c r="K1358" s="126" t="n">
        <v>409.88</v>
      </c>
    </row>
    <row r="1359" ht="15" customHeight="1" s="60">
      <c r="A1359" s="59" t="n">
        <v>1</v>
      </c>
      <c r="B1359" s="59" t="n">
        <v>1250842</v>
      </c>
      <c r="C1359" s="59" t="inlineStr">
        <is>
          <t>7</t>
        </is>
      </c>
      <c r="D1359" s="59" t="inlineStr">
        <is>
          <t>34590315000158</t>
        </is>
      </c>
      <c r="E1359" s="75" t="n">
        <v>46252</v>
      </c>
      <c r="F1359" s="75" t="n">
        <v>46247</v>
      </c>
      <c r="G1359" s="59" t="inlineStr">
        <is>
          <t>BRASIL NORTE BEBIDAS S/A</t>
        </is>
      </c>
      <c r="H1359" s="59" t="n">
        <v>1566242</v>
      </c>
      <c r="I1359" s="59" t="n">
        <v>11</v>
      </c>
      <c r="J1359" s="59" t="inlineStr">
        <is>
          <t>AM</t>
        </is>
      </c>
      <c r="K1359" s="126" t="n">
        <v>2627.97</v>
      </c>
    </row>
    <row r="1360" ht="15" customHeight="1" s="60">
      <c r="A1360" s="59" t="n">
        <v>1</v>
      </c>
      <c r="B1360" s="59" t="n">
        <v>1250843</v>
      </c>
      <c r="C1360" s="59" t="inlineStr">
        <is>
          <t>7</t>
        </is>
      </c>
      <c r="D1360" s="59" t="inlineStr">
        <is>
          <t>34590315000158</t>
        </is>
      </c>
      <c r="E1360" s="75" t="n">
        <v>46252</v>
      </c>
      <c r="F1360" s="75" t="n">
        <v>46247</v>
      </c>
      <c r="G1360" s="59" t="inlineStr">
        <is>
          <t>BRASIL NORTE BEBIDAS S/A</t>
        </is>
      </c>
      <c r="H1360" s="59" t="n">
        <v>1566665</v>
      </c>
      <c r="I1360" s="59" t="n">
        <v>11</v>
      </c>
      <c r="J1360" s="59" t="inlineStr">
        <is>
          <t>AM</t>
        </is>
      </c>
      <c r="K1360" s="126" t="n">
        <v>128.51</v>
      </c>
    </row>
    <row r="1361" ht="15" customHeight="1" s="60">
      <c r="A1361" s="59" t="n">
        <v>1</v>
      </c>
      <c r="B1361" s="59" t="n">
        <v>1250879</v>
      </c>
      <c r="C1361" s="59" t="inlineStr">
        <is>
          <t>7</t>
        </is>
      </c>
      <c r="D1361" s="59" t="inlineStr">
        <is>
          <t>34590315000158</t>
        </is>
      </c>
      <c r="E1361" s="75" t="n">
        <v>46252</v>
      </c>
      <c r="F1361" s="75" t="n">
        <v>46247</v>
      </c>
      <c r="G1361" s="59" t="inlineStr">
        <is>
          <t>BRASIL NORTE BEBIDAS S/A</t>
        </is>
      </c>
      <c r="H1361" s="59" t="n">
        <v>1566380</v>
      </c>
      <c r="I1361" s="59" t="n">
        <v>11</v>
      </c>
      <c r="J1361" s="59" t="inlineStr">
        <is>
          <t>AM</t>
        </is>
      </c>
      <c r="K1361" s="126" t="n">
        <v>659.34</v>
      </c>
    </row>
    <row r="1362" ht="15" customHeight="1" s="60">
      <c r="A1362" s="59" t="n">
        <v>1</v>
      </c>
      <c r="B1362" s="59" t="n">
        <v>1990959</v>
      </c>
      <c r="C1362" s="59" t="inlineStr">
        <is>
          <t>5</t>
        </is>
      </c>
      <c r="D1362" s="59" t="inlineStr">
        <is>
          <t>34590315000158</t>
        </is>
      </c>
      <c r="E1362" s="75" t="n">
        <v>46252</v>
      </c>
      <c r="F1362" s="75" t="n">
        <v>46247</v>
      </c>
      <c r="G1362" s="59" t="inlineStr">
        <is>
          <t>BRASIL NORTE BEBIDAS S/A</t>
        </is>
      </c>
      <c r="H1362" s="59" t="n">
        <v>1566457</v>
      </c>
      <c r="I1362" s="59" t="n">
        <v>11</v>
      </c>
      <c r="J1362" s="59" t="inlineStr">
        <is>
          <t>AM</t>
        </is>
      </c>
      <c r="K1362" s="126" t="n">
        <v>490.11</v>
      </c>
    </row>
    <row r="1363" ht="15" customHeight="1" s="60">
      <c r="A1363" s="59" t="n">
        <v>1</v>
      </c>
      <c r="B1363" s="59" t="n">
        <v>1990961</v>
      </c>
      <c r="C1363" s="59" t="inlineStr">
        <is>
          <t>5</t>
        </is>
      </c>
      <c r="D1363" s="59" t="inlineStr">
        <is>
          <t>34590315000158</t>
        </is>
      </c>
      <c r="E1363" s="75" t="n">
        <v>46252</v>
      </c>
      <c r="F1363" s="75" t="n">
        <v>46247</v>
      </c>
      <c r="G1363" s="59" t="inlineStr">
        <is>
          <t>BRASIL NORTE BEBIDAS S/A</t>
        </is>
      </c>
      <c r="H1363" s="59" t="n">
        <v>1566573</v>
      </c>
      <c r="I1363" s="59" t="n">
        <v>11</v>
      </c>
      <c r="J1363" s="59" t="inlineStr">
        <is>
          <t>AM</t>
        </is>
      </c>
      <c r="K1363" s="126" t="n">
        <v>76.19</v>
      </c>
    </row>
    <row r="1364" ht="15" customHeight="1" s="60">
      <c r="A1364" s="59" t="n">
        <v>1</v>
      </c>
      <c r="B1364" s="59" t="n">
        <v>1990972</v>
      </c>
      <c r="C1364" s="59" t="inlineStr">
        <is>
          <t>5</t>
        </is>
      </c>
      <c r="D1364" s="59" t="inlineStr">
        <is>
          <t>34590315000158</t>
        </is>
      </c>
      <c r="E1364" s="75" t="n">
        <v>46252</v>
      </c>
      <c r="F1364" s="75" t="n">
        <v>46247</v>
      </c>
      <c r="G1364" s="59" t="inlineStr">
        <is>
          <t>BRASIL NORTE BEBIDAS S/A</t>
        </is>
      </c>
      <c r="H1364" s="59" t="n">
        <v>1566549</v>
      </c>
      <c r="I1364" s="59" t="n">
        <v>11</v>
      </c>
      <c r="J1364" s="59" t="inlineStr">
        <is>
          <t>AM</t>
        </is>
      </c>
      <c r="K1364" s="126" t="n">
        <v>369.57</v>
      </c>
    </row>
    <row r="1365" ht="15" customHeight="1" s="60">
      <c r="A1365" s="59" t="n">
        <v>1</v>
      </c>
      <c r="B1365" s="59" t="n">
        <v>1991099</v>
      </c>
      <c r="C1365" s="59" t="inlineStr">
        <is>
          <t>5</t>
        </is>
      </c>
      <c r="D1365" s="59" t="inlineStr">
        <is>
          <t>34590315000158</t>
        </is>
      </c>
      <c r="E1365" s="75" t="n">
        <v>46252</v>
      </c>
      <c r="F1365" s="75" t="n">
        <v>46247</v>
      </c>
      <c r="G1365" s="59" t="inlineStr">
        <is>
          <t>BRASIL NORTE BEBIDAS S/A</t>
        </is>
      </c>
      <c r="H1365" s="59" t="n">
        <v>1566632</v>
      </c>
      <c r="I1365" s="59" t="n">
        <v>11</v>
      </c>
      <c r="J1365" s="59" t="inlineStr">
        <is>
          <t>AM</t>
        </is>
      </c>
      <c r="K1365" s="126" t="n">
        <v>7800.09</v>
      </c>
    </row>
    <row r="1366" ht="15" customHeight="1" s="60">
      <c r="A1366" s="59" t="n">
        <v>1</v>
      </c>
      <c r="B1366" s="59" t="n">
        <v>11564</v>
      </c>
      <c r="C1366" s="59" t="inlineStr">
        <is>
          <t>2</t>
        </is>
      </c>
      <c r="D1366" s="59" t="inlineStr">
        <is>
          <t>40810324000100</t>
        </is>
      </c>
      <c r="E1366" s="75" t="n">
        <v>46252</v>
      </c>
      <c r="F1366" s="75" t="n">
        <v>46251</v>
      </c>
      <c r="G1366" s="59" t="inlineStr">
        <is>
          <t>C. R. PARENTE ABREU</t>
        </is>
      </c>
      <c r="H1366" s="59" t="n">
        <v>1565831</v>
      </c>
      <c r="I1366" s="59" t="n">
        <v>11</v>
      </c>
      <c r="J1366" s="59" t="inlineStr">
        <is>
          <t>AM</t>
        </is>
      </c>
      <c r="K1366" s="126" t="n">
        <v>991.11</v>
      </c>
    </row>
    <row r="1367" ht="15" customHeight="1" s="60">
      <c r="A1367" s="59" t="n">
        <v>1</v>
      </c>
      <c r="B1367" s="59" t="n">
        <v>175037</v>
      </c>
      <c r="C1367" s="59" t="inlineStr">
        <is>
          <t>1</t>
        </is>
      </c>
      <c r="D1367" s="59" t="inlineStr">
        <is>
          <t>10418161000153</t>
        </is>
      </c>
      <c r="E1367" s="75" t="n">
        <v>46252</v>
      </c>
      <c r="F1367" s="75" t="n">
        <v>46252</v>
      </c>
      <c r="G1367" s="59" t="inlineStr">
        <is>
          <t>COMERCIO DE FRIOS MANAUS LTDA</t>
        </is>
      </c>
      <c r="H1367" s="59" t="n">
        <v>1567429</v>
      </c>
      <c r="I1367" s="59" t="n">
        <v>11</v>
      </c>
      <c r="J1367" s="59" t="inlineStr">
        <is>
          <t>AM</t>
        </is>
      </c>
      <c r="K1367" s="126" t="n">
        <v>3422.6</v>
      </c>
    </row>
    <row r="1368" ht="15" customHeight="1" s="60">
      <c r="A1368" s="59" t="n">
        <v>1</v>
      </c>
      <c r="B1368" s="59" t="n">
        <v>15133</v>
      </c>
      <c r="C1368" s="59" t="inlineStr">
        <is>
          <t>1</t>
        </is>
      </c>
      <c r="D1368" s="59" t="inlineStr">
        <is>
          <t>09531992000158</t>
        </is>
      </c>
      <c r="E1368" s="75" t="n">
        <v>46252</v>
      </c>
      <c r="F1368" s="75" t="n">
        <v>46252</v>
      </c>
      <c r="G1368" s="59" t="inlineStr">
        <is>
          <t>COMERCIO E TRANSPORTE BRANDAO LTDA</t>
        </is>
      </c>
      <c r="H1368" s="59" t="n">
        <v>1567671</v>
      </c>
      <c r="I1368" s="59" t="n">
        <v>1</v>
      </c>
      <c r="J1368" s="59" t="inlineStr">
        <is>
          <t>AM</t>
        </is>
      </c>
      <c r="K1368" s="126" t="n">
        <v>750</v>
      </c>
    </row>
    <row r="1369" ht="15" customHeight="1" s="60">
      <c r="A1369" s="59" t="n">
        <v>1</v>
      </c>
      <c r="B1369" s="59" t="n">
        <v>1666320</v>
      </c>
      <c r="C1369" s="59" t="inlineStr">
        <is>
          <t>890</t>
        </is>
      </c>
      <c r="D1369" s="59" t="inlineStr">
        <is>
          <t>02532915340</t>
        </is>
      </c>
      <c r="E1369" s="75" t="n">
        <v>46252</v>
      </c>
      <c r="F1369" s="75" t="n">
        <v>46252</v>
      </c>
      <c r="G1369" s="59" t="inlineStr">
        <is>
          <t>EDSON AGUIAR DE SOUZA</t>
        </is>
      </c>
      <c r="H1369" s="59" t="n">
        <v>1573198</v>
      </c>
      <c r="I1369" s="59" t="n">
        <v>1</v>
      </c>
      <c r="J1369" s="59" t="inlineStr">
        <is>
          <t>AM</t>
        </is>
      </c>
      <c r="K1369" s="126" t="n">
        <v>210</v>
      </c>
    </row>
    <row r="1370" ht="15" customHeight="1" s="60">
      <c r="A1370" s="59" t="n">
        <v>1</v>
      </c>
      <c r="B1370" s="59" t="n">
        <v>3722</v>
      </c>
      <c r="C1370" s="59" t="inlineStr">
        <is>
          <t>1</t>
        </is>
      </c>
      <c r="D1370" s="59" t="inlineStr">
        <is>
          <t>59566132000128</t>
        </is>
      </c>
      <c r="E1370" s="75" t="n">
        <v>46252</v>
      </c>
      <c r="F1370" s="75" t="n">
        <v>46246</v>
      </c>
      <c r="G1370" s="59" t="inlineStr">
        <is>
          <t>JAB COMERCIO DE PRODUTOS ALIMENTICIOS LT</t>
        </is>
      </c>
      <c r="H1370" s="59" t="n">
        <v>1566841</v>
      </c>
      <c r="I1370" s="59" t="n">
        <v>11</v>
      </c>
      <c r="J1370" s="59" t="inlineStr">
        <is>
          <t>AM</t>
        </is>
      </c>
      <c r="K1370" s="126" t="n">
        <v>266</v>
      </c>
    </row>
    <row r="1371" ht="15" customHeight="1" s="60">
      <c r="A1371" s="59" t="n">
        <v>1</v>
      </c>
      <c r="B1371" s="59" t="n">
        <v>15071</v>
      </c>
      <c r="C1371" s="59" t="inlineStr">
        <is>
          <t>1</t>
        </is>
      </c>
      <c r="D1371" s="59" t="inlineStr">
        <is>
          <t>03784729000194</t>
        </is>
      </c>
      <c r="E1371" s="75" t="n">
        <v>46252</v>
      </c>
      <c r="F1371" s="75" t="n">
        <v>46251</v>
      </c>
      <c r="G1371" s="59" t="inlineStr">
        <is>
          <t>MAXFRI DISTRIUIDORA LTDA</t>
        </is>
      </c>
      <c r="H1371" s="59" t="n">
        <v>1567262</v>
      </c>
      <c r="I1371" s="59" t="n">
        <v>11</v>
      </c>
      <c r="J1371" s="59" t="inlineStr">
        <is>
          <t>AM</t>
        </is>
      </c>
      <c r="K1371" s="126" t="n">
        <v>3207</v>
      </c>
    </row>
    <row r="1372" ht="15" customHeight="1" s="60">
      <c r="A1372" s="59" t="n">
        <v>1</v>
      </c>
      <c r="B1372" s="59" t="n">
        <v>764</v>
      </c>
      <c r="C1372" s="59" t="inlineStr">
        <is>
          <t>2</t>
        </is>
      </c>
      <c r="D1372" s="59" t="inlineStr">
        <is>
          <t>35729236000148</t>
        </is>
      </c>
      <c r="E1372" s="75" t="n">
        <v>46252</v>
      </c>
      <c r="F1372" s="75" t="n">
        <v>46251</v>
      </c>
      <c r="G1372" s="59" t="inlineStr">
        <is>
          <t>PANIFICADORA E CONFEITARIA REAL MADRI LTDA</t>
        </is>
      </c>
      <c r="H1372" s="59" t="n">
        <v>1565868</v>
      </c>
      <c r="I1372" s="59" t="n">
        <v>11</v>
      </c>
      <c r="J1372" s="59" t="inlineStr">
        <is>
          <t>AM</t>
        </is>
      </c>
      <c r="K1372" s="126" t="n">
        <v>1190</v>
      </c>
    </row>
    <row r="1373" ht="15" customHeight="1" s="60">
      <c r="A1373" s="59" t="n">
        <v>1</v>
      </c>
      <c r="B1373" s="59" t="n">
        <v>5505</v>
      </c>
      <c r="C1373" s="59" t="inlineStr">
        <is>
          <t>1</t>
        </is>
      </c>
      <c r="D1373" s="59" t="inlineStr">
        <is>
          <t>36480282000119</t>
        </is>
      </c>
      <c r="E1373" s="75" t="n">
        <v>46252</v>
      </c>
      <c r="F1373" s="75" t="n">
        <v>46252</v>
      </c>
      <c r="G1373" s="59" t="inlineStr">
        <is>
          <t>RENATO DE O AZEVEDO E CIA LTDA - EPP</t>
        </is>
      </c>
      <c r="H1373" s="59" t="n">
        <v>1566459</v>
      </c>
      <c r="I1373" s="59" t="n">
        <v>6</v>
      </c>
      <c r="J1373" s="59" t="inlineStr">
        <is>
          <t>AM</t>
        </is>
      </c>
      <c r="K1373" s="126" t="n">
        <v>1175</v>
      </c>
    </row>
    <row r="1374" ht="15" customHeight="1" s="60">
      <c r="A1374" s="59" t="n">
        <v>1</v>
      </c>
      <c r="B1374" s="59" t="n">
        <v>5514</v>
      </c>
      <c r="C1374" s="59" t="inlineStr">
        <is>
          <t>1</t>
        </is>
      </c>
      <c r="D1374" s="59" t="inlineStr">
        <is>
          <t>36480282000119</t>
        </is>
      </c>
      <c r="E1374" s="75" t="n">
        <v>46252</v>
      </c>
      <c r="F1374" s="75" t="n">
        <v>46252</v>
      </c>
      <c r="G1374" s="59" t="inlineStr">
        <is>
          <t>RENATO DE O AZEVEDO E CIA LTDA - EPP</t>
        </is>
      </c>
      <c r="H1374" s="59" t="n">
        <v>1567398</v>
      </c>
      <c r="I1374" s="59" t="n">
        <v>6</v>
      </c>
      <c r="J1374" s="59" t="inlineStr">
        <is>
          <t>AM</t>
        </is>
      </c>
      <c r="K1374" s="126" t="n">
        <v>3283</v>
      </c>
    </row>
    <row r="1375" ht="15" customHeight="1" s="60">
      <c r="A1375" s="59" t="n">
        <v>1</v>
      </c>
      <c r="B1375" s="59" t="n">
        <v>5515</v>
      </c>
      <c r="C1375" s="59" t="inlineStr">
        <is>
          <t>1</t>
        </is>
      </c>
      <c r="D1375" s="59" t="inlineStr">
        <is>
          <t>36480282000119</t>
        </is>
      </c>
      <c r="E1375" s="75" t="n">
        <v>46252</v>
      </c>
      <c r="F1375" s="75" t="n">
        <v>46252</v>
      </c>
      <c r="G1375" s="59" t="inlineStr">
        <is>
          <t>RENATO DE O AZEVEDO E CIA LTDA - EPP</t>
        </is>
      </c>
      <c r="H1375" s="59" t="n">
        <v>1567624</v>
      </c>
      <c r="I1375" s="59" t="n">
        <v>6</v>
      </c>
      <c r="J1375" s="59" t="inlineStr">
        <is>
          <t>AM</t>
        </is>
      </c>
      <c r="K1375" s="126" t="n">
        <v>1259</v>
      </c>
    </row>
    <row r="1376" ht="15" customHeight="1" s="60">
      <c r="A1376" s="59" t="n">
        <v>1</v>
      </c>
      <c r="B1376" s="59" t="n">
        <v>5516</v>
      </c>
      <c r="C1376" s="59" t="inlineStr">
        <is>
          <t>1</t>
        </is>
      </c>
      <c r="D1376" s="59" t="inlineStr">
        <is>
          <t>36480282000119</t>
        </is>
      </c>
      <c r="E1376" s="75" t="n">
        <v>46252</v>
      </c>
      <c r="F1376" s="75" t="n">
        <v>46252</v>
      </c>
      <c r="G1376" s="59" t="inlineStr">
        <is>
          <t>RENATO DE O AZEVEDO E CIA LTDA - EPP</t>
        </is>
      </c>
      <c r="H1376" s="59" t="n">
        <v>1567876</v>
      </c>
      <c r="I1376" s="59" t="n">
        <v>6</v>
      </c>
      <c r="J1376" s="59" t="inlineStr">
        <is>
          <t>AM</t>
        </is>
      </c>
      <c r="K1376" s="126" t="n">
        <v>375</v>
      </c>
    </row>
    <row r="1377" ht="15" customHeight="1" s="60">
      <c r="A1377" s="59" t="n">
        <v>1</v>
      </c>
      <c r="B1377" s="59" t="n">
        <v>570378</v>
      </c>
      <c r="C1377" s="59" t="inlineStr">
        <is>
          <t>13</t>
        </is>
      </c>
      <c r="D1377" s="59" t="inlineStr">
        <is>
          <t>33009911007222</t>
        </is>
      </c>
      <c r="E1377" s="75" t="n">
        <v>46252</v>
      </c>
      <c r="F1377" s="75" t="n">
        <v>46247</v>
      </c>
      <c r="G1377" s="59" t="inlineStr">
        <is>
          <t>SOUZA CRUZ LTDA.</t>
        </is>
      </c>
      <c r="H1377" s="59" t="n">
        <v>1567686</v>
      </c>
      <c r="I1377" s="59" t="n">
        <v>11</v>
      </c>
      <c r="J1377" s="59" t="inlineStr">
        <is>
          <t>AM</t>
        </is>
      </c>
      <c r="K1377" s="126" t="n">
        <v>21965.83</v>
      </c>
    </row>
    <row r="1378" ht="15" customHeight="1" s="60">
      <c r="A1378" s="59" t="n">
        <v>1</v>
      </c>
      <c r="B1378" s="59" t="n">
        <v>586417</v>
      </c>
      <c r="C1378" s="59" t="inlineStr">
        <is>
          <t>1</t>
        </is>
      </c>
      <c r="D1378" s="59" t="inlineStr">
        <is>
          <t>05498763000128</t>
        </is>
      </c>
      <c r="E1378" s="75" t="n">
        <v>46252</v>
      </c>
      <c r="F1378" s="75" t="n">
        <v>46247</v>
      </c>
      <c r="G1378" s="59" t="inlineStr">
        <is>
          <t>TAPAJOS COM DE PERFUMARIA COSMETICOS E G</t>
        </is>
      </c>
      <c r="H1378" s="59" t="n">
        <v>1567977</v>
      </c>
      <c r="I1378" s="59" t="n">
        <v>11</v>
      </c>
      <c r="J1378" s="59" t="inlineStr">
        <is>
          <t>AM</t>
        </is>
      </c>
      <c r="K1378" s="126" t="n">
        <v>6339.34</v>
      </c>
    </row>
    <row r="1379" ht="15" customHeight="1" s="60">
      <c r="A1379" s="59" t="n">
        <v>1</v>
      </c>
      <c r="B1379" s="59" t="n">
        <v>12863</v>
      </c>
      <c r="C1379" s="59" t="inlineStr">
        <is>
          <t>3</t>
        </is>
      </c>
      <c r="D1379" s="59" t="inlineStr">
        <is>
          <t>26227385000118</t>
        </is>
      </c>
      <c r="E1379" s="75" t="n">
        <v>46252</v>
      </c>
      <c r="F1379" s="75" t="n">
        <v>46247</v>
      </c>
      <c r="G1379" s="59" t="inlineStr">
        <is>
          <t>VICTORIA COMERCIO INTERNACIONAL DE ALIME</t>
        </is>
      </c>
      <c r="H1379" s="59" t="n">
        <v>1567571</v>
      </c>
      <c r="I1379" s="59" t="n">
        <v>11</v>
      </c>
      <c r="J1379" s="59" t="inlineStr">
        <is>
          <t>AM</t>
        </is>
      </c>
      <c r="K1379" s="126" t="n">
        <v>1838.69</v>
      </c>
    </row>
    <row r="1380" ht="15" customHeight="1" s="60">
      <c r="A1380" s="59" t="n">
        <v>1</v>
      </c>
      <c r="B1380" s="59" t="n">
        <v>1214</v>
      </c>
      <c r="C1380" s="59" t="inlineStr">
        <is>
          <t>2</t>
        </is>
      </c>
      <c r="D1380" s="59" t="inlineStr">
        <is>
          <t>06177766000475</t>
        </is>
      </c>
      <c r="E1380" s="75" t="n">
        <v>46253</v>
      </c>
      <c r="F1380" s="75" t="n">
        <v>46252</v>
      </c>
      <c r="G1380" s="59" t="inlineStr">
        <is>
          <t>A M A DE LIMA INDUSTRIA E COMERCIO DE PRODUTOS ALIMENTICIOS LTDA</t>
        </is>
      </c>
      <c r="H1380" s="59" t="n">
        <v>1571392</v>
      </c>
      <c r="I1380" s="59" t="n">
        <v>11</v>
      </c>
      <c r="J1380" s="59" t="inlineStr">
        <is>
          <t>AM</t>
        </is>
      </c>
      <c r="K1380" s="126" t="n">
        <v>132.71</v>
      </c>
    </row>
    <row r="1381" ht="15" customHeight="1" s="60">
      <c r="A1381" s="59" t="n">
        <v>1</v>
      </c>
      <c r="B1381" s="59" t="n">
        <v>604</v>
      </c>
      <c r="C1381" s="59" t="inlineStr">
        <is>
          <t>1</t>
        </is>
      </c>
      <c r="D1381" s="59" t="inlineStr">
        <is>
          <t>47496330000183</t>
        </is>
      </c>
      <c r="E1381" s="75" t="n">
        <v>46253</v>
      </c>
      <c r="F1381" s="75" t="n">
        <v>46251</v>
      </c>
      <c r="G1381" s="59" t="inlineStr">
        <is>
          <t>ADICSO FABIAN GONZALEZ MONTILLA 70302186</t>
        </is>
      </c>
      <c r="H1381" s="59" t="n">
        <v>1572026</v>
      </c>
      <c r="I1381" s="59" t="n">
        <v>11</v>
      </c>
      <c r="J1381" s="59" t="inlineStr">
        <is>
          <t>AM</t>
        </is>
      </c>
      <c r="K1381" s="126" t="n">
        <v>600</v>
      </c>
    </row>
    <row r="1382" ht="15" customHeight="1" s="60">
      <c r="A1382" s="59" t="n">
        <v>1</v>
      </c>
      <c r="B1382" s="59" t="n">
        <v>1921243</v>
      </c>
      <c r="C1382" s="59" t="inlineStr">
        <is>
          <t>1</t>
        </is>
      </c>
      <c r="D1382" s="59" t="inlineStr">
        <is>
          <t>75315333011909</t>
        </is>
      </c>
      <c r="E1382" s="75" t="n">
        <v>46253</v>
      </c>
      <c r="F1382" s="75" t="n">
        <v>46248</v>
      </c>
      <c r="G1382" s="59" t="inlineStr">
        <is>
          <t>ATACADAO S.A.</t>
        </is>
      </c>
      <c r="H1382" s="59" t="n">
        <v>1570741</v>
      </c>
      <c r="I1382" s="59" t="n">
        <v>11</v>
      </c>
      <c r="J1382" s="59" t="inlineStr">
        <is>
          <t>AM</t>
        </is>
      </c>
      <c r="K1382" s="126" t="n">
        <v>799.11</v>
      </c>
    </row>
    <row r="1383" ht="15" customHeight="1" s="60">
      <c r="A1383" s="59" t="n">
        <v>1</v>
      </c>
      <c r="B1383" s="59" t="n">
        <v>1921244</v>
      </c>
      <c r="C1383" s="59" t="inlineStr">
        <is>
          <t>1</t>
        </is>
      </c>
      <c r="D1383" s="59" t="inlineStr">
        <is>
          <t>75315333011909</t>
        </is>
      </c>
      <c r="E1383" s="75" t="n">
        <v>46253</v>
      </c>
      <c r="F1383" s="75" t="n">
        <v>46248</v>
      </c>
      <c r="G1383" s="59" t="inlineStr">
        <is>
          <t>ATACADAO S.A.</t>
        </is>
      </c>
      <c r="H1383" s="59" t="n">
        <v>1570790</v>
      </c>
      <c r="I1383" s="59" t="n">
        <v>11</v>
      </c>
      <c r="J1383" s="59" t="inlineStr">
        <is>
          <t>AM</t>
        </is>
      </c>
      <c r="K1383" s="126" t="n">
        <v>1096.94</v>
      </c>
    </row>
    <row r="1384" ht="15" customHeight="1" s="60">
      <c r="A1384" s="59" t="n">
        <v>1</v>
      </c>
      <c r="B1384" s="59" t="n">
        <v>1921245</v>
      </c>
      <c r="C1384" s="59" t="inlineStr">
        <is>
          <t>1</t>
        </is>
      </c>
      <c r="D1384" s="59" t="inlineStr">
        <is>
          <t>75315333011909</t>
        </is>
      </c>
      <c r="E1384" s="75" t="n">
        <v>46253</v>
      </c>
      <c r="F1384" s="75" t="n">
        <v>46248</v>
      </c>
      <c r="G1384" s="59" t="inlineStr">
        <is>
          <t>ATACADAO S.A.</t>
        </is>
      </c>
      <c r="H1384" s="59" t="n">
        <v>1570747</v>
      </c>
      <c r="I1384" s="59" t="n">
        <v>11</v>
      </c>
      <c r="J1384" s="59" t="inlineStr">
        <is>
          <t>AM</t>
        </is>
      </c>
      <c r="K1384" s="126" t="n">
        <v>602.64</v>
      </c>
    </row>
    <row r="1385" ht="15" customHeight="1" s="60">
      <c r="A1385" s="59" t="n">
        <v>1</v>
      </c>
      <c r="B1385" s="59" t="n">
        <v>175107</v>
      </c>
      <c r="C1385" s="59" t="inlineStr">
        <is>
          <t>1</t>
        </is>
      </c>
      <c r="D1385" s="59" t="inlineStr">
        <is>
          <t>10418161000153</t>
        </is>
      </c>
      <c r="E1385" s="75" t="n">
        <v>46253</v>
      </c>
      <c r="F1385" s="75" t="n">
        <v>46253</v>
      </c>
      <c r="G1385" s="59" t="inlineStr">
        <is>
          <t>COMERCIO DE FRIOS MANAUS LTDA</t>
        </is>
      </c>
      <c r="H1385" s="59" t="n">
        <v>1573015</v>
      </c>
      <c r="I1385" s="59" t="n">
        <v>11</v>
      </c>
      <c r="J1385" s="59" t="inlineStr">
        <is>
          <t>AM</t>
        </is>
      </c>
      <c r="K1385" s="126" t="n">
        <v>5972.4</v>
      </c>
    </row>
    <row r="1386" ht="15" customHeight="1" s="60">
      <c r="A1386" s="59" t="n">
        <v>1</v>
      </c>
      <c r="B1386" s="59" t="n">
        <v>416</v>
      </c>
      <c r="C1386" s="59" t="inlineStr">
        <is>
          <t>3</t>
        </is>
      </c>
      <c r="D1386" s="59" t="inlineStr">
        <is>
          <t>40233745000115</t>
        </is>
      </c>
      <c r="E1386" s="75" t="n">
        <v>46253</v>
      </c>
      <c r="F1386" s="75" t="n">
        <v>46252</v>
      </c>
      <c r="G1386" s="59" t="inlineStr">
        <is>
          <t>D N COMERCIO ATACADISTA DE EMBALAGENS E</t>
        </is>
      </c>
      <c r="H1386" s="59" t="n">
        <v>1573302</v>
      </c>
      <c r="I1386" s="59" t="n">
        <v>1</v>
      </c>
      <c r="J1386" s="59" t="inlineStr">
        <is>
          <t>AM</t>
        </is>
      </c>
      <c r="K1386" s="126" t="n">
        <v>464</v>
      </c>
    </row>
    <row r="1387" ht="15" customHeight="1" s="60">
      <c r="A1387" s="59" t="n">
        <v>1</v>
      </c>
      <c r="B1387" s="59" t="n">
        <v>1713960</v>
      </c>
      <c r="C1387" s="59" t="inlineStr">
        <is>
          <t>1</t>
        </is>
      </c>
      <c r="D1387" s="59" t="inlineStr">
        <is>
          <t>02796653000154</t>
        </is>
      </c>
      <c r="E1387" s="75" t="n">
        <v>46253</v>
      </c>
      <c r="F1387" s="75" t="n">
        <v>46252</v>
      </c>
      <c r="G1387" s="59" t="inlineStr">
        <is>
          <t>DISTRIBUIDORA LOPES LTDA</t>
        </is>
      </c>
      <c r="H1387" s="59" t="n">
        <v>1572218</v>
      </c>
      <c r="I1387" s="59" t="n">
        <v>11</v>
      </c>
      <c r="J1387" s="59" t="inlineStr">
        <is>
          <t>AM</t>
        </is>
      </c>
      <c r="K1387" s="126" t="n">
        <v>2811.7</v>
      </c>
    </row>
    <row r="1388" ht="15" customHeight="1" s="60">
      <c r="A1388" s="59" t="n">
        <v>1</v>
      </c>
      <c r="B1388" s="59" t="n">
        <v>3237635</v>
      </c>
      <c r="C1388" s="59" t="inlineStr">
        <is>
          <t>1</t>
        </is>
      </c>
      <c r="D1388" s="59" t="inlineStr">
        <is>
          <t>84466424000136</t>
        </is>
      </c>
      <c r="E1388" s="75" t="n">
        <v>46253</v>
      </c>
      <c r="F1388" s="75" t="n">
        <v>46248</v>
      </c>
      <c r="G1388" s="59" t="inlineStr">
        <is>
          <t>DUNORTE DISTRIBUIDORA DE PRODUTOS DE CONSUMO LTDA</t>
        </is>
      </c>
      <c r="H1388" s="59" t="n">
        <v>1572074</v>
      </c>
      <c r="I1388" s="59" t="n">
        <v>11</v>
      </c>
      <c r="J1388" s="59" t="inlineStr">
        <is>
          <t>AM</t>
        </is>
      </c>
      <c r="K1388" s="126" t="n">
        <v>594.5599999999999</v>
      </c>
    </row>
    <row r="1389" ht="15" customHeight="1" s="60">
      <c r="A1389" s="59" t="n">
        <v>1</v>
      </c>
      <c r="B1389" s="59" t="n">
        <v>1666896</v>
      </c>
      <c r="C1389" s="59" t="inlineStr">
        <is>
          <t>890</t>
        </is>
      </c>
      <c r="D1389" s="59" t="inlineStr">
        <is>
          <t>02532915340</t>
        </is>
      </c>
      <c r="E1389" s="75" t="n">
        <v>46253</v>
      </c>
      <c r="F1389" s="75" t="n">
        <v>46253</v>
      </c>
      <c r="G1389" s="59" t="inlineStr">
        <is>
          <t>EDSON AGUIAR DE SOUZA</t>
        </is>
      </c>
      <c r="H1389" s="59" t="n">
        <v>1573284</v>
      </c>
      <c r="I1389" s="59" t="n">
        <v>1</v>
      </c>
      <c r="J1389" s="59" t="inlineStr">
        <is>
          <t>AM</t>
        </is>
      </c>
      <c r="K1389" s="126" t="n">
        <v>246</v>
      </c>
    </row>
    <row r="1390" ht="15" customHeight="1" s="60">
      <c r="A1390" s="59" t="n">
        <v>1</v>
      </c>
      <c r="B1390" s="59" t="n">
        <v>2309729</v>
      </c>
      <c r="C1390" s="59" t="inlineStr">
        <is>
          <t>1</t>
        </is>
      </c>
      <c r="D1390" s="59" t="inlineStr">
        <is>
          <t>05402904001562</t>
        </is>
      </c>
      <c r="E1390" s="75" t="n">
        <v>46253</v>
      </c>
      <c r="F1390" s="75" t="n">
        <v>46247</v>
      </c>
      <c r="G1390" s="59" t="inlineStr">
        <is>
          <t>EMPRESA BRASILEIRA DE DISTRIBUICAO LTDA</t>
        </is>
      </c>
      <c r="H1390" s="59" t="n">
        <v>1572369</v>
      </c>
      <c r="I1390" s="59" t="n">
        <v>11</v>
      </c>
      <c r="J1390" s="59" t="inlineStr">
        <is>
          <t>AM</t>
        </is>
      </c>
      <c r="K1390" s="126" t="n">
        <v>3602.31</v>
      </c>
    </row>
    <row r="1391" ht="15" customHeight="1" s="60">
      <c r="A1391" s="59" t="n">
        <v>1</v>
      </c>
      <c r="B1391" s="59" t="n">
        <v>21714</v>
      </c>
      <c r="C1391" s="59" t="inlineStr">
        <is>
          <t>4</t>
        </is>
      </c>
      <c r="D1391" s="59" t="inlineStr">
        <is>
          <t>48302595000166</t>
        </is>
      </c>
      <c r="E1391" s="75" t="n">
        <v>46253</v>
      </c>
      <c r="F1391" s="75" t="n">
        <v>46247</v>
      </c>
      <c r="G1391" s="59" t="inlineStr">
        <is>
          <t>FUNNY PET DISTRIBUIDORA DE ALIMENTOS PAR</t>
        </is>
      </c>
      <c r="H1391" s="59" t="n">
        <v>1571222</v>
      </c>
      <c r="I1391" s="59" t="n">
        <v>11</v>
      </c>
      <c r="J1391" s="59" t="inlineStr">
        <is>
          <t>AM</t>
        </is>
      </c>
      <c r="K1391" s="126" t="n">
        <v>2114.68</v>
      </c>
    </row>
    <row r="1392" ht="15" customHeight="1" s="60">
      <c r="A1392" s="59" t="n">
        <v>1</v>
      </c>
      <c r="B1392" s="59" t="n">
        <v>502</v>
      </c>
      <c r="C1392" s="59" t="inlineStr">
        <is>
          <t>2</t>
        </is>
      </c>
      <c r="D1392" s="59" t="inlineStr">
        <is>
          <t>20380110000133</t>
        </is>
      </c>
      <c r="E1392" s="75" t="n">
        <v>46253</v>
      </c>
      <c r="F1392" s="75" t="n">
        <v>46253</v>
      </c>
      <c r="G1392" s="59" t="inlineStr">
        <is>
          <t>GELO DANGELO FABRICACAO DE GELO LTDA</t>
        </is>
      </c>
      <c r="H1392" s="59" t="n">
        <v>1573002</v>
      </c>
      <c r="I1392" s="59" t="n">
        <v>1</v>
      </c>
      <c r="J1392" s="59" t="inlineStr">
        <is>
          <t>AM</t>
        </is>
      </c>
      <c r="K1392" s="126" t="n">
        <v>359.5</v>
      </c>
    </row>
    <row r="1393" ht="15" customHeight="1" s="60">
      <c r="A1393" s="59" t="n">
        <v>1</v>
      </c>
      <c r="B1393" s="59" t="n">
        <v>248020</v>
      </c>
      <c r="C1393" s="59" t="inlineStr">
        <is>
          <t>1</t>
        </is>
      </c>
      <c r="D1393" s="59" t="inlineStr">
        <is>
          <t>05151326000133</t>
        </is>
      </c>
      <c r="E1393" s="75" t="n">
        <v>46253</v>
      </c>
      <c r="F1393" s="75" t="n">
        <v>46249</v>
      </c>
      <c r="G1393" s="59" t="inlineStr">
        <is>
          <t>M H DE S COSTA GARCIA EPP</t>
        </is>
      </c>
      <c r="H1393" s="59" t="n">
        <v>1571297</v>
      </c>
      <c r="I1393" s="59" t="n">
        <v>11</v>
      </c>
      <c r="J1393" s="59" t="inlineStr">
        <is>
          <t>AM</t>
        </is>
      </c>
      <c r="K1393" s="126" t="n">
        <v>875.7</v>
      </c>
    </row>
    <row r="1394" ht="15" customHeight="1" s="60">
      <c r="A1394" s="59" t="n">
        <v>1</v>
      </c>
      <c r="B1394" s="59" t="n">
        <v>1791736</v>
      </c>
      <c r="C1394" s="59" t="inlineStr">
        <is>
          <t>0</t>
        </is>
      </c>
      <c r="D1394" s="59" t="inlineStr">
        <is>
          <t>43214055001774</t>
        </is>
      </c>
      <c r="E1394" s="75" t="n">
        <v>46253</v>
      </c>
      <c r="F1394" s="75" t="n">
        <v>46251</v>
      </c>
      <c r="G1394" s="59" t="inlineStr">
        <is>
          <t>MARTINS COM SERV DISTR SA</t>
        </is>
      </c>
      <c r="H1394" s="59" t="n">
        <v>1570884</v>
      </c>
      <c r="I1394" s="59" t="n">
        <v>11</v>
      </c>
      <c r="J1394" s="59" t="inlineStr">
        <is>
          <t>AM</t>
        </is>
      </c>
      <c r="K1394" s="126" t="n">
        <v>465.16</v>
      </c>
    </row>
    <row r="1395" ht="15" customHeight="1" s="60">
      <c r="A1395" s="59" t="n">
        <v>1</v>
      </c>
      <c r="B1395" s="59" t="n">
        <v>1791737</v>
      </c>
      <c r="C1395" s="59" t="inlineStr">
        <is>
          <t>0</t>
        </is>
      </c>
      <c r="D1395" s="59" t="inlineStr">
        <is>
          <t>43214055001774</t>
        </is>
      </c>
      <c r="E1395" s="75" t="n">
        <v>46253</v>
      </c>
      <c r="F1395" s="75" t="n">
        <v>46251</v>
      </c>
      <c r="G1395" s="59" t="inlineStr">
        <is>
          <t>MARTINS COM SERV DISTR SA</t>
        </is>
      </c>
      <c r="H1395" s="59" t="n">
        <v>1570893</v>
      </c>
      <c r="I1395" s="59" t="n">
        <v>11</v>
      </c>
      <c r="J1395" s="59" t="inlineStr">
        <is>
          <t>AM</t>
        </is>
      </c>
      <c r="K1395" s="126" t="n">
        <v>1038.78</v>
      </c>
    </row>
    <row r="1396" ht="15" customHeight="1" s="60">
      <c r="A1396" s="59" t="n">
        <v>1</v>
      </c>
      <c r="B1396" s="59" t="n">
        <v>443157</v>
      </c>
      <c r="C1396" s="59" t="inlineStr">
        <is>
          <t>3</t>
        </is>
      </c>
      <c r="D1396" s="59" t="inlineStr">
        <is>
          <t>81611931005006</t>
        </is>
      </c>
      <c r="E1396" s="75" t="n">
        <v>46253</v>
      </c>
      <c r="F1396" s="75" t="n">
        <v>46247</v>
      </c>
      <c r="G1396" s="59" t="inlineStr">
        <is>
          <t>OESA COMERCIO E REPRESENTACOES S/A</t>
        </is>
      </c>
      <c r="H1396" s="59" t="n">
        <v>1570972</v>
      </c>
      <c r="I1396" s="59" t="n">
        <v>11</v>
      </c>
      <c r="J1396" s="59" t="inlineStr">
        <is>
          <t>AM</t>
        </is>
      </c>
      <c r="K1396" s="126" t="n">
        <v>584.55</v>
      </c>
    </row>
    <row r="1397" ht="15" customHeight="1" s="60">
      <c r="A1397" s="59" t="n">
        <v>1</v>
      </c>
      <c r="B1397" s="59" t="n">
        <v>195456</v>
      </c>
      <c r="C1397" s="59" t="inlineStr">
        <is>
          <t>3</t>
        </is>
      </c>
      <c r="D1397" s="59" t="inlineStr">
        <is>
          <t>11094287000344</t>
        </is>
      </c>
      <c r="E1397" s="75" t="n">
        <v>46253</v>
      </c>
      <c r="F1397" s="75" t="n">
        <v>46246</v>
      </c>
      <c r="G1397" s="59" t="inlineStr">
        <is>
          <t>PIARARA COMERCIO, IMPORTACAO E EXPORTACAO LTDA</t>
        </is>
      </c>
      <c r="H1397" s="59" t="n">
        <v>1572655</v>
      </c>
      <c r="I1397" s="59" t="n">
        <v>11</v>
      </c>
      <c r="J1397" s="59" t="inlineStr">
        <is>
          <t>AM</t>
        </is>
      </c>
      <c r="K1397" s="126" t="n">
        <v>2376.65</v>
      </c>
    </row>
    <row r="1398" ht="15" customHeight="1" s="60">
      <c r="A1398" s="59" t="n">
        <v>1</v>
      </c>
      <c r="B1398" s="59" t="n">
        <v>5517</v>
      </c>
      <c r="C1398" s="59" t="inlineStr">
        <is>
          <t>1</t>
        </is>
      </c>
      <c r="D1398" s="59" t="inlineStr">
        <is>
          <t>36480282000119</t>
        </is>
      </c>
      <c r="E1398" s="75" t="n">
        <v>46253</v>
      </c>
      <c r="F1398" s="75" t="n">
        <v>46253</v>
      </c>
      <c r="G1398" s="59" t="inlineStr">
        <is>
          <t>RENATO DE O AZEVEDO E CIA LTDA - EPP</t>
        </is>
      </c>
      <c r="H1398" s="59" t="n">
        <v>1572770</v>
      </c>
      <c r="I1398" s="59" t="n">
        <v>6</v>
      </c>
      <c r="J1398" s="59" t="inlineStr">
        <is>
          <t>AM</t>
        </is>
      </c>
      <c r="K1398" s="126" t="n">
        <v>429</v>
      </c>
    </row>
    <row r="1399" ht="15" customHeight="1" s="60">
      <c r="A1399" s="59" t="n">
        <v>1</v>
      </c>
      <c r="B1399" s="59" t="n">
        <v>5518</v>
      </c>
      <c r="C1399" s="59" t="inlineStr">
        <is>
          <t>1</t>
        </is>
      </c>
      <c r="D1399" s="59" t="inlineStr">
        <is>
          <t>36480282000119</t>
        </is>
      </c>
      <c r="E1399" s="75" t="n">
        <v>46253</v>
      </c>
      <c r="F1399" s="75" t="n">
        <v>46253</v>
      </c>
      <c r="G1399" s="59" t="inlineStr">
        <is>
          <t>RENATO DE O AZEVEDO E CIA LTDA - EPP</t>
        </is>
      </c>
      <c r="H1399" s="59" t="n">
        <v>1572960</v>
      </c>
      <c r="I1399" s="59" t="n">
        <v>6</v>
      </c>
      <c r="J1399" s="59" t="inlineStr">
        <is>
          <t>AM</t>
        </is>
      </c>
      <c r="K1399" s="126" t="n">
        <v>300</v>
      </c>
    </row>
    <row r="1400" ht="15" customHeight="1" s="60">
      <c r="A1400" s="59" t="n">
        <v>1</v>
      </c>
      <c r="B1400" s="59" t="n">
        <v>1255654</v>
      </c>
      <c r="C1400" s="59" t="inlineStr">
        <is>
          <t>7</t>
        </is>
      </c>
      <c r="D1400" s="59" t="inlineStr">
        <is>
          <t>34590315000158</t>
        </is>
      </c>
      <c r="E1400" s="75" t="n">
        <v>46254</v>
      </c>
      <c r="F1400" s="75" t="n">
        <v>46252</v>
      </c>
      <c r="G1400" s="59" t="inlineStr">
        <is>
          <t>BRASIL NORTE BEBIDAS S/A</t>
        </is>
      </c>
      <c r="H1400" s="59" t="n">
        <v>1576385</v>
      </c>
      <c r="I1400" s="59" t="n">
        <v>11</v>
      </c>
      <c r="J1400" s="59" t="inlineStr">
        <is>
          <t>AM</t>
        </is>
      </c>
      <c r="K1400" s="126" t="n">
        <v>39.76</v>
      </c>
    </row>
    <row r="1401" ht="15" customHeight="1" s="60">
      <c r="A1401" s="59" t="n">
        <v>1</v>
      </c>
      <c r="B1401" s="59" t="n">
        <v>1037267</v>
      </c>
      <c r="C1401" s="59" t="inlineStr">
        <is>
          <t>1</t>
        </is>
      </c>
      <c r="D1401" s="59" t="inlineStr">
        <is>
          <t>34579060000122</t>
        </is>
      </c>
      <c r="E1401" s="75" t="n">
        <v>46254</v>
      </c>
      <c r="F1401" s="75" t="n">
        <v>46251</v>
      </c>
      <c r="G1401" s="59" t="inlineStr">
        <is>
          <t>BROTHERS  INDUSTRIA DE ALIMENTOS LTDA</t>
        </is>
      </c>
      <c r="H1401" s="59" t="n">
        <v>1575789</v>
      </c>
      <c r="I1401" s="59" t="n">
        <v>11</v>
      </c>
      <c r="J1401" s="59" t="inlineStr">
        <is>
          <t>AM</t>
        </is>
      </c>
      <c r="K1401" s="126" t="n">
        <v>470.94</v>
      </c>
    </row>
    <row r="1402" ht="15" customHeight="1" s="60">
      <c r="A1402" s="59" t="n">
        <v>1</v>
      </c>
      <c r="B1402" s="59" t="n">
        <v>1711227</v>
      </c>
      <c r="C1402" s="59" t="inlineStr">
        <is>
          <t>1</t>
        </is>
      </c>
      <c r="D1402" s="59" t="inlineStr">
        <is>
          <t>02796653000154</t>
        </is>
      </c>
      <c r="E1402" s="75" t="n">
        <v>46254</v>
      </c>
      <c r="F1402" s="75" t="n">
        <v>46247</v>
      </c>
      <c r="G1402" s="59" t="inlineStr">
        <is>
          <t>DISTRIBUIDORA LOPES LTDA</t>
        </is>
      </c>
      <c r="H1402" s="59" t="n">
        <v>1575874</v>
      </c>
      <c r="I1402" s="59" t="n">
        <v>11</v>
      </c>
      <c r="J1402" s="59" t="inlineStr">
        <is>
          <t>AM</t>
        </is>
      </c>
      <c r="K1402" s="126" t="n">
        <v>1553.23</v>
      </c>
    </row>
    <row r="1403" ht="15" customHeight="1" s="60">
      <c r="A1403" s="59" t="n">
        <v>1</v>
      </c>
      <c r="B1403" s="59" t="n">
        <v>1713862</v>
      </c>
      <c r="C1403" s="59" t="inlineStr">
        <is>
          <t>1</t>
        </is>
      </c>
      <c r="D1403" s="59" t="inlineStr">
        <is>
          <t>02796653000154</t>
        </is>
      </c>
      <c r="E1403" s="75" t="n">
        <v>46254</v>
      </c>
      <c r="F1403" s="75" t="n">
        <v>46252</v>
      </c>
      <c r="G1403" s="59" t="inlineStr">
        <is>
          <t>DISTRIBUIDORA LOPES LTDA</t>
        </is>
      </c>
      <c r="H1403" s="59" t="n">
        <v>1576061</v>
      </c>
      <c r="I1403" s="59" t="n">
        <v>11</v>
      </c>
      <c r="J1403" s="59" t="inlineStr">
        <is>
          <t>AM</t>
        </is>
      </c>
      <c r="K1403" s="126" t="n">
        <v>2857.54</v>
      </c>
    </row>
    <row r="1404" ht="15" customHeight="1" s="60">
      <c r="A1404" s="59" t="n">
        <v>1</v>
      </c>
      <c r="B1404" s="59" t="n">
        <v>228913</v>
      </c>
      <c r="C1404" s="59" t="inlineStr">
        <is>
          <t>2</t>
        </is>
      </c>
      <c r="D1404" s="59" t="inlineStr">
        <is>
          <t>05646631000104</t>
        </is>
      </c>
      <c r="E1404" s="75" t="n">
        <v>46254</v>
      </c>
      <c r="F1404" s="75" t="n">
        <v>46251</v>
      </c>
      <c r="G1404" s="59" t="inlineStr">
        <is>
          <t>FRUTAL INDUSTRIA E COMERCIO LTDA</t>
        </is>
      </c>
      <c r="H1404" s="59" t="n">
        <v>1575756</v>
      </c>
      <c r="I1404" s="59" t="n">
        <v>11</v>
      </c>
      <c r="J1404" s="59" t="inlineStr">
        <is>
          <t>AM</t>
        </is>
      </c>
      <c r="K1404" s="126" t="n">
        <v>614.84</v>
      </c>
    </row>
    <row r="1405" ht="15" customHeight="1" s="60">
      <c r="A1405" s="59" t="n">
        <v>1</v>
      </c>
      <c r="B1405" s="59" t="n">
        <v>2056</v>
      </c>
      <c r="C1405" s="59" t="inlineStr">
        <is>
          <t>1</t>
        </is>
      </c>
      <c r="D1405" s="59" t="inlineStr">
        <is>
          <t>34413660000116</t>
        </is>
      </c>
      <c r="E1405" s="75" t="n">
        <v>46254</v>
      </c>
      <c r="F1405" s="75" t="n">
        <v>46253</v>
      </c>
      <c r="G1405" s="59" t="inlineStr">
        <is>
          <t>KAROLINY RODRIGUES SOUZA VENANCIO 915783</t>
        </is>
      </c>
      <c r="H1405" s="59" t="n">
        <v>1575846</v>
      </c>
      <c r="I1405" s="59" t="n">
        <v>11</v>
      </c>
      <c r="J1405" s="59" t="inlineStr">
        <is>
          <t>AM</t>
        </is>
      </c>
      <c r="K1405" s="126" t="n">
        <v>500</v>
      </c>
    </row>
    <row r="1406" ht="15" customHeight="1" s="60">
      <c r="A1406" s="59" t="n">
        <v>1</v>
      </c>
      <c r="B1406" s="59" t="n">
        <v>768</v>
      </c>
      <c r="C1406" s="59" t="inlineStr">
        <is>
          <t>2</t>
        </is>
      </c>
      <c r="D1406" s="59" t="inlineStr">
        <is>
          <t>35729236000148</t>
        </is>
      </c>
      <c r="E1406" s="75" t="n">
        <v>46254</v>
      </c>
      <c r="F1406" s="75" t="n">
        <v>46253</v>
      </c>
      <c r="G1406" s="59" t="inlineStr">
        <is>
          <t>PANIFICADORA E CONFEITARIA REAL MADRI LTDA</t>
        </is>
      </c>
      <c r="H1406" s="59" t="n">
        <v>1575697</v>
      </c>
      <c r="I1406" s="59" t="n">
        <v>11</v>
      </c>
      <c r="J1406" s="59" t="inlineStr">
        <is>
          <t>AM</t>
        </is>
      </c>
      <c r="K1406" s="126" t="n">
        <v>307.2</v>
      </c>
    </row>
    <row r="1407" ht="15" customHeight="1" s="60">
      <c r="A1407" s="59" t="n">
        <v>1</v>
      </c>
      <c r="B1407" s="59" t="n">
        <v>48075</v>
      </c>
      <c r="C1407" s="59" t="inlineStr">
        <is>
          <t>4</t>
        </is>
      </c>
      <c r="D1407" s="59" t="inlineStr">
        <is>
          <t>05022353005337</t>
        </is>
      </c>
      <c r="E1407" s="75" t="n">
        <v>46254</v>
      </c>
      <c r="F1407" s="75" t="n">
        <v>46253</v>
      </c>
      <c r="G1407" s="59" t="inlineStr">
        <is>
          <t>RV TECNOLOGIA E SISTEMAS S.A. - MA</t>
        </is>
      </c>
      <c r="H1407" s="59" t="n">
        <v>1575905</v>
      </c>
      <c r="I1407" s="59" t="n">
        <v>11</v>
      </c>
      <c r="J1407" s="59" t="inlineStr">
        <is>
          <t>AM</t>
        </is>
      </c>
      <c r="K1407" s="126" t="n">
        <v>1103</v>
      </c>
    </row>
    <row r="1408" ht="15" customHeight="1" s="60">
      <c r="A1408" s="59" t="n">
        <v>1</v>
      </c>
      <c r="B1408" s="59" t="n">
        <v>48077</v>
      </c>
      <c r="C1408" s="59" t="inlineStr">
        <is>
          <t>4</t>
        </is>
      </c>
      <c r="D1408" s="59" t="inlineStr">
        <is>
          <t>05022353005337</t>
        </is>
      </c>
      <c r="E1408" s="75" t="n">
        <v>46254</v>
      </c>
      <c r="F1408" s="75" t="n">
        <v>46253</v>
      </c>
      <c r="G1408" s="59" t="inlineStr">
        <is>
          <t>RV TECNOLOGIA E SISTEMAS S.A. - MA</t>
        </is>
      </c>
      <c r="H1408" s="59" t="n">
        <v>1575914</v>
      </c>
      <c r="I1408" s="59" t="n">
        <v>11</v>
      </c>
      <c r="J1408" s="59" t="inlineStr">
        <is>
          <t>AM</t>
        </is>
      </c>
      <c r="K1408" s="126" t="n">
        <v>94.05</v>
      </c>
    </row>
    <row r="1409" ht="15" customHeight="1" s="60">
      <c r="A1409" s="59" t="n">
        <v>1</v>
      </c>
      <c r="B1409" s="59" t="n">
        <v>15263</v>
      </c>
      <c r="C1409" s="59" t="inlineStr">
        <is>
          <t>1</t>
        </is>
      </c>
      <c r="D1409" s="59" t="inlineStr">
        <is>
          <t>01215382000133</t>
        </is>
      </c>
      <c r="E1409" s="75" t="n">
        <v>46254</v>
      </c>
      <c r="F1409" s="75" t="n">
        <v>46251</v>
      </c>
      <c r="G1409" s="59" t="inlineStr">
        <is>
          <t>T. M. L. DA SILVA LTDA</t>
        </is>
      </c>
      <c r="H1409" s="59" t="n">
        <v>1575745</v>
      </c>
      <c r="I1409" s="59" t="n">
        <v>11</v>
      </c>
      <c r="J1409" s="59" t="inlineStr">
        <is>
          <t>AM</t>
        </is>
      </c>
      <c r="K1409" s="126" t="n">
        <v>688.65</v>
      </c>
    </row>
    <row r="1410" ht="15" customHeight="1" s="60">
      <c r="A1410" s="59" t="n">
        <v>1</v>
      </c>
      <c r="B1410" s="59" t="n">
        <v>10588</v>
      </c>
      <c r="C1410" s="59" t="inlineStr">
        <is>
          <t>2</t>
        </is>
      </c>
      <c r="D1410" s="59" t="inlineStr">
        <is>
          <t>36296113000123</t>
        </is>
      </c>
      <c r="E1410" s="75" t="n">
        <v>46254</v>
      </c>
      <c r="F1410" s="75" t="n">
        <v>46253</v>
      </c>
      <c r="G1410" s="59" t="inlineStr">
        <is>
          <t>VITAPAN COMERCIO VAREJISTA DE PRODUTOS ALIMENTICIOS LTDA</t>
        </is>
      </c>
      <c r="H1410" s="59" t="n">
        <v>1575797</v>
      </c>
      <c r="I1410" s="59" t="n">
        <v>11</v>
      </c>
      <c r="J1410" s="59" t="inlineStr">
        <is>
          <t>AM</t>
        </is>
      </c>
      <c r="K1410" s="126" t="n">
        <v>756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2026-08-05T14:21:10Z</dcterms:created>
  <dcterms:modified xsi:type="dcterms:W3CDTF">2026-08-24T15:44:46Z</dcterms:modified>
  <cp:lastModifiedBy>Mercadinho</cp:lastModifiedBy>
  <cp:revision>0</cp:revision>
</cp:coreProperties>
</file>